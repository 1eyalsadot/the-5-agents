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Group Mapping" sheetId="2" state="visible" r:id="rId4"/>
    <sheet name="בתי מרקחת" sheetId="3" state="visible" r:id="rId5"/>
    <sheet name="BE" sheetId="4" state="visible" r:id="rId6"/>
    <sheet name="סופר פארם" sheetId="5" state="visible" r:id="rId7"/>
    <sheet name="מאוחדת" sheetId="6" state="visible" r:id="rId8"/>
    <sheet name="0פארמים" sheetId="7" state="visible" r:id="rId9"/>
    <sheet name="Source 2025" sheetId="8" state="visible" r:id="rId10"/>
    <sheet name="Source 2026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input: how many months of 2026 the "actual" figures cover, per the user (1/1 to 15/9 2026 ≈ 9.5 months).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input: how many months of 2026 the "actual" figures cover, per the user (1/1 to 15/9 2026 ≈ 9.5 months).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input: how many months of 2026 the "actual" figures cover, per the user (1/1 to 15/9 2026 ≈ 9.5 months).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input: how many months of 2026 the "actual" figures cover, per the user (1/1 to 15/9 2026 ≈ 9.5 months).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input: how many months of 2026 the "actual" figures cover, per the user (1/1 to 15/9 2026 ≈ 9.5 months).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sharedStrings.xml><?xml version="1.0" encoding="utf-8"?>
<sst xmlns="http://schemas.openxmlformats.org/spreadsheetml/2006/main" count="8166" uniqueCount="1005">
  <si>
    <t xml:space="preserve">Sales Comparison 2025 vs 2026 - by Daily-Report Group (PPlay1 of uriel report, grouped per Pplay1 legend) - Annualized + DROP/NEW</t>
  </si>
  <si>
    <t xml:space="preserve">Calculation date:</t>
  </si>
  <si>
    <t xml:space="preserve">Each sheet below is a live comparison table (formulas, not hardcoded values) for one daily-report group, summed across its member raw-customer columns from 'Source 2025'/'Source 2026'. Quantity/Amount 2026 and Change% columns here show ACTUAL (partial-year, 1/1-15/9) figures, consistent across all 5 rows; the ANNUALIZED comparison (x12/9.5) is available inside each group sheet. All SUMPRODUCT formulas use "--" to force numeric coercion of boolean arrays (required for correct results in real Excel, not just LibreOffice). See the "Group Mapping" sheet for exactly which raw categories feed each group.</t>
  </si>
  <si>
    <t xml:space="preserve">Group</t>
  </si>
  <si>
    <t xml:space="preserve">Sheet</t>
  </si>
  <si>
    <t xml:space="preserve"># Raw categories</t>
  </si>
  <si>
    <t xml:space="preserve"># Codes</t>
  </si>
  <si>
    <t xml:space="preserve"># Codes 25</t>
  </si>
  <si>
    <t xml:space="preserve"># Codes 26</t>
  </si>
  <si>
    <t xml:space="preserve"># DROP</t>
  </si>
  <si>
    <t xml:space="preserve"># NEW</t>
  </si>
  <si>
    <t xml:space="preserve">Total Units Drop 25</t>
  </si>
  <si>
    <t xml:space="preserve">Total Amount Drop 25</t>
  </si>
  <si>
    <t xml:space="preserve">NEW — Quantity 2026</t>
  </si>
  <si>
    <t xml:space="preserve">NEW — Amount 2026 (₪)</t>
  </si>
  <si>
    <t xml:space="preserve">Quantity 2025</t>
  </si>
  <si>
    <t xml:space="preserve">Quantity 2026 (Actual)</t>
  </si>
  <si>
    <t xml:space="preserve">Quantity 2026 Annualized</t>
  </si>
  <si>
    <t xml:space="preserve">Qty Change % (vs Annualized)</t>
  </si>
  <si>
    <t xml:space="preserve">Amount 2025 (₪)</t>
  </si>
  <si>
    <t xml:space="preserve">Amount 2026 (Actual) (₪)</t>
  </si>
  <si>
    <t xml:space="preserve">Amount 2026 (Annualized) (₪)</t>
  </si>
  <si>
    <t xml:space="preserve">Amount Change % (vs Annualized)</t>
  </si>
  <si>
    <t xml:space="preserve">בתי מרקחת</t>
  </si>
  <si>
    <t xml:space="preserve">BE</t>
  </si>
  <si>
    <t xml:space="preserve">סופר פארם</t>
  </si>
  <si>
    <t xml:space="preserve">מאוחדת</t>
  </si>
  <si>
    <t xml:space="preserve">0פארמים</t>
  </si>
  <si>
    <t xml:space="preserve">Category -&gt; Group mapping (source: daily report Pplay1 legend, 5 unmatched categories confirmed by user on 19/09/2026)</t>
  </si>
  <si>
    <t xml:space="preserve">Raw category (PPLAY1 column)</t>
  </si>
  <si>
    <t xml:space="preserve">Group #</t>
  </si>
  <si>
    <t xml:space="preserve">Group name</t>
  </si>
  <si>
    <t xml:space="preserve">Source of mapping</t>
  </si>
  <si>
    <t xml:space="preserve">0בתי טבע</t>
  </si>
  <si>
    <t xml:space="preserve">4</t>
  </si>
  <si>
    <t xml:space="preserve">Confirmed by user 19/09/2026</t>
  </si>
  <si>
    <t xml:space="preserve">0בתי טבע רשתות</t>
  </si>
  <si>
    <t xml:space="preserve">0בתי מרקחת</t>
  </si>
  <si>
    <t xml:space="preserve">Daily report Pplay1 legend</t>
  </si>
  <si>
    <t xml:space="preserve">0כללי</t>
  </si>
  <si>
    <t xml:space="preserve">0מפיצי משנה</t>
  </si>
  <si>
    <t xml:space="preserve">0צרכנים פרטיים</t>
  </si>
  <si>
    <t xml:space="preserve">0שונות</t>
  </si>
  <si>
    <t xml:space="preserve">גוד פארם</t>
  </si>
  <si>
    <t xml:space="preserve">גוד פארם מרכז</t>
  </si>
  <si>
    <t xml:space="preserve">7</t>
  </si>
  <si>
    <t xml:space="preserve">אילת BE</t>
  </si>
  <si>
    <t xml:space="preserve">אילת זיכויי BE</t>
  </si>
  <si>
    <t xml:space="preserve">הפרכל הפרפארם</t>
  </si>
  <si>
    <t xml:space="preserve">זיכויים BE</t>
  </si>
  <si>
    <t xml:space="preserve">שופרסל BE</t>
  </si>
  <si>
    <t xml:space="preserve">סופרפארם</t>
  </si>
  <si>
    <t xml:space="preserve">1</t>
  </si>
  <si>
    <t xml:space="preserve">0קופות חולים</t>
  </si>
  <si>
    <t xml:space="preserve">8</t>
  </si>
  <si>
    <t xml:space="preserve">(none)</t>
  </si>
  <si>
    <t xml:space="preserve">(standalone - no group)</t>
  </si>
  <si>
    <t xml:space="preserve">Sales Comparison 2025 vs 2026 (Annualized) - Group: בתי מרקחת (by Product CODE)</t>
  </si>
  <si>
    <t xml:space="preserve">Source: PPlay1 of uriel (Reporter) product x customer pivot reports for 2025 and 2026. Grouping follows the daily report "Pplay1" sheet legend (customer # 4/7/1/8) plus 5 categories confirmed by the user on 19/09/2026 that had no exact-name match in the legend. Group "בתי מרקחת" = sum of raw customer column(s): 0בתי מרקחת, 0מפיצי משנה, גוד פארם, גוד פארם מרכז, 0צרכנים פרטיים, 0שונות, 0בתי טבע, 0בתי טבע רשתות, 0כללי (column(s) F, H, M, N, S, U, D, E, G in 'Source 2025'/'Source 2026'). Each file has two data blocks: "נטו" (Net Amount, NIS) and "סהכ יחידות" (Total Units). Product CODE parsed as the first token of column B in the original file; size/color variants sharing the same base CODE are summed via SUMIFS. Rows below only include product codes with non-zero quantity or amount for this group in at least one of the two years (comparing 2025 actual to 2026 actual, before annualization). Full build (annualization + DROP/NEW + whole-number display) rolled out to all 5 groups on 19/09/2026 - see rows 4-6 for methodology.</t>
  </si>
  <si>
    <t xml:space="preserve">Annualization note: 2026 actual data covers approximately 9.5 months (1 Jan - 15 Sep 2026). To make 2026 comparable to a full year, it is scaled up by a simple linear factor = 12 / 9.5 (≈ 1.263158). This is a straight-line extrapolation and does NOT account for seasonality (e.g. holiday-heavy months) - treat as an estimate, not an exact forecast.</t>
  </si>
  <si>
    <t xml:space="preserve">Months in full year:</t>
  </si>
  <si>
    <t xml:space="preserve">Months covered by 2026 actual (1/1–15/9):</t>
  </si>
  <si>
    <t xml:space="preserve"># DROP (sold 2025, 0 in 2026):</t>
  </si>
  <si>
    <t xml:space="preserve"># NEW (sold 2026, 0 in 2025):</t>
  </si>
  <si>
    <t xml:space="preserve">Normalization factor (J4/L4):</t>
  </si>
  <si>
    <t xml:space="preserve">DROP — Quantity 2025:</t>
  </si>
  <si>
    <t xml:space="preserve">DROP — Amount 2025 (₪):</t>
  </si>
  <si>
    <t xml:space="preserve">NEW — Quantity 2026:</t>
  </si>
  <si>
    <t xml:space="preserve">NEW — Amount 2026 (₪):</t>
  </si>
  <si>
    <t xml:space="preserve">Product Code</t>
  </si>
  <si>
    <t xml:space="preserve">Product Name</t>
  </si>
  <si>
    <t xml:space="preserve">Quantity 2026 (Actual, partial year)</t>
  </si>
  <si>
    <t xml:space="preserve">Quantity 2026 (Annualized)</t>
  </si>
  <si>
    <t xml:space="preserve">Quantity Change (Annualized vs 2025)</t>
  </si>
  <si>
    <t xml:space="preserve">Quantity Change % (Annualized vs 2025)</t>
  </si>
  <si>
    <t xml:space="preserve">Amount 2026 (Actual, partial year) (₪)</t>
  </si>
  <si>
    <t xml:space="preserve">Amount Change (Annualized vs 2025) (₪)</t>
  </si>
  <si>
    <t xml:space="preserve">Amount Change % (Annualized vs 2025)</t>
  </si>
  <si>
    <t xml:space="preserve">21</t>
  </si>
  <si>
    <t xml:space="preserve">397</t>
  </si>
  <si>
    <t xml:space="preserve">397A-גרבי</t>
  </si>
  <si>
    <t xml:space="preserve">302</t>
  </si>
  <si>
    <t xml:space="preserve">AC-07</t>
  </si>
  <si>
    <t xml:space="preserve">SH422</t>
  </si>
  <si>
    <t xml:space="preserve">307</t>
  </si>
  <si>
    <t xml:space="preserve">26</t>
  </si>
  <si>
    <t xml:space="preserve">60</t>
  </si>
  <si>
    <t xml:space="preserve">45C</t>
  </si>
  <si>
    <t xml:space="preserve">266</t>
  </si>
  <si>
    <t xml:space="preserve">28</t>
  </si>
  <si>
    <t xml:space="preserve">45B</t>
  </si>
  <si>
    <t xml:space="preserve">85</t>
  </si>
  <si>
    <t xml:space="preserve">FCתרסיס</t>
  </si>
  <si>
    <t xml:space="preserve">34</t>
  </si>
  <si>
    <t xml:space="preserve">35C</t>
  </si>
  <si>
    <t xml:space="preserve">AC75</t>
  </si>
  <si>
    <t xml:space="preserve">T25-חבק</t>
  </si>
  <si>
    <t xml:space="preserve">3655</t>
  </si>
  <si>
    <t xml:space="preserve">35B</t>
  </si>
  <si>
    <t xml:space="preserve">35</t>
  </si>
  <si>
    <t xml:space="preserve">45</t>
  </si>
  <si>
    <t xml:space="preserve">FC334</t>
  </si>
  <si>
    <t xml:space="preserve">AC-25</t>
  </si>
  <si>
    <t xml:space="preserve">85B</t>
  </si>
  <si>
    <t xml:space="preserve">20</t>
  </si>
  <si>
    <t xml:space="preserve">078</t>
  </si>
  <si>
    <t xml:space="preserve">FC335</t>
  </si>
  <si>
    <t xml:space="preserve">808KT-BL</t>
  </si>
  <si>
    <t xml:space="preserve">11</t>
  </si>
  <si>
    <t xml:space="preserve">FC342-נוזל</t>
  </si>
  <si>
    <t xml:space="preserve">T25B</t>
  </si>
  <si>
    <t xml:space="preserve">305GA</t>
  </si>
  <si>
    <t xml:space="preserve">078XL</t>
  </si>
  <si>
    <t xml:space="preserve">95C</t>
  </si>
  <si>
    <t xml:space="preserve">45E</t>
  </si>
  <si>
    <t xml:space="preserve">PD340-קוצץ</t>
  </si>
  <si>
    <t xml:space="preserve">AC-27L</t>
  </si>
  <si>
    <t xml:space="preserve">808KT-P</t>
  </si>
  <si>
    <t xml:space="preserve">808KT-C</t>
  </si>
  <si>
    <t xml:space="preserve">AC-28</t>
  </si>
  <si>
    <t xml:space="preserve">T78</t>
  </si>
  <si>
    <t xml:space="preserve">M078</t>
  </si>
  <si>
    <t xml:space="preserve">75</t>
  </si>
  <si>
    <t xml:space="preserve">308</t>
  </si>
  <si>
    <t xml:space="preserve">76</t>
  </si>
  <si>
    <t xml:space="preserve">T25C-חבק</t>
  </si>
  <si>
    <t xml:space="preserve">808KT-B</t>
  </si>
  <si>
    <t xml:space="preserve">3674</t>
  </si>
  <si>
    <t xml:space="preserve">394B</t>
  </si>
  <si>
    <t xml:space="preserve">806CB-BEIGE</t>
  </si>
  <si>
    <t xml:space="preserve">364S</t>
  </si>
  <si>
    <t xml:space="preserve">369</t>
  </si>
  <si>
    <t xml:space="preserve">311'מדב.ג'ל</t>
  </si>
  <si>
    <t xml:space="preserve">388B</t>
  </si>
  <si>
    <t xml:space="preserve">313</t>
  </si>
  <si>
    <t xml:space="preserve">AC-27R</t>
  </si>
  <si>
    <t xml:space="preserve">95</t>
  </si>
  <si>
    <t xml:space="preserve">11EU</t>
  </si>
  <si>
    <t xml:space="preserve">T20C</t>
  </si>
  <si>
    <t xml:space="preserve">34+</t>
  </si>
  <si>
    <t xml:space="preserve">AC-11</t>
  </si>
  <si>
    <t xml:space="preserve">כרית</t>
  </si>
  <si>
    <t xml:space="preserve">95B</t>
  </si>
  <si>
    <t xml:space="preserve">FC321-מלח</t>
  </si>
  <si>
    <t xml:space="preserve">3611</t>
  </si>
  <si>
    <t xml:space="preserve">806CB-BLACK</t>
  </si>
  <si>
    <t xml:space="preserve">AC45X</t>
  </si>
  <si>
    <t xml:space="preserve">078XXL</t>
  </si>
  <si>
    <t xml:space="preserve">372</t>
  </si>
  <si>
    <t xml:space="preserve">3444B</t>
  </si>
  <si>
    <t xml:space="preserve">SC422</t>
  </si>
  <si>
    <t xml:space="preserve">מדרסי</t>
  </si>
  <si>
    <t xml:space="preserve">422</t>
  </si>
  <si>
    <t xml:space="preserve">07AU</t>
  </si>
  <si>
    <t xml:space="preserve">AC43D</t>
  </si>
  <si>
    <t xml:space="preserve">390B</t>
  </si>
  <si>
    <t xml:space="preserve">806CB-PINK</t>
  </si>
  <si>
    <t xml:space="preserve">806CB-GREEN</t>
  </si>
  <si>
    <t xml:space="preserve">30</t>
  </si>
  <si>
    <t xml:space="preserve">365</t>
  </si>
  <si>
    <t xml:space="preserve">AC95</t>
  </si>
  <si>
    <t xml:space="preserve">3641-מיישר</t>
  </si>
  <si>
    <t xml:space="preserve">AC91</t>
  </si>
  <si>
    <t xml:space="preserve">807CB-BLתחבושת</t>
  </si>
  <si>
    <t xml:space="preserve">302SP</t>
  </si>
  <si>
    <t xml:space="preserve">SC25</t>
  </si>
  <si>
    <t xml:space="preserve">T28AC</t>
  </si>
  <si>
    <t xml:space="preserve">320</t>
  </si>
  <si>
    <t xml:space="preserve">49</t>
  </si>
  <si>
    <t xml:space="preserve">3623</t>
  </si>
  <si>
    <t xml:space="preserve">394G</t>
  </si>
  <si>
    <t xml:space="preserve">39-42</t>
  </si>
  <si>
    <t xml:space="preserve">077A</t>
  </si>
  <si>
    <t xml:space="preserve">078G-XLחגורת</t>
  </si>
  <si>
    <t xml:space="preserve">807B-Bתחבושת</t>
  </si>
  <si>
    <t xml:space="preserve">078G-XXLחגורת</t>
  </si>
  <si>
    <t xml:space="preserve">16</t>
  </si>
  <si>
    <t xml:space="preserve">85K</t>
  </si>
  <si>
    <t xml:space="preserve">422N</t>
  </si>
  <si>
    <t xml:space="preserve">43-47</t>
  </si>
  <si>
    <t xml:space="preserve">PD342-פומפיה</t>
  </si>
  <si>
    <t xml:space="preserve">303</t>
  </si>
  <si>
    <t xml:space="preserve">URI</t>
  </si>
  <si>
    <t xml:space="preserve">SC39</t>
  </si>
  <si>
    <t xml:space="preserve">079</t>
  </si>
  <si>
    <t xml:space="preserve">268</t>
  </si>
  <si>
    <t xml:space="preserve">3672</t>
  </si>
  <si>
    <t xml:space="preserve">48</t>
  </si>
  <si>
    <t xml:space="preserve">34+XL</t>
  </si>
  <si>
    <t xml:space="preserve">S078</t>
  </si>
  <si>
    <t xml:space="preserve">3677S-מד.לשחרור</t>
  </si>
  <si>
    <t xml:space="preserve">394W</t>
  </si>
  <si>
    <t xml:space="preserve">59R</t>
  </si>
  <si>
    <t xml:space="preserve">238L</t>
  </si>
  <si>
    <t xml:space="preserve">45EC</t>
  </si>
  <si>
    <t xml:space="preserve">T28A</t>
  </si>
  <si>
    <t xml:space="preserve">SH333</t>
  </si>
  <si>
    <t xml:space="preserve">807CB-Cתחבושת</t>
  </si>
  <si>
    <t xml:space="preserve">366S-'מדבק.לשחרור</t>
  </si>
  <si>
    <t xml:space="preserve">238XL</t>
  </si>
  <si>
    <t xml:space="preserve">301CM</t>
  </si>
  <si>
    <t xml:space="preserve">312</t>
  </si>
  <si>
    <t xml:space="preserve">374</t>
  </si>
  <si>
    <t xml:space="preserve">50</t>
  </si>
  <si>
    <t xml:space="preserve">807CB-P</t>
  </si>
  <si>
    <t xml:space="preserve">41</t>
  </si>
  <si>
    <t xml:space="preserve">364</t>
  </si>
  <si>
    <t xml:space="preserve">370</t>
  </si>
  <si>
    <t xml:space="preserve">91</t>
  </si>
  <si>
    <t xml:space="preserve">4022</t>
  </si>
  <si>
    <t xml:space="preserve">395B</t>
  </si>
  <si>
    <t xml:space="preserve">202</t>
  </si>
  <si>
    <t xml:space="preserve">T33</t>
  </si>
  <si>
    <t xml:space="preserve">שרוול</t>
  </si>
  <si>
    <t xml:space="preserve">T20</t>
  </si>
  <si>
    <t xml:space="preserve">70N</t>
  </si>
  <si>
    <t xml:space="preserve">91B</t>
  </si>
  <si>
    <t xml:space="preserve">238S</t>
  </si>
  <si>
    <t xml:space="preserve">LF360</t>
  </si>
  <si>
    <t xml:space="preserve">3622S</t>
  </si>
  <si>
    <t xml:space="preserve">776</t>
  </si>
  <si>
    <t xml:space="preserve">13</t>
  </si>
  <si>
    <t xml:space="preserve">T402</t>
  </si>
  <si>
    <t xml:space="preserve">LF378</t>
  </si>
  <si>
    <t xml:space="preserve">T39</t>
  </si>
  <si>
    <t xml:space="preserve">LF374</t>
  </si>
  <si>
    <t xml:space="preserve">11TO</t>
  </si>
  <si>
    <t xml:space="preserve">PD341-מקצוע</t>
  </si>
  <si>
    <t xml:space="preserve">PD346-10</t>
  </si>
  <si>
    <t xml:space="preserve">AC37</t>
  </si>
  <si>
    <t xml:space="preserve">FC341-טיפות</t>
  </si>
  <si>
    <t xml:space="preserve">078G-L</t>
  </si>
  <si>
    <t xml:space="preserve">14</t>
  </si>
  <si>
    <t xml:space="preserve">18</t>
  </si>
  <si>
    <t xml:space="preserve">T11C</t>
  </si>
  <si>
    <t xml:space="preserve">PD</t>
  </si>
  <si>
    <t xml:space="preserve">377</t>
  </si>
  <si>
    <t xml:space="preserve">371</t>
  </si>
  <si>
    <t xml:space="preserve">T40B</t>
  </si>
  <si>
    <t xml:space="preserve">SC35R</t>
  </si>
  <si>
    <t xml:space="preserve">322XL</t>
  </si>
  <si>
    <t xml:space="preserve">FC316</t>
  </si>
  <si>
    <t xml:space="preserve">10</t>
  </si>
  <si>
    <t xml:space="preserve">212M</t>
  </si>
  <si>
    <t xml:space="preserve">820</t>
  </si>
  <si>
    <t xml:space="preserve">211M</t>
  </si>
  <si>
    <t xml:space="preserve">370K</t>
  </si>
  <si>
    <t xml:space="preserve">212L</t>
  </si>
  <si>
    <t xml:space="preserve">804AT-B</t>
  </si>
  <si>
    <t xml:space="preserve">3666</t>
  </si>
  <si>
    <t xml:space="preserve">238M</t>
  </si>
  <si>
    <t xml:space="preserve">T</t>
  </si>
  <si>
    <t xml:space="preserve">211L</t>
  </si>
  <si>
    <t xml:space="preserve">211S</t>
  </si>
  <si>
    <t xml:space="preserve">239B</t>
  </si>
  <si>
    <t xml:space="preserve">T45X</t>
  </si>
  <si>
    <t xml:space="preserve">363</t>
  </si>
  <si>
    <t xml:space="preserve">213CTSL</t>
  </si>
  <si>
    <t xml:space="preserve">SC95</t>
  </si>
  <si>
    <t xml:space="preserve">LFריפוד</t>
  </si>
  <si>
    <t xml:space="preserve">15M</t>
  </si>
  <si>
    <t xml:space="preserve">212XL</t>
  </si>
  <si>
    <t xml:space="preserve">T28C</t>
  </si>
  <si>
    <t xml:space="preserve">G390.43-46</t>
  </si>
  <si>
    <t xml:space="preserve">59D</t>
  </si>
  <si>
    <t xml:space="preserve">27L</t>
  </si>
  <si>
    <t xml:space="preserve">11PS</t>
  </si>
  <si>
    <t xml:space="preserve">11STO</t>
  </si>
  <si>
    <t xml:space="preserve">34+XXL</t>
  </si>
  <si>
    <t xml:space="preserve">804AT-BL</t>
  </si>
  <si>
    <t xml:space="preserve">87</t>
  </si>
  <si>
    <t xml:space="preserve">212S</t>
  </si>
  <si>
    <t xml:space="preserve">T45</t>
  </si>
  <si>
    <t xml:space="preserve">06U</t>
  </si>
  <si>
    <t xml:space="preserve">805AT-Cאתלטיק</t>
  </si>
  <si>
    <t xml:space="preserve">M</t>
  </si>
  <si>
    <t xml:space="preserve">211XL</t>
  </si>
  <si>
    <t xml:space="preserve">85+</t>
  </si>
  <si>
    <t xml:space="preserve">922XXLמגן</t>
  </si>
  <si>
    <t xml:space="preserve">41X</t>
  </si>
  <si>
    <t xml:space="preserve">25</t>
  </si>
  <si>
    <t xml:space="preserve">333</t>
  </si>
  <si>
    <t xml:space="preserve">386</t>
  </si>
  <si>
    <t xml:space="preserve">322-S</t>
  </si>
  <si>
    <t xml:space="preserve">301JW</t>
  </si>
  <si>
    <t xml:space="preserve">213CTS</t>
  </si>
  <si>
    <t xml:space="preserve">213CTSR</t>
  </si>
  <si>
    <t xml:space="preserve">40-רצועת</t>
  </si>
  <si>
    <t xml:space="preserve">35-38</t>
  </si>
  <si>
    <t xml:space="preserve">07UC</t>
  </si>
  <si>
    <t xml:space="preserve">32</t>
  </si>
  <si>
    <t xml:space="preserve">T28</t>
  </si>
  <si>
    <t xml:space="preserve">267RB</t>
  </si>
  <si>
    <t xml:space="preserve">267RC</t>
  </si>
  <si>
    <t xml:space="preserve">267LC</t>
  </si>
  <si>
    <t xml:space="preserve">267LB</t>
  </si>
  <si>
    <t xml:space="preserve">19</t>
  </si>
  <si>
    <t xml:space="preserve">078C</t>
  </si>
  <si>
    <t xml:space="preserve">301CW</t>
  </si>
  <si>
    <t xml:space="preserve">L</t>
  </si>
  <si>
    <t xml:space="preserve">LF371</t>
  </si>
  <si>
    <t xml:space="preserve">28-XS</t>
  </si>
  <si>
    <t xml:space="preserve">59L</t>
  </si>
  <si>
    <t xml:space="preserve">XXL</t>
  </si>
  <si>
    <t xml:space="preserve">390W</t>
  </si>
  <si>
    <t xml:space="preserve">38</t>
  </si>
  <si>
    <t xml:space="preserve">3675</t>
  </si>
  <si>
    <t xml:space="preserve">FC330Z-תתדאו'אנטי</t>
  </si>
  <si>
    <t xml:space="preserve">74</t>
  </si>
  <si>
    <t xml:space="preserve">FC310-תתקרם</t>
  </si>
  <si>
    <t xml:space="preserve">78A</t>
  </si>
  <si>
    <t xml:space="preserve">SC35L</t>
  </si>
  <si>
    <t xml:space="preserve">LF377</t>
  </si>
  <si>
    <t xml:space="preserve">55</t>
  </si>
  <si>
    <t xml:space="preserve">סד</t>
  </si>
  <si>
    <t xml:space="preserve">06W</t>
  </si>
  <si>
    <t xml:space="preserve">388L</t>
  </si>
  <si>
    <t xml:space="preserve">922L.חבק</t>
  </si>
  <si>
    <t xml:space="preserve">922M.מחבק</t>
  </si>
  <si>
    <t xml:space="preserve">922XLחבק</t>
  </si>
  <si>
    <t xml:space="preserve">15W</t>
  </si>
  <si>
    <t xml:space="preserve">AC49</t>
  </si>
  <si>
    <t xml:space="preserve">322-M</t>
  </si>
  <si>
    <t xml:space="preserve">322-L</t>
  </si>
  <si>
    <t xml:space="preserve">322XXLמגן</t>
  </si>
  <si>
    <t xml:space="preserve">T45X-XXLמגן</t>
  </si>
  <si>
    <t xml:space="preserve">44-45</t>
  </si>
  <si>
    <t xml:space="preserve">XL</t>
  </si>
  <si>
    <t xml:space="preserve">46-47</t>
  </si>
  <si>
    <t xml:space="preserve">T90</t>
  </si>
  <si>
    <t xml:space="preserve">T27L</t>
  </si>
  <si>
    <t xml:space="preserve">11U</t>
  </si>
  <si>
    <t xml:space="preserve">T95</t>
  </si>
  <si>
    <t xml:space="preserve">ST3555</t>
  </si>
  <si>
    <t xml:space="preserve">ST3555L-XLגרב</t>
  </si>
  <si>
    <t xml:space="preserve">390G</t>
  </si>
  <si>
    <t xml:space="preserve">35-37</t>
  </si>
  <si>
    <t xml:space="preserve">AC40</t>
  </si>
  <si>
    <t xml:space="preserve">310Lמדרס</t>
  </si>
  <si>
    <t xml:space="preserve">388R</t>
  </si>
  <si>
    <t xml:space="preserve">239TR</t>
  </si>
  <si>
    <t xml:space="preserve">805AT-W</t>
  </si>
  <si>
    <t xml:space="preserve">239P</t>
  </si>
  <si>
    <t xml:space="preserve">801</t>
  </si>
  <si>
    <t xml:space="preserve">805AT-B</t>
  </si>
  <si>
    <t xml:space="preserve">80</t>
  </si>
  <si>
    <t xml:space="preserve">381</t>
  </si>
  <si>
    <t xml:space="preserve">FC331Z-</t>
  </si>
  <si>
    <t xml:space="preserve">605XL</t>
  </si>
  <si>
    <t xml:space="preserve">078G-M</t>
  </si>
  <si>
    <t xml:space="preserve">FC312-תתקרם</t>
  </si>
  <si>
    <t xml:space="preserve">FC311-תתקרם</t>
  </si>
  <si>
    <t xml:space="preserve">422E</t>
  </si>
  <si>
    <t xml:space="preserve">078G-S</t>
  </si>
  <si>
    <t xml:space="preserve">804AT-W</t>
  </si>
  <si>
    <t xml:space="preserve">805AT-BLאתלטיק</t>
  </si>
  <si>
    <t xml:space="preserve">804AT-C</t>
  </si>
  <si>
    <t xml:space="preserve">PD343-פומפיה</t>
  </si>
  <si>
    <t xml:space="preserve">LF370</t>
  </si>
  <si>
    <t xml:space="preserve">41-43</t>
  </si>
  <si>
    <t xml:space="preserve">63</t>
  </si>
  <si>
    <t xml:space="preserve">TOTAL</t>
  </si>
  <si>
    <t xml:space="preserve">Sales Comparison 2025 vs 2026 (Annualized) - Group: BE (by Product CODE)</t>
  </si>
  <si>
    <t xml:space="preserve">Source: PPlay1 of uriel (Reporter) product x customer pivot reports for 2025 and 2026. Grouping follows the daily report "Pplay1" sheet legend (customer # 4/7/1/8) plus 5 categories confirmed by the user on 19/09/2026 that had no exact-name match in the legend. Group "BE" = sum of raw customer column(s): אילת BE, הפרכל הפרפארם, שופרסל BE, זיכויים BE, BE, אילת זיכויי BE (column(s) K, O, R, P, J, L in 'Source 2025'/'Source 2026'). Each file has two data blocks: "נטו" (Net Amount, NIS) and "סהכ יחידות" (Total Units). Product CODE parsed as the first token of column B in the original file; size/color variants sharing the same base CODE are summed via SUMIFS. Rows below only include product codes with non-zero quantity or amount for this group in at least one of the two years (comparing 2025 actual to 2026 actual, before annualization). Full build (annualization + DROP/NEW + whole-number display) rolled out to all 5 groups on 19/09/2026 - see rows 4-6 for methodology.</t>
  </si>
  <si>
    <t xml:space="preserve">T35</t>
  </si>
  <si>
    <t xml:space="preserve">T91</t>
  </si>
  <si>
    <t xml:space="preserve">300M</t>
  </si>
  <si>
    <t xml:space="preserve">06</t>
  </si>
  <si>
    <t xml:space="preserve">L-XL</t>
  </si>
  <si>
    <t xml:space="preserve">FC314-תתטלק</t>
  </si>
  <si>
    <t xml:space="preserve">Sales Comparison 2025 vs 2026 (Annualized) - Group: סופר פארם (by Product CODE)</t>
  </si>
  <si>
    <t xml:space="preserve">Source: PPlay1 of uriel (Reporter) product x customer pivot reports for 2025 and 2026. Grouping follows the daily report "Pplay1" sheet legend (customer # 4/7/1/8) plus 5 categories confirmed by the user on 19/09/2026 that had no exact-name match in the legend. Group "סופר פארם" = sum of raw customer column(s): סופרפארם (column(s) Q in 'Source 2025'/'Source 2026'). Each file has two data blocks: "נטו" (Net Amount, NIS) and "סהכ יחידות" (Total Units). Product CODE parsed as the first token of column B in the original file; size/color variants sharing the same base CODE are summed via SUMIFS. Rows below only include product codes with non-zero quantity or amount for this group in at least one of the two years (comparing 2025 actual to 2026 actual, before annualization). Full build (annualization + DROP/NEW + whole-number display) rolled out to all 5 groups on 19/09/2026 - see rows 4-6 for methodology.</t>
  </si>
  <si>
    <t xml:space="preserve">S</t>
  </si>
  <si>
    <t xml:space="preserve">67</t>
  </si>
  <si>
    <t xml:space="preserve">309</t>
  </si>
  <si>
    <t xml:space="preserve">332CL'מייצב</t>
  </si>
  <si>
    <t xml:space="preserve">T43SKI</t>
  </si>
  <si>
    <t xml:space="preserve">S-M</t>
  </si>
  <si>
    <t xml:space="preserve">332CM'מייצב</t>
  </si>
  <si>
    <t xml:space="preserve">332CS'מייצב</t>
  </si>
  <si>
    <t xml:space="preserve">332CXLמייצב</t>
  </si>
  <si>
    <t xml:space="preserve">27</t>
  </si>
  <si>
    <t xml:space="preserve">60XS</t>
  </si>
  <si>
    <t xml:space="preserve">11UC</t>
  </si>
  <si>
    <t xml:space="preserve">T40</t>
  </si>
  <si>
    <t xml:space="preserve">3444</t>
  </si>
  <si>
    <t xml:space="preserve">12</t>
  </si>
  <si>
    <t xml:space="preserve">27R</t>
  </si>
  <si>
    <t xml:space="preserve">922S.חבק</t>
  </si>
  <si>
    <t xml:space="preserve">95+</t>
  </si>
  <si>
    <t xml:space="preserve">Sales Comparison 2025 vs 2026 (Annualized) - Group: מאוחדת (by Product CODE)</t>
  </si>
  <si>
    <t xml:space="preserve">Source: PPlay1 of uriel (Reporter) product x customer pivot reports for 2025 and 2026. Grouping follows the daily report "Pplay1" sheet legend (customer # 4/7/1/8) plus 5 categories confirmed by the user on 19/09/2026 that had no exact-name match in the legend. Group "מאוחדת" = sum of raw customer column(s): 0קופות חולים (column(s) T in 'Source 2025'/'Source 2026'). Each file has two data blocks: "נטו" (Net Amount, NIS) and "סהכ יחידות" (Total Units). Product CODE parsed as the first token of column B in the original file; size/color variants sharing the same base CODE are summed via SUMIFS. Rows below only include product codes with non-zero quantity or amount for this group in at least one of the two years (comparing 2025 actual to 2026 actual, before annualization). Full build (annualization + DROP/NEW + whole-number display) rolled out to all 5 groups on 19/09/2026 - see rows 4-6 for methodology.</t>
  </si>
  <si>
    <t xml:space="preserve">ST25</t>
  </si>
  <si>
    <t xml:space="preserve">S-XLST422</t>
  </si>
  <si>
    <t xml:space="preserve">ST91</t>
  </si>
  <si>
    <t xml:space="preserve">ST37</t>
  </si>
  <si>
    <t xml:space="preserve">ST433</t>
  </si>
  <si>
    <t xml:space="preserve">ST20</t>
  </si>
  <si>
    <t xml:space="preserve">ST28</t>
  </si>
  <si>
    <t xml:space="preserve">ST11</t>
  </si>
  <si>
    <t xml:space="preserve">ST49</t>
  </si>
  <si>
    <t xml:space="preserve">Sales Comparison 2025 vs 2026 (Annualized) - Group: 0פארמים (by Product CODE)</t>
  </si>
  <si>
    <t xml:space="preserve">Source: PPlay1 of uriel (Reporter) product x customer pivot reports for 2025 and 2026. Grouping follows the daily report "Pplay1" sheet legend (customer # 4/7/1/8) plus 5 categories confirmed by the user on 19/09/2026 that had no exact-name match in the legend. Group "0פארמים" = sum of raw customer column(s): 0פארמים (column(s) I in 'Source 2025'/'Source 2026'). Each file has two data blocks: "נטו" (Net Amount, NIS) and "סהכ יחידות" (Total Units). Product CODE parsed as the first token of column B in the original file; size/color variants sharing the same base CODE are summed via SUMIFS. Rows below only include product codes with non-zero quantity or amount for this group in at least one of the two years (comparing 2025 actual to 2026 actual, before annualization). Full build (annualization + DROP/NEW + whole-number display) rolled out to all 5 groups on 19/09/2026 - see rows 4-6 for methodology.</t>
  </si>
  <si>
    <t xml:space="preserve">נתוני מקור גולמיים - 2025 - כל 18 עמודות הלקוח (מתוך דוח PPlay1 of uriel, Reporter), ללא שינוי לשורות/ערכים עצמם</t>
  </si>
  <si>
    <t xml:space="preserve">Block</t>
  </si>
  <si>
    <t xml:space="preserve">CODE</t>
  </si>
  <si>
    <t xml:space="preserve">Item description (raw)</t>
  </si>
  <si>
    <t xml:space="preserve">Amount (NIS)</t>
  </si>
  <si>
    <t xml:space="preserve">S-L אצבעון מסיליקון יחידה</t>
  </si>
  <si>
    <t xml:space="preserve">XL אצבעון מסיליקון יחידה</t>
  </si>
  <si>
    <t xml:space="preserve">344-אבן טבעית להסרת עור קשה</t>
  </si>
  <si>
    <t xml:space="preserve">טייפ בז' 20מ""מ20</t>
  </si>
  <si>
    <t xml:space="preserve">אתלטיק טייפ שחור 20מ""מ</t>
  </si>
  <si>
    <t xml:space="preserve">טייפ כחול 20מ""מ</t>
  </si>
  <si>
    <t xml:space="preserve">אתלטיק טייפ לבן 20מ""מ</t>
  </si>
  <si>
    <t xml:space="preserve">בננה לתמיכת אצבעות ז.כרית</t>
  </si>
  <si>
    <t xml:space="preserve">בליסטר פלסטר</t>
  </si>
  <si>
    <t xml:space="preserve">גרב.כסף לסכרתים שחור35-38</t>
  </si>
  <si>
    <t xml:space="preserve">39-42.גרב.כסף לסכרתיים שח</t>
  </si>
  <si>
    <t xml:space="preserve">43-46.גרב.כסף לסכרתיים שח</t>
  </si>
  <si>
    <t xml:space="preserve">ג.כסף לסכרתיים אפור35-38</t>
  </si>
  <si>
    <t xml:space="preserve">39-42.גרב.כסף לסכרתיים אפ</t>
  </si>
  <si>
    <t xml:space="preserve">גרבי כסף לסכרת מידה</t>
  </si>
  <si>
    <t xml:space="preserve">גרב כסף לסכרתיים לבן35-38</t>
  </si>
  <si>
    <t xml:space="preserve">גרב.כסף לסכרתיים לבן39-42</t>
  </si>
  <si>
    <t xml:space="preserve">גרב.כסף לסכרתיים לבן43-46</t>
  </si>
  <si>
    <t xml:space="preserve">0   גרביים+סיליקון</t>
  </si>
  <si>
    <t xml:space="preserve">גרב.כסף לסכרתים שחור39-42</t>
  </si>
  <si>
    <t xml:space="preserve">גרב.כסף לסכרתים שחור43-46</t>
  </si>
  <si>
    <t xml:space="preserve">גרב.כסף לסכרתים אפור35-38</t>
  </si>
  <si>
    <t xml:space="preserve">גרב.כסף לסכרתים אפור39-42</t>
  </si>
  <si>
    <t xml:space="preserve">גרב.כסף לסכרתים אפור43-46</t>
  </si>
  <si>
    <t xml:space="preserve">35-38 גרב.כסף לסכרתים לבן</t>
  </si>
  <si>
    <t xml:space="preserve">39-42 גרב.כסף לסכרתים לבן</t>
  </si>
  <si>
    <t xml:space="preserve">43-46 גרב.כסף לסכרתים לבן</t>
  </si>
  <si>
    <t xml:space="preserve">בקט.לנעל120</t>
  </si>
  <si>
    <t xml:space="preserve">L  ""ח.גב קלה ""מיקדו</t>
  </si>
  <si>
    <t xml:space="preserve">M  ""ח.גב קלה ""מיקדו</t>
  </si>
  <si>
    <t xml:space="preserve">XL ""ח.גב קלה ""מיקדו</t>
  </si>
  <si>
    <t xml:space="preserve">XXL ""ח.גב קלה ""מיקדו</t>
  </si>
  <si>
    <t xml:space="preserve">S ח.גב סג. כפולה שחור+אדום</t>
  </si>
  <si>
    <t xml:space="preserve">L ח.גב סג.כפולה שחור+אדום</t>
  </si>
  <si>
    <t xml:space="preserve">M ח.גב סג.כפולה שחור+אדום</t>
  </si>
  <si>
    <t xml:space="preserve">XL ח.גב סג.כפולה שחור+אדום</t>
  </si>
  <si>
    <t xml:space="preserve">XXLח.גב סג.כפולה שחור+אדום</t>
  </si>
  <si>
    <t xml:space="preserve">S ח.גב ""איטלקית"" אורירית</t>
  </si>
  <si>
    <t xml:space="preserve">L ח.גב ""איטלקית"" אורירית</t>
  </si>
  <si>
    <t xml:space="preserve">M ח.גב ""איטלקית"" אורירית</t>
  </si>
  <si>
    <t xml:space="preserve">XL ח.גב ""איטלקית"" אורירית</t>
  </si>
  <si>
    <t xml:space="preserve">XXL.ח.גב ""איטלקית"" אוריר</t>
  </si>
  <si>
    <t xml:space="preserve">L-XLח.גב אמר+סגירה כפ.חום</t>
  </si>
  <si>
    <t xml:space="preserve">S ""חגורת גב ""לומבו</t>
  </si>
  <si>
    <t xml:space="preserve">L ""חגורת גב ""לומבו</t>
  </si>
  <si>
    <t xml:space="preserve">M ""חגורת גב ""לומבו</t>
  </si>
  <si>
    <t xml:space="preserve">XL ""חגורת גב ""לומבו</t>
  </si>
  <si>
    <t xml:space="preserve">XXL""חגורת גב ""לומבו</t>
  </si>
  <si>
    <t xml:space="preserve">S""חגורת בטן""אורירית</t>
  </si>
  <si>
    <t xml:space="preserve">L""חגורת בטן""אורירית</t>
  </si>
  <si>
    <t xml:space="preserve">M""חגורת בטן""אורירית</t>
  </si>
  <si>
    <t xml:space="preserve">XL""חגורת בטן""אורירית</t>
  </si>
  <si>
    <t xml:space="preserve">XXL""חגורת בטן""אורירית</t>
  </si>
  <si>
    <t xml:space="preserve">M ח.גב מגנטית+מוטות תמיכה</t>
  </si>
  <si>
    <t xml:space="preserve">L ח.הריון מכנס למניעת כאבים</t>
  </si>
  <si>
    <t xml:space="preserve">XL.ח.הריון מכנס למניעת כאב</t>
  </si>
  <si>
    <t xml:space="preserve">L חבק יד מתכוון עם צמדן</t>
  </si>
  <si>
    <t xml:space="preserve">M חבק יד מתכוון עם צמדן</t>
  </si>
  <si>
    <t xml:space="preserve">S חבק יד מתכוון עם צמדן</t>
  </si>
  <si>
    <t xml:space="preserve">XL חבק יד מתכוון עם צמדן</t>
  </si>
  <si>
    <t xml:space="preserve">XXL חבק יד מתכוון עם צמדן</t>
  </si>
  <si>
    <t xml:space="preserve">S  חבק יד ארוך</t>
  </si>
  <si>
    <t xml:space="preserve">L  חבק יד ארוך</t>
  </si>
  <si>
    <t xml:space="preserve">M  חבק יד ארוך</t>
  </si>
  <si>
    <t xml:space="preserve">XL חבק יד ארוך</t>
  </si>
  <si>
    <t xml:space="preserve">L חבק יד אגודלי</t>
  </si>
  <si>
    <t xml:space="preserve">M חבק יד אגודלי</t>
  </si>
  <si>
    <t xml:space="preserve">S חבק יד אגודלי</t>
  </si>
  <si>
    <t xml:space="preserve">XL חבק יד אגודלי</t>
  </si>
  <si>
    <t xml:space="preserve">.חבישת""הלוקס ולגוס""לאחר נית</t>
  </si>
  <si>
    <t xml:space="preserve">S חגורת שבר דו צדדי</t>
  </si>
  <si>
    <t xml:space="preserve">L חגורת שבר דו צדדי</t>
  </si>
  <si>
    <t xml:space="preserve">M חגורת שבר דו צדדי</t>
  </si>
  <si>
    <t xml:space="preserve">XL חגורת שבר דו צדדי</t>
  </si>
  <si>
    <t xml:space="preserve">L חגורת שבר לצד שמאל</t>
  </si>
  <si>
    <t xml:space="preserve">M חגורת שבר לצד שמאל</t>
  </si>
  <si>
    <t xml:space="preserve">S חגורת שבר לצד ימין</t>
  </si>
  <si>
    <t xml:space="preserve">L חגורת שבר לצד ימין</t>
  </si>
  <si>
    <t xml:space="preserve">M חגורת שבר לצד ימין</t>
  </si>
  <si>
    <t xml:space="preserve">XL חגורת שבר לצד ימין</t>
  </si>
  <si>
    <t xml:space="preserve">יד לטניס כרית סיליק</t>
  </si>
  <si>
    <t xml:space="preserve">יד לטניס כרית סילי</t>
  </si>
  <si>
    <t xml:space="preserve">חבק ""טניס אלבו רצועה</t>
  </si>
  <si>
    <t xml:space="preserve">S  חגורת גב פוג'יאמה</t>
  </si>
  <si>
    <t xml:space="preserve">L  חגורת גב פוג'יאמה</t>
  </si>
  <si>
    <t xml:space="preserve">M  חגורת גב פוג'יאמה</t>
  </si>
  <si>
    <t xml:space="preserve">XL חגורת גב פוג'יאמה</t>
  </si>
  <si>
    <t xml:space="preserve">XXL חגורת גב פוג'יאמה</t>
  </si>
  <si>
    <t xml:space="preserve">S-M חבק יד עם צמדן</t>
  </si>
  <si>
    <t xml:space="preserve">L-XL  חבק יד עם צמדן</t>
  </si>
  <si>
    <t xml:space="preserve">S-M חבק יד עם צמדןחום</t>
  </si>
  <si>
    <t xml:space="preserve">L-XL חבק יד עם צמדן חום</t>
  </si>
  <si>
    <t xml:space="preserve">יד אגודלי</t>
  </si>
  <si>
    <t xml:space="preserve">Lחגורת בטן וחזה אחרי ניתוח</t>
  </si>
  <si>
    <t xml:space="preserve">S-M חגורת הריון בכאב חזק</t>
  </si>
  <si>
    <t xml:space="preserve">S ח.בטן לאחר ניתוח</t>
  </si>
  <si>
    <t xml:space="preserve">M ח.בטן לאחר ניתוח</t>
  </si>
  <si>
    <t xml:space="preserve">L ח.בטן לאחר ניתוח</t>
  </si>
  <si>
    <t xml:space="preserve">XLח.בטן לאחר ניתוח</t>
  </si>
  <si>
    <t xml:space="preserve">L ח.בטן מותנית צר</t>
  </si>
  <si>
    <t xml:space="preserve">XL ח.בטן מותנית צר</t>
  </si>
  <si>
    <t xml:space="preserve">L חגורת צלעות לגבר</t>
  </si>
  <si>
    <t xml:space="preserve">XL חגורת צלעות לאשה</t>
  </si>
  <si>
    <t xml:space="preserve">M חגורת צלעות לגבר</t>
  </si>
  <si>
    <t xml:space="preserve">XXL חגורת בטןלאחר ניתוח</t>
  </si>
  <si>
    <t xml:space="preserve">S-M חגורת גב</t>
  </si>
  <si>
    <t xml:space="preserve">L-XLחגורת גב</t>
  </si>
  <si>
    <t xml:space="preserve">S חגורת גב לנשים</t>
  </si>
  <si>
    <t xml:space="preserve">S  ח.גב גבוהה</t>
  </si>
  <si>
    <t xml:space="preserve">M  ח.גב גבוהה</t>
  </si>
  <si>
    <t xml:space="preserve">Sחגורה למנותחי בטן</t>
  </si>
  <si>
    <t xml:space="preserve">Mחגורה למנותחי בטן</t>
  </si>
  <si>
    <t xml:space="preserve">Lחגורה למנותחי בטן</t>
  </si>
  <si>
    <t xml:space="preserve">XLחגורה למנותחי בטן</t>
  </si>
  <si>
    <t xml:space="preserve">XXLחגורה למנותחי בטן</t>
  </si>
  <si>
    <t xml:space="preserve">S חגורה למנותחי בית החזה</t>
  </si>
  <si>
    <t xml:space="preserve">M חגורה למנותחי בית החזה</t>
  </si>
  <si>
    <t xml:space="preserve">L חגורה למנותחי בית החזה</t>
  </si>
  <si>
    <t xml:space="preserve">XLחגורה למנותחי בית החזה</t>
  </si>
  <si>
    <t xml:space="preserve">XXLחגורה למנותחי בית החזה</t>
  </si>
  <si>
    <t xml:space="preserve">XS  חגורת בטן</t>
  </si>
  <si>
    <t xml:space="preserve">M חגורה לשבר טבור</t>
  </si>
  <si>
    <t xml:space="preserve">L חגורה לשבר טבור</t>
  </si>
  <si>
    <t xml:space="preserve">XL חגורה לשבר טבור</t>
  </si>
  <si>
    <t xml:space="preserve">XXL חגורה לשבר טבור</t>
  </si>
  <si>
    <t xml:space="preserve">חגורת גב +סגירה כפולה</t>
  </si>
  <si>
    <t xml:space="preserve">L חגורת גב +סגירה</t>
  </si>
  <si>
    <t xml:space="preserve">0 חגורה למנותחי בית חזה</t>
  </si>
  <si>
    <t xml:space="preserve">חגורת גב עם תמיכות</t>
  </si>
  <si>
    <t xml:space="preserve">חגורת בטן קלה</t>
  </si>
  <si>
    <t xml:space="preserve">חבק לשורש כף היד</t>
  </si>
  <si>
    <t xml:space="preserve">חבק טניס</t>
  </si>
  <si>
    <t xml:space="preserve">S-Lטבעת אלסטית מסיליקון</t>
  </si>
  <si>
    <t xml:space="preserve">X-Lטבעת אלסטית מסיליקון</t>
  </si>
  <si>
    <t xml:space="preserve">נגד פטרת הציפורן</t>
  </si>
  <si>
    <t xml:space="preserve">נוזלי</t>
  </si>
  <si>
    <t xml:space="preserve">טלק מעושר באלוורה</t>
  </si>
  <si>
    <t xml:space="preserve">מטטרזלי סיליקון362</t>
  </si>
  <si>
    <t xml:space="preserve">כרית ליישור אצבע פטיש</t>
  </si>
  <si>
    <t xml:space="preserve">כרית שינה חלומי</t>
  </si>
  <si>
    <t xml:space="preserve">0 כרית חום וקור</t>
  </si>
  <si>
    <t xml:space="preserve">S מגן קרסול מתכוון עם סקוטש</t>
  </si>
  <si>
    <t xml:space="preserve">L מגן קרסול מתכוון עם סקוטש</t>
  </si>
  <si>
    <t xml:space="preserve">M מגן קרסול מתכוון עם סקוטש</t>
  </si>
  <si>
    <t xml:space="preserve">XL מגן קרסול מתכוון סקוטש</t>
  </si>
  <si>
    <t xml:space="preserve">XXL מגן קרסול מתכוון+סקוטש</t>
  </si>
  <si>
    <t xml:space="preserve">תתמדרס.ציפוי עור גבר זו43</t>
  </si>
  <si>
    <t xml:space="preserve">תתמדרס/ציפוי עור גבר זו44</t>
  </si>
  <si>
    <t xml:space="preserve">37-38 מדרסי סיליק.לח.סכרת</t>
  </si>
  <si>
    <t xml:space="preserve">39-40 מדרסי סיליק.לח.סכרת</t>
  </si>
  <si>
    <t xml:space="preserve">41-42 מדרסי סיליק.לח.סכרת</t>
  </si>
  <si>
    <t xml:space="preserve">43-44 מדרסי סיליק.לח.סכרת</t>
  </si>
  <si>
    <t xml:space="preserve">45-46 מדרסי סיליק.לח.סכרת</t>
  </si>
  <si>
    <t xml:space="preserve">למניעת שפשוף 5 יח</t>
  </si>
  <si>
    <t xml:space="preserve">9 מ""ס להתאמהX5 מדבקה גדולה</t>
  </si>
  <si>
    <t xml:space="preserve">M מגן קרסול עקב סגור</t>
  </si>
  <si>
    <t xml:space="preserve">S מגן קרסול עקב סגור</t>
  </si>
  <si>
    <t xml:space="preserve">L מגן קרסול עקב סגור</t>
  </si>
  <si>
    <t xml:space="preserve">XL מגן קרסול עקב סגור</t>
  </si>
  <si>
    <t xml:space="preserve">XS מגן קרסול עקב סגור</t>
  </si>
  <si>
    <t xml:space="preserve">XXL מגן קרסול עקב סגור</t>
  </si>
  <si>
    <t xml:space="preserve">S מגן קרסול לבן</t>
  </si>
  <si>
    <t xml:space="preserve">L מגן קרסול לבן</t>
  </si>
  <si>
    <t xml:space="preserve">M מגן קרסול לבן</t>
  </si>
  <si>
    <t xml:space="preserve">XL מגן קרסול לבן</t>
  </si>
  <si>
    <t xml:space="preserve">XXL מגן קרסול לבן</t>
  </si>
  <si>
    <t xml:space="preserve">S מגן קרסול חום</t>
  </si>
  <si>
    <t xml:space="preserve">L מגן קרסול חום</t>
  </si>
  <si>
    <t xml:space="preserve">M מגן קרסול חום</t>
  </si>
  <si>
    <t xml:space="preserve">XL מגן קרסול חום</t>
  </si>
  <si>
    <t xml:space="preserve">מדרס מטטרזלי לנעלי עקב</t>
  </si>
  <si>
    <t xml:space="preserve">מדבקה לשחרור לחץ 2 יח</t>
  </si>
  <si>
    <t xml:space="preserve">Lמפר.אצבע סיליק. ליבל.זוג</t>
  </si>
  <si>
    <t xml:space="preserve">XLמפריד אצבע סיליקון ליבלת</t>
  </si>
  <si>
    <t xml:space="preserve">בוהן סיליקון קשיח</t>
  </si>
  <si>
    <t xml:space="preserve">לחץ מיבלת2יח</t>
  </si>
  <si>
    <t xml:space="preserve">לחץ א.הבוניון</t>
  </si>
  <si>
    <t xml:space="preserve">סד לילה לבוהן</t>
  </si>
  <si>
    <t xml:space="preserve">Sמ.ברך מוצלב+ספירלות בצדדים</t>
  </si>
  <si>
    <t xml:space="preserve">Lמ.ברך מוצלב+ספירלות בצדדים</t>
  </si>
  <si>
    <t xml:space="preserve">Mמ.ברך מוצלב+ספירלות בצדדים</t>
  </si>
  <si>
    <t xml:space="preserve">XL.מ.ברך מוצלב+ספירלות בצד</t>
  </si>
  <si>
    <t xml:space="preserve">L מגן ברך מוצלב+מוט</t>
  </si>
  <si>
    <t xml:space="preserve">S מגן ברך מוצלב+מוט</t>
  </si>
  <si>
    <t xml:space="preserve">XL מגן ברך מוצלב+מוט</t>
  </si>
  <si>
    <t xml:space="preserve">Lמ.ברך+כרית סיל.סביב לפיקה</t>
  </si>
  <si>
    <t xml:space="preserve">Mמ.ברך+כרית סיל.סביב לפיקה</t>
  </si>
  <si>
    <t xml:space="preserve">Sמ.ברך+כרית סיל.סביב לפיקה</t>
  </si>
  <si>
    <t xml:space="preserve">XLמ.ברך+כרית סיל.סביב לפיק</t>
  </si>
  <si>
    <t xml:space="preserve">XXLמ.ברך+כרית סיל.סב. פיקה</t>
  </si>
  <si>
    <t xml:space="preserve">L מגן ברך לבן</t>
  </si>
  <si>
    <t xml:space="preserve">M מגן ברך לבן</t>
  </si>
  <si>
    <t xml:space="preserve">S מגן ברך לבן</t>
  </si>
  <si>
    <t xml:space="preserve">XL מגן ברך לבן</t>
  </si>
  <si>
    <t xml:space="preserve">XXL מגן ברך לבן</t>
  </si>
  <si>
    <t xml:space="preserve">S מגן ברך חום</t>
  </si>
  <si>
    <t xml:space="preserve">L מגן ברך חום</t>
  </si>
  <si>
    <t xml:space="preserve">M מגן ברך חום</t>
  </si>
  <si>
    <t xml:space="preserve">XL מגן ברך חום</t>
  </si>
  <si>
    <t xml:space="preserve">Sמגן ברך ארוך לבן</t>
  </si>
  <si>
    <t xml:space="preserve">L        מגן ברך ארוך לבן</t>
  </si>
  <si>
    <t xml:space="preserve">Mמגן ברך ארוך לבן</t>
  </si>
  <si>
    <t xml:space="preserve">XLמגן ברך ארוך לבן</t>
  </si>
  <si>
    <t xml:space="preserve">XXLמגן ברך ארוך לבן</t>
  </si>
  <si>
    <t xml:space="preserve">S מגן ברך מחמם</t>
  </si>
  <si>
    <t xml:space="preserve">L מגן ברך מחמם</t>
  </si>
  <si>
    <t xml:space="preserve">M מגן ברך מחמם</t>
  </si>
  <si>
    <t xml:space="preserve">XL מגן ברך מחמם</t>
  </si>
  <si>
    <t xml:space="preserve">XXL מגן ברך מחמם</t>
  </si>
  <si>
    <t xml:space="preserve">S מגן ירך</t>
  </si>
  <si>
    <t xml:space="preserve">L מגן ירך</t>
  </si>
  <si>
    <t xml:space="preserve">M מגן ירך</t>
  </si>
  <si>
    <t xml:space="preserve">XL מגן ירך</t>
  </si>
  <si>
    <t xml:space="preserve">XXL מגן ירך</t>
  </si>
  <si>
    <t xml:space="preserve">L מתלה אשכים לאחר ניתוח</t>
  </si>
  <si>
    <t xml:space="preserve">M מתלה אשכים לאחר ניתוח</t>
  </si>
  <si>
    <t xml:space="preserve">XL מתלה אשכים לאחר ניתוח</t>
  </si>
  <si>
    <t xml:space="preserve">XXL מתלה אשכים לאחר ניתוח</t>
  </si>
  <si>
    <t xml:space="preserve">L מתלה אשכים לספורטאים</t>
  </si>
  <si>
    <t xml:space="preserve">M מתלה אשכים לספורטאים</t>
  </si>
  <si>
    <t xml:space="preserve">Sמיישר כתף יציב יישור גב צר</t>
  </si>
  <si>
    <t xml:space="preserve">Lמיישר כתף יציב יישור גב צר</t>
  </si>
  <si>
    <t xml:space="preserve">Mמיישר כתף יציב יישור גב צר</t>
  </si>
  <si>
    <t xml:space="preserve">XLמיישר כתף יציב יישור ג.צר</t>
  </si>
  <si>
    <t xml:space="preserve">XXL מיישר כתף יציב ישור צר</t>
  </si>
  <si>
    <t xml:space="preserve">Sמיישר כתף יציב יישור ג.רחב</t>
  </si>
  <si>
    <t xml:space="preserve">Lמיישר כתף יציב יישור רחב</t>
  </si>
  <si>
    <t xml:space="preserve">Mמיישר כתף יציב,יישור רחב</t>
  </si>
  <si>
    <t xml:space="preserve">XLמיישר כתף יציב יישור רחב</t>
  </si>
  <si>
    <t xml:space="preserve">L (מתלה ליד )כיס</t>
  </si>
  <si>
    <t xml:space="preserve">M (מתלה ליד )כיס</t>
  </si>
  <si>
    <t xml:space="preserve">S (מתלה ליד )כיס</t>
  </si>
  <si>
    <t xml:space="preserve">XL (מתלה ליד )כיס</t>
  </si>
  <si>
    <t xml:space="preserve">L מגן מרפק רגיל לבן</t>
  </si>
  <si>
    <t xml:space="preserve">M מגן מרפק רגיל לבן</t>
  </si>
  <si>
    <t xml:space="preserve">S מגן מרפק רגיל לבן</t>
  </si>
  <si>
    <t xml:space="preserve">XL מגן מרפק רגיל לבן</t>
  </si>
  <si>
    <t xml:space="preserve">XS מגן מרפק רגיל לבן</t>
  </si>
  <si>
    <t xml:space="preserve">XXL מגן מרפק רגיל לבן</t>
  </si>
  <si>
    <t xml:space="preserve">אמבט לכף הרגל</t>
  </si>
  <si>
    <t xml:space="preserve">להסרת עור קשה</t>
  </si>
  <si>
    <t xml:space="preserve">מדרס אורטופ.מתכוון35-36</t>
  </si>
  <si>
    <t xml:space="preserve">מדרס אורטופ.מתכוון37-38</t>
  </si>
  <si>
    <t xml:space="preserve">מדרס אורטופ.מתכוון39-40</t>
  </si>
  <si>
    <t xml:space="preserve">מדרס אורטופ.מתכוון41-42</t>
  </si>
  <si>
    <t xml:space="preserve">מדרס אורטופ.מתכוון43-44</t>
  </si>
  <si>
    <t xml:space="preserve">מדרס אורטופ.מתכוון45-46</t>
  </si>
  <si>
    <t xml:space="preserve">S מגן קרסול עקב סגור+רצוע</t>
  </si>
  <si>
    <t xml:space="preserve">M מגן קרסול עקב סגור+רצוע</t>
  </si>
  <si>
    <t xml:space="preserve">L מגן קרסול עקב סגור+רצוע</t>
  </si>
  <si>
    <t xml:space="preserve">מגן קרסול עקב סגור+רצוע</t>
  </si>
  <si>
    <t xml:space="preserve">S תתמתלה ליד רצועה</t>
  </si>
  <si>
    <t xml:space="preserve">M תתמתלה ליד רצועה</t>
  </si>
  <si>
    <t xml:space="preserve">S מיצב פיקה</t>
  </si>
  <si>
    <t xml:space="preserve">M מיצב פיקה</t>
  </si>
  <si>
    <t xml:space="preserve">L מיצב פיקה</t>
  </si>
  <si>
    <t xml:space="preserve">XL מיצב פיקה</t>
  </si>
  <si>
    <t xml:space="preserve">XXL מיצב פיקה</t>
  </si>
  <si>
    <t xml:space="preserve">Sמתלה ליד)כיס(+רצועת חיזוק</t>
  </si>
  <si>
    <t xml:space="preserve">Mמתלה ליד)כיס(+רצועת חיזוק</t>
  </si>
  <si>
    <t xml:space="preserve">Lמתלה ליד)כיס(+רצועת חיזוק</t>
  </si>
  <si>
    <t xml:space="preserve">XLמתלה ליד)כיס(רצועת חיזוק</t>
  </si>
  <si>
    <t xml:space="preserve">XL מגן שוק</t>
  </si>
  <si>
    <t xml:space="preserve">M מגן שוק</t>
  </si>
  <si>
    <t xml:space="preserve">S מגן שוק</t>
  </si>
  <si>
    <t xml:space="preserve">L מגן שוק</t>
  </si>
  <si>
    <t xml:space="preserve">S מגן ברך רגיל</t>
  </si>
  <si>
    <t xml:space="preserve">45 M מגן ברך רגיל</t>
  </si>
  <si>
    <t xml:space="preserve">45 L מגן ברך רגיל</t>
  </si>
  <si>
    <t xml:space="preserve">45XL מגן ברך רגיל</t>
  </si>
  <si>
    <t xml:space="preserve">S מקבע כתף ויד</t>
  </si>
  <si>
    <t xml:space="preserve">M מקבע כתף ויד</t>
  </si>
  <si>
    <t xml:space="preserve">L מקבע כתף ויד</t>
  </si>
  <si>
    <t xml:space="preserve">XL מקבע כתף ויד</t>
  </si>
  <si>
    <t xml:space="preserve">XXL מקבע כתף ויד</t>
  </si>
  <si>
    <t xml:space="preserve">S מגן מרפק רגיל</t>
  </si>
  <si>
    <t xml:space="preserve">L מגן מרפק רגיל</t>
  </si>
  <si>
    <t xml:space="preserve">Mמגן קרסול+ צמדן</t>
  </si>
  <si>
    <t xml:space="preserve">Lמגן קרסול+ צמדן</t>
  </si>
  <si>
    <t xml:space="preserve">XLמגן קרסול+ צמדן</t>
  </si>
  <si>
    <t xml:space="preserve">XL מגן ברך רגיל</t>
  </si>
  <si>
    <t xml:space="preserve">M מגן ברך רגיל</t>
  </si>
  <si>
    <t xml:space="preserve">L מגן ברך רגיל</t>
  </si>
  <si>
    <t xml:space="preserve">XXL מישר כתפיים רחב</t>
  </si>
  <si>
    <t xml:space="preserve">L-מדרס סיליקון לנעלי עקב</t>
  </si>
  <si>
    <t xml:space="preserve">M-מדרס סיליקון לנעלי עקב</t>
  </si>
  <si>
    <t xml:space="preserve">S-מדרס סיליקון לנעלי עקב</t>
  </si>
  <si>
    <t xml:space="preserve">L מגן ברך ארוך עם כרית</t>
  </si>
  <si>
    <t xml:space="preserve">S מגן ברך ארוך עם כרית</t>
  </si>
  <si>
    <t xml:space="preserve">XL מגן ברך ארוך עם כרית</t>
  </si>
  <si>
    <t xml:space="preserve">XXL מגן ברך ארוך עם כרית</t>
  </si>
  <si>
    <t xml:space="preserve">XXXL מגן ברך ארוך עם כרית</t>
  </si>
  <si>
    <t xml:space="preserve">מדרס מתכוונן47-48</t>
  </si>
  <si>
    <t xml:space="preserve">XXL מגן ברך רגיל</t>
  </si>
  <si>
    <t xml:space="preserve">מ.קרסול+עכב סגור+רצועות</t>
  </si>
  <si>
    <t xml:space="preserve">3667 מגן בוניון</t>
  </si>
  <si>
    <t xml:space="preserve">XS מגן קרסול לבן</t>
  </si>
  <si>
    <t xml:space="preserve">מגן קרסול נושם</t>
  </si>
  <si>
    <t xml:space="preserve">מגן ברך + צירים</t>
  </si>
  <si>
    <t xml:space="preserve">מגן ברך עם תמיכות</t>
  </si>
  <si>
    <t xml:space="preserve">מגן ירך</t>
  </si>
  <si>
    <t xml:space="preserve">מגן מרפק</t>
  </si>
  <si>
    <t xml:space="preserve">XS מגן ברך רגיל לבן</t>
  </si>
  <si>
    <t xml:space="preserve">מפריד הלוקס</t>
  </si>
  <si>
    <t xml:space="preserve">L מ.ברך אפור+כרית סיליקון</t>
  </si>
  <si>
    <t xml:space="preserve">M מ.ברך אפור+כרית סיליקון</t>
  </si>
  <si>
    <t xml:space="preserve">XLמ.ברך אפור+כרית סיליקון</t>
  </si>
  <si>
    <t xml:space="preserve">XXL.מ.ברך אפור+כרית סיליק</t>
  </si>
  <si>
    <t xml:space="preserve">לציפורן חודרנית</t>
  </si>
  <si>
    <t xml:space="preserve">L סד ליד דו צדדי לאחר שבר</t>
  </si>
  <si>
    <t xml:space="preserve">M סד ליד דו צדדי לאחר שבר</t>
  </si>
  <si>
    <t xml:space="preserve">S סד ליד דו צדדי לאחר שבר</t>
  </si>
  <si>
    <t xml:space="preserve">XL סד ליד דו צדדי לאחר שבר</t>
  </si>
  <si>
    <t xml:space="preserve">XXL סד ליד דו צדדי לאחר שבר</t>
  </si>
  <si>
    <t xml:space="preserve">L סד לאגודל לאחר שבר</t>
  </si>
  <si>
    <t xml:space="preserve">M סד לאגודל לאחר שבר</t>
  </si>
  <si>
    <t xml:space="preserve">S סד לאגודל לאחר שבר</t>
  </si>
  <si>
    <t xml:space="preserve">XL סד לאגודל לאחר שבר</t>
  </si>
  <si>
    <t xml:space="preserve">M  סד קרסול+מוטות אלומיניום</t>
  </si>
  <si>
    <t xml:space="preserve">סד לקרסול עם כריות אויר</t>
  </si>
  <si>
    <t xml:space="preserve">סד לאגודל לאחר שבר</t>
  </si>
  <si>
    <t xml:space="preserve">סד לש.כף יד שמאל</t>
  </si>
  <si>
    <t xml:space="preserve">סד לש.כף יד ימין</t>
  </si>
  <si>
    <t xml:space="preserve">סד לאגודל</t>
  </si>
  <si>
    <t xml:space="preserve">S סד לאגודל כפפה</t>
  </si>
  <si>
    <t xml:space="preserve">XL סד לאגודל כפפה</t>
  </si>
  <si>
    <t xml:space="preserve">L סד לאגודל כפפה</t>
  </si>
  <si>
    <t xml:space="preserve">M סד לאגודל כפפה</t>
  </si>
  <si>
    <t xml:space="preserve">S-M סד לאגודל</t>
  </si>
  <si>
    <t xml:space="preserve">L-XL סד לאגודל</t>
  </si>
  <si>
    <t xml:space="preserve">סכינים למקצוע</t>
  </si>
  <si>
    <t xml:space="preserve">M  סד לקרסול</t>
  </si>
  <si>
    <t xml:space="preserve">L  סד לקרסול</t>
  </si>
  <si>
    <t xml:space="preserve">M סד ליד שמאל</t>
  </si>
  <si>
    <t xml:space="preserve">L סד ליד שמאל</t>
  </si>
  <si>
    <t xml:space="preserve">XXL סד לקרסול</t>
  </si>
  <si>
    <t xml:space="preserve">XS סד ליד דו צדדי לאחר שבר</t>
  </si>
  <si>
    <t xml:space="preserve">L עקבים לדורבן-זוג כריות</t>
  </si>
  <si>
    <t xml:space="preserve">M עקבים לדורבן-זוג כריות</t>
  </si>
  <si>
    <t xml:space="preserve">S עקבים לדורבן-זוג כריות</t>
  </si>
  <si>
    <t xml:space="preserve">Lעקבים סיליקון כחול לדורבן</t>
  </si>
  <si>
    <t xml:space="preserve">Mעקבים סיליק.כחול לדורבן</t>
  </si>
  <si>
    <t xml:space="preserve">Sעקבים סיליק.כחול לדורבן</t>
  </si>
  <si>
    <t xml:space="preserve">S תתמוקפאעקב סיליקון+ קשת</t>
  </si>
  <si>
    <t xml:space="preserve">מאבן להסר.עור</t>
  </si>
  <si>
    <t xml:space="preserve">L צוארון ספוגי</t>
  </si>
  <si>
    <t xml:space="preserve">M צוארון ספוגי</t>
  </si>
  <si>
    <t xml:space="preserve">S צוארון ספוגי</t>
  </si>
  <si>
    <t xml:space="preserve">XL צוארון ספוגי</t>
  </si>
  <si>
    <t xml:space="preserve">XXL צוארון ספוגי</t>
  </si>
  <si>
    <t xml:space="preserve">M צוארון פלסטי מתכוון</t>
  </si>
  <si>
    <t xml:space="preserve">צוארון ספוגי</t>
  </si>
  <si>
    <t xml:space="preserve">דאודורנט לכף הרגל</t>
  </si>
  <si>
    <t xml:space="preserve">הגנה לכף הרגל</t>
  </si>
  <si>
    <t xml:space="preserve">מירוק גרגרי פילינג</t>
  </si>
  <si>
    <t xml:space="preserve">ציפורניים</t>
  </si>
  <si>
    <t xml:space="preserve">קרם רגליים שיקומי</t>
  </si>
  <si>
    <t xml:space="preserve">רפידת נוחות-זוג</t>
  </si>
  <si>
    <t xml:space="preserve">רפידת מגבת כותנה-זוג</t>
  </si>
  <si>
    <t xml:space="preserve">רפידת אנטי ריח -זוג</t>
  </si>
  <si>
    <t xml:space="preserve">רפידת בולמת זעזועים -זוג</t>
  </si>
  <si>
    <t xml:space="preserve">רפ.אורטופדית ספורט זוג35</t>
  </si>
  <si>
    <t xml:space="preserve">רפ.אורטופדית ספורט זוג36</t>
  </si>
  <si>
    <t xml:space="preserve">רפ.אורטופדית ספורט זוג37</t>
  </si>
  <si>
    <t xml:space="preserve">רפ.ורטופדית ספורט זוג38</t>
  </si>
  <si>
    <t xml:space="preserve">רפ.אורטופדית ספורט זוג39</t>
  </si>
  <si>
    <t xml:space="preserve">רפידה אורטופ.ספורט זוג41</t>
  </si>
  <si>
    <t xml:space="preserve">רפידה אורטופ.ספורט זוג42</t>
  </si>
  <si>
    <t xml:space="preserve">רפידה אורט.ספורט זוג43</t>
  </si>
  <si>
    <t xml:space="preserve">רפידה אורט.ספורט זוג44</t>
  </si>
  <si>
    <t xml:space="preserve">רפ.אורטופדית ספורט זוג45</t>
  </si>
  <si>
    <t xml:space="preserve">רפ.אורטופדית ספורט זוג46</t>
  </si>
  <si>
    <t xml:space="preserve">פיקה לברך</t>
  </si>
  <si>
    <t xml:space="preserve">רצועת ""פיקה""+כרית</t>
  </si>
  <si>
    <t xml:space="preserve">רצועת טניס אלבו עם פלסטיק</t>
  </si>
  <si>
    <t xml:space="preserve">L-XL רצועת טניס אלבו</t>
  </si>
  <si>
    <t xml:space="preserve">S-M רצועת טניס אלבו</t>
  </si>
  <si>
    <t xml:space="preserve">רצועת פיקה לברך</t>
  </si>
  <si>
    <t xml:space="preserve">ריפוד סיליקון לעקב אחורי</t>
  </si>
  <si>
    <t xml:space="preserve">ריפוד סיליקון לנעלי אצבע</t>
  </si>
  <si>
    <t xml:space="preserve">סיליק.לכרית כף הרגל373</t>
  </si>
  <si>
    <t xml:space="preserve">ריפוד סיליק.לעקב תחתון</t>
  </si>
  <si>
    <t xml:space="preserve">שרוול מסיליקון לאצבע</t>
  </si>
  <si>
    <t xml:space="preserve">שרוול מטטרזלי מסיליקון</t>
  </si>
  <si>
    <t xml:space="preserve">תחבושת אלסטית מקררת</t>
  </si>
  <si>
    <t xml:space="preserve">120 תתתרסיס מרענן לרגל</t>
  </si>
  <si>
    <t xml:space="preserve">S תומך זרוע וכתף</t>
  </si>
  <si>
    <t xml:space="preserve">M תומך זרוע וכתף</t>
  </si>
  <si>
    <t xml:space="preserve">L תומך זרוע וכתף</t>
  </si>
  <si>
    <t xml:space="preserve">XLתומך זרוע וכתף</t>
  </si>
  <si>
    <t xml:space="preserve">XXL תומך זרוע וכתף</t>
  </si>
  <si>
    <t xml:space="preserve">סד ליד דו צדדי</t>
  </si>
  <si>
    <t xml:space="preserve">35-38 גרבי טיסה מידה</t>
  </si>
  <si>
    <t xml:space="preserve">39-42 גרבי טיסה מידה</t>
  </si>
  <si>
    <t xml:space="preserve">43-46 גרבי טיסה מידה</t>
  </si>
  <si>
    <t xml:space="preserve">רצועה לפיקת הברך</t>
  </si>
  <si>
    <t xml:space="preserve">חגורת גב אפורה</t>
  </si>
  <si>
    <t xml:space="preserve">גב אפורה</t>
  </si>
  <si>
    <t xml:space="preserve">11 אפורUGחגורת בטן</t>
  </si>
  <si>
    <t xml:space="preserve">11 אפורUG חגורת בטן</t>
  </si>
  <si>
    <t xml:space="preserve">11אפורUGחגורת בטן</t>
  </si>
  <si>
    <t xml:space="preserve">מגן קרסול+כרית סילקון</t>
  </si>
  <si>
    <t xml:space="preserve">קרסול+כרית סילקון</t>
  </si>
  <si>
    <t xml:space="preserve">L-XL חגורת הריון</t>
  </si>
  <si>
    <t xml:space="preserve">S-M חגורת הריון</t>
  </si>
  <si>
    <t xml:space="preserve">XXL חגורת הריון</t>
  </si>
  <si>
    <t xml:space="preserve">L'חגורת גב+סגירה כפו בז</t>
  </si>
  <si>
    <t xml:space="preserve">M'חגורת גב+סגירה כפו בז</t>
  </si>
  <si>
    <t xml:space="preserve">S'חגורת גב+סגירה כפו בז</t>
  </si>
  <si>
    <t xml:space="preserve">XLתתחגורת גב+סגירה כפו בז</t>
  </si>
  <si>
    <t xml:space="preserve">XXL חגורת גב עם חיזוקים</t>
  </si>
  <si>
    <t xml:space="preserve">טייפ חבישה לספורט</t>
  </si>
  <si>
    <t xml:space="preserve">טייפ קינזיולוגי</t>
  </si>
  <si>
    <t xml:space="preserve">XL כרית סיליקון לעקב</t>
  </si>
  <si>
    <t xml:space="preserve">מדרס ג'ל לגבר</t>
  </si>
  <si>
    <t xml:space="preserve">M 'מגן מרפק בז</t>
  </si>
  <si>
    <t xml:space="preserve">L 'מגן מרפק בז</t>
  </si>
  <si>
    <t xml:space="preserve">S 'מגן מרפק בז</t>
  </si>
  <si>
    <t xml:space="preserve">XL'מגן מרפק בז</t>
  </si>
  <si>
    <t xml:space="preserve">XS'מגן מרפק בז</t>
  </si>
  <si>
    <t xml:space="preserve">XXL'מגן מרפק בז</t>
  </si>
  <si>
    <t xml:space="preserve">0 מ.בוניון+מפריד אצבע</t>
  </si>
  <si>
    <t xml:space="preserve">מגן זרת מסיליקון</t>
  </si>
  <si>
    <t xml:space="preserve">W מדרס לאישה</t>
  </si>
  <si>
    <t xml:space="preserve">S 'מגן ברך ארוך בז</t>
  </si>
  <si>
    <t xml:space="preserve">M 'מגן ברך ארוך בז</t>
  </si>
  <si>
    <t xml:space="preserve">L 'מגן ברך ארוך בז</t>
  </si>
  <si>
    <t xml:space="preserve">XL'מגן ברך ארוך בז</t>
  </si>
  <si>
    <t xml:space="preserve">XXL'מגן ברך ארוך בז</t>
  </si>
  <si>
    <t xml:space="preserve">XS מגן יד</t>
  </si>
  <si>
    <t xml:space="preserve">L מגן למפרק כתף</t>
  </si>
  <si>
    <t xml:space="preserve">סד ליישור אצבע</t>
  </si>
  <si>
    <t xml:space="preserve">סט פלסטרים נגד שפשופים</t>
  </si>
  <si>
    <t xml:space="preserve">0 רפידת לילדים אנטי ריח</t>
  </si>
  <si>
    <t xml:space="preserve">רפידת ספורט 376 מידה</t>
  </si>
  <si>
    <t xml:space="preserve">שרוול מגן לבוניון</t>
  </si>
  <si>
    <t xml:space="preserve">תחבושת א.נצמ</t>
  </si>
  <si>
    <t xml:space="preserve">S חבק יד</t>
  </si>
  <si>
    <t xml:space="preserve">M חבק יד</t>
  </si>
  <si>
    <t xml:space="preserve">L חבק יד</t>
  </si>
  <si>
    <t xml:space="preserve">XL חבק יד</t>
  </si>
  <si>
    <t xml:space="preserve">S מגן מרפק</t>
  </si>
  <si>
    <t xml:space="preserve">M מגן מרפק</t>
  </si>
  <si>
    <t xml:space="preserve">L מגן מרפק</t>
  </si>
  <si>
    <t xml:space="preserve">XLמגן מרפק</t>
  </si>
  <si>
    <t xml:space="preserve">XXLמגן שוק</t>
  </si>
  <si>
    <t xml:space="preserve">S מגן קרסול שמאל</t>
  </si>
  <si>
    <t xml:space="preserve">M מגן קרסול שמאל</t>
  </si>
  <si>
    <t xml:space="preserve">L מגן קרסול שמאל</t>
  </si>
  <si>
    <t xml:space="preserve">XL מגן קרסול שמאל</t>
  </si>
  <si>
    <t xml:space="preserve">S מגן קרסול ימין</t>
  </si>
  <si>
    <t xml:space="preserve">M מגן קרסול ימין</t>
  </si>
  <si>
    <t xml:space="preserve">L מגן קרסול ימין</t>
  </si>
  <si>
    <t xml:space="preserve">XLמגן קרסול ימין</t>
  </si>
  <si>
    <t xml:space="preserve">קרסול עם שרוכים בז</t>
  </si>
  <si>
    <t xml:space="preserve">S מגן ברך</t>
  </si>
  <si>
    <t xml:space="preserve">M מגן ברך</t>
  </si>
  <si>
    <t xml:space="preserve">L מגן ברך</t>
  </si>
  <si>
    <t xml:space="preserve">XL מגן ברך</t>
  </si>
  <si>
    <t xml:space="preserve">XXLמגן ברך</t>
  </si>
  <si>
    <t xml:space="preserve">XXL מגן למפרק כתף</t>
  </si>
  <si>
    <t xml:space="preserve">L-XL 'סד יד שמאל בז</t>
  </si>
  <si>
    <t xml:space="preserve">S-M'סד יד שמאל בז</t>
  </si>
  <si>
    <t xml:space="preserve">L-XL 'סד יד ימין בז</t>
  </si>
  <si>
    <t xml:space="preserve">S-M 'סד יד ימין בז</t>
  </si>
  <si>
    <t xml:space="preserve">L-XLסד יד שמאל שחור</t>
  </si>
  <si>
    <t xml:space="preserve">S-M סד יד שמאל שחור</t>
  </si>
  <si>
    <t xml:space="preserve">L-XLסד יד ימין שחור</t>
  </si>
  <si>
    <t xml:space="preserve">S-M סד יד ימין שחור</t>
  </si>
  <si>
    <t xml:space="preserve">CARE  תחבושת אלסטית 5 ס""מ</t>
  </si>
  <si>
    <t xml:space="preserve">CARE KT BLACK</t>
  </si>
  <si>
    <t xml:space="preserve">CARE KT BLUE</t>
  </si>
  <si>
    <t xml:space="preserve">כפפות לחץ</t>
  </si>
  <si>
    <t xml:space="preserve">כפפות אגודל לחץ</t>
  </si>
  <si>
    <t xml:space="preserve">M מדרס ג'ל ספורט לגבר</t>
  </si>
  <si>
    <t xml:space="preserve">Wמדרס ג'ל ספורט לאישה</t>
  </si>
  <si>
    <t xml:space="preserve">מיישר בוניון-האלוקס ולגוס</t>
  </si>
  <si>
    <t xml:space="preserve">מישר כתפיים אקטיב</t>
  </si>
  <si>
    <t xml:space="preserve">מתלה ליד לילדים</t>
  </si>
  <si>
    <t xml:space="preserve">XXL  מיישר כתפיים אקטיב</t>
  </si>
  <si>
    <t xml:space="preserve">מסכה אלה</t>
  </si>
  <si>
    <t xml:space="preserve">L מגן קרסול שחור</t>
  </si>
  <si>
    <t xml:space="preserve">XL מגן קרסול שחור</t>
  </si>
  <si>
    <t xml:space="preserve">M מגן קרסול שחור</t>
  </si>
  <si>
    <t xml:space="preserve">S מגן קרסול שחור</t>
  </si>
  <si>
    <t xml:space="preserve">XXL מגן קרסול שחור</t>
  </si>
  <si>
    <t xml:space="preserve">L מגן ברך שחור</t>
  </si>
  <si>
    <t xml:space="preserve">XL מגן ברך שחור</t>
  </si>
  <si>
    <t xml:space="preserve">M מגן ברך שחור</t>
  </si>
  <si>
    <t xml:space="preserve">S מגן ברך שחור</t>
  </si>
  <si>
    <t xml:space="preserve">XXLמגן ברך שחור</t>
  </si>
  <si>
    <t xml:space="preserve">L מגן מרפק שחור</t>
  </si>
  <si>
    <t xml:space="preserve">M מגן מרפק שחור</t>
  </si>
  <si>
    <t xml:space="preserve">S מגן מרפק שחור</t>
  </si>
  <si>
    <t xml:space="preserve">XL מגן מרפק שחור</t>
  </si>
  <si>
    <t xml:space="preserve">XXLמגן מרפק שחור</t>
  </si>
  <si>
    <t xml:space="preserve">קיבוע לאצבע הדק</t>
  </si>
  <si>
    <t xml:space="preserve">HV רצועה אלסטית</t>
  </si>
  <si>
    <t xml:space="preserve">36-40 'רפידת ג'ל בז</t>
  </si>
  <si>
    <t xml:space="preserve">41-45 'רפידת ג'ל בז</t>
  </si>
  <si>
    <t xml:space="preserve">רפידת ג'ל כחול36-40</t>
  </si>
  <si>
    <t xml:space="preserve">לגבס קצר יד</t>
  </si>
  <si>
    <t xml:space="preserve">לגבס ארוך יד</t>
  </si>
  <si>
    <t xml:space="preserve">לגבס קצר רגל</t>
  </si>
  <si>
    <t xml:space="preserve">לגבס ארוך רגל</t>
  </si>
  <si>
    <t xml:space="preserve">נצמדת בז' 20 מ""מ</t>
  </si>
  <si>
    <t xml:space="preserve">נצמדת שחור 20 מ""מ</t>
  </si>
  <si>
    <t xml:space="preserve">נצמדת כחול20מ""מ</t>
  </si>
  <si>
    <t xml:space="preserve">תחבושת נצמדת ורוד 20ממ</t>
  </si>
  <si>
    <t xml:space="preserve">S-Mגרב לילה לטיפ.בדורבן</t>
  </si>
  <si>
    <t xml:space="preserve">M חגורה אחרי ניתוח</t>
  </si>
  <si>
    <t xml:space="preserve">3/4לכאבי דורבן וספורט</t>
  </si>
  <si>
    <t xml:space="preserve">L מתלה רשת לזרוע שחור</t>
  </si>
  <si>
    <t xml:space="preserve">M מתלה רשת לזרוע שחור</t>
  </si>
  <si>
    <t xml:space="preserve">XL מתלה רשת לזרוע שחור</t>
  </si>
  <si>
    <t xml:space="preserve">S מתלה רשת לזרוע שחור</t>
  </si>
  <si>
    <t xml:space="preserve">S-M STRAP4U</t>
  </si>
  <si>
    <t xml:space="preserve">L-XL STRAP4U</t>
  </si>
  <si>
    <t xml:space="preserve">דאודורנט אנטיבק.נעל333</t>
  </si>
  <si>
    <t xml:space="preserve">גרבי ג'ל לריכוך עור העקב</t>
  </si>
  <si>
    <t xml:space="preserve">חבק יד אגודלי</t>
  </si>
  <si>
    <t xml:space="preserve">חבק טניס אלבו</t>
  </si>
  <si>
    <t xml:space="preserve">אפיק ג'ל מולט.ספורט35-38</t>
  </si>
  <si>
    <t xml:space="preserve">אפיק ג'ל מולטי ספור39-42</t>
  </si>
  <si>
    <t xml:space="preserve">אפיק ג'ל מולט.ספורט43-47</t>
  </si>
  <si>
    <t xml:space="preserve">מדרסי אפיק ג'ל נוחות</t>
  </si>
  <si>
    <t xml:space="preserve">מדרסי אפיק ג'ל עבודה</t>
  </si>
  <si>
    <t xml:space="preserve">XXL מגן קרסול חום</t>
  </si>
  <si>
    <t xml:space="preserve">L סד לילה שחור לבוהן שמאל</t>
  </si>
  <si>
    <t xml:space="preserve">L סד לילה שחור לבוהן ימין</t>
  </si>
  <si>
    <t xml:space="preserve">תרסיס דאודורנט לכף הרגל</t>
  </si>
  <si>
    <t xml:space="preserve">1 תומך ברך גנושילד</t>
  </si>
  <si>
    <t xml:space="preserve">2 תומך ברך גנושילד</t>
  </si>
  <si>
    <t xml:space="preserve">3 תומך ברך גנושילד</t>
  </si>
  <si>
    <t xml:space="preserve">4 תומך ברך גנושילד</t>
  </si>
  <si>
    <t xml:space="preserve">5 תומך ברך גנושילד</t>
  </si>
  <si>
    <t xml:space="preserve">Quantity (units)</t>
  </si>
  <si>
    <t xml:space="preserve">L מגן מרפק+רצועה לטניס</t>
  </si>
  <si>
    <t xml:space="preserve">נתוני מקור גולמיים - 2026 - כל 18 עמודות הלקוח (מתוך דוח PPlay1 of uriel, Reporter), ללא שינוי לשורות/ערכים עצמם</t>
  </si>
  <si>
    <t xml:space="preserve">מגן ברך+כרית ג'ל</t>
  </si>
  <si>
    <t xml:space="preserve">XL ח.גב מגנטית+מוטות תמיכה</t>
  </si>
  <si>
    <t xml:space="preserve">S ח.הריון מכנס למניעת כאבים</t>
  </si>
  <si>
    <t xml:space="preserve">M ח.הריון מכנס למניעת כאבים</t>
  </si>
  <si>
    <t xml:space="preserve">S חגורת שבר לצד שמאל</t>
  </si>
  <si>
    <t xml:space="preserve">XLחגורת שבר לצד שמאל</t>
  </si>
  <si>
    <t xml:space="preserve">L-XLחגורת הריון בכאב.חזק</t>
  </si>
  <si>
    <t xml:space="preserve">M חגורת צלעות לאשה</t>
  </si>
  <si>
    <t xml:space="preserve">L חגורת צלעות לאשה</t>
  </si>
  <si>
    <t xml:space="preserve">M מגן ברך מוצלב+מוט</t>
  </si>
  <si>
    <t xml:space="preserve">S מתלה אשכים לאחר ניתוח</t>
  </si>
  <si>
    <t xml:space="preserve">XL מתלה אשכים לספורטאים</t>
  </si>
  <si>
    <t xml:space="preserve">L-XL מיצב כתפיים</t>
  </si>
  <si>
    <t xml:space="preserve">L מגן ברך לסקי</t>
  </si>
  <si>
    <t xml:space="preserve">ברך רגיל</t>
  </si>
  <si>
    <t xml:space="preserve">XL סד קרסול+מוטות אלומיניום</t>
  </si>
  <si>
    <t xml:space="preserve">XLסד ליד שמאל</t>
  </si>
  <si>
    <t xml:space="preserve">R-M סד ליד ימין</t>
  </si>
  <si>
    <t xml:space="preserve">רפ.אורטופדית ספורט זוג40</t>
  </si>
  <si>
    <t xml:space="preserve">מרפק+כרית סילקון</t>
  </si>
  <si>
    <t xml:space="preserve">S'תתחגורת בטן עממית בז</t>
  </si>
  <si>
    <t xml:space="preserve">099 חגורת גב שרוכים</t>
  </si>
  <si>
    <t xml:space="preserve">S מדרס ג'ל לנעלי עקב</t>
  </si>
  <si>
    <t xml:space="preserve">M מדרס ג'ל לנעלי עקב</t>
  </si>
  <si>
    <t xml:space="preserve">L מדרס ג'ל לנעלי עקב</t>
  </si>
  <si>
    <t xml:space="preserve">לילה לטיפ.בדורבן</t>
  </si>
  <si>
    <t xml:space="preserve">S חגורה אחרי ניתוח</t>
  </si>
  <si>
    <t xml:space="preserve">L חגורה אחרי ניתוח</t>
  </si>
  <si>
    <t xml:space="preserve">XL  חגורה אחרי ניתוח</t>
  </si>
  <si>
    <t xml:space="preserve">XXL חגורה אחרי ניתוח</t>
  </si>
  <si>
    <t xml:space="preserve">טיסה אנטי בקטרי35-38</t>
  </si>
  <si>
    <t xml:space="preserve">טיסה אנטי בקטרי39-42</t>
  </si>
  <si>
    <t xml:space="preserve">טיסה אנטי בקטרי43-46</t>
  </si>
  <si>
    <t xml:space="preserve">גרבי קיץ אנטי בקטריא39-42</t>
  </si>
  <si>
    <t xml:space="preserve">גרבי קיץ אנטי בקטריא43-46</t>
  </si>
  <si>
    <t xml:space="preserve">חבק שורש לכף היד</t>
  </si>
  <si>
    <t xml:space="preserve">חבק יד</t>
  </si>
  <si>
    <t xml:space="preserve">חבק לקרסול</t>
  </si>
  <si>
    <t xml:space="preserve">חגורת בטן</t>
  </si>
  <si>
    <t xml:space="preserve">XS חגורת פאבליק</t>
  </si>
  <si>
    <t xml:space="preserve">S חגורת פאבליק</t>
  </si>
  <si>
    <t xml:space="preserve">M חגורת פאבליק</t>
  </si>
  <si>
    <t xml:space="preserve">L חגורת פאבליק</t>
  </si>
  <si>
    <t xml:space="preserve">ONE SIZE חבק יד</t>
  </si>
  <si>
    <t xml:space="preserve">L שמאל CTS כפפות</t>
  </si>
  <si>
    <t xml:space="preserve">M שמאל CTS כפפות</t>
  </si>
  <si>
    <t xml:space="preserve">S שמאל CTS כפפות</t>
  </si>
  <si>
    <t xml:space="preserve">L ימין CTS כפפות</t>
  </si>
  <si>
    <t xml:space="preserve">M ימין CTS כפפות</t>
  </si>
  <si>
    <t xml:space="preserve">S ימין CTS כפפות</t>
  </si>
  <si>
    <t xml:space="preserve">מגן מרפק לטניס</t>
  </si>
  <si>
    <t xml:space="preserve">H מגן ברך עם ציר</t>
  </si>
  <si>
    <t xml:space="preserve">מקבע קרסול</t>
  </si>
  <si>
    <t xml:space="preserve">סד אגודלי עם מוט תמיכה</t>
  </si>
  <si>
    <t xml:space="preserve">רצועה לפיקה</t>
  </si>
  <si>
    <t xml:space="preserve">6 תומך ברך גנושילד</t>
  </si>
  <si>
    <t xml:space="preserve">M מגן מרפק+רצועה לטניס</t>
  </si>
  <si>
    <t xml:space="preserve">XLסד ליד ימין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</si>
</sst>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"/>
    <numFmt numFmtId="166" formatCode="#,##0"/>
    <numFmt numFmtId="167" formatCode="0%"/>
    <numFmt numFmtId="168" formatCode="0.0"/>
    <numFmt numFmtId="169" formatCode="0.000000"/>
    <numFmt numFmtId="170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b val="true"/>
      <sz val="9"/>
      <name val="Arial"/>
      <family val="0"/>
      <charset val="1"/>
    </font>
    <font>
      <b val="true"/>
      <sz val="8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E1F2"/>
      </patternFill>
    </fill>
    <fill>
      <patternFill patternType="solid">
        <fgColor rgb="FFED7D31"/>
        <bgColor rgb="FFFF8080"/>
      </patternFill>
    </fill>
    <fill>
      <patternFill patternType="solid">
        <fgColor rgb="FFC6E0B4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8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6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D9E1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4" min="3" style="1" width="14"/>
    <col collapsed="false" customWidth="true" hidden="false" outlineLevel="0" max="8" min="5" style="1" width="15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1" min="11" style="1" width="14"/>
    <col collapsed="false" customWidth="true" hidden="false" outlineLevel="0" max="12" min="12" style="1" width="16"/>
    <col collapsed="false" customWidth="true" hidden="false" outlineLevel="0" max="14" min="13" style="1" width="13"/>
    <col collapsed="false" customWidth="true" hidden="false" outlineLevel="0" max="15" min="15" style="1" width="15"/>
    <col collapsed="false" customWidth="true" hidden="false" outlineLevel="0" max="17" min="16" style="1" width="14"/>
    <col collapsed="false" customWidth="true" hidden="false" outlineLevel="0" max="18" min="18" style="1" width="13"/>
    <col collapsed="false" customWidth="true" hidden="false" outlineLevel="0" max="19" min="19" style="0" width="18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4" t="n">
        <v>46284</v>
      </c>
    </row>
    <row r="3" customFormat="false" ht="54.75" hidden="false" customHeight="true" outlineLevel="0" collapsed="false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5" customFormat="false" ht="31.5" hidden="false" customHeight="true" outlineLevel="0" collapsed="false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</row>
    <row r="6" customFormat="false" ht="15" hidden="false" customHeight="true" outlineLevel="0" collapsed="false">
      <c r="A6" s="7" t="s">
        <v>23</v>
      </c>
      <c r="B6" s="8" t="s">
        <v>23</v>
      </c>
      <c r="C6" s="8" t="n">
        <v>9</v>
      </c>
      <c r="D6" s="9" t="n">
        <f aca="false">COUNTA('בתי מרקחת'!$A$9:$A$291)</f>
        <v>283</v>
      </c>
      <c r="E6" s="9" t="n">
        <f aca="false">SUMPRODUCT(--(('בתי מרקחת'!$C$9:$C$291&lt;&gt;0)+('בתי מרקחת'!$H$9:$H$291&lt;&gt;0)&gt;0))</f>
        <v>263</v>
      </c>
      <c r="F6" s="9" t="n">
        <f aca="false">SUMPRODUCT(--(('בתי מרקחת'!$D$9:$D$291&lt;&gt;0)+('בתי מרקחת'!$I$9:$I$291&lt;&gt;0)&gt;0))</f>
        <v>240</v>
      </c>
      <c r="G6" s="9" t="n">
        <f aca="false">'בתי מרקחת'!B5</f>
        <v>43</v>
      </c>
      <c r="H6" s="9" t="n">
        <f aca="false">'בתי מרקחת'!D5</f>
        <v>20</v>
      </c>
      <c r="I6" s="9" t="n">
        <f aca="false">'בתי מרקחת'!B6</f>
        <v>176</v>
      </c>
      <c r="J6" s="9" t="n">
        <f aca="false">'בתי מרקחת'!D6</f>
        <v>13452.9</v>
      </c>
      <c r="K6" s="9" t="n">
        <f aca="false">'בתי מרקחת'!F6</f>
        <v>570</v>
      </c>
      <c r="L6" s="9" t="n">
        <f aca="false">'בתי מרקחת'!H6</f>
        <v>35416.5</v>
      </c>
      <c r="M6" s="9" t="n">
        <f aca="false">'בתי מרקחת'!C293</f>
        <v>54177</v>
      </c>
      <c r="N6" s="9" t="n">
        <f aca="false">'בתי מרקחת'!D293</f>
        <v>33487</v>
      </c>
      <c r="O6" s="10" t="n">
        <f aca="false">'בתי מרקחת'!E293</f>
        <v>42299.3684210526</v>
      </c>
      <c r="P6" s="11" t="n">
        <f aca="false">IF('בתי מרקחת'!C293=0,"N/A",('בתי מרקחת'!E293-'בתי מרקחת'!C293)/'בתי מרקחת'!C293)</f>
        <v>-0.219237528452062</v>
      </c>
      <c r="Q6" s="9" t="n">
        <f aca="false">'בתי מרקחת'!H293</f>
        <v>1967633.7</v>
      </c>
      <c r="R6" s="9" t="n">
        <f aca="false">'בתי מרקחת'!I293</f>
        <v>1293807.8</v>
      </c>
      <c r="S6" s="10" t="n">
        <f aca="false">'בתי מרקחת'!J293</f>
        <v>1634283.53684211</v>
      </c>
      <c r="T6" s="11" t="n">
        <f aca="false">IF('בתי מרקחת'!H293=0,"N/A",('בתי מרקחת'!J293-'בתי מרקחת'!H293)/'בתי מרקחת'!H293)</f>
        <v>-0.169416778721514</v>
      </c>
    </row>
    <row r="7" customFormat="false" ht="15" hidden="false" customHeight="true" outlineLevel="0" collapsed="false">
      <c r="A7" s="7" t="s">
        <v>24</v>
      </c>
      <c r="B7" s="8" t="s">
        <v>24</v>
      </c>
      <c r="C7" s="8" t="n">
        <v>6</v>
      </c>
      <c r="D7" s="9" t="n">
        <f aca="false">COUNTA('BE'!$A$9:$A$171)</f>
        <v>163</v>
      </c>
      <c r="E7" s="9" t="n">
        <f aca="false">SUMPRODUCT(--(('BE'!$C$9:$C$171&lt;&gt;0)+('BE'!$H$9:$H$171&lt;&gt;0)&gt;0))</f>
        <v>155</v>
      </c>
      <c r="F7" s="9" t="n">
        <f aca="false">SUMPRODUCT(--(('BE'!$D$9:$D$171&lt;&gt;0)+('BE'!$I$9:$I$171&lt;&gt;0)&gt;0))</f>
        <v>145</v>
      </c>
      <c r="G7" s="9" t="n">
        <f aca="false">'BE'!B5</f>
        <v>18</v>
      </c>
      <c r="H7" s="9" t="n">
        <f aca="false">'BE'!D5</f>
        <v>8</v>
      </c>
      <c r="I7" s="9" t="n">
        <f aca="false">'BE'!B6</f>
        <v>43</v>
      </c>
      <c r="J7" s="9" t="n">
        <f aca="false">'BE'!D6</f>
        <v>2818.5</v>
      </c>
      <c r="K7" s="9" t="n">
        <f aca="false">'BE'!F6</f>
        <v>8</v>
      </c>
      <c r="L7" s="9" t="n">
        <f aca="false">'BE'!H6</f>
        <v>918.4</v>
      </c>
      <c r="M7" s="9" t="n">
        <f aca="false">'BE'!C173</f>
        <v>27268</v>
      </c>
      <c r="N7" s="9" t="n">
        <f aca="false">'BE'!D173</f>
        <v>19109</v>
      </c>
      <c r="O7" s="10" t="n">
        <f aca="false">'BE'!E173</f>
        <v>24137.6842105263</v>
      </c>
      <c r="P7" s="11" t="n">
        <f aca="false">IF('BE'!C173=0,"N/A",('BE'!E173-'BE'!C173)/'BE'!C173)</f>
        <v>-0.114798143958988</v>
      </c>
      <c r="Q7" s="9" t="n">
        <f aca="false">'BE'!H173</f>
        <v>889501.1</v>
      </c>
      <c r="R7" s="9" t="n">
        <f aca="false">'BE'!I173</f>
        <v>676265.8</v>
      </c>
      <c r="S7" s="10" t="n">
        <f aca="false">'BE'!J173</f>
        <v>854230.484210526</v>
      </c>
      <c r="T7" s="11" t="n">
        <f aca="false">IF('BE'!H173=0,"N/A",('BE'!J173-'BE'!H173)/'BE'!H173)</f>
        <v>-0.0396521328523076</v>
      </c>
    </row>
    <row r="8" customFormat="false" ht="15" hidden="false" customHeight="true" outlineLevel="0" collapsed="false">
      <c r="A8" s="7" t="s">
        <v>25</v>
      </c>
      <c r="B8" s="8" t="s">
        <v>25</v>
      </c>
      <c r="C8" s="8" t="n">
        <v>1</v>
      </c>
      <c r="D8" s="9" t="n">
        <f aca="false">COUNTA('סופר פארם'!$A$9:$A$227)</f>
        <v>219</v>
      </c>
      <c r="E8" s="9" t="n">
        <f aca="false">SUMPRODUCT(--(('סופר פארם'!$C$9:$C$227&lt;&gt;0)+('סופר פארם'!$H$9:$H$227&lt;&gt;0)&gt;0))</f>
        <v>196</v>
      </c>
      <c r="F8" s="9" t="n">
        <f aca="false">SUMPRODUCT(--(('סופר פארם'!$D$9:$D$227&lt;&gt;0)+('סופר פארם'!$I$9:$I$227&lt;&gt;0)&gt;0))</f>
        <v>196</v>
      </c>
      <c r="G8" s="9" t="n">
        <f aca="false">'סופר פארם'!B5</f>
        <v>23</v>
      </c>
      <c r="H8" s="9" t="n">
        <f aca="false">'סופר פארם'!D5</f>
        <v>23</v>
      </c>
      <c r="I8" s="9" t="n">
        <f aca="false">'סופר פארם'!B6</f>
        <v>-44</v>
      </c>
      <c r="J8" s="9" t="n">
        <f aca="false">'סופר פארם'!D6</f>
        <v>-4091.7</v>
      </c>
      <c r="K8" s="9" t="n">
        <f aca="false">'סופר פארם'!F6</f>
        <v>1952</v>
      </c>
      <c r="L8" s="9" t="n">
        <f aca="false">'סופר פארם'!H6</f>
        <v>147652.2</v>
      </c>
      <c r="M8" s="9" t="n">
        <f aca="false">'סופר פארם'!C229</f>
        <v>176505</v>
      </c>
      <c r="N8" s="9" t="n">
        <f aca="false">'סופר פארם'!D229</f>
        <v>118307</v>
      </c>
      <c r="O8" s="10" t="n">
        <f aca="false">'סופר פארם'!E229</f>
        <v>149440.421052632</v>
      </c>
      <c r="P8" s="11" t="n">
        <f aca="false">IF('סופר פארם'!C229=0,"N/A",('סופר פארם'!E229-'סופר פארם'!C229)/'סופר פארם'!C229)</f>
        <v>-0.153336046839288</v>
      </c>
      <c r="Q8" s="9" t="n">
        <f aca="false">'סופר פארם'!H229</f>
        <v>6689220.5</v>
      </c>
      <c r="R8" s="9" t="n">
        <f aca="false">'סופר פארם'!I229</f>
        <v>4476515.3</v>
      </c>
      <c r="S8" s="10" t="n">
        <f aca="false">'סופר פארם'!J229</f>
        <v>5654545.64210526</v>
      </c>
      <c r="T8" s="11" t="n">
        <f aca="false">IF('סופר פארם'!H229=0,"N/A",('סופר פארם'!J229-'סופר פארם'!H229)/'סופר פארם'!H229)</f>
        <v>-0.154677941606909</v>
      </c>
    </row>
    <row r="9" customFormat="false" ht="15" hidden="false" customHeight="true" outlineLevel="0" collapsed="false">
      <c r="A9" s="7" t="s">
        <v>26</v>
      </c>
      <c r="B9" s="8" t="s">
        <v>26</v>
      </c>
      <c r="C9" s="8" t="n">
        <v>1</v>
      </c>
      <c r="D9" s="9" t="n">
        <f aca="false">COUNTA('מאוחדת'!$A$9:$A$115)</f>
        <v>107</v>
      </c>
      <c r="E9" s="9" t="n">
        <f aca="false">SUMPRODUCT(--(('מאוחדת'!$C$9:$C$115&lt;&gt;0)+('מאוחדת'!$H$9:$H$115&lt;&gt;0)&gt;0))</f>
        <v>0</v>
      </c>
      <c r="F9" s="9" t="n">
        <f aca="false">SUMPRODUCT(--(('מאוחדת'!$D$9:$D$115&lt;&gt;0)+('מאוחדת'!$I$9:$I$115&lt;&gt;0)&gt;0))</f>
        <v>107</v>
      </c>
      <c r="G9" s="9" t="n">
        <f aca="false">'מאוחדת'!B5</f>
        <v>0</v>
      </c>
      <c r="H9" s="9" t="n">
        <f aca="false">'מאוחדת'!D5</f>
        <v>107</v>
      </c>
      <c r="I9" s="9" t="n">
        <f aca="false">'מאוחדת'!B6</f>
        <v>0</v>
      </c>
      <c r="J9" s="9" t="n">
        <f aca="false">'מאוחדת'!D6</f>
        <v>0</v>
      </c>
      <c r="K9" s="9" t="n">
        <f aca="false">'מאוחדת'!F6</f>
        <v>10037</v>
      </c>
      <c r="L9" s="9" t="n">
        <f aca="false">'מאוחדת'!H6</f>
        <v>307514.4</v>
      </c>
      <c r="M9" s="9" t="n">
        <f aca="false">'מאוחדת'!C117</f>
        <v>0</v>
      </c>
      <c r="N9" s="9" t="n">
        <f aca="false">'מאוחדת'!D117</f>
        <v>10037</v>
      </c>
      <c r="O9" s="10" t="n">
        <f aca="false">'מאוחדת'!E117</f>
        <v>12678.3157894737</v>
      </c>
      <c r="P9" s="11" t="str">
        <f aca="false">IF('מאוחדת'!C117=0,"N/A",('מאוחדת'!E117-'מאוחדת'!C117)/'מאוחדת'!C117)</f>
        <v>N/A</v>
      </c>
      <c r="Q9" s="9" t="n">
        <f aca="false">'מאוחדת'!H117</f>
        <v>0</v>
      </c>
      <c r="R9" s="9" t="n">
        <f aca="false">'מאוחדת'!I117</f>
        <v>307514.4</v>
      </c>
      <c r="S9" s="10" t="n">
        <f aca="false">'מאוחדת'!J117</f>
        <v>388439.242105263</v>
      </c>
      <c r="T9" s="11" t="str">
        <f aca="false">IF('מאוחדת'!H117=0,"N/A",('מאוחדת'!J117-'מאוחדת'!H117)/'מאוחדת'!H117)</f>
        <v>N/A</v>
      </c>
    </row>
    <row r="10" customFormat="false" ht="15" hidden="false" customHeight="true" outlineLevel="0" collapsed="false">
      <c r="A10" s="7" t="s">
        <v>27</v>
      </c>
      <c r="B10" s="8" t="s">
        <v>27</v>
      </c>
      <c r="C10" s="8" t="n">
        <v>1</v>
      </c>
      <c r="D10" s="9" t="n">
        <f aca="false">COUNTA('0פארמים'!$A$9:$A$263)</f>
        <v>255</v>
      </c>
      <c r="E10" s="9" t="n">
        <f aca="false">SUMPRODUCT(--(('0פארמים'!$C$9:$C$263&lt;&gt;0)+('0פארמים'!$H$9:$H$263&lt;&gt;0)&gt;0))</f>
        <v>235</v>
      </c>
      <c r="F10" s="9" t="n">
        <f aca="false">SUMPRODUCT(--(('0פארמים'!$D$9:$D$263&lt;&gt;0)+('0פארמים'!$I$9:$I$263&lt;&gt;0)&gt;0))</f>
        <v>231</v>
      </c>
      <c r="G10" s="9" t="n">
        <f aca="false">'0פארמים'!B5</f>
        <v>24</v>
      </c>
      <c r="H10" s="9" t="n">
        <f aca="false">'0פארמים'!D5</f>
        <v>20</v>
      </c>
      <c r="I10" s="9" t="n">
        <f aca="false">'0פארמים'!B6</f>
        <v>-40</v>
      </c>
      <c r="J10" s="9" t="n">
        <f aca="false">'0פארמים'!D6</f>
        <v>-2736.3</v>
      </c>
      <c r="K10" s="9" t="n">
        <f aca="false">'0פארמים'!F6</f>
        <v>1972</v>
      </c>
      <c r="L10" s="9" t="n">
        <f aca="false">'0פארמים'!H6</f>
        <v>148341.1</v>
      </c>
      <c r="M10" s="9" t="n">
        <f aca="false">'0פארמים'!C265</f>
        <v>204428</v>
      </c>
      <c r="N10" s="9" t="n">
        <f aca="false">'0פארמים'!D265</f>
        <v>137851</v>
      </c>
      <c r="O10" s="10" t="n">
        <f aca="false">'0פארמים'!E265</f>
        <v>174127.578947368</v>
      </c>
      <c r="P10" s="11" t="n">
        <f aca="false">IF('0פארמים'!C265=0,"N/A",('0פארמים'!E265-'0פארמים'!C265)/'0פארמים'!C265)</f>
        <v>-0.148220503319661</v>
      </c>
      <c r="Q10" s="9" t="n">
        <f aca="false">'0פארמים'!H265</f>
        <v>7597886.3</v>
      </c>
      <c r="R10" s="9" t="n">
        <f aca="false">'0פארמים'!I265</f>
        <v>5165969.3</v>
      </c>
      <c r="S10" s="10" t="n">
        <f aca="false">'0פארמים'!J265</f>
        <v>6525434.90526316</v>
      </c>
      <c r="T10" s="11" t="n">
        <f aca="false">IF('0פארמים'!H265=0,"N/A",('0פארמים'!J265-'0פארמים'!H265)/'0פארמים'!H265)</f>
        <v>-0.141151282395058</v>
      </c>
    </row>
  </sheetData>
  <mergeCells count="1">
    <mergeCell ref="A3:R3"/>
  </mergeCells>
  <hyperlinks>
    <hyperlink ref="A6" location="'בתי מרקחת'!A1" display="בתי מרקחת"/>
    <hyperlink ref="A7" location="'BE'!A1" display="BE"/>
    <hyperlink ref="A8" location="'סופר פארם'!A1" display="סופר פארם"/>
    <hyperlink ref="A9" location="'מאוחדת'!A1" display="מאוחדת"/>
    <hyperlink ref="A10" location="'0פארמים'!A1" display="0פארמים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0"/>
    <col collapsed="false" customWidth="true" hidden="false" outlineLevel="0" max="3" min="3" style="1" width="20"/>
    <col collapsed="false" customWidth="true" hidden="false" outlineLevel="0" max="4" min="4" style="1" width="32"/>
  </cols>
  <sheetData>
    <row r="1" customFormat="false" ht="15" hidden="false" customHeight="true" outlineLevel="0" collapsed="false">
      <c r="A1" s="12" t="s">
        <v>28</v>
      </c>
      <c r="B1" s="12"/>
      <c r="C1" s="12"/>
      <c r="D1" s="12"/>
    </row>
    <row r="2" customFormat="false" ht="15" hidden="false" customHeight="true" outlineLevel="0" collapsed="false">
      <c r="A2" s="13" t="s">
        <v>29</v>
      </c>
      <c r="B2" s="13" t="s">
        <v>30</v>
      </c>
      <c r="C2" s="13" t="s">
        <v>31</v>
      </c>
      <c r="D2" s="13" t="s">
        <v>32</v>
      </c>
    </row>
    <row r="3" customFormat="false" ht="15" hidden="false" customHeight="true" outlineLevel="0" collapsed="false">
      <c r="A3" s="8" t="s">
        <v>33</v>
      </c>
      <c r="B3" s="8" t="s">
        <v>34</v>
      </c>
      <c r="C3" s="8" t="s">
        <v>23</v>
      </c>
      <c r="D3" s="8" t="s">
        <v>35</v>
      </c>
    </row>
    <row r="4" customFormat="false" ht="15" hidden="false" customHeight="true" outlineLevel="0" collapsed="false">
      <c r="A4" s="8" t="s">
        <v>36</v>
      </c>
      <c r="B4" s="8" t="s">
        <v>34</v>
      </c>
      <c r="C4" s="8" t="s">
        <v>23</v>
      </c>
      <c r="D4" s="8" t="s">
        <v>35</v>
      </c>
    </row>
    <row r="5" customFormat="false" ht="15" hidden="false" customHeight="true" outlineLevel="0" collapsed="false">
      <c r="A5" s="8" t="s">
        <v>37</v>
      </c>
      <c r="B5" s="8" t="s">
        <v>34</v>
      </c>
      <c r="C5" s="8" t="s">
        <v>23</v>
      </c>
      <c r="D5" s="8" t="s">
        <v>38</v>
      </c>
    </row>
    <row r="6" customFormat="false" ht="15" hidden="false" customHeight="true" outlineLevel="0" collapsed="false">
      <c r="A6" s="8" t="s">
        <v>39</v>
      </c>
      <c r="B6" s="8" t="s">
        <v>34</v>
      </c>
      <c r="C6" s="8" t="s">
        <v>23</v>
      </c>
      <c r="D6" s="8" t="s">
        <v>35</v>
      </c>
    </row>
    <row r="7" customFormat="false" ht="15" hidden="false" customHeight="true" outlineLevel="0" collapsed="false">
      <c r="A7" s="8" t="s">
        <v>40</v>
      </c>
      <c r="B7" s="8" t="s">
        <v>34</v>
      </c>
      <c r="C7" s="8" t="s">
        <v>23</v>
      </c>
      <c r="D7" s="8" t="s">
        <v>38</v>
      </c>
    </row>
    <row r="8" customFormat="false" ht="15" hidden="false" customHeight="true" outlineLevel="0" collapsed="false">
      <c r="A8" s="8" t="s">
        <v>41</v>
      </c>
      <c r="B8" s="8" t="s">
        <v>34</v>
      </c>
      <c r="C8" s="8" t="s">
        <v>23</v>
      </c>
      <c r="D8" s="8" t="s">
        <v>38</v>
      </c>
    </row>
    <row r="9" customFormat="false" ht="15" hidden="false" customHeight="true" outlineLevel="0" collapsed="false">
      <c r="A9" s="8" t="s">
        <v>42</v>
      </c>
      <c r="B9" s="8" t="s">
        <v>34</v>
      </c>
      <c r="C9" s="8" t="s">
        <v>23</v>
      </c>
      <c r="D9" s="8" t="s">
        <v>38</v>
      </c>
    </row>
    <row r="10" customFormat="false" ht="15" hidden="false" customHeight="true" outlineLevel="0" collapsed="false">
      <c r="A10" s="8" t="s">
        <v>43</v>
      </c>
      <c r="B10" s="8" t="s">
        <v>34</v>
      </c>
      <c r="C10" s="8" t="s">
        <v>23</v>
      </c>
      <c r="D10" s="8" t="s">
        <v>38</v>
      </c>
    </row>
    <row r="11" customFormat="false" ht="15" hidden="false" customHeight="true" outlineLevel="0" collapsed="false">
      <c r="A11" s="8" t="s">
        <v>44</v>
      </c>
      <c r="B11" s="8" t="s">
        <v>34</v>
      </c>
      <c r="C11" s="8" t="s">
        <v>23</v>
      </c>
      <c r="D11" s="8" t="s">
        <v>38</v>
      </c>
    </row>
    <row r="12" customFormat="false" ht="15" hidden="false" customHeight="true" outlineLevel="0" collapsed="false">
      <c r="A12" s="8" t="s">
        <v>24</v>
      </c>
      <c r="B12" s="8" t="s">
        <v>45</v>
      </c>
      <c r="C12" s="8" t="s">
        <v>24</v>
      </c>
      <c r="D12" s="8" t="s">
        <v>35</v>
      </c>
    </row>
    <row r="13" customFormat="false" ht="15" hidden="false" customHeight="true" outlineLevel="0" collapsed="false">
      <c r="A13" s="8" t="s">
        <v>46</v>
      </c>
      <c r="B13" s="8" t="s">
        <v>45</v>
      </c>
      <c r="C13" s="8" t="s">
        <v>24</v>
      </c>
      <c r="D13" s="8" t="s">
        <v>38</v>
      </c>
    </row>
    <row r="14" customFormat="false" ht="15" hidden="false" customHeight="true" outlineLevel="0" collapsed="false">
      <c r="A14" s="8" t="s">
        <v>47</v>
      </c>
      <c r="B14" s="8" t="s">
        <v>45</v>
      </c>
      <c r="C14" s="8" t="s">
        <v>24</v>
      </c>
      <c r="D14" s="8" t="s">
        <v>35</v>
      </c>
    </row>
    <row r="15" customFormat="false" ht="15" hidden="false" customHeight="true" outlineLevel="0" collapsed="false">
      <c r="A15" s="8" t="s">
        <v>48</v>
      </c>
      <c r="B15" s="8" t="s">
        <v>45</v>
      </c>
      <c r="C15" s="8" t="s">
        <v>24</v>
      </c>
      <c r="D15" s="8" t="s">
        <v>38</v>
      </c>
    </row>
    <row r="16" customFormat="false" ht="15" hidden="false" customHeight="true" outlineLevel="0" collapsed="false">
      <c r="A16" s="8" t="s">
        <v>49</v>
      </c>
      <c r="B16" s="8" t="s">
        <v>45</v>
      </c>
      <c r="C16" s="8" t="s">
        <v>24</v>
      </c>
      <c r="D16" s="8" t="s">
        <v>38</v>
      </c>
    </row>
    <row r="17" customFormat="false" ht="15" hidden="false" customHeight="true" outlineLevel="0" collapsed="false">
      <c r="A17" s="8" t="s">
        <v>50</v>
      </c>
      <c r="B17" s="8" t="s">
        <v>45</v>
      </c>
      <c r="C17" s="8" t="s">
        <v>24</v>
      </c>
      <c r="D17" s="8" t="s">
        <v>38</v>
      </c>
    </row>
    <row r="18" customFormat="false" ht="15" hidden="false" customHeight="true" outlineLevel="0" collapsed="false">
      <c r="A18" s="8" t="s">
        <v>51</v>
      </c>
      <c r="B18" s="8" t="s">
        <v>52</v>
      </c>
      <c r="C18" s="8" t="s">
        <v>25</v>
      </c>
      <c r="D18" s="8" t="s">
        <v>38</v>
      </c>
    </row>
    <row r="19" customFormat="false" ht="15" hidden="false" customHeight="true" outlineLevel="0" collapsed="false">
      <c r="A19" s="8" t="s">
        <v>53</v>
      </c>
      <c r="B19" s="8" t="s">
        <v>54</v>
      </c>
      <c r="C19" s="8" t="s">
        <v>26</v>
      </c>
      <c r="D19" s="8" t="s">
        <v>38</v>
      </c>
    </row>
    <row r="20" customFormat="false" ht="15" hidden="false" customHeight="true" outlineLevel="0" collapsed="false">
      <c r="A20" s="8" t="s">
        <v>27</v>
      </c>
      <c r="B20" s="8" t="s">
        <v>55</v>
      </c>
      <c r="C20" s="8" t="s">
        <v>56</v>
      </c>
      <c r="D20" s="8" t="s">
        <v>38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0"/>
    <col collapsed="false" customWidth="true" hidden="false" outlineLevel="0" max="3" min="3" style="1" width="13"/>
    <col collapsed="false" customWidth="true" hidden="false" outlineLevel="0" max="6" min="4" style="1" width="15"/>
    <col collapsed="false" customWidth="true" hidden="false" outlineLevel="0" max="7" min="7" style="1" width="16"/>
    <col collapsed="false" customWidth="true" hidden="false" outlineLevel="0" max="8" min="8" style="1" width="15"/>
    <col collapsed="false" customWidth="true" hidden="false" outlineLevel="0" max="9" min="9" style="1" width="17"/>
    <col collapsed="false" customWidth="true" hidden="false" outlineLevel="0" max="11" min="10" style="1" width="15"/>
    <col collapsed="false" customWidth="true" hidden="false" outlineLevel="0" max="12" min="12" style="1" width="16"/>
  </cols>
  <sheetData>
    <row r="1" customFormat="false" ht="15" hidden="false" customHeight="true" outlineLevel="0" collapsed="false">
      <c r="A1" s="2" t="s">
        <v>57</v>
      </c>
    </row>
    <row r="2" customFormat="false" ht="15" hidden="false" customHeight="true" outlineLevel="0" collapsed="false">
      <c r="A2" s="3" t="s">
        <v>1</v>
      </c>
      <c r="B2" s="4" t="n">
        <v>46284</v>
      </c>
    </row>
    <row r="3" customFormat="false" ht="90" hidden="false" customHeight="true" outlineLevel="0" collapsed="false">
      <c r="A3" s="5" t="s">
        <v>58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customFormat="false" ht="54.75" hidden="false" customHeight="true" outlineLevel="0" collapsed="false">
      <c r="A4" s="5" t="s">
        <v>59</v>
      </c>
      <c r="B4" s="5"/>
      <c r="C4" s="5"/>
      <c r="D4" s="5"/>
      <c r="E4" s="5"/>
      <c r="F4" s="5"/>
      <c r="G4" s="5"/>
      <c r="H4" s="5"/>
      <c r="I4" s="14" t="s">
        <v>60</v>
      </c>
      <c r="J4" s="15" t="n">
        <v>12</v>
      </c>
      <c r="K4" s="16" t="s">
        <v>61</v>
      </c>
      <c r="L4" s="15" t="n">
        <v>9.5</v>
      </c>
    </row>
    <row r="5" customFormat="false" ht="30" hidden="false" customHeight="true" outlineLevel="0" collapsed="false">
      <c r="A5" s="17" t="s">
        <v>62</v>
      </c>
      <c r="B5" s="18" t="n">
        <f aca="false">SUMPRODUCT(--((($C$9:$C$291&lt;&gt;0)+($H$9:$H$291&lt;&gt;0)&gt;0)*(($D$9:$D$291=0)*($I$9:$I$291=0))))</f>
        <v>43</v>
      </c>
      <c r="C5" s="17" t="s">
        <v>63</v>
      </c>
      <c r="D5" s="18" t="n">
        <f aca="false">SUMPRODUCT(--((($D$9:$D$291&lt;&gt;0)+($I$9:$I$291&lt;&gt;0)&gt;0)*(($C$9:$C$291=0)*($H$9:$H$291=0))))</f>
        <v>20</v>
      </c>
      <c r="I5" s="17" t="s">
        <v>64</v>
      </c>
      <c r="J5" s="19" t="n">
        <f aca="false">J4/L4</f>
        <v>1.26315789473684</v>
      </c>
    </row>
    <row r="6" customFormat="false" ht="30" hidden="false" customHeight="true" outlineLevel="0" collapsed="false">
      <c r="A6" s="17" t="s">
        <v>65</v>
      </c>
      <c r="B6" s="18" t="n">
        <f aca="false">SUMPRODUCT(--((($C$9:$C$291&lt;&gt;0)+($H$9:$H$291&lt;&gt;0)&gt;0)*(($D$9:$D$291=0)*($I$9:$I$291=0)))*$C$9:$C$291)</f>
        <v>176</v>
      </c>
      <c r="C6" s="17" t="s">
        <v>66</v>
      </c>
      <c r="D6" s="18" t="n">
        <f aca="false">SUMPRODUCT(--((($C$9:$C$291&lt;&gt;0)+($H$9:$H$291&lt;&gt;0)&gt;0)*(($D$9:$D$291=0)*($I$9:$I$291=0)))*$H$9:$H$291)</f>
        <v>13452.9</v>
      </c>
      <c r="E6" s="17" t="s">
        <v>67</v>
      </c>
      <c r="F6" s="18" t="n">
        <f aca="false">SUMPRODUCT(--((($D$9:$D$291&lt;&gt;0)+($I$9:$I$291&lt;&gt;0)&gt;0)*(($C$9:$C$291=0)*($H$9:$H$291=0)))*$D$9:$D$291)</f>
        <v>570</v>
      </c>
      <c r="G6" s="17" t="s">
        <v>68</v>
      </c>
      <c r="H6" s="18" t="n">
        <f aca="false">SUMPRODUCT(--((($D$9:$D$291&lt;&gt;0)+($I$9:$I$291&lt;&gt;0)&gt;0)*(($C$9:$C$291=0)*($H$9:$H$291=0)))*$I$9:$I$291)</f>
        <v>35416.5</v>
      </c>
    </row>
    <row r="8" customFormat="false" ht="43.5" hidden="false" customHeight="true" outlineLevel="0" collapsed="false">
      <c r="A8" s="6" t="s">
        <v>69</v>
      </c>
      <c r="B8" s="6" t="s">
        <v>70</v>
      </c>
      <c r="C8" s="6" t="s">
        <v>15</v>
      </c>
      <c r="D8" s="20" t="s">
        <v>71</v>
      </c>
      <c r="E8" s="6" t="s">
        <v>72</v>
      </c>
      <c r="F8" s="6" t="s">
        <v>73</v>
      </c>
      <c r="G8" s="6" t="s">
        <v>74</v>
      </c>
      <c r="H8" s="6" t="s">
        <v>19</v>
      </c>
      <c r="I8" s="20" t="s">
        <v>75</v>
      </c>
      <c r="J8" s="6" t="s">
        <v>21</v>
      </c>
      <c r="K8" s="6" t="s">
        <v>76</v>
      </c>
      <c r="L8" s="6" t="s">
        <v>77</v>
      </c>
    </row>
    <row r="9" customFormat="false" ht="15" hidden="false" customHeight="true" outlineLevel="0" collapsed="false">
      <c r="A9" s="8" t="s">
        <v>78</v>
      </c>
      <c r="B9" s="8" t="str">
        <f aca="false">IFERROR(INDEX('Source 2026'!$C:$C,MATCH($A9,'Source 2026'!$B:$B,0)),IFERROR(INDEX('Source 2025'!$C:$C,MATCH($A9,'Source 2025'!$B:$B,0)),""))</f>
        <v>S  חבק יד ארוך</v>
      </c>
      <c r="C9" s="9" t="n">
        <f aca="false">SUMIFS('Source 2025'!$F:$F,'Source 2025'!$B:$B,$A9,'Source 2025'!$A:$A,"Quantity (units)")+SUMIFS('Source 2025'!$H:$H,'Source 2025'!$B:$B,$A9,'Source 2025'!$A:$A,"Quantity (units)")+SUMIFS('Source 2025'!$M:$M,'Source 2025'!$B:$B,$A9,'Source 2025'!$A:$A,"Quantity (units)")+SUMIFS('Source 2025'!$N:$N,'Source 2025'!$B:$B,$A9,'Source 2025'!$A:$A,"Quantity (units)")+SUMIFS('Source 2025'!$S:$S,'Source 2025'!$B:$B,$A9,'Source 2025'!$A:$A,"Quantity (units)")+SUMIFS('Source 2025'!$U:$U,'Source 2025'!$B:$B,$A9,'Source 2025'!$A:$A,"Quantity (units)")+SUMIFS('Source 2025'!$D:$D,'Source 2025'!$B:$B,$A9,'Source 2025'!$A:$A,"Quantity (units)")+SUMIFS('Source 2025'!$E:$E,'Source 2025'!$B:$B,$A9,'Source 2025'!$A:$A,"Quantity (units)")+SUMIFS('Source 2025'!$G:$G,'Source 2025'!$B:$B,$A9,'Source 2025'!$A:$A,"Quantity (units)")</f>
        <v>1868</v>
      </c>
      <c r="D9" s="9" t="n">
        <f aca="false">SUMIFS('Source 2026'!$F:$F,'Source 2026'!$B:$B,$A9,'Source 2026'!$A:$A,"Quantity (units)")+SUMIFS('Source 2026'!$H:$H,'Source 2026'!$B:$B,$A9,'Source 2026'!$A:$A,"Quantity (units)")+SUMIFS('Source 2026'!$M:$M,'Source 2026'!$B:$B,$A9,'Source 2026'!$A:$A,"Quantity (units)")+SUMIFS('Source 2026'!$N:$N,'Source 2026'!$B:$B,$A9,'Source 2026'!$A:$A,"Quantity (units)")+SUMIFS('Source 2026'!$S:$S,'Source 2026'!$B:$B,$A9,'Source 2026'!$A:$A,"Quantity (units)")+SUMIFS('Source 2026'!$U:$U,'Source 2026'!$B:$B,$A9,'Source 2026'!$A:$A,"Quantity (units)")+SUMIFS('Source 2026'!$D:$D,'Source 2026'!$B:$B,$A9,'Source 2026'!$A:$A,"Quantity (units)")+SUMIFS('Source 2026'!$E:$E,'Source 2026'!$B:$B,$A9,'Source 2026'!$A:$A,"Quantity (units)")+SUMIFS('Source 2026'!$G:$G,'Source 2026'!$B:$B,$A9,'Source 2026'!$A:$A,"Quantity (units)")</f>
        <v>946</v>
      </c>
      <c r="E9" s="9" t="n">
        <f aca="false">D9*$J$5</f>
        <v>1194.94736842105</v>
      </c>
      <c r="F9" s="9" t="n">
        <f aca="false">E9-C9</f>
        <v>-673.052631578948</v>
      </c>
      <c r="G9" s="11" t="n">
        <f aca="false">IF(AND(C9=0,E9=0),0,IF(C9=0,"New",(E9-C9)/C9))</f>
        <v>-0.360306547954469</v>
      </c>
      <c r="H9" s="9" t="n">
        <f aca="false">SUMIFS('Source 2025'!$F:$F,'Source 2025'!$B:$B,$A9,'Source 2025'!$A:$A,"Amount (NIS)")+SUMIFS('Source 2025'!$H:$H,'Source 2025'!$B:$B,$A9,'Source 2025'!$A:$A,"Amount (NIS)")+SUMIFS('Source 2025'!$M:$M,'Source 2025'!$B:$B,$A9,'Source 2025'!$A:$A,"Amount (NIS)")+SUMIFS('Source 2025'!$N:$N,'Source 2025'!$B:$B,$A9,'Source 2025'!$A:$A,"Amount (NIS)")+SUMIFS('Source 2025'!$S:$S,'Source 2025'!$B:$B,$A9,'Source 2025'!$A:$A,"Amount (NIS)")+SUMIFS('Source 2025'!$U:$U,'Source 2025'!$B:$B,$A9,'Source 2025'!$A:$A,"Amount (NIS)")+SUMIFS('Source 2025'!$D:$D,'Source 2025'!$B:$B,$A9,'Source 2025'!$A:$A,"Amount (NIS)")+SUMIFS('Source 2025'!$E:$E,'Source 2025'!$B:$B,$A9,'Source 2025'!$A:$A,"Amount (NIS)")+SUMIFS('Source 2025'!$G:$G,'Source 2025'!$B:$B,$A9,'Source 2025'!$A:$A,"Amount (NIS)")</f>
        <v>72420.2</v>
      </c>
      <c r="I9" s="9" t="n">
        <f aca="false">SUMIFS('Source 2026'!$F:$F,'Source 2026'!$B:$B,$A9,'Source 2026'!$A:$A,"Amount (NIS)")+SUMIFS('Source 2026'!$H:$H,'Source 2026'!$B:$B,$A9,'Source 2026'!$A:$A,"Amount (NIS)")+SUMIFS('Source 2026'!$M:$M,'Source 2026'!$B:$B,$A9,'Source 2026'!$A:$A,"Amount (NIS)")+SUMIFS('Source 2026'!$N:$N,'Source 2026'!$B:$B,$A9,'Source 2026'!$A:$A,"Amount (NIS)")+SUMIFS('Source 2026'!$S:$S,'Source 2026'!$B:$B,$A9,'Source 2026'!$A:$A,"Amount (NIS)")+SUMIFS('Source 2026'!$U:$U,'Source 2026'!$B:$B,$A9,'Source 2026'!$A:$A,"Amount (NIS)")+SUMIFS('Source 2026'!$D:$D,'Source 2026'!$B:$B,$A9,'Source 2026'!$A:$A,"Amount (NIS)")+SUMIFS('Source 2026'!$E:$E,'Source 2026'!$B:$B,$A9,'Source 2026'!$A:$A,"Amount (NIS)")+SUMIFS('Source 2026'!$G:$G,'Source 2026'!$B:$B,$A9,'Source 2026'!$A:$A,"Amount (NIS)")</f>
        <v>36879</v>
      </c>
      <c r="J9" s="9" t="n">
        <f aca="false">I9*$J$5</f>
        <v>46584</v>
      </c>
      <c r="K9" s="9" t="n">
        <f aca="false">J9-H9</f>
        <v>-25836.2</v>
      </c>
      <c r="L9" s="11" t="n">
        <f aca="false">IF(AND(H9=0,J9=0),0,IF(H9=0,"New",(J9-H9)/H9))</f>
        <v>-0.356754054807913</v>
      </c>
    </row>
    <row r="10" customFormat="false" ht="15" hidden="false" customHeight="true" outlineLevel="0" collapsed="false">
      <c r="A10" s="8" t="s">
        <v>79</v>
      </c>
      <c r="B10" s="8" t="str">
        <f aca="false">IFERROR(INDEX('Source 2026'!$C:$C,MATCH($A10,'Source 2026'!$B:$B,0)),IFERROR(INDEX('Source 2025'!$C:$C,MATCH($A10,'Source 2025'!$B:$B,0)),""))</f>
        <v>35-38 גרבי טיסה מידה</v>
      </c>
      <c r="C10" s="9" t="n">
        <f aca="false">SUMIFS('Source 2025'!$F:$F,'Source 2025'!$B:$B,$A10,'Source 2025'!$A:$A,"Quantity (units)")+SUMIFS('Source 2025'!$H:$H,'Source 2025'!$B:$B,$A10,'Source 2025'!$A:$A,"Quantity (units)")+SUMIFS('Source 2025'!$M:$M,'Source 2025'!$B:$B,$A10,'Source 2025'!$A:$A,"Quantity (units)")+SUMIFS('Source 2025'!$N:$N,'Source 2025'!$B:$B,$A10,'Source 2025'!$A:$A,"Quantity (units)")+SUMIFS('Source 2025'!$S:$S,'Source 2025'!$B:$B,$A10,'Source 2025'!$A:$A,"Quantity (units)")+SUMIFS('Source 2025'!$U:$U,'Source 2025'!$B:$B,$A10,'Source 2025'!$A:$A,"Quantity (units)")+SUMIFS('Source 2025'!$D:$D,'Source 2025'!$B:$B,$A10,'Source 2025'!$A:$A,"Quantity (units)")+SUMIFS('Source 2025'!$E:$E,'Source 2025'!$B:$B,$A10,'Source 2025'!$A:$A,"Quantity (units)")+SUMIFS('Source 2025'!$G:$G,'Source 2025'!$B:$B,$A10,'Source 2025'!$A:$A,"Quantity (units)")</f>
        <v>537</v>
      </c>
      <c r="D10" s="9" t="n">
        <f aca="false">SUMIFS('Source 2026'!$F:$F,'Source 2026'!$B:$B,$A10,'Source 2026'!$A:$A,"Quantity (units)")+SUMIFS('Source 2026'!$H:$H,'Source 2026'!$B:$B,$A10,'Source 2026'!$A:$A,"Quantity (units)")+SUMIFS('Source 2026'!$M:$M,'Source 2026'!$B:$B,$A10,'Source 2026'!$A:$A,"Quantity (units)")+SUMIFS('Source 2026'!$N:$N,'Source 2026'!$B:$B,$A10,'Source 2026'!$A:$A,"Quantity (units)")+SUMIFS('Source 2026'!$S:$S,'Source 2026'!$B:$B,$A10,'Source 2026'!$A:$A,"Quantity (units)")+SUMIFS('Source 2026'!$U:$U,'Source 2026'!$B:$B,$A10,'Source 2026'!$A:$A,"Quantity (units)")+SUMIFS('Source 2026'!$D:$D,'Source 2026'!$B:$B,$A10,'Source 2026'!$A:$A,"Quantity (units)")+SUMIFS('Source 2026'!$E:$E,'Source 2026'!$B:$B,$A10,'Source 2026'!$A:$A,"Quantity (units)")+SUMIFS('Source 2026'!$G:$G,'Source 2026'!$B:$B,$A10,'Source 2026'!$A:$A,"Quantity (units)")</f>
        <v>-2</v>
      </c>
      <c r="E10" s="9" t="n">
        <f aca="false">D10*$J$5</f>
        <v>-2.52631578947368</v>
      </c>
      <c r="F10" s="9" t="n">
        <f aca="false">E10-C10</f>
        <v>-539.526315789474</v>
      </c>
      <c r="G10" s="11" t="n">
        <f aca="false">IF(AND(C10=0,E10=0),0,IF(C10=0,"New",(E10-C10)/C10))</f>
        <v>-1.00470449867686</v>
      </c>
      <c r="H10" s="9" t="n">
        <f aca="false">SUMIFS('Source 2025'!$F:$F,'Source 2025'!$B:$B,$A10,'Source 2025'!$A:$A,"Amount (NIS)")+SUMIFS('Source 2025'!$H:$H,'Source 2025'!$B:$B,$A10,'Source 2025'!$A:$A,"Amount (NIS)")+SUMIFS('Source 2025'!$M:$M,'Source 2025'!$B:$B,$A10,'Source 2025'!$A:$A,"Amount (NIS)")+SUMIFS('Source 2025'!$N:$N,'Source 2025'!$B:$B,$A10,'Source 2025'!$A:$A,"Amount (NIS)")+SUMIFS('Source 2025'!$S:$S,'Source 2025'!$B:$B,$A10,'Source 2025'!$A:$A,"Amount (NIS)")+SUMIFS('Source 2025'!$U:$U,'Source 2025'!$B:$B,$A10,'Source 2025'!$A:$A,"Amount (NIS)")+SUMIFS('Source 2025'!$D:$D,'Source 2025'!$B:$B,$A10,'Source 2025'!$A:$A,"Amount (NIS)")+SUMIFS('Source 2025'!$E:$E,'Source 2025'!$B:$B,$A10,'Source 2025'!$A:$A,"Amount (NIS)")+SUMIFS('Source 2025'!$G:$G,'Source 2025'!$B:$B,$A10,'Source 2025'!$A:$A,"Amount (NIS)")</f>
        <v>31672.4</v>
      </c>
      <c r="I10" s="9" t="n">
        <f aca="false">SUMIFS('Source 2026'!$F:$F,'Source 2026'!$B:$B,$A10,'Source 2026'!$A:$A,"Amount (NIS)")+SUMIFS('Source 2026'!$H:$H,'Source 2026'!$B:$B,$A10,'Source 2026'!$A:$A,"Amount (NIS)")+SUMIFS('Source 2026'!$M:$M,'Source 2026'!$B:$B,$A10,'Source 2026'!$A:$A,"Amount (NIS)")+SUMIFS('Source 2026'!$N:$N,'Source 2026'!$B:$B,$A10,'Source 2026'!$A:$A,"Amount (NIS)")+SUMIFS('Source 2026'!$S:$S,'Source 2026'!$B:$B,$A10,'Source 2026'!$A:$A,"Amount (NIS)")+SUMIFS('Source 2026'!$U:$U,'Source 2026'!$B:$B,$A10,'Source 2026'!$A:$A,"Amount (NIS)")+SUMIFS('Source 2026'!$D:$D,'Source 2026'!$B:$B,$A10,'Source 2026'!$A:$A,"Amount (NIS)")+SUMIFS('Source 2026'!$E:$E,'Source 2026'!$B:$B,$A10,'Source 2026'!$A:$A,"Amount (NIS)")+SUMIFS('Source 2026'!$G:$G,'Source 2026'!$B:$B,$A10,'Source 2026'!$A:$A,"Amount (NIS)")</f>
        <v>-82.3</v>
      </c>
      <c r="J10" s="9" t="n">
        <f aca="false">I10*$J$5</f>
        <v>-103.957894736842</v>
      </c>
      <c r="K10" s="9" t="n">
        <f aca="false">J10-H10</f>
        <v>-31776.3578947368</v>
      </c>
      <c r="L10" s="11" t="n">
        <f aca="false">IF(AND(H10=0,J10=0),0,IF(H10=0,"New",(J10-H10)/H10))</f>
        <v>-1.0032822866198</v>
      </c>
    </row>
    <row r="11" customFormat="false" ht="15" hidden="false" customHeight="true" outlineLevel="0" collapsed="false">
      <c r="A11" s="8" t="s">
        <v>80</v>
      </c>
      <c r="B11" s="8" t="str">
        <f aca="false">IFERROR(INDEX('Source 2026'!$C:$C,MATCH($A11,'Source 2026'!$B:$B,0)),IFERROR(INDEX('Source 2025'!$C:$C,MATCH($A11,'Source 2025'!$B:$B,0)),""))</f>
        <v>טיסה אנטי בקטרי35-38</v>
      </c>
      <c r="C11" s="9" t="n">
        <f aca="false">SUMIFS('Source 2025'!$F:$F,'Source 2025'!$B:$B,$A11,'Source 2025'!$A:$A,"Quantity (units)")+SUMIFS('Source 2025'!$H:$H,'Source 2025'!$B:$B,$A11,'Source 2025'!$A:$A,"Quantity (units)")+SUMIFS('Source 2025'!$M:$M,'Source 2025'!$B:$B,$A11,'Source 2025'!$A:$A,"Quantity (units)")+SUMIFS('Source 2025'!$N:$N,'Source 2025'!$B:$B,$A11,'Source 2025'!$A:$A,"Quantity (units)")+SUMIFS('Source 2025'!$S:$S,'Source 2025'!$B:$B,$A11,'Source 2025'!$A:$A,"Quantity (units)")+SUMIFS('Source 2025'!$U:$U,'Source 2025'!$B:$B,$A11,'Source 2025'!$A:$A,"Quantity (units)")+SUMIFS('Source 2025'!$D:$D,'Source 2025'!$B:$B,$A11,'Source 2025'!$A:$A,"Quantity (units)")+SUMIFS('Source 2025'!$E:$E,'Source 2025'!$B:$B,$A11,'Source 2025'!$A:$A,"Quantity (units)")+SUMIFS('Source 2025'!$G:$G,'Source 2025'!$B:$B,$A11,'Source 2025'!$A:$A,"Quantity (units)")</f>
        <v>0</v>
      </c>
      <c r="D11" s="9" t="n">
        <f aca="false">SUMIFS('Source 2026'!$F:$F,'Source 2026'!$B:$B,$A11,'Source 2026'!$A:$A,"Quantity (units)")+SUMIFS('Source 2026'!$H:$H,'Source 2026'!$B:$B,$A11,'Source 2026'!$A:$A,"Quantity (units)")+SUMIFS('Source 2026'!$M:$M,'Source 2026'!$B:$B,$A11,'Source 2026'!$A:$A,"Quantity (units)")+SUMIFS('Source 2026'!$N:$N,'Source 2026'!$B:$B,$A11,'Source 2026'!$A:$A,"Quantity (units)")+SUMIFS('Source 2026'!$S:$S,'Source 2026'!$B:$B,$A11,'Source 2026'!$A:$A,"Quantity (units)")+SUMIFS('Source 2026'!$U:$U,'Source 2026'!$B:$B,$A11,'Source 2026'!$A:$A,"Quantity (units)")+SUMIFS('Source 2026'!$D:$D,'Source 2026'!$B:$B,$A11,'Source 2026'!$A:$A,"Quantity (units)")+SUMIFS('Source 2026'!$E:$E,'Source 2026'!$B:$B,$A11,'Source 2026'!$A:$A,"Quantity (units)")+SUMIFS('Source 2026'!$G:$G,'Source 2026'!$B:$B,$A11,'Source 2026'!$A:$A,"Quantity (units)")</f>
        <v>456</v>
      </c>
      <c r="E11" s="9" t="n">
        <f aca="false">D11*$J$5</f>
        <v>576</v>
      </c>
      <c r="F11" s="9" t="n">
        <f aca="false">E11-C11</f>
        <v>576</v>
      </c>
      <c r="G11" s="11" t="str">
        <f aca="false">IF(AND(C11=0,E11=0),0,IF(C11=0,"New",(E11-C11)/C11))</f>
        <v>New</v>
      </c>
      <c r="H11" s="9" t="n">
        <f aca="false">SUMIFS('Source 2025'!$F:$F,'Source 2025'!$B:$B,$A11,'Source 2025'!$A:$A,"Amount (NIS)")+SUMIFS('Source 2025'!$H:$H,'Source 2025'!$B:$B,$A11,'Source 2025'!$A:$A,"Amount (NIS)")+SUMIFS('Source 2025'!$M:$M,'Source 2025'!$B:$B,$A11,'Source 2025'!$A:$A,"Amount (NIS)")+SUMIFS('Source 2025'!$N:$N,'Source 2025'!$B:$B,$A11,'Source 2025'!$A:$A,"Amount (NIS)")+SUMIFS('Source 2025'!$S:$S,'Source 2025'!$B:$B,$A11,'Source 2025'!$A:$A,"Amount (NIS)")+SUMIFS('Source 2025'!$U:$U,'Source 2025'!$B:$B,$A11,'Source 2025'!$A:$A,"Amount (NIS)")+SUMIFS('Source 2025'!$D:$D,'Source 2025'!$B:$B,$A11,'Source 2025'!$A:$A,"Amount (NIS)")+SUMIFS('Source 2025'!$E:$E,'Source 2025'!$B:$B,$A11,'Source 2025'!$A:$A,"Amount (NIS)")+SUMIFS('Source 2025'!$G:$G,'Source 2025'!$B:$B,$A11,'Source 2025'!$A:$A,"Amount (NIS)")</f>
        <v>0</v>
      </c>
      <c r="I11" s="9" t="n">
        <f aca="false">SUMIFS('Source 2026'!$F:$F,'Source 2026'!$B:$B,$A11,'Source 2026'!$A:$A,"Amount (NIS)")+SUMIFS('Source 2026'!$H:$H,'Source 2026'!$B:$B,$A11,'Source 2026'!$A:$A,"Amount (NIS)")+SUMIFS('Source 2026'!$M:$M,'Source 2026'!$B:$B,$A11,'Source 2026'!$A:$A,"Amount (NIS)")+SUMIFS('Source 2026'!$N:$N,'Source 2026'!$B:$B,$A11,'Source 2026'!$A:$A,"Amount (NIS)")+SUMIFS('Source 2026'!$S:$S,'Source 2026'!$B:$B,$A11,'Source 2026'!$A:$A,"Amount (NIS)")+SUMIFS('Source 2026'!$U:$U,'Source 2026'!$B:$B,$A11,'Source 2026'!$A:$A,"Amount (NIS)")+SUMIFS('Source 2026'!$D:$D,'Source 2026'!$B:$B,$A11,'Source 2026'!$A:$A,"Amount (NIS)")+SUMIFS('Source 2026'!$E:$E,'Source 2026'!$B:$B,$A11,'Source 2026'!$A:$A,"Amount (NIS)")+SUMIFS('Source 2026'!$G:$G,'Source 2026'!$B:$B,$A11,'Source 2026'!$A:$A,"Amount (NIS)")</f>
        <v>27020.5</v>
      </c>
      <c r="J11" s="9" t="n">
        <f aca="false">I11*$J$5</f>
        <v>34131.1578947368</v>
      </c>
      <c r="K11" s="9" t="n">
        <f aca="false">J11-H11</f>
        <v>34131.1578947368</v>
      </c>
      <c r="L11" s="11" t="str">
        <f aca="false">IF(AND(H11=0,J11=0),0,IF(H11=0,"New",(J11-H11)/H11))</f>
        <v>New</v>
      </c>
    </row>
    <row r="12" customFormat="false" ht="15" hidden="false" customHeight="true" outlineLevel="0" collapsed="false">
      <c r="A12" s="8" t="s">
        <v>81</v>
      </c>
      <c r="B12" s="8" t="str">
        <f aca="false">IFERROR(INDEX('Source 2026'!$C:$C,MATCH($A12,'Source 2026'!$B:$B,0)),IFERROR(INDEX('Source 2025'!$C:$C,MATCH($A12,'Source 2025'!$B:$B,0)),""))</f>
        <v>מדרס ג'ל לגבר</v>
      </c>
      <c r="C12" s="9" t="n">
        <f aca="false">SUMIFS('Source 2025'!$F:$F,'Source 2025'!$B:$B,$A12,'Source 2025'!$A:$A,"Quantity (units)")+SUMIFS('Source 2025'!$H:$H,'Source 2025'!$B:$B,$A12,'Source 2025'!$A:$A,"Quantity (units)")+SUMIFS('Source 2025'!$M:$M,'Source 2025'!$B:$B,$A12,'Source 2025'!$A:$A,"Quantity (units)")+SUMIFS('Source 2025'!$N:$N,'Source 2025'!$B:$B,$A12,'Source 2025'!$A:$A,"Quantity (units)")+SUMIFS('Source 2025'!$S:$S,'Source 2025'!$B:$B,$A12,'Source 2025'!$A:$A,"Quantity (units)")+SUMIFS('Source 2025'!$U:$U,'Source 2025'!$B:$B,$A12,'Source 2025'!$A:$A,"Quantity (units)")+SUMIFS('Source 2025'!$D:$D,'Source 2025'!$B:$B,$A12,'Source 2025'!$A:$A,"Quantity (units)")+SUMIFS('Source 2025'!$E:$E,'Source 2025'!$B:$B,$A12,'Source 2025'!$A:$A,"Quantity (units)")+SUMIFS('Source 2025'!$G:$G,'Source 2025'!$B:$B,$A12,'Source 2025'!$A:$A,"Quantity (units)")</f>
        <v>841</v>
      </c>
      <c r="D12" s="9" t="n">
        <f aca="false">SUMIFS('Source 2026'!$F:$F,'Source 2026'!$B:$B,$A12,'Source 2026'!$A:$A,"Quantity (units)")+SUMIFS('Source 2026'!$H:$H,'Source 2026'!$B:$B,$A12,'Source 2026'!$A:$A,"Quantity (units)")+SUMIFS('Source 2026'!$M:$M,'Source 2026'!$B:$B,$A12,'Source 2026'!$A:$A,"Quantity (units)")+SUMIFS('Source 2026'!$N:$N,'Source 2026'!$B:$B,$A12,'Source 2026'!$A:$A,"Quantity (units)")+SUMIFS('Source 2026'!$S:$S,'Source 2026'!$B:$B,$A12,'Source 2026'!$A:$A,"Quantity (units)")+SUMIFS('Source 2026'!$U:$U,'Source 2026'!$B:$B,$A12,'Source 2026'!$A:$A,"Quantity (units)")+SUMIFS('Source 2026'!$D:$D,'Source 2026'!$B:$B,$A12,'Source 2026'!$A:$A,"Quantity (units)")+SUMIFS('Source 2026'!$E:$E,'Source 2026'!$B:$B,$A12,'Source 2026'!$A:$A,"Quantity (units)")+SUMIFS('Source 2026'!$G:$G,'Source 2026'!$B:$B,$A12,'Source 2026'!$A:$A,"Quantity (units)")</f>
        <v>378</v>
      </c>
      <c r="E12" s="9" t="n">
        <f aca="false">D12*$J$5</f>
        <v>477.473684210526</v>
      </c>
      <c r="F12" s="9" t="n">
        <f aca="false">E12-C12</f>
        <v>-363.526315789474</v>
      </c>
      <c r="G12" s="11" t="n">
        <f aca="false">IF(AND(C12=0,E12=0),0,IF(C12=0,"New",(E12-C12)/C12))</f>
        <v>-0.432254834470242</v>
      </c>
      <c r="H12" s="9" t="n">
        <f aca="false">SUMIFS('Source 2025'!$F:$F,'Source 2025'!$B:$B,$A12,'Source 2025'!$A:$A,"Amount (NIS)")+SUMIFS('Source 2025'!$H:$H,'Source 2025'!$B:$B,$A12,'Source 2025'!$A:$A,"Amount (NIS)")+SUMIFS('Source 2025'!$M:$M,'Source 2025'!$B:$B,$A12,'Source 2025'!$A:$A,"Amount (NIS)")+SUMIFS('Source 2025'!$N:$N,'Source 2025'!$B:$B,$A12,'Source 2025'!$A:$A,"Amount (NIS)")+SUMIFS('Source 2025'!$S:$S,'Source 2025'!$B:$B,$A12,'Source 2025'!$A:$A,"Amount (NIS)")+SUMIFS('Source 2025'!$U:$U,'Source 2025'!$B:$B,$A12,'Source 2025'!$A:$A,"Amount (NIS)")+SUMIFS('Source 2025'!$D:$D,'Source 2025'!$B:$B,$A12,'Source 2025'!$A:$A,"Amount (NIS)")+SUMIFS('Source 2025'!$E:$E,'Source 2025'!$B:$B,$A12,'Source 2025'!$A:$A,"Amount (NIS)")+SUMIFS('Source 2025'!$G:$G,'Source 2025'!$B:$B,$A12,'Source 2025'!$A:$A,"Amount (NIS)")</f>
        <v>50057.5</v>
      </c>
      <c r="I12" s="9" t="n">
        <f aca="false">SUMIFS('Source 2026'!$F:$F,'Source 2026'!$B:$B,$A12,'Source 2026'!$A:$A,"Amount (NIS)")+SUMIFS('Source 2026'!$H:$H,'Source 2026'!$B:$B,$A12,'Source 2026'!$A:$A,"Amount (NIS)")+SUMIFS('Source 2026'!$M:$M,'Source 2026'!$B:$B,$A12,'Source 2026'!$A:$A,"Amount (NIS)")+SUMIFS('Source 2026'!$N:$N,'Source 2026'!$B:$B,$A12,'Source 2026'!$A:$A,"Amount (NIS)")+SUMIFS('Source 2026'!$S:$S,'Source 2026'!$B:$B,$A12,'Source 2026'!$A:$A,"Amount (NIS)")+SUMIFS('Source 2026'!$U:$U,'Source 2026'!$B:$B,$A12,'Source 2026'!$A:$A,"Amount (NIS)")+SUMIFS('Source 2026'!$D:$D,'Source 2026'!$B:$B,$A12,'Source 2026'!$A:$A,"Amount (NIS)")+SUMIFS('Source 2026'!$E:$E,'Source 2026'!$B:$B,$A12,'Source 2026'!$A:$A,"Amount (NIS)")+SUMIFS('Source 2026'!$G:$G,'Source 2026'!$B:$B,$A12,'Source 2026'!$A:$A,"Amount (NIS)")</f>
        <v>24242.7</v>
      </c>
      <c r="J12" s="9" t="n">
        <f aca="false">I12*$J$5</f>
        <v>30622.3578947368</v>
      </c>
      <c r="K12" s="9" t="n">
        <f aca="false">J12-H12</f>
        <v>-19435.1421052632</v>
      </c>
      <c r="L12" s="11" t="n">
        <f aca="false">IF(AND(H12=0,J12=0),0,IF(H12=0,"New",(J12-H12)/H12))</f>
        <v>-0.388256347305861</v>
      </c>
    </row>
    <row r="13" customFormat="false" ht="15" hidden="false" customHeight="true" outlineLevel="0" collapsed="false">
      <c r="A13" s="8" t="s">
        <v>82</v>
      </c>
      <c r="B13" s="8" t="str">
        <f aca="false">IFERROR(INDEX('Source 2026'!$C:$C,MATCH($A13,'Source 2026'!$B:$B,0)),IFERROR(INDEX('Source 2025'!$C:$C,MATCH($A13,'Source 2025'!$B:$B,0)),""))</f>
        <v>חגורת גב עם תמיכות</v>
      </c>
      <c r="C13" s="9" t="n">
        <f aca="false">SUMIFS('Source 2025'!$F:$F,'Source 2025'!$B:$B,$A13,'Source 2025'!$A:$A,"Quantity (units)")+SUMIFS('Source 2025'!$H:$H,'Source 2025'!$B:$B,$A13,'Source 2025'!$A:$A,"Quantity (units)")+SUMIFS('Source 2025'!$M:$M,'Source 2025'!$B:$B,$A13,'Source 2025'!$A:$A,"Quantity (units)")+SUMIFS('Source 2025'!$N:$N,'Source 2025'!$B:$B,$A13,'Source 2025'!$A:$A,"Quantity (units)")+SUMIFS('Source 2025'!$S:$S,'Source 2025'!$B:$B,$A13,'Source 2025'!$A:$A,"Quantity (units)")+SUMIFS('Source 2025'!$U:$U,'Source 2025'!$B:$B,$A13,'Source 2025'!$A:$A,"Quantity (units)")+SUMIFS('Source 2025'!$D:$D,'Source 2025'!$B:$B,$A13,'Source 2025'!$A:$A,"Quantity (units)")+SUMIFS('Source 2025'!$E:$E,'Source 2025'!$B:$B,$A13,'Source 2025'!$A:$A,"Quantity (units)")+SUMIFS('Source 2025'!$G:$G,'Source 2025'!$B:$B,$A13,'Source 2025'!$A:$A,"Quantity (units)")</f>
        <v>1110</v>
      </c>
      <c r="D13" s="9" t="n">
        <f aca="false">SUMIFS('Source 2026'!$F:$F,'Source 2026'!$B:$B,$A13,'Source 2026'!$A:$A,"Quantity (units)")+SUMIFS('Source 2026'!$H:$H,'Source 2026'!$B:$B,$A13,'Source 2026'!$A:$A,"Quantity (units)")+SUMIFS('Source 2026'!$M:$M,'Source 2026'!$B:$B,$A13,'Source 2026'!$A:$A,"Quantity (units)")+SUMIFS('Source 2026'!$N:$N,'Source 2026'!$B:$B,$A13,'Source 2026'!$A:$A,"Quantity (units)")+SUMIFS('Source 2026'!$S:$S,'Source 2026'!$B:$B,$A13,'Source 2026'!$A:$A,"Quantity (units)")+SUMIFS('Source 2026'!$U:$U,'Source 2026'!$B:$B,$A13,'Source 2026'!$A:$A,"Quantity (units)")+SUMIFS('Source 2026'!$D:$D,'Source 2026'!$B:$B,$A13,'Source 2026'!$A:$A,"Quantity (units)")+SUMIFS('Source 2026'!$E:$E,'Source 2026'!$B:$B,$A13,'Source 2026'!$A:$A,"Quantity (units)")+SUMIFS('Source 2026'!$G:$G,'Source 2026'!$B:$B,$A13,'Source 2026'!$A:$A,"Quantity (units)")</f>
        <v>802</v>
      </c>
      <c r="E13" s="9" t="n">
        <f aca="false">D13*$J$5</f>
        <v>1013.05263157895</v>
      </c>
      <c r="F13" s="9" t="n">
        <f aca="false">E13-C13</f>
        <v>-96.9473684210527</v>
      </c>
      <c r="G13" s="11" t="n">
        <f aca="false">IF(AND(C13=0,E13=0),0,IF(C13=0,"New",(E13-C13)/C13))</f>
        <v>-0.0873399715504979</v>
      </c>
      <c r="H13" s="9" t="n">
        <f aca="false">SUMIFS('Source 2025'!$F:$F,'Source 2025'!$B:$B,$A13,'Source 2025'!$A:$A,"Amount (NIS)")+SUMIFS('Source 2025'!$H:$H,'Source 2025'!$B:$B,$A13,'Source 2025'!$A:$A,"Amount (NIS)")+SUMIFS('Source 2025'!$M:$M,'Source 2025'!$B:$B,$A13,'Source 2025'!$A:$A,"Amount (NIS)")+SUMIFS('Source 2025'!$N:$N,'Source 2025'!$B:$B,$A13,'Source 2025'!$A:$A,"Amount (NIS)")+SUMIFS('Source 2025'!$S:$S,'Source 2025'!$B:$B,$A13,'Source 2025'!$A:$A,"Amount (NIS)")+SUMIFS('Source 2025'!$U:$U,'Source 2025'!$B:$B,$A13,'Source 2025'!$A:$A,"Amount (NIS)")+SUMIFS('Source 2025'!$D:$D,'Source 2025'!$B:$B,$A13,'Source 2025'!$A:$A,"Amount (NIS)")+SUMIFS('Source 2025'!$E:$E,'Source 2025'!$B:$B,$A13,'Source 2025'!$A:$A,"Amount (NIS)")+SUMIFS('Source 2025'!$G:$G,'Source 2025'!$B:$B,$A13,'Source 2025'!$A:$A,"Amount (NIS)")</f>
        <v>94616.3</v>
      </c>
      <c r="I13" s="9" t="n">
        <f aca="false">SUMIFS('Source 2026'!$F:$F,'Source 2026'!$B:$B,$A13,'Source 2026'!$A:$A,"Amount (NIS)")+SUMIFS('Source 2026'!$H:$H,'Source 2026'!$B:$B,$A13,'Source 2026'!$A:$A,"Amount (NIS)")+SUMIFS('Source 2026'!$M:$M,'Source 2026'!$B:$B,$A13,'Source 2026'!$A:$A,"Amount (NIS)")+SUMIFS('Source 2026'!$N:$N,'Source 2026'!$B:$B,$A13,'Source 2026'!$A:$A,"Amount (NIS)")+SUMIFS('Source 2026'!$S:$S,'Source 2026'!$B:$B,$A13,'Source 2026'!$A:$A,"Amount (NIS)")+SUMIFS('Source 2026'!$U:$U,'Source 2026'!$B:$B,$A13,'Source 2026'!$A:$A,"Amount (NIS)")+SUMIFS('Source 2026'!$D:$D,'Source 2026'!$B:$B,$A13,'Source 2026'!$A:$A,"Amount (NIS)")+SUMIFS('Source 2026'!$E:$E,'Source 2026'!$B:$B,$A13,'Source 2026'!$A:$A,"Amount (NIS)")+SUMIFS('Source 2026'!$G:$G,'Source 2026'!$B:$B,$A13,'Source 2026'!$A:$A,"Amount (NIS)")</f>
        <v>69090.9</v>
      </c>
      <c r="J13" s="9" t="n">
        <f aca="false">I13*$J$5</f>
        <v>87272.7157894737</v>
      </c>
      <c r="K13" s="9" t="n">
        <f aca="false">J13-H13</f>
        <v>-7343.58421052632</v>
      </c>
      <c r="L13" s="11" t="n">
        <f aca="false">IF(AND(H13=0,J13=0),0,IF(H13=0,"New",(J13-H13)/H13))</f>
        <v>-0.0776143667690061</v>
      </c>
    </row>
    <row r="14" customFormat="false" ht="15" hidden="false" customHeight="true" outlineLevel="0" collapsed="false">
      <c r="A14" s="8" t="s">
        <v>83</v>
      </c>
      <c r="B14" s="8" t="str">
        <f aca="false">IFERROR(INDEX('Source 2026'!$C:$C,MATCH($A14,'Source 2026'!$B:$B,0)),IFERROR(INDEX('Source 2025'!$C:$C,MATCH($A14,'Source 2025'!$B:$B,0)),""))</f>
        <v>1 תומך ברך גנושילד</v>
      </c>
      <c r="C14" s="9" t="n">
        <f aca="false">SUMIFS('Source 2025'!$F:$F,'Source 2025'!$B:$B,$A14,'Source 2025'!$A:$A,"Quantity (units)")+SUMIFS('Source 2025'!$H:$H,'Source 2025'!$B:$B,$A14,'Source 2025'!$A:$A,"Quantity (units)")+SUMIFS('Source 2025'!$M:$M,'Source 2025'!$B:$B,$A14,'Source 2025'!$A:$A,"Quantity (units)")+SUMIFS('Source 2025'!$N:$N,'Source 2025'!$B:$B,$A14,'Source 2025'!$A:$A,"Quantity (units)")+SUMIFS('Source 2025'!$S:$S,'Source 2025'!$B:$B,$A14,'Source 2025'!$A:$A,"Quantity (units)")+SUMIFS('Source 2025'!$U:$U,'Source 2025'!$B:$B,$A14,'Source 2025'!$A:$A,"Quantity (units)")+SUMIFS('Source 2025'!$D:$D,'Source 2025'!$B:$B,$A14,'Source 2025'!$A:$A,"Quantity (units)")+SUMIFS('Source 2025'!$E:$E,'Source 2025'!$B:$B,$A14,'Source 2025'!$A:$A,"Quantity (units)")+SUMIFS('Source 2025'!$G:$G,'Source 2025'!$B:$B,$A14,'Source 2025'!$A:$A,"Quantity (units)")</f>
        <v>19</v>
      </c>
      <c r="D14" s="9" t="n">
        <f aca="false">SUMIFS('Source 2026'!$F:$F,'Source 2026'!$B:$B,$A14,'Source 2026'!$A:$A,"Quantity (units)")+SUMIFS('Source 2026'!$H:$H,'Source 2026'!$B:$B,$A14,'Source 2026'!$A:$A,"Quantity (units)")+SUMIFS('Source 2026'!$M:$M,'Source 2026'!$B:$B,$A14,'Source 2026'!$A:$A,"Quantity (units)")+SUMIFS('Source 2026'!$N:$N,'Source 2026'!$B:$B,$A14,'Source 2026'!$A:$A,"Quantity (units)")+SUMIFS('Source 2026'!$S:$S,'Source 2026'!$B:$B,$A14,'Source 2026'!$A:$A,"Quantity (units)")+SUMIFS('Source 2026'!$U:$U,'Source 2026'!$B:$B,$A14,'Source 2026'!$A:$A,"Quantity (units)")+SUMIFS('Source 2026'!$D:$D,'Source 2026'!$B:$B,$A14,'Source 2026'!$A:$A,"Quantity (units)")+SUMIFS('Source 2026'!$E:$E,'Source 2026'!$B:$B,$A14,'Source 2026'!$A:$A,"Quantity (units)")+SUMIFS('Source 2026'!$G:$G,'Source 2026'!$B:$B,$A14,'Source 2026'!$A:$A,"Quantity (units)")</f>
        <v>114</v>
      </c>
      <c r="E14" s="9" t="n">
        <f aca="false">D14*$J$5</f>
        <v>144</v>
      </c>
      <c r="F14" s="9" t="n">
        <f aca="false">E14-C14</f>
        <v>125</v>
      </c>
      <c r="G14" s="11" t="n">
        <f aca="false">IF(AND(C14=0,E14=0),0,IF(C14=0,"New",(E14-C14)/C14))</f>
        <v>6.57894736842105</v>
      </c>
      <c r="H14" s="9" t="n">
        <f aca="false">SUMIFS('Source 2025'!$F:$F,'Source 2025'!$B:$B,$A14,'Source 2025'!$A:$A,"Amount (NIS)")+SUMIFS('Source 2025'!$H:$H,'Source 2025'!$B:$B,$A14,'Source 2025'!$A:$A,"Amount (NIS)")+SUMIFS('Source 2025'!$M:$M,'Source 2025'!$B:$B,$A14,'Source 2025'!$A:$A,"Amount (NIS)")+SUMIFS('Source 2025'!$N:$N,'Source 2025'!$B:$B,$A14,'Source 2025'!$A:$A,"Amount (NIS)")+SUMIFS('Source 2025'!$S:$S,'Source 2025'!$B:$B,$A14,'Source 2025'!$A:$A,"Amount (NIS)")+SUMIFS('Source 2025'!$U:$U,'Source 2025'!$B:$B,$A14,'Source 2025'!$A:$A,"Amount (NIS)")+SUMIFS('Source 2025'!$D:$D,'Source 2025'!$B:$B,$A14,'Source 2025'!$A:$A,"Amount (NIS)")+SUMIFS('Source 2025'!$E:$E,'Source 2025'!$B:$B,$A14,'Source 2025'!$A:$A,"Amount (NIS)")+SUMIFS('Source 2025'!$G:$G,'Source 2025'!$B:$B,$A14,'Source 2025'!$A:$A,"Amount (NIS)")</f>
        <v>4034.6</v>
      </c>
      <c r="I14" s="9" t="n">
        <f aca="false">SUMIFS('Source 2026'!$F:$F,'Source 2026'!$B:$B,$A14,'Source 2026'!$A:$A,"Amount (NIS)")+SUMIFS('Source 2026'!$H:$H,'Source 2026'!$B:$B,$A14,'Source 2026'!$A:$A,"Amount (NIS)")+SUMIFS('Source 2026'!$M:$M,'Source 2026'!$B:$B,$A14,'Source 2026'!$A:$A,"Amount (NIS)")+SUMIFS('Source 2026'!$N:$N,'Source 2026'!$B:$B,$A14,'Source 2026'!$A:$A,"Amount (NIS)")+SUMIFS('Source 2026'!$S:$S,'Source 2026'!$B:$B,$A14,'Source 2026'!$A:$A,"Amount (NIS)")+SUMIFS('Source 2026'!$U:$U,'Source 2026'!$B:$B,$A14,'Source 2026'!$A:$A,"Amount (NIS)")+SUMIFS('Source 2026'!$D:$D,'Source 2026'!$B:$B,$A14,'Source 2026'!$A:$A,"Amount (NIS)")+SUMIFS('Source 2026'!$E:$E,'Source 2026'!$B:$B,$A14,'Source 2026'!$A:$A,"Amount (NIS)")+SUMIFS('Source 2026'!$G:$G,'Source 2026'!$B:$B,$A14,'Source 2026'!$A:$A,"Amount (NIS)")</f>
        <v>23279.6</v>
      </c>
      <c r="J14" s="9" t="n">
        <f aca="false">I14*$J$5</f>
        <v>29405.8105263158</v>
      </c>
      <c r="K14" s="9" t="n">
        <f aca="false">J14-H14</f>
        <v>25371.2105263158</v>
      </c>
      <c r="L14" s="11" t="n">
        <f aca="false">IF(AND(H14=0,J14=0),0,IF(H14=0,"New",(J14-H14)/H14))</f>
        <v>6.28840790321613</v>
      </c>
    </row>
    <row r="15" customFormat="false" ht="15" hidden="false" customHeight="true" outlineLevel="0" collapsed="false">
      <c r="A15" s="8" t="s">
        <v>84</v>
      </c>
      <c r="B15" s="8" t="str">
        <f aca="false">IFERROR(INDEX('Source 2026'!$C:$C,MATCH($A15,'Source 2026'!$B:$B,0)),IFERROR(INDEX('Source 2025'!$C:$C,MATCH($A15,'Source 2025'!$B:$B,0)),""))</f>
        <v>L עקבים לדורבן-זוג כריות</v>
      </c>
      <c r="C15" s="9" t="n">
        <f aca="false">SUMIFS('Source 2025'!$F:$F,'Source 2025'!$B:$B,$A15,'Source 2025'!$A:$A,"Quantity (units)")+SUMIFS('Source 2025'!$H:$H,'Source 2025'!$B:$B,$A15,'Source 2025'!$A:$A,"Quantity (units)")+SUMIFS('Source 2025'!$M:$M,'Source 2025'!$B:$B,$A15,'Source 2025'!$A:$A,"Quantity (units)")+SUMIFS('Source 2025'!$N:$N,'Source 2025'!$B:$B,$A15,'Source 2025'!$A:$A,"Quantity (units)")+SUMIFS('Source 2025'!$S:$S,'Source 2025'!$B:$B,$A15,'Source 2025'!$A:$A,"Quantity (units)")+SUMIFS('Source 2025'!$U:$U,'Source 2025'!$B:$B,$A15,'Source 2025'!$A:$A,"Quantity (units)")+SUMIFS('Source 2025'!$D:$D,'Source 2025'!$B:$B,$A15,'Source 2025'!$A:$A,"Quantity (units)")+SUMIFS('Source 2025'!$E:$E,'Source 2025'!$B:$B,$A15,'Source 2025'!$A:$A,"Quantity (units)")+SUMIFS('Source 2025'!$G:$G,'Source 2025'!$B:$B,$A15,'Source 2025'!$A:$A,"Quantity (units)")</f>
        <v>465</v>
      </c>
      <c r="D15" s="9" t="n">
        <f aca="false">SUMIFS('Source 2026'!$F:$F,'Source 2026'!$B:$B,$A15,'Source 2026'!$A:$A,"Quantity (units)")+SUMIFS('Source 2026'!$H:$H,'Source 2026'!$B:$B,$A15,'Source 2026'!$A:$A,"Quantity (units)")+SUMIFS('Source 2026'!$M:$M,'Source 2026'!$B:$B,$A15,'Source 2026'!$A:$A,"Quantity (units)")+SUMIFS('Source 2026'!$N:$N,'Source 2026'!$B:$B,$A15,'Source 2026'!$A:$A,"Quantity (units)")+SUMIFS('Source 2026'!$S:$S,'Source 2026'!$B:$B,$A15,'Source 2026'!$A:$A,"Quantity (units)")+SUMIFS('Source 2026'!$U:$U,'Source 2026'!$B:$B,$A15,'Source 2026'!$A:$A,"Quantity (units)")+SUMIFS('Source 2026'!$D:$D,'Source 2026'!$B:$B,$A15,'Source 2026'!$A:$A,"Quantity (units)")+SUMIFS('Source 2026'!$E:$E,'Source 2026'!$B:$B,$A15,'Source 2026'!$A:$A,"Quantity (units)")+SUMIFS('Source 2026'!$G:$G,'Source 2026'!$B:$B,$A15,'Source 2026'!$A:$A,"Quantity (units)")</f>
        <v>238</v>
      </c>
      <c r="E15" s="9" t="n">
        <f aca="false">D15*$J$5</f>
        <v>300.631578947368</v>
      </c>
      <c r="F15" s="9" t="n">
        <f aca="false">E15-C15</f>
        <v>-164.368421052632</v>
      </c>
      <c r="G15" s="11" t="n">
        <f aca="false">IF(AND(C15=0,E15=0),0,IF(C15=0,"New",(E15-C15)/C15))</f>
        <v>-0.353480475382004</v>
      </c>
      <c r="H15" s="9" t="n">
        <f aca="false">SUMIFS('Source 2025'!$F:$F,'Source 2025'!$B:$B,$A15,'Source 2025'!$A:$A,"Amount (NIS)")+SUMIFS('Source 2025'!$H:$H,'Source 2025'!$B:$B,$A15,'Source 2025'!$A:$A,"Amount (NIS)")+SUMIFS('Source 2025'!$M:$M,'Source 2025'!$B:$B,$A15,'Source 2025'!$A:$A,"Amount (NIS)")+SUMIFS('Source 2025'!$N:$N,'Source 2025'!$B:$B,$A15,'Source 2025'!$A:$A,"Amount (NIS)")+SUMIFS('Source 2025'!$S:$S,'Source 2025'!$B:$B,$A15,'Source 2025'!$A:$A,"Amount (NIS)")+SUMIFS('Source 2025'!$U:$U,'Source 2025'!$B:$B,$A15,'Source 2025'!$A:$A,"Amount (NIS)")+SUMIFS('Source 2025'!$D:$D,'Source 2025'!$B:$B,$A15,'Source 2025'!$A:$A,"Amount (NIS)")+SUMIFS('Source 2025'!$E:$E,'Source 2025'!$B:$B,$A15,'Source 2025'!$A:$A,"Amount (NIS)")+SUMIFS('Source 2025'!$G:$G,'Source 2025'!$B:$B,$A15,'Source 2025'!$A:$A,"Amount (NIS)")</f>
        <v>37777.7</v>
      </c>
      <c r="I15" s="9" t="n">
        <f aca="false">SUMIFS('Source 2026'!$F:$F,'Source 2026'!$B:$B,$A15,'Source 2026'!$A:$A,"Amount (NIS)")+SUMIFS('Source 2026'!$H:$H,'Source 2026'!$B:$B,$A15,'Source 2026'!$A:$A,"Amount (NIS)")+SUMIFS('Source 2026'!$M:$M,'Source 2026'!$B:$B,$A15,'Source 2026'!$A:$A,"Amount (NIS)")+SUMIFS('Source 2026'!$N:$N,'Source 2026'!$B:$B,$A15,'Source 2026'!$A:$A,"Amount (NIS)")+SUMIFS('Source 2026'!$S:$S,'Source 2026'!$B:$B,$A15,'Source 2026'!$A:$A,"Amount (NIS)")+SUMIFS('Source 2026'!$U:$U,'Source 2026'!$B:$B,$A15,'Source 2026'!$A:$A,"Amount (NIS)")+SUMIFS('Source 2026'!$D:$D,'Source 2026'!$B:$B,$A15,'Source 2026'!$A:$A,"Amount (NIS)")+SUMIFS('Source 2026'!$E:$E,'Source 2026'!$B:$B,$A15,'Source 2026'!$A:$A,"Amount (NIS)")+SUMIFS('Source 2026'!$G:$G,'Source 2026'!$B:$B,$A15,'Source 2026'!$A:$A,"Amount (NIS)")</f>
        <v>20230.4</v>
      </c>
      <c r="J15" s="9" t="n">
        <f aca="false">I15*$J$5</f>
        <v>25554.1894736842</v>
      </c>
      <c r="K15" s="9" t="n">
        <f aca="false">J15-H15</f>
        <v>-12223.5105263158</v>
      </c>
      <c r="L15" s="11" t="n">
        <f aca="false">IF(AND(H15=0,J15=0),0,IF(H15=0,"New",(J15-H15)/H15))</f>
        <v>-0.323564180093436</v>
      </c>
    </row>
    <row r="16" customFormat="false" ht="15" hidden="false" customHeight="true" outlineLevel="0" collapsed="false">
      <c r="A16" s="8" t="s">
        <v>85</v>
      </c>
      <c r="B16" s="8" t="str">
        <f aca="false">IFERROR(INDEX('Source 2026'!$C:$C,MATCH($A16,'Source 2026'!$B:$B,0)),IFERROR(INDEX('Source 2025'!$C:$C,MATCH($A16,'Source 2025'!$B:$B,0)),""))</f>
        <v>L סד ליד דו צדדי לאחר שבר</v>
      </c>
      <c r="C16" s="9" t="n">
        <f aca="false">SUMIFS('Source 2025'!$F:$F,'Source 2025'!$B:$B,$A16,'Source 2025'!$A:$A,"Quantity (units)")+SUMIFS('Source 2025'!$H:$H,'Source 2025'!$B:$B,$A16,'Source 2025'!$A:$A,"Quantity (units)")+SUMIFS('Source 2025'!$M:$M,'Source 2025'!$B:$B,$A16,'Source 2025'!$A:$A,"Quantity (units)")+SUMIFS('Source 2025'!$N:$N,'Source 2025'!$B:$B,$A16,'Source 2025'!$A:$A,"Quantity (units)")+SUMIFS('Source 2025'!$S:$S,'Source 2025'!$B:$B,$A16,'Source 2025'!$A:$A,"Quantity (units)")+SUMIFS('Source 2025'!$U:$U,'Source 2025'!$B:$B,$A16,'Source 2025'!$A:$A,"Quantity (units)")+SUMIFS('Source 2025'!$D:$D,'Source 2025'!$B:$B,$A16,'Source 2025'!$A:$A,"Quantity (units)")+SUMIFS('Source 2025'!$E:$E,'Source 2025'!$B:$B,$A16,'Source 2025'!$A:$A,"Quantity (units)")+SUMIFS('Source 2025'!$G:$G,'Source 2025'!$B:$B,$A16,'Source 2025'!$A:$A,"Quantity (units)")</f>
        <v>323</v>
      </c>
      <c r="D16" s="9" t="n">
        <f aca="false">SUMIFS('Source 2026'!$F:$F,'Source 2026'!$B:$B,$A16,'Source 2026'!$A:$A,"Quantity (units)")+SUMIFS('Source 2026'!$H:$H,'Source 2026'!$B:$B,$A16,'Source 2026'!$A:$A,"Quantity (units)")+SUMIFS('Source 2026'!$M:$M,'Source 2026'!$B:$B,$A16,'Source 2026'!$A:$A,"Quantity (units)")+SUMIFS('Source 2026'!$N:$N,'Source 2026'!$B:$B,$A16,'Source 2026'!$A:$A,"Quantity (units)")+SUMIFS('Source 2026'!$S:$S,'Source 2026'!$B:$B,$A16,'Source 2026'!$A:$A,"Quantity (units)")+SUMIFS('Source 2026'!$U:$U,'Source 2026'!$B:$B,$A16,'Source 2026'!$A:$A,"Quantity (units)")+SUMIFS('Source 2026'!$D:$D,'Source 2026'!$B:$B,$A16,'Source 2026'!$A:$A,"Quantity (units)")+SUMIFS('Source 2026'!$E:$E,'Source 2026'!$B:$B,$A16,'Source 2026'!$A:$A,"Quantity (units)")+SUMIFS('Source 2026'!$G:$G,'Source 2026'!$B:$B,$A16,'Source 2026'!$A:$A,"Quantity (units)")</f>
        <v>157</v>
      </c>
      <c r="E16" s="9" t="n">
        <f aca="false">D16*$J$5</f>
        <v>198.315789473684</v>
      </c>
      <c r="F16" s="9" t="n">
        <f aca="false">E16-C16</f>
        <v>-124.684210526316</v>
      </c>
      <c r="G16" s="11" t="n">
        <f aca="false">IF(AND(C16=0,E16=0),0,IF(C16=0,"New",(E16-C16)/C16))</f>
        <v>-0.386019227635653</v>
      </c>
      <c r="H16" s="9" t="n">
        <f aca="false">SUMIFS('Source 2025'!$F:$F,'Source 2025'!$B:$B,$A16,'Source 2025'!$A:$A,"Amount (NIS)")+SUMIFS('Source 2025'!$H:$H,'Source 2025'!$B:$B,$A16,'Source 2025'!$A:$A,"Amount (NIS)")+SUMIFS('Source 2025'!$M:$M,'Source 2025'!$B:$B,$A16,'Source 2025'!$A:$A,"Amount (NIS)")+SUMIFS('Source 2025'!$N:$N,'Source 2025'!$B:$B,$A16,'Source 2025'!$A:$A,"Amount (NIS)")+SUMIFS('Source 2025'!$S:$S,'Source 2025'!$B:$B,$A16,'Source 2025'!$A:$A,"Amount (NIS)")+SUMIFS('Source 2025'!$U:$U,'Source 2025'!$B:$B,$A16,'Source 2025'!$A:$A,"Amount (NIS)")+SUMIFS('Source 2025'!$D:$D,'Source 2025'!$B:$B,$A16,'Source 2025'!$A:$A,"Amount (NIS)")+SUMIFS('Source 2025'!$E:$E,'Source 2025'!$B:$B,$A16,'Source 2025'!$A:$A,"Amount (NIS)")+SUMIFS('Source 2025'!$G:$G,'Source 2025'!$B:$B,$A16,'Source 2025'!$A:$A,"Amount (NIS)")</f>
        <v>31686.2</v>
      </c>
      <c r="I16" s="9" t="n">
        <f aca="false">SUMIFS('Source 2026'!$F:$F,'Source 2026'!$B:$B,$A16,'Source 2026'!$A:$A,"Amount (NIS)")+SUMIFS('Source 2026'!$H:$H,'Source 2026'!$B:$B,$A16,'Source 2026'!$A:$A,"Amount (NIS)")+SUMIFS('Source 2026'!$M:$M,'Source 2026'!$B:$B,$A16,'Source 2026'!$A:$A,"Amount (NIS)")+SUMIFS('Source 2026'!$N:$N,'Source 2026'!$B:$B,$A16,'Source 2026'!$A:$A,"Amount (NIS)")+SUMIFS('Source 2026'!$S:$S,'Source 2026'!$B:$B,$A16,'Source 2026'!$A:$A,"Amount (NIS)")+SUMIFS('Source 2026'!$U:$U,'Source 2026'!$B:$B,$A16,'Source 2026'!$A:$A,"Amount (NIS)")+SUMIFS('Source 2026'!$D:$D,'Source 2026'!$B:$B,$A16,'Source 2026'!$A:$A,"Amount (NIS)")+SUMIFS('Source 2026'!$E:$E,'Source 2026'!$B:$B,$A16,'Source 2026'!$A:$A,"Amount (NIS)")+SUMIFS('Source 2026'!$G:$G,'Source 2026'!$B:$B,$A16,'Source 2026'!$A:$A,"Amount (NIS)")</f>
        <v>15510.4</v>
      </c>
      <c r="J16" s="9" t="n">
        <f aca="false">I16*$J$5</f>
        <v>19592.0842105263</v>
      </c>
      <c r="K16" s="9" t="n">
        <f aca="false">J16-H16</f>
        <v>-12094.1157894737</v>
      </c>
      <c r="L16" s="11" t="n">
        <f aca="false">IF(AND(H16=0,J16=0),0,IF(H16=0,"New",(J16-H16)/H16))</f>
        <v>-0.381684007216823</v>
      </c>
    </row>
    <row r="17" customFormat="false" ht="15" hidden="false" customHeight="true" outlineLevel="0" collapsed="false">
      <c r="A17" s="8" t="s">
        <v>86</v>
      </c>
      <c r="B17" s="8" t="str">
        <f aca="false">IFERROR(INDEX('Source 2026'!$C:$C,MATCH($A17,'Source 2026'!$B:$B,0)),IFERROR(INDEX('Source 2025'!$C:$C,MATCH($A17,'Source 2025'!$B:$B,0)),""))</f>
        <v>L צוארון ספוגי</v>
      </c>
      <c r="C17" s="9" t="n">
        <f aca="false">SUMIFS('Source 2025'!$F:$F,'Source 2025'!$B:$B,$A17,'Source 2025'!$A:$A,"Quantity (units)")+SUMIFS('Source 2025'!$H:$H,'Source 2025'!$B:$B,$A17,'Source 2025'!$A:$A,"Quantity (units)")+SUMIFS('Source 2025'!$M:$M,'Source 2025'!$B:$B,$A17,'Source 2025'!$A:$A,"Quantity (units)")+SUMIFS('Source 2025'!$N:$N,'Source 2025'!$B:$B,$A17,'Source 2025'!$A:$A,"Quantity (units)")+SUMIFS('Source 2025'!$S:$S,'Source 2025'!$B:$B,$A17,'Source 2025'!$A:$A,"Quantity (units)")+SUMIFS('Source 2025'!$U:$U,'Source 2025'!$B:$B,$A17,'Source 2025'!$A:$A,"Quantity (units)")+SUMIFS('Source 2025'!$D:$D,'Source 2025'!$B:$B,$A17,'Source 2025'!$A:$A,"Quantity (units)")+SUMIFS('Source 2025'!$E:$E,'Source 2025'!$B:$B,$A17,'Source 2025'!$A:$A,"Quantity (units)")+SUMIFS('Source 2025'!$G:$G,'Source 2025'!$B:$B,$A17,'Source 2025'!$A:$A,"Quantity (units)")</f>
        <v>539</v>
      </c>
      <c r="D17" s="9" t="n">
        <f aca="false">SUMIFS('Source 2026'!$F:$F,'Source 2026'!$B:$B,$A17,'Source 2026'!$A:$A,"Quantity (units)")+SUMIFS('Source 2026'!$H:$H,'Source 2026'!$B:$B,$A17,'Source 2026'!$A:$A,"Quantity (units)")+SUMIFS('Source 2026'!$M:$M,'Source 2026'!$B:$B,$A17,'Source 2026'!$A:$A,"Quantity (units)")+SUMIFS('Source 2026'!$N:$N,'Source 2026'!$B:$B,$A17,'Source 2026'!$A:$A,"Quantity (units)")+SUMIFS('Source 2026'!$S:$S,'Source 2026'!$B:$B,$A17,'Source 2026'!$A:$A,"Quantity (units)")+SUMIFS('Source 2026'!$U:$U,'Source 2026'!$B:$B,$A17,'Source 2026'!$A:$A,"Quantity (units)")+SUMIFS('Source 2026'!$D:$D,'Source 2026'!$B:$B,$A17,'Source 2026'!$A:$A,"Quantity (units)")+SUMIFS('Source 2026'!$E:$E,'Source 2026'!$B:$B,$A17,'Source 2026'!$A:$A,"Quantity (units)")+SUMIFS('Source 2026'!$G:$G,'Source 2026'!$B:$B,$A17,'Source 2026'!$A:$A,"Quantity (units)")</f>
        <v>227</v>
      </c>
      <c r="E17" s="9" t="n">
        <f aca="false">D17*$J$5</f>
        <v>286.736842105263</v>
      </c>
      <c r="F17" s="9" t="n">
        <f aca="false">E17-C17</f>
        <v>-252.263157894737</v>
      </c>
      <c r="G17" s="11" t="n">
        <f aca="false">IF(AND(C17=0,E17=0),0,IF(C17=0,"New",(E17-C17)/C17))</f>
        <v>-0.468020701103408</v>
      </c>
      <c r="H17" s="9" t="n">
        <f aca="false">SUMIFS('Source 2025'!$F:$F,'Source 2025'!$B:$B,$A17,'Source 2025'!$A:$A,"Amount (NIS)")+SUMIFS('Source 2025'!$H:$H,'Source 2025'!$B:$B,$A17,'Source 2025'!$A:$A,"Amount (NIS)")+SUMIFS('Source 2025'!$M:$M,'Source 2025'!$B:$B,$A17,'Source 2025'!$A:$A,"Amount (NIS)")+SUMIFS('Source 2025'!$N:$N,'Source 2025'!$B:$B,$A17,'Source 2025'!$A:$A,"Amount (NIS)")+SUMIFS('Source 2025'!$S:$S,'Source 2025'!$B:$B,$A17,'Source 2025'!$A:$A,"Amount (NIS)")+SUMIFS('Source 2025'!$U:$U,'Source 2025'!$B:$B,$A17,'Source 2025'!$A:$A,"Amount (NIS)")+SUMIFS('Source 2025'!$D:$D,'Source 2025'!$B:$B,$A17,'Source 2025'!$A:$A,"Amount (NIS)")+SUMIFS('Source 2025'!$E:$E,'Source 2025'!$B:$B,$A17,'Source 2025'!$A:$A,"Amount (NIS)")+SUMIFS('Source 2025'!$G:$G,'Source 2025'!$B:$B,$A17,'Source 2025'!$A:$A,"Amount (NIS)")</f>
        <v>26071.2</v>
      </c>
      <c r="I17" s="9" t="n">
        <f aca="false">SUMIFS('Source 2026'!$F:$F,'Source 2026'!$B:$B,$A17,'Source 2026'!$A:$A,"Amount (NIS)")+SUMIFS('Source 2026'!$H:$H,'Source 2026'!$B:$B,$A17,'Source 2026'!$A:$A,"Amount (NIS)")+SUMIFS('Source 2026'!$M:$M,'Source 2026'!$B:$B,$A17,'Source 2026'!$A:$A,"Amount (NIS)")+SUMIFS('Source 2026'!$N:$N,'Source 2026'!$B:$B,$A17,'Source 2026'!$A:$A,"Amount (NIS)")+SUMIFS('Source 2026'!$S:$S,'Source 2026'!$B:$B,$A17,'Source 2026'!$A:$A,"Amount (NIS)")+SUMIFS('Source 2026'!$U:$U,'Source 2026'!$B:$B,$A17,'Source 2026'!$A:$A,"Amount (NIS)")+SUMIFS('Source 2026'!$D:$D,'Source 2026'!$B:$B,$A17,'Source 2026'!$A:$A,"Amount (NIS)")+SUMIFS('Source 2026'!$E:$E,'Source 2026'!$B:$B,$A17,'Source 2026'!$A:$A,"Amount (NIS)")+SUMIFS('Source 2026'!$G:$G,'Source 2026'!$B:$B,$A17,'Source 2026'!$A:$A,"Amount (NIS)")</f>
        <v>11000.8</v>
      </c>
      <c r="J17" s="9" t="n">
        <f aca="false">I17*$J$5</f>
        <v>13895.7473684211</v>
      </c>
      <c r="K17" s="9" t="n">
        <f aca="false">J17-H17</f>
        <v>-12175.452631579</v>
      </c>
      <c r="L17" s="11" t="n">
        <f aca="false">IF(AND(H17=0,J17=0),0,IF(H17=0,"New",(J17-H17)/H17))</f>
        <v>-0.467007756895691</v>
      </c>
    </row>
    <row r="18" customFormat="false" ht="15" hidden="false" customHeight="true" outlineLevel="0" collapsed="false">
      <c r="A18" s="8" t="s">
        <v>87</v>
      </c>
      <c r="B18" s="8" t="str">
        <f aca="false">IFERROR(INDEX('Source 2026'!$C:$C,MATCH($A18,'Source 2026'!$B:$B,0)),IFERROR(INDEX('Source 2025'!$C:$C,MATCH($A18,'Source 2025'!$B:$B,0)),""))</f>
        <v>S מגן ברך חום</v>
      </c>
      <c r="C18" s="9" t="n">
        <f aca="false">SUMIFS('Source 2025'!$F:$F,'Source 2025'!$B:$B,$A18,'Source 2025'!$A:$A,"Quantity (units)")+SUMIFS('Source 2025'!$H:$H,'Source 2025'!$B:$B,$A18,'Source 2025'!$A:$A,"Quantity (units)")+SUMIFS('Source 2025'!$M:$M,'Source 2025'!$B:$B,$A18,'Source 2025'!$A:$A,"Quantity (units)")+SUMIFS('Source 2025'!$N:$N,'Source 2025'!$B:$B,$A18,'Source 2025'!$A:$A,"Quantity (units)")+SUMIFS('Source 2025'!$S:$S,'Source 2025'!$B:$B,$A18,'Source 2025'!$A:$A,"Quantity (units)")+SUMIFS('Source 2025'!$U:$U,'Source 2025'!$B:$B,$A18,'Source 2025'!$A:$A,"Quantity (units)")+SUMIFS('Source 2025'!$D:$D,'Source 2025'!$B:$B,$A18,'Source 2025'!$A:$A,"Quantity (units)")+SUMIFS('Source 2025'!$E:$E,'Source 2025'!$B:$B,$A18,'Source 2025'!$A:$A,"Quantity (units)")+SUMIFS('Source 2025'!$G:$G,'Source 2025'!$B:$B,$A18,'Source 2025'!$A:$A,"Quantity (units)")</f>
        <v>1325</v>
      </c>
      <c r="D18" s="9" t="n">
        <f aca="false">SUMIFS('Source 2026'!$F:$F,'Source 2026'!$B:$B,$A18,'Source 2026'!$A:$A,"Quantity (units)")+SUMIFS('Source 2026'!$H:$H,'Source 2026'!$B:$B,$A18,'Source 2026'!$A:$A,"Quantity (units)")+SUMIFS('Source 2026'!$M:$M,'Source 2026'!$B:$B,$A18,'Source 2026'!$A:$A,"Quantity (units)")+SUMIFS('Source 2026'!$N:$N,'Source 2026'!$B:$B,$A18,'Source 2026'!$A:$A,"Quantity (units)")+SUMIFS('Source 2026'!$S:$S,'Source 2026'!$B:$B,$A18,'Source 2026'!$A:$A,"Quantity (units)")+SUMIFS('Source 2026'!$U:$U,'Source 2026'!$B:$B,$A18,'Source 2026'!$A:$A,"Quantity (units)")+SUMIFS('Source 2026'!$D:$D,'Source 2026'!$B:$B,$A18,'Source 2026'!$A:$A,"Quantity (units)")+SUMIFS('Source 2026'!$E:$E,'Source 2026'!$B:$B,$A18,'Source 2026'!$A:$A,"Quantity (units)")+SUMIFS('Source 2026'!$G:$G,'Source 2026'!$B:$B,$A18,'Source 2026'!$A:$A,"Quantity (units)")</f>
        <v>888</v>
      </c>
      <c r="E18" s="9" t="n">
        <f aca="false">D18*$J$5</f>
        <v>1121.68421052632</v>
      </c>
      <c r="F18" s="9" t="n">
        <f aca="false">E18-C18</f>
        <v>-203.315789473684</v>
      </c>
      <c r="G18" s="11" t="n">
        <f aca="false">IF(AND(C18=0,E18=0),0,IF(C18=0,"New",(E18-C18)/C18))</f>
        <v>-0.153445878848064</v>
      </c>
      <c r="H18" s="9" t="n">
        <f aca="false">SUMIFS('Source 2025'!$F:$F,'Source 2025'!$B:$B,$A18,'Source 2025'!$A:$A,"Amount (NIS)")+SUMIFS('Source 2025'!$H:$H,'Source 2025'!$B:$B,$A18,'Source 2025'!$A:$A,"Amount (NIS)")+SUMIFS('Source 2025'!$M:$M,'Source 2025'!$B:$B,$A18,'Source 2025'!$A:$A,"Amount (NIS)")+SUMIFS('Source 2025'!$N:$N,'Source 2025'!$B:$B,$A18,'Source 2025'!$A:$A,"Amount (NIS)")+SUMIFS('Source 2025'!$S:$S,'Source 2025'!$B:$B,$A18,'Source 2025'!$A:$A,"Amount (NIS)")+SUMIFS('Source 2025'!$U:$U,'Source 2025'!$B:$B,$A18,'Source 2025'!$A:$A,"Amount (NIS)")+SUMIFS('Source 2025'!$D:$D,'Source 2025'!$B:$B,$A18,'Source 2025'!$A:$A,"Amount (NIS)")+SUMIFS('Source 2025'!$E:$E,'Source 2025'!$B:$B,$A18,'Source 2025'!$A:$A,"Amount (NIS)")+SUMIFS('Source 2025'!$G:$G,'Source 2025'!$B:$B,$A18,'Source 2025'!$A:$A,"Amount (NIS)")</f>
        <v>39752.6</v>
      </c>
      <c r="I18" s="9" t="n">
        <f aca="false">SUMIFS('Source 2026'!$F:$F,'Source 2026'!$B:$B,$A18,'Source 2026'!$A:$A,"Amount (NIS)")+SUMIFS('Source 2026'!$H:$H,'Source 2026'!$B:$B,$A18,'Source 2026'!$A:$A,"Amount (NIS)")+SUMIFS('Source 2026'!$M:$M,'Source 2026'!$B:$B,$A18,'Source 2026'!$A:$A,"Amount (NIS)")+SUMIFS('Source 2026'!$N:$N,'Source 2026'!$B:$B,$A18,'Source 2026'!$A:$A,"Amount (NIS)")+SUMIFS('Source 2026'!$S:$S,'Source 2026'!$B:$B,$A18,'Source 2026'!$A:$A,"Amount (NIS)")+SUMIFS('Source 2026'!$U:$U,'Source 2026'!$B:$B,$A18,'Source 2026'!$A:$A,"Amount (NIS)")+SUMIFS('Source 2026'!$D:$D,'Source 2026'!$B:$B,$A18,'Source 2026'!$A:$A,"Amount (NIS)")+SUMIFS('Source 2026'!$E:$E,'Source 2026'!$B:$B,$A18,'Source 2026'!$A:$A,"Amount (NIS)")+SUMIFS('Source 2026'!$G:$G,'Source 2026'!$B:$B,$A18,'Source 2026'!$A:$A,"Amount (NIS)")</f>
        <v>26812.5</v>
      </c>
      <c r="J18" s="9" t="n">
        <f aca="false">I18*$J$5</f>
        <v>33868.4210526316</v>
      </c>
      <c r="K18" s="9" t="n">
        <f aca="false">J18-H18</f>
        <v>-5884.17894736842</v>
      </c>
      <c r="L18" s="11" t="n">
        <f aca="false">IF(AND(H18=0,J18=0),0,IF(H18=0,"New",(J18-H18)/H18))</f>
        <v>-0.148019977243461</v>
      </c>
    </row>
    <row r="19" customFormat="false" ht="15" hidden="false" customHeight="true" outlineLevel="0" collapsed="false">
      <c r="A19" s="8" t="s">
        <v>88</v>
      </c>
      <c r="B19" s="8" t="str">
        <f aca="false">IFERROR(INDEX('Source 2026'!$C:$C,MATCH($A19,'Source 2026'!$B:$B,0)),IFERROR(INDEX('Source 2025'!$C:$C,MATCH($A19,'Source 2025'!$B:$B,0)),""))</f>
        <v>סד ליד דו צדדי</v>
      </c>
      <c r="C19" s="9" t="n">
        <f aca="false">SUMIFS('Source 2025'!$F:$F,'Source 2025'!$B:$B,$A19,'Source 2025'!$A:$A,"Quantity (units)")+SUMIFS('Source 2025'!$H:$H,'Source 2025'!$B:$B,$A19,'Source 2025'!$A:$A,"Quantity (units)")+SUMIFS('Source 2025'!$M:$M,'Source 2025'!$B:$B,$A19,'Source 2025'!$A:$A,"Quantity (units)")+SUMIFS('Source 2025'!$N:$N,'Source 2025'!$B:$B,$A19,'Source 2025'!$A:$A,"Quantity (units)")+SUMIFS('Source 2025'!$S:$S,'Source 2025'!$B:$B,$A19,'Source 2025'!$A:$A,"Quantity (units)")+SUMIFS('Source 2025'!$U:$U,'Source 2025'!$B:$B,$A19,'Source 2025'!$A:$A,"Quantity (units)")+SUMIFS('Source 2025'!$D:$D,'Source 2025'!$B:$B,$A19,'Source 2025'!$A:$A,"Quantity (units)")+SUMIFS('Source 2025'!$E:$E,'Source 2025'!$B:$B,$A19,'Source 2025'!$A:$A,"Quantity (units)")+SUMIFS('Source 2025'!$G:$G,'Source 2025'!$B:$B,$A19,'Source 2025'!$A:$A,"Quantity (units)")</f>
        <v>502</v>
      </c>
      <c r="D19" s="9" t="n">
        <f aca="false">SUMIFS('Source 2026'!$F:$F,'Source 2026'!$B:$B,$A19,'Source 2026'!$A:$A,"Quantity (units)")+SUMIFS('Source 2026'!$H:$H,'Source 2026'!$B:$B,$A19,'Source 2026'!$A:$A,"Quantity (units)")+SUMIFS('Source 2026'!$M:$M,'Source 2026'!$B:$B,$A19,'Source 2026'!$A:$A,"Quantity (units)")+SUMIFS('Source 2026'!$N:$N,'Source 2026'!$B:$B,$A19,'Source 2026'!$A:$A,"Quantity (units)")+SUMIFS('Source 2026'!$S:$S,'Source 2026'!$B:$B,$A19,'Source 2026'!$A:$A,"Quantity (units)")+SUMIFS('Source 2026'!$U:$U,'Source 2026'!$B:$B,$A19,'Source 2026'!$A:$A,"Quantity (units)")+SUMIFS('Source 2026'!$D:$D,'Source 2026'!$B:$B,$A19,'Source 2026'!$A:$A,"Quantity (units)")+SUMIFS('Source 2026'!$E:$E,'Source 2026'!$B:$B,$A19,'Source 2026'!$A:$A,"Quantity (units)")+SUMIFS('Source 2026'!$G:$G,'Source 2026'!$B:$B,$A19,'Source 2026'!$A:$A,"Quantity (units)")</f>
        <v>336</v>
      </c>
      <c r="E19" s="9" t="n">
        <f aca="false">D19*$J$5</f>
        <v>424.421052631579</v>
      </c>
      <c r="F19" s="9" t="n">
        <f aca="false">E19-C19</f>
        <v>-77.5789473684211</v>
      </c>
      <c r="G19" s="11" t="n">
        <f aca="false">IF(AND(C19=0,E19=0),0,IF(C19=0,"New",(E19-C19)/C19))</f>
        <v>-0.154539735793668</v>
      </c>
      <c r="H19" s="9" t="n">
        <f aca="false">SUMIFS('Source 2025'!$F:$F,'Source 2025'!$B:$B,$A19,'Source 2025'!$A:$A,"Amount (NIS)")+SUMIFS('Source 2025'!$H:$H,'Source 2025'!$B:$B,$A19,'Source 2025'!$A:$A,"Amount (NIS)")+SUMIFS('Source 2025'!$M:$M,'Source 2025'!$B:$B,$A19,'Source 2025'!$A:$A,"Amount (NIS)")+SUMIFS('Source 2025'!$N:$N,'Source 2025'!$B:$B,$A19,'Source 2025'!$A:$A,"Amount (NIS)")+SUMIFS('Source 2025'!$S:$S,'Source 2025'!$B:$B,$A19,'Source 2025'!$A:$A,"Amount (NIS)")+SUMIFS('Source 2025'!$U:$U,'Source 2025'!$B:$B,$A19,'Source 2025'!$A:$A,"Amount (NIS)")+SUMIFS('Source 2025'!$D:$D,'Source 2025'!$B:$B,$A19,'Source 2025'!$A:$A,"Amount (NIS)")+SUMIFS('Source 2025'!$E:$E,'Source 2025'!$B:$B,$A19,'Source 2025'!$A:$A,"Amount (NIS)")+SUMIFS('Source 2025'!$G:$G,'Source 2025'!$B:$B,$A19,'Source 2025'!$A:$A,"Amount (NIS)")</f>
        <v>38890.7</v>
      </c>
      <c r="I19" s="9" t="n">
        <f aca="false">SUMIFS('Source 2026'!$F:$F,'Source 2026'!$B:$B,$A19,'Source 2026'!$A:$A,"Amount (NIS)")+SUMIFS('Source 2026'!$H:$H,'Source 2026'!$B:$B,$A19,'Source 2026'!$A:$A,"Amount (NIS)")+SUMIFS('Source 2026'!$M:$M,'Source 2026'!$B:$B,$A19,'Source 2026'!$A:$A,"Amount (NIS)")+SUMIFS('Source 2026'!$N:$N,'Source 2026'!$B:$B,$A19,'Source 2026'!$A:$A,"Amount (NIS)")+SUMIFS('Source 2026'!$S:$S,'Source 2026'!$B:$B,$A19,'Source 2026'!$A:$A,"Amount (NIS)")+SUMIFS('Source 2026'!$U:$U,'Source 2026'!$B:$B,$A19,'Source 2026'!$A:$A,"Amount (NIS)")+SUMIFS('Source 2026'!$D:$D,'Source 2026'!$B:$B,$A19,'Source 2026'!$A:$A,"Amount (NIS)")+SUMIFS('Source 2026'!$E:$E,'Source 2026'!$B:$B,$A19,'Source 2026'!$A:$A,"Amount (NIS)")+SUMIFS('Source 2026'!$G:$G,'Source 2026'!$B:$B,$A19,'Source 2026'!$A:$A,"Amount (NIS)")</f>
        <v>26201.4</v>
      </c>
      <c r="J19" s="9" t="n">
        <f aca="false">I19*$J$5</f>
        <v>33096.5052631579</v>
      </c>
      <c r="K19" s="9" t="n">
        <f aca="false">J19-H19</f>
        <v>-5794.19473684212</v>
      </c>
      <c r="L19" s="11" t="n">
        <f aca="false">IF(AND(H19=0,J19=0),0,IF(H19=0,"New",(J19-H19)/H19))</f>
        <v>-0.148986640426686</v>
      </c>
    </row>
    <row r="20" customFormat="false" ht="15" hidden="false" customHeight="true" outlineLevel="0" collapsed="false">
      <c r="A20" s="8" t="s">
        <v>89</v>
      </c>
      <c r="B20" s="8" t="str">
        <f aca="false">IFERROR(INDEX('Source 2026'!$C:$C,MATCH($A20,'Source 2026'!$B:$B,0)),IFERROR(INDEX('Source 2025'!$C:$C,MATCH($A20,'Source 2025'!$B:$B,0)),""))</f>
        <v>L סד לאגודל לאחר שבר</v>
      </c>
      <c r="C20" s="9" t="n">
        <f aca="false">SUMIFS('Source 2025'!$F:$F,'Source 2025'!$B:$B,$A20,'Source 2025'!$A:$A,"Quantity (units)")+SUMIFS('Source 2025'!$H:$H,'Source 2025'!$B:$B,$A20,'Source 2025'!$A:$A,"Quantity (units)")+SUMIFS('Source 2025'!$M:$M,'Source 2025'!$B:$B,$A20,'Source 2025'!$A:$A,"Quantity (units)")+SUMIFS('Source 2025'!$N:$N,'Source 2025'!$B:$B,$A20,'Source 2025'!$A:$A,"Quantity (units)")+SUMIFS('Source 2025'!$S:$S,'Source 2025'!$B:$B,$A20,'Source 2025'!$A:$A,"Quantity (units)")+SUMIFS('Source 2025'!$U:$U,'Source 2025'!$B:$B,$A20,'Source 2025'!$A:$A,"Quantity (units)")+SUMIFS('Source 2025'!$D:$D,'Source 2025'!$B:$B,$A20,'Source 2025'!$A:$A,"Quantity (units)")+SUMIFS('Source 2025'!$E:$E,'Source 2025'!$B:$B,$A20,'Source 2025'!$A:$A,"Quantity (units)")+SUMIFS('Source 2025'!$G:$G,'Source 2025'!$B:$B,$A20,'Source 2025'!$A:$A,"Quantity (units)")</f>
        <v>237</v>
      </c>
      <c r="D20" s="9" t="n">
        <f aca="false">SUMIFS('Source 2026'!$F:$F,'Source 2026'!$B:$B,$A20,'Source 2026'!$A:$A,"Quantity (units)")+SUMIFS('Source 2026'!$H:$H,'Source 2026'!$B:$B,$A20,'Source 2026'!$A:$A,"Quantity (units)")+SUMIFS('Source 2026'!$M:$M,'Source 2026'!$B:$B,$A20,'Source 2026'!$A:$A,"Quantity (units)")+SUMIFS('Source 2026'!$N:$N,'Source 2026'!$B:$B,$A20,'Source 2026'!$A:$A,"Quantity (units)")+SUMIFS('Source 2026'!$S:$S,'Source 2026'!$B:$B,$A20,'Source 2026'!$A:$A,"Quantity (units)")+SUMIFS('Source 2026'!$U:$U,'Source 2026'!$B:$B,$A20,'Source 2026'!$A:$A,"Quantity (units)")+SUMIFS('Source 2026'!$D:$D,'Source 2026'!$B:$B,$A20,'Source 2026'!$A:$A,"Quantity (units)")+SUMIFS('Source 2026'!$E:$E,'Source 2026'!$B:$B,$A20,'Source 2026'!$A:$A,"Quantity (units)")+SUMIFS('Source 2026'!$G:$G,'Source 2026'!$B:$B,$A20,'Source 2026'!$A:$A,"Quantity (units)")</f>
        <v>109</v>
      </c>
      <c r="E20" s="9" t="n">
        <f aca="false">D20*$J$5</f>
        <v>137.684210526316</v>
      </c>
      <c r="F20" s="9" t="n">
        <f aca="false">E20-C20</f>
        <v>-99.3157894736842</v>
      </c>
      <c r="G20" s="11" t="n">
        <f aca="false">IF(AND(C20=0,E20=0),0,IF(C20=0,"New",(E20-C20)/C20))</f>
        <v>-0.419053964023984</v>
      </c>
      <c r="H20" s="9" t="n">
        <f aca="false">SUMIFS('Source 2025'!$F:$F,'Source 2025'!$B:$B,$A20,'Source 2025'!$A:$A,"Amount (NIS)")+SUMIFS('Source 2025'!$H:$H,'Source 2025'!$B:$B,$A20,'Source 2025'!$A:$A,"Amount (NIS)")+SUMIFS('Source 2025'!$M:$M,'Source 2025'!$B:$B,$A20,'Source 2025'!$A:$A,"Amount (NIS)")+SUMIFS('Source 2025'!$N:$N,'Source 2025'!$B:$B,$A20,'Source 2025'!$A:$A,"Amount (NIS)")+SUMIFS('Source 2025'!$S:$S,'Source 2025'!$B:$B,$A20,'Source 2025'!$A:$A,"Amount (NIS)")+SUMIFS('Source 2025'!$U:$U,'Source 2025'!$B:$B,$A20,'Source 2025'!$A:$A,"Amount (NIS)")+SUMIFS('Source 2025'!$D:$D,'Source 2025'!$B:$B,$A20,'Source 2025'!$A:$A,"Amount (NIS)")+SUMIFS('Source 2025'!$E:$E,'Source 2025'!$B:$B,$A20,'Source 2025'!$A:$A,"Amount (NIS)")+SUMIFS('Source 2025'!$G:$G,'Source 2025'!$B:$B,$A20,'Source 2025'!$A:$A,"Amount (NIS)")</f>
        <v>23347.4</v>
      </c>
      <c r="I20" s="9" t="n">
        <f aca="false">SUMIFS('Source 2026'!$F:$F,'Source 2026'!$B:$B,$A20,'Source 2026'!$A:$A,"Amount (NIS)")+SUMIFS('Source 2026'!$H:$H,'Source 2026'!$B:$B,$A20,'Source 2026'!$A:$A,"Amount (NIS)")+SUMIFS('Source 2026'!$M:$M,'Source 2026'!$B:$B,$A20,'Source 2026'!$A:$A,"Amount (NIS)")+SUMIFS('Source 2026'!$N:$N,'Source 2026'!$B:$B,$A20,'Source 2026'!$A:$A,"Amount (NIS)")+SUMIFS('Source 2026'!$S:$S,'Source 2026'!$B:$B,$A20,'Source 2026'!$A:$A,"Amount (NIS)")+SUMIFS('Source 2026'!$U:$U,'Source 2026'!$B:$B,$A20,'Source 2026'!$A:$A,"Amount (NIS)")+SUMIFS('Source 2026'!$D:$D,'Source 2026'!$B:$B,$A20,'Source 2026'!$A:$A,"Amount (NIS)")+SUMIFS('Source 2026'!$E:$E,'Source 2026'!$B:$B,$A20,'Source 2026'!$A:$A,"Amount (NIS)")+SUMIFS('Source 2026'!$G:$G,'Source 2026'!$B:$B,$A20,'Source 2026'!$A:$A,"Amount (NIS)")</f>
        <v>10734.8</v>
      </c>
      <c r="J20" s="9" t="n">
        <f aca="false">I20*$J$5</f>
        <v>13559.7473684211</v>
      </c>
      <c r="K20" s="9" t="n">
        <f aca="false">J20-H20</f>
        <v>-9787.65263157895</v>
      </c>
      <c r="L20" s="11" t="n">
        <f aca="false">IF(AND(H20=0,J20=0),0,IF(H20=0,"New",(J20-H20)/H20))</f>
        <v>-0.419218098442608</v>
      </c>
    </row>
    <row r="21" customFormat="false" ht="15" hidden="false" customHeight="true" outlineLevel="0" collapsed="false">
      <c r="A21" s="8" t="s">
        <v>90</v>
      </c>
      <c r="B21" s="8" t="str">
        <f aca="false">IFERROR(INDEX('Source 2026'!$C:$C,MATCH($A21,'Source 2026'!$B:$B,0)),IFERROR(INDEX('Source 2025'!$C:$C,MATCH($A21,'Source 2025'!$B:$B,0)),""))</f>
        <v>L מגן ברך שחור</v>
      </c>
      <c r="C21" s="9" t="n">
        <f aca="false">SUMIFS('Source 2025'!$F:$F,'Source 2025'!$B:$B,$A21,'Source 2025'!$A:$A,"Quantity (units)")+SUMIFS('Source 2025'!$H:$H,'Source 2025'!$B:$B,$A21,'Source 2025'!$A:$A,"Quantity (units)")+SUMIFS('Source 2025'!$M:$M,'Source 2025'!$B:$B,$A21,'Source 2025'!$A:$A,"Quantity (units)")+SUMIFS('Source 2025'!$N:$N,'Source 2025'!$B:$B,$A21,'Source 2025'!$A:$A,"Quantity (units)")+SUMIFS('Source 2025'!$S:$S,'Source 2025'!$B:$B,$A21,'Source 2025'!$A:$A,"Quantity (units)")+SUMIFS('Source 2025'!$U:$U,'Source 2025'!$B:$B,$A21,'Source 2025'!$A:$A,"Quantity (units)")+SUMIFS('Source 2025'!$D:$D,'Source 2025'!$B:$B,$A21,'Source 2025'!$A:$A,"Quantity (units)")+SUMIFS('Source 2025'!$E:$E,'Source 2025'!$B:$B,$A21,'Source 2025'!$A:$A,"Quantity (units)")+SUMIFS('Source 2025'!$G:$G,'Source 2025'!$B:$B,$A21,'Source 2025'!$A:$A,"Quantity (units)")</f>
        <v>1150</v>
      </c>
      <c r="D21" s="9" t="n">
        <f aca="false">SUMIFS('Source 2026'!$F:$F,'Source 2026'!$B:$B,$A21,'Source 2026'!$A:$A,"Quantity (units)")+SUMIFS('Source 2026'!$H:$H,'Source 2026'!$B:$B,$A21,'Source 2026'!$A:$A,"Quantity (units)")+SUMIFS('Source 2026'!$M:$M,'Source 2026'!$B:$B,$A21,'Source 2026'!$A:$A,"Quantity (units)")+SUMIFS('Source 2026'!$N:$N,'Source 2026'!$B:$B,$A21,'Source 2026'!$A:$A,"Quantity (units)")+SUMIFS('Source 2026'!$S:$S,'Source 2026'!$B:$B,$A21,'Source 2026'!$A:$A,"Quantity (units)")+SUMIFS('Source 2026'!$U:$U,'Source 2026'!$B:$B,$A21,'Source 2026'!$A:$A,"Quantity (units)")+SUMIFS('Source 2026'!$D:$D,'Source 2026'!$B:$B,$A21,'Source 2026'!$A:$A,"Quantity (units)")+SUMIFS('Source 2026'!$E:$E,'Source 2026'!$B:$B,$A21,'Source 2026'!$A:$A,"Quantity (units)")+SUMIFS('Source 2026'!$G:$G,'Source 2026'!$B:$B,$A21,'Source 2026'!$A:$A,"Quantity (units)")</f>
        <v>699</v>
      </c>
      <c r="E21" s="9" t="n">
        <f aca="false">D21*$J$5</f>
        <v>882.947368421053</v>
      </c>
      <c r="F21" s="9" t="n">
        <f aca="false">E21-C21</f>
        <v>-267.052631578947</v>
      </c>
      <c r="G21" s="11" t="n">
        <f aca="false">IF(AND(C21=0,E21=0),0,IF(C21=0,"New",(E21-C21)/C21))</f>
        <v>-0.232219679633867</v>
      </c>
      <c r="H21" s="9" t="n">
        <f aca="false">SUMIFS('Source 2025'!$F:$F,'Source 2025'!$B:$B,$A21,'Source 2025'!$A:$A,"Amount (NIS)")+SUMIFS('Source 2025'!$H:$H,'Source 2025'!$B:$B,$A21,'Source 2025'!$A:$A,"Amount (NIS)")+SUMIFS('Source 2025'!$M:$M,'Source 2025'!$B:$B,$A21,'Source 2025'!$A:$A,"Amount (NIS)")+SUMIFS('Source 2025'!$N:$N,'Source 2025'!$B:$B,$A21,'Source 2025'!$A:$A,"Amount (NIS)")+SUMIFS('Source 2025'!$S:$S,'Source 2025'!$B:$B,$A21,'Source 2025'!$A:$A,"Amount (NIS)")+SUMIFS('Source 2025'!$U:$U,'Source 2025'!$B:$B,$A21,'Source 2025'!$A:$A,"Amount (NIS)")+SUMIFS('Source 2025'!$D:$D,'Source 2025'!$B:$B,$A21,'Source 2025'!$A:$A,"Amount (NIS)")+SUMIFS('Source 2025'!$E:$E,'Source 2025'!$B:$B,$A21,'Source 2025'!$A:$A,"Amount (NIS)")+SUMIFS('Source 2025'!$G:$G,'Source 2025'!$B:$B,$A21,'Source 2025'!$A:$A,"Amount (NIS)")</f>
        <v>33774.1</v>
      </c>
      <c r="I21" s="9" t="n">
        <f aca="false">SUMIFS('Source 2026'!$F:$F,'Source 2026'!$B:$B,$A21,'Source 2026'!$A:$A,"Amount (NIS)")+SUMIFS('Source 2026'!$H:$H,'Source 2026'!$B:$B,$A21,'Source 2026'!$A:$A,"Amount (NIS)")+SUMIFS('Source 2026'!$M:$M,'Source 2026'!$B:$B,$A21,'Source 2026'!$A:$A,"Amount (NIS)")+SUMIFS('Source 2026'!$N:$N,'Source 2026'!$B:$B,$A21,'Source 2026'!$A:$A,"Amount (NIS)")+SUMIFS('Source 2026'!$S:$S,'Source 2026'!$B:$B,$A21,'Source 2026'!$A:$A,"Amount (NIS)")+SUMIFS('Source 2026'!$U:$U,'Source 2026'!$B:$B,$A21,'Source 2026'!$A:$A,"Amount (NIS)")+SUMIFS('Source 2026'!$D:$D,'Source 2026'!$B:$B,$A21,'Source 2026'!$A:$A,"Amount (NIS)")+SUMIFS('Source 2026'!$E:$E,'Source 2026'!$B:$B,$A21,'Source 2026'!$A:$A,"Amount (NIS)")+SUMIFS('Source 2026'!$G:$G,'Source 2026'!$B:$B,$A21,'Source 2026'!$A:$A,"Amount (NIS)")</f>
        <v>21234.1</v>
      </c>
      <c r="J21" s="9" t="n">
        <f aca="false">I21*$J$5</f>
        <v>26822.0210526316</v>
      </c>
      <c r="K21" s="9" t="n">
        <f aca="false">J21-H21</f>
        <v>-6952.07894736842</v>
      </c>
      <c r="L21" s="11" t="n">
        <f aca="false">IF(AND(H21=0,J21=0),0,IF(H21=0,"New",(J21-H21)/H21))</f>
        <v>-0.205840538974197</v>
      </c>
    </row>
    <row r="22" customFormat="false" ht="15" hidden="false" customHeight="true" outlineLevel="0" collapsed="false">
      <c r="A22" s="8" t="s">
        <v>91</v>
      </c>
      <c r="B22" s="8" t="str">
        <f aca="false">IFERROR(INDEX('Source 2026'!$C:$C,MATCH($A22,'Source 2026'!$B:$B,0)),IFERROR(INDEX('Source 2025'!$C:$C,MATCH($A22,'Source 2025'!$B:$B,0)),""))</f>
        <v>L (מתלה ליד )כיס</v>
      </c>
      <c r="C22" s="9" t="n">
        <f aca="false">SUMIFS('Source 2025'!$F:$F,'Source 2025'!$B:$B,$A22,'Source 2025'!$A:$A,"Quantity (units)")+SUMIFS('Source 2025'!$H:$H,'Source 2025'!$B:$B,$A22,'Source 2025'!$A:$A,"Quantity (units)")+SUMIFS('Source 2025'!$M:$M,'Source 2025'!$B:$B,$A22,'Source 2025'!$A:$A,"Quantity (units)")+SUMIFS('Source 2025'!$N:$N,'Source 2025'!$B:$B,$A22,'Source 2025'!$A:$A,"Quantity (units)")+SUMIFS('Source 2025'!$S:$S,'Source 2025'!$B:$B,$A22,'Source 2025'!$A:$A,"Quantity (units)")+SUMIFS('Source 2025'!$U:$U,'Source 2025'!$B:$B,$A22,'Source 2025'!$A:$A,"Quantity (units)")+SUMIFS('Source 2025'!$D:$D,'Source 2025'!$B:$B,$A22,'Source 2025'!$A:$A,"Quantity (units)")+SUMIFS('Source 2025'!$E:$E,'Source 2025'!$B:$B,$A22,'Source 2025'!$A:$A,"Quantity (units)")+SUMIFS('Source 2025'!$G:$G,'Source 2025'!$B:$B,$A22,'Source 2025'!$A:$A,"Quantity (units)")</f>
        <v>563</v>
      </c>
      <c r="D22" s="9" t="n">
        <f aca="false">SUMIFS('Source 2026'!$F:$F,'Source 2026'!$B:$B,$A22,'Source 2026'!$A:$A,"Quantity (units)")+SUMIFS('Source 2026'!$H:$H,'Source 2026'!$B:$B,$A22,'Source 2026'!$A:$A,"Quantity (units)")+SUMIFS('Source 2026'!$M:$M,'Source 2026'!$B:$B,$A22,'Source 2026'!$A:$A,"Quantity (units)")+SUMIFS('Source 2026'!$N:$N,'Source 2026'!$B:$B,$A22,'Source 2026'!$A:$A,"Quantity (units)")+SUMIFS('Source 2026'!$S:$S,'Source 2026'!$B:$B,$A22,'Source 2026'!$A:$A,"Quantity (units)")+SUMIFS('Source 2026'!$U:$U,'Source 2026'!$B:$B,$A22,'Source 2026'!$A:$A,"Quantity (units)")+SUMIFS('Source 2026'!$D:$D,'Source 2026'!$B:$B,$A22,'Source 2026'!$A:$A,"Quantity (units)")+SUMIFS('Source 2026'!$E:$E,'Source 2026'!$B:$B,$A22,'Source 2026'!$A:$A,"Quantity (units)")+SUMIFS('Source 2026'!$G:$G,'Source 2026'!$B:$B,$A22,'Source 2026'!$A:$A,"Quantity (units)")</f>
        <v>343</v>
      </c>
      <c r="E22" s="9" t="n">
        <f aca="false">D22*$J$5</f>
        <v>433.263157894737</v>
      </c>
      <c r="F22" s="9" t="n">
        <f aca="false">E22-C22</f>
        <v>-129.736842105263</v>
      </c>
      <c r="G22" s="11" t="n">
        <f aca="false">IF(AND(C22=0,E22=0),0,IF(C22=0,"New",(E22-C22)/C22))</f>
        <v>-0.230438440684304</v>
      </c>
      <c r="H22" s="9" t="n">
        <f aca="false">SUMIFS('Source 2025'!$F:$F,'Source 2025'!$B:$B,$A22,'Source 2025'!$A:$A,"Amount (NIS)")+SUMIFS('Source 2025'!$H:$H,'Source 2025'!$B:$B,$A22,'Source 2025'!$A:$A,"Amount (NIS)")+SUMIFS('Source 2025'!$M:$M,'Source 2025'!$B:$B,$A22,'Source 2025'!$A:$A,"Amount (NIS)")+SUMIFS('Source 2025'!$N:$N,'Source 2025'!$B:$B,$A22,'Source 2025'!$A:$A,"Amount (NIS)")+SUMIFS('Source 2025'!$S:$S,'Source 2025'!$B:$B,$A22,'Source 2025'!$A:$A,"Amount (NIS)")+SUMIFS('Source 2025'!$U:$U,'Source 2025'!$B:$B,$A22,'Source 2025'!$A:$A,"Amount (NIS)")+SUMIFS('Source 2025'!$D:$D,'Source 2025'!$B:$B,$A22,'Source 2025'!$A:$A,"Amount (NIS)")+SUMIFS('Source 2025'!$E:$E,'Source 2025'!$B:$B,$A22,'Source 2025'!$A:$A,"Amount (NIS)")+SUMIFS('Source 2025'!$G:$G,'Source 2025'!$B:$B,$A22,'Source 2025'!$A:$A,"Amount (NIS)")</f>
        <v>30635.3</v>
      </c>
      <c r="I22" s="9" t="n">
        <f aca="false">SUMIFS('Source 2026'!$F:$F,'Source 2026'!$B:$B,$A22,'Source 2026'!$A:$A,"Amount (NIS)")+SUMIFS('Source 2026'!$H:$H,'Source 2026'!$B:$B,$A22,'Source 2026'!$A:$A,"Amount (NIS)")+SUMIFS('Source 2026'!$M:$M,'Source 2026'!$B:$B,$A22,'Source 2026'!$A:$A,"Amount (NIS)")+SUMIFS('Source 2026'!$N:$N,'Source 2026'!$B:$B,$A22,'Source 2026'!$A:$A,"Amount (NIS)")+SUMIFS('Source 2026'!$S:$S,'Source 2026'!$B:$B,$A22,'Source 2026'!$A:$A,"Amount (NIS)")+SUMIFS('Source 2026'!$U:$U,'Source 2026'!$B:$B,$A22,'Source 2026'!$A:$A,"Amount (NIS)")+SUMIFS('Source 2026'!$D:$D,'Source 2026'!$B:$B,$A22,'Source 2026'!$A:$A,"Amount (NIS)")+SUMIFS('Source 2026'!$E:$E,'Source 2026'!$B:$B,$A22,'Source 2026'!$A:$A,"Amount (NIS)")+SUMIFS('Source 2026'!$G:$G,'Source 2026'!$B:$B,$A22,'Source 2026'!$A:$A,"Amount (NIS)")</f>
        <v>18702.1</v>
      </c>
      <c r="J22" s="9" t="n">
        <f aca="false">I22*$J$5</f>
        <v>23623.7052631579</v>
      </c>
      <c r="K22" s="9" t="n">
        <f aca="false">J22-H22</f>
        <v>-7011.5947368421</v>
      </c>
      <c r="L22" s="11" t="n">
        <f aca="false">IF(AND(H22=0,J22=0),0,IF(H22=0,"New",(J22-H22)/H22))</f>
        <v>-0.228873056142493</v>
      </c>
    </row>
    <row r="23" customFormat="false" ht="15" hidden="false" customHeight="true" outlineLevel="0" collapsed="false">
      <c r="A23" s="8" t="s">
        <v>92</v>
      </c>
      <c r="B23" s="8" t="str">
        <f aca="false">IFERROR(INDEX('Source 2026'!$C:$C,MATCH($A23,'Source 2026'!$B:$B,0)),IFERROR(INDEX('Source 2025'!$C:$C,MATCH($A23,'Source 2025'!$B:$B,0)),""))</f>
        <v>דאודורנט אנטיבק.נעל333</v>
      </c>
      <c r="C23" s="9" t="n">
        <f aca="false">SUMIFS('Source 2025'!$F:$F,'Source 2025'!$B:$B,$A23,'Source 2025'!$A:$A,"Quantity (units)")+SUMIFS('Source 2025'!$H:$H,'Source 2025'!$B:$B,$A23,'Source 2025'!$A:$A,"Quantity (units)")+SUMIFS('Source 2025'!$M:$M,'Source 2025'!$B:$B,$A23,'Source 2025'!$A:$A,"Quantity (units)")+SUMIFS('Source 2025'!$N:$N,'Source 2025'!$B:$B,$A23,'Source 2025'!$A:$A,"Quantity (units)")+SUMIFS('Source 2025'!$S:$S,'Source 2025'!$B:$B,$A23,'Source 2025'!$A:$A,"Quantity (units)")+SUMIFS('Source 2025'!$U:$U,'Source 2025'!$B:$B,$A23,'Source 2025'!$A:$A,"Quantity (units)")+SUMIFS('Source 2025'!$D:$D,'Source 2025'!$B:$B,$A23,'Source 2025'!$A:$A,"Quantity (units)")+SUMIFS('Source 2025'!$E:$E,'Source 2025'!$B:$B,$A23,'Source 2025'!$A:$A,"Quantity (units)")+SUMIFS('Source 2025'!$G:$G,'Source 2025'!$B:$B,$A23,'Source 2025'!$A:$A,"Quantity (units)")</f>
        <v>956</v>
      </c>
      <c r="D23" s="9" t="n">
        <f aca="false">SUMIFS('Source 2026'!$F:$F,'Source 2026'!$B:$B,$A23,'Source 2026'!$A:$A,"Quantity (units)")+SUMIFS('Source 2026'!$H:$H,'Source 2026'!$B:$B,$A23,'Source 2026'!$A:$A,"Quantity (units)")+SUMIFS('Source 2026'!$M:$M,'Source 2026'!$B:$B,$A23,'Source 2026'!$A:$A,"Quantity (units)")+SUMIFS('Source 2026'!$N:$N,'Source 2026'!$B:$B,$A23,'Source 2026'!$A:$A,"Quantity (units)")+SUMIFS('Source 2026'!$S:$S,'Source 2026'!$B:$B,$A23,'Source 2026'!$A:$A,"Quantity (units)")+SUMIFS('Source 2026'!$U:$U,'Source 2026'!$B:$B,$A23,'Source 2026'!$A:$A,"Quantity (units)")+SUMIFS('Source 2026'!$D:$D,'Source 2026'!$B:$B,$A23,'Source 2026'!$A:$A,"Quantity (units)")+SUMIFS('Source 2026'!$E:$E,'Source 2026'!$B:$B,$A23,'Source 2026'!$A:$A,"Quantity (units)")+SUMIFS('Source 2026'!$G:$G,'Source 2026'!$B:$B,$A23,'Source 2026'!$A:$A,"Quantity (units)")</f>
        <v>341</v>
      </c>
      <c r="E23" s="9" t="n">
        <f aca="false">D23*$J$5</f>
        <v>430.736842105263</v>
      </c>
      <c r="F23" s="9" t="n">
        <f aca="false">E23-C23</f>
        <v>-525.263157894737</v>
      </c>
      <c r="G23" s="11" t="n">
        <f aca="false">IF(AND(C23=0,E23=0),0,IF(C23=0,"New",(E23-C23)/C23))</f>
        <v>-0.549438449680687</v>
      </c>
      <c r="H23" s="9" t="n">
        <f aca="false">SUMIFS('Source 2025'!$F:$F,'Source 2025'!$B:$B,$A23,'Source 2025'!$A:$A,"Amount (NIS)")+SUMIFS('Source 2025'!$H:$H,'Source 2025'!$B:$B,$A23,'Source 2025'!$A:$A,"Amount (NIS)")+SUMIFS('Source 2025'!$M:$M,'Source 2025'!$B:$B,$A23,'Source 2025'!$A:$A,"Amount (NIS)")+SUMIFS('Source 2025'!$N:$N,'Source 2025'!$B:$B,$A23,'Source 2025'!$A:$A,"Amount (NIS)")+SUMIFS('Source 2025'!$S:$S,'Source 2025'!$B:$B,$A23,'Source 2025'!$A:$A,"Amount (NIS)")+SUMIFS('Source 2025'!$U:$U,'Source 2025'!$B:$B,$A23,'Source 2025'!$A:$A,"Amount (NIS)")+SUMIFS('Source 2025'!$D:$D,'Source 2025'!$B:$B,$A23,'Source 2025'!$A:$A,"Amount (NIS)")+SUMIFS('Source 2025'!$E:$E,'Source 2025'!$B:$B,$A23,'Source 2025'!$A:$A,"Amount (NIS)")+SUMIFS('Source 2025'!$G:$G,'Source 2025'!$B:$B,$A23,'Source 2025'!$A:$A,"Amount (NIS)")</f>
        <v>17801.7</v>
      </c>
      <c r="I23" s="9" t="n">
        <f aca="false">SUMIFS('Source 2026'!$F:$F,'Source 2026'!$B:$B,$A23,'Source 2026'!$A:$A,"Amount (NIS)")+SUMIFS('Source 2026'!$H:$H,'Source 2026'!$B:$B,$A23,'Source 2026'!$A:$A,"Amount (NIS)")+SUMIFS('Source 2026'!$M:$M,'Source 2026'!$B:$B,$A23,'Source 2026'!$A:$A,"Amount (NIS)")+SUMIFS('Source 2026'!$N:$N,'Source 2026'!$B:$B,$A23,'Source 2026'!$A:$A,"Amount (NIS)")+SUMIFS('Source 2026'!$S:$S,'Source 2026'!$B:$B,$A23,'Source 2026'!$A:$A,"Amount (NIS)")+SUMIFS('Source 2026'!$U:$U,'Source 2026'!$B:$B,$A23,'Source 2026'!$A:$A,"Amount (NIS)")+SUMIFS('Source 2026'!$D:$D,'Source 2026'!$B:$B,$A23,'Source 2026'!$A:$A,"Amount (NIS)")+SUMIFS('Source 2026'!$E:$E,'Source 2026'!$B:$B,$A23,'Source 2026'!$A:$A,"Amount (NIS)")+SUMIFS('Source 2026'!$G:$G,'Source 2026'!$B:$B,$A23,'Source 2026'!$A:$A,"Amount (NIS)")</f>
        <v>6493.3</v>
      </c>
      <c r="J23" s="9" t="n">
        <f aca="false">I23*$J$5</f>
        <v>8202.06315789474</v>
      </c>
      <c r="K23" s="9" t="n">
        <f aca="false">J23-H23</f>
        <v>-9599.63684210526</v>
      </c>
      <c r="L23" s="11" t="n">
        <f aca="false">IF(AND(H23=0,J23=0),0,IF(H23=0,"New",(J23-H23)/H23))</f>
        <v>-0.539253938787041</v>
      </c>
    </row>
    <row r="24" customFormat="false" ht="15" hidden="false" customHeight="true" outlineLevel="0" collapsed="false">
      <c r="A24" s="8" t="s">
        <v>93</v>
      </c>
      <c r="B24" s="8" t="str">
        <f aca="false">IFERROR(INDEX('Source 2026'!$C:$C,MATCH($A24,'Source 2026'!$B:$B,0)),IFERROR(INDEX('Source 2025'!$C:$C,MATCH($A24,'Source 2025'!$B:$B,0)),""))</f>
        <v>M מגן קרסול עקב סגור</v>
      </c>
      <c r="C24" s="9" t="n">
        <f aca="false">SUMIFS('Source 2025'!$F:$F,'Source 2025'!$B:$B,$A24,'Source 2025'!$A:$A,"Quantity (units)")+SUMIFS('Source 2025'!$H:$H,'Source 2025'!$B:$B,$A24,'Source 2025'!$A:$A,"Quantity (units)")+SUMIFS('Source 2025'!$M:$M,'Source 2025'!$B:$B,$A24,'Source 2025'!$A:$A,"Quantity (units)")+SUMIFS('Source 2025'!$N:$N,'Source 2025'!$B:$B,$A24,'Source 2025'!$A:$A,"Quantity (units)")+SUMIFS('Source 2025'!$S:$S,'Source 2025'!$B:$B,$A24,'Source 2025'!$A:$A,"Quantity (units)")+SUMIFS('Source 2025'!$U:$U,'Source 2025'!$B:$B,$A24,'Source 2025'!$A:$A,"Quantity (units)")+SUMIFS('Source 2025'!$D:$D,'Source 2025'!$B:$B,$A24,'Source 2025'!$A:$A,"Quantity (units)")+SUMIFS('Source 2025'!$E:$E,'Source 2025'!$B:$B,$A24,'Source 2025'!$A:$A,"Quantity (units)")+SUMIFS('Source 2025'!$G:$G,'Source 2025'!$B:$B,$A24,'Source 2025'!$A:$A,"Quantity (units)")</f>
        <v>608</v>
      </c>
      <c r="D24" s="9" t="n">
        <f aca="false">SUMIFS('Source 2026'!$F:$F,'Source 2026'!$B:$B,$A24,'Source 2026'!$A:$A,"Quantity (units)")+SUMIFS('Source 2026'!$H:$H,'Source 2026'!$B:$B,$A24,'Source 2026'!$A:$A,"Quantity (units)")+SUMIFS('Source 2026'!$M:$M,'Source 2026'!$B:$B,$A24,'Source 2026'!$A:$A,"Quantity (units)")+SUMIFS('Source 2026'!$N:$N,'Source 2026'!$B:$B,$A24,'Source 2026'!$A:$A,"Quantity (units)")+SUMIFS('Source 2026'!$S:$S,'Source 2026'!$B:$B,$A24,'Source 2026'!$A:$A,"Quantity (units)")+SUMIFS('Source 2026'!$U:$U,'Source 2026'!$B:$B,$A24,'Source 2026'!$A:$A,"Quantity (units)")+SUMIFS('Source 2026'!$D:$D,'Source 2026'!$B:$B,$A24,'Source 2026'!$A:$A,"Quantity (units)")+SUMIFS('Source 2026'!$E:$E,'Source 2026'!$B:$B,$A24,'Source 2026'!$A:$A,"Quantity (units)")+SUMIFS('Source 2026'!$G:$G,'Source 2026'!$B:$B,$A24,'Source 2026'!$A:$A,"Quantity (units)")</f>
        <v>348</v>
      </c>
      <c r="E24" s="9" t="n">
        <f aca="false">D24*$J$5</f>
        <v>439.578947368421</v>
      </c>
      <c r="F24" s="9" t="n">
        <f aca="false">E24-C24</f>
        <v>-168.421052631579</v>
      </c>
      <c r="G24" s="11" t="n">
        <f aca="false">IF(AND(C24=0,E24=0),0,IF(C24=0,"New",(E24-C24)/C24))</f>
        <v>-0.277008310249308</v>
      </c>
      <c r="H24" s="9" t="n">
        <f aca="false">SUMIFS('Source 2025'!$F:$F,'Source 2025'!$B:$B,$A24,'Source 2025'!$A:$A,"Amount (NIS)")+SUMIFS('Source 2025'!$H:$H,'Source 2025'!$B:$B,$A24,'Source 2025'!$A:$A,"Amount (NIS)")+SUMIFS('Source 2025'!$M:$M,'Source 2025'!$B:$B,$A24,'Source 2025'!$A:$A,"Amount (NIS)")+SUMIFS('Source 2025'!$N:$N,'Source 2025'!$B:$B,$A24,'Source 2025'!$A:$A,"Amount (NIS)")+SUMIFS('Source 2025'!$S:$S,'Source 2025'!$B:$B,$A24,'Source 2025'!$A:$A,"Amount (NIS)")+SUMIFS('Source 2025'!$U:$U,'Source 2025'!$B:$B,$A24,'Source 2025'!$A:$A,"Amount (NIS)")+SUMIFS('Source 2025'!$D:$D,'Source 2025'!$B:$B,$A24,'Source 2025'!$A:$A,"Amount (NIS)")+SUMIFS('Source 2025'!$E:$E,'Source 2025'!$B:$B,$A24,'Source 2025'!$A:$A,"Amount (NIS)")+SUMIFS('Source 2025'!$G:$G,'Source 2025'!$B:$B,$A24,'Source 2025'!$A:$A,"Amount (NIS)")</f>
        <v>27045.2</v>
      </c>
      <c r="I24" s="9" t="n">
        <f aca="false">SUMIFS('Source 2026'!$F:$F,'Source 2026'!$B:$B,$A24,'Source 2026'!$A:$A,"Amount (NIS)")+SUMIFS('Source 2026'!$H:$H,'Source 2026'!$B:$B,$A24,'Source 2026'!$A:$A,"Amount (NIS)")+SUMIFS('Source 2026'!$M:$M,'Source 2026'!$B:$B,$A24,'Source 2026'!$A:$A,"Amount (NIS)")+SUMIFS('Source 2026'!$N:$N,'Source 2026'!$B:$B,$A24,'Source 2026'!$A:$A,"Amount (NIS)")+SUMIFS('Source 2026'!$S:$S,'Source 2026'!$B:$B,$A24,'Source 2026'!$A:$A,"Amount (NIS)")+SUMIFS('Source 2026'!$U:$U,'Source 2026'!$B:$B,$A24,'Source 2026'!$A:$A,"Amount (NIS)")+SUMIFS('Source 2026'!$D:$D,'Source 2026'!$B:$B,$A24,'Source 2026'!$A:$A,"Amount (NIS)")+SUMIFS('Source 2026'!$E:$E,'Source 2026'!$B:$B,$A24,'Source 2026'!$A:$A,"Amount (NIS)")+SUMIFS('Source 2026'!$G:$G,'Source 2026'!$B:$B,$A24,'Source 2026'!$A:$A,"Amount (NIS)")</f>
        <v>15771.2</v>
      </c>
      <c r="J24" s="9" t="n">
        <f aca="false">I24*$J$5</f>
        <v>19921.5157894737</v>
      </c>
      <c r="K24" s="9" t="n">
        <f aca="false">J24-H24</f>
        <v>-7123.68421052632</v>
      </c>
      <c r="L24" s="11" t="n">
        <f aca="false">IF(AND(H24=0,J24=0),0,IF(H24=0,"New",(J24-H24)/H24))</f>
        <v>-0.26339920616325</v>
      </c>
    </row>
    <row r="25" customFormat="false" ht="15" hidden="false" customHeight="true" outlineLevel="0" collapsed="false">
      <c r="A25" s="8" t="s">
        <v>94</v>
      </c>
      <c r="B25" s="8" t="str">
        <f aca="false">IFERROR(INDEX('Source 2026'!$C:$C,MATCH($A25,'Source 2026'!$B:$B,0)),IFERROR(INDEX('Source 2025'!$C:$C,MATCH($A25,'Source 2025'!$B:$B,0)),""))</f>
        <v>S מגן קרסול חום</v>
      </c>
      <c r="C25" s="9" t="n">
        <f aca="false">SUMIFS('Source 2025'!$F:$F,'Source 2025'!$B:$B,$A25,'Source 2025'!$A:$A,"Quantity (units)")+SUMIFS('Source 2025'!$H:$H,'Source 2025'!$B:$B,$A25,'Source 2025'!$A:$A,"Quantity (units)")+SUMIFS('Source 2025'!$M:$M,'Source 2025'!$B:$B,$A25,'Source 2025'!$A:$A,"Quantity (units)")+SUMIFS('Source 2025'!$N:$N,'Source 2025'!$B:$B,$A25,'Source 2025'!$A:$A,"Quantity (units)")+SUMIFS('Source 2025'!$S:$S,'Source 2025'!$B:$B,$A25,'Source 2025'!$A:$A,"Quantity (units)")+SUMIFS('Source 2025'!$U:$U,'Source 2025'!$B:$B,$A25,'Source 2025'!$A:$A,"Quantity (units)")+SUMIFS('Source 2025'!$D:$D,'Source 2025'!$B:$B,$A25,'Source 2025'!$A:$A,"Quantity (units)")+SUMIFS('Source 2025'!$E:$E,'Source 2025'!$B:$B,$A25,'Source 2025'!$A:$A,"Quantity (units)")+SUMIFS('Source 2025'!$G:$G,'Source 2025'!$B:$B,$A25,'Source 2025'!$A:$A,"Quantity (units)")</f>
        <v>1252</v>
      </c>
      <c r="D25" s="9" t="n">
        <f aca="false">SUMIFS('Source 2026'!$F:$F,'Source 2026'!$B:$B,$A25,'Source 2026'!$A:$A,"Quantity (units)")+SUMIFS('Source 2026'!$H:$H,'Source 2026'!$B:$B,$A25,'Source 2026'!$A:$A,"Quantity (units)")+SUMIFS('Source 2026'!$M:$M,'Source 2026'!$B:$B,$A25,'Source 2026'!$A:$A,"Quantity (units)")+SUMIFS('Source 2026'!$N:$N,'Source 2026'!$B:$B,$A25,'Source 2026'!$A:$A,"Quantity (units)")+SUMIFS('Source 2026'!$S:$S,'Source 2026'!$B:$B,$A25,'Source 2026'!$A:$A,"Quantity (units)")+SUMIFS('Source 2026'!$U:$U,'Source 2026'!$B:$B,$A25,'Source 2026'!$A:$A,"Quantity (units)")+SUMIFS('Source 2026'!$D:$D,'Source 2026'!$B:$B,$A25,'Source 2026'!$A:$A,"Quantity (units)")+SUMIFS('Source 2026'!$E:$E,'Source 2026'!$B:$B,$A25,'Source 2026'!$A:$A,"Quantity (units)")+SUMIFS('Source 2026'!$G:$G,'Source 2026'!$B:$B,$A25,'Source 2026'!$A:$A,"Quantity (units)")</f>
        <v>873</v>
      </c>
      <c r="E25" s="9" t="n">
        <f aca="false">D25*$J$5</f>
        <v>1102.73684210526</v>
      </c>
      <c r="F25" s="9" t="n">
        <f aca="false">E25-C25</f>
        <v>-149.263157894737</v>
      </c>
      <c r="G25" s="11" t="n">
        <f aca="false">IF(AND(C25=0,E25=0),0,IF(C25=0,"New",(E25-C25)/C25))</f>
        <v>-0.119219774676307</v>
      </c>
      <c r="H25" s="9" t="n">
        <f aca="false">SUMIFS('Source 2025'!$F:$F,'Source 2025'!$B:$B,$A25,'Source 2025'!$A:$A,"Amount (NIS)")+SUMIFS('Source 2025'!$H:$H,'Source 2025'!$B:$B,$A25,'Source 2025'!$A:$A,"Amount (NIS)")+SUMIFS('Source 2025'!$M:$M,'Source 2025'!$B:$B,$A25,'Source 2025'!$A:$A,"Amount (NIS)")+SUMIFS('Source 2025'!$N:$N,'Source 2025'!$B:$B,$A25,'Source 2025'!$A:$A,"Amount (NIS)")+SUMIFS('Source 2025'!$S:$S,'Source 2025'!$B:$B,$A25,'Source 2025'!$A:$A,"Amount (NIS)")+SUMIFS('Source 2025'!$U:$U,'Source 2025'!$B:$B,$A25,'Source 2025'!$A:$A,"Amount (NIS)")+SUMIFS('Source 2025'!$D:$D,'Source 2025'!$B:$B,$A25,'Source 2025'!$A:$A,"Amount (NIS)")+SUMIFS('Source 2025'!$E:$E,'Source 2025'!$B:$B,$A25,'Source 2025'!$A:$A,"Amount (NIS)")+SUMIFS('Source 2025'!$G:$G,'Source 2025'!$B:$B,$A25,'Source 2025'!$A:$A,"Amount (NIS)")</f>
        <v>37370.6</v>
      </c>
      <c r="I25" s="9" t="n">
        <f aca="false">SUMIFS('Source 2026'!$F:$F,'Source 2026'!$B:$B,$A25,'Source 2026'!$A:$A,"Amount (NIS)")+SUMIFS('Source 2026'!$H:$H,'Source 2026'!$B:$B,$A25,'Source 2026'!$A:$A,"Amount (NIS)")+SUMIFS('Source 2026'!$M:$M,'Source 2026'!$B:$B,$A25,'Source 2026'!$A:$A,"Amount (NIS)")+SUMIFS('Source 2026'!$N:$N,'Source 2026'!$B:$B,$A25,'Source 2026'!$A:$A,"Amount (NIS)")+SUMIFS('Source 2026'!$S:$S,'Source 2026'!$B:$B,$A25,'Source 2026'!$A:$A,"Amount (NIS)")+SUMIFS('Source 2026'!$U:$U,'Source 2026'!$B:$B,$A25,'Source 2026'!$A:$A,"Amount (NIS)")+SUMIFS('Source 2026'!$D:$D,'Source 2026'!$B:$B,$A25,'Source 2026'!$A:$A,"Amount (NIS)")+SUMIFS('Source 2026'!$E:$E,'Source 2026'!$B:$B,$A25,'Source 2026'!$A:$A,"Amount (NIS)")+SUMIFS('Source 2026'!$G:$G,'Source 2026'!$B:$B,$A25,'Source 2026'!$A:$A,"Amount (NIS)")</f>
        <v>26135.4</v>
      </c>
      <c r="J25" s="9" t="n">
        <f aca="false">I25*$J$5</f>
        <v>33013.1368421053</v>
      </c>
      <c r="K25" s="9" t="n">
        <f aca="false">J25-H25</f>
        <v>-4357.46315789474</v>
      </c>
      <c r="L25" s="11" t="n">
        <f aca="false">IF(AND(H25=0,J25=0),0,IF(H25=0,"New",(J25-H25)/H25))</f>
        <v>-0.116601370004622</v>
      </c>
    </row>
    <row r="26" customFormat="false" ht="15" hidden="false" customHeight="true" outlineLevel="0" collapsed="false">
      <c r="A26" s="8" t="s">
        <v>95</v>
      </c>
      <c r="B26" s="8" t="str">
        <f aca="false">IFERROR(INDEX('Source 2026'!$C:$C,MATCH($A26,'Source 2026'!$B:$B,0)),IFERROR(INDEX('Source 2025'!$C:$C,MATCH($A26,'Source 2025'!$B:$B,0)),""))</f>
        <v>מישר כתפיים אקטיב</v>
      </c>
      <c r="C26" s="9" t="n">
        <f aca="false">SUMIFS('Source 2025'!$F:$F,'Source 2025'!$B:$B,$A26,'Source 2025'!$A:$A,"Quantity (units)")+SUMIFS('Source 2025'!$H:$H,'Source 2025'!$B:$B,$A26,'Source 2025'!$A:$A,"Quantity (units)")+SUMIFS('Source 2025'!$M:$M,'Source 2025'!$B:$B,$A26,'Source 2025'!$A:$A,"Quantity (units)")+SUMIFS('Source 2025'!$N:$N,'Source 2025'!$B:$B,$A26,'Source 2025'!$A:$A,"Quantity (units)")+SUMIFS('Source 2025'!$S:$S,'Source 2025'!$B:$B,$A26,'Source 2025'!$A:$A,"Quantity (units)")+SUMIFS('Source 2025'!$U:$U,'Source 2025'!$B:$B,$A26,'Source 2025'!$A:$A,"Quantity (units)")+SUMIFS('Source 2025'!$D:$D,'Source 2025'!$B:$B,$A26,'Source 2025'!$A:$A,"Quantity (units)")+SUMIFS('Source 2025'!$E:$E,'Source 2025'!$B:$B,$A26,'Source 2025'!$A:$A,"Quantity (units)")+SUMIFS('Source 2025'!$G:$G,'Source 2025'!$B:$B,$A26,'Source 2025'!$A:$A,"Quantity (units)")</f>
        <v>1049</v>
      </c>
      <c r="D26" s="9" t="n">
        <f aca="false">SUMIFS('Source 2026'!$F:$F,'Source 2026'!$B:$B,$A26,'Source 2026'!$A:$A,"Quantity (units)")+SUMIFS('Source 2026'!$H:$H,'Source 2026'!$B:$B,$A26,'Source 2026'!$A:$A,"Quantity (units)")+SUMIFS('Source 2026'!$M:$M,'Source 2026'!$B:$B,$A26,'Source 2026'!$A:$A,"Quantity (units)")+SUMIFS('Source 2026'!$N:$N,'Source 2026'!$B:$B,$A26,'Source 2026'!$A:$A,"Quantity (units)")+SUMIFS('Source 2026'!$S:$S,'Source 2026'!$B:$B,$A26,'Source 2026'!$A:$A,"Quantity (units)")+SUMIFS('Source 2026'!$U:$U,'Source 2026'!$B:$B,$A26,'Source 2026'!$A:$A,"Quantity (units)")+SUMIFS('Source 2026'!$D:$D,'Source 2026'!$B:$B,$A26,'Source 2026'!$A:$A,"Quantity (units)")+SUMIFS('Source 2026'!$E:$E,'Source 2026'!$B:$B,$A26,'Source 2026'!$A:$A,"Quantity (units)")+SUMIFS('Source 2026'!$G:$G,'Source 2026'!$B:$B,$A26,'Source 2026'!$A:$A,"Quantity (units)")</f>
        <v>786</v>
      </c>
      <c r="E26" s="9" t="n">
        <f aca="false">D26*$J$5</f>
        <v>992.842105263158</v>
      </c>
      <c r="F26" s="9" t="n">
        <f aca="false">E26-C26</f>
        <v>-56.1578947368422</v>
      </c>
      <c r="G26" s="11" t="n">
        <f aca="false">IF(AND(C26=0,E26=0),0,IF(C26=0,"New",(E26-C26)/C26))</f>
        <v>-0.0535346946967037</v>
      </c>
      <c r="H26" s="9" t="n">
        <f aca="false">SUMIFS('Source 2025'!$F:$F,'Source 2025'!$B:$B,$A26,'Source 2025'!$A:$A,"Amount (NIS)")+SUMIFS('Source 2025'!$H:$H,'Source 2025'!$B:$B,$A26,'Source 2025'!$A:$A,"Amount (NIS)")+SUMIFS('Source 2025'!$M:$M,'Source 2025'!$B:$B,$A26,'Source 2025'!$A:$A,"Amount (NIS)")+SUMIFS('Source 2025'!$N:$N,'Source 2025'!$B:$B,$A26,'Source 2025'!$A:$A,"Amount (NIS)")+SUMIFS('Source 2025'!$S:$S,'Source 2025'!$B:$B,$A26,'Source 2025'!$A:$A,"Amount (NIS)")+SUMIFS('Source 2025'!$U:$U,'Source 2025'!$B:$B,$A26,'Source 2025'!$A:$A,"Amount (NIS)")+SUMIFS('Source 2025'!$D:$D,'Source 2025'!$B:$B,$A26,'Source 2025'!$A:$A,"Amount (NIS)")+SUMIFS('Source 2025'!$E:$E,'Source 2025'!$B:$B,$A26,'Source 2025'!$A:$A,"Amount (NIS)")+SUMIFS('Source 2025'!$G:$G,'Source 2025'!$B:$B,$A26,'Source 2025'!$A:$A,"Amount (NIS)")</f>
        <v>72802.3</v>
      </c>
      <c r="I26" s="9" t="n">
        <f aca="false">SUMIFS('Source 2026'!$F:$F,'Source 2026'!$B:$B,$A26,'Source 2026'!$A:$A,"Amount (NIS)")+SUMIFS('Source 2026'!$H:$H,'Source 2026'!$B:$B,$A26,'Source 2026'!$A:$A,"Amount (NIS)")+SUMIFS('Source 2026'!$M:$M,'Source 2026'!$B:$B,$A26,'Source 2026'!$A:$A,"Amount (NIS)")+SUMIFS('Source 2026'!$N:$N,'Source 2026'!$B:$B,$A26,'Source 2026'!$A:$A,"Amount (NIS)")+SUMIFS('Source 2026'!$S:$S,'Source 2026'!$B:$B,$A26,'Source 2026'!$A:$A,"Amount (NIS)")+SUMIFS('Source 2026'!$U:$U,'Source 2026'!$B:$B,$A26,'Source 2026'!$A:$A,"Amount (NIS)")+SUMIFS('Source 2026'!$D:$D,'Source 2026'!$B:$B,$A26,'Source 2026'!$A:$A,"Amount (NIS)")+SUMIFS('Source 2026'!$E:$E,'Source 2026'!$B:$B,$A26,'Source 2026'!$A:$A,"Amount (NIS)")+SUMIFS('Source 2026'!$G:$G,'Source 2026'!$B:$B,$A26,'Source 2026'!$A:$A,"Amount (NIS)")</f>
        <v>61597.9</v>
      </c>
      <c r="J26" s="9" t="n">
        <f aca="false">I26*$J$5</f>
        <v>77807.8736842105</v>
      </c>
      <c r="K26" s="9" t="n">
        <f aca="false">J26-H26</f>
        <v>5005.57368421053</v>
      </c>
      <c r="L26" s="11" t="n">
        <f aca="false">IF(AND(H26=0,J26=0),0,IF(H26=0,"New",(J26-H26)/H26))</f>
        <v>0.068755708050577</v>
      </c>
    </row>
    <row r="27" customFormat="false" ht="15" hidden="false" customHeight="true" outlineLevel="0" collapsed="false">
      <c r="A27" s="8" t="s">
        <v>96</v>
      </c>
      <c r="B27" s="8" t="str">
        <f aca="false">IFERROR(INDEX('Source 2026'!$C:$C,MATCH($A27,'Source 2026'!$B:$B,0)),IFERROR(INDEX('Source 2025'!$C:$C,MATCH($A27,'Source 2025'!$B:$B,0)),""))</f>
        <v>יד אגודלי</v>
      </c>
      <c r="C27" s="9" t="n">
        <f aca="false">SUMIFS('Source 2025'!$F:$F,'Source 2025'!$B:$B,$A27,'Source 2025'!$A:$A,"Quantity (units)")+SUMIFS('Source 2025'!$H:$H,'Source 2025'!$B:$B,$A27,'Source 2025'!$A:$A,"Quantity (units)")+SUMIFS('Source 2025'!$M:$M,'Source 2025'!$B:$B,$A27,'Source 2025'!$A:$A,"Quantity (units)")+SUMIFS('Source 2025'!$N:$N,'Source 2025'!$B:$B,$A27,'Source 2025'!$A:$A,"Quantity (units)")+SUMIFS('Source 2025'!$S:$S,'Source 2025'!$B:$B,$A27,'Source 2025'!$A:$A,"Quantity (units)")+SUMIFS('Source 2025'!$U:$U,'Source 2025'!$B:$B,$A27,'Source 2025'!$A:$A,"Quantity (units)")+SUMIFS('Source 2025'!$D:$D,'Source 2025'!$B:$B,$A27,'Source 2025'!$A:$A,"Quantity (units)")+SUMIFS('Source 2025'!$E:$E,'Source 2025'!$B:$B,$A27,'Source 2025'!$A:$A,"Quantity (units)")+SUMIFS('Source 2025'!$G:$G,'Source 2025'!$B:$B,$A27,'Source 2025'!$A:$A,"Quantity (units)")</f>
        <v>554</v>
      </c>
      <c r="D27" s="9" t="n">
        <f aca="false">SUMIFS('Source 2026'!$F:$F,'Source 2026'!$B:$B,$A27,'Source 2026'!$A:$A,"Quantity (units)")+SUMIFS('Source 2026'!$H:$H,'Source 2026'!$B:$B,$A27,'Source 2026'!$A:$A,"Quantity (units)")+SUMIFS('Source 2026'!$M:$M,'Source 2026'!$B:$B,$A27,'Source 2026'!$A:$A,"Quantity (units)")+SUMIFS('Source 2026'!$N:$N,'Source 2026'!$B:$B,$A27,'Source 2026'!$A:$A,"Quantity (units)")+SUMIFS('Source 2026'!$S:$S,'Source 2026'!$B:$B,$A27,'Source 2026'!$A:$A,"Quantity (units)")+SUMIFS('Source 2026'!$U:$U,'Source 2026'!$B:$B,$A27,'Source 2026'!$A:$A,"Quantity (units)")+SUMIFS('Source 2026'!$D:$D,'Source 2026'!$B:$B,$A27,'Source 2026'!$A:$A,"Quantity (units)")+SUMIFS('Source 2026'!$E:$E,'Source 2026'!$B:$B,$A27,'Source 2026'!$A:$A,"Quantity (units)")+SUMIFS('Source 2026'!$G:$G,'Source 2026'!$B:$B,$A27,'Source 2026'!$A:$A,"Quantity (units)")</f>
        <v>299</v>
      </c>
      <c r="E27" s="9" t="n">
        <f aca="false">D27*$J$5</f>
        <v>377.684210526316</v>
      </c>
      <c r="F27" s="9" t="n">
        <f aca="false">E27-C27</f>
        <v>-176.315789473684</v>
      </c>
      <c r="G27" s="11" t="n">
        <f aca="false">IF(AND(C27=0,E27=0),0,IF(C27=0,"New",(E27-C27)/C27))</f>
        <v>-0.318259547786434</v>
      </c>
      <c r="H27" s="9" t="n">
        <f aca="false">SUMIFS('Source 2025'!$F:$F,'Source 2025'!$B:$B,$A27,'Source 2025'!$A:$A,"Amount (NIS)")+SUMIFS('Source 2025'!$H:$H,'Source 2025'!$B:$B,$A27,'Source 2025'!$A:$A,"Amount (NIS)")+SUMIFS('Source 2025'!$M:$M,'Source 2025'!$B:$B,$A27,'Source 2025'!$A:$A,"Amount (NIS)")+SUMIFS('Source 2025'!$N:$N,'Source 2025'!$B:$B,$A27,'Source 2025'!$A:$A,"Amount (NIS)")+SUMIFS('Source 2025'!$S:$S,'Source 2025'!$B:$B,$A27,'Source 2025'!$A:$A,"Amount (NIS)")+SUMIFS('Source 2025'!$U:$U,'Source 2025'!$B:$B,$A27,'Source 2025'!$A:$A,"Amount (NIS)")+SUMIFS('Source 2025'!$D:$D,'Source 2025'!$B:$B,$A27,'Source 2025'!$A:$A,"Amount (NIS)")+SUMIFS('Source 2025'!$E:$E,'Source 2025'!$B:$B,$A27,'Source 2025'!$A:$A,"Amount (NIS)")+SUMIFS('Source 2025'!$G:$G,'Source 2025'!$B:$B,$A27,'Source 2025'!$A:$A,"Amount (NIS)")</f>
        <v>24683.5</v>
      </c>
      <c r="I27" s="9" t="n">
        <f aca="false">SUMIFS('Source 2026'!$F:$F,'Source 2026'!$B:$B,$A27,'Source 2026'!$A:$A,"Amount (NIS)")+SUMIFS('Source 2026'!$H:$H,'Source 2026'!$B:$B,$A27,'Source 2026'!$A:$A,"Amount (NIS)")+SUMIFS('Source 2026'!$M:$M,'Source 2026'!$B:$B,$A27,'Source 2026'!$A:$A,"Amount (NIS)")+SUMIFS('Source 2026'!$N:$N,'Source 2026'!$B:$B,$A27,'Source 2026'!$A:$A,"Amount (NIS)")+SUMIFS('Source 2026'!$S:$S,'Source 2026'!$B:$B,$A27,'Source 2026'!$A:$A,"Amount (NIS)")+SUMIFS('Source 2026'!$U:$U,'Source 2026'!$B:$B,$A27,'Source 2026'!$A:$A,"Amount (NIS)")+SUMIFS('Source 2026'!$D:$D,'Source 2026'!$B:$B,$A27,'Source 2026'!$A:$A,"Amount (NIS)")+SUMIFS('Source 2026'!$E:$E,'Source 2026'!$B:$B,$A27,'Source 2026'!$A:$A,"Amount (NIS)")+SUMIFS('Source 2026'!$G:$G,'Source 2026'!$B:$B,$A27,'Source 2026'!$A:$A,"Amount (NIS)")</f>
        <v>13677.8</v>
      </c>
      <c r="J27" s="9" t="n">
        <f aca="false">I27*$J$5</f>
        <v>17277.2210526316</v>
      </c>
      <c r="K27" s="9" t="n">
        <f aca="false">J27-H27</f>
        <v>-7406.27894736842</v>
      </c>
      <c r="L27" s="11" t="n">
        <f aca="false">IF(AND(H27=0,J27=0),0,IF(H27=0,"New",(J27-H27)/H27))</f>
        <v>-0.30004978821352</v>
      </c>
    </row>
    <row r="28" customFormat="false" ht="15" hidden="false" customHeight="true" outlineLevel="0" collapsed="false">
      <c r="A28" s="8" t="s">
        <v>97</v>
      </c>
      <c r="B28" s="8" t="str">
        <f aca="false">IFERROR(INDEX('Source 2026'!$C:$C,MATCH($A28,'Source 2026'!$B:$B,0)),IFERROR(INDEX('Source 2025'!$C:$C,MATCH($A28,'Source 2025'!$B:$B,0)),""))</f>
        <v>שרוול מסיליקון לאצבע</v>
      </c>
      <c r="C28" s="9" t="n">
        <f aca="false">SUMIFS('Source 2025'!$F:$F,'Source 2025'!$B:$B,$A28,'Source 2025'!$A:$A,"Quantity (units)")+SUMIFS('Source 2025'!$H:$H,'Source 2025'!$B:$B,$A28,'Source 2025'!$A:$A,"Quantity (units)")+SUMIFS('Source 2025'!$M:$M,'Source 2025'!$B:$B,$A28,'Source 2025'!$A:$A,"Quantity (units)")+SUMIFS('Source 2025'!$N:$N,'Source 2025'!$B:$B,$A28,'Source 2025'!$A:$A,"Quantity (units)")+SUMIFS('Source 2025'!$S:$S,'Source 2025'!$B:$B,$A28,'Source 2025'!$A:$A,"Quantity (units)")+SUMIFS('Source 2025'!$U:$U,'Source 2025'!$B:$B,$A28,'Source 2025'!$A:$A,"Quantity (units)")+SUMIFS('Source 2025'!$D:$D,'Source 2025'!$B:$B,$A28,'Source 2025'!$A:$A,"Quantity (units)")+SUMIFS('Source 2025'!$E:$E,'Source 2025'!$B:$B,$A28,'Source 2025'!$A:$A,"Quantity (units)")+SUMIFS('Source 2025'!$G:$G,'Source 2025'!$B:$B,$A28,'Source 2025'!$A:$A,"Quantity (units)")</f>
        <v>1693</v>
      </c>
      <c r="D28" s="9" t="n">
        <f aca="false">SUMIFS('Source 2026'!$F:$F,'Source 2026'!$B:$B,$A28,'Source 2026'!$A:$A,"Quantity (units)")+SUMIFS('Source 2026'!$H:$H,'Source 2026'!$B:$B,$A28,'Source 2026'!$A:$A,"Quantity (units)")+SUMIFS('Source 2026'!$M:$M,'Source 2026'!$B:$B,$A28,'Source 2026'!$A:$A,"Quantity (units)")+SUMIFS('Source 2026'!$N:$N,'Source 2026'!$B:$B,$A28,'Source 2026'!$A:$A,"Quantity (units)")+SUMIFS('Source 2026'!$S:$S,'Source 2026'!$B:$B,$A28,'Source 2026'!$A:$A,"Quantity (units)")+SUMIFS('Source 2026'!$U:$U,'Source 2026'!$B:$B,$A28,'Source 2026'!$A:$A,"Quantity (units)")+SUMIFS('Source 2026'!$D:$D,'Source 2026'!$B:$B,$A28,'Source 2026'!$A:$A,"Quantity (units)")+SUMIFS('Source 2026'!$E:$E,'Source 2026'!$B:$B,$A28,'Source 2026'!$A:$A,"Quantity (units)")+SUMIFS('Source 2026'!$G:$G,'Source 2026'!$B:$B,$A28,'Source 2026'!$A:$A,"Quantity (units)")</f>
        <v>1072</v>
      </c>
      <c r="E28" s="9" t="n">
        <f aca="false">D28*$J$5</f>
        <v>1354.10526315789</v>
      </c>
      <c r="F28" s="9" t="n">
        <f aca="false">E28-C28</f>
        <v>-338.894736842105</v>
      </c>
      <c r="G28" s="11" t="n">
        <f aca="false">IF(AND(C28=0,E28=0),0,IF(C28=0,"New",(E28-C28)/C28))</f>
        <v>-0.200174091460192</v>
      </c>
      <c r="H28" s="9" t="n">
        <f aca="false">SUMIFS('Source 2025'!$F:$F,'Source 2025'!$B:$B,$A28,'Source 2025'!$A:$A,"Amount (NIS)")+SUMIFS('Source 2025'!$H:$H,'Source 2025'!$B:$B,$A28,'Source 2025'!$A:$A,"Amount (NIS)")+SUMIFS('Source 2025'!$M:$M,'Source 2025'!$B:$B,$A28,'Source 2025'!$A:$A,"Amount (NIS)")+SUMIFS('Source 2025'!$N:$N,'Source 2025'!$B:$B,$A28,'Source 2025'!$A:$A,"Amount (NIS)")+SUMIFS('Source 2025'!$S:$S,'Source 2025'!$B:$B,$A28,'Source 2025'!$A:$A,"Amount (NIS)")+SUMIFS('Source 2025'!$U:$U,'Source 2025'!$B:$B,$A28,'Source 2025'!$A:$A,"Amount (NIS)")+SUMIFS('Source 2025'!$D:$D,'Source 2025'!$B:$B,$A28,'Source 2025'!$A:$A,"Amount (NIS)")+SUMIFS('Source 2025'!$E:$E,'Source 2025'!$B:$B,$A28,'Source 2025'!$A:$A,"Amount (NIS)")+SUMIFS('Source 2025'!$G:$G,'Source 2025'!$B:$B,$A28,'Source 2025'!$A:$A,"Amount (NIS)")</f>
        <v>29905.1</v>
      </c>
      <c r="I28" s="9" t="n">
        <f aca="false">SUMIFS('Source 2026'!$F:$F,'Source 2026'!$B:$B,$A28,'Source 2026'!$A:$A,"Amount (NIS)")+SUMIFS('Source 2026'!$H:$H,'Source 2026'!$B:$B,$A28,'Source 2026'!$A:$A,"Amount (NIS)")+SUMIFS('Source 2026'!$M:$M,'Source 2026'!$B:$B,$A28,'Source 2026'!$A:$A,"Amount (NIS)")+SUMIFS('Source 2026'!$N:$N,'Source 2026'!$B:$B,$A28,'Source 2026'!$A:$A,"Amount (NIS)")+SUMIFS('Source 2026'!$S:$S,'Source 2026'!$B:$B,$A28,'Source 2026'!$A:$A,"Amount (NIS)")+SUMIFS('Source 2026'!$U:$U,'Source 2026'!$B:$B,$A28,'Source 2026'!$A:$A,"Amount (NIS)")+SUMIFS('Source 2026'!$D:$D,'Source 2026'!$B:$B,$A28,'Source 2026'!$A:$A,"Amount (NIS)")+SUMIFS('Source 2026'!$E:$E,'Source 2026'!$B:$B,$A28,'Source 2026'!$A:$A,"Amount (NIS)")+SUMIFS('Source 2026'!$G:$G,'Source 2026'!$B:$B,$A28,'Source 2026'!$A:$A,"Amount (NIS)")</f>
        <v>19015.4</v>
      </c>
      <c r="J28" s="9" t="n">
        <f aca="false">I28*$J$5</f>
        <v>24019.4526315789</v>
      </c>
      <c r="K28" s="9" t="n">
        <f aca="false">J28-H28</f>
        <v>-5885.64736842105</v>
      </c>
      <c r="L28" s="11" t="n">
        <f aca="false">IF(AND(H28=0,J28=0),0,IF(H28=0,"New",(J28-H28)/H28))</f>
        <v>-0.196810823853492</v>
      </c>
    </row>
    <row r="29" customFormat="false" ht="15" hidden="false" customHeight="true" outlineLevel="0" collapsed="false">
      <c r="A29" s="8" t="s">
        <v>98</v>
      </c>
      <c r="B29" s="8" t="str">
        <f aca="false">IFERROR(INDEX('Source 2026'!$C:$C,MATCH($A29,'Source 2026'!$B:$B,0)),IFERROR(INDEX('Source 2025'!$C:$C,MATCH($A29,'Source 2025'!$B:$B,0)),""))</f>
        <v>L מגן קרסול שחור</v>
      </c>
      <c r="C29" s="9" t="n">
        <f aca="false">SUMIFS('Source 2025'!$F:$F,'Source 2025'!$B:$B,$A29,'Source 2025'!$A:$A,"Quantity (units)")+SUMIFS('Source 2025'!$H:$H,'Source 2025'!$B:$B,$A29,'Source 2025'!$A:$A,"Quantity (units)")+SUMIFS('Source 2025'!$M:$M,'Source 2025'!$B:$B,$A29,'Source 2025'!$A:$A,"Quantity (units)")+SUMIFS('Source 2025'!$N:$N,'Source 2025'!$B:$B,$A29,'Source 2025'!$A:$A,"Quantity (units)")+SUMIFS('Source 2025'!$S:$S,'Source 2025'!$B:$B,$A29,'Source 2025'!$A:$A,"Quantity (units)")+SUMIFS('Source 2025'!$U:$U,'Source 2025'!$B:$B,$A29,'Source 2025'!$A:$A,"Quantity (units)")+SUMIFS('Source 2025'!$D:$D,'Source 2025'!$B:$B,$A29,'Source 2025'!$A:$A,"Quantity (units)")+SUMIFS('Source 2025'!$E:$E,'Source 2025'!$B:$B,$A29,'Source 2025'!$A:$A,"Quantity (units)")+SUMIFS('Source 2025'!$G:$G,'Source 2025'!$B:$B,$A29,'Source 2025'!$A:$A,"Quantity (units)")</f>
        <v>926</v>
      </c>
      <c r="D29" s="9" t="n">
        <f aca="false">SUMIFS('Source 2026'!$F:$F,'Source 2026'!$B:$B,$A29,'Source 2026'!$A:$A,"Quantity (units)")+SUMIFS('Source 2026'!$H:$H,'Source 2026'!$B:$B,$A29,'Source 2026'!$A:$A,"Quantity (units)")+SUMIFS('Source 2026'!$M:$M,'Source 2026'!$B:$B,$A29,'Source 2026'!$A:$A,"Quantity (units)")+SUMIFS('Source 2026'!$N:$N,'Source 2026'!$B:$B,$A29,'Source 2026'!$A:$A,"Quantity (units)")+SUMIFS('Source 2026'!$S:$S,'Source 2026'!$B:$B,$A29,'Source 2026'!$A:$A,"Quantity (units)")+SUMIFS('Source 2026'!$U:$U,'Source 2026'!$B:$B,$A29,'Source 2026'!$A:$A,"Quantity (units)")+SUMIFS('Source 2026'!$D:$D,'Source 2026'!$B:$B,$A29,'Source 2026'!$A:$A,"Quantity (units)")+SUMIFS('Source 2026'!$E:$E,'Source 2026'!$B:$B,$A29,'Source 2026'!$A:$A,"Quantity (units)")+SUMIFS('Source 2026'!$G:$G,'Source 2026'!$B:$B,$A29,'Source 2026'!$A:$A,"Quantity (units)")</f>
        <v>538</v>
      </c>
      <c r="E29" s="9" t="n">
        <f aca="false">D29*$J$5</f>
        <v>679.578947368421</v>
      </c>
      <c r="F29" s="9" t="n">
        <f aca="false">E29-C29</f>
        <v>-246.421052631579</v>
      </c>
      <c r="G29" s="11" t="n">
        <f aca="false">IF(AND(C29=0,E29=0),0,IF(C29=0,"New",(E29-C29)/C29))</f>
        <v>-0.266113447766284</v>
      </c>
      <c r="H29" s="9" t="n">
        <f aca="false">SUMIFS('Source 2025'!$F:$F,'Source 2025'!$B:$B,$A29,'Source 2025'!$A:$A,"Amount (NIS)")+SUMIFS('Source 2025'!$H:$H,'Source 2025'!$B:$B,$A29,'Source 2025'!$A:$A,"Amount (NIS)")+SUMIFS('Source 2025'!$M:$M,'Source 2025'!$B:$B,$A29,'Source 2025'!$A:$A,"Amount (NIS)")+SUMIFS('Source 2025'!$N:$N,'Source 2025'!$B:$B,$A29,'Source 2025'!$A:$A,"Amount (NIS)")+SUMIFS('Source 2025'!$S:$S,'Source 2025'!$B:$B,$A29,'Source 2025'!$A:$A,"Amount (NIS)")+SUMIFS('Source 2025'!$U:$U,'Source 2025'!$B:$B,$A29,'Source 2025'!$A:$A,"Amount (NIS)")+SUMIFS('Source 2025'!$D:$D,'Source 2025'!$B:$B,$A29,'Source 2025'!$A:$A,"Amount (NIS)")+SUMIFS('Source 2025'!$E:$E,'Source 2025'!$B:$B,$A29,'Source 2025'!$A:$A,"Amount (NIS)")+SUMIFS('Source 2025'!$G:$G,'Source 2025'!$B:$B,$A29,'Source 2025'!$A:$A,"Amount (NIS)")</f>
        <v>27327.9</v>
      </c>
      <c r="I29" s="9" t="n">
        <f aca="false">SUMIFS('Source 2026'!$F:$F,'Source 2026'!$B:$B,$A29,'Source 2026'!$A:$A,"Amount (NIS)")+SUMIFS('Source 2026'!$H:$H,'Source 2026'!$B:$B,$A29,'Source 2026'!$A:$A,"Amount (NIS)")+SUMIFS('Source 2026'!$M:$M,'Source 2026'!$B:$B,$A29,'Source 2026'!$A:$A,"Amount (NIS)")+SUMIFS('Source 2026'!$N:$N,'Source 2026'!$B:$B,$A29,'Source 2026'!$A:$A,"Amount (NIS)")+SUMIFS('Source 2026'!$S:$S,'Source 2026'!$B:$B,$A29,'Source 2026'!$A:$A,"Amount (NIS)")+SUMIFS('Source 2026'!$U:$U,'Source 2026'!$B:$B,$A29,'Source 2026'!$A:$A,"Amount (NIS)")+SUMIFS('Source 2026'!$D:$D,'Source 2026'!$B:$B,$A29,'Source 2026'!$A:$A,"Amount (NIS)")+SUMIFS('Source 2026'!$E:$E,'Source 2026'!$B:$B,$A29,'Source 2026'!$A:$A,"Amount (NIS)")+SUMIFS('Source 2026'!$G:$G,'Source 2026'!$B:$B,$A29,'Source 2026'!$A:$A,"Amount (NIS)")</f>
        <v>16483.1</v>
      </c>
      <c r="J29" s="9" t="n">
        <f aca="false">I29*$J$5</f>
        <v>20820.7578947368</v>
      </c>
      <c r="K29" s="9" t="n">
        <f aca="false">J29-H29</f>
        <v>-6507.14210526316</v>
      </c>
      <c r="L29" s="11" t="n">
        <f aca="false">IF(AND(H29=0,J29=0),0,IF(H29=0,"New",(J29-H29)/H29))</f>
        <v>-0.238113506901853</v>
      </c>
    </row>
    <row r="30" customFormat="false" ht="15" hidden="false" customHeight="true" outlineLevel="0" collapsed="false">
      <c r="A30" s="8" t="s">
        <v>99</v>
      </c>
      <c r="B30" s="8" t="str">
        <f aca="false">IFERROR(INDEX('Source 2026'!$C:$C,MATCH($A30,'Source 2026'!$B:$B,0)),IFERROR(INDEX('Source 2025'!$C:$C,MATCH($A30,'Source 2025'!$B:$B,0)),""))</f>
        <v>S מגן קרסול לבן</v>
      </c>
      <c r="C30" s="9" t="n">
        <f aca="false">SUMIFS('Source 2025'!$F:$F,'Source 2025'!$B:$B,$A30,'Source 2025'!$A:$A,"Quantity (units)")+SUMIFS('Source 2025'!$H:$H,'Source 2025'!$B:$B,$A30,'Source 2025'!$A:$A,"Quantity (units)")+SUMIFS('Source 2025'!$M:$M,'Source 2025'!$B:$B,$A30,'Source 2025'!$A:$A,"Quantity (units)")+SUMIFS('Source 2025'!$N:$N,'Source 2025'!$B:$B,$A30,'Source 2025'!$A:$A,"Quantity (units)")+SUMIFS('Source 2025'!$S:$S,'Source 2025'!$B:$B,$A30,'Source 2025'!$A:$A,"Quantity (units)")+SUMIFS('Source 2025'!$U:$U,'Source 2025'!$B:$B,$A30,'Source 2025'!$A:$A,"Quantity (units)")+SUMIFS('Source 2025'!$D:$D,'Source 2025'!$B:$B,$A30,'Source 2025'!$A:$A,"Quantity (units)")+SUMIFS('Source 2025'!$E:$E,'Source 2025'!$B:$B,$A30,'Source 2025'!$A:$A,"Quantity (units)")+SUMIFS('Source 2025'!$G:$G,'Source 2025'!$B:$B,$A30,'Source 2025'!$A:$A,"Quantity (units)")</f>
        <v>786</v>
      </c>
      <c r="D30" s="9" t="n">
        <f aca="false">SUMIFS('Source 2026'!$F:$F,'Source 2026'!$B:$B,$A30,'Source 2026'!$A:$A,"Quantity (units)")+SUMIFS('Source 2026'!$H:$H,'Source 2026'!$B:$B,$A30,'Source 2026'!$A:$A,"Quantity (units)")+SUMIFS('Source 2026'!$M:$M,'Source 2026'!$B:$B,$A30,'Source 2026'!$A:$A,"Quantity (units)")+SUMIFS('Source 2026'!$N:$N,'Source 2026'!$B:$B,$A30,'Source 2026'!$A:$A,"Quantity (units)")+SUMIFS('Source 2026'!$S:$S,'Source 2026'!$B:$B,$A30,'Source 2026'!$A:$A,"Quantity (units)")+SUMIFS('Source 2026'!$U:$U,'Source 2026'!$B:$B,$A30,'Source 2026'!$A:$A,"Quantity (units)")+SUMIFS('Source 2026'!$D:$D,'Source 2026'!$B:$B,$A30,'Source 2026'!$A:$A,"Quantity (units)")+SUMIFS('Source 2026'!$E:$E,'Source 2026'!$B:$B,$A30,'Source 2026'!$A:$A,"Quantity (units)")+SUMIFS('Source 2026'!$G:$G,'Source 2026'!$B:$B,$A30,'Source 2026'!$A:$A,"Quantity (units)")</f>
        <v>447</v>
      </c>
      <c r="E30" s="9" t="n">
        <f aca="false">D30*$J$5</f>
        <v>564.631578947368</v>
      </c>
      <c r="F30" s="9" t="n">
        <f aca="false">E30-C30</f>
        <v>-221.368421052632</v>
      </c>
      <c r="G30" s="11" t="n">
        <f aca="false">IF(AND(C30=0,E30=0),0,IF(C30=0,"New",(E30-C30)/C30))</f>
        <v>-0.281639212535155</v>
      </c>
      <c r="H30" s="9" t="n">
        <f aca="false">SUMIFS('Source 2025'!$F:$F,'Source 2025'!$B:$B,$A30,'Source 2025'!$A:$A,"Amount (NIS)")+SUMIFS('Source 2025'!$H:$H,'Source 2025'!$B:$B,$A30,'Source 2025'!$A:$A,"Amount (NIS)")+SUMIFS('Source 2025'!$M:$M,'Source 2025'!$B:$B,$A30,'Source 2025'!$A:$A,"Amount (NIS)")+SUMIFS('Source 2025'!$N:$N,'Source 2025'!$B:$B,$A30,'Source 2025'!$A:$A,"Amount (NIS)")+SUMIFS('Source 2025'!$S:$S,'Source 2025'!$B:$B,$A30,'Source 2025'!$A:$A,"Amount (NIS)")+SUMIFS('Source 2025'!$U:$U,'Source 2025'!$B:$B,$A30,'Source 2025'!$A:$A,"Amount (NIS)")+SUMIFS('Source 2025'!$D:$D,'Source 2025'!$B:$B,$A30,'Source 2025'!$A:$A,"Amount (NIS)")+SUMIFS('Source 2025'!$E:$E,'Source 2025'!$B:$B,$A30,'Source 2025'!$A:$A,"Amount (NIS)")+SUMIFS('Source 2025'!$G:$G,'Source 2025'!$B:$B,$A30,'Source 2025'!$A:$A,"Amount (NIS)")</f>
        <v>23214.8</v>
      </c>
      <c r="I30" s="9" t="n">
        <f aca="false">SUMIFS('Source 2026'!$F:$F,'Source 2026'!$B:$B,$A30,'Source 2026'!$A:$A,"Amount (NIS)")+SUMIFS('Source 2026'!$H:$H,'Source 2026'!$B:$B,$A30,'Source 2026'!$A:$A,"Amount (NIS)")+SUMIFS('Source 2026'!$M:$M,'Source 2026'!$B:$B,$A30,'Source 2026'!$A:$A,"Amount (NIS)")+SUMIFS('Source 2026'!$N:$N,'Source 2026'!$B:$B,$A30,'Source 2026'!$A:$A,"Amount (NIS)")+SUMIFS('Source 2026'!$S:$S,'Source 2026'!$B:$B,$A30,'Source 2026'!$A:$A,"Amount (NIS)")+SUMIFS('Source 2026'!$U:$U,'Source 2026'!$B:$B,$A30,'Source 2026'!$A:$A,"Amount (NIS)")+SUMIFS('Source 2026'!$D:$D,'Source 2026'!$B:$B,$A30,'Source 2026'!$A:$A,"Amount (NIS)")+SUMIFS('Source 2026'!$E:$E,'Source 2026'!$B:$B,$A30,'Source 2026'!$A:$A,"Amount (NIS)")+SUMIFS('Source 2026'!$G:$G,'Source 2026'!$B:$B,$A30,'Source 2026'!$A:$A,"Amount (NIS)")</f>
        <v>13290.4</v>
      </c>
      <c r="J30" s="9" t="n">
        <f aca="false">I30*$J$5</f>
        <v>16787.8736842105</v>
      </c>
      <c r="K30" s="9" t="n">
        <f aca="false">J30-H30</f>
        <v>-6426.92631578948</v>
      </c>
      <c r="L30" s="11" t="n">
        <f aca="false">IF(AND(H30=0,J30=0),0,IF(H30=0,"New",(J30-H30)/H30))</f>
        <v>-0.276846077320911</v>
      </c>
    </row>
    <row r="31" customFormat="false" ht="15" hidden="false" customHeight="true" outlineLevel="0" collapsed="false">
      <c r="A31" s="8" t="s">
        <v>100</v>
      </c>
      <c r="B31" s="8" t="str">
        <f aca="false">IFERROR(INDEX('Source 2026'!$C:$C,MATCH($A31,'Source 2026'!$B:$B,0)),IFERROR(INDEX('Source 2025'!$C:$C,MATCH($A31,'Source 2025'!$B:$B,0)),""))</f>
        <v>L מגן ברך לבן</v>
      </c>
      <c r="C31" s="9" t="n">
        <f aca="false">SUMIFS('Source 2025'!$F:$F,'Source 2025'!$B:$B,$A31,'Source 2025'!$A:$A,"Quantity (units)")+SUMIFS('Source 2025'!$H:$H,'Source 2025'!$B:$B,$A31,'Source 2025'!$A:$A,"Quantity (units)")+SUMIFS('Source 2025'!$M:$M,'Source 2025'!$B:$B,$A31,'Source 2025'!$A:$A,"Quantity (units)")+SUMIFS('Source 2025'!$N:$N,'Source 2025'!$B:$B,$A31,'Source 2025'!$A:$A,"Quantity (units)")+SUMIFS('Source 2025'!$S:$S,'Source 2025'!$B:$B,$A31,'Source 2025'!$A:$A,"Quantity (units)")+SUMIFS('Source 2025'!$U:$U,'Source 2025'!$B:$B,$A31,'Source 2025'!$A:$A,"Quantity (units)")+SUMIFS('Source 2025'!$D:$D,'Source 2025'!$B:$B,$A31,'Source 2025'!$A:$A,"Quantity (units)")+SUMIFS('Source 2025'!$E:$E,'Source 2025'!$B:$B,$A31,'Source 2025'!$A:$A,"Quantity (units)")+SUMIFS('Source 2025'!$G:$G,'Source 2025'!$B:$B,$A31,'Source 2025'!$A:$A,"Quantity (units)")</f>
        <v>1091</v>
      </c>
      <c r="D31" s="9" t="n">
        <f aca="false">SUMIFS('Source 2026'!$F:$F,'Source 2026'!$B:$B,$A31,'Source 2026'!$A:$A,"Quantity (units)")+SUMIFS('Source 2026'!$H:$H,'Source 2026'!$B:$B,$A31,'Source 2026'!$A:$A,"Quantity (units)")+SUMIFS('Source 2026'!$M:$M,'Source 2026'!$B:$B,$A31,'Source 2026'!$A:$A,"Quantity (units)")+SUMIFS('Source 2026'!$N:$N,'Source 2026'!$B:$B,$A31,'Source 2026'!$A:$A,"Quantity (units)")+SUMIFS('Source 2026'!$S:$S,'Source 2026'!$B:$B,$A31,'Source 2026'!$A:$A,"Quantity (units)")+SUMIFS('Source 2026'!$U:$U,'Source 2026'!$B:$B,$A31,'Source 2026'!$A:$A,"Quantity (units)")+SUMIFS('Source 2026'!$D:$D,'Source 2026'!$B:$B,$A31,'Source 2026'!$A:$A,"Quantity (units)")+SUMIFS('Source 2026'!$E:$E,'Source 2026'!$B:$B,$A31,'Source 2026'!$A:$A,"Quantity (units)")+SUMIFS('Source 2026'!$G:$G,'Source 2026'!$B:$B,$A31,'Source 2026'!$A:$A,"Quantity (units)")</f>
        <v>758</v>
      </c>
      <c r="E31" s="9" t="n">
        <f aca="false">D31*$J$5</f>
        <v>957.473684210526</v>
      </c>
      <c r="F31" s="9" t="n">
        <f aca="false">E31-C31</f>
        <v>-133.526315789474</v>
      </c>
      <c r="G31" s="11" t="n">
        <f aca="false">IF(AND(C31=0,E31=0),0,IF(C31=0,"New",(E31-C31)/C31))</f>
        <v>-0.12238892373004</v>
      </c>
      <c r="H31" s="9" t="n">
        <f aca="false">SUMIFS('Source 2025'!$F:$F,'Source 2025'!$B:$B,$A31,'Source 2025'!$A:$A,"Amount (NIS)")+SUMIFS('Source 2025'!$H:$H,'Source 2025'!$B:$B,$A31,'Source 2025'!$A:$A,"Amount (NIS)")+SUMIFS('Source 2025'!$M:$M,'Source 2025'!$B:$B,$A31,'Source 2025'!$A:$A,"Amount (NIS)")+SUMIFS('Source 2025'!$N:$N,'Source 2025'!$B:$B,$A31,'Source 2025'!$A:$A,"Amount (NIS)")+SUMIFS('Source 2025'!$S:$S,'Source 2025'!$B:$B,$A31,'Source 2025'!$A:$A,"Amount (NIS)")+SUMIFS('Source 2025'!$U:$U,'Source 2025'!$B:$B,$A31,'Source 2025'!$A:$A,"Amount (NIS)")+SUMIFS('Source 2025'!$D:$D,'Source 2025'!$B:$B,$A31,'Source 2025'!$A:$A,"Amount (NIS)")+SUMIFS('Source 2025'!$E:$E,'Source 2025'!$B:$B,$A31,'Source 2025'!$A:$A,"Amount (NIS)")+SUMIFS('Source 2025'!$G:$G,'Source 2025'!$B:$B,$A31,'Source 2025'!$A:$A,"Amount (NIS)")</f>
        <v>32429.9</v>
      </c>
      <c r="I31" s="9" t="n">
        <f aca="false">SUMIFS('Source 2026'!$F:$F,'Source 2026'!$B:$B,$A31,'Source 2026'!$A:$A,"Amount (NIS)")+SUMIFS('Source 2026'!$H:$H,'Source 2026'!$B:$B,$A31,'Source 2026'!$A:$A,"Amount (NIS)")+SUMIFS('Source 2026'!$M:$M,'Source 2026'!$B:$B,$A31,'Source 2026'!$A:$A,"Amount (NIS)")+SUMIFS('Source 2026'!$N:$N,'Source 2026'!$B:$B,$A31,'Source 2026'!$A:$A,"Amount (NIS)")+SUMIFS('Source 2026'!$S:$S,'Source 2026'!$B:$B,$A31,'Source 2026'!$A:$A,"Amount (NIS)")+SUMIFS('Source 2026'!$U:$U,'Source 2026'!$B:$B,$A31,'Source 2026'!$A:$A,"Amount (NIS)")+SUMIFS('Source 2026'!$D:$D,'Source 2026'!$B:$B,$A31,'Source 2026'!$A:$A,"Amount (NIS)")+SUMIFS('Source 2026'!$E:$E,'Source 2026'!$B:$B,$A31,'Source 2026'!$A:$A,"Amount (NIS)")+SUMIFS('Source 2026'!$G:$G,'Source 2026'!$B:$B,$A31,'Source 2026'!$A:$A,"Amount (NIS)")</f>
        <v>22613</v>
      </c>
      <c r="J31" s="9" t="n">
        <f aca="false">I31*$J$5</f>
        <v>28563.7894736842</v>
      </c>
      <c r="K31" s="9" t="n">
        <f aca="false">J31-H31</f>
        <v>-3866.1105263158</v>
      </c>
      <c r="L31" s="11" t="n">
        <f aca="false">IF(AND(H31=0,J31=0),0,IF(H31=0,"New",(J31-H31)/H31))</f>
        <v>-0.119214383217827</v>
      </c>
    </row>
    <row r="32" customFormat="false" ht="15" hidden="false" customHeight="true" outlineLevel="0" collapsed="false">
      <c r="A32" s="8" t="s">
        <v>101</v>
      </c>
      <c r="B32" s="8" t="str">
        <f aca="false">IFERROR(INDEX('Source 2026'!$C:$C,MATCH($A32,'Source 2026'!$B:$B,0)),IFERROR(INDEX('Source 2025'!$C:$C,MATCH($A32,'Source 2025'!$B:$B,0)),""))</f>
        <v>תרסיס דאודורנט לכף הרגל</v>
      </c>
      <c r="C32" s="9" t="n">
        <f aca="false">SUMIFS('Source 2025'!$F:$F,'Source 2025'!$B:$B,$A32,'Source 2025'!$A:$A,"Quantity (units)")+SUMIFS('Source 2025'!$H:$H,'Source 2025'!$B:$B,$A32,'Source 2025'!$A:$A,"Quantity (units)")+SUMIFS('Source 2025'!$M:$M,'Source 2025'!$B:$B,$A32,'Source 2025'!$A:$A,"Quantity (units)")+SUMIFS('Source 2025'!$N:$N,'Source 2025'!$B:$B,$A32,'Source 2025'!$A:$A,"Quantity (units)")+SUMIFS('Source 2025'!$S:$S,'Source 2025'!$B:$B,$A32,'Source 2025'!$A:$A,"Quantity (units)")+SUMIFS('Source 2025'!$U:$U,'Source 2025'!$B:$B,$A32,'Source 2025'!$A:$A,"Quantity (units)")+SUMIFS('Source 2025'!$D:$D,'Source 2025'!$B:$B,$A32,'Source 2025'!$A:$A,"Quantity (units)")+SUMIFS('Source 2025'!$E:$E,'Source 2025'!$B:$B,$A32,'Source 2025'!$A:$A,"Quantity (units)")+SUMIFS('Source 2025'!$G:$G,'Source 2025'!$B:$B,$A32,'Source 2025'!$A:$A,"Quantity (units)")</f>
        <v>1000</v>
      </c>
      <c r="D32" s="9" t="n">
        <f aca="false">SUMIFS('Source 2026'!$F:$F,'Source 2026'!$B:$B,$A32,'Source 2026'!$A:$A,"Quantity (units)")+SUMIFS('Source 2026'!$H:$H,'Source 2026'!$B:$B,$A32,'Source 2026'!$A:$A,"Quantity (units)")+SUMIFS('Source 2026'!$M:$M,'Source 2026'!$B:$B,$A32,'Source 2026'!$A:$A,"Quantity (units)")+SUMIFS('Source 2026'!$N:$N,'Source 2026'!$B:$B,$A32,'Source 2026'!$A:$A,"Quantity (units)")+SUMIFS('Source 2026'!$S:$S,'Source 2026'!$B:$B,$A32,'Source 2026'!$A:$A,"Quantity (units)")+SUMIFS('Source 2026'!$U:$U,'Source 2026'!$B:$B,$A32,'Source 2026'!$A:$A,"Quantity (units)")+SUMIFS('Source 2026'!$D:$D,'Source 2026'!$B:$B,$A32,'Source 2026'!$A:$A,"Quantity (units)")+SUMIFS('Source 2026'!$E:$E,'Source 2026'!$B:$B,$A32,'Source 2026'!$A:$A,"Quantity (units)")+SUMIFS('Source 2026'!$G:$G,'Source 2026'!$B:$B,$A32,'Source 2026'!$A:$A,"Quantity (units)")</f>
        <v>468</v>
      </c>
      <c r="E32" s="9" t="n">
        <f aca="false">D32*$J$5</f>
        <v>591.157894736842</v>
      </c>
      <c r="F32" s="9" t="n">
        <f aca="false">E32-C32</f>
        <v>-408.842105263158</v>
      </c>
      <c r="G32" s="11" t="n">
        <f aca="false">IF(AND(C32=0,E32=0),0,IF(C32=0,"New",(E32-C32)/C32))</f>
        <v>-0.408842105263158</v>
      </c>
      <c r="H32" s="9" t="n">
        <f aca="false">SUMIFS('Source 2025'!$F:$F,'Source 2025'!$B:$B,$A32,'Source 2025'!$A:$A,"Amount (NIS)")+SUMIFS('Source 2025'!$H:$H,'Source 2025'!$B:$B,$A32,'Source 2025'!$A:$A,"Amount (NIS)")+SUMIFS('Source 2025'!$M:$M,'Source 2025'!$B:$B,$A32,'Source 2025'!$A:$A,"Amount (NIS)")+SUMIFS('Source 2025'!$N:$N,'Source 2025'!$B:$B,$A32,'Source 2025'!$A:$A,"Amount (NIS)")+SUMIFS('Source 2025'!$S:$S,'Source 2025'!$B:$B,$A32,'Source 2025'!$A:$A,"Amount (NIS)")+SUMIFS('Source 2025'!$U:$U,'Source 2025'!$B:$B,$A32,'Source 2025'!$A:$A,"Amount (NIS)")+SUMIFS('Source 2025'!$D:$D,'Source 2025'!$B:$B,$A32,'Source 2025'!$A:$A,"Amount (NIS)")+SUMIFS('Source 2025'!$E:$E,'Source 2025'!$B:$B,$A32,'Source 2025'!$A:$A,"Amount (NIS)")+SUMIFS('Source 2025'!$G:$G,'Source 2025'!$B:$B,$A32,'Source 2025'!$A:$A,"Amount (NIS)")</f>
        <v>19629.5</v>
      </c>
      <c r="I32" s="9" t="n">
        <f aca="false">SUMIFS('Source 2026'!$F:$F,'Source 2026'!$B:$B,$A32,'Source 2026'!$A:$A,"Amount (NIS)")+SUMIFS('Source 2026'!$H:$H,'Source 2026'!$B:$B,$A32,'Source 2026'!$A:$A,"Amount (NIS)")+SUMIFS('Source 2026'!$M:$M,'Source 2026'!$B:$B,$A32,'Source 2026'!$A:$A,"Amount (NIS)")+SUMIFS('Source 2026'!$N:$N,'Source 2026'!$B:$B,$A32,'Source 2026'!$A:$A,"Amount (NIS)")+SUMIFS('Source 2026'!$S:$S,'Source 2026'!$B:$B,$A32,'Source 2026'!$A:$A,"Amount (NIS)")+SUMIFS('Source 2026'!$U:$U,'Source 2026'!$B:$B,$A32,'Source 2026'!$A:$A,"Amount (NIS)")+SUMIFS('Source 2026'!$D:$D,'Source 2026'!$B:$B,$A32,'Source 2026'!$A:$A,"Amount (NIS)")+SUMIFS('Source 2026'!$E:$E,'Source 2026'!$B:$B,$A32,'Source 2026'!$A:$A,"Amount (NIS)")+SUMIFS('Source 2026'!$G:$G,'Source 2026'!$B:$B,$A32,'Source 2026'!$A:$A,"Amount (NIS)")</f>
        <v>9873.9</v>
      </c>
      <c r="J32" s="9" t="n">
        <f aca="false">I32*$J$5</f>
        <v>12472.2947368421</v>
      </c>
      <c r="K32" s="9" t="n">
        <f aca="false">J32-H32</f>
        <v>-7157.2052631579</v>
      </c>
      <c r="L32" s="11" t="n">
        <f aca="false">IF(AND(H32=0,J32=0),0,IF(H32=0,"New",(J32-H32)/H32))</f>
        <v>-0.3646147514281</v>
      </c>
    </row>
    <row r="33" customFormat="false" ht="15" hidden="false" customHeight="true" outlineLevel="0" collapsed="false">
      <c r="A33" s="8" t="s">
        <v>102</v>
      </c>
      <c r="B33" s="8" t="str">
        <f aca="false">IFERROR(INDEX('Source 2026'!$C:$C,MATCH($A33,'Source 2026'!$B:$B,0)),IFERROR(INDEX('Source 2025'!$C:$C,MATCH($A33,'Source 2025'!$B:$B,0)),""))</f>
        <v>חבק לשורש כף היד</v>
      </c>
      <c r="C33" s="9" t="n">
        <f aca="false">SUMIFS('Source 2025'!$F:$F,'Source 2025'!$B:$B,$A33,'Source 2025'!$A:$A,"Quantity (units)")+SUMIFS('Source 2025'!$H:$H,'Source 2025'!$B:$B,$A33,'Source 2025'!$A:$A,"Quantity (units)")+SUMIFS('Source 2025'!$M:$M,'Source 2025'!$B:$B,$A33,'Source 2025'!$A:$A,"Quantity (units)")+SUMIFS('Source 2025'!$N:$N,'Source 2025'!$B:$B,$A33,'Source 2025'!$A:$A,"Quantity (units)")+SUMIFS('Source 2025'!$S:$S,'Source 2025'!$B:$B,$A33,'Source 2025'!$A:$A,"Quantity (units)")+SUMIFS('Source 2025'!$U:$U,'Source 2025'!$B:$B,$A33,'Source 2025'!$A:$A,"Quantity (units)")+SUMIFS('Source 2025'!$D:$D,'Source 2025'!$B:$B,$A33,'Source 2025'!$A:$A,"Quantity (units)")+SUMIFS('Source 2025'!$E:$E,'Source 2025'!$B:$B,$A33,'Source 2025'!$A:$A,"Quantity (units)")+SUMIFS('Source 2025'!$G:$G,'Source 2025'!$B:$B,$A33,'Source 2025'!$A:$A,"Quantity (units)")</f>
        <v>1143</v>
      </c>
      <c r="D33" s="9" t="n">
        <f aca="false">SUMIFS('Source 2026'!$F:$F,'Source 2026'!$B:$B,$A33,'Source 2026'!$A:$A,"Quantity (units)")+SUMIFS('Source 2026'!$H:$H,'Source 2026'!$B:$B,$A33,'Source 2026'!$A:$A,"Quantity (units)")+SUMIFS('Source 2026'!$M:$M,'Source 2026'!$B:$B,$A33,'Source 2026'!$A:$A,"Quantity (units)")+SUMIFS('Source 2026'!$N:$N,'Source 2026'!$B:$B,$A33,'Source 2026'!$A:$A,"Quantity (units)")+SUMIFS('Source 2026'!$S:$S,'Source 2026'!$B:$B,$A33,'Source 2026'!$A:$A,"Quantity (units)")+SUMIFS('Source 2026'!$U:$U,'Source 2026'!$B:$B,$A33,'Source 2026'!$A:$A,"Quantity (units)")+SUMIFS('Source 2026'!$D:$D,'Source 2026'!$B:$B,$A33,'Source 2026'!$A:$A,"Quantity (units)")+SUMIFS('Source 2026'!$E:$E,'Source 2026'!$B:$B,$A33,'Source 2026'!$A:$A,"Quantity (units)")+SUMIFS('Source 2026'!$G:$G,'Source 2026'!$B:$B,$A33,'Source 2026'!$A:$A,"Quantity (units)")</f>
        <v>801</v>
      </c>
      <c r="E33" s="9" t="n">
        <f aca="false">D33*$J$5</f>
        <v>1011.78947368421</v>
      </c>
      <c r="F33" s="9" t="n">
        <f aca="false">E33-C33</f>
        <v>-131.210526315789</v>
      </c>
      <c r="G33" s="11" t="n">
        <f aca="false">IF(AND(C33=0,E33=0),0,IF(C33=0,"New",(E33-C33)/C33))</f>
        <v>-0.11479486116867</v>
      </c>
      <c r="H33" s="9" t="n">
        <f aca="false">SUMIFS('Source 2025'!$F:$F,'Source 2025'!$B:$B,$A33,'Source 2025'!$A:$A,"Amount (NIS)")+SUMIFS('Source 2025'!$H:$H,'Source 2025'!$B:$B,$A33,'Source 2025'!$A:$A,"Amount (NIS)")+SUMIFS('Source 2025'!$M:$M,'Source 2025'!$B:$B,$A33,'Source 2025'!$A:$A,"Amount (NIS)")+SUMIFS('Source 2025'!$N:$N,'Source 2025'!$B:$B,$A33,'Source 2025'!$A:$A,"Amount (NIS)")+SUMIFS('Source 2025'!$S:$S,'Source 2025'!$B:$B,$A33,'Source 2025'!$A:$A,"Amount (NIS)")+SUMIFS('Source 2025'!$U:$U,'Source 2025'!$B:$B,$A33,'Source 2025'!$A:$A,"Amount (NIS)")+SUMIFS('Source 2025'!$D:$D,'Source 2025'!$B:$B,$A33,'Source 2025'!$A:$A,"Amount (NIS)")+SUMIFS('Source 2025'!$E:$E,'Source 2025'!$B:$B,$A33,'Source 2025'!$A:$A,"Amount (NIS)")+SUMIFS('Source 2025'!$G:$G,'Source 2025'!$B:$B,$A33,'Source 2025'!$A:$A,"Amount (NIS)")</f>
        <v>36486.6</v>
      </c>
      <c r="I33" s="9" t="n">
        <f aca="false">SUMIFS('Source 2026'!$F:$F,'Source 2026'!$B:$B,$A33,'Source 2026'!$A:$A,"Amount (NIS)")+SUMIFS('Source 2026'!$H:$H,'Source 2026'!$B:$B,$A33,'Source 2026'!$A:$A,"Amount (NIS)")+SUMIFS('Source 2026'!$M:$M,'Source 2026'!$B:$B,$A33,'Source 2026'!$A:$A,"Amount (NIS)")+SUMIFS('Source 2026'!$N:$N,'Source 2026'!$B:$B,$A33,'Source 2026'!$A:$A,"Amount (NIS)")+SUMIFS('Source 2026'!$S:$S,'Source 2026'!$B:$B,$A33,'Source 2026'!$A:$A,"Amount (NIS)")+SUMIFS('Source 2026'!$U:$U,'Source 2026'!$B:$B,$A33,'Source 2026'!$A:$A,"Amount (NIS)")+SUMIFS('Source 2026'!$D:$D,'Source 2026'!$B:$B,$A33,'Source 2026'!$A:$A,"Amount (NIS)")+SUMIFS('Source 2026'!$E:$E,'Source 2026'!$B:$B,$A33,'Source 2026'!$A:$A,"Amount (NIS)")+SUMIFS('Source 2026'!$G:$G,'Source 2026'!$B:$B,$A33,'Source 2026'!$A:$A,"Amount (NIS)")</f>
        <v>26891.9</v>
      </c>
      <c r="J33" s="9" t="n">
        <f aca="false">I33*$J$5</f>
        <v>33968.7157894737</v>
      </c>
      <c r="K33" s="9" t="n">
        <f aca="false">J33-H33</f>
        <v>-2517.88421052632</v>
      </c>
      <c r="L33" s="11" t="n">
        <f aca="false">IF(AND(H33=0,J33=0),0,IF(H33=0,"New",(J33-H33)/H33))</f>
        <v>-0.0690084636695753</v>
      </c>
    </row>
    <row r="34" customFormat="false" ht="15" hidden="false" customHeight="true" outlineLevel="0" collapsed="false">
      <c r="A34" s="8" t="s">
        <v>103</v>
      </c>
      <c r="B34" s="8" t="str">
        <f aca="false">IFERROR(INDEX('Source 2026'!$C:$C,MATCH($A34,'Source 2026'!$B:$B,0)),IFERROR(INDEX('Source 2025'!$C:$C,MATCH($A34,'Source 2025'!$B:$B,0)),""))</f>
        <v>L מתלה רשת לזרוע שחור</v>
      </c>
      <c r="C34" s="9" t="n">
        <f aca="false">SUMIFS('Source 2025'!$F:$F,'Source 2025'!$B:$B,$A34,'Source 2025'!$A:$A,"Quantity (units)")+SUMIFS('Source 2025'!$H:$H,'Source 2025'!$B:$B,$A34,'Source 2025'!$A:$A,"Quantity (units)")+SUMIFS('Source 2025'!$M:$M,'Source 2025'!$B:$B,$A34,'Source 2025'!$A:$A,"Quantity (units)")+SUMIFS('Source 2025'!$N:$N,'Source 2025'!$B:$B,$A34,'Source 2025'!$A:$A,"Quantity (units)")+SUMIFS('Source 2025'!$S:$S,'Source 2025'!$B:$B,$A34,'Source 2025'!$A:$A,"Quantity (units)")+SUMIFS('Source 2025'!$U:$U,'Source 2025'!$B:$B,$A34,'Source 2025'!$A:$A,"Quantity (units)")+SUMIFS('Source 2025'!$D:$D,'Source 2025'!$B:$B,$A34,'Source 2025'!$A:$A,"Quantity (units)")+SUMIFS('Source 2025'!$E:$E,'Source 2025'!$B:$B,$A34,'Source 2025'!$A:$A,"Quantity (units)")+SUMIFS('Source 2025'!$G:$G,'Source 2025'!$B:$B,$A34,'Source 2025'!$A:$A,"Quantity (units)")</f>
        <v>600</v>
      </c>
      <c r="D34" s="9" t="n">
        <f aca="false">SUMIFS('Source 2026'!$F:$F,'Source 2026'!$B:$B,$A34,'Source 2026'!$A:$A,"Quantity (units)")+SUMIFS('Source 2026'!$H:$H,'Source 2026'!$B:$B,$A34,'Source 2026'!$A:$A,"Quantity (units)")+SUMIFS('Source 2026'!$M:$M,'Source 2026'!$B:$B,$A34,'Source 2026'!$A:$A,"Quantity (units)")+SUMIFS('Source 2026'!$N:$N,'Source 2026'!$B:$B,$A34,'Source 2026'!$A:$A,"Quantity (units)")+SUMIFS('Source 2026'!$S:$S,'Source 2026'!$B:$B,$A34,'Source 2026'!$A:$A,"Quantity (units)")+SUMIFS('Source 2026'!$U:$U,'Source 2026'!$B:$B,$A34,'Source 2026'!$A:$A,"Quantity (units)")+SUMIFS('Source 2026'!$D:$D,'Source 2026'!$B:$B,$A34,'Source 2026'!$A:$A,"Quantity (units)")+SUMIFS('Source 2026'!$E:$E,'Source 2026'!$B:$B,$A34,'Source 2026'!$A:$A,"Quantity (units)")+SUMIFS('Source 2026'!$G:$G,'Source 2026'!$B:$B,$A34,'Source 2026'!$A:$A,"Quantity (units)")</f>
        <v>411</v>
      </c>
      <c r="E34" s="9" t="n">
        <f aca="false">D34*$J$5</f>
        <v>519.157894736842</v>
      </c>
      <c r="F34" s="9" t="n">
        <f aca="false">E34-C34</f>
        <v>-80.8421052631579</v>
      </c>
      <c r="G34" s="11" t="n">
        <f aca="false">IF(AND(C34=0,E34=0),0,IF(C34=0,"New",(E34-C34)/C34))</f>
        <v>-0.134736842105263</v>
      </c>
      <c r="H34" s="9" t="n">
        <f aca="false">SUMIFS('Source 2025'!$F:$F,'Source 2025'!$B:$B,$A34,'Source 2025'!$A:$A,"Amount (NIS)")+SUMIFS('Source 2025'!$H:$H,'Source 2025'!$B:$B,$A34,'Source 2025'!$A:$A,"Amount (NIS)")+SUMIFS('Source 2025'!$M:$M,'Source 2025'!$B:$B,$A34,'Source 2025'!$A:$A,"Amount (NIS)")+SUMIFS('Source 2025'!$N:$N,'Source 2025'!$B:$B,$A34,'Source 2025'!$A:$A,"Amount (NIS)")+SUMIFS('Source 2025'!$S:$S,'Source 2025'!$B:$B,$A34,'Source 2025'!$A:$A,"Amount (NIS)")+SUMIFS('Source 2025'!$U:$U,'Source 2025'!$B:$B,$A34,'Source 2025'!$A:$A,"Amount (NIS)")+SUMIFS('Source 2025'!$D:$D,'Source 2025'!$B:$B,$A34,'Source 2025'!$A:$A,"Amount (NIS)")+SUMIFS('Source 2025'!$E:$E,'Source 2025'!$B:$B,$A34,'Source 2025'!$A:$A,"Amount (NIS)")+SUMIFS('Source 2025'!$G:$G,'Source 2025'!$B:$B,$A34,'Source 2025'!$A:$A,"Amount (NIS)")</f>
        <v>32372.9</v>
      </c>
      <c r="I34" s="9" t="n">
        <f aca="false">SUMIFS('Source 2026'!$F:$F,'Source 2026'!$B:$B,$A34,'Source 2026'!$A:$A,"Amount (NIS)")+SUMIFS('Source 2026'!$H:$H,'Source 2026'!$B:$B,$A34,'Source 2026'!$A:$A,"Amount (NIS)")+SUMIFS('Source 2026'!$M:$M,'Source 2026'!$B:$B,$A34,'Source 2026'!$A:$A,"Amount (NIS)")+SUMIFS('Source 2026'!$N:$N,'Source 2026'!$B:$B,$A34,'Source 2026'!$A:$A,"Amount (NIS)")+SUMIFS('Source 2026'!$S:$S,'Source 2026'!$B:$B,$A34,'Source 2026'!$A:$A,"Amount (NIS)")+SUMIFS('Source 2026'!$U:$U,'Source 2026'!$B:$B,$A34,'Source 2026'!$A:$A,"Amount (NIS)")+SUMIFS('Source 2026'!$D:$D,'Source 2026'!$B:$B,$A34,'Source 2026'!$A:$A,"Amount (NIS)")+SUMIFS('Source 2026'!$E:$E,'Source 2026'!$B:$B,$A34,'Source 2026'!$A:$A,"Amount (NIS)")+SUMIFS('Source 2026'!$G:$G,'Source 2026'!$B:$B,$A34,'Source 2026'!$A:$A,"Amount (NIS)")</f>
        <v>22858</v>
      </c>
      <c r="J34" s="9" t="n">
        <f aca="false">I34*$J$5</f>
        <v>28873.2631578947</v>
      </c>
      <c r="K34" s="9" t="n">
        <f aca="false">J34-H34</f>
        <v>-3499.63684210527</v>
      </c>
      <c r="L34" s="11" t="n">
        <f aca="false">IF(AND(H34=0,J34=0),0,IF(H34=0,"New",(J34-H34)/H34))</f>
        <v>-0.108103903020899</v>
      </c>
    </row>
    <row r="35" customFormat="false" ht="15" hidden="false" customHeight="true" outlineLevel="0" collapsed="false">
      <c r="A35" s="8" t="s">
        <v>104</v>
      </c>
      <c r="B35" s="8" t="str">
        <f aca="false">IFERROR(INDEX('Source 2026'!$C:$C,MATCH($A35,'Source 2026'!$B:$B,0)),IFERROR(INDEX('Source 2025'!$C:$C,MATCH($A35,'Source 2025'!$B:$B,0)),""))</f>
        <v>L חבק יד מתכוון עם צמדן</v>
      </c>
      <c r="C35" s="9" t="n">
        <f aca="false">SUMIFS('Source 2025'!$F:$F,'Source 2025'!$B:$B,$A35,'Source 2025'!$A:$A,"Quantity (units)")+SUMIFS('Source 2025'!$H:$H,'Source 2025'!$B:$B,$A35,'Source 2025'!$A:$A,"Quantity (units)")+SUMIFS('Source 2025'!$M:$M,'Source 2025'!$B:$B,$A35,'Source 2025'!$A:$A,"Quantity (units)")+SUMIFS('Source 2025'!$N:$N,'Source 2025'!$B:$B,$A35,'Source 2025'!$A:$A,"Quantity (units)")+SUMIFS('Source 2025'!$S:$S,'Source 2025'!$B:$B,$A35,'Source 2025'!$A:$A,"Quantity (units)")+SUMIFS('Source 2025'!$U:$U,'Source 2025'!$B:$B,$A35,'Source 2025'!$A:$A,"Quantity (units)")+SUMIFS('Source 2025'!$D:$D,'Source 2025'!$B:$B,$A35,'Source 2025'!$A:$A,"Quantity (units)")+SUMIFS('Source 2025'!$E:$E,'Source 2025'!$B:$B,$A35,'Source 2025'!$A:$A,"Quantity (units)")+SUMIFS('Source 2025'!$G:$G,'Source 2025'!$B:$B,$A35,'Source 2025'!$A:$A,"Quantity (units)")</f>
        <v>576</v>
      </c>
      <c r="D35" s="9" t="n">
        <f aca="false">SUMIFS('Source 2026'!$F:$F,'Source 2026'!$B:$B,$A35,'Source 2026'!$A:$A,"Quantity (units)")+SUMIFS('Source 2026'!$H:$H,'Source 2026'!$B:$B,$A35,'Source 2026'!$A:$A,"Quantity (units)")+SUMIFS('Source 2026'!$M:$M,'Source 2026'!$B:$B,$A35,'Source 2026'!$A:$A,"Quantity (units)")+SUMIFS('Source 2026'!$N:$N,'Source 2026'!$B:$B,$A35,'Source 2026'!$A:$A,"Quantity (units)")+SUMIFS('Source 2026'!$S:$S,'Source 2026'!$B:$B,$A35,'Source 2026'!$A:$A,"Quantity (units)")+SUMIFS('Source 2026'!$U:$U,'Source 2026'!$B:$B,$A35,'Source 2026'!$A:$A,"Quantity (units)")+SUMIFS('Source 2026'!$D:$D,'Source 2026'!$B:$B,$A35,'Source 2026'!$A:$A,"Quantity (units)")+SUMIFS('Source 2026'!$E:$E,'Source 2026'!$B:$B,$A35,'Source 2026'!$A:$A,"Quantity (units)")+SUMIFS('Source 2026'!$G:$G,'Source 2026'!$B:$B,$A35,'Source 2026'!$A:$A,"Quantity (units)")</f>
        <v>287</v>
      </c>
      <c r="E35" s="9" t="n">
        <f aca="false">D35*$J$5</f>
        <v>362.526315789474</v>
      </c>
      <c r="F35" s="9" t="n">
        <f aca="false">E35-C35</f>
        <v>-213.473684210526</v>
      </c>
      <c r="G35" s="11" t="n">
        <f aca="false">IF(AND(C35=0,E35=0),0,IF(C35=0,"New",(E35-C35)/C35))</f>
        <v>-0.370614035087719</v>
      </c>
      <c r="H35" s="9" t="n">
        <f aca="false">SUMIFS('Source 2025'!$F:$F,'Source 2025'!$B:$B,$A35,'Source 2025'!$A:$A,"Amount (NIS)")+SUMIFS('Source 2025'!$H:$H,'Source 2025'!$B:$B,$A35,'Source 2025'!$A:$A,"Amount (NIS)")+SUMIFS('Source 2025'!$M:$M,'Source 2025'!$B:$B,$A35,'Source 2025'!$A:$A,"Amount (NIS)")+SUMIFS('Source 2025'!$N:$N,'Source 2025'!$B:$B,$A35,'Source 2025'!$A:$A,"Amount (NIS)")+SUMIFS('Source 2025'!$S:$S,'Source 2025'!$B:$B,$A35,'Source 2025'!$A:$A,"Amount (NIS)")+SUMIFS('Source 2025'!$U:$U,'Source 2025'!$B:$B,$A35,'Source 2025'!$A:$A,"Amount (NIS)")+SUMIFS('Source 2025'!$D:$D,'Source 2025'!$B:$B,$A35,'Source 2025'!$A:$A,"Amount (NIS)")+SUMIFS('Source 2025'!$E:$E,'Source 2025'!$B:$B,$A35,'Source 2025'!$A:$A,"Amount (NIS)")+SUMIFS('Source 2025'!$G:$G,'Source 2025'!$B:$B,$A35,'Source 2025'!$A:$A,"Amount (NIS)")</f>
        <v>18789.8</v>
      </c>
      <c r="I35" s="9" t="n">
        <f aca="false">SUMIFS('Source 2026'!$F:$F,'Source 2026'!$B:$B,$A35,'Source 2026'!$A:$A,"Amount (NIS)")+SUMIFS('Source 2026'!$H:$H,'Source 2026'!$B:$B,$A35,'Source 2026'!$A:$A,"Amount (NIS)")+SUMIFS('Source 2026'!$M:$M,'Source 2026'!$B:$B,$A35,'Source 2026'!$A:$A,"Amount (NIS)")+SUMIFS('Source 2026'!$N:$N,'Source 2026'!$B:$B,$A35,'Source 2026'!$A:$A,"Amount (NIS)")+SUMIFS('Source 2026'!$S:$S,'Source 2026'!$B:$B,$A35,'Source 2026'!$A:$A,"Amount (NIS)")+SUMIFS('Source 2026'!$U:$U,'Source 2026'!$B:$B,$A35,'Source 2026'!$A:$A,"Amount (NIS)")+SUMIFS('Source 2026'!$D:$D,'Source 2026'!$B:$B,$A35,'Source 2026'!$A:$A,"Amount (NIS)")+SUMIFS('Source 2026'!$E:$E,'Source 2026'!$B:$B,$A35,'Source 2026'!$A:$A,"Amount (NIS)")+SUMIFS('Source 2026'!$G:$G,'Source 2026'!$B:$B,$A35,'Source 2026'!$A:$A,"Amount (NIS)")</f>
        <v>9318.4</v>
      </c>
      <c r="J35" s="9" t="n">
        <f aca="false">I35*$J$5</f>
        <v>11770.6105263158</v>
      </c>
      <c r="K35" s="9" t="n">
        <f aca="false">J35-H35</f>
        <v>-7019.18947368421</v>
      </c>
      <c r="L35" s="11" t="n">
        <f aca="false">IF(AND(H35=0,J35=0),0,IF(H35=0,"New",(J35-H35)/H35))</f>
        <v>-0.373563820460261</v>
      </c>
    </row>
    <row r="36" customFormat="false" ht="15" hidden="false" customHeight="true" outlineLevel="0" collapsed="false">
      <c r="A36" s="8" t="s">
        <v>105</v>
      </c>
      <c r="B36" s="8" t="str">
        <f aca="false">IFERROR(INDEX('Source 2026'!$C:$C,MATCH($A36,'Source 2026'!$B:$B,0)),IFERROR(INDEX('Source 2025'!$C:$C,MATCH($A36,'Source 2025'!$B:$B,0)),""))</f>
        <v>L חגורת גב +סגירה</v>
      </c>
      <c r="C36" s="9" t="n">
        <f aca="false">SUMIFS('Source 2025'!$F:$F,'Source 2025'!$B:$B,$A36,'Source 2025'!$A:$A,"Quantity (units)")+SUMIFS('Source 2025'!$H:$H,'Source 2025'!$B:$B,$A36,'Source 2025'!$A:$A,"Quantity (units)")+SUMIFS('Source 2025'!$M:$M,'Source 2025'!$B:$B,$A36,'Source 2025'!$A:$A,"Quantity (units)")+SUMIFS('Source 2025'!$N:$N,'Source 2025'!$B:$B,$A36,'Source 2025'!$A:$A,"Quantity (units)")+SUMIFS('Source 2025'!$S:$S,'Source 2025'!$B:$B,$A36,'Source 2025'!$A:$A,"Quantity (units)")+SUMIFS('Source 2025'!$U:$U,'Source 2025'!$B:$B,$A36,'Source 2025'!$A:$A,"Quantity (units)")+SUMIFS('Source 2025'!$D:$D,'Source 2025'!$B:$B,$A36,'Source 2025'!$A:$A,"Quantity (units)")+SUMIFS('Source 2025'!$E:$E,'Source 2025'!$B:$B,$A36,'Source 2025'!$A:$A,"Quantity (units)")+SUMIFS('Source 2025'!$G:$G,'Source 2025'!$B:$B,$A36,'Source 2025'!$A:$A,"Quantity (units)")</f>
        <v>139</v>
      </c>
      <c r="D36" s="9" t="n">
        <f aca="false">SUMIFS('Source 2026'!$F:$F,'Source 2026'!$B:$B,$A36,'Source 2026'!$A:$A,"Quantity (units)")+SUMIFS('Source 2026'!$H:$H,'Source 2026'!$B:$B,$A36,'Source 2026'!$A:$A,"Quantity (units)")+SUMIFS('Source 2026'!$M:$M,'Source 2026'!$B:$B,$A36,'Source 2026'!$A:$A,"Quantity (units)")+SUMIFS('Source 2026'!$N:$N,'Source 2026'!$B:$B,$A36,'Source 2026'!$A:$A,"Quantity (units)")+SUMIFS('Source 2026'!$S:$S,'Source 2026'!$B:$B,$A36,'Source 2026'!$A:$A,"Quantity (units)")+SUMIFS('Source 2026'!$U:$U,'Source 2026'!$B:$B,$A36,'Source 2026'!$A:$A,"Quantity (units)")+SUMIFS('Source 2026'!$D:$D,'Source 2026'!$B:$B,$A36,'Source 2026'!$A:$A,"Quantity (units)")+SUMIFS('Source 2026'!$E:$E,'Source 2026'!$B:$B,$A36,'Source 2026'!$A:$A,"Quantity (units)")+SUMIFS('Source 2026'!$G:$G,'Source 2026'!$B:$B,$A36,'Source 2026'!$A:$A,"Quantity (units)")</f>
        <v>55</v>
      </c>
      <c r="E36" s="9" t="n">
        <f aca="false">D36*$J$5</f>
        <v>69.4736842105263</v>
      </c>
      <c r="F36" s="9" t="n">
        <f aca="false">E36-C36</f>
        <v>-69.5263157894737</v>
      </c>
      <c r="G36" s="11" t="n">
        <f aca="false">IF(AND(C36=0,E36=0),0,IF(C36=0,"New",(E36-C36)/C36))</f>
        <v>-0.500189322226429</v>
      </c>
      <c r="H36" s="9" t="n">
        <f aca="false">SUMIFS('Source 2025'!$F:$F,'Source 2025'!$B:$B,$A36,'Source 2025'!$A:$A,"Amount (NIS)")+SUMIFS('Source 2025'!$H:$H,'Source 2025'!$B:$B,$A36,'Source 2025'!$A:$A,"Amount (NIS)")+SUMIFS('Source 2025'!$M:$M,'Source 2025'!$B:$B,$A36,'Source 2025'!$A:$A,"Amount (NIS)")+SUMIFS('Source 2025'!$N:$N,'Source 2025'!$B:$B,$A36,'Source 2025'!$A:$A,"Amount (NIS)")+SUMIFS('Source 2025'!$S:$S,'Source 2025'!$B:$B,$A36,'Source 2025'!$A:$A,"Amount (NIS)")+SUMIFS('Source 2025'!$U:$U,'Source 2025'!$B:$B,$A36,'Source 2025'!$A:$A,"Amount (NIS)")+SUMIFS('Source 2025'!$D:$D,'Source 2025'!$B:$B,$A36,'Source 2025'!$A:$A,"Amount (NIS)")+SUMIFS('Source 2025'!$E:$E,'Source 2025'!$B:$B,$A36,'Source 2025'!$A:$A,"Amount (NIS)")+SUMIFS('Source 2025'!$G:$G,'Source 2025'!$B:$B,$A36,'Source 2025'!$A:$A,"Amount (NIS)")</f>
        <v>15439</v>
      </c>
      <c r="I36" s="9" t="n">
        <f aca="false">SUMIFS('Source 2026'!$F:$F,'Source 2026'!$B:$B,$A36,'Source 2026'!$A:$A,"Amount (NIS)")+SUMIFS('Source 2026'!$H:$H,'Source 2026'!$B:$B,$A36,'Source 2026'!$A:$A,"Amount (NIS)")+SUMIFS('Source 2026'!$M:$M,'Source 2026'!$B:$B,$A36,'Source 2026'!$A:$A,"Amount (NIS)")+SUMIFS('Source 2026'!$N:$N,'Source 2026'!$B:$B,$A36,'Source 2026'!$A:$A,"Amount (NIS)")+SUMIFS('Source 2026'!$S:$S,'Source 2026'!$B:$B,$A36,'Source 2026'!$A:$A,"Amount (NIS)")+SUMIFS('Source 2026'!$U:$U,'Source 2026'!$B:$B,$A36,'Source 2026'!$A:$A,"Amount (NIS)")+SUMIFS('Source 2026'!$D:$D,'Source 2026'!$B:$B,$A36,'Source 2026'!$A:$A,"Amount (NIS)")+SUMIFS('Source 2026'!$E:$E,'Source 2026'!$B:$B,$A36,'Source 2026'!$A:$A,"Amount (NIS)")+SUMIFS('Source 2026'!$G:$G,'Source 2026'!$B:$B,$A36,'Source 2026'!$A:$A,"Amount (NIS)")</f>
        <v>6254.8</v>
      </c>
      <c r="J36" s="9" t="n">
        <f aca="false">I36*$J$5</f>
        <v>7900.8</v>
      </c>
      <c r="K36" s="9" t="n">
        <f aca="false">J36-H36</f>
        <v>-7538.2</v>
      </c>
      <c r="L36" s="11" t="n">
        <f aca="false">IF(AND(H36=0,J36=0),0,IF(H36=0,"New",(J36-H36)/H36))</f>
        <v>-0.488257011464473</v>
      </c>
    </row>
    <row r="37" customFormat="false" ht="15" hidden="false" customHeight="true" outlineLevel="0" collapsed="false">
      <c r="A37" s="8" t="s">
        <v>106</v>
      </c>
      <c r="B37" s="8" t="str">
        <f aca="false">IFERROR(INDEX('Source 2026'!$C:$C,MATCH($A37,'Source 2026'!$B:$B,0)),IFERROR(INDEX('Source 2025'!$C:$C,MATCH($A37,'Source 2025'!$B:$B,0)),""))</f>
        <v>טלק מעושר באלוורה</v>
      </c>
      <c r="C37" s="9" t="n">
        <f aca="false">SUMIFS('Source 2025'!$F:$F,'Source 2025'!$B:$B,$A37,'Source 2025'!$A:$A,"Quantity (units)")+SUMIFS('Source 2025'!$H:$H,'Source 2025'!$B:$B,$A37,'Source 2025'!$A:$A,"Quantity (units)")+SUMIFS('Source 2025'!$M:$M,'Source 2025'!$B:$B,$A37,'Source 2025'!$A:$A,"Quantity (units)")+SUMIFS('Source 2025'!$N:$N,'Source 2025'!$B:$B,$A37,'Source 2025'!$A:$A,"Quantity (units)")+SUMIFS('Source 2025'!$S:$S,'Source 2025'!$B:$B,$A37,'Source 2025'!$A:$A,"Quantity (units)")+SUMIFS('Source 2025'!$U:$U,'Source 2025'!$B:$B,$A37,'Source 2025'!$A:$A,"Quantity (units)")+SUMIFS('Source 2025'!$D:$D,'Source 2025'!$B:$B,$A37,'Source 2025'!$A:$A,"Quantity (units)")+SUMIFS('Source 2025'!$E:$E,'Source 2025'!$B:$B,$A37,'Source 2025'!$A:$A,"Quantity (units)")+SUMIFS('Source 2025'!$G:$G,'Source 2025'!$B:$B,$A37,'Source 2025'!$A:$A,"Quantity (units)")</f>
        <v>686</v>
      </c>
      <c r="D37" s="9" t="n">
        <f aca="false">SUMIFS('Source 2026'!$F:$F,'Source 2026'!$B:$B,$A37,'Source 2026'!$A:$A,"Quantity (units)")+SUMIFS('Source 2026'!$H:$H,'Source 2026'!$B:$B,$A37,'Source 2026'!$A:$A,"Quantity (units)")+SUMIFS('Source 2026'!$M:$M,'Source 2026'!$B:$B,$A37,'Source 2026'!$A:$A,"Quantity (units)")+SUMIFS('Source 2026'!$N:$N,'Source 2026'!$B:$B,$A37,'Source 2026'!$A:$A,"Quantity (units)")+SUMIFS('Source 2026'!$S:$S,'Source 2026'!$B:$B,$A37,'Source 2026'!$A:$A,"Quantity (units)")+SUMIFS('Source 2026'!$U:$U,'Source 2026'!$B:$B,$A37,'Source 2026'!$A:$A,"Quantity (units)")+SUMIFS('Source 2026'!$D:$D,'Source 2026'!$B:$B,$A37,'Source 2026'!$A:$A,"Quantity (units)")+SUMIFS('Source 2026'!$E:$E,'Source 2026'!$B:$B,$A37,'Source 2026'!$A:$A,"Quantity (units)")+SUMIFS('Source 2026'!$G:$G,'Source 2026'!$B:$B,$A37,'Source 2026'!$A:$A,"Quantity (units)")</f>
        <v>278</v>
      </c>
      <c r="E37" s="9" t="n">
        <f aca="false">D37*$J$5</f>
        <v>351.157894736842</v>
      </c>
      <c r="F37" s="9" t="n">
        <f aca="false">E37-C37</f>
        <v>-334.842105263158</v>
      </c>
      <c r="G37" s="11" t="n">
        <f aca="false">IF(AND(C37=0,E37=0),0,IF(C37=0,"New",(E37-C37)/C37))</f>
        <v>-0.488108025164953</v>
      </c>
      <c r="H37" s="9" t="n">
        <f aca="false">SUMIFS('Source 2025'!$F:$F,'Source 2025'!$B:$B,$A37,'Source 2025'!$A:$A,"Amount (NIS)")+SUMIFS('Source 2025'!$H:$H,'Source 2025'!$B:$B,$A37,'Source 2025'!$A:$A,"Amount (NIS)")+SUMIFS('Source 2025'!$M:$M,'Source 2025'!$B:$B,$A37,'Source 2025'!$A:$A,"Amount (NIS)")+SUMIFS('Source 2025'!$N:$N,'Source 2025'!$B:$B,$A37,'Source 2025'!$A:$A,"Amount (NIS)")+SUMIFS('Source 2025'!$S:$S,'Source 2025'!$B:$B,$A37,'Source 2025'!$A:$A,"Amount (NIS)")+SUMIFS('Source 2025'!$U:$U,'Source 2025'!$B:$B,$A37,'Source 2025'!$A:$A,"Amount (NIS)")+SUMIFS('Source 2025'!$D:$D,'Source 2025'!$B:$B,$A37,'Source 2025'!$A:$A,"Amount (NIS)")+SUMIFS('Source 2025'!$E:$E,'Source 2025'!$B:$B,$A37,'Source 2025'!$A:$A,"Amount (NIS)")+SUMIFS('Source 2025'!$G:$G,'Source 2025'!$B:$B,$A37,'Source 2025'!$A:$A,"Amount (NIS)")</f>
        <v>15450.1</v>
      </c>
      <c r="I37" s="9" t="n">
        <f aca="false">SUMIFS('Source 2026'!$F:$F,'Source 2026'!$B:$B,$A37,'Source 2026'!$A:$A,"Amount (NIS)")+SUMIFS('Source 2026'!$H:$H,'Source 2026'!$B:$B,$A37,'Source 2026'!$A:$A,"Amount (NIS)")+SUMIFS('Source 2026'!$M:$M,'Source 2026'!$B:$B,$A37,'Source 2026'!$A:$A,"Amount (NIS)")+SUMIFS('Source 2026'!$N:$N,'Source 2026'!$B:$B,$A37,'Source 2026'!$A:$A,"Amount (NIS)")+SUMIFS('Source 2026'!$S:$S,'Source 2026'!$B:$B,$A37,'Source 2026'!$A:$A,"Amount (NIS)")+SUMIFS('Source 2026'!$U:$U,'Source 2026'!$B:$B,$A37,'Source 2026'!$A:$A,"Amount (NIS)")+SUMIFS('Source 2026'!$D:$D,'Source 2026'!$B:$B,$A37,'Source 2026'!$A:$A,"Amount (NIS)")+SUMIFS('Source 2026'!$E:$E,'Source 2026'!$B:$B,$A37,'Source 2026'!$A:$A,"Amount (NIS)")+SUMIFS('Source 2026'!$G:$G,'Source 2026'!$B:$B,$A37,'Source 2026'!$A:$A,"Amount (NIS)")</f>
        <v>6368.9</v>
      </c>
      <c r="J37" s="9" t="n">
        <f aca="false">I37*$J$5</f>
        <v>8044.92631578947</v>
      </c>
      <c r="K37" s="9" t="n">
        <f aca="false">J37-H37</f>
        <v>-7405.17368421053</v>
      </c>
      <c r="L37" s="11" t="n">
        <f aca="false">IF(AND(H37=0,J37=0),0,IF(H37=0,"New",(J37-H37)/H37))</f>
        <v>-0.47929616534589</v>
      </c>
    </row>
    <row r="38" customFormat="false" ht="15" hidden="false" customHeight="true" outlineLevel="0" collapsed="false">
      <c r="A38" s="8" t="s">
        <v>107</v>
      </c>
      <c r="B38" s="8" t="str">
        <f aca="false">IFERROR(INDEX('Source 2026'!$C:$C,MATCH($A38,'Source 2026'!$B:$B,0)),IFERROR(INDEX('Source 2025'!$C:$C,MATCH($A38,'Source 2025'!$B:$B,0)),""))</f>
        <v>טייפ קינזיולוגי</v>
      </c>
      <c r="C38" s="9" t="n">
        <f aca="false">SUMIFS('Source 2025'!$F:$F,'Source 2025'!$B:$B,$A38,'Source 2025'!$A:$A,"Quantity (units)")+SUMIFS('Source 2025'!$H:$H,'Source 2025'!$B:$B,$A38,'Source 2025'!$A:$A,"Quantity (units)")+SUMIFS('Source 2025'!$M:$M,'Source 2025'!$B:$B,$A38,'Source 2025'!$A:$A,"Quantity (units)")+SUMIFS('Source 2025'!$N:$N,'Source 2025'!$B:$B,$A38,'Source 2025'!$A:$A,"Quantity (units)")+SUMIFS('Source 2025'!$S:$S,'Source 2025'!$B:$B,$A38,'Source 2025'!$A:$A,"Quantity (units)")+SUMIFS('Source 2025'!$U:$U,'Source 2025'!$B:$B,$A38,'Source 2025'!$A:$A,"Quantity (units)")+SUMIFS('Source 2025'!$D:$D,'Source 2025'!$B:$B,$A38,'Source 2025'!$A:$A,"Quantity (units)")+SUMIFS('Source 2025'!$E:$E,'Source 2025'!$B:$B,$A38,'Source 2025'!$A:$A,"Quantity (units)")+SUMIFS('Source 2025'!$G:$G,'Source 2025'!$B:$B,$A38,'Source 2025'!$A:$A,"Quantity (units)")</f>
        <v>411</v>
      </c>
      <c r="D38" s="9" t="n">
        <f aca="false">SUMIFS('Source 2026'!$F:$F,'Source 2026'!$B:$B,$A38,'Source 2026'!$A:$A,"Quantity (units)")+SUMIFS('Source 2026'!$H:$H,'Source 2026'!$B:$B,$A38,'Source 2026'!$A:$A,"Quantity (units)")+SUMIFS('Source 2026'!$M:$M,'Source 2026'!$B:$B,$A38,'Source 2026'!$A:$A,"Quantity (units)")+SUMIFS('Source 2026'!$N:$N,'Source 2026'!$B:$B,$A38,'Source 2026'!$A:$A,"Quantity (units)")+SUMIFS('Source 2026'!$S:$S,'Source 2026'!$B:$B,$A38,'Source 2026'!$A:$A,"Quantity (units)")+SUMIFS('Source 2026'!$U:$U,'Source 2026'!$B:$B,$A38,'Source 2026'!$A:$A,"Quantity (units)")+SUMIFS('Source 2026'!$D:$D,'Source 2026'!$B:$B,$A38,'Source 2026'!$A:$A,"Quantity (units)")+SUMIFS('Source 2026'!$E:$E,'Source 2026'!$B:$B,$A38,'Source 2026'!$A:$A,"Quantity (units)")+SUMIFS('Source 2026'!$G:$G,'Source 2026'!$B:$B,$A38,'Source 2026'!$A:$A,"Quantity (units)")</f>
        <v>117</v>
      </c>
      <c r="E38" s="9" t="n">
        <f aca="false">D38*$J$5</f>
        <v>147.789473684211</v>
      </c>
      <c r="F38" s="9" t="n">
        <f aca="false">E38-C38</f>
        <v>-263.21052631579</v>
      </c>
      <c r="G38" s="11" t="n">
        <f aca="false">IF(AND(C38=0,E38=0),0,IF(C38=0,"New",(E38-C38)/C38))</f>
        <v>-0.640414905877833</v>
      </c>
      <c r="H38" s="9" t="n">
        <f aca="false">SUMIFS('Source 2025'!$F:$F,'Source 2025'!$B:$B,$A38,'Source 2025'!$A:$A,"Amount (NIS)")+SUMIFS('Source 2025'!$H:$H,'Source 2025'!$B:$B,$A38,'Source 2025'!$A:$A,"Amount (NIS)")+SUMIFS('Source 2025'!$M:$M,'Source 2025'!$B:$B,$A38,'Source 2025'!$A:$A,"Amount (NIS)")+SUMIFS('Source 2025'!$N:$N,'Source 2025'!$B:$B,$A38,'Source 2025'!$A:$A,"Amount (NIS)")+SUMIFS('Source 2025'!$S:$S,'Source 2025'!$B:$B,$A38,'Source 2025'!$A:$A,"Amount (NIS)")+SUMIFS('Source 2025'!$U:$U,'Source 2025'!$B:$B,$A38,'Source 2025'!$A:$A,"Amount (NIS)")+SUMIFS('Source 2025'!$D:$D,'Source 2025'!$B:$B,$A38,'Source 2025'!$A:$A,"Amount (NIS)")+SUMIFS('Source 2025'!$E:$E,'Source 2025'!$B:$B,$A38,'Source 2025'!$A:$A,"Amount (NIS)")+SUMIFS('Source 2025'!$G:$G,'Source 2025'!$B:$B,$A38,'Source 2025'!$A:$A,"Amount (NIS)")</f>
        <v>13057</v>
      </c>
      <c r="I38" s="9" t="n">
        <f aca="false">SUMIFS('Source 2026'!$F:$F,'Source 2026'!$B:$B,$A38,'Source 2026'!$A:$A,"Amount (NIS)")+SUMIFS('Source 2026'!$H:$H,'Source 2026'!$B:$B,$A38,'Source 2026'!$A:$A,"Amount (NIS)")+SUMIFS('Source 2026'!$M:$M,'Source 2026'!$B:$B,$A38,'Source 2026'!$A:$A,"Amount (NIS)")+SUMIFS('Source 2026'!$N:$N,'Source 2026'!$B:$B,$A38,'Source 2026'!$A:$A,"Amount (NIS)")+SUMIFS('Source 2026'!$S:$S,'Source 2026'!$B:$B,$A38,'Source 2026'!$A:$A,"Amount (NIS)")+SUMIFS('Source 2026'!$U:$U,'Source 2026'!$B:$B,$A38,'Source 2026'!$A:$A,"Amount (NIS)")+SUMIFS('Source 2026'!$D:$D,'Source 2026'!$B:$B,$A38,'Source 2026'!$A:$A,"Amount (NIS)")+SUMIFS('Source 2026'!$E:$E,'Source 2026'!$B:$B,$A38,'Source 2026'!$A:$A,"Amount (NIS)")+SUMIFS('Source 2026'!$G:$G,'Source 2026'!$B:$B,$A38,'Source 2026'!$A:$A,"Amount (NIS)")</f>
        <v>4205</v>
      </c>
      <c r="J38" s="9" t="n">
        <f aca="false">I38*$J$5</f>
        <v>5311.57894736842</v>
      </c>
      <c r="K38" s="9" t="n">
        <f aca="false">J38-H38</f>
        <v>-7745.42105263158</v>
      </c>
      <c r="L38" s="11" t="n">
        <f aca="false">IF(AND(H38=0,J38=0),0,IF(H38=0,"New",(J38-H38)/H38))</f>
        <v>-0.593200662681441</v>
      </c>
    </row>
    <row r="39" customFormat="false" ht="15" hidden="false" customHeight="true" outlineLevel="0" collapsed="false">
      <c r="A39" s="8" t="s">
        <v>108</v>
      </c>
      <c r="B39" s="8" t="str">
        <f aca="false">IFERROR(INDEX('Source 2026'!$C:$C,MATCH($A39,'Source 2026'!$B:$B,0)),IFERROR(INDEX('Source 2025'!$C:$C,MATCH($A39,'Source 2025'!$B:$B,0)),""))</f>
        <v>S""חגורת בטן""אורירית</v>
      </c>
      <c r="C39" s="9" t="n">
        <f aca="false">SUMIFS('Source 2025'!$F:$F,'Source 2025'!$B:$B,$A39,'Source 2025'!$A:$A,"Quantity (units)")+SUMIFS('Source 2025'!$H:$H,'Source 2025'!$B:$B,$A39,'Source 2025'!$A:$A,"Quantity (units)")+SUMIFS('Source 2025'!$M:$M,'Source 2025'!$B:$B,$A39,'Source 2025'!$A:$A,"Quantity (units)")+SUMIFS('Source 2025'!$N:$N,'Source 2025'!$B:$B,$A39,'Source 2025'!$A:$A,"Quantity (units)")+SUMIFS('Source 2025'!$S:$S,'Source 2025'!$B:$B,$A39,'Source 2025'!$A:$A,"Quantity (units)")+SUMIFS('Source 2025'!$U:$U,'Source 2025'!$B:$B,$A39,'Source 2025'!$A:$A,"Quantity (units)")+SUMIFS('Source 2025'!$D:$D,'Source 2025'!$B:$B,$A39,'Source 2025'!$A:$A,"Quantity (units)")+SUMIFS('Source 2025'!$E:$E,'Source 2025'!$B:$B,$A39,'Source 2025'!$A:$A,"Quantity (units)")+SUMIFS('Source 2025'!$G:$G,'Source 2025'!$B:$B,$A39,'Source 2025'!$A:$A,"Quantity (units)")</f>
        <v>169</v>
      </c>
      <c r="D39" s="9" t="n">
        <f aca="false">SUMIFS('Source 2026'!$F:$F,'Source 2026'!$B:$B,$A39,'Source 2026'!$A:$A,"Quantity (units)")+SUMIFS('Source 2026'!$H:$H,'Source 2026'!$B:$B,$A39,'Source 2026'!$A:$A,"Quantity (units)")+SUMIFS('Source 2026'!$M:$M,'Source 2026'!$B:$B,$A39,'Source 2026'!$A:$A,"Quantity (units)")+SUMIFS('Source 2026'!$N:$N,'Source 2026'!$B:$B,$A39,'Source 2026'!$A:$A,"Quantity (units)")+SUMIFS('Source 2026'!$S:$S,'Source 2026'!$B:$B,$A39,'Source 2026'!$A:$A,"Quantity (units)")+SUMIFS('Source 2026'!$U:$U,'Source 2026'!$B:$B,$A39,'Source 2026'!$A:$A,"Quantity (units)")+SUMIFS('Source 2026'!$D:$D,'Source 2026'!$B:$B,$A39,'Source 2026'!$A:$A,"Quantity (units)")+SUMIFS('Source 2026'!$E:$E,'Source 2026'!$B:$B,$A39,'Source 2026'!$A:$A,"Quantity (units)")+SUMIFS('Source 2026'!$G:$G,'Source 2026'!$B:$B,$A39,'Source 2026'!$A:$A,"Quantity (units)")</f>
        <v>88</v>
      </c>
      <c r="E39" s="9" t="n">
        <f aca="false">D39*$J$5</f>
        <v>111.157894736842</v>
      </c>
      <c r="F39" s="9" t="n">
        <f aca="false">E39-C39</f>
        <v>-57.8421052631579</v>
      </c>
      <c r="G39" s="11" t="n">
        <f aca="false">IF(AND(C39=0,E39=0),0,IF(C39=0,"New",(E39-C39)/C39))</f>
        <v>-0.342260977888508</v>
      </c>
      <c r="H39" s="9" t="n">
        <f aca="false">SUMIFS('Source 2025'!$F:$F,'Source 2025'!$B:$B,$A39,'Source 2025'!$A:$A,"Amount (NIS)")+SUMIFS('Source 2025'!$H:$H,'Source 2025'!$B:$B,$A39,'Source 2025'!$A:$A,"Amount (NIS)")+SUMIFS('Source 2025'!$M:$M,'Source 2025'!$B:$B,$A39,'Source 2025'!$A:$A,"Amount (NIS)")+SUMIFS('Source 2025'!$N:$N,'Source 2025'!$B:$B,$A39,'Source 2025'!$A:$A,"Amount (NIS)")+SUMIFS('Source 2025'!$S:$S,'Source 2025'!$B:$B,$A39,'Source 2025'!$A:$A,"Amount (NIS)")+SUMIFS('Source 2025'!$U:$U,'Source 2025'!$B:$B,$A39,'Source 2025'!$A:$A,"Amount (NIS)")+SUMIFS('Source 2025'!$D:$D,'Source 2025'!$B:$B,$A39,'Source 2025'!$A:$A,"Amount (NIS)")+SUMIFS('Source 2025'!$E:$E,'Source 2025'!$B:$B,$A39,'Source 2025'!$A:$A,"Amount (NIS)")+SUMIFS('Source 2025'!$G:$G,'Source 2025'!$B:$B,$A39,'Source 2025'!$A:$A,"Amount (NIS)")</f>
        <v>17515.7</v>
      </c>
      <c r="I39" s="9" t="n">
        <f aca="false">SUMIFS('Source 2026'!$F:$F,'Source 2026'!$B:$B,$A39,'Source 2026'!$A:$A,"Amount (NIS)")+SUMIFS('Source 2026'!$H:$H,'Source 2026'!$B:$B,$A39,'Source 2026'!$A:$A,"Amount (NIS)")+SUMIFS('Source 2026'!$M:$M,'Source 2026'!$B:$B,$A39,'Source 2026'!$A:$A,"Amount (NIS)")+SUMIFS('Source 2026'!$N:$N,'Source 2026'!$B:$B,$A39,'Source 2026'!$A:$A,"Amount (NIS)")+SUMIFS('Source 2026'!$S:$S,'Source 2026'!$B:$B,$A39,'Source 2026'!$A:$A,"Amount (NIS)")+SUMIFS('Source 2026'!$U:$U,'Source 2026'!$B:$B,$A39,'Source 2026'!$A:$A,"Amount (NIS)")+SUMIFS('Source 2026'!$D:$D,'Source 2026'!$B:$B,$A39,'Source 2026'!$A:$A,"Amount (NIS)")+SUMIFS('Source 2026'!$E:$E,'Source 2026'!$B:$B,$A39,'Source 2026'!$A:$A,"Amount (NIS)")+SUMIFS('Source 2026'!$G:$G,'Source 2026'!$B:$B,$A39,'Source 2026'!$A:$A,"Amount (NIS)")</f>
        <v>9211.2</v>
      </c>
      <c r="J39" s="9" t="n">
        <f aca="false">I39*$J$5</f>
        <v>11635.2</v>
      </c>
      <c r="K39" s="9" t="n">
        <f aca="false">J39-H39</f>
        <v>-5880.5</v>
      </c>
      <c r="L39" s="11" t="n">
        <f aca="false">IF(AND(H39=0,J39=0),0,IF(H39=0,"New",(J39-H39)/H39))</f>
        <v>-0.335727376011236</v>
      </c>
    </row>
    <row r="40" customFormat="false" ht="15" hidden="false" customHeight="true" outlineLevel="0" collapsed="false">
      <c r="A40" s="8" t="s">
        <v>109</v>
      </c>
      <c r="B40" s="8" t="str">
        <f aca="false">IFERROR(INDEX('Source 2026'!$C:$C,MATCH($A40,'Source 2026'!$B:$B,0)),IFERROR(INDEX('Source 2025'!$C:$C,MATCH($A40,'Source 2025'!$B:$B,0)),""))</f>
        <v>לציפורן חודרנית</v>
      </c>
      <c r="C40" s="9" t="n">
        <f aca="false">SUMIFS('Source 2025'!$F:$F,'Source 2025'!$B:$B,$A40,'Source 2025'!$A:$A,"Quantity (units)")+SUMIFS('Source 2025'!$H:$H,'Source 2025'!$B:$B,$A40,'Source 2025'!$A:$A,"Quantity (units)")+SUMIFS('Source 2025'!$M:$M,'Source 2025'!$B:$B,$A40,'Source 2025'!$A:$A,"Quantity (units)")+SUMIFS('Source 2025'!$N:$N,'Source 2025'!$B:$B,$A40,'Source 2025'!$A:$A,"Quantity (units)")+SUMIFS('Source 2025'!$S:$S,'Source 2025'!$B:$B,$A40,'Source 2025'!$A:$A,"Quantity (units)")+SUMIFS('Source 2025'!$U:$U,'Source 2025'!$B:$B,$A40,'Source 2025'!$A:$A,"Quantity (units)")+SUMIFS('Source 2025'!$D:$D,'Source 2025'!$B:$B,$A40,'Source 2025'!$A:$A,"Quantity (units)")+SUMIFS('Source 2025'!$E:$E,'Source 2025'!$B:$B,$A40,'Source 2025'!$A:$A,"Quantity (units)")+SUMIFS('Source 2025'!$G:$G,'Source 2025'!$B:$B,$A40,'Source 2025'!$A:$A,"Quantity (units)")</f>
        <v>710</v>
      </c>
      <c r="D40" s="9" t="n">
        <f aca="false">SUMIFS('Source 2026'!$F:$F,'Source 2026'!$B:$B,$A40,'Source 2026'!$A:$A,"Quantity (units)")+SUMIFS('Source 2026'!$H:$H,'Source 2026'!$B:$B,$A40,'Source 2026'!$A:$A,"Quantity (units)")+SUMIFS('Source 2026'!$M:$M,'Source 2026'!$B:$B,$A40,'Source 2026'!$A:$A,"Quantity (units)")+SUMIFS('Source 2026'!$N:$N,'Source 2026'!$B:$B,$A40,'Source 2026'!$A:$A,"Quantity (units)")+SUMIFS('Source 2026'!$S:$S,'Source 2026'!$B:$B,$A40,'Source 2026'!$A:$A,"Quantity (units)")+SUMIFS('Source 2026'!$U:$U,'Source 2026'!$B:$B,$A40,'Source 2026'!$A:$A,"Quantity (units)")+SUMIFS('Source 2026'!$D:$D,'Source 2026'!$B:$B,$A40,'Source 2026'!$A:$A,"Quantity (units)")+SUMIFS('Source 2026'!$E:$E,'Source 2026'!$B:$B,$A40,'Source 2026'!$A:$A,"Quantity (units)")+SUMIFS('Source 2026'!$G:$G,'Source 2026'!$B:$B,$A40,'Source 2026'!$A:$A,"Quantity (units)")</f>
        <v>425</v>
      </c>
      <c r="E40" s="9" t="n">
        <f aca="false">D40*$J$5</f>
        <v>536.842105263158</v>
      </c>
      <c r="F40" s="9" t="n">
        <f aca="false">E40-C40</f>
        <v>-173.157894736842</v>
      </c>
      <c r="G40" s="11" t="n">
        <f aca="false">IF(AND(C40=0,E40=0),0,IF(C40=0,"New",(E40-C40)/C40))</f>
        <v>-0.243884358784285</v>
      </c>
      <c r="H40" s="9" t="n">
        <f aca="false">SUMIFS('Source 2025'!$F:$F,'Source 2025'!$B:$B,$A40,'Source 2025'!$A:$A,"Amount (NIS)")+SUMIFS('Source 2025'!$H:$H,'Source 2025'!$B:$B,$A40,'Source 2025'!$A:$A,"Amount (NIS)")+SUMIFS('Source 2025'!$M:$M,'Source 2025'!$B:$B,$A40,'Source 2025'!$A:$A,"Amount (NIS)")+SUMIFS('Source 2025'!$N:$N,'Source 2025'!$B:$B,$A40,'Source 2025'!$A:$A,"Amount (NIS)")+SUMIFS('Source 2025'!$S:$S,'Source 2025'!$B:$B,$A40,'Source 2025'!$A:$A,"Amount (NIS)")+SUMIFS('Source 2025'!$U:$U,'Source 2025'!$B:$B,$A40,'Source 2025'!$A:$A,"Amount (NIS)")+SUMIFS('Source 2025'!$D:$D,'Source 2025'!$B:$B,$A40,'Source 2025'!$A:$A,"Amount (NIS)")+SUMIFS('Source 2025'!$E:$E,'Source 2025'!$B:$B,$A40,'Source 2025'!$A:$A,"Amount (NIS)")+SUMIFS('Source 2025'!$G:$G,'Source 2025'!$B:$B,$A40,'Source 2025'!$A:$A,"Amount (NIS)")</f>
        <v>23268.2</v>
      </c>
      <c r="I40" s="9" t="n">
        <f aca="false">SUMIFS('Source 2026'!$F:$F,'Source 2026'!$B:$B,$A40,'Source 2026'!$A:$A,"Amount (NIS)")+SUMIFS('Source 2026'!$H:$H,'Source 2026'!$B:$B,$A40,'Source 2026'!$A:$A,"Amount (NIS)")+SUMIFS('Source 2026'!$M:$M,'Source 2026'!$B:$B,$A40,'Source 2026'!$A:$A,"Amount (NIS)")+SUMIFS('Source 2026'!$N:$N,'Source 2026'!$B:$B,$A40,'Source 2026'!$A:$A,"Amount (NIS)")+SUMIFS('Source 2026'!$S:$S,'Source 2026'!$B:$B,$A40,'Source 2026'!$A:$A,"Amount (NIS)")+SUMIFS('Source 2026'!$U:$U,'Source 2026'!$B:$B,$A40,'Source 2026'!$A:$A,"Amount (NIS)")+SUMIFS('Source 2026'!$D:$D,'Source 2026'!$B:$B,$A40,'Source 2026'!$A:$A,"Amount (NIS)")+SUMIFS('Source 2026'!$E:$E,'Source 2026'!$B:$B,$A40,'Source 2026'!$A:$A,"Amount (NIS)")+SUMIFS('Source 2026'!$G:$G,'Source 2026'!$B:$B,$A40,'Source 2026'!$A:$A,"Amount (NIS)")</f>
        <v>15119.6</v>
      </c>
      <c r="J40" s="9" t="n">
        <f aca="false">I40*$J$5</f>
        <v>19098.4421052632</v>
      </c>
      <c r="K40" s="9" t="n">
        <f aca="false">J40-H40</f>
        <v>-4169.75789473684</v>
      </c>
      <c r="L40" s="11" t="n">
        <f aca="false">IF(AND(H40=0,J40=0),0,IF(H40=0,"New",(J40-H40)/H40))</f>
        <v>-0.179204145345873</v>
      </c>
    </row>
    <row r="41" customFormat="false" ht="15" hidden="false" customHeight="true" outlineLevel="0" collapsed="false">
      <c r="A41" s="8" t="s">
        <v>110</v>
      </c>
      <c r="B41" s="8" t="str">
        <f aca="false">IFERROR(INDEX('Source 2026'!$C:$C,MATCH($A41,'Source 2026'!$B:$B,0)),IFERROR(INDEX('Source 2025'!$C:$C,MATCH($A41,'Source 2025'!$B:$B,0)),""))</f>
        <v>חבק יד אגודלי</v>
      </c>
      <c r="C41" s="9" t="n">
        <f aca="false">SUMIFS('Source 2025'!$F:$F,'Source 2025'!$B:$B,$A41,'Source 2025'!$A:$A,"Quantity (units)")+SUMIFS('Source 2025'!$H:$H,'Source 2025'!$B:$B,$A41,'Source 2025'!$A:$A,"Quantity (units)")+SUMIFS('Source 2025'!$M:$M,'Source 2025'!$B:$B,$A41,'Source 2025'!$A:$A,"Quantity (units)")+SUMIFS('Source 2025'!$N:$N,'Source 2025'!$B:$B,$A41,'Source 2025'!$A:$A,"Quantity (units)")+SUMIFS('Source 2025'!$S:$S,'Source 2025'!$B:$B,$A41,'Source 2025'!$A:$A,"Quantity (units)")+SUMIFS('Source 2025'!$U:$U,'Source 2025'!$B:$B,$A41,'Source 2025'!$A:$A,"Quantity (units)")+SUMIFS('Source 2025'!$D:$D,'Source 2025'!$B:$B,$A41,'Source 2025'!$A:$A,"Quantity (units)")+SUMIFS('Source 2025'!$E:$E,'Source 2025'!$B:$B,$A41,'Source 2025'!$A:$A,"Quantity (units)")+SUMIFS('Source 2025'!$G:$G,'Source 2025'!$B:$B,$A41,'Source 2025'!$A:$A,"Quantity (units)")</f>
        <v>382</v>
      </c>
      <c r="D41" s="9" t="n">
        <f aca="false">SUMIFS('Source 2026'!$F:$F,'Source 2026'!$B:$B,$A41,'Source 2026'!$A:$A,"Quantity (units)")+SUMIFS('Source 2026'!$H:$H,'Source 2026'!$B:$B,$A41,'Source 2026'!$A:$A,"Quantity (units)")+SUMIFS('Source 2026'!$M:$M,'Source 2026'!$B:$B,$A41,'Source 2026'!$A:$A,"Quantity (units)")+SUMIFS('Source 2026'!$N:$N,'Source 2026'!$B:$B,$A41,'Source 2026'!$A:$A,"Quantity (units)")+SUMIFS('Source 2026'!$S:$S,'Source 2026'!$B:$B,$A41,'Source 2026'!$A:$A,"Quantity (units)")+SUMIFS('Source 2026'!$U:$U,'Source 2026'!$B:$B,$A41,'Source 2026'!$A:$A,"Quantity (units)")+SUMIFS('Source 2026'!$D:$D,'Source 2026'!$B:$B,$A41,'Source 2026'!$A:$A,"Quantity (units)")+SUMIFS('Source 2026'!$E:$E,'Source 2026'!$B:$B,$A41,'Source 2026'!$A:$A,"Quantity (units)")+SUMIFS('Source 2026'!$G:$G,'Source 2026'!$B:$B,$A41,'Source 2026'!$A:$A,"Quantity (units)")</f>
        <v>179</v>
      </c>
      <c r="E41" s="9" t="n">
        <f aca="false">D41*$J$5</f>
        <v>226.105263157895</v>
      </c>
      <c r="F41" s="9" t="n">
        <f aca="false">E41-C41</f>
        <v>-155.894736842105</v>
      </c>
      <c r="G41" s="11" t="n">
        <f aca="false">IF(AND(C41=0,E41=0),0,IF(C41=0,"New",(E41-C41)/C41))</f>
        <v>-0.408101405345825</v>
      </c>
      <c r="H41" s="9" t="n">
        <f aca="false">SUMIFS('Source 2025'!$F:$F,'Source 2025'!$B:$B,$A41,'Source 2025'!$A:$A,"Amount (NIS)")+SUMIFS('Source 2025'!$H:$H,'Source 2025'!$B:$B,$A41,'Source 2025'!$A:$A,"Amount (NIS)")+SUMIFS('Source 2025'!$M:$M,'Source 2025'!$B:$B,$A41,'Source 2025'!$A:$A,"Amount (NIS)")+SUMIFS('Source 2025'!$N:$N,'Source 2025'!$B:$B,$A41,'Source 2025'!$A:$A,"Amount (NIS)")+SUMIFS('Source 2025'!$S:$S,'Source 2025'!$B:$B,$A41,'Source 2025'!$A:$A,"Amount (NIS)")+SUMIFS('Source 2025'!$U:$U,'Source 2025'!$B:$B,$A41,'Source 2025'!$A:$A,"Amount (NIS)")+SUMIFS('Source 2025'!$D:$D,'Source 2025'!$B:$B,$A41,'Source 2025'!$A:$A,"Amount (NIS)")+SUMIFS('Source 2025'!$E:$E,'Source 2025'!$B:$B,$A41,'Source 2025'!$A:$A,"Amount (NIS)")+SUMIFS('Source 2025'!$G:$G,'Source 2025'!$B:$B,$A41,'Source 2025'!$A:$A,"Amount (NIS)")</f>
        <v>15998.7</v>
      </c>
      <c r="I41" s="9" t="n">
        <f aca="false">SUMIFS('Source 2026'!$F:$F,'Source 2026'!$B:$B,$A41,'Source 2026'!$A:$A,"Amount (NIS)")+SUMIFS('Source 2026'!$H:$H,'Source 2026'!$B:$B,$A41,'Source 2026'!$A:$A,"Amount (NIS)")+SUMIFS('Source 2026'!$M:$M,'Source 2026'!$B:$B,$A41,'Source 2026'!$A:$A,"Amount (NIS)")+SUMIFS('Source 2026'!$N:$N,'Source 2026'!$B:$B,$A41,'Source 2026'!$A:$A,"Amount (NIS)")+SUMIFS('Source 2026'!$S:$S,'Source 2026'!$B:$B,$A41,'Source 2026'!$A:$A,"Amount (NIS)")+SUMIFS('Source 2026'!$U:$U,'Source 2026'!$B:$B,$A41,'Source 2026'!$A:$A,"Amount (NIS)")+SUMIFS('Source 2026'!$D:$D,'Source 2026'!$B:$B,$A41,'Source 2026'!$A:$A,"Amount (NIS)")+SUMIFS('Source 2026'!$E:$E,'Source 2026'!$B:$B,$A41,'Source 2026'!$A:$A,"Amount (NIS)")+SUMIFS('Source 2026'!$G:$G,'Source 2026'!$B:$B,$A41,'Source 2026'!$A:$A,"Amount (NIS)")</f>
        <v>8153</v>
      </c>
      <c r="J41" s="9" t="n">
        <f aca="false">I41*$J$5</f>
        <v>10298.5263157895</v>
      </c>
      <c r="K41" s="9" t="n">
        <f aca="false">J41-H41</f>
        <v>-5700.17368421053</v>
      </c>
      <c r="L41" s="11" t="n">
        <f aca="false">IF(AND(H41=0,J41=0),0,IF(H41=0,"New",(J41-H41)/H41))</f>
        <v>-0.356289803809718</v>
      </c>
    </row>
    <row r="42" customFormat="false" ht="15" hidden="false" customHeight="true" outlineLevel="0" collapsed="false">
      <c r="A42" s="8" t="s">
        <v>111</v>
      </c>
      <c r="B42" s="8" t="str">
        <f aca="false">IFERROR(INDEX('Source 2026'!$C:$C,MATCH($A42,'Source 2026'!$B:$B,0)),IFERROR(INDEX('Source 2025'!$C:$C,MATCH($A42,'Source 2025'!$B:$B,0)),""))</f>
        <v>מדרס אורטופ.מתכוון35-36</v>
      </c>
      <c r="C42" s="9" t="n">
        <f aca="false">SUMIFS('Source 2025'!$F:$F,'Source 2025'!$B:$B,$A42,'Source 2025'!$A:$A,"Quantity (units)")+SUMIFS('Source 2025'!$H:$H,'Source 2025'!$B:$B,$A42,'Source 2025'!$A:$A,"Quantity (units)")+SUMIFS('Source 2025'!$M:$M,'Source 2025'!$B:$B,$A42,'Source 2025'!$A:$A,"Quantity (units)")+SUMIFS('Source 2025'!$N:$N,'Source 2025'!$B:$B,$A42,'Source 2025'!$A:$A,"Quantity (units)")+SUMIFS('Source 2025'!$S:$S,'Source 2025'!$B:$B,$A42,'Source 2025'!$A:$A,"Quantity (units)")+SUMIFS('Source 2025'!$U:$U,'Source 2025'!$B:$B,$A42,'Source 2025'!$A:$A,"Quantity (units)")+SUMIFS('Source 2025'!$D:$D,'Source 2025'!$B:$B,$A42,'Source 2025'!$A:$A,"Quantity (units)")+SUMIFS('Source 2025'!$E:$E,'Source 2025'!$B:$B,$A42,'Source 2025'!$A:$A,"Quantity (units)")+SUMIFS('Source 2025'!$G:$G,'Source 2025'!$B:$B,$A42,'Source 2025'!$A:$A,"Quantity (units)")</f>
        <v>154</v>
      </c>
      <c r="D42" s="9" t="n">
        <f aca="false">SUMIFS('Source 2026'!$F:$F,'Source 2026'!$B:$B,$A42,'Source 2026'!$A:$A,"Quantity (units)")+SUMIFS('Source 2026'!$H:$H,'Source 2026'!$B:$B,$A42,'Source 2026'!$A:$A,"Quantity (units)")+SUMIFS('Source 2026'!$M:$M,'Source 2026'!$B:$B,$A42,'Source 2026'!$A:$A,"Quantity (units)")+SUMIFS('Source 2026'!$N:$N,'Source 2026'!$B:$B,$A42,'Source 2026'!$A:$A,"Quantity (units)")+SUMIFS('Source 2026'!$S:$S,'Source 2026'!$B:$B,$A42,'Source 2026'!$A:$A,"Quantity (units)")+SUMIFS('Source 2026'!$U:$U,'Source 2026'!$B:$B,$A42,'Source 2026'!$A:$A,"Quantity (units)")+SUMIFS('Source 2026'!$D:$D,'Source 2026'!$B:$B,$A42,'Source 2026'!$A:$A,"Quantity (units)")+SUMIFS('Source 2026'!$E:$E,'Source 2026'!$B:$B,$A42,'Source 2026'!$A:$A,"Quantity (units)")+SUMIFS('Source 2026'!$G:$G,'Source 2026'!$B:$B,$A42,'Source 2026'!$A:$A,"Quantity (units)")</f>
        <v>56</v>
      </c>
      <c r="E42" s="9" t="n">
        <f aca="false">D42*$J$5</f>
        <v>70.7368421052632</v>
      </c>
      <c r="F42" s="9" t="n">
        <f aca="false">E42-C42</f>
        <v>-83.2631578947369</v>
      </c>
      <c r="G42" s="11" t="n">
        <f aca="false">IF(AND(C42=0,E42=0),0,IF(C42=0,"New",(E42-C42)/C42))</f>
        <v>-0.54066985645933</v>
      </c>
      <c r="H42" s="9" t="n">
        <f aca="false">SUMIFS('Source 2025'!$F:$F,'Source 2025'!$B:$B,$A42,'Source 2025'!$A:$A,"Amount (NIS)")+SUMIFS('Source 2025'!$H:$H,'Source 2025'!$B:$B,$A42,'Source 2025'!$A:$A,"Amount (NIS)")+SUMIFS('Source 2025'!$M:$M,'Source 2025'!$B:$B,$A42,'Source 2025'!$A:$A,"Amount (NIS)")+SUMIFS('Source 2025'!$N:$N,'Source 2025'!$B:$B,$A42,'Source 2025'!$A:$A,"Amount (NIS)")+SUMIFS('Source 2025'!$S:$S,'Source 2025'!$B:$B,$A42,'Source 2025'!$A:$A,"Amount (NIS)")+SUMIFS('Source 2025'!$U:$U,'Source 2025'!$B:$B,$A42,'Source 2025'!$A:$A,"Amount (NIS)")+SUMIFS('Source 2025'!$D:$D,'Source 2025'!$B:$B,$A42,'Source 2025'!$A:$A,"Amount (NIS)")+SUMIFS('Source 2025'!$E:$E,'Source 2025'!$B:$B,$A42,'Source 2025'!$A:$A,"Amount (NIS)")+SUMIFS('Source 2025'!$G:$G,'Source 2025'!$B:$B,$A42,'Source 2025'!$A:$A,"Amount (NIS)")</f>
        <v>13149.3</v>
      </c>
      <c r="I42" s="9" t="n">
        <f aca="false">SUMIFS('Source 2026'!$F:$F,'Source 2026'!$B:$B,$A42,'Source 2026'!$A:$A,"Amount (NIS)")+SUMIFS('Source 2026'!$H:$H,'Source 2026'!$B:$B,$A42,'Source 2026'!$A:$A,"Amount (NIS)")+SUMIFS('Source 2026'!$M:$M,'Source 2026'!$B:$B,$A42,'Source 2026'!$A:$A,"Amount (NIS)")+SUMIFS('Source 2026'!$N:$N,'Source 2026'!$B:$B,$A42,'Source 2026'!$A:$A,"Amount (NIS)")+SUMIFS('Source 2026'!$S:$S,'Source 2026'!$B:$B,$A42,'Source 2026'!$A:$A,"Amount (NIS)")+SUMIFS('Source 2026'!$U:$U,'Source 2026'!$B:$B,$A42,'Source 2026'!$A:$A,"Amount (NIS)")+SUMIFS('Source 2026'!$D:$D,'Source 2026'!$B:$B,$A42,'Source 2026'!$A:$A,"Amount (NIS)")+SUMIFS('Source 2026'!$E:$E,'Source 2026'!$B:$B,$A42,'Source 2026'!$A:$A,"Amount (NIS)")+SUMIFS('Source 2026'!$G:$G,'Source 2026'!$B:$B,$A42,'Source 2026'!$A:$A,"Amount (NIS)")</f>
        <v>5369.6</v>
      </c>
      <c r="J42" s="9" t="n">
        <f aca="false">I42*$J$5</f>
        <v>6782.65263157895</v>
      </c>
      <c r="K42" s="9" t="n">
        <f aca="false">J42-H42</f>
        <v>-6366.64736842105</v>
      </c>
      <c r="L42" s="11" t="n">
        <f aca="false">IF(AND(H42=0,J42=0),0,IF(H42=0,"New",(J42-H42)/H42))</f>
        <v>-0.484181467334463</v>
      </c>
    </row>
    <row r="43" customFormat="false" ht="15" hidden="false" customHeight="true" outlineLevel="0" collapsed="false">
      <c r="A43" s="8" t="s">
        <v>112</v>
      </c>
      <c r="B43" s="8" t="str">
        <f aca="false">IFERROR(INDEX('Source 2026'!$C:$C,MATCH($A43,'Source 2026'!$B:$B,0)),IFERROR(INDEX('Source 2025'!$C:$C,MATCH($A43,'Source 2025'!$B:$B,0)),""))</f>
        <v>חגורת גב +סגירה כפולה</v>
      </c>
      <c r="C43" s="9" t="n">
        <f aca="false">SUMIFS('Source 2025'!$F:$F,'Source 2025'!$B:$B,$A43,'Source 2025'!$A:$A,"Quantity (units)")+SUMIFS('Source 2025'!$H:$H,'Source 2025'!$B:$B,$A43,'Source 2025'!$A:$A,"Quantity (units)")+SUMIFS('Source 2025'!$M:$M,'Source 2025'!$B:$B,$A43,'Source 2025'!$A:$A,"Quantity (units)")+SUMIFS('Source 2025'!$N:$N,'Source 2025'!$B:$B,$A43,'Source 2025'!$A:$A,"Quantity (units)")+SUMIFS('Source 2025'!$S:$S,'Source 2025'!$B:$B,$A43,'Source 2025'!$A:$A,"Quantity (units)")+SUMIFS('Source 2025'!$U:$U,'Source 2025'!$B:$B,$A43,'Source 2025'!$A:$A,"Quantity (units)")+SUMIFS('Source 2025'!$D:$D,'Source 2025'!$B:$B,$A43,'Source 2025'!$A:$A,"Quantity (units)")+SUMIFS('Source 2025'!$E:$E,'Source 2025'!$B:$B,$A43,'Source 2025'!$A:$A,"Quantity (units)")+SUMIFS('Source 2025'!$G:$G,'Source 2025'!$B:$B,$A43,'Source 2025'!$A:$A,"Quantity (units)")</f>
        <v>121</v>
      </c>
      <c r="D43" s="9" t="n">
        <f aca="false">SUMIFS('Source 2026'!$F:$F,'Source 2026'!$B:$B,$A43,'Source 2026'!$A:$A,"Quantity (units)")+SUMIFS('Source 2026'!$H:$H,'Source 2026'!$B:$B,$A43,'Source 2026'!$A:$A,"Quantity (units)")+SUMIFS('Source 2026'!$M:$M,'Source 2026'!$B:$B,$A43,'Source 2026'!$A:$A,"Quantity (units)")+SUMIFS('Source 2026'!$N:$N,'Source 2026'!$B:$B,$A43,'Source 2026'!$A:$A,"Quantity (units)")+SUMIFS('Source 2026'!$S:$S,'Source 2026'!$B:$B,$A43,'Source 2026'!$A:$A,"Quantity (units)")+SUMIFS('Source 2026'!$U:$U,'Source 2026'!$B:$B,$A43,'Source 2026'!$A:$A,"Quantity (units)")+SUMIFS('Source 2026'!$D:$D,'Source 2026'!$B:$B,$A43,'Source 2026'!$A:$A,"Quantity (units)")+SUMIFS('Source 2026'!$E:$E,'Source 2026'!$B:$B,$A43,'Source 2026'!$A:$A,"Quantity (units)")+SUMIFS('Source 2026'!$G:$G,'Source 2026'!$B:$B,$A43,'Source 2026'!$A:$A,"Quantity (units)")</f>
        <v>52</v>
      </c>
      <c r="E43" s="9" t="n">
        <f aca="false">D43*$J$5</f>
        <v>65.6842105263158</v>
      </c>
      <c r="F43" s="9" t="n">
        <f aca="false">E43-C43</f>
        <v>-55.3157894736842</v>
      </c>
      <c r="G43" s="11" t="n">
        <f aca="false">IF(AND(C43=0,E43=0),0,IF(C43=0,"New",(E43-C43)/C43))</f>
        <v>-0.457155284906481</v>
      </c>
      <c r="H43" s="9" t="n">
        <f aca="false">SUMIFS('Source 2025'!$F:$F,'Source 2025'!$B:$B,$A43,'Source 2025'!$A:$A,"Amount (NIS)")+SUMIFS('Source 2025'!$H:$H,'Source 2025'!$B:$B,$A43,'Source 2025'!$A:$A,"Amount (NIS)")+SUMIFS('Source 2025'!$M:$M,'Source 2025'!$B:$B,$A43,'Source 2025'!$A:$A,"Amount (NIS)")+SUMIFS('Source 2025'!$N:$N,'Source 2025'!$B:$B,$A43,'Source 2025'!$A:$A,"Amount (NIS)")+SUMIFS('Source 2025'!$S:$S,'Source 2025'!$B:$B,$A43,'Source 2025'!$A:$A,"Amount (NIS)")+SUMIFS('Source 2025'!$U:$U,'Source 2025'!$B:$B,$A43,'Source 2025'!$A:$A,"Amount (NIS)")+SUMIFS('Source 2025'!$D:$D,'Source 2025'!$B:$B,$A43,'Source 2025'!$A:$A,"Amount (NIS)")+SUMIFS('Source 2025'!$E:$E,'Source 2025'!$B:$B,$A43,'Source 2025'!$A:$A,"Amount (NIS)")+SUMIFS('Source 2025'!$G:$G,'Source 2025'!$B:$B,$A43,'Source 2025'!$A:$A,"Amount (NIS)")</f>
        <v>13380.2</v>
      </c>
      <c r="I43" s="9" t="n">
        <f aca="false">SUMIFS('Source 2026'!$F:$F,'Source 2026'!$B:$B,$A43,'Source 2026'!$A:$A,"Amount (NIS)")+SUMIFS('Source 2026'!$H:$H,'Source 2026'!$B:$B,$A43,'Source 2026'!$A:$A,"Amount (NIS)")+SUMIFS('Source 2026'!$M:$M,'Source 2026'!$B:$B,$A43,'Source 2026'!$A:$A,"Amount (NIS)")+SUMIFS('Source 2026'!$N:$N,'Source 2026'!$B:$B,$A43,'Source 2026'!$A:$A,"Amount (NIS)")+SUMIFS('Source 2026'!$S:$S,'Source 2026'!$B:$B,$A43,'Source 2026'!$A:$A,"Amount (NIS)")+SUMIFS('Source 2026'!$U:$U,'Source 2026'!$B:$B,$A43,'Source 2026'!$A:$A,"Amount (NIS)")+SUMIFS('Source 2026'!$D:$D,'Source 2026'!$B:$B,$A43,'Source 2026'!$A:$A,"Amount (NIS)")+SUMIFS('Source 2026'!$E:$E,'Source 2026'!$B:$B,$A43,'Source 2026'!$A:$A,"Amount (NIS)")+SUMIFS('Source 2026'!$G:$G,'Source 2026'!$B:$B,$A43,'Source 2026'!$A:$A,"Amount (NIS)")</f>
        <v>5965.9</v>
      </c>
      <c r="J43" s="9" t="n">
        <f aca="false">I43*$J$5</f>
        <v>7535.87368421053</v>
      </c>
      <c r="K43" s="9" t="n">
        <f aca="false">J43-H43</f>
        <v>-5844.32631578948</v>
      </c>
      <c r="L43" s="11" t="n">
        <f aca="false">IF(AND(H43=0,J43=0),0,IF(H43=0,"New",(J43-H43)/H43))</f>
        <v>-0.436789159787557</v>
      </c>
    </row>
    <row r="44" customFormat="false" ht="15" hidden="false" customHeight="true" outlineLevel="0" collapsed="false">
      <c r="A44" s="8" t="s">
        <v>113</v>
      </c>
      <c r="B44" s="8" t="str">
        <f aca="false">IFERROR(INDEX('Source 2026'!$C:$C,MATCH($A44,'Source 2026'!$B:$B,0)),IFERROR(INDEX('Source 2025'!$C:$C,MATCH($A44,'Source 2025'!$B:$B,0)),""))</f>
        <v>M 'מגן מרפק בז</v>
      </c>
      <c r="C44" s="9" t="n">
        <f aca="false">SUMIFS('Source 2025'!$F:$F,'Source 2025'!$B:$B,$A44,'Source 2025'!$A:$A,"Quantity (units)")+SUMIFS('Source 2025'!$H:$H,'Source 2025'!$B:$B,$A44,'Source 2025'!$A:$A,"Quantity (units)")+SUMIFS('Source 2025'!$M:$M,'Source 2025'!$B:$B,$A44,'Source 2025'!$A:$A,"Quantity (units)")+SUMIFS('Source 2025'!$N:$N,'Source 2025'!$B:$B,$A44,'Source 2025'!$A:$A,"Quantity (units)")+SUMIFS('Source 2025'!$S:$S,'Source 2025'!$B:$B,$A44,'Source 2025'!$A:$A,"Quantity (units)")+SUMIFS('Source 2025'!$U:$U,'Source 2025'!$B:$B,$A44,'Source 2025'!$A:$A,"Quantity (units)")+SUMIFS('Source 2025'!$D:$D,'Source 2025'!$B:$B,$A44,'Source 2025'!$A:$A,"Quantity (units)")+SUMIFS('Source 2025'!$E:$E,'Source 2025'!$B:$B,$A44,'Source 2025'!$A:$A,"Quantity (units)")+SUMIFS('Source 2025'!$G:$G,'Source 2025'!$B:$B,$A44,'Source 2025'!$A:$A,"Quantity (units)")</f>
        <v>584</v>
      </c>
      <c r="D44" s="9" t="n">
        <f aca="false">SUMIFS('Source 2026'!$F:$F,'Source 2026'!$B:$B,$A44,'Source 2026'!$A:$A,"Quantity (units)")+SUMIFS('Source 2026'!$H:$H,'Source 2026'!$B:$B,$A44,'Source 2026'!$A:$A,"Quantity (units)")+SUMIFS('Source 2026'!$M:$M,'Source 2026'!$B:$B,$A44,'Source 2026'!$A:$A,"Quantity (units)")+SUMIFS('Source 2026'!$N:$N,'Source 2026'!$B:$B,$A44,'Source 2026'!$A:$A,"Quantity (units)")+SUMIFS('Source 2026'!$S:$S,'Source 2026'!$B:$B,$A44,'Source 2026'!$A:$A,"Quantity (units)")+SUMIFS('Source 2026'!$U:$U,'Source 2026'!$B:$B,$A44,'Source 2026'!$A:$A,"Quantity (units)")+SUMIFS('Source 2026'!$D:$D,'Source 2026'!$B:$B,$A44,'Source 2026'!$A:$A,"Quantity (units)")+SUMIFS('Source 2026'!$E:$E,'Source 2026'!$B:$B,$A44,'Source 2026'!$A:$A,"Quantity (units)")+SUMIFS('Source 2026'!$G:$G,'Source 2026'!$B:$B,$A44,'Source 2026'!$A:$A,"Quantity (units)")</f>
        <v>346</v>
      </c>
      <c r="E44" s="9" t="n">
        <f aca="false">D44*$J$5</f>
        <v>437.052631578947</v>
      </c>
      <c r="F44" s="9" t="n">
        <f aca="false">E44-C44</f>
        <v>-146.947368421053</v>
      </c>
      <c r="G44" s="11" t="n">
        <f aca="false">IF(AND(C44=0,E44=0),0,IF(C44=0,"New",(E44-C44)/C44))</f>
        <v>-0.251622206200433</v>
      </c>
      <c r="H44" s="9" t="n">
        <f aca="false">SUMIFS('Source 2025'!$F:$F,'Source 2025'!$B:$B,$A44,'Source 2025'!$A:$A,"Amount (NIS)")+SUMIFS('Source 2025'!$H:$H,'Source 2025'!$B:$B,$A44,'Source 2025'!$A:$A,"Amount (NIS)")+SUMIFS('Source 2025'!$M:$M,'Source 2025'!$B:$B,$A44,'Source 2025'!$A:$A,"Amount (NIS)")+SUMIFS('Source 2025'!$N:$N,'Source 2025'!$B:$B,$A44,'Source 2025'!$A:$A,"Amount (NIS)")+SUMIFS('Source 2025'!$S:$S,'Source 2025'!$B:$B,$A44,'Source 2025'!$A:$A,"Amount (NIS)")+SUMIFS('Source 2025'!$U:$U,'Source 2025'!$B:$B,$A44,'Source 2025'!$A:$A,"Amount (NIS)")+SUMIFS('Source 2025'!$D:$D,'Source 2025'!$B:$B,$A44,'Source 2025'!$A:$A,"Amount (NIS)")+SUMIFS('Source 2025'!$E:$E,'Source 2025'!$B:$B,$A44,'Source 2025'!$A:$A,"Amount (NIS)")+SUMIFS('Source 2025'!$G:$G,'Source 2025'!$B:$B,$A44,'Source 2025'!$A:$A,"Amount (NIS)")</f>
        <v>17419.4</v>
      </c>
      <c r="I44" s="9" t="n">
        <f aca="false">SUMIFS('Source 2026'!$F:$F,'Source 2026'!$B:$B,$A44,'Source 2026'!$A:$A,"Amount (NIS)")+SUMIFS('Source 2026'!$H:$H,'Source 2026'!$B:$B,$A44,'Source 2026'!$A:$A,"Amount (NIS)")+SUMIFS('Source 2026'!$M:$M,'Source 2026'!$B:$B,$A44,'Source 2026'!$A:$A,"Amount (NIS)")+SUMIFS('Source 2026'!$N:$N,'Source 2026'!$B:$B,$A44,'Source 2026'!$A:$A,"Amount (NIS)")+SUMIFS('Source 2026'!$S:$S,'Source 2026'!$B:$B,$A44,'Source 2026'!$A:$A,"Amount (NIS)")+SUMIFS('Source 2026'!$U:$U,'Source 2026'!$B:$B,$A44,'Source 2026'!$A:$A,"Amount (NIS)")+SUMIFS('Source 2026'!$D:$D,'Source 2026'!$B:$B,$A44,'Source 2026'!$A:$A,"Amount (NIS)")+SUMIFS('Source 2026'!$E:$E,'Source 2026'!$B:$B,$A44,'Source 2026'!$A:$A,"Amount (NIS)")+SUMIFS('Source 2026'!$G:$G,'Source 2026'!$B:$B,$A44,'Source 2026'!$A:$A,"Amount (NIS)")</f>
        <v>10251.9</v>
      </c>
      <c r="J44" s="9" t="n">
        <f aca="false">I44*$J$5</f>
        <v>12949.7684210526</v>
      </c>
      <c r="K44" s="9" t="n">
        <f aca="false">J44-H44</f>
        <v>-4469.63157894737</v>
      </c>
      <c r="L44" s="11" t="n">
        <f aca="false">IF(AND(H44=0,J44=0),0,IF(H44=0,"New",(J44-H44)/H44))</f>
        <v>-0.256589295782138</v>
      </c>
    </row>
    <row r="45" customFormat="false" ht="15" hidden="false" customHeight="true" outlineLevel="0" collapsed="false">
      <c r="A45" s="8" t="s">
        <v>114</v>
      </c>
      <c r="B45" s="8" t="str">
        <f aca="false">IFERROR(INDEX('Source 2026'!$C:$C,MATCH($A45,'Source 2026'!$B:$B,0)),IFERROR(INDEX('Source 2025'!$C:$C,MATCH($A45,'Source 2025'!$B:$B,0)),""))</f>
        <v>Sמגן ברך ארוך לבן</v>
      </c>
      <c r="C45" s="9" t="n">
        <f aca="false">SUMIFS('Source 2025'!$F:$F,'Source 2025'!$B:$B,$A45,'Source 2025'!$A:$A,"Quantity (units)")+SUMIFS('Source 2025'!$H:$H,'Source 2025'!$B:$B,$A45,'Source 2025'!$A:$A,"Quantity (units)")+SUMIFS('Source 2025'!$M:$M,'Source 2025'!$B:$B,$A45,'Source 2025'!$A:$A,"Quantity (units)")+SUMIFS('Source 2025'!$N:$N,'Source 2025'!$B:$B,$A45,'Source 2025'!$A:$A,"Quantity (units)")+SUMIFS('Source 2025'!$S:$S,'Source 2025'!$B:$B,$A45,'Source 2025'!$A:$A,"Quantity (units)")+SUMIFS('Source 2025'!$U:$U,'Source 2025'!$B:$B,$A45,'Source 2025'!$A:$A,"Quantity (units)")+SUMIFS('Source 2025'!$D:$D,'Source 2025'!$B:$B,$A45,'Source 2025'!$A:$A,"Quantity (units)")+SUMIFS('Source 2025'!$E:$E,'Source 2025'!$B:$B,$A45,'Source 2025'!$A:$A,"Quantity (units)")+SUMIFS('Source 2025'!$G:$G,'Source 2025'!$B:$B,$A45,'Source 2025'!$A:$A,"Quantity (units)")</f>
        <v>482</v>
      </c>
      <c r="D45" s="9" t="n">
        <f aca="false">SUMIFS('Source 2026'!$F:$F,'Source 2026'!$B:$B,$A45,'Source 2026'!$A:$A,"Quantity (units)")+SUMIFS('Source 2026'!$H:$H,'Source 2026'!$B:$B,$A45,'Source 2026'!$A:$A,"Quantity (units)")+SUMIFS('Source 2026'!$M:$M,'Source 2026'!$B:$B,$A45,'Source 2026'!$A:$A,"Quantity (units)")+SUMIFS('Source 2026'!$N:$N,'Source 2026'!$B:$B,$A45,'Source 2026'!$A:$A,"Quantity (units)")+SUMIFS('Source 2026'!$S:$S,'Source 2026'!$B:$B,$A45,'Source 2026'!$A:$A,"Quantity (units)")+SUMIFS('Source 2026'!$U:$U,'Source 2026'!$B:$B,$A45,'Source 2026'!$A:$A,"Quantity (units)")+SUMIFS('Source 2026'!$D:$D,'Source 2026'!$B:$B,$A45,'Source 2026'!$A:$A,"Quantity (units)")+SUMIFS('Source 2026'!$E:$E,'Source 2026'!$B:$B,$A45,'Source 2026'!$A:$A,"Quantity (units)")+SUMIFS('Source 2026'!$G:$G,'Source 2026'!$B:$B,$A45,'Source 2026'!$A:$A,"Quantity (units)")</f>
        <v>283</v>
      </c>
      <c r="E45" s="9" t="n">
        <f aca="false">D45*$J$5</f>
        <v>357.473684210526</v>
      </c>
      <c r="F45" s="9" t="n">
        <f aca="false">E45-C45</f>
        <v>-124.526315789474</v>
      </c>
      <c r="G45" s="11" t="n">
        <f aca="false">IF(AND(C45=0,E45=0),0,IF(C45=0,"New",(E45-C45)/C45))</f>
        <v>-0.258353352260319</v>
      </c>
      <c r="H45" s="9" t="n">
        <f aca="false">SUMIFS('Source 2025'!$F:$F,'Source 2025'!$B:$B,$A45,'Source 2025'!$A:$A,"Amount (NIS)")+SUMIFS('Source 2025'!$H:$H,'Source 2025'!$B:$B,$A45,'Source 2025'!$A:$A,"Amount (NIS)")+SUMIFS('Source 2025'!$M:$M,'Source 2025'!$B:$B,$A45,'Source 2025'!$A:$A,"Amount (NIS)")+SUMIFS('Source 2025'!$N:$N,'Source 2025'!$B:$B,$A45,'Source 2025'!$A:$A,"Amount (NIS)")+SUMIFS('Source 2025'!$S:$S,'Source 2025'!$B:$B,$A45,'Source 2025'!$A:$A,"Amount (NIS)")+SUMIFS('Source 2025'!$U:$U,'Source 2025'!$B:$B,$A45,'Source 2025'!$A:$A,"Amount (NIS)")+SUMIFS('Source 2025'!$D:$D,'Source 2025'!$B:$B,$A45,'Source 2025'!$A:$A,"Amount (NIS)")+SUMIFS('Source 2025'!$E:$E,'Source 2025'!$B:$B,$A45,'Source 2025'!$A:$A,"Amount (NIS)")+SUMIFS('Source 2025'!$G:$G,'Source 2025'!$B:$B,$A45,'Source 2025'!$A:$A,"Amount (NIS)")</f>
        <v>17330.5</v>
      </c>
      <c r="I45" s="9" t="n">
        <f aca="false">SUMIFS('Source 2026'!$F:$F,'Source 2026'!$B:$B,$A45,'Source 2026'!$A:$A,"Amount (NIS)")+SUMIFS('Source 2026'!$H:$H,'Source 2026'!$B:$B,$A45,'Source 2026'!$A:$A,"Amount (NIS)")+SUMIFS('Source 2026'!$M:$M,'Source 2026'!$B:$B,$A45,'Source 2026'!$A:$A,"Amount (NIS)")+SUMIFS('Source 2026'!$N:$N,'Source 2026'!$B:$B,$A45,'Source 2026'!$A:$A,"Amount (NIS)")+SUMIFS('Source 2026'!$S:$S,'Source 2026'!$B:$B,$A45,'Source 2026'!$A:$A,"Amount (NIS)")+SUMIFS('Source 2026'!$U:$U,'Source 2026'!$B:$B,$A45,'Source 2026'!$A:$A,"Amount (NIS)")+SUMIFS('Source 2026'!$D:$D,'Source 2026'!$B:$B,$A45,'Source 2026'!$A:$A,"Amount (NIS)")+SUMIFS('Source 2026'!$E:$E,'Source 2026'!$B:$B,$A45,'Source 2026'!$A:$A,"Amount (NIS)")+SUMIFS('Source 2026'!$G:$G,'Source 2026'!$B:$B,$A45,'Source 2026'!$A:$A,"Amount (NIS)")</f>
        <v>10191.1</v>
      </c>
      <c r="J45" s="9" t="n">
        <f aca="false">I45*$J$5</f>
        <v>12872.9684210526</v>
      </c>
      <c r="K45" s="9" t="n">
        <f aca="false">J45-H45</f>
        <v>-4457.53157894737</v>
      </c>
      <c r="L45" s="11" t="n">
        <f aca="false">IF(AND(H45=0,J45=0),0,IF(H45=0,"New",(J45-H45)/H45))</f>
        <v>-0.257207326906169</v>
      </c>
    </row>
    <row r="46" customFormat="false" ht="15" hidden="false" customHeight="true" outlineLevel="0" collapsed="false">
      <c r="A46" s="8" t="s">
        <v>115</v>
      </c>
      <c r="B46" s="8" t="str">
        <f aca="false">IFERROR(INDEX('Source 2026'!$C:$C,MATCH($A46,'Source 2026'!$B:$B,0)),IFERROR(INDEX('Source 2025'!$C:$C,MATCH($A46,'Source 2025'!$B:$B,0)),""))</f>
        <v>ציפורניים</v>
      </c>
      <c r="C46" s="9" t="n">
        <f aca="false">SUMIFS('Source 2025'!$F:$F,'Source 2025'!$B:$B,$A46,'Source 2025'!$A:$A,"Quantity (units)")+SUMIFS('Source 2025'!$H:$H,'Source 2025'!$B:$B,$A46,'Source 2025'!$A:$A,"Quantity (units)")+SUMIFS('Source 2025'!$M:$M,'Source 2025'!$B:$B,$A46,'Source 2025'!$A:$A,"Quantity (units)")+SUMIFS('Source 2025'!$N:$N,'Source 2025'!$B:$B,$A46,'Source 2025'!$A:$A,"Quantity (units)")+SUMIFS('Source 2025'!$S:$S,'Source 2025'!$B:$B,$A46,'Source 2025'!$A:$A,"Quantity (units)")+SUMIFS('Source 2025'!$U:$U,'Source 2025'!$B:$B,$A46,'Source 2025'!$A:$A,"Quantity (units)")+SUMIFS('Source 2025'!$D:$D,'Source 2025'!$B:$B,$A46,'Source 2025'!$A:$A,"Quantity (units)")+SUMIFS('Source 2025'!$E:$E,'Source 2025'!$B:$B,$A46,'Source 2025'!$A:$A,"Quantity (units)")+SUMIFS('Source 2025'!$G:$G,'Source 2025'!$B:$B,$A46,'Source 2025'!$A:$A,"Quantity (units)")</f>
        <v>1063</v>
      </c>
      <c r="D46" s="9" t="n">
        <f aca="false">SUMIFS('Source 2026'!$F:$F,'Source 2026'!$B:$B,$A46,'Source 2026'!$A:$A,"Quantity (units)")+SUMIFS('Source 2026'!$H:$H,'Source 2026'!$B:$B,$A46,'Source 2026'!$A:$A,"Quantity (units)")+SUMIFS('Source 2026'!$M:$M,'Source 2026'!$B:$B,$A46,'Source 2026'!$A:$A,"Quantity (units)")+SUMIFS('Source 2026'!$N:$N,'Source 2026'!$B:$B,$A46,'Source 2026'!$A:$A,"Quantity (units)")+SUMIFS('Source 2026'!$S:$S,'Source 2026'!$B:$B,$A46,'Source 2026'!$A:$A,"Quantity (units)")+SUMIFS('Source 2026'!$U:$U,'Source 2026'!$B:$B,$A46,'Source 2026'!$A:$A,"Quantity (units)")+SUMIFS('Source 2026'!$D:$D,'Source 2026'!$B:$B,$A46,'Source 2026'!$A:$A,"Quantity (units)")+SUMIFS('Source 2026'!$E:$E,'Source 2026'!$B:$B,$A46,'Source 2026'!$A:$A,"Quantity (units)")+SUMIFS('Source 2026'!$G:$G,'Source 2026'!$B:$B,$A46,'Source 2026'!$A:$A,"Quantity (units)")</f>
        <v>534</v>
      </c>
      <c r="E46" s="9" t="n">
        <f aca="false">D46*$J$5</f>
        <v>674.526315789474</v>
      </c>
      <c r="F46" s="9" t="n">
        <f aca="false">E46-C46</f>
        <v>-388.473684210526</v>
      </c>
      <c r="G46" s="11" t="n">
        <f aca="false">IF(AND(C46=0,E46=0),0,IF(C46=0,"New",(E46-C46)/C46))</f>
        <v>-0.365450314403129</v>
      </c>
      <c r="H46" s="9" t="n">
        <f aca="false">SUMIFS('Source 2025'!$F:$F,'Source 2025'!$B:$B,$A46,'Source 2025'!$A:$A,"Amount (NIS)")+SUMIFS('Source 2025'!$H:$H,'Source 2025'!$B:$B,$A46,'Source 2025'!$A:$A,"Amount (NIS)")+SUMIFS('Source 2025'!$M:$M,'Source 2025'!$B:$B,$A46,'Source 2025'!$A:$A,"Amount (NIS)")+SUMIFS('Source 2025'!$N:$N,'Source 2025'!$B:$B,$A46,'Source 2025'!$A:$A,"Amount (NIS)")+SUMIFS('Source 2025'!$S:$S,'Source 2025'!$B:$B,$A46,'Source 2025'!$A:$A,"Amount (NIS)")+SUMIFS('Source 2025'!$U:$U,'Source 2025'!$B:$B,$A46,'Source 2025'!$A:$A,"Amount (NIS)")+SUMIFS('Source 2025'!$D:$D,'Source 2025'!$B:$B,$A46,'Source 2025'!$A:$A,"Amount (NIS)")+SUMIFS('Source 2025'!$E:$E,'Source 2025'!$B:$B,$A46,'Source 2025'!$A:$A,"Amount (NIS)")+SUMIFS('Source 2025'!$G:$G,'Source 2025'!$B:$B,$A46,'Source 2025'!$A:$A,"Amount (NIS)")</f>
        <v>14552.5</v>
      </c>
      <c r="I46" s="9" t="n">
        <f aca="false">SUMIFS('Source 2026'!$F:$F,'Source 2026'!$B:$B,$A46,'Source 2026'!$A:$A,"Amount (NIS)")+SUMIFS('Source 2026'!$H:$H,'Source 2026'!$B:$B,$A46,'Source 2026'!$A:$A,"Amount (NIS)")+SUMIFS('Source 2026'!$M:$M,'Source 2026'!$B:$B,$A46,'Source 2026'!$A:$A,"Amount (NIS)")+SUMIFS('Source 2026'!$N:$N,'Source 2026'!$B:$B,$A46,'Source 2026'!$A:$A,"Amount (NIS)")+SUMIFS('Source 2026'!$S:$S,'Source 2026'!$B:$B,$A46,'Source 2026'!$A:$A,"Amount (NIS)")+SUMIFS('Source 2026'!$U:$U,'Source 2026'!$B:$B,$A46,'Source 2026'!$A:$A,"Amount (NIS)")+SUMIFS('Source 2026'!$D:$D,'Source 2026'!$B:$B,$A46,'Source 2026'!$A:$A,"Amount (NIS)")+SUMIFS('Source 2026'!$E:$E,'Source 2026'!$B:$B,$A46,'Source 2026'!$A:$A,"Amount (NIS)")+SUMIFS('Source 2026'!$G:$G,'Source 2026'!$B:$B,$A46,'Source 2026'!$A:$A,"Amount (NIS)")</f>
        <v>7485</v>
      </c>
      <c r="J46" s="9" t="n">
        <f aca="false">I46*$J$5</f>
        <v>9454.73684210526</v>
      </c>
      <c r="K46" s="9" t="n">
        <f aca="false">J46-H46</f>
        <v>-5097.76315789474</v>
      </c>
      <c r="L46" s="11" t="n">
        <f aca="false">IF(AND(H46=0,J46=0),0,IF(H46=0,"New",(J46-H46)/H46))</f>
        <v>-0.350301539796924</v>
      </c>
    </row>
    <row r="47" customFormat="false" ht="15" hidden="false" customHeight="true" outlineLevel="0" collapsed="false">
      <c r="A47" s="8" t="s">
        <v>116</v>
      </c>
      <c r="B47" s="8" t="str">
        <f aca="false">IFERROR(INDEX('Source 2026'!$C:$C,MATCH($A47,'Source 2026'!$B:$B,0)),IFERROR(INDEX('Source 2025'!$C:$C,MATCH($A47,'Source 2025'!$B:$B,0)),""))</f>
        <v>סד לש.כף יד שמאל</v>
      </c>
      <c r="C47" s="9" t="n">
        <f aca="false">SUMIFS('Source 2025'!$F:$F,'Source 2025'!$B:$B,$A47,'Source 2025'!$A:$A,"Quantity (units)")+SUMIFS('Source 2025'!$H:$H,'Source 2025'!$B:$B,$A47,'Source 2025'!$A:$A,"Quantity (units)")+SUMIFS('Source 2025'!$M:$M,'Source 2025'!$B:$B,$A47,'Source 2025'!$A:$A,"Quantity (units)")+SUMIFS('Source 2025'!$N:$N,'Source 2025'!$B:$B,$A47,'Source 2025'!$A:$A,"Quantity (units)")+SUMIFS('Source 2025'!$S:$S,'Source 2025'!$B:$B,$A47,'Source 2025'!$A:$A,"Quantity (units)")+SUMIFS('Source 2025'!$U:$U,'Source 2025'!$B:$B,$A47,'Source 2025'!$A:$A,"Quantity (units)")+SUMIFS('Source 2025'!$D:$D,'Source 2025'!$B:$B,$A47,'Source 2025'!$A:$A,"Quantity (units)")+SUMIFS('Source 2025'!$E:$E,'Source 2025'!$B:$B,$A47,'Source 2025'!$A:$A,"Quantity (units)")+SUMIFS('Source 2025'!$G:$G,'Source 2025'!$B:$B,$A47,'Source 2025'!$A:$A,"Quantity (units)")</f>
        <v>364</v>
      </c>
      <c r="D47" s="9" t="n">
        <f aca="false">SUMIFS('Source 2026'!$F:$F,'Source 2026'!$B:$B,$A47,'Source 2026'!$A:$A,"Quantity (units)")+SUMIFS('Source 2026'!$H:$H,'Source 2026'!$B:$B,$A47,'Source 2026'!$A:$A,"Quantity (units)")+SUMIFS('Source 2026'!$M:$M,'Source 2026'!$B:$B,$A47,'Source 2026'!$A:$A,"Quantity (units)")+SUMIFS('Source 2026'!$N:$N,'Source 2026'!$B:$B,$A47,'Source 2026'!$A:$A,"Quantity (units)")+SUMIFS('Source 2026'!$S:$S,'Source 2026'!$B:$B,$A47,'Source 2026'!$A:$A,"Quantity (units)")+SUMIFS('Source 2026'!$U:$U,'Source 2026'!$B:$B,$A47,'Source 2026'!$A:$A,"Quantity (units)")+SUMIFS('Source 2026'!$D:$D,'Source 2026'!$B:$B,$A47,'Source 2026'!$A:$A,"Quantity (units)")+SUMIFS('Source 2026'!$E:$E,'Source 2026'!$B:$B,$A47,'Source 2026'!$A:$A,"Quantity (units)")+SUMIFS('Source 2026'!$G:$G,'Source 2026'!$B:$B,$A47,'Source 2026'!$A:$A,"Quantity (units)")</f>
        <v>199</v>
      </c>
      <c r="E47" s="9" t="n">
        <f aca="false">D47*$J$5</f>
        <v>251.368421052632</v>
      </c>
      <c r="F47" s="9" t="n">
        <f aca="false">E47-C47</f>
        <v>-112.631578947368</v>
      </c>
      <c r="G47" s="11" t="n">
        <f aca="false">IF(AND(C47=0,E47=0),0,IF(C47=0,"New",(E47-C47)/C47))</f>
        <v>-0.309427414690573</v>
      </c>
      <c r="H47" s="9" t="n">
        <f aca="false">SUMIFS('Source 2025'!$F:$F,'Source 2025'!$B:$B,$A47,'Source 2025'!$A:$A,"Amount (NIS)")+SUMIFS('Source 2025'!$H:$H,'Source 2025'!$B:$B,$A47,'Source 2025'!$A:$A,"Amount (NIS)")+SUMIFS('Source 2025'!$M:$M,'Source 2025'!$B:$B,$A47,'Source 2025'!$A:$A,"Amount (NIS)")+SUMIFS('Source 2025'!$N:$N,'Source 2025'!$B:$B,$A47,'Source 2025'!$A:$A,"Amount (NIS)")+SUMIFS('Source 2025'!$S:$S,'Source 2025'!$B:$B,$A47,'Source 2025'!$A:$A,"Amount (NIS)")+SUMIFS('Source 2025'!$U:$U,'Source 2025'!$B:$B,$A47,'Source 2025'!$A:$A,"Amount (NIS)")+SUMIFS('Source 2025'!$D:$D,'Source 2025'!$B:$B,$A47,'Source 2025'!$A:$A,"Amount (NIS)")+SUMIFS('Source 2025'!$E:$E,'Source 2025'!$B:$B,$A47,'Source 2025'!$A:$A,"Amount (NIS)")+SUMIFS('Source 2025'!$G:$G,'Source 2025'!$B:$B,$A47,'Source 2025'!$A:$A,"Amount (NIS)")</f>
        <v>15021.6</v>
      </c>
      <c r="I47" s="9" t="n">
        <f aca="false">SUMIFS('Source 2026'!$F:$F,'Source 2026'!$B:$B,$A47,'Source 2026'!$A:$A,"Amount (NIS)")+SUMIFS('Source 2026'!$H:$H,'Source 2026'!$B:$B,$A47,'Source 2026'!$A:$A,"Amount (NIS)")+SUMIFS('Source 2026'!$M:$M,'Source 2026'!$B:$B,$A47,'Source 2026'!$A:$A,"Amount (NIS)")+SUMIFS('Source 2026'!$N:$N,'Source 2026'!$B:$B,$A47,'Source 2026'!$A:$A,"Amount (NIS)")+SUMIFS('Source 2026'!$S:$S,'Source 2026'!$B:$B,$A47,'Source 2026'!$A:$A,"Amount (NIS)")+SUMIFS('Source 2026'!$U:$U,'Source 2026'!$B:$B,$A47,'Source 2026'!$A:$A,"Amount (NIS)")+SUMIFS('Source 2026'!$D:$D,'Source 2026'!$B:$B,$A47,'Source 2026'!$A:$A,"Amount (NIS)")+SUMIFS('Source 2026'!$E:$E,'Source 2026'!$B:$B,$A47,'Source 2026'!$A:$A,"Amount (NIS)")+SUMIFS('Source 2026'!$G:$G,'Source 2026'!$B:$B,$A47,'Source 2026'!$A:$A,"Amount (NIS)")</f>
        <v>8065</v>
      </c>
      <c r="J47" s="9" t="n">
        <f aca="false">I47*$J$5</f>
        <v>10187.3684210526</v>
      </c>
      <c r="K47" s="9" t="n">
        <f aca="false">J47-H47</f>
        <v>-4834.23157894737</v>
      </c>
      <c r="L47" s="11" t="n">
        <f aca="false">IF(AND(H47=0,J47=0),0,IF(H47=0,"New",(J47-H47)/H47))</f>
        <v>-0.321818686354807</v>
      </c>
    </row>
    <row r="48" customFormat="false" ht="15" hidden="false" customHeight="true" outlineLevel="0" collapsed="false">
      <c r="A48" s="8" t="s">
        <v>117</v>
      </c>
      <c r="B48" s="8" t="str">
        <f aca="false">IFERROR(INDEX('Source 2026'!$C:$C,MATCH($A48,'Source 2026'!$B:$B,0)),IFERROR(INDEX('Source 2025'!$C:$C,MATCH($A48,'Source 2025'!$B:$B,0)),""))</f>
        <v>טייפ קינזיולוגי</v>
      </c>
      <c r="C48" s="9" t="n">
        <f aca="false">SUMIFS('Source 2025'!$F:$F,'Source 2025'!$B:$B,$A48,'Source 2025'!$A:$A,"Quantity (units)")+SUMIFS('Source 2025'!$H:$H,'Source 2025'!$B:$B,$A48,'Source 2025'!$A:$A,"Quantity (units)")+SUMIFS('Source 2025'!$M:$M,'Source 2025'!$B:$B,$A48,'Source 2025'!$A:$A,"Quantity (units)")+SUMIFS('Source 2025'!$N:$N,'Source 2025'!$B:$B,$A48,'Source 2025'!$A:$A,"Quantity (units)")+SUMIFS('Source 2025'!$S:$S,'Source 2025'!$B:$B,$A48,'Source 2025'!$A:$A,"Quantity (units)")+SUMIFS('Source 2025'!$U:$U,'Source 2025'!$B:$B,$A48,'Source 2025'!$A:$A,"Quantity (units)")+SUMIFS('Source 2025'!$D:$D,'Source 2025'!$B:$B,$A48,'Source 2025'!$A:$A,"Quantity (units)")+SUMIFS('Source 2025'!$E:$E,'Source 2025'!$B:$B,$A48,'Source 2025'!$A:$A,"Quantity (units)")+SUMIFS('Source 2025'!$G:$G,'Source 2025'!$B:$B,$A48,'Source 2025'!$A:$A,"Quantity (units)")</f>
        <v>295</v>
      </c>
      <c r="D48" s="9" t="n">
        <f aca="false">SUMIFS('Source 2026'!$F:$F,'Source 2026'!$B:$B,$A48,'Source 2026'!$A:$A,"Quantity (units)")+SUMIFS('Source 2026'!$H:$H,'Source 2026'!$B:$B,$A48,'Source 2026'!$A:$A,"Quantity (units)")+SUMIFS('Source 2026'!$M:$M,'Source 2026'!$B:$B,$A48,'Source 2026'!$A:$A,"Quantity (units)")+SUMIFS('Source 2026'!$N:$N,'Source 2026'!$B:$B,$A48,'Source 2026'!$A:$A,"Quantity (units)")+SUMIFS('Source 2026'!$S:$S,'Source 2026'!$B:$B,$A48,'Source 2026'!$A:$A,"Quantity (units)")+SUMIFS('Source 2026'!$U:$U,'Source 2026'!$B:$B,$A48,'Source 2026'!$A:$A,"Quantity (units)")+SUMIFS('Source 2026'!$D:$D,'Source 2026'!$B:$B,$A48,'Source 2026'!$A:$A,"Quantity (units)")+SUMIFS('Source 2026'!$E:$E,'Source 2026'!$B:$B,$A48,'Source 2026'!$A:$A,"Quantity (units)")+SUMIFS('Source 2026'!$G:$G,'Source 2026'!$B:$B,$A48,'Source 2026'!$A:$A,"Quantity (units)")</f>
        <v>63</v>
      </c>
      <c r="E48" s="9" t="n">
        <f aca="false">D48*$J$5</f>
        <v>79.5789473684211</v>
      </c>
      <c r="F48" s="9" t="n">
        <f aca="false">E48-C48</f>
        <v>-215.421052631579</v>
      </c>
      <c r="G48" s="11" t="n">
        <f aca="false">IF(AND(C48=0,E48=0),0,IF(C48=0,"New",(E48-C48)/C48))</f>
        <v>-0.730240856378234</v>
      </c>
      <c r="H48" s="9" t="n">
        <f aca="false">SUMIFS('Source 2025'!$F:$F,'Source 2025'!$B:$B,$A48,'Source 2025'!$A:$A,"Amount (NIS)")+SUMIFS('Source 2025'!$H:$H,'Source 2025'!$B:$B,$A48,'Source 2025'!$A:$A,"Amount (NIS)")+SUMIFS('Source 2025'!$M:$M,'Source 2025'!$B:$B,$A48,'Source 2025'!$A:$A,"Amount (NIS)")+SUMIFS('Source 2025'!$N:$N,'Source 2025'!$B:$B,$A48,'Source 2025'!$A:$A,"Amount (NIS)")+SUMIFS('Source 2025'!$S:$S,'Source 2025'!$B:$B,$A48,'Source 2025'!$A:$A,"Amount (NIS)")+SUMIFS('Source 2025'!$U:$U,'Source 2025'!$B:$B,$A48,'Source 2025'!$A:$A,"Amount (NIS)")+SUMIFS('Source 2025'!$D:$D,'Source 2025'!$B:$B,$A48,'Source 2025'!$A:$A,"Amount (NIS)")+SUMIFS('Source 2025'!$E:$E,'Source 2025'!$B:$B,$A48,'Source 2025'!$A:$A,"Amount (NIS)")+SUMIFS('Source 2025'!$G:$G,'Source 2025'!$B:$B,$A48,'Source 2025'!$A:$A,"Amount (NIS)")</f>
        <v>8838</v>
      </c>
      <c r="I48" s="9" t="n">
        <f aca="false">SUMIFS('Source 2026'!$F:$F,'Source 2026'!$B:$B,$A48,'Source 2026'!$A:$A,"Amount (NIS)")+SUMIFS('Source 2026'!$H:$H,'Source 2026'!$B:$B,$A48,'Source 2026'!$A:$A,"Amount (NIS)")+SUMIFS('Source 2026'!$M:$M,'Source 2026'!$B:$B,$A48,'Source 2026'!$A:$A,"Amount (NIS)")+SUMIFS('Source 2026'!$N:$N,'Source 2026'!$B:$B,$A48,'Source 2026'!$A:$A,"Amount (NIS)")+SUMIFS('Source 2026'!$S:$S,'Source 2026'!$B:$B,$A48,'Source 2026'!$A:$A,"Amount (NIS)")+SUMIFS('Source 2026'!$U:$U,'Source 2026'!$B:$B,$A48,'Source 2026'!$A:$A,"Amount (NIS)")+SUMIFS('Source 2026'!$D:$D,'Source 2026'!$B:$B,$A48,'Source 2026'!$A:$A,"Amount (NIS)")+SUMIFS('Source 2026'!$E:$E,'Source 2026'!$B:$B,$A48,'Source 2026'!$A:$A,"Amount (NIS)")+SUMIFS('Source 2026'!$G:$G,'Source 2026'!$B:$B,$A48,'Source 2026'!$A:$A,"Amount (NIS)")</f>
        <v>2401</v>
      </c>
      <c r="J48" s="9" t="n">
        <f aca="false">I48*$J$5</f>
        <v>3032.84210526316</v>
      </c>
      <c r="K48" s="9" t="n">
        <f aca="false">J48-H48</f>
        <v>-5805.15789473684</v>
      </c>
      <c r="L48" s="11" t="n">
        <f aca="false">IF(AND(H48=0,J48=0),0,IF(H48=0,"New",(J48-H48)/H48))</f>
        <v>-0.656840676028156</v>
      </c>
    </row>
    <row r="49" customFormat="false" ht="15" hidden="false" customHeight="true" outlineLevel="0" collapsed="false">
      <c r="A49" s="8" t="s">
        <v>118</v>
      </c>
      <c r="B49" s="8" t="str">
        <f aca="false">IFERROR(INDEX('Source 2026'!$C:$C,MATCH($A49,'Source 2026'!$B:$B,0)),IFERROR(INDEX('Source 2025'!$C:$C,MATCH($A49,'Source 2025'!$B:$B,0)),""))</f>
        <v>טייפ קינזיולוגי</v>
      </c>
      <c r="C49" s="9" t="n">
        <f aca="false">SUMIFS('Source 2025'!$F:$F,'Source 2025'!$B:$B,$A49,'Source 2025'!$A:$A,"Quantity (units)")+SUMIFS('Source 2025'!$H:$H,'Source 2025'!$B:$B,$A49,'Source 2025'!$A:$A,"Quantity (units)")+SUMIFS('Source 2025'!$M:$M,'Source 2025'!$B:$B,$A49,'Source 2025'!$A:$A,"Quantity (units)")+SUMIFS('Source 2025'!$N:$N,'Source 2025'!$B:$B,$A49,'Source 2025'!$A:$A,"Quantity (units)")+SUMIFS('Source 2025'!$S:$S,'Source 2025'!$B:$B,$A49,'Source 2025'!$A:$A,"Quantity (units)")+SUMIFS('Source 2025'!$U:$U,'Source 2025'!$B:$B,$A49,'Source 2025'!$A:$A,"Quantity (units)")+SUMIFS('Source 2025'!$D:$D,'Source 2025'!$B:$B,$A49,'Source 2025'!$A:$A,"Quantity (units)")+SUMIFS('Source 2025'!$E:$E,'Source 2025'!$B:$B,$A49,'Source 2025'!$A:$A,"Quantity (units)")+SUMIFS('Source 2025'!$G:$G,'Source 2025'!$B:$B,$A49,'Source 2025'!$A:$A,"Quantity (units)")</f>
        <v>517</v>
      </c>
      <c r="D49" s="9" t="n">
        <f aca="false">SUMIFS('Source 2026'!$F:$F,'Source 2026'!$B:$B,$A49,'Source 2026'!$A:$A,"Quantity (units)")+SUMIFS('Source 2026'!$H:$H,'Source 2026'!$B:$B,$A49,'Source 2026'!$A:$A,"Quantity (units)")+SUMIFS('Source 2026'!$M:$M,'Source 2026'!$B:$B,$A49,'Source 2026'!$A:$A,"Quantity (units)")+SUMIFS('Source 2026'!$N:$N,'Source 2026'!$B:$B,$A49,'Source 2026'!$A:$A,"Quantity (units)")+SUMIFS('Source 2026'!$S:$S,'Source 2026'!$B:$B,$A49,'Source 2026'!$A:$A,"Quantity (units)")+SUMIFS('Source 2026'!$U:$U,'Source 2026'!$B:$B,$A49,'Source 2026'!$A:$A,"Quantity (units)")+SUMIFS('Source 2026'!$D:$D,'Source 2026'!$B:$B,$A49,'Source 2026'!$A:$A,"Quantity (units)")+SUMIFS('Source 2026'!$E:$E,'Source 2026'!$B:$B,$A49,'Source 2026'!$A:$A,"Quantity (units)")+SUMIFS('Source 2026'!$G:$G,'Source 2026'!$B:$B,$A49,'Source 2026'!$A:$A,"Quantity (units)")</f>
        <v>278</v>
      </c>
      <c r="E49" s="9" t="n">
        <f aca="false">D49*$J$5</f>
        <v>351.157894736842</v>
      </c>
      <c r="F49" s="9" t="n">
        <f aca="false">E49-C49</f>
        <v>-165.842105263158</v>
      </c>
      <c r="G49" s="11" t="n">
        <f aca="false">IF(AND(C49=0,E49=0),0,IF(C49=0,"New",(E49-C49)/C49))</f>
        <v>-0.320777766466456</v>
      </c>
      <c r="H49" s="9" t="n">
        <f aca="false">SUMIFS('Source 2025'!$F:$F,'Source 2025'!$B:$B,$A49,'Source 2025'!$A:$A,"Amount (NIS)")+SUMIFS('Source 2025'!$H:$H,'Source 2025'!$B:$B,$A49,'Source 2025'!$A:$A,"Amount (NIS)")+SUMIFS('Source 2025'!$M:$M,'Source 2025'!$B:$B,$A49,'Source 2025'!$A:$A,"Amount (NIS)")+SUMIFS('Source 2025'!$N:$N,'Source 2025'!$B:$B,$A49,'Source 2025'!$A:$A,"Amount (NIS)")+SUMIFS('Source 2025'!$S:$S,'Source 2025'!$B:$B,$A49,'Source 2025'!$A:$A,"Amount (NIS)")+SUMIFS('Source 2025'!$U:$U,'Source 2025'!$B:$B,$A49,'Source 2025'!$A:$A,"Amount (NIS)")+SUMIFS('Source 2025'!$D:$D,'Source 2025'!$B:$B,$A49,'Source 2025'!$A:$A,"Amount (NIS)")+SUMIFS('Source 2025'!$E:$E,'Source 2025'!$B:$B,$A49,'Source 2025'!$A:$A,"Amount (NIS)")+SUMIFS('Source 2025'!$G:$G,'Source 2025'!$B:$B,$A49,'Source 2025'!$A:$A,"Amount (NIS)")</f>
        <v>15602.6</v>
      </c>
      <c r="I49" s="9" t="n">
        <f aca="false">SUMIFS('Source 2026'!$F:$F,'Source 2026'!$B:$B,$A49,'Source 2026'!$A:$A,"Amount (NIS)")+SUMIFS('Source 2026'!$H:$H,'Source 2026'!$B:$B,$A49,'Source 2026'!$A:$A,"Amount (NIS)")+SUMIFS('Source 2026'!$M:$M,'Source 2026'!$B:$B,$A49,'Source 2026'!$A:$A,"Amount (NIS)")+SUMIFS('Source 2026'!$N:$N,'Source 2026'!$B:$B,$A49,'Source 2026'!$A:$A,"Amount (NIS)")+SUMIFS('Source 2026'!$S:$S,'Source 2026'!$B:$B,$A49,'Source 2026'!$A:$A,"Amount (NIS)")+SUMIFS('Source 2026'!$U:$U,'Source 2026'!$B:$B,$A49,'Source 2026'!$A:$A,"Amount (NIS)")+SUMIFS('Source 2026'!$D:$D,'Source 2026'!$B:$B,$A49,'Source 2026'!$A:$A,"Amount (NIS)")+SUMIFS('Source 2026'!$E:$E,'Source 2026'!$B:$B,$A49,'Source 2026'!$A:$A,"Amount (NIS)")+SUMIFS('Source 2026'!$G:$G,'Source 2026'!$B:$B,$A49,'Source 2026'!$A:$A,"Amount (NIS)")</f>
        <v>9297.7</v>
      </c>
      <c r="J49" s="9" t="n">
        <f aca="false">I49*$J$5</f>
        <v>11744.4631578947</v>
      </c>
      <c r="K49" s="9" t="n">
        <f aca="false">J49-H49</f>
        <v>-3858.13684210526</v>
      </c>
      <c r="L49" s="11" t="n">
        <f aca="false">IF(AND(H49=0,J49=0),0,IF(H49=0,"New",(J49-H49)/H49))</f>
        <v>-0.247275251695568</v>
      </c>
    </row>
    <row r="50" customFormat="false" ht="15" hidden="false" customHeight="true" outlineLevel="0" collapsed="false">
      <c r="A50" s="8" t="s">
        <v>119</v>
      </c>
      <c r="B50" s="8" t="str">
        <f aca="false">IFERROR(INDEX('Source 2026'!$C:$C,MATCH($A50,'Source 2026'!$B:$B,0)),IFERROR(INDEX('Source 2025'!$C:$C,MATCH($A50,'Source 2025'!$B:$B,0)),""))</f>
        <v>סד לאגודל</v>
      </c>
      <c r="C50" s="9" t="n">
        <f aca="false">SUMIFS('Source 2025'!$F:$F,'Source 2025'!$B:$B,$A50,'Source 2025'!$A:$A,"Quantity (units)")+SUMIFS('Source 2025'!$H:$H,'Source 2025'!$B:$B,$A50,'Source 2025'!$A:$A,"Quantity (units)")+SUMIFS('Source 2025'!$M:$M,'Source 2025'!$B:$B,$A50,'Source 2025'!$A:$A,"Quantity (units)")+SUMIFS('Source 2025'!$N:$N,'Source 2025'!$B:$B,$A50,'Source 2025'!$A:$A,"Quantity (units)")+SUMIFS('Source 2025'!$S:$S,'Source 2025'!$B:$B,$A50,'Source 2025'!$A:$A,"Quantity (units)")+SUMIFS('Source 2025'!$U:$U,'Source 2025'!$B:$B,$A50,'Source 2025'!$A:$A,"Quantity (units)")+SUMIFS('Source 2025'!$D:$D,'Source 2025'!$B:$B,$A50,'Source 2025'!$A:$A,"Quantity (units)")+SUMIFS('Source 2025'!$E:$E,'Source 2025'!$B:$B,$A50,'Source 2025'!$A:$A,"Quantity (units)")+SUMIFS('Source 2025'!$G:$G,'Source 2025'!$B:$B,$A50,'Source 2025'!$A:$A,"Quantity (units)")</f>
        <v>652</v>
      </c>
      <c r="D50" s="9" t="n">
        <f aca="false">SUMIFS('Source 2026'!$F:$F,'Source 2026'!$B:$B,$A50,'Source 2026'!$A:$A,"Quantity (units)")+SUMIFS('Source 2026'!$H:$H,'Source 2026'!$B:$B,$A50,'Source 2026'!$A:$A,"Quantity (units)")+SUMIFS('Source 2026'!$M:$M,'Source 2026'!$B:$B,$A50,'Source 2026'!$A:$A,"Quantity (units)")+SUMIFS('Source 2026'!$N:$N,'Source 2026'!$B:$B,$A50,'Source 2026'!$A:$A,"Quantity (units)")+SUMIFS('Source 2026'!$S:$S,'Source 2026'!$B:$B,$A50,'Source 2026'!$A:$A,"Quantity (units)")+SUMIFS('Source 2026'!$U:$U,'Source 2026'!$B:$B,$A50,'Source 2026'!$A:$A,"Quantity (units)")+SUMIFS('Source 2026'!$D:$D,'Source 2026'!$B:$B,$A50,'Source 2026'!$A:$A,"Quantity (units)")+SUMIFS('Source 2026'!$E:$E,'Source 2026'!$B:$B,$A50,'Source 2026'!$A:$A,"Quantity (units)")+SUMIFS('Source 2026'!$G:$G,'Source 2026'!$B:$B,$A50,'Source 2026'!$A:$A,"Quantity (units)")</f>
        <v>451</v>
      </c>
      <c r="E50" s="9" t="n">
        <f aca="false">D50*$J$5</f>
        <v>569.684210526316</v>
      </c>
      <c r="F50" s="9" t="n">
        <f aca="false">E50-C50</f>
        <v>-82.3157894736843</v>
      </c>
      <c r="G50" s="11" t="n">
        <f aca="false">IF(AND(C50=0,E50=0),0,IF(C50=0,"New",(E50-C50)/C50))</f>
        <v>-0.126251210849209</v>
      </c>
      <c r="H50" s="9" t="n">
        <f aca="false">SUMIFS('Source 2025'!$F:$F,'Source 2025'!$B:$B,$A50,'Source 2025'!$A:$A,"Amount (NIS)")+SUMIFS('Source 2025'!$H:$H,'Source 2025'!$B:$B,$A50,'Source 2025'!$A:$A,"Amount (NIS)")+SUMIFS('Source 2025'!$M:$M,'Source 2025'!$B:$B,$A50,'Source 2025'!$A:$A,"Amount (NIS)")+SUMIFS('Source 2025'!$N:$N,'Source 2025'!$B:$B,$A50,'Source 2025'!$A:$A,"Amount (NIS)")+SUMIFS('Source 2025'!$S:$S,'Source 2025'!$B:$B,$A50,'Source 2025'!$A:$A,"Amount (NIS)")+SUMIFS('Source 2025'!$U:$U,'Source 2025'!$B:$B,$A50,'Source 2025'!$A:$A,"Amount (NIS)")+SUMIFS('Source 2025'!$D:$D,'Source 2025'!$B:$B,$A50,'Source 2025'!$A:$A,"Amount (NIS)")+SUMIFS('Source 2025'!$E:$E,'Source 2025'!$B:$B,$A50,'Source 2025'!$A:$A,"Amount (NIS)")+SUMIFS('Source 2025'!$G:$G,'Source 2025'!$B:$B,$A50,'Source 2025'!$A:$A,"Amount (NIS)")</f>
        <v>23480.4</v>
      </c>
      <c r="I50" s="9" t="n">
        <f aca="false">SUMIFS('Source 2026'!$F:$F,'Source 2026'!$B:$B,$A50,'Source 2026'!$A:$A,"Amount (NIS)")+SUMIFS('Source 2026'!$H:$H,'Source 2026'!$B:$B,$A50,'Source 2026'!$A:$A,"Amount (NIS)")+SUMIFS('Source 2026'!$M:$M,'Source 2026'!$B:$B,$A50,'Source 2026'!$A:$A,"Amount (NIS)")+SUMIFS('Source 2026'!$N:$N,'Source 2026'!$B:$B,$A50,'Source 2026'!$A:$A,"Amount (NIS)")+SUMIFS('Source 2026'!$S:$S,'Source 2026'!$B:$B,$A50,'Source 2026'!$A:$A,"Amount (NIS)")+SUMIFS('Source 2026'!$U:$U,'Source 2026'!$B:$B,$A50,'Source 2026'!$A:$A,"Amount (NIS)")+SUMIFS('Source 2026'!$D:$D,'Source 2026'!$B:$B,$A50,'Source 2026'!$A:$A,"Amount (NIS)")+SUMIFS('Source 2026'!$E:$E,'Source 2026'!$B:$B,$A50,'Source 2026'!$A:$A,"Amount (NIS)")+SUMIFS('Source 2026'!$G:$G,'Source 2026'!$B:$B,$A50,'Source 2026'!$A:$A,"Amount (NIS)")</f>
        <v>17531.8</v>
      </c>
      <c r="J50" s="9" t="n">
        <f aca="false">I50*$J$5</f>
        <v>22145.4315789474</v>
      </c>
      <c r="K50" s="9" t="n">
        <f aca="false">J50-H50</f>
        <v>-1334.96842105264</v>
      </c>
      <c r="L50" s="11" t="n">
        <f aca="false">IF(AND(H50=0,J50=0),0,IF(H50=0,"New",(J50-H50)/H50))</f>
        <v>-0.0568545859973695</v>
      </c>
    </row>
    <row r="51" customFormat="false" ht="15" hidden="false" customHeight="true" outlineLevel="0" collapsed="false">
      <c r="A51" s="8" t="s">
        <v>120</v>
      </c>
      <c r="B51" s="8" t="str">
        <f aca="false">IFERROR(INDEX('Source 2026'!$C:$C,MATCH($A51,'Source 2026'!$B:$B,0)),IFERROR(INDEX('Source 2025'!$C:$C,MATCH($A51,'Source 2025'!$B:$B,0)),""))</f>
        <v>S תומך זרוע וכתף</v>
      </c>
      <c r="C51" s="9" t="n">
        <f aca="false">SUMIFS('Source 2025'!$F:$F,'Source 2025'!$B:$B,$A51,'Source 2025'!$A:$A,"Quantity (units)")+SUMIFS('Source 2025'!$H:$H,'Source 2025'!$B:$B,$A51,'Source 2025'!$A:$A,"Quantity (units)")+SUMIFS('Source 2025'!$M:$M,'Source 2025'!$B:$B,$A51,'Source 2025'!$A:$A,"Quantity (units)")+SUMIFS('Source 2025'!$N:$N,'Source 2025'!$B:$B,$A51,'Source 2025'!$A:$A,"Quantity (units)")+SUMIFS('Source 2025'!$S:$S,'Source 2025'!$B:$B,$A51,'Source 2025'!$A:$A,"Quantity (units)")+SUMIFS('Source 2025'!$U:$U,'Source 2025'!$B:$B,$A51,'Source 2025'!$A:$A,"Quantity (units)")+SUMIFS('Source 2025'!$D:$D,'Source 2025'!$B:$B,$A51,'Source 2025'!$A:$A,"Quantity (units)")+SUMIFS('Source 2025'!$E:$E,'Source 2025'!$B:$B,$A51,'Source 2025'!$A:$A,"Quantity (units)")+SUMIFS('Source 2025'!$G:$G,'Source 2025'!$B:$B,$A51,'Source 2025'!$A:$A,"Quantity (units)")</f>
        <v>98</v>
      </c>
      <c r="D51" s="9" t="n">
        <f aca="false">SUMIFS('Source 2026'!$F:$F,'Source 2026'!$B:$B,$A51,'Source 2026'!$A:$A,"Quantity (units)")+SUMIFS('Source 2026'!$H:$H,'Source 2026'!$B:$B,$A51,'Source 2026'!$A:$A,"Quantity (units)")+SUMIFS('Source 2026'!$M:$M,'Source 2026'!$B:$B,$A51,'Source 2026'!$A:$A,"Quantity (units)")+SUMIFS('Source 2026'!$N:$N,'Source 2026'!$B:$B,$A51,'Source 2026'!$A:$A,"Quantity (units)")+SUMIFS('Source 2026'!$S:$S,'Source 2026'!$B:$B,$A51,'Source 2026'!$A:$A,"Quantity (units)")+SUMIFS('Source 2026'!$U:$U,'Source 2026'!$B:$B,$A51,'Source 2026'!$A:$A,"Quantity (units)")+SUMIFS('Source 2026'!$D:$D,'Source 2026'!$B:$B,$A51,'Source 2026'!$A:$A,"Quantity (units)")+SUMIFS('Source 2026'!$E:$E,'Source 2026'!$B:$B,$A51,'Source 2026'!$A:$A,"Quantity (units)")+SUMIFS('Source 2026'!$G:$G,'Source 2026'!$B:$B,$A51,'Source 2026'!$A:$A,"Quantity (units)")</f>
        <v>67</v>
      </c>
      <c r="E51" s="9" t="n">
        <f aca="false">D51*$J$5</f>
        <v>84.6315789473684</v>
      </c>
      <c r="F51" s="9" t="n">
        <f aca="false">E51-C51</f>
        <v>-13.3684210526316</v>
      </c>
      <c r="G51" s="11" t="n">
        <f aca="false">IF(AND(C51=0,E51=0),0,IF(C51=0,"New",(E51-C51)/C51))</f>
        <v>-0.136412459720731</v>
      </c>
      <c r="H51" s="9" t="n">
        <f aca="false">SUMIFS('Source 2025'!$F:$F,'Source 2025'!$B:$B,$A51,'Source 2025'!$A:$A,"Amount (NIS)")+SUMIFS('Source 2025'!$H:$H,'Source 2025'!$B:$B,$A51,'Source 2025'!$A:$A,"Amount (NIS)")+SUMIFS('Source 2025'!$M:$M,'Source 2025'!$B:$B,$A51,'Source 2025'!$A:$A,"Amount (NIS)")+SUMIFS('Source 2025'!$N:$N,'Source 2025'!$B:$B,$A51,'Source 2025'!$A:$A,"Amount (NIS)")+SUMIFS('Source 2025'!$S:$S,'Source 2025'!$B:$B,$A51,'Source 2025'!$A:$A,"Amount (NIS)")+SUMIFS('Source 2025'!$U:$U,'Source 2025'!$B:$B,$A51,'Source 2025'!$A:$A,"Amount (NIS)")+SUMIFS('Source 2025'!$D:$D,'Source 2025'!$B:$B,$A51,'Source 2025'!$A:$A,"Amount (NIS)")+SUMIFS('Source 2025'!$E:$E,'Source 2025'!$B:$B,$A51,'Source 2025'!$A:$A,"Amount (NIS)")+SUMIFS('Source 2025'!$G:$G,'Source 2025'!$B:$B,$A51,'Source 2025'!$A:$A,"Amount (NIS)")</f>
        <v>18283.1</v>
      </c>
      <c r="I51" s="9" t="n">
        <f aca="false">SUMIFS('Source 2026'!$F:$F,'Source 2026'!$B:$B,$A51,'Source 2026'!$A:$A,"Amount (NIS)")+SUMIFS('Source 2026'!$H:$H,'Source 2026'!$B:$B,$A51,'Source 2026'!$A:$A,"Amount (NIS)")+SUMIFS('Source 2026'!$M:$M,'Source 2026'!$B:$B,$A51,'Source 2026'!$A:$A,"Amount (NIS)")+SUMIFS('Source 2026'!$N:$N,'Source 2026'!$B:$B,$A51,'Source 2026'!$A:$A,"Amount (NIS)")+SUMIFS('Source 2026'!$S:$S,'Source 2026'!$B:$B,$A51,'Source 2026'!$A:$A,"Amount (NIS)")+SUMIFS('Source 2026'!$U:$U,'Source 2026'!$B:$B,$A51,'Source 2026'!$A:$A,"Amount (NIS)")+SUMIFS('Source 2026'!$D:$D,'Source 2026'!$B:$B,$A51,'Source 2026'!$A:$A,"Amount (NIS)")+SUMIFS('Source 2026'!$E:$E,'Source 2026'!$B:$B,$A51,'Source 2026'!$A:$A,"Amount (NIS)")+SUMIFS('Source 2026'!$G:$G,'Source 2026'!$B:$B,$A51,'Source 2026'!$A:$A,"Amount (NIS)")</f>
        <v>12432.2</v>
      </c>
      <c r="J51" s="9" t="n">
        <f aca="false">I51*$J$5</f>
        <v>15703.8315789474</v>
      </c>
      <c r="K51" s="9" t="n">
        <f aca="false">J51-H51</f>
        <v>-2579.26842105263</v>
      </c>
      <c r="L51" s="11" t="n">
        <f aca="false">IF(AND(H51=0,J51=0),0,IF(H51=0,"New",(J51-H51)/H51))</f>
        <v>-0.14107391093702</v>
      </c>
    </row>
    <row r="52" customFormat="false" ht="15" hidden="false" customHeight="true" outlineLevel="0" collapsed="false">
      <c r="A52" s="8" t="s">
        <v>121</v>
      </c>
      <c r="B52" s="8" t="str">
        <f aca="false">IFERROR(INDEX('Source 2026'!$C:$C,MATCH($A52,'Source 2026'!$B:$B,0)),IFERROR(INDEX('Source 2025'!$C:$C,MATCH($A52,'Source 2025'!$B:$B,0)),""))</f>
        <v>חגורת גב +סגירה כפולה</v>
      </c>
      <c r="C52" s="9" t="n">
        <f aca="false">SUMIFS('Source 2025'!$F:$F,'Source 2025'!$B:$B,$A52,'Source 2025'!$A:$A,"Quantity (units)")+SUMIFS('Source 2025'!$H:$H,'Source 2025'!$B:$B,$A52,'Source 2025'!$A:$A,"Quantity (units)")+SUMIFS('Source 2025'!$M:$M,'Source 2025'!$B:$B,$A52,'Source 2025'!$A:$A,"Quantity (units)")+SUMIFS('Source 2025'!$N:$N,'Source 2025'!$B:$B,$A52,'Source 2025'!$A:$A,"Quantity (units)")+SUMIFS('Source 2025'!$S:$S,'Source 2025'!$B:$B,$A52,'Source 2025'!$A:$A,"Quantity (units)")+SUMIFS('Source 2025'!$U:$U,'Source 2025'!$B:$B,$A52,'Source 2025'!$A:$A,"Quantity (units)")+SUMIFS('Source 2025'!$D:$D,'Source 2025'!$B:$B,$A52,'Source 2025'!$A:$A,"Quantity (units)")+SUMIFS('Source 2025'!$E:$E,'Source 2025'!$B:$B,$A52,'Source 2025'!$A:$A,"Quantity (units)")+SUMIFS('Source 2025'!$G:$G,'Source 2025'!$B:$B,$A52,'Source 2025'!$A:$A,"Quantity (units)")</f>
        <v>86</v>
      </c>
      <c r="D52" s="9" t="n">
        <f aca="false">SUMIFS('Source 2026'!$F:$F,'Source 2026'!$B:$B,$A52,'Source 2026'!$A:$A,"Quantity (units)")+SUMIFS('Source 2026'!$H:$H,'Source 2026'!$B:$B,$A52,'Source 2026'!$A:$A,"Quantity (units)")+SUMIFS('Source 2026'!$M:$M,'Source 2026'!$B:$B,$A52,'Source 2026'!$A:$A,"Quantity (units)")+SUMIFS('Source 2026'!$N:$N,'Source 2026'!$B:$B,$A52,'Source 2026'!$A:$A,"Quantity (units)")+SUMIFS('Source 2026'!$S:$S,'Source 2026'!$B:$B,$A52,'Source 2026'!$A:$A,"Quantity (units)")+SUMIFS('Source 2026'!$U:$U,'Source 2026'!$B:$B,$A52,'Source 2026'!$A:$A,"Quantity (units)")+SUMIFS('Source 2026'!$D:$D,'Source 2026'!$B:$B,$A52,'Source 2026'!$A:$A,"Quantity (units)")+SUMIFS('Source 2026'!$E:$E,'Source 2026'!$B:$B,$A52,'Source 2026'!$A:$A,"Quantity (units)")+SUMIFS('Source 2026'!$G:$G,'Source 2026'!$B:$B,$A52,'Source 2026'!$A:$A,"Quantity (units)")</f>
        <v>33</v>
      </c>
      <c r="E52" s="9" t="n">
        <f aca="false">D52*$J$5</f>
        <v>41.6842105263158</v>
      </c>
      <c r="F52" s="9" t="n">
        <f aca="false">E52-C52</f>
        <v>-44.3157894736842</v>
      </c>
      <c r="G52" s="11" t="n">
        <f aca="false">IF(AND(C52=0,E52=0),0,IF(C52=0,"New",(E52-C52)/C52))</f>
        <v>-0.515299877600979</v>
      </c>
      <c r="H52" s="9" t="n">
        <f aca="false">SUMIFS('Source 2025'!$F:$F,'Source 2025'!$B:$B,$A52,'Source 2025'!$A:$A,"Amount (NIS)")+SUMIFS('Source 2025'!$H:$H,'Source 2025'!$B:$B,$A52,'Source 2025'!$A:$A,"Amount (NIS)")+SUMIFS('Source 2025'!$M:$M,'Source 2025'!$B:$B,$A52,'Source 2025'!$A:$A,"Amount (NIS)")+SUMIFS('Source 2025'!$N:$N,'Source 2025'!$B:$B,$A52,'Source 2025'!$A:$A,"Amount (NIS)")+SUMIFS('Source 2025'!$S:$S,'Source 2025'!$B:$B,$A52,'Source 2025'!$A:$A,"Amount (NIS)")+SUMIFS('Source 2025'!$U:$U,'Source 2025'!$B:$B,$A52,'Source 2025'!$A:$A,"Amount (NIS)")+SUMIFS('Source 2025'!$D:$D,'Source 2025'!$B:$B,$A52,'Source 2025'!$A:$A,"Amount (NIS)")+SUMIFS('Source 2025'!$E:$E,'Source 2025'!$B:$B,$A52,'Source 2025'!$A:$A,"Amount (NIS)")+SUMIFS('Source 2025'!$G:$G,'Source 2025'!$B:$B,$A52,'Source 2025'!$A:$A,"Amount (NIS)")</f>
        <v>9536.7</v>
      </c>
      <c r="I52" s="9" t="n">
        <f aca="false">SUMIFS('Source 2026'!$F:$F,'Source 2026'!$B:$B,$A52,'Source 2026'!$A:$A,"Amount (NIS)")+SUMIFS('Source 2026'!$H:$H,'Source 2026'!$B:$B,$A52,'Source 2026'!$A:$A,"Amount (NIS)")+SUMIFS('Source 2026'!$M:$M,'Source 2026'!$B:$B,$A52,'Source 2026'!$A:$A,"Amount (NIS)")+SUMIFS('Source 2026'!$N:$N,'Source 2026'!$B:$B,$A52,'Source 2026'!$A:$A,"Amount (NIS)")+SUMIFS('Source 2026'!$S:$S,'Source 2026'!$B:$B,$A52,'Source 2026'!$A:$A,"Amount (NIS)")+SUMIFS('Source 2026'!$U:$U,'Source 2026'!$B:$B,$A52,'Source 2026'!$A:$A,"Amount (NIS)")+SUMIFS('Source 2026'!$D:$D,'Source 2026'!$B:$B,$A52,'Source 2026'!$A:$A,"Amount (NIS)")+SUMIFS('Source 2026'!$E:$E,'Source 2026'!$B:$B,$A52,'Source 2026'!$A:$A,"Amount (NIS)")+SUMIFS('Source 2026'!$G:$G,'Source 2026'!$B:$B,$A52,'Source 2026'!$A:$A,"Amount (NIS)")</f>
        <v>3735.7</v>
      </c>
      <c r="J52" s="9" t="n">
        <f aca="false">I52*$J$5</f>
        <v>4718.77894736842</v>
      </c>
      <c r="K52" s="9" t="n">
        <f aca="false">J52-H52</f>
        <v>-4817.92105263158</v>
      </c>
      <c r="L52" s="11" t="n">
        <f aca="false">IF(AND(H52=0,J52=0),0,IF(H52=0,"New",(J52-H52)/H52))</f>
        <v>-0.505197925134646</v>
      </c>
    </row>
    <row r="53" customFormat="false" ht="15" hidden="false" customHeight="true" outlineLevel="0" collapsed="false">
      <c r="A53" s="8" t="s">
        <v>122</v>
      </c>
      <c r="B53" s="8" t="str">
        <f aca="false">IFERROR(INDEX('Source 2026'!$C:$C,MATCH($A53,'Source 2026'!$B:$B,0)),IFERROR(INDEX('Source 2025'!$C:$C,MATCH($A53,'Source 2025'!$B:$B,0)),""))</f>
        <v>Sמיישר כתף יציב יישור גב צר</v>
      </c>
      <c r="C53" s="9" t="n">
        <f aca="false">SUMIFS('Source 2025'!$F:$F,'Source 2025'!$B:$B,$A53,'Source 2025'!$A:$A,"Quantity (units)")+SUMIFS('Source 2025'!$H:$H,'Source 2025'!$B:$B,$A53,'Source 2025'!$A:$A,"Quantity (units)")+SUMIFS('Source 2025'!$M:$M,'Source 2025'!$B:$B,$A53,'Source 2025'!$A:$A,"Quantity (units)")+SUMIFS('Source 2025'!$N:$N,'Source 2025'!$B:$B,$A53,'Source 2025'!$A:$A,"Quantity (units)")+SUMIFS('Source 2025'!$S:$S,'Source 2025'!$B:$B,$A53,'Source 2025'!$A:$A,"Quantity (units)")+SUMIFS('Source 2025'!$U:$U,'Source 2025'!$B:$B,$A53,'Source 2025'!$A:$A,"Quantity (units)")+SUMIFS('Source 2025'!$D:$D,'Source 2025'!$B:$B,$A53,'Source 2025'!$A:$A,"Quantity (units)")+SUMIFS('Source 2025'!$E:$E,'Source 2025'!$B:$B,$A53,'Source 2025'!$A:$A,"Quantity (units)")+SUMIFS('Source 2025'!$G:$G,'Source 2025'!$B:$B,$A53,'Source 2025'!$A:$A,"Quantity (units)")</f>
        <v>68</v>
      </c>
      <c r="D53" s="9" t="n">
        <f aca="false">SUMIFS('Source 2026'!$F:$F,'Source 2026'!$B:$B,$A53,'Source 2026'!$A:$A,"Quantity (units)")+SUMIFS('Source 2026'!$H:$H,'Source 2026'!$B:$B,$A53,'Source 2026'!$A:$A,"Quantity (units)")+SUMIFS('Source 2026'!$M:$M,'Source 2026'!$B:$B,$A53,'Source 2026'!$A:$A,"Quantity (units)")+SUMIFS('Source 2026'!$N:$N,'Source 2026'!$B:$B,$A53,'Source 2026'!$A:$A,"Quantity (units)")+SUMIFS('Source 2026'!$S:$S,'Source 2026'!$B:$B,$A53,'Source 2026'!$A:$A,"Quantity (units)")+SUMIFS('Source 2026'!$U:$U,'Source 2026'!$B:$B,$A53,'Source 2026'!$A:$A,"Quantity (units)")+SUMIFS('Source 2026'!$D:$D,'Source 2026'!$B:$B,$A53,'Source 2026'!$A:$A,"Quantity (units)")+SUMIFS('Source 2026'!$E:$E,'Source 2026'!$B:$B,$A53,'Source 2026'!$A:$A,"Quantity (units)")+SUMIFS('Source 2026'!$G:$G,'Source 2026'!$B:$B,$A53,'Source 2026'!$A:$A,"Quantity (units)")</f>
        <v>32</v>
      </c>
      <c r="E53" s="9" t="n">
        <f aca="false">D53*$J$5</f>
        <v>40.4210526315789</v>
      </c>
      <c r="F53" s="9" t="n">
        <f aca="false">E53-C53</f>
        <v>-27.5789473684211</v>
      </c>
      <c r="G53" s="11" t="n">
        <f aca="false">IF(AND(C53=0,E53=0),0,IF(C53=0,"New",(E53-C53)/C53))</f>
        <v>-0.405572755417957</v>
      </c>
      <c r="H53" s="9" t="n">
        <f aca="false">SUMIFS('Source 2025'!$F:$F,'Source 2025'!$B:$B,$A53,'Source 2025'!$A:$A,"Amount (NIS)")+SUMIFS('Source 2025'!$H:$H,'Source 2025'!$B:$B,$A53,'Source 2025'!$A:$A,"Amount (NIS)")+SUMIFS('Source 2025'!$M:$M,'Source 2025'!$B:$B,$A53,'Source 2025'!$A:$A,"Amount (NIS)")+SUMIFS('Source 2025'!$N:$N,'Source 2025'!$B:$B,$A53,'Source 2025'!$A:$A,"Amount (NIS)")+SUMIFS('Source 2025'!$S:$S,'Source 2025'!$B:$B,$A53,'Source 2025'!$A:$A,"Amount (NIS)")+SUMIFS('Source 2025'!$U:$U,'Source 2025'!$B:$B,$A53,'Source 2025'!$A:$A,"Amount (NIS)")+SUMIFS('Source 2025'!$D:$D,'Source 2025'!$B:$B,$A53,'Source 2025'!$A:$A,"Amount (NIS)")+SUMIFS('Source 2025'!$E:$E,'Source 2025'!$B:$B,$A53,'Source 2025'!$A:$A,"Amount (NIS)")+SUMIFS('Source 2025'!$G:$G,'Source 2025'!$B:$B,$A53,'Source 2025'!$A:$A,"Amount (NIS)")</f>
        <v>10879.5</v>
      </c>
      <c r="I53" s="9" t="n">
        <f aca="false">SUMIFS('Source 2026'!$F:$F,'Source 2026'!$B:$B,$A53,'Source 2026'!$A:$A,"Amount (NIS)")+SUMIFS('Source 2026'!$H:$H,'Source 2026'!$B:$B,$A53,'Source 2026'!$A:$A,"Amount (NIS)")+SUMIFS('Source 2026'!$M:$M,'Source 2026'!$B:$B,$A53,'Source 2026'!$A:$A,"Amount (NIS)")+SUMIFS('Source 2026'!$N:$N,'Source 2026'!$B:$B,$A53,'Source 2026'!$A:$A,"Amount (NIS)")+SUMIFS('Source 2026'!$S:$S,'Source 2026'!$B:$B,$A53,'Source 2026'!$A:$A,"Amount (NIS)")+SUMIFS('Source 2026'!$U:$U,'Source 2026'!$B:$B,$A53,'Source 2026'!$A:$A,"Amount (NIS)")+SUMIFS('Source 2026'!$D:$D,'Source 2026'!$B:$B,$A53,'Source 2026'!$A:$A,"Amount (NIS)")+SUMIFS('Source 2026'!$E:$E,'Source 2026'!$B:$B,$A53,'Source 2026'!$A:$A,"Amount (NIS)")+SUMIFS('Source 2026'!$G:$G,'Source 2026'!$B:$B,$A53,'Source 2026'!$A:$A,"Amount (NIS)")</f>
        <v>5120.8</v>
      </c>
      <c r="J53" s="9" t="n">
        <f aca="false">I53*$J$5</f>
        <v>6468.37894736842</v>
      </c>
      <c r="K53" s="9" t="n">
        <f aca="false">J53-H53</f>
        <v>-4411.12105263158</v>
      </c>
      <c r="L53" s="11" t="n">
        <f aca="false">IF(AND(H53=0,J53=0),0,IF(H53=0,"New",(J53-H53)/H53))</f>
        <v>-0.405452553208473</v>
      </c>
    </row>
    <row r="54" customFormat="false" ht="15" hidden="false" customHeight="true" outlineLevel="0" collapsed="false">
      <c r="A54" s="8" t="s">
        <v>123</v>
      </c>
      <c r="B54" s="8" t="str">
        <f aca="false">IFERROR(INDEX('Source 2026'!$C:$C,MATCH($A54,'Source 2026'!$B:$B,0)),IFERROR(INDEX('Source 2025'!$C:$C,MATCH($A54,'Source 2025'!$B:$B,0)),""))</f>
        <v>Lעקבים סיליקון כחול לדורבן</v>
      </c>
      <c r="C54" s="9" t="n">
        <f aca="false">SUMIFS('Source 2025'!$F:$F,'Source 2025'!$B:$B,$A54,'Source 2025'!$A:$A,"Quantity (units)")+SUMIFS('Source 2025'!$H:$H,'Source 2025'!$B:$B,$A54,'Source 2025'!$A:$A,"Quantity (units)")+SUMIFS('Source 2025'!$M:$M,'Source 2025'!$B:$B,$A54,'Source 2025'!$A:$A,"Quantity (units)")+SUMIFS('Source 2025'!$N:$N,'Source 2025'!$B:$B,$A54,'Source 2025'!$A:$A,"Quantity (units)")+SUMIFS('Source 2025'!$S:$S,'Source 2025'!$B:$B,$A54,'Source 2025'!$A:$A,"Quantity (units)")+SUMIFS('Source 2025'!$U:$U,'Source 2025'!$B:$B,$A54,'Source 2025'!$A:$A,"Quantity (units)")+SUMIFS('Source 2025'!$D:$D,'Source 2025'!$B:$B,$A54,'Source 2025'!$A:$A,"Quantity (units)")+SUMIFS('Source 2025'!$E:$E,'Source 2025'!$B:$B,$A54,'Source 2025'!$A:$A,"Quantity (units)")+SUMIFS('Source 2025'!$G:$G,'Source 2025'!$B:$B,$A54,'Source 2025'!$A:$A,"Quantity (units)")</f>
        <v>252</v>
      </c>
      <c r="D54" s="9" t="n">
        <f aca="false">SUMIFS('Source 2026'!$F:$F,'Source 2026'!$B:$B,$A54,'Source 2026'!$A:$A,"Quantity (units)")+SUMIFS('Source 2026'!$H:$H,'Source 2026'!$B:$B,$A54,'Source 2026'!$A:$A,"Quantity (units)")+SUMIFS('Source 2026'!$M:$M,'Source 2026'!$B:$B,$A54,'Source 2026'!$A:$A,"Quantity (units)")+SUMIFS('Source 2026'!$N:$N,'Source 2026'!$B:$B,$A54,'Source 2026'!$A:$A,"Quantity (units)")+SUMIFS('Source 2026'!$S:$S,'Source 2026'!$B:$B,$A54,'Source 2026'!$A:$A,"Quantity (units)")+SUMIFS('Source 2026'!$U:$U,'Source 2026'!$B:$B,$A54,'Source 2026'!$A:$A,"Quantity (units)")+SUMIFS('Source 2026'!$D:$D,'Source 2026'!$B:$B,$A54,'Source 2026'!$A:$A,"Quantity (units)")+SUMIFS('Source 2026'!$E:$E,'Source 2026'!$B:$B,$A54,'Source 2026'!$A:$A,"Quantity (units)")+SUMIFS('Source 2026'!$G:$G,'Source 2026'!$B:$B,$A54,'Source 2026'!$A:$A,"Quantity (units)")</f>
        <v>144</v>
      </c>
      <c r="E54" s="9" t="n">
        <f aca="false">D54*$J$5</f>
        <v>181.894736842105</v>
      </c>
      <c r="F54" s="9" t="n">
        <f aca="false">E54-C54</f>
        <v>-70.1052631578947</v>
      </c>
      <c r="G54" s="11" t="n">
        <f aca="false">IF(AND(C54=0,E54=0),0,IF(C54=0,"New",(E54-C54)/C54))</f>
        <v>-0.278195488721805</v>
      </c>
      <c r="H54" s="9" t="n">
        <f aca="false">SUMIFS('Source 2025'!$F:$F,'Source 2025'!$B:$B,$A54,'Source 2025'!$A:$A,"Amount (NIS)")+SUMIFS('Source 2025'!$H:$H,'Source 2025'!$B:$B,$A54,'Source 2025'!$A:$A,"Amount (NIS)")+SUMIFS('Source 2025'!$M:$M,'Source 2025'!$B:$B,$A54,'Source 2025'!$A:$A,"Amount (NIS)")+SUMIFS('Source 2025'!$N:$N,'Source 2025'!$B:$B,$A54,'Source 2025'!$A:$A,"Amount (NIS)")+SUMIFS('Source 2025'!$S:$S,'Source 2025'!$B:$B,$A54,'Source 2025'!$A:$A,"Amount (NIS)")+SUMIFS('Source 2025'!$U:$U,'Source 2025'!$B:$B,$A54,'Source 2025'!$A:$A,"Amount (NIS)")+SUMIFS('Source 2025'!$D:$D,'Source 2025'!$B:$B,$A54,'Source 2025'!$A:$A,"Amount (NIS)")+SUMIFS('Source 2025'!$E:$E,'Source 2025'!$B:$B,$A54,'Source 2025'!$A:$A,"Amount (NIS)")+SUMIFS('Source 2025'!$G:$G,'Source 2025'!$B:$B,$A54,'Source 2025'!$A:$A,"Amount (NIS)")</f>
        <v>13944.7</v>
      </c>
      <c r="I54" s="9" t="n">
        <f aca="false">SUMIFS('Source 2026'!$F:$F,'Source 2026'!$B:$B,$A54,'Source 2026'!$A:$A,"Amount (NIS)")+SUMIFS('Source 2026'!$H:$H,'Source 2026'!$B:$B,$A54,'Source 2026'!$A:$A,"Amount (NIS)")+SUMIFS('Source 2026'!$M:$M,'Source 2026'!$B:$B,$A54,'Source 2026'!$A:$A,"Amount (NIS)")+SUMIFS('Source 2026'!$N:$N,'Source 2026'!$B:$B,$A54,'Source 2026'!$A:$A,"Amount (NIS)")+SUMIFS('Source 2026'!$S:$S,'Source 2026'!$B:$B,$A54,'Source 2026'!$A:$A,"Amount (NIS)")+SUMIFS('Source 2026'!$U:$U,'Source 2026'!$B:$B,$A54,'Source 2026'!$A:$A,"Amount (NIS)")+SUMIFS('Source 2026'!$D:$D,'Source 2026'!$B:$B,$A54,'Source 2026'!$A:$A,"Amount (NIS)")+SUMIFS('Source 2026'!$E:$E,'Source 2026'!$B:$B,$A54,'Source 2026'!$A:$A,"Amount (NIS)")+SUMIFS('Source 2026'!$G:$G,'Source 2026'!$B:$B,$A54,'Source 2026'!$A:$A,"Amount (NIS)")</f>
        <v>8196.2</v>
      </c>
      <c r="J54" s="9" t="n">
        <f aca="false">I54*$J$5</f>
        <v>10353.0947368421</v>
      </c>
      <c r="K54" s="9" t="n">
        <f aca="false">J54-H54</f>
        <v>-3591.6052631579</v>
      </c>
      <c r="L54" s="11" t="n">
        <f aca="false">IF(AND(H54=0,J54=0),0,IF(H54=0,"New",(J54-H54)/H54))</f>
        <v>-0.257560597442605</v>
      </c>
    </row>
    <row r="55" customFormat="false" ht="15" hidden="false" customHeight="true" outlineLevel="0" collapsed="false">
      <c r="A55" s="8" t="s">
        <v>124</v>
      </c>
      <c r="B55" s="8" t="str">
        <f aca="false">IFERROR(INDEX('Source 2026'!$C:$C,MATCH($A55,'Source 2026'!$B:$B,0)),IFERROR(INDEX('Source 2025'!$C:$C,MATCH($A55,'Source 2025'!$B:$B,0)),""))</f>
        <v>Sמיישר כתף יציב יישור ג.רחב</v>
      </c>
      <c r="C55" s="9" t="n">
        <f aca="false">SUMIFS('Source 2025'!$F:$F,'Source 2025'!$B:$B,$A55,'Source 2025'!$A:$A,"Quantity (units)")+SUMIFS('Source 2025'!$H:$H,'Source 2025'!$B:$B,$A55,'Source 2025'!$A:$A,"Quantity (units)")+SUMIFS('Source 2025'!$M:$M,'Source 2025'!$B:$B,$A55,'Source 2025'!$A:$A,"Quantity (units)")+SUMIFS('Source 2025'!$N:$N,'Source 2025'!$B:$B,$A55,'Source 2025'!$A:$A,"Quantity (units)")+SUMIFS('Source 2025'!$S:$S,'Source 2025'!$B:$B,$A55,'Source 2025'!$A:$A,"Quantity (units)")+SUMIFS('Source 2025'!$U:$U,'Source 2025'!$B:$B,$A55,'Source 2025'!$A:$A,"Quantity (units)")+SUMIFS('Source 2025'!$D:$D,'Source 2025'!$B:$B,$A55,'Source 2025'!$A:$A,"Quantity (units)")+SUMIFS('Source 2025'!$E:$E,'Source 2025'!$B:$B,$A55,'Source 2025'!$A:$A,"Quantity (units)")+SUMIFS('Source 2025'!$G:$G,'Source 2025'!$B:$B,$A55,'Source 2025'!$A:$A,"Quantity (units)")</f>
        <v>90</v>
      </c>
      <c r="D55" s="9" t="n">
        <f aca="false">SUMIFS('Source 2026'!$F:$F,'Source 2026'!$B:$B,$A55,'Source 2026'!$A:$A,"Quantity (units)")+SUMIFS('Source 2026'!$H:$H,'Source 2026'!$B:$B,$A55,'Source 2026'!$A:$A,"Quantity (units)")+SUMIFS('Source 2026'!$M:$M,'Source 2026'!$B:$B,$A55,'Source 2026'!$A:$A,"Quantity (units)")+SUMIFS('Source 2026'!$N:$N,'Source 2026'!$B:$B,$A55,'Source 2026'!$A:$A,"Quantity (units)")+SUMIFS('Source 2026'!$S:$S,'Source 2026'!$B:$B,$A55,'Source 2026'!$A:$A,"Quantity (units)")+SUMIFS('Source 2026'!$U:$U,'Source 2026'!$B:$B,$A55,'Source 2026'!$A:$A,"Quantity (units)")+SUMIFS('Source 2026'!$D:$D,'Source 2026'!$B:$B,$A55,'Source 2026'!$A:$A,"Quantity (units)")+SUMIFS('Source 2026'!$E:$E,'Source 2026'!$B:$B,$A55,'Source 2026'!$A:$A,"Quantity (units)")+SUMIFS('Source 2026'!$G:$G,'Source 2026'!$B:$B,$A55,'Source 2026'!$A:$A,"Quantity (units)")</f>
        <v>60</v>
      </c>
      <c r="E55" s="9" t="n">
        <f aca="false">D55*$J$5</f>
        <v>75.7894736842105</v>
      </c>
      <c r="F55" s="9" t="n">
        <f aca="false">E55-C55</f>
        <v>-14.2105263157895</v>
      </c>
      <c r="G55" s="11" t="n">
        <f aca="false">IF(AND(C55=0,E55=0),0,IF(C55=0,"New",(E55-C55)/C55))</f>
        <v>-0.157894736842105</v>
      </c>
      <c r="H55" s="9" t="n">
        <f aca="false">SUMIFS('Source 2025'!$F:$F,'Source 2025'!$B:$B,$A55,'Source 2025'!$A:$A,"Amount (NIS)")+SUMIFS('Source 2025'!$H:$H,'Source 2025'!$B:$B,$A55,'Source 2025'!$A:$A,"Amount (NIS)")+SUMIFS('Source 2025'!$M:$M,'Source 2025'!$B:$B,$A55,'Source 2025'!$A:$A,"Amount (NIS)")+SUMIFS('Source 2025'!$N:$N,'Source 2025'!$B:$B,$A55,'Source 2025'!$A:$A,"Amount (NIS)")+SUMIFS('Source 2025'!$S:$S,'Source 2025'!$B:$B,$A55,'Source 2025'!$A:$A,"Amount (NIS)")+SUMIFS('Source 2025'!$U:$U,'Source 2025'!$B:$B,$A55,'Source 2025'!$A:$A,"Amount (NIS)")+SUMIFS('Source 2025'!$D:$D,'Source 2025'!$B:$B,$A55,'Source 2025'!$A:$A,"Amount (NIS)")+SUMIFS('Source 2025'!$E:$E,'Source 2025'!$B:$B,$A55,'Source 2025'!$A:$A,"Amount (NIS)")+SUMIFS('Source 2025'!$G:$G,'Source 2025'!$B:$B,$A55,'Source 2025'!$A:$A,"Amount (NIS)")</f>
        <v>18142.9</v>
      </c>
      <c r="I55" s="9" t="n">
        <f aca="false">SUMIFS('Source 2026'!$F:$F,'Source 2026'!$B:$B,$A55,'Source 2026'!$A:$A,"Amount (NIS)")+SUMIFS('Source 2026'!$H:$H,'Source 2026'!$B:$B,$A55,'Source 2026'!$A:$A,"Amount (NIS)")+SUMIFS('Source 2026'!$M:$M,'Source 2026'!$B:$B,$A55,'Source 2026'!$A:$A,"Amount (NIS)")+SUMIFS('Source 2026'!$N:$N,'Source 2026'!$B:$B,$A55,'Source 2026'!$A:$A,"Amount (NIS)")+SUMIFS('Source 2026'!$S:$S,'Source 2026'!$B:$B,$A55,'Source 2026'!$A:$A,"Amount (NIS)")+SUMIFS('Source 2026'!$U:$U,'Source 2026'!$B:$B,$A55,'Source 2026'!$A:$A,"Amount (NIS)")+SUMIFS('Source 2026'!$D:$D,'Source 2026'!$B:$B,$A55,'Source 2026'!$A:$A,"Amount (NIS)")+SUMIFS('Source 2026'!$E:$E,'Source 2026'!$B:$B,$A55,'Source 2026'!$A:$A,"Amount (NIS)")+SUMIFS('Source 2026'!$G:$G,'Source 2026'!$B:$B,$A55,'Source 2026'!$A:$A,"Amount (NIS)")</f>
        <v>12440.6</v>
      </c>
      <c r="J55" s="9" t="n">
        <f aca="false">I55*$J$5</f>
        <v>15714.4421052632</v>
      </c>
      <c r="K55" s="9" t="n">
        <f aca="false">J55-H55</f>
        <v>-2428.45789473684</v>
      </c>
      <c r="L55" s="11" t="n">
        <f aca="false">IF(AND(H55=0,J55=0),0,IF(H55=0,"New",(J55-H55)/H55))</f>
        <v>-0.133851693761022</v>
      </c>
    </row>
    <row r="56" customFormat="false" ht="15" hidden="false" customHeight="true" outlineLevel="0" collapsed="false">
      <c r="A56" s="8" t="s">
        <v>125</v>
      </c>
      <c r="B56" s="8" t="str">
        <f aca="false">IFERROR(INDEX('Source 2026'!$C:$C,MATCH($A56,'Source 2026'!$B:$B,0)),IFERROR(INDEX('Source 2025'!$C:$C,MATCH($A56,'Source 2025'!$B:$B,0)),""))</f>
        <v>יד אגודלי</v>
      </c>
      <c r="C56" s="9" t="n">
        <f aca="false">SUMIFS('Source 2025'!$F:$F,'Source 2025'!$B:$B,$A56,'Source 2025'!$A:$A,"Quantity (units)")+SUMIFS('Source 2025'!$H:$H,'Source 2025'!$B:$B,$A56,'Source 2025'!$A:$A,"Quantity (units)")+SUMIFS('Source 2025'!$M:$M,'Source 2025'!$B:$B,$A56,'Source 2025'!$A:$A,"Quantity (units)")+SUMIFS('Source 2025'!$N:$N,'Source 2025'!$B:$B,$A56,'Source 2025'!$A:$A,"Quantity (units)")+SUMIFS('Source 2025'!$S:$S,'Source 2025'!$B:$B,$A56,'Source 2025'!$A:$A,"Quantity (units)")+SUMIFS('Source 2025'!$U:$U,'Source 2025'!$B:$B,$A56,'Source 2025'!$A:$A,"Quantity (units)")+SUMIFS('Source 2025'!$D:$D,'Source 2025'!$B:$B,$A56,'Source 2025'!$A:$A,"Quantity (units)")+SUMIFS('Source 2025'!$E:$E,'Source 2025'!$B:$B,$A56,'Source 2025'!$A:$A,"Quantity (units)")+SUMIFS('Source 2025'!$G:$G,'Source 2025'!$B:$B,$A56,'Source 2025'!$A:$A,"Quantity (units)")</f>
        <v>478</v>
      </c>
      <c r="D56" s="9" t="n">
        <f aca="false">SUMIFS('Source 2026'!$F:$F,'Source 2026'!$B:$B,$A56,'Source 2026'!$A:$A,"Quantity (units)")+SUMIFS('Source 2026'!$H:$H,'Source 2026'!$B:$B,$A56,'Source 2026'!$A:$A,"Quantity (units)")+SUMIFS('Source 2026'!$M:$M,'Source 2026'!$B:$B,$A56,'Source 2026'!$A:$A,"Quantity (units)")+SUMIFS('Source 2026'!$N:$N,'Source 2026'!$B:$B,$A56,'Source 2026'!$A:$A,"Quantity (units)")+SUMIFS('Source 2026'!$S:$S,'Source 2026'!$B:$B,$A56,'Source 2026'!$A:$A,"Quantity (units)")+SUMIFS('Source 2026'!$U:$U,'Source 2026'!$B:$B,$A56,'Source 2026'!$A:$A,"Quantity (units)")+SUMIFS('Source 2026'!$D:$D,'Source 2026'!$B:$B,$A56,'Source 2026'!$A:$A,"Quantity (units)")+SUMIFS('Source 2026'!$E:$E,'Source 2026'!$B:$B,$A56,'Source 2026'!$A:$A,"Quantity (units)")+SUMIFS('Source 2026'!$G:$G,'Source 2026'!$B:$B,$A56,'Source 2026'!$A:$A,"Quantity (units)")</f>
        <v>347</v>
      </c>
      <c r="E56" s="9" t="n">
        <f aca="false">D56*$J$5</f>
        <v>438.315789473684</v>
      </c>
      <c r="F56" s="9" t="n">
        <f aca="false">E56-C56</f>
        <v>-39.6842105263158</v>
      </c>
      <c r="G56" s="11" t="n">
        <f aca="false">IF(AND(C56=0,E56=0),0,IF(C56=0,"New",(E56-C56)/C56))</f>
        <v>-0.0830213609337151</v>
      </c>
      <c r="H56" s="9" t="n">
        <f aca="false">SUMIFS('Source 2025'!$F:$F,'Source 2025'!$B:$B,$A56,'Source 2025'!$A:$A,"Amount (NIS)")+SUMIFS('Source 2025'!$H:$H,'Source 2025'!$B:$B,$A56,'Source 2025'!$A:$A,"Amount (NIS)")+SUMIFS('Source 2025'!$M:$M,'Source 2025'!$B:$B,$A56,'Source 2025'!$A:$A,"Amount (NIS)")+SUMIFS('Source 2025'!$N:$N,'Source 2025'!$B:$B,$A56,'Source 2025'!$A:$A,"Amount (NIS)")+SUMIFS('Source 2025'!$S:$S,'Source 2025'!$B:$B,$A56,'Source 2025'!$A:$A,"Amount (NIS)")+SUMIFS('Source 2025'!$U:$U,'Source 2025'!$B:$B,$A56,'Source 2025'!$A:$A,"Amount (NIS)")+SUMIFS('Source 2025'!$D:$D,'Source 2025'!$B:$B,$A56,'Source 2025'!$A:$A,"Amount (NIS)")+SUMIFS('Source 2025'!$E:$E,'Source 2025'!$B:$B,$A56,'Source 2025'!$A:$A,"Amount (NIS)")+SUMIFS('Source 2025'!$G:$G,'Source 2025'!$B:$B,$A56,'Source 2025'!$A:$A,"Amount (NIS)")</f>
        <v>21311.1</v>
      </c>
      <c r="I56" s="9" t="n">
        <f aca="false">SUMIFS('Source 2026'!$F:$F,'Source 2026'!$B:$B,$A56,'Source 2026'!$A:$A,"Amount (NIS)")+SUMIFS('Source 2026'!$H:$H,'Source 2026'!$B:$B,$A56,'Source 2026'!$A:$A,"Amount (NIS)")+SUMIFS('Source 2026'!$M:$M,'Source 2026'!$B:$B,$A56,'Source 2026'!$A:$A,"Amount (NIS)")+SUMIFS('Source 2026'!$N:$N,'Source 2026'!$B:$B,$A56,'Source 2026'!$A:$A,"Amount (NIS)")+SUMIFS('Source 2026'!$S:$S,'Source 2026'!$B:$B,$A56,'Source 2026'!$A:$A,"Amount (NIS)")+SUMIFS('Source 2026'!$U:$U,'Source 2026'!$B:$B,$A56,'Source 2026'!$A:$A,"Amount (NIS)")+SUMIFS('Source 2026'!$D:$D,'Source 2026'!$B:$B,$A56,'Source 2026'!$A:$A,"Amount (NIS)")+SUMIFS('Source 2026'!$E:$E,'Source 2026'!$B:$B,$A56,'Source 2026'!$A:$A,"Amount (NIS)")+SUMIFS('Source 2026'!$G:$G,'Source 2026'!$B:$B,$A56,'Source 2026'!$A:$A,"Amount (NIS)")</f>
        <v>15612.2</v>
      </c>
      <c r="J56" s="9" t="n">
        <f aca="false">I56*$J$5</f>
        <v>19720.6736842105</v>
      </c>
      <c r="K56" s="9" t="n">
        <f aca="false">J56-H56</f>
        <v>-1590.42631578947</v>
      </c>
      <c r="L56" s="11" t="n">
        <f aca="false">IF(AND(H56=0,J56=0),0,IF(H56=0,"New",(J56-H56)/H56))</f>
        <v>-0.074629010975007</v>
      </c>
    </row>
    <row r="57" customFormat="false" ht="15" hidden="false" customHeight="true" outlineLevel="0" collapsed="false">
      <c r="A57" s="8" t="s">
        <v>126</v>
      </c>
      <c r="B57" s="8" t="str">
        <f aca="false">IFERROR(INDEX('Source 2026'!$C:$C,MATCH($A57,'Source 2026'!$B:$B,0)),IFERROR(INDEX('Source 2025'!$C:$C,MATCH($A57,'Source 2025'!$B:$B,0)),""))</f>
        <v>טייפ קינזיולוגי</v>
      </c>
      <c r="C57" s="9" t="n">
        <f aca="false">SUMIFS('Source 2025'!$F:$F,'Source 2025'!$B:$B,$A57,'Source 2025'!$A:$A,"Quantity (units)")+SUMIFS('Source 2025'!$H:$H,'Source 2025'!$B:$B,$A57,'Source 2025'!$A:$A,"Quantity (units)")+SUMIFS('Source 2025'!$M:$M,'Source 2025'!$B:$B,$A57,'Source 2025'!$A:$A,"Quantity (units)")+SUMIFS('Source 2025'!$N:$N,'Source 2025'!$B:$B,$A57,'Source 2025'!$A:$A,"Quantity (units)")+SUMIFS('Source 2025'!$S:$S,'Source 2025'!$B:$B,$A57,'Source 2025'!$A:$A,"Quantity (units)")+SUMIFS('Source 2025'!$U:$U,'Source 2025'!$B:$B,$A57,'Source 2025'!$A:$A,"Quantity (units)")+SUMIFS('Source 2025'!$D:$D,'Source 2025'!$B:$B,$A57,'Source 2025'!$A:$A,"Quantity (units)")+SUMIFS('Source 2025'!$E:$E,'Source 2025'!$B:$B,$A57,'Source 2025'!$A:$A,"Quantity (units)")+SUMIFS('Source 2025'!$G:$G,'Source 2025'!$B:$B,$A57,'Source 2025'!$A:$A,"Quantity (units)")</f>
        <v>391</v>
      </c>
      <c r="D57" s="9" t="n">
        <f aca="false">SUMIFS('Source 2026'!$F:$F,'Source 2026'!$B:$B,$A57,'Source 2026'!$A:$A,"Quantity (units)")+SUMIFS('Source 2026'!$H:$H,'Source 2026'!$B:$B,$A57,'Source 2026'!$A:$A,"Quantity (units)")+SUMIFS('Source 2026'!$M:$M,'Source 2026'!$B:$B,$A57,'Source 2026'!$A:$A,"Quantity (units)")+SUMIFS('Source 2026'!$N:$N,'Source 2026'!$B:$B,$A57,'Source 2026'!$A:$A,"Quantity (units)")+SUMIFS('Source 2026'!$S:$S,'Source 2026'!$B:$B,$A57,'Source 2026'!$A:$A,"Quantity (units)")+SUMIFS('Source 2026'!$U:$U,'Source 2026'!$B:$B,$A57,'Source 2026'!$A:$A,"Quantity (units)")+SUMIFS('Source 2026'!$D:$D,'Source 2026'!$B:$B,$A57,'Source 2026'!$A:$A,"Quantity (units)")+SUMIFS('Source 2026'!$E:$E,'Source 2026'!$B:$B,$A57,'Source 2026'!$A:$A,"Quantity (units)")+SUMIFS('Source 2026'!$G:$G,'Source 2026'!$B:$B,$A57,'Source 2026'!$A:$A,"Quantity (units)")</f>
        <v>180</v>
      </c>
      <c r="E57" s="9" t="n">
        <f aca="false">D57*$J$5</f>
        <v>227.368421052632</v>
      </c>
      <c r="F57" s="9" t="n">
        <f aca="false">E57-C57</f>
        <v>-163.631578947368</v>
      </c>
      <c r="G57" s="11" t="n">
        <f aca="false">IF(AND(C57=0,E57=0),0,IF(C57=0,"New",(E57-C57)/C57))</f>
        <v>-0.418495086821914</v>
      </c>
      <c r="H57" s="9" t="n">
        <f aca="false">SUMIFS('Source 2025'!$F:$F,'Source 2025'!$B:$B,$A57,'Source 2025'!$A:$A,"Amount (NIS)")+SUMIFS('Source 2025'!$H:$H,'Source 2025'!$B:$B,$A57,'Source 2025'!$A:$A,"Amount (NIS)")+SUMIFS('Source 2025'!$M:$M,'Source 2025'!$B:$B,$A57,'Source 2025'!$A:$A,"Amount (NIS)")+SUMIFS('Source 2025'!$N:$N,'Source 2025'!$B:$B,$A57,'Source 2025'!$A:$A,"Amount (NIS)")+SUMIFS('Source 2025'!$S:$S,'Source 2025'!$B:$B,$A57,'Source 2025'!$A:$A,"Amount (NIS)")+SUMIFS('Source 2025'!$U:$U,'Source 2025'!$B:$B,$A57,'Source 2025'!$A:$A,"Amount (NIS)")+SUMIFS('Source 2025'!$D:$D,'Source 2025'!$B:$B,$A57,'Source 2025'!$A:$A,"Amount (NIS)")+SUMIFS('Source 2025'!$E:$E,'Source 2025'!$B:$B,$A57,'Source 2025'!$A:$A,"Amount (NIS)")+SUMIFS('Source 2025'!$G:$G,'Source 2025'!$B:$B,$A57,'Source 2025'!$A:$A,"Amount (NIS)")</f>
        <v>12113.8</v>
      </c>
      <c r="I57" s="9" t="n">
        <f aca="false">SUMIFS('Source 2026'!$F:$F,'Source 2026'!$B:$B,$A57,'Source 2026'!$A:$A,"Amount (NIS)")+SUMIFS('Source 2026'!$H:$H,'Source 2026'!$B:$B,$A57,'Source 2026'!$A:$A,"Amount (NIS)")+SUMIFS('Source 2026'!$M:$M,'Source 2026'!$B:$B,$A57,'Source 2026'!$A:$A,"Amount (NIS)")+SUMIFS('Source 2026'!$N:$N,'Source 2026'!$B:$B,$A57,'Source 2026'!$A:$A,"Amount (NIS)")+SUMIFS('Source 2026'!$S:$S,'Source 2026'!$B:$B,$A57,'Source 2026'!$A:$A,"Amount (NIS)")+SUMIFS('Source 2026'!$U:$U,'Source 2026'!$B:$B,$A57,'Source 2026'!$A:$A,"Amount (NIS)")+SUMIFS('Source 2026'!$D:$D,'Source 2026'!$B:$B,$A57,'Source 2026'!$A:$A,"Amount (NIS)")+SUMIFS('Source 2026'!$E:$E,'Source 2026'!$B:$B,$A57,'Source 2026'!$A:$A,"Amount (NIS)")+SUMIFS('Source 2026'!$G:$G,'Source 2026'!$B:$B,$A57,'Source 2026'!$A:$A,"Amount (NIS)")</f>
        <v>6434.5</v>
      </c>
      <c r="J57" s="9" t="n">
        <f aca="false">I57*$J$5</f>
        <v>8127.78947368421</v>
      </c>
      <c r="K57" s="9" t="n">
        <f aca="false">J57-H57</f>
        <v>-3986.01052631579</v>
      </c>
      <c r="L57" s="11" t="n">
        <f aca="false">IF(AND(H57=0,J57=0),0,IF(H57=0,"New",(J57-H57)/H57))</f>
        <v>-0.329047080710907</v>
      </c>
    </row>
    <row r="58" customFormat="false" ht="15" hidden="false" customHeight="true" outlineLevel="0" collapsed="false">
      <c r="A58" s="8" t="s">
        <v>127</v>
      </c>
      <c r="B58" s="8" t="str">
        <f aca="false">IFERROR(INDEX('Source 2026'!$C:$C,MATCH($A58,'Source 2026'!$B:$B,0)),IFERROR(INDEX('Source 2025'!$C:$C,MATCH($A58,'Source 2025'!$B:$B,0)),""))</f>
        <v>0 מ.בוניון+מפריד אצבע</v>
      </c>
      <c r="C58" s="9" t="n">
        <f aca="false">SUMIFS('Source 2025'!$F:$F,'Source 2025'!$B:$B,$A58,'Source 2025'!$A:$A,"Quantity (units)")+SUMIFS('Source 2025'!$H:$H,'Source 2025'!$B:$B,$A58,'Source 2025'!$A:$A,"Quantity (units)")+SUMIFS('Source 2025'!$M:$M,'Source 2025'!$B:$B,$A58,'Source 2025'!$A:$A,"Quantity (units)")+SUMIFS('Source 2025'!$N:$N,'Source 2025'!$B:$B,$A58,'Source 2025'!$A:$A,"Quantity (units)")+SUMIFS('Source 2025'!$S:$S,'Source 2025'!$B:$B,$A58,'Source 2025'!$A:$A,"Quantity (units)")+SUMIFS('Source 2025'!$U:$U,'Source 2025'!$B:$B,$A58,'Source 2025'!$A:$A,"Quantity (units)")+SUMIFS('Source 2025'!$D:$D,'Source 2025'!$B:$B,$A58,'Source 2025'!$A:$A,"Quantity (units)")+SUMIFS('Source 2025'!$E:$E,'Source 2025'!$B:$B,$A58,'Source 2025'!$A:$A,"Quantity (units)")+SUMIFS('Source 2025'!$G:$G,'Source 2025'!$B:$B,$A58,'Source 2025'!$A:$A,"Quantity (units)")</f>
        <v>330</v>
      </c>
      <c r="D58" s="9" t="n">
        <f aca="false">SUMIFS('Source 2026'!$F:$F,'Source 2026'!$B:$B,$A58,'Source 2026'!$A:$A,"Quantity (units)")+SUMIFS('Source 2026'!$H:$H,'Source 2026'!$B:$B,$A58,'Source 2026'!$A:$A,"Quantity (units)")+SUMIFS('Source 2026'!$M:$M,'Source 2026'!$B:$B,$A58,'Source 2026'!$A:$A,"Quantity (units)")+SUMIFS('Source 2026'!$N:$N,'Source 2026'!$B:$B,$A58,'Source 2026'!$A:$A,"Quantity (units)")+SUMIFS('Source 2026'!$S:$S,'Source 2026'!$B:$B,$A58,'Source 2026'!$A:$A,"Quantity (units)")+SUMIFS('Source 2026'!$U:$U,'Source 2026'!$B:$B,$A58,'Source 2026'!$A:$A,"Quantity (units)")+SUMIFS('Source 2026'!$D:$D,'Source 2026'!$B:$B,$A58,'Source 2026'!$A:$A,"Quantity (units)")+SUMIFS('Source 2026'!$E:$E,'Source 2026'!$B:$B,$A58,'Source 2026'!$A:$A,"Quantity (units)")+SUMIFS('Source 2026'!$G:$G,'Source 2026'!$B:$B,$A58,'Source 2026'!$A:$A,"Quantity (units)")</f>
        <v>179</v>
      </c>
      <c r="E58" s="9" t="n">
        <f aca="false">D58*$J$5</f>
        <v>226.105263157895</v>
      </c>
      <c r="F58" s="9" t="n">
        <f aca="false">E58-C58</f>
        <v>-103.894736842105</v>
      </c>
      <c r="G58" s="11" t="n">
        <f aca="false">IF(AND(C58=0,E58=0),0,IF(C58=0,"New",(E58-C58)/C58))</f>
        <v>-0.314832535885168</v>
      </c>
      <c r="H58" s="9" t="n">
        <f aca="false">SUMIFS('Source 2025'!$F:$F,'Source 2025'!$B:$B,$A58,'Source 2025'!$A:$A,"Amount (NIS)")+SUMIFS('Source 2025'!$H:$H,'Source 2025'!$B:$B,$A58,'Source 2025'!$A:$A,"Amount (NIS)")+SUMIFS('Source 2025'!$M:$M,'Source 2025'!$B:$B,$A58,'Source 2025'!$A:$A,"Amount (NIS)")+SUMIFS('Source 2025'!$N:$N,'Source 2025'!$B:$B,$A58,'Source 2025'!$A:$A,"Amount (NIS)")+SUMIFS('Source 2025'!$S:$S,'Source 2025'!$B:$B,$A58,'Source 2025'!$A:$A,"Amount (NIS)")+SUMIFS('Source 2025'!$U:$U,'Source 2025'!$B:$B,$A58,'Source 2025'!$A:$A,"Amount (NIS)")+SUMIFS('Source 2025'!$D:$D,'Source 2025'!$B:$B,$A58,'Source 2025'!$A:$A,"Amount (NIS)")+SUMIFS('Source 2025'!$E:$E,'Source 2025'!$B:$B,$A58,'Source 2025'!$A:$A,"Amount (NIS)")+SUMIFS('Source 2025'!$G:$G,'Source 2025'!$B:$B,$A58,'Source 2025'!$A:$A,"Amount (NIS)")</f>
        <v>12540</v>
      </c>
      <c r="I58" s="9" t="n">
        <f aca="false">SUMIFS('Source 2026'!$F:$F,'Source 2026'!$B:$B,$A58,'Source 2026'!$A:$A,"Amount (NIS)")+SUMIFS('Source 2026'!$H:$H,'Source 2026'!$B:$B,$A58,'Source 2026'!$A:$A,"Amount (NIS)")+SUMIFS('Source 2026'!$M:$M,'Source 2026'!$B:$B,$A58,'Source 2026'!$A:$A,"Amount (NIS)")+SUMIFS('Source 2026'!$N:$N,'Source 2026'!$B:$B,$A58,'Source 2026'!$A:$A,"Amount (NIS)")+SUMIFS('Source 2026'!$S:$S,'Source 2026'!$B:$B,$A58,'Source 2026'!$A:$A,"Amount (NIS)")+SUMIFS('Source 2026'!$U:$U,'Source 2026'!$B:$B,$A58,'Source 2026'!$A:$A,"Amount (NIS)")+SUMIFS('Source 2026'!$D:$D,'Source 2026'!$B:$B,$A58,'Source 2026'!$A:$A,"Amount (NIS)")+SUMIFS('Source 2026'!$E:$E,'Source 2026'!$B:$B,$A58,'Source 2026'!$A:$A,"Amount (NIS)")+SUMIFS('Source 2026'!$G:$G,'Source 2026'!$B:$B,$A58,'Source 2026'!$A:$A,"Amount (NIS)")</f>
        <v>6891.8</v>
      </c>
      <c r="J58" s="9" t="n">
        <f aca="false">I58*$J$5</f>
        <v>8705.43157894737</v>
      </c>
      <c r="K58" s="9" t="n">
        <f aca="false">J58-H58</f>
        <v>-3834.56842105263</v>
      </c>
      <c r="L58" s="11" t="n">
        <f aca="false">IF(AND(H58=0,J58=0),0,IF(H58=0,"New",(J58-H58)/H58))</f>
        <v>-0.305786955426845</v>
      </c>
    </row>
    <row r="59" customFormat="false" ht="15" hidden="false" customHeight="true" outlineLevel="0" collapsed="false">
      <c r="A59" s="8" t="s">
        <v>128</v>
      </c>
      <c r="B59" s="8" t="str">
        <f aca="false">IFERROR(INDEX('Source 2026'!$C:$C,MATCH($A59,'Source 2026'!$B:$B,0)),IFERROR(INDEX('Source 2025'!$C:$C,MATCH($A59,'Source 2025'!$B:$B,0)),""))</f>
        <v>גרב.כסף לסכרתים שחור35-38</v>
      </c>
      <c r="C59" s="9" t="n">
        <f aca="false">SUMIFS('Source 2025'!$F:$F,'Source 2025'!$B:$B,$A59,'Source 2025'!$A:$A,"Quantity (units)")+SUMIFS('Source 2025'!$H:$H,'Source 2025'!$B:$B,$A59,'Source 2025'!$A:$A,"Quantity (units)")+SUMIFS('Source 2025'!$M:$M,'Source 2025'!$B:$B,$A59,'Source 2025'!$A:$A,"Quantity (units)")+SUMIFS('Source 2025'!$N:$N,'Source 2025'!$B:$B,$A59,'Source 2025'!$A:$A,"Quantity (units)")+SUMIFS('Source 2025'!$S:$S,'Source 2025'!$B:$B,$A59,'Source 2025'!$A:$A,"Quantity (units)")+SUMIFS('Source 2025'!$U:$U,'Source 2025'!$B:$B,$A59,'Source 2025'!$A:$A,"Quantity (units)")+SUMIFS('Source 2025'!$D:$D,'Source 2025'!$B:$B,$A59,'Source 2025'!$A:$A,"Quantity (units)")+SUMIFS('Source 2025'!$E:$E,'Source 2025'!$B:$B,$A59,'Source 2025'!$A:$A,"Quantity (units)")+SUMIFS('Source 2025'!$G:$G,'Source 2025'!$B:$B,$A59,'Source 2025'!$A:$A,"Quantity (units)")</f>
        <v>365</v>
      </c>
      <c r="D59" s="9" t="n">
        <f aca="false">SUMIFS('Source 2026'!$F:$F,'Source 2026'!$B:$B,$A59,'Source 2026'!$A:$A,"Quantity (units)")+SUMIFS('Source 2026'!$H:$H,'Source 2026'!$B:$B,$A59,'Source 2026'!$A:$A,"Quantity (units)")+SUMIFS('Source 2026'!$M:$M,'Source 2026'!$B:$B,$A59,'Source 2026'!$A:$A,"Quantity (units)")+SUMIFS('Source 2026'!$N:$N,'Source 2026'!$B:$B,$A59,'Source 2026'!$A:$A,"Quantity (units)")+SUMIFS('Source 2026'!$S:$S,'Source 2026'!$B:$B,$A59,'Source 2026'!$A:$A,"Quantity (units)")+SUMIFS('Source 2026'!$U:$U,'Source 2026'!$B:$B,$A59,'Source 2026'!$A:$A,"Quantity (units)")+SUMIFS('Source 2026'!$D:$D,'Source 2026'!$B:$B,$A59,'Source 2026'!$A:$A,"Quantity (units)")+SUMIFS('Source 2026'!$E:$E,'Source 2026'!$B:$B,$A59,'Source 2026'!$A:$A,"Quantity (units)")+SUMIFS('Source 2026'!$G:$G,'Source 2026'!$B:$B,$A59,'Source 2026'!$A:$A,"Quantity (units)")</f>
        <v>153</v>
      </c>
      <c r="E59" s="9" t="n">
        <f aca="false">D59*$J$5</f>
        <v>193.263157894737</v>
      </c>
      <c r="F59" s="9" t="n">
        <f aca="false">E59-C59</f>
        <v>-171.736842105263</v>
      </c>
      <c r="G59" s="11" t="n">
        <f aca="false">IF(AND(C59=0,E59=0),0,IF(C59=0,"New",(E59-C59)/C59))</f>
        <v>-0.470511896178803</v>
      </c>
      <c r="H59" s="9" t="n">
        <f aca="false">SUMIFS('Source 2025'!$F:$F,'Source 2025'!$B:$B,$A59,'Source 2025'!$A:$A,"Amount (NIS)")+SUMIFS('Source 2025'!$H:$H,'Source 2025'!$B:$B,$A59,'Source 2025'!$A:$A,"Amount (NIS)")+SUMIFS('Source 2025'!$M:$M,'Source 2025'!$B:$B,$A59,'Source 2025'!$A:$A,"Amount (NIS)")+SUMIFS('Source 2025'!$N:$N,'Source 2025'!$B:$B,$A59,'Source 2025'!$A:$A,"Amount (NIS)")+SUMIFS('Source 2025'!$S:$S,'Source 2025'!$B:$B,$A59,'Source 2025'!$A:$A,"Amount (NIS)")+SUMIFS('Source 2025'!$U:$U,'Source 2025'!$B:$B,$A59,'Source 2025'!$A:$A,"Amount (NIS)")+SUMIFS('Source 2025'!$D:$D,'Source 2025'!$B:$B,$A59,'Source 2025'!$A:$A,"Amount (NIS)")+SUMIFS('Source 2025'!$E:$E,'Source 2025'!$B:$B,$A59,'Source 2025'!$A:$A,"Amount (NIS)")+SUMIFS('Source 2025'!$G:$G,'Source 2025'!$B:$B,$A59,'Source 2025'!$A:$A,"Amount (NIS)")</f>
        <v>9287.6</v>
      </c>
      <c r="I59" s="9" t="n">
        <f aca="false">SUMIFS('Source 2026'!$F:$F,'Source 2026'!$B:$B,$A59,'Source 2026'!$A:$A,"Amount (NIS)")+SUMIFS('Source 2026'!$H:$H,'Source 2026'!$B:$B,$A59,'Source 2026'!$A:$A,"Amount (NIS)")+SUMIFS('Source 2026'!$M:$M,'Source 2026'!$B:$B,$A59,'Source 2026'!$A:$A,"Amount (NIS)")+SUMIFS('Source 2026'!$N:$N,'Source 2026'!$B:$B,$A59,'Source 2026'!$A:$A,"Amount (NIS)")+SUMIFS('Source 2026'!$S:$S,'Source 2026'!$B:$B,$A59,'Source 2026'!$A:$A,"Amount (NIS)")+SUMIFS('Source 2026'!$U:$U,'Source 2026'!$B:$B,$A59,'Source 2026'!$A:$A,"Amount (NIS)")+SUMIFS('Source 2026'!$D:$D,'Source 2026'!$B:$B,$A59,'Source 2026'!$A:$A,"Amount (NIS)")+SUMIFS('Source 2026'!$E:$E,'Source 2026'!$B:$B,$A59,'Source 2026'!$A:$A,"Amount (NIS)")+SUMIFS('Source 2026'!$G:$G,'Source 2026'!$B:$B,$A59,'Source 2026'!$A:$A,"Amount (NIS)")</f>
        <v>4050.9</v>
      </c>
      <c r="J59" s="9" t="n">
        <f aca="false">I59*$J$5</f>
        <v>5116.92631578947</v>
      </c>
      <c r="K59" s="9" t="n">
        <f aca="false">J59-H59</f>
        <v>-4170.67368421053</v>
      </c>
      <c r="L59" s="11" t="n">
        <f aca="false">IF(AND(H59=0,J59=0),0,IF(H59=0,"New",(J59-H59)/H59))</f>
        <v>-0.449058280310363</v>
      </c>
    </row>
    <row r="60" customFormat="false" ht="15" hidden="false" customHeight="true" outlineLevel="0" collapsed="false">
      <c r="A60" s="8" t="s">
        <v>129</v>
      </c>
      <c r="B60" s="8" t="str">
        <f aca="false">IFERROR(INDEX('Source 2026'!$C:$C,MATCH($A60,'Source 2026'!$B:$B,0)),IFERROR(INDEX('Source 2025'!$C:$C,MATCH($A60,'Source 2025'!$B:$B,0)),""))</f>
        <v>תחבושת א.נצמ</v>
      </c>
      <c r="C60" s="9" t="n">
        <f aca="false">SUMIFS('Source 2025'!$F:$F,'Source 2025'!$B:$B,$A60,'Source 2025'!$A:$A,"Quantity (units)")+SUMIFS('Source 2025'!$H:$H,'Source 2025'!$B:$B,$A60,'Source 2025'!$A:$A,"Quantity (units)")+SUMIFS('Source 2025'!$M:$M,'Source 2025'!$B:$B,$A60,'Source 2025'!$A:$A,"Quantity (units)")+SUMIFS('Source 2025'!$N:$N,'Source 2025'!$B:$B,$A60,'Source 2025'!$A:$A,"Quantity (units)")+SUMIFS('Source 2025'!$S:$S,'Source 2025'!$B:$B,$A60,'Source 2025'!$A:$A,"Quantity (units)")+SUMIFS('Source 2025'!$U:$U,'Source 2025'!$B:$B,$A60,'Source 2025'!$A:$A,"Quantity (units)")+SUMIFS('Source 2025'!$D:$D,'Source 2025'!$B:$B,$A60,'Source 2025'!$A:$A,"Quantity (units)")+SUMIFS('Source 2025'!$E:$E,'Source 2025'!$B:$B,$A60,'Source 2025'!$A:$A,"Quantity (units)")+SUMIFS('Source 2025'!$G:$G,'Source 2025'!$B:$B,$A60,'Source 2025'!$A:$A,"Quantity (units)")</f>
        <v>1500</v>
      </c>
      <c r="D60" s="9" t="n">
        <f aca="false">SUMIFS('Source 2026'!$F:$F,'Source 2026'!$B:$B,$A60,'Source 2026'!$A:$A,"Quantity (units)")+SUMIFS('Source 2026'!$H:$H,'Source 2026'!$B:$B,$A60,'Source 2026'!$A:$A,"Quantity (units)")+SUMIFS('Source 2026'!$M:$M,'Source 2026'!$B:$B,$A60,'Source 2026'!$A:$A,"Quantity (units)")+SUMIFS('Source 2026'!$N:$N,'Source 2026'!$B:$B,$A60,'Source 2026'!$A:$A,"Quantity (units)")+SUMIFS('Source 2026'!$S:$S,'Source 2026'!$B:$B,$A60,'Source 2026'!$A:$A,"Quantity (units)")+SUMIFS('Source 2026'!$U:$U,'Source 2026'!$B:$B,$A60,'Source 2026'!$A:$A,"Quantity (units)")+SUMIFS('Source 2026'!$D:$D,'Source 2026'!$B:$B,$A60,'Source 2026'!$A:$A,"Quantity (units)")+SUMIFS('Source 2026'!$E:$E,'Source 2026'!$B:$B,$A60,'Source 2026'!$A:$A,"Quantity (units)")+SUMIFS('Source 2026'!$G:$G,'Source 2026'!$B:$B,$A60,'Source 2026'!$A:$A,"Quantity (units)")</f>
        <v>851</v>
      </c>
      <c r="E60" s="9" t="n">
        <f aca="false">D60*$J$5</f>
        <v>1074.94736842105</v>
      </c>
      <c r="F60" s="9" t="n">
        <f aca="false">E60-C60</f>
        <v>-425.052631578948</v>
      </c>
      <c r="G60" s="11" t="n">
        <f aca="false">IF(AND(C60=0,E60=0),0,IF(C60=0,"New",(E60-C60)/C60))</f>
        <v>-0.283368421052632</v>
      </c>
      <c r="H60" s="9" t="n">
        <f aca="false">SUMIFS('Source 2025'!$F:$F,'Source 2025'!$B:$B,$A60,'Source 2025'!$A:$A,"Amount (NIS)")+SUMIFS('Source 2025'!$H:$H,'Source 2025'!$B:$B,$A60,'Source 2025'!$A:$A,"Amount (NIS)")+SUMIFS('Source 2025'!$M:$M,'Source 2025'!$B:$B,$A60,'Source 2025'!$A:$A,"Amount (NIS)")+SUMIFS('Source 2025'!$N:$N,'Source 2025'!$B:$B,$A60,'Source 2025'!$A:$A,"Amount (NIS)")+SUMIFS('Source 2025'!$S:$S,'Source 2025'!$B:$B,$A60,'Source 2025'!$A:$A,"Amount (NIS)")+SUMIFS('Source 2025'!$U:$U,'Source 2025'!$B:$B,$A60,'Source 2025'!$A:$A,"Amount (NIS)")+SUMIFS('Source 2025'!$D:$D,'Source 2025'!$B:$B,$A60,'Source 2025'!$A:$A,"Amount (NIS)")+SUMIFS('Source 2025'!$E:$E,'Source 2025'!$B:$B,$A60,'Source 2025'!$A:$A,"Amount (NIS)")+SUMIFS('Source 2025'!$G:$G,'Source 2025'!$B:$B,$A60,'Source 2025'!$A:$A,"Amount (NIS)")</f>
        <v>14703.8</v>
      </c>
      <c r="I60" s="9" t="n">
        <f aca="false">SUMIFS('Source 2026'!$F:$F,'Source 2026'!$B:$B,$A60,'Source 2026'!$A:$A,"Amount (NIS)")+SUMIFS('Source 2026'!$H:$H,'Source 2026'!$B:$B,$A60,'Source 2026'!$A:$A,"Amount (NIS)")+SUMIFS('Source 2026'!$M:$M,'Source 2026'!$B:$B,$A60,'Source 2026'!$A:$A,"Amount (NIS)")+SUMIFS('Source 2026'!$N:$N,'Source 2026'!$B:$B,$A60,'Source 2026'!$A:$A,"Amount (NIS)")+SUMIFS('Source 2026'!$S:$S,'Source 2026'!$B:$B,$A60,'Source 2026'!$A:$A,"Amount (NIS)")+SUMIFS('Source 2026'!$U:$U,'Source 2026'!$B:$B,$A60,'Source 2026'!$A:$A,"Amount (NIS)")+SUMIFS('Source 2026'!$D:$D,'Source 2026'!$B:$B,$A60,'Source 2026'!$A:$A,"Amount (NIS)")+SUMIFS('Source 2026'!$E:$E,'Source 2026'!$B:$B,$A60,'Source 2026'!$A:$A,"Amount (NIS)")+SUMIFS('Source 2026'!$G:$G,'Source 2026'!$B:$B,$A60,'Source 2026'!$A:$A,"Amount (NIS)")</f>
        <v>9467.1</v>
      </c>
      <c r="J60" s="9" t="n">
        <f aca="false">I60*$J$5</f>
        <v>11958.4421052632</v>
      </c>
      <c r="K60" s="9" t="n">
        <f aca="false">J60-H60</f>
        <v>-2745.35789473684</v>
      </c>
      <c r="L60" s="11" t="n">
        <f aca="false">IF(AND(H60=0,J60=0),0,IF(H60=0,"New",(J60-H60)/H60))</f>
        <v>-0.186710775087858</v>
      </c>
    </row>
    <row r="61" customFormat="false" ht="15" hidden="false" customHeight="true" outlineLevel="0" collapsed="false">
      <c r="A61" s="8" t="s">
        <v>130</v>
      </c>
      <c r="B61" s="8" t="str">
        <f aca="false">IFERROR(INDEX('Source 2026'!$C:$C,MATCH($A61,'Source 2026'!$B:$B,0)),IFERROR(INDEX('Source 2025'!$C:$C,MATCH($A61,'Source 2025'!$B:$B,0)),""))</f>
        <v>Lמפר.אצבע סיליק. ליבל.זוג</v>
      </c>
      <c r="C61" s="9" t="n">
        <f aca="false">SUMIFS('Source 2025'!$F:$F,'Source 2025'!$B:$B,$A61,'Source 2025'!$A:$A,"Quantity (units)")+SUMIFS('Source 2025'!$H:$H,'Source 2025'!$B:$B,$A61,'Source 2025'!$A:$A,"Quantity (units)")+SUMIFS('Source 2025'!$M:$M,'Source 2025'!$B:$B,$A61,'Source 2025'!$A:$A,"Quantity (units)")+SUMIFS('Source 2025'!$N:$N,'Source 2025'!$B:$B,$A61,'Source 2025'!$A:$A,"Quantity (units)")+SUMIFS('Source 2025'!$S:$S,'Source 2025'!$B:$B,$A61,'Source 2025'!$A:$A,"Quantity (units)")+SUMIFS('Source 2025'!$U:$U,'Source 2025'!$B:$B,$A61,'Source 2025'!$A:$A,"Quantity (units)")+SUMIFS('Source 2025'!$D:$D,'Source 2025'!$B:$B,$A61,'Source 2025'!$A:$A,"Quantity (units)")+SUMIFS('Source 2025'!$E:$E,'Source 2025'!$B:$B,$A61,'Source 2025'!$A:$A,"Quantity (units)")+SUMIFS('Source 2025'!$G:$G,'Source 2025'!$B:$B,$A61,'Source 2025'!$A:$A,"Quantity (units)")</f>
        <v>1030</v>
      </c>
      <c r="D61" s="9" t="n">
        <f aca="false">SUMIFS('Source 2026'!$F:$F,'Source 2026'!$B:$B,$A61,'Source 2026'!$A:$A,"Quantity (units)")+SUMIFS('Source 2026'!$H:$H,'Source 2026'!$B:$B,$A61,'Source 2026'!$A:$A,"Quantity (units)")+SUMIFS('Source 2026'!$M:$M,'Source 2026'!$B:$B,$A61,'Source 2026'!$A:$A,"Quantity (units)")+SUMIFS('Source 2026'!$N:$N,'Source 2026'!$B:$B,$A61,'Source 2026'!$A:$A,"Quantity (units)")+SUMIFS('Source 2026'!$S:$S,'Source 2026'!$B:$B,$A61,'Source 2026'!$A:$A,"Quantity (units)")+SUMIFS('Source 2026'!$U:$U,'Source 2026'!$B:$B,$A61,'Source 2026'!$A:$A,"Quantity (units)")+SUMIFS('Source 2026'!$D:$D,'Source 2026'!$B:$B,$A61,'Source 2026'!$A:$A,"Quantity (units)")+SUMIFS('Source 2026'!$E:$E,'Source 2026'!$B:$B,$A61,'Source 2026'!$A:$A,"Quantity (units)")+SUMIFS('Source 2026'!$G:$G,'Source 2026'!$B:$B,$A61,'Source 2026'!$A:$A,"Quantity (units)")</f>
        <v>663</v>
      </c>
      <c r="E61" s="9" t="n">
        <f aca="false">D61*$J$5</f>
        <v>837.473684210526</v>
      </c>
      <c r="F61" s="9" t="n">
        <f aca="false">E61-C61</f>
        <v>-192.526315789474</v>
      </c>
      <c r="G61" s="11" t="n">
        <f aca="false">IF(AND(C61=0,E61=0),0,IF(C61=0,"New",(E61-C61)/C61))</f>
        <v>-0.186918753193664</v>
      </c>
      <c r="H61" s="9" t="n">
        <f aca="false">SUMIFS('Source 2025'!$F:$F,'Source 2025'!$B:$B,$A61,'Source 2025'!$A:$A,"Amount (NIS)")+SUMIFS('Source 2025'!$H:$H,'Source 2025'!$B:$B,$A61,'Source 2025'!$A:$A,"Amount (NIS)")+SUMIFS('Source 2025'!$M:$M,'Source 2025'!$B:$B,$A61,'Source 2025'!$A:$A,"Amount (NIS)")+SUMIFS('Source 2025'!$N:$N,'Source 2025'!$B:$B,$A61,'Source 2025'!$A:$A,"Amount (NIS)")+SUMIFS('Source 2025'!$S:$S,'Source 2025'!$B:$B,$A61,'Source 2025'!$A:$A,"Amount (NIS)")+SUMIFS('Source 2025'!$U:$U,'Source 2025'!$B:$B,$A61,'Source 2025'!$A:$A,"Amount (NIS)")+SUMIFS('Source 2025'!$D:$D,'Source 2025'!$B:$B,$A61,'Source 2025'!$A:$A,"Amount (NIS)")+SUMIFS('Source 2025'!$E:$E,'Source 2025'!$B:$B,$A61,'Source 2025'!$A:$A,"Amount (NIS)")+SUMIFS('Source 2025'!$G:$G,'Source 2025'!$B:$B,$A61,'Source 2025'!$A:$A,"Amount (NIS)")</f>
        <v>14055.4</v>
      </c>
      <c r="I61" s="9" t="n">
        <f aca="false">SUMIFS('Source 2026'!$F:$F,'Source 2026'!$B:$B,$A61,'Source 2026'!$A:$A,"Amount (NIS)")+SUMIFS('Source 2026'!$H:$H,'Source 2026'!$B:$B,$A61,'Source 2026'!$A:$A,"Amount (NIS)")+SUMIFS('Source 2026'!$M:$M,'Source 2026'!$B:$B,$A61,'Source 2026'!$A:$A,"Amount (NIS)")+SUMIFS('Source 2026'!$N:$N,'Source 2026'!$B:$B,$A61,'Source 2026'!$A:$A,"Amount (NIS)")+SUMIFS('Source 2026'!$S:$S,'Source 2026'!$B:$B,$A61,'Source 2026'!$A:$A,"Amount (NIS)")+SUMIFS('Source 2026'!$U:$U,'Source 2026'!$B:$B,$A61,'Source 2026'!$A:$A,"Amount (NIS)")+SUMIFS('Source 2026'!$D:$D,'Source 2026'!$B:$B,$A61,'Source 2026'!$A:$A,"Amount (NIS)")+SUMIFS('Source 2026'!$E:$E,'Source 2026'!$B:$B,$A61,'Source 2026'!$A:$A,"Amount (NIS)")+SUMIFS('Source 2026'!$G:$G,'Source 2026'!$B:$B,$A61,'Source 2026'!$A:$A,"Amount (NIS)")</f>
        <v>9084.2</v>
      </c>
      <c r="J61" s="9" t="n">
        <f aca="false">I61*$J$5</f>
        <v>11474.7789473684</v>
      </c>
      <c r="K61" s="9" t="n">
        <f aca="false">J61-H61</f>
        <v>-2580.62105263158</v>
      </c>
      <c r="L61" s="11" t="n">
        <f aca="false">IF(AND(H61=0,J61=0),0,IF(H61=0,"New",(J61-H61)/H61))</f>
        <v>-0.183603529791509</v>
      </c>
    </row>
    <row r="62" customFormat="false" ht="15" hidden="false" customHeight="true" outlineLevel="0" collapsed="false">
      <c r="A62" s="8" t="s">
        <v>131</v>
      </c>
      <c r="B62" s="8" t="str">
        <f aca="false">IFERROR(INDEX('Source 2026'!$C:$C,MATCH($A62,'Source 2026'!$B:$B,0)),IFERROR(INDEX('Source 2025'!$C:$C,MATCH($A62,'Source 2025'!$B:$B,0)),""))</f>
        <v>S-L אצבעון מסיליקון יחידה</v>
      </c>
      <c r="C62" s="9" t="n">
        <f aca="false">SUMIFS('Source 2025'!$F:$F,'Source 2025'!$B:$B,$A62,'Source 2025'!$A:$A,"Quantity (units)")+SUMIFS('Source 2025'!$H:$H,'Source 2025'!$B:$B,$A62,'Source 2025'!$A:$A,"Quantity (units)")+SUMIFS('Source 2025'!$M:$M,'Source 2025'!$B:$B,$A62,'Source 2025'!$A:$A,"Quantity (units)")+SUMIFS('Source 2025'!$N:$N,'Source 2025'!$B:$B,$A62,'Source 2025'!$A:$A,"Quantity (units)")+SUMIFS('Source 2025'!$S:$S,'Source 2025'!$B:$B,$A62,'Source 2025'!$A:$A,"Quantity (units)")+SUMIFS('Source 2025'!$U:$U,'Source 2025'!$B:$B,$A62,'Source 2025'!$A:$A,"Quantity (units)")+SUMIFS('Source 2025'!$D:$D,'Source 2025'!$B:$B,$A62,'Source 2025'!$A:$A,"Quantity (units)")+SUMIFS('Source 2025'!$E:$E,'Source 2025'!$B:$B,$A62,'Source 2025'!$A:$A,"Quantity (units)")+SUMIFS('Source 2025'!$G:$G,'Source 2025'!$B:$B,$A62,'Source 2025'!$A:$A,"Quantity (units)")</f>
        <v>743</v>
      </c>
      <c r="D62" s="9" t="n">
        <f aca="false">SUMIFS('Source 2026'!$F:$F,'Source 2026'!$B:$B,$A62,'Source 2026'!$A:$A,"Quantity (units)")+SUMIFS('Source 2026'!$H:$H,'Source 2026'!$B:$B,$A62,'Source 2026'!$A:$A,"Quantity (units)")+SUMIFS('Source 2026'!$M:$M,'Source 2026'!$B:$B,$A62,'Source 2026'!$A:$A,"Quantity (units)")+SUMIFS('Source 2026'!$N:$N,'Source 2026'!$B:$B,$A62,'Source 2026'!$A:$A,"Quantity (units)")+SUMIFS('Source 2026'!$S:$S,'Source 2026'!$B:$B,$A62,'Source 2026'!$A:$A,"Quantity (units)")+SUMIFS('Source 2026'!$U:$U,'Source 2026'!$B:$B,$A62,'Source 2026'!$A:$A,"Quantity (units)")+SUMIFS('Source 2026'!$D:$D,'Source 2026'!$B:$B,$A62,'Source 2026'!$A:$A,"Quantity (units)")+SUMIFS('Source 2026'!$E:$E,'Source 2026'!$B:$B,$A62,'Source 2026'!$A:$A,"Quantity (units)")+SUMIFS('Source 2026'!$G:$G,'Source 2026'!$B:$B,$A62,'Source 2026'!$A:$A,"Quantity (units)")</f>
        <v>534</v>
      </c>
      <c r="E62" s="9" t="n">
        <f aca="false">D62*$J$5</f>
        <v>674.526315789474</v>
      </c>
      <c r="F62" s="9" t="n">
        <f aca="false">E62-C62</f>
        <v>-68.4736842105264</v>
      </c>
      <c r="G62" s="11" t="n">
        <f aca="false">IF(AND(C62=0,E62=0),0,IF(C62=0,"New",(E62-C62)/C62))</f>
        <v>-0.0921583905929022</v>
      </c>
      <c r="H62" s="9" t="n">
        <f aca="false">SUMIFS('Source 2025'!$F:$F,'Source 2025'!$B:$B,$A62,'Source 2025'!$A:$A,"Amount (NIS)")+SUMIFS('Source 2025'!$H:$H,'Source 2025'!$B:$B,$A62,'Source 2025'!$A:$A,"Amount (NIS)")+SUMIFS('Source 2025'!$M:$M,'Source 2025'!$B:$B,$A62,'Source 2025'!$A:$A,"Amount (NIS)")+SUMIFS('Source 2025'!$N:$N,'Source 2025'!$B:$B,$A62,'Source 2025'!$A:$A,"Amount (NIS)")+SUMIFS('Source 2025'!$S:$S,'Source 2025'!$B:$B,$A62,'Source 2025'!$A:$A,"Amount (NIS)")+SUMIFS('Source 2025'!$U:$U,'Source 2025'!$B:$B,$A62,'Source 2025'!$A:$A,"Amount (NIS)")+SUMIFS('Source 2025'!$D:$D,'Source 2025'!$B:$B,$A62,'Source 2025'!$A:$A,"Amount (NIS)")+SUMIFS('Source 2025'!$E:$E,'Source 2025'!$B:$B,$A62,'Source 2025'!$A:$A,"Amount (NIS)")+SUMIFS('Source 2025'!$G:$G,'Source 2025'!$B:$B,$A62,'Source 2025'!$A:$A,"Amount (NIS)")</f>
        <v>17723.1</v>
      </c>
      <c r="I62" s="9" t="n">
        <f aca="false">SUMIFS('Source 2026'!$F:$F,'Source 2026'!$B:$B,$A62,'Source 2026'!$A:$A,"Amount (NIS)")+SUMIFS('Source 2026'!$H:$H,'Source 2026'!$B:$B,$A62,'Source 2026'!$A:$A,"Amount (NIS)")+SUMIFS('Source 2026'!$M:$M,'Source 2026'!$B:$B,$A62,'Source 2026'!$A:$A,"Amount (NIS)")+SUMIFS('Source 2026'!$N:$N,'Source 2026'!$B:$B,$A62,'Source 2026'!$A:$A,"Amount (NIS)")+SUMIFS('Source 2026'!$S:$S,'Source 2026'!$B:$B,$A62,'Source 2026'!$A:$A,"Amount (NIS)")+SUMIFS('Source 2026'!$U:$U,'Source 2026'!$B:$B,$A62,'Source 2026'!$A:$A,"Amount (NIS)")+SUMIFS('Source 2026'!$D:$D,'Source 2026'!$B:$B,$A62,'Source 2026'!$A:$A,"Amount (NIS)")+SUMIFS('Source 2026'!$E:$E,'Source 2026'!$B:$B,$A62,'Source 2026'!$A:$A,"Amount (NIS)")+SUMIFS('Source 2026'!$G:$G,'Source 2026'!$B:$B,$A62,'Source 2026'!$A:$A,"Amount (NIS)")</f>
        <v>12831.2</v>
      </c>
      <c r="J62" s="9" t="n">
        <f aca="false">I62*$J$5</f>
        <v>16207.8315789474</v>
      </c>
      <c r="K62" s="9" t="n">
        <f aca="false">J62-H62</f>
        <v>-1515.26842105263</v>
      </c>
      <c r="L62" s="11" t="n">
        <f aca="false">IF(AND(H62=0,J62=0),0,IF(H62=0,"New",(J62-H62)/H62))</f>
        <v>-0.0854968047944564</v>
      </c>
    </row>
    <row r="63" customFormat="false" ht="15" hidden="false" customHeight="true" outlineLevel="0" collapsed="false">
      <c r="A63" s="8" t="s">
        <v>132</v>
      </c>
      <c r="B63" s="8" t="str">
        <f aca="false">IFERROR(INDEX('Source 2026'!$C:$C,MATCH($A63,'Source 2026'!$B:$B,0)),IFERROR(INDEX('Source 2025'!$C:$C,MATCH($A63,'Source 2025'!$B:$B,0)),""))</f>
        <v>למניעת שפשוף 5 יח</v>
      </c>
      <c r="C63" s="9" t="n">
        <f aca="false">SUMIFS('Source 2025'!$F:$F,'Source 2025'!$B:$B,$A63,'Source 2025'!$A:$A,"Quantity (units)")+SUMIFS('Source 2025'!$H:$H,'Source 2025'!$B:$B,$A63,'Source 2025'!$A:$A,"Quantity (units)")+SUMIFS('Source 2025'!$M:$M,'Source 2025'!$B:$B,$A63,'Source 2025'!$A:$A,"Quantity (units)")+SUMIFS('Source 2025'!$N:$N,'Source 2025'!$B:$B,$A63,'Source 2025'!$A:$A,"Quantity (units)")+SUMIFS('Source 2025'!$S:$S,'Source 2025'!$B:$B,$A63,'Source 2025'!$A:$A,"Quantity (units)")+SUMIFS('Source 2025'!$U:$U,'Source 2025'!$B:$B,$A63,'Source 2025'!$A:$A,"Quantity (units)")+SUMIFS('Source 2025'!$D:$D,'Source 2025'!$B:$B,$A63,'Source 2025'!$A:$A,"Quantity (units)")+SUMIFS('Source 2025'!$E:$E,'Source 2025'!$B:$B,$A63,'Source 2025'!$A:$A,"Quantity (units)")+SUMIFS('Source 2025'!$G:$G,'Source 2025'!$B:$B,$A63,'Source 2025'!$A:$A,"Quantity (units)")</f>
        <v>747</v>
      </c>
      <c r="D63" s="9" t="n">
        <f aca="false">SUMIFS('Source 2026'!$F:$F,'Source 2026'!$B:$B,$A63,'Source 2026'!$A:$A,"Quantity (units)")+SUMIFS('Source 2026'!$H:$H,'Source 2026'!$B:$B,$A63,'Source 2026'!$A:$A,"Quantity (units)")+SUMIFS('Source 2026'!$M:$M,'Source 2026'!$B:$B,$A63,'Source 2026'!$A:$A,"Quantity (units)")+SUMIFS('Source 2026'!$N:$N,'Source 2026'!$B:$B,$A63,'Source 2026'!$A:$A,"Quantity (units)")+SUMIFS('Source 2026'!$S:$S,'Source 2026'!$B:$B,$A63,'Source 2026'!$A:$A,"Quantity (units)")+SUMIFS('Source 2026'!$U:$U,'Source 2026'!$B:$B,$A63,'Source 2026'!$A:$A,"Quantity (units)")+SUMIFS('Source 2026'!$D:$D,'Source 2026'!$B:$B,$A63,'Source 2026'!$A:$A,"Quantity (units)")+SUMIFS('Source 2026'!$E:$E,'Source 2026'!$B:$B,$A63,'Source 2026'!$A:$A,"Quantity (units)")+SUMIFS('Source 2026'!$G:$G,'Source 2026'!$B:$B,$A63,'Source 2026'!$A:$A,"Quantity (units)")</f>
        <v>443</v>
      </c>
      <c r="E63" s="9" t="n">
        <f aca="false">D63*$J$5</f>
        <v>559.578947368421</v>
      </c>
      <c r="F63" s="9" t="n">
        <f aca="false">E63-C63</f>
        <v>-187.421052631579</v>
      </c>
      <c r="G63" s="11" t="n">
        <f aca="false">IF(AND(C63=0,E63=0),0,IF(C63=0,"New",(E63-C63)/C63))</f>
        <v>-0.250898330162756</v>
      </c>
      <c r="H63" s="9" t="n">
        <f aca="false">SUMIFS('Source 2025'!$F:$F,'Source 2025'!$B:$B,$A63,'Source 2025'!$A:$A,"Amount (NIS)")+SUMIFS('Source 2025'!$H:$H,'Source 2025'!$B:$B,$A63,'Source 2025'!$A:$A,"Amount (NIS)")+SUMIFS('Source 2025'!$M:$M,'Source 2025'!$B:$B,$A63,'Source 2025'!$A:$A,"Amount (NIS)")+SUMIFS('Source 2025'!$N:$N,'Source 2025'!$B:$B,$A63,'Source 2025'!$A:$A,"Amount (NIS)")+SUMIFS('Source 2025'!$S:$S,'Source 2025'!$B:$B,$A63,'Source 2025'!$A:$A,"Amount (NIS)")+SUMIFS('Source 2025'!$U:$U,'Source 2025'!$B:$B,$A63,'Source 2025'!$A:$A,"Amount (NIS)")+SUMIFS('Source 2025'!$D:$D,'Source 2025'!$B:$B,$A63,'Source 2025'!$A:$A,"Amount (NIS)")+SUMIFS('Source 2025'!$E:$E,'Source 2025'!$B:$B,$A63,'Source 2025'!$A:$A,"Amount (NIS)")+SUMIFS('Source 2025'!$G:$G,'Source 2025'!$B:$B,$A63,'Source 2025'!$A:$A,"Amount (NIS)")</f>
        <v>12637.2</v>
      </c>
      <c r="I63" s="9" t="n">
        <f aca="false">SUMIFS('Source 2026'!$F:$F,'Source 2026'!$B:$B,$A63,'Source 2026'!$A:$A,"Amount (NIS)")+SUMIFS('Source 2026'!$H:$H,'Source 2026'!$B:$B,$A63,'Source 2026'!$A:$A,"Amount (NIS)")+SUMIFS('Source 2026'!$M:$M,'Source 2026'!$B:$B,$A63,'Source 2026'!$A:$A,"Amount (NIS)")+SUMIFS('Source 2026'!$N:$N,'Source 2026'!$B:$B,$A63,'Source 2026'!$A:$A,"Amount (NIS)")+SUMIFS('Source 2026'!$S:$S,'Source 2026'!$B:$B,$A63,'Source 2026'!$A:$A,"Amount (NIS)")+SUMIFS('Source 2026'!$U:$U,'Source 2026'!$B:$B,$A63,'Source 2026'!$A:$A,"Amount (NIS)")+SUMIFS('Source 2026'!$D:$D,'Source 2026'!$B:$B,$A63,'Source 2026'!$A:$A,"Amount (NIS)")+SUMIFS('Source 2026'!$E:$E,'Source 2026'!$B:$B,$A63,'Source 2026'!$A:$A,"Amount (NIS)")+SUMIFS('Source 2026'!$G:$G,'Source 2026'!$B:$B,$A63,'Source 2026'!$A:$A,"Amount (NIS)")</f>
        <v>7781.1</v>
      </c>
      <c r="J63" s="9" t="n">
        <f aca="false">I63*$J$5</f>
        <v>9828.75789473684</v>
      </c>
      <c r="K63" s="9" t="n">
        <f aca="false">J63-H63</f>
        <v>-2808.44210526316</v>
      </c>
      <c r="L63" s="11" t="n">
        <f aca="false">IF(AND(H63=0,J63=0),0,IF(H63=0,"New",(J63-H63)/H63))</f>
        <v>-0.222236104933305</v>
      </c>
    </row>
    <row r="64" customFormat="false" ht="15" hidden="false" customHeight="true" outlineLevel="0" collapsed="false">
      <c r="A64" s="8" t="s">
        <v>133</v>
      </c>
      <c r="B64" s="8" t="str">
        <f aca="false">IFERROR(INDEX('Source 2026'!$C:$C,MATCH($A64,'Source 2026'!$B:$B,0)),IFERROR(INDEX('Source 2025'!$C:$C,MATCH($A64,'Source 2025'!$B:$B,0)),""))</f>
        <v>L סד לילה שחור לבוהן שמאל</v>
      </c>
      <c r="C64" s="9" t="n">
        <f aca="false">SUMIFS('Source 2025'!$F:$F,'Source 2025'!$B:$B,$A64,'Source 2025'!$A:$A,"Quantity (units)")+SUMIFS('Source 2025'!$H:$H,'Source 2025'!$B:$B,$A64,'Source 2025'!$A:$A,"Quantity (units)")+SUMIFS('Source 2025'!$M:$M,'Source 2025'!$B:$B,$A64,'Source 2025'!$A:$A,"Quantity (units)")+SUMIFS('Source 2025'!$N:$N,'Source 2025'!$B:$B,$A64,'Source 2025'!$A:$A,"Quantity (units)")+SUMIFS('Source 2025'!$S:$S,'Source 2025'!$B:$B,$A64,'Source 2025'!$A:$A,"Quantity (units)")+SUMIFS('Source 2025'!$U:$U,'Source 2025'!$B:$B,$A64,'Source 2025'!$A:$A,"Quantity (units)")+SUMIFS('Source 2025'!$D:$D,'Source 2025'!$B:$B,$A64,'Source 2025'!$A:$A,"Quantity (units)")+SUMIFS('Source 2025'!$E:$E,'Source 2025'!$B:$B,$A64,'Source 2025'!$A:$A,"Quantity (units)")+SUMIFS('Source 2025'!$G:$G,'Source 2025'!$B:$B,$A64,'Source 2025'!$A:$A,"Quantity (units)")</f>
        <v>102</v>
      </c>
      <c r="D64" s="9" t="n">
        <f aca="false">SUMIFS('Source 2026'!$F:$F,'Source 2026'!$B:$B,$A64,'Source 2026'!$A:$A,"Quantity (units)")+SUMIFS('Source 2026'!$H:$H,'Source 2026'!$B:$B,$A64,'Source 2026'!$A:$A,"Quantity (units)")+SUMIFS('Source 2026'!$M:$M,'Source 2026'!$B:$B,$A64,'Source 2026'!$A:$A,"Quantity (units)")+SUMIFS('Source 2026'!$N:$N,'Source 2026'!$B:$B,$A64,'Source 2026'!$A:$A,"Quantity (units)")+SUMIFS('Source 2026'!$S:$S,'Source 2026'!$B:$B,$A64,'Source 2026'!$A:$A,"Quantity (units)")+SUMIFS('Source 2026'!$U:$U,'Source 2026'!$B:$B,$A64,'Source 2026'!$A:$A,"Quantity (units)")+SUMIFS('Source 2026'!$D:$D,'Source 2026'!$B:$B,$A64,'Source 2026'!$A:$A,"Quantity (units)")+SUMIFS('Source 2026'!$E:$E,'Source 2026'!$B:$B,$A64,'Source 2026'!$A:$A,"Quantity (units)")+SUMIFS('Source 2026'!$G:$G,'Source 2026'!$B:$B,$A64,'Source 2026'!$A:$A,"Quantity (units)")</f>
        <v>33</v>
      </c>
      <c r="E64" s="9" t="n">
        <f aca="false">D64*$J$5</f>
        <v>41.6842105263158</v>
      </c>
      <c r="F64" s="9" t="n">
        <f aca="false">E64-C64</f>
        <v>-60.3157894736842</v>
      </c>
      <c r="G64" s="11" t="n">
        <f aca="false">IF(AND(C64=0,E64=0),0,IF(C64=0,"New",(E64-C64)/C64))</f>
        <v>-0.591331269349845</v>
      </c>
      <c r="H64" s="9" t="n">
        <f aca="false">SUMIFS('Source 2025'!$F:$F,'Source 2025'!$B:$B,$A64,'Source 2025'!$A:$A,"Amount (NIS)")+SUMIFS('Source 2025'!$H:$H,'Source 2025'!$B:$B,$A64,'Source 2025'!$A:$A,"Amount (NIS)")+SUMIFS('Source 2025'!$M:$M,'Source 2025'!$B:$B,$A64,'Source 2025'!$A:$A,"Amount (NIS)")+SUMIFS('Source 2025'!$N:$N,'Source 2025'!$B:$B,$A64,'Source 2025'!$A:$A,"Amount (NIS)")+SUMIFS('Source 2025'!$S:$S,'Source 2025'!$B:$B,$A64,'Source 2025'!$A:$A,"Amount (NIS)")+SUMIFS('Source 2025'!$U:$U,'Source 2025'!$B:$B,$A64,'Source 2025'!$A:$A,"Amount (NIS)")+SUMIFS('Source 2025'!$D:$D,'Source 2025'!$B:$B,$A64,'Source 2025'!$A:$A,"Amount (NIS)")+SUMIFS('Source 2025'!$E:$E,'Source 2025'!$B:$B,$A64,'Source 2025'!$A:$A,"Amount (NIS)")+SUMIFS('Source 2025'!$G:$G,'Source 2025'!$B:$B,$A64,'Source 2025'!$A:$A,"Amount (NIS)")</f>
        <v>7070.3</v>
      </c>
      <c r="I64" s="9" t="n">
        <f aca="false">SUMIFS('Source 2026'!$F:$F,'Source 2026'!$B:$B,$A64,'Source 2026'!$A:$A,"Amount (NIS)")+SUMIFS('Source 2026'!$H:$H,'Source 2026'!$B:$B,$A64,'Source 2026'!$A:$A,"Amount (NIS)")+SUMIFS('Source 2026'!$M:$M,'Source 2026'!$B:$B,$A64,'Source 2026'!$A:$A,"Amount (NIS)")+SUMIFS('Source 2026'!$N:$N,'Source 2026'!$B:$B,$A64,'Source 2026'!$A:$A,"Amount (NIS)")+SUMIFS('Source 2026'!$S:$S,'Source 2026'!$B:$B,$A64,'Source 2026'!$A:$A,"Amount (NIS)")+SUMIFS('Source 2026'!$U:$U,'Source 2026'!$B:$B,$A64,'Source 2026'!$A:$A,"Amount (NIS)")+SUMIFS('Source 2026'!$D:$D,'Source 2026'!$B:$B,$A64,'Source 2026'!$A:$A,"Amount (NIS)")+SUMIFS('Source 2026'!$E:$E,'Source 2026'!$B:$B,$A64,'Source 2026'!$A:$A,"Amount (NIS)")+SUMIFS('Source 2026'!$G:$G,'Source 2026'!$B:$B,$A64,'Source 2026'!$A:$A,"Amount (NIS)")</f>
        <v>2279.7</v>
      </c>
      <c r="J64" s="9" t="n">
        <f aca="false">I64*$J$5</f>
        <v>2879.62105263158</v>
      </c>
      <c r="K64" s="9" t="n">
        <f aca="false">J64-H64</f>
        <v>-4190.67894736842</v>
      </c>
      <c r="L64" s="11" t="n">
        <f aca="false">IF(AND(H64=0,J64=0),0,IF(H64=0,"New",(J64-H64)/H64))</f>
        <v>-0.592715860340922</v>
      </c>
    </row>
    <row r="65" customFormat="false" ht="15" hidden="false" customHeight="true" outlineLevel="0" collapsed="false">
      <c r="A65" s="8" t="s">
        <v>134</v>
      </c>
      <c r="B65" s="8" t="str">
        <f aca="false">IFERROR(INDEX('Source 2026'!$C:$C,MATCH($A65,'Source 2026'!$B:$B,0)),IFERROR(INDEX('Source 2025'!$C:$C,MATCH($A65,'Source 2025'!$B:$B,0)),""))</f>
        <v>סט פלסטרים נגד שפשופים</v>
      </c>
      <c r="C65" s="9" t="n">
        <f aca="false">SUMIFS('Source 2025'!$F:$F,'Source 2025'!$B:$B,$A65,'Source 2025'!$A:$A,"Quantity (units)")+SUMIFS('Source 2025'!$H:$H,'Source 2025'!$B:$B,$A65,'Source 2025'!$A:$A,"Quantity (units)")+SUMIFS('Source 2025'!$M:$M,'Source 2025'!$B:$B,$A65,'Source 2025'!$A:$A,"Quantity (units)")+SUMIFS('Source 2025'!$N:$N,'Source 2025'!$B:$B,$A65,'Source 2025'!$A:$A,"Quantity (units)")+SUMIFS('Source 2025'!$S:$S,'Source 2025'!$B:$B,$A65,'Source 2025'!$A:$A,"Quantity (units)")+SUMIFS('Source 2025'!$U:$U,'Source 2025'!$B:$B,$A65,'Source 2025'!$A:$A,"Quantity (units)")+SUMIFS('Source 2025'!$D:$D,'Source 2025'!$B:$B,$A65,'Source 2025'!$A:$A,"Quantity (units)")+SUMIFS('Source 2025'!$E:$E,'Source 2025'!$B:$B,$A65,'Source 2025'!$A:$A,"Quantity (units)")+SUMIFS('Source 2025'!$G:$G,'Source 2025'!$B:$B,$A65,'Source 2025'!$A:$A,"Quantity (units)")</f>
        <v>316</v>
      </c>
      <c r="D65" s="9" t="n">
        <f aca="false">SUMIFS('Source 2026'!$F:$F,'Source 2026'!$B:$B,$A65,'Source 2026'!$A:$A,"Quantity (units)")+SUMIFS('Source 2026'!$H:$H,'Source 2026'!$B:$B,$A65,'Source 2026'!$A:$A,"Quantity (units)")+SUMIFS('Source 2026'!$M:$M,'Source 2026'!$B:$B,$A65,'Source 2026'!$A:$A,"Quantity (units)")+SUMIFS('Source 2026'!$N:$N,'Source 2026'!$B:$B,$A65,'Source 2026'!$A:$A,"Quantity (units)")+SUMIFS('Source 2026'!$S:$S,'Source 2026'!$B:$B,$A65,'Source 2026'!$A:$A,"Quantity (units)")+SUMIFS('Source 2026'!$U:$U,'Source 2026'!$B:$B,$A65,'Source 2026'!$A:$A,"Quantity (units)")+SUMIFS('Source 2026'!$D:$D,'Source 2026'!$B:$B,$A65,'Source 2026'!$A:$A,"Quantity (units)")+SUMIFS('Source 2026'!$E:$E,'Source 2026'!$B:$B,$A65,'Source 2026'!$A:$A,"Quantity (units)")+SUMIFS('Source 2026'!$G:$G,'Source 2026'!$B:$B,$A65,'Source 2026'!$A:$A,"Quantity (units)")</f>
        <v>110</v>
      </c>
      <c r="E65" s="9" t="n">
        <f aca="false">D65*$J$5</f>
        <v>138.947368421053</v>
      </c>
      <c r="F65" s="9" t="n">
        <f aca="false">E65-C65</f>
        <v>-177.052631578947</v>
      </c>
      <c r="G65" s="11" t="n">
        <f aca="false">IF(AND(C65=0,E65=0),0,IF(C65=0,"New",(E65-C65)/C65))</f>
        <v>-0.560293137908061</v>
      </c>
      <c r="H65" s="9" t="n">
        <f aca="false">SUMIFS('Source 2025'!$F:$F,'Source 2025'!$B:$B,$A65,'Source 2025'!$A:$A,"Amount (NIS)")+SUMIFS('Source 2025'!$H:$H,'Source 2025'!$B:$B,$A65,'Source 2025'!$A:$A,"Amount (NIS)")+SUMIFS('Source 2025'!$M:$M,'Source 2025'!$B:$B,$A65,'Source 2025'!$A:$A,"Amount (NIS)")+SUMIFS('Source 2025'!$N:$N,'Source 2025'!$B:$B,$A65,'Source 2025'!$A:$A,"Amount (NIS)")+SUMIFS('Source 2025'!$S:$S,'Source 2025'!$B:$B,$A65,'Source 2025'!$A:$A,"Amount (NIS)")+SUMIFS('Source 2025'!$U:$U,'Source 2025'!$B:$B,$A65,'Source 2025'!$A:$A,"Amount (NIS)")+SUMIFS('Source 2025'!$D:$D,'Source 2025'!$B:$B,$A65,'Source 2025'!$A:$A,"Amount (NIS)")+SUMIFS('Source 2025'!$E:$E,'Source 2025'!$B:$B,$A65,'Source 2025'!$A:$A,"Amount (NIS)")+SUMIFS('Source 2025'!$G:$G,'Source 2025'!$B:$B,$A65,'Source 2025'!$A:$A,"Amount (NIS)")</f>
        <v>7117.5</v>
      </c>
      <c r="I65" s="9" t="n">
        <f aca="false">SUMIFS('Source 2026'!$F:$F,'Source 2026'!$B:$B,$A65,'Source 2026'!$A:$A,"Amount (NIS)")+SUMIFS('Source 2026'!$H:$H,'Source 2026'!$B:$B,$A65,'Source 2026'!$A:$A,"Amount (NIS)")+SUMIFS('Source 2026'!$M:$M,'Source 2026'!$B:$B,$A65,'Source 2026'!$A:$A,"Amount (NIS)")+SUMIFS('Source 2026'!$N:$N,'Source 2026'!$B:$B,$A65,'Source 2026'!$A:$A,"Amount (NIS)")+SUMIFS('Source 2026'!$S:$S,'Source 2026'!$B:$B,$A65,'Source 2026'!$A:$A,"Amount (NIS)")+SUMIFS('Source 2026'!$U:$U,'Source 2026'!$B:$B,$A65,'Source 2026'!$A:$A,"Amount (NIS)")+SUMIFS('Source 2026'!$D:$D,'Source 2026'!$B:$B,$A65,'Source 2026'!$A:$A,"Amount (NIS)")+SUMIFS('Source 2026'!$E:$E,'Source 2026'!$B:$B,$A65,'Source 2026'!$A:$A,"Amount (NIS)")+SUMIFS('Source 2026'!$G:$G,'Source 2026'!$B:$B,$A65,'Source 2026'!$A:$A,"Amount (NIS)")</f>
        <v>2439.4</v>
      </c>
      <c r="J65" s="9" t="n">
        <f aca="false">I65*$J$5</f>
        <v>3081.34736842105</v>
      </c>
      <c r="K65" s="9" t="n">
        <f aca="false">J65-H65</f>
        <v>-4036.15263157895</v>
      </c>
      <c r="L65" s="11" t="n">
        <f aca="false">IF(AND(H65=0,J65=0),0,IF(H65=0,"New",(J65-H65)/H65))</f>
        <v>-0.567074482835117</v>
      </c>
    </row>
    <row r="66" customFormat="false" ht="15" hidden="false" customHeight="true" outlineLevel="0" collapsed="false">
      <c r="A66" s="8" t="s">
        <v>135</v>
      </c>
      <c r="B66" s="8" t="str">
        <f aca="false">IFERROR(INDEX('Source 2026'!$C:$C,MATCH($A66,'Source 2026'!$B:$B,0)),IFERROR(INDEX('Source 2025'!$C:$C,MATCH($A66,'Source 2025'!$B:$B,0)),""))</f>
        <v>סד לש.כף יד ימין</v>
      </c>
      <c r="C66" s="9" t="n">
        <f aca="false">SUMIFS('Source 2025'!$F:$F,'Source 2025'!$B:$B,$A66,'Source 2025'!$A:$A,"Quantity (units)")+SUMIFS('Source 2025'!$H:$H,'Source 2025'!$B:$B,$A66,'Source 2025'!$A:$A,"Quantity (units)")+SUMIFS('Source 2025'!$M:$M,'Source 2025'!$B:$B,$A66,'Source 2025'!$A:$A,"Quantity (units)")+SUMIFS('Source 2025'!$N:$N,'Source 2025'!$B:$B,$A66,'Source 2025'!$A:$A,"Quantity (units)")+SUMIFS('Source 2025'!$S:$S,'Source 2025'!$B:$B,$A66,'Source 2025'!$A:$A,"Quantity (units)")+SUMIFS('Source 2025'!$U:$U,'Source 2025'!$B:$B,$A66,'Source 2025'!$A:$A,"Quantity (units)")+SUMIFS('Source 2025'!$D:$D,'Source 2025'!$B:$B,$A66,'Source 2025'!$A:$A,"Quantity (units)")+SUMIFS('Source 2025'!$E:$E,'Source 2025'!$B:$B,$A66,'Source 2025'!$A:$A,"Quantity (units)")+SUMIFS('Source 2025'!$G:$G,'Source 2025'!$B:$B,$A66,'Source 2025'!$A:$A,"Quantity (units)")</f>
        <v>413</v>
      </c>
      <c r="D66" s="9" t="n">
        <f aca="false">SUMIFS('Source 2026'!$F:$F,'Source 2026'!$B:$B,$A66,'Source 2026'!$A:$A,"Quantity (units)")+SUMIFS('Source 2026'!$H:$H,'Source 2026'!$B:$B,$A66,'Source 2026'!$A:$A,"Quantity (units)")+SUMIFS('Source 2026'!$M:$M,'Source 2026'!$B:$B,$A66,'Source 2026'!$A:$A,"Quantity (units)")+SUMIFS('Source 2026'!$N:$N,'Source 2026'!$B:$B,$A66,'Source 2026'!$A:$A,"Quantity (units)")+SUMIFS('Source 2026'!$S:$S,'Source 2026'!$B:$B,$A66,'Source 2026'!$A:$A,"Quantity (units)")+SUMIFS('Source 2026'!$U:$U,'Source 2026'!$B:$B,$A66,'Source 2026'!$A:$A,"Quantity (units)")+SUMIFS('Source 2026'!$D:$D,'Source 2026'!$B:$B,$A66,'Source 2026'!$A:$A,"Quantity (units)")+SUMIFS('Source 2026'!$E:$E,'Source 2026'!$B:$B,$A66,'Source 2026'!$A:$A,"Quantity (units)")+SUMIFS('Source 2026'!$G:$G,'Source 2026'!$B:$B,$A66,'Source 2026'!$A:$A,"Quantity (units)")</f>
        <v>280</v>
      </c>
      <c r="E66" s="9" t="n">
        <f aca="false">D66*$J$5</f>
        <v>353.684210526316</v>
      </c>
      <c r="F66" s="9" t="n">
        <f aca="false">E66-C66</f>
        <v>-59.3157894736842</v>
      </c>
      <c r="G66" s="11" t="n">
        <f aca="false">IF(AND(C66=0,E66=0),0,IF(C66=0,"New",(E66-C66)/C66))</f>
        <v>-0.143621766280107</v>
      </c>
      <c r="H66" s="9" t="n">
        <f aca="false">SUMIFS('Source 2025'!$F:$F,'Source 2025'!$B:$B,$A66,'Source 2025'!$A:$A,"Amount (NIS)")+SUMIFS('Source 2025'!$H:$H,'Source 2025'!$B:$B,$A66,'Source 2025'!$A:$A,"Amount (NIS)")+SUMIFS('Source 2025'!$M:$M,'Source 2025'!$B:$B,$A66,'Source 2025'!$A:$A,"Amount (NIS)")+SUMIFS('Source 2025'!$N:$N,'Source 2025'!$B:$B,$A66,'Source 2025'!$A:$A,"Amount (NIS)")+SUMIFS('Source 2025'!$S:$S,'Source 2025'!$B:$B,$A66,'Source 2025'!$A:$A,"Amount (NIS)")+SUMIFS('Source 2025'!$U:$U,'Source 2025'!$B:$B,$A66,'Source 2025'!$A:$A,"Amount (NIS)")+SUMIFS('Source 2025'!$D:$D,'Source 2025'!$B:$B,$A66,'Source 2025'!$A:$A,"Amount (NIS)")+SUMIFS('Source 2025'!$E:$E,'Source 2025'!$B:$B,$A66,'Source 2025'!$A:$A,"Amount (NIS)")+SUMIFS('Source 2025'!$G:$G,'Source 2025'!$B:$B,$A66,'Source 2025'!$A:$A,"Amount (NIS)")</f>
        <v>16528.7</v>
      </c>
      <c r="I66" s="9" t="n">
        <f aca="false">SUMIFS('Source 2026'!$F:$F,'Source 2026'!$B:$B,$A66,'Source 2026'!$A:$A,"Amount (NIS)")+SUMIFS('Source 2026'!$H:$H,'Source 2026'!$B:$B,$A66,'Source 2026'!$A:$A,"Amount (NIS)")+SUMIFS('Source 2026'!$M:$M,'Source 2026'!$B:$B,$A66,'Source 2026'!$A:$A,"Amount (NIS)")+SUMIFS('Source 2026'!$N:$N,'Source 2026'!$B:$B,$A66,'Source 2026'!$A:$A,"Amount (NIS)")+SUMIFS('Source 2026'!$S:$S,'Source 2026'!$B:$B,$A66,'Source 2026'!$A:$A,"Amount (NIS)")+SUMIFS('Source 2026'!$U:$U,'Source 2026'!$B:$B,$A66,'Source 2026'!$A:$A,"Amount (NIS)")+SUMIFS('Source 2026'!$D:$D,'Source 2026'!$B:$B,$A66,'Source 2026'!$A:$A,"Amount (NIS)")+SUMIFS('Source 2026'!$E:$E,'Source 2026'!$B:$B,$A66,'Source 2026'!$A:$A,"Amount (NIS)")+SUMIFS('Source 2026'!$G:$G,'Source 2026'!$B:$B,$A66,'Source 2026'!$A:$A,"Amount (NIS)")</f>
        <v>11920.6</v>
      </c>
      <c r="J66" s="9" t="n">
        <f aca="false">I66*$J$5</f>
        <v>15057.6</v>
      </c>
      <c r="K66" s="9" t="n">
        <f aca="false">J66-H66</f>
        <v>-1471.1</v>
      </c>
      <c r="L66" s="11" t="n">
        <f aca="false">IF(AND(H66=0,J66=0),0,IF(H66=0,"New",(J66-H66)/H66))</f>
        <v>-0.0890027648877407</v>
      </c>
    </row>
    <row r="67" customFormat="false" ht="15" hidden="false" customHeight="true" outlineLevel="0" collapsed="false">
      <c r="A67" s="8" t="s">
        <v>136</v>
      </c>
      <c r="B67" s="8" t="str">
        <f aca="false">IFERROR(INDEX('Source 2026'!$C:$C,MATCH($A67,'Source 2026'!$B:$B,0)),IFERROR(INDEX('Source 2025'!$C:$C,MATCH($A67,'Source 2025'!$B:$B,0)),""))</f>
        <v>L מגן מרפק רגיל לבן</v>
      </c>
      <c r="C67" s="9" t="n">
        <f aca="false">SUMIFS('Source 2025'!$F:$F,'Source 2025'!$B:$B,$A67,'Source 2025'!$A:$A,"Quantity (units)")+SUMIFS('Source 2025'!$H:$H,'Source 2025'!$B:$B,$A67,'Source 2025'!$A:$A,"Quantity (units)")+SUMIFS('Source 2025'!$M:$M,'Source 2025'!$B:$B,$A67,'Source 2025'!$A:$A,"Quantity (units)")+SUMIFS('Source 2025'!$N:$N,'Source 2025'!$B:$B,$A67,'Source 2025'!$A:$A,"Quantity (units)")+SUMIFS('Source 2025'!$S:$S,'Source 2025'!$B:$B,$A67,'Source 2025'!$A:$A,"Quantity (units)")+SUMIFS('Source 2025'!$U:$U,'Source 2025'!$B:$B,$A67,'Source 2025'!$A:$A,"Quantity (units)")+SUMIFS('Source 2025'!$D:$D,'Source 2025'!$B:$B,$A67,'Source 2025'!$A:$A,"Quantity (units)")+SUMIFS('Source 2025'!$E:$E,'Source 2025'!$B:$B,$A67,'Source 2025'!$A:$A,"Quantity (units)")+SUMIFS('Source 2025'!$G:$G,'Source 2025'!$B:$B,$A67,'Source 2025'!$A:$A,"Quantity (units)")</f>
        <v>472</v>
      </c>
      <c r="D67" s="9" t="n">
        <f aca="false">SUMIFS('Source 2026'!$F:$F,'Source 2026'!$B:$B,$A67,'Source 2026'!$A:$A,"Quantity (units)")+SUMIFS('Source 2026'!$H:$H,'Source 2026'!$B:$B,$A67,'Source 2026'!$A:$A,"Quantity (units)")+SUMIFS('Source 2026'!$M:$M,'Source 2026'!$B:$B,$A67,'Source 2026'!$A:$A,"Quantity (units)")+SUMIFS('Source 2026'!$N:$N,'Source 2026'!$B:$B,$A67,'Source 2026'!$A:$A,"Quantity (units)")+SUMIFS('Source 2026'!$S:$S,'Source 2026'!$B:$B,$A67,'Source 2026'!$A:$A,"Quantity (units)")+SUMIFS('Source 2026'!$U:$U,'Source 2026'!$B:$B,$A67,'Source 2026'!$A:$A,"Quantity (units)")+SUMIFS('Source 2026'!$D:$D,'Source 2026'!$B:$B,$A67,'Source 2026'!$A:$A,"Quantity (units)")+SUMIFS('Source 2026'!$E:$E,'Source 2026'!$B:$B,$A67,'Source 2026'!$A:$A,"Quantity (units)")+SUMIFS('Source 2026'!$G:$G,'Source 2026'!$B:$B,$A67,'Source 2026'!$A:$A,"Quantity (units)")</f>
        <v>330</v>
      </c>
      <c r="E67" s="9" t="n">
        <f aca="false">D67*$J$5</f>
        <v>416.842105263158</v>
      </c>
      <c r="F67" s="9" t="n">
        <f aca="false">E67-C67</f>
        <v>-55.1578947368421</v>
      </c>
      <c r="G67" s="11" t="n">
        <f aca="false">IF(AND(C67=0,E67=0),0,IF(C67=0,"New",(E67-C67)/C67))</f>
        <v>-0.11685994647636</v>
      </c>
      <c r="H67" s="9" t="n">
        <f aca="false">SUMIFS('Source 2025'!$F:$F,'Source 2025'!$B:$B,$A67,'Source 2025'!$A:$A,"Amount (NIS)")+SUMIFS('Source 2025'!$H:$H,'Source 2025'!$B:$B,$A67,'Source 2025'!$A:$A,"Amount (NIS)")+SUMIFS('Source 2025'!$M:$M,'Source 2025'!$B:$B,$A67,'Source 2025'!$A:$A,"Amount (NIS)")+SUMIFS('Source 2025'!$N:$N,'Source 2025'!$B:$B,$A67,'Source 2025'!$A:$A,"Amount (NIS)")+SUMIFS('Source 2025'!$S:$S,'Source 2025'!$B:$B,$A67,'Source 2025'!$A:$A,"Amount (NIS)")+SUMIFS('Source 2025'!$U:$U,'Source 2025'!$B:$B,$A67,'Source 2025'!$A:$A,"Amount (NIS)")+SUMIFS('Source 2025'!$D:$D,'Source 2025'!$B:$B,$A67,'Source 2025'!$A:$A,"Amount (NIS)")+SUMIFS('Source 2025'!$E:$E,'Source 2025'!$B:$B,$A67,'Source 2025'!$A:$A,"Amount (NIS)")+SUMIFS('Source 2025'!$G:$G,'Source 2025'!$B:$B,$A67,'Source 2025'!$A:$A,"Amount (NIS)")</f>
        <v>14014.6</v>
      </c>
      <c r="I67" s="9" t="n">
        <f aca="false">SUMIFS('Source 2026'!$F:$F,'Source 2026'!$B:$B,$A67,'Source 2026'!$A:$A,"Amount (NIS)")+SUMIFS('Source 2026'!$H:$H,'Source 2026'!$B:$B,$A67,'Source 2026'!$A:$A,"Amount (NIS)")+SUMIFS('Source 2026'!$M:$M,'Source 2026'!$B:$B,$A67,'Source 2026'!$A:$A,"Amount (NIS)")+SUMIFS('Source 2026'!$N:$N,'Source 2026'!$B:$B,$A67,'Source 2026'!$A:$A,"Amount (NIS)")+SUMIFS('Source 2026'!$S:$S,'Source 2026'!$B:$B,$A67,'Source 2026'!$A:$A,"Amount (NIS)")+SUMIFS('Source 2026'!$U:$U,'Source 2026'!$B:$B,$A67,'Source 2026'!$A:$A,"Amount (NIS)")+SUMIFS('Source 2026'!$D:$D,'Source 2026'!$B:$B,$A67,'Source 2026'!$A:$A,"Amount (NIS)")+SUMIFS('Source 2026'!$E:$E,'Source 2026'!$B:$B,$A67,'Source 2026'!$A:$A,"Amount (NIS)")+SUMIFS('Source 2026'!$G:$G,'Source 2026'!$B:$B,$A67,'Source 2026'!$A:$A,"Amount (NIS)")</f>
        <v>9637.3</v>
      </c>
      <c r="J67" s="9" t="n">
        <f aca="false">I67*$J$5</f>
        <v>12173.4315789474</v>
      </c>
      <c r="K67" s="9" t="n">
        <f aca="false">J67-H67</f>
        <v>-1841.16842105263</v>
      </c>
      <c r="L67" s="11" t="n">
        <f aca="false">IF(AND(H67=0,J67=0),0,IF(H67=0,"New",(J67-H67)/H67))</f>
        <v>-0.131375024692295</v>
      </c>
    </row>
    <row r="68" customFormat="false" ht="15" hidden="false" customHeight="true" outlineLevel="0" collapsed="false">
      <c r="A68" s="8" t="s">
        <v>137</v>
      </c>
      <c r="B68" s="8" t="str">
        <f aca="false">IFERROR(INDEX('Source 2026'!$C:$C,MATCH($A68,'Source 2026'!$B:$B,0)),IFERROR(INDEX('Source 2025'!$C:$C,MATCH($A68,'Source 2025'!$B:$B,0)),""))</f>
        <v>S ח.בטן לאחר ניתוח</v>
      </c>
      <c r="C68" s="9" t="n">
        <f aca="false">SUMIFS('Source 2025'!$F:$F,'Source 2025'!$B:$B,$A68,'Source 2025'!$A:$A,"Quantity (units)")+SUMIFS('Source 2025'!$H:$H,'Source 2025'!$B:$B,$A68,'Source 2025'!$A:$A,"Quantity (units)")+SUMIFS('Source 2025'!$M:$M,'Source 2025'!$B:$B,$A68,'Source 2025'!$A:$A,"Quantity (units)")+SUMIFS('Source 2025'!$N:$N,'Source 2025'!$B:$B,$A68,'Source 2025'!$A:$A,"Quantity (units)")+SUMIFS('Source 2025'!$S:$S,'Source 2025'!$B:$B,$A68,'Source 2025'!$A:$A,"Quantity (units)")+SUMIFS('Source 2025'!$U:$U,'Source 2025'!$B:$B,$A68,'Source 2025'!$A:$A,"Quantity (units)")+SUMIFS('Source 2025'!$D:$D,'Source 2025'!$B:$B,$A68,'Source 2025'!$A:$A,"Quantity (units)")+SUMIFS('Source 2025'!$E:$E,'Source 2025'!$B:$B,$A68,'Source 2025'!$A:$A,"Quantity (units)")+SUMIFS('Source 2025'!$G:$G,'Source 2025'!$B:$B,$A68,'Source 2025'!$A:$A,"Quantity (units)")</f>
        <v>88</v>
      </c>
      <c r="D68" s="9" t="n">
        <f aca="false">SUMIFS('Source 2026'!$F:$F,'Source 2026'!$B:$B,$A68,'Source 2026'!$A:$A,"Quantity (units)")+SUMIFS('Source 2026'!$H:$H,'Source 2026'!$B:$B,$A68,'Source 2026'!$A:$A,"Quantity (units)")+SUMIFS('Source 2026'!$M:$M,'Source 2026'!$B:$B,$A68,'Source 2026'!$A:$A,"Quantity (units)")+SUMIFS('Source 2026'!$N:$N,'Source 2026'!$B:$B,$A68,'Source 2026'!$A:$A,"Quantity (units)")+SUMIFS('Source 2026'!$S:$S,'Source 2026'!$B:$B,$A68,'Source 2026'!$A:$A,"Quantity (units)")+SUMIFS('Source 2026'!$U:$U,'Source 2026'!$B:$B,$A68,'Source 2026'!$A:$A,"Quantity (units)")+SUMIFS('Source 2026'!$D:$D,'Source 2026'!$B:$B,$A68,'Source 2026'!$A:$A,"Quantity (units)")+SUMIFS('Source 2026'!$E:$E,'Source 2026'!$B:$B,$A68,'Source 2026'!$A:$A,"Quantity (units)")+SUMIFS('Source 2026'!$G:$G,'Source 2026'!$B:$B,$A68,'Source 2026'!$A:$A,"Quantity (units)")</f>
        <v>44</v>
      </c>
      <c r="E68" s="9" t="n">
        <f aca="false">D68*$J$5</f>
        <v>55.5789473684211</v>
      </c>
      <c r="F68" s="9" t="n">
        <f aca="false">E68-C68</f>
        <v>-32.421052631579</v>
      </c>
      <c r="G68" s="11" t="n">
        <f aca="false">IF(AND(C68=0,E68=0),0,IF(C68=0,"New",(E68-C68)/C68))</f>
        <v>-0.368421052631579</v>
      </c>
      <c r="H68" s="9" t="n">
        <f aca="false">SUMIFS('Source 2025'!$F:$F,'Source 2025'!$B:$B,$A68,'Source 2025'!$A:$A,"Amount (NIS)")+SUMIFS('Source 2025'!$H:$H,'Source 2025'!$B:$B,$A68,'Source 2025'!$A:$A,"Amount (NIS)")+SUMIFS('Source 2025'!$M:$M,'Source 2025'!$B:$B,$A68,'Source 2025'!$A:$A,"Amount (NIS)")+SUMIFS('Source 2025'!$N:$N,'Source 2025'!$B:$B,$A68,'Source 2025'!$A:$A,"Amount (NIS)")+SUMIFS('Source 2025'!$S:$S,'Source 2025'!$B:$B,$A68,'Source 2025'!$A:$A,"Amount (NIS)")+SUMIFS('Source 2025'!$U:$U,'Source 2025'!$B:$B,$A68,'Source 2025'!$A:$A,"Amount (NIS)")+SUMIFS('Source 2025'!$D:$D,'Source 2025'!$B:$B,$A68,'Source 2025'!$A:$A,"Amount (NIS)")+SUMIFS('Source 2025'!$E:$E,'Source 2025'!$B:$B,$A68,'Source 2025'!$A:$A,"Amount (NIS)")+SUMIFS('Source 2025'!$G:$G,'Source 2025'!$B:$B,$A68,'Source 2025'!$A:$A,"Amount (NIS)")</f>
        <v>9183.1</v>
      </c>
      <c r="I68" s="9" t="n">
        <f aca="false">SUMIFS('Source 2026'!$F:$F,'Source 2026'!$B:$B,$A68,'Source 2026'!$A:$A,"Amount (NIS)")+SUMIFS('Source 2026'!$H:$H,'Source 2026'!$B:$B,$A68,'Source 2026'!$A:$A,"Amount (NIS)")+SUMIFS('Source 2026'!$M:$M,'Source 2026'!$B:$B,$A68,'Source 2026'!$A:$A,"Amount (NIS)")+SUMIFS('Source 2026'!$N:$N,'Source 2026'!$B:$B,$A68,'Source 2026'!$A:$A,"Amount (NIS)")+SUMIFS('Source 2026'!$S:$S,'Source 2026'!$B:$B,$A68,'Source 2026'!$A:$A,"Amount (NIS)")+SUMIFS('Source 2026'!$U:$U,'Source 2026'!$B:$B,$A68,'Source 2026'!$A:$A,"Amount (NIS)")+SUMIFS('Source 2026'!$D:$D,'Source 2026'!$B:$B,$A68,'Source 2026'!$A:$A,"Amount (NIS)")+SUMIFS('Source 2026'!$E:$E,'Source 2026'!$B:$B,$A68,'Source 2026'!$A:$A,"Amount (NIS)")+SUMIFS('Source 2026'!$G:$G,'Source 2026'!$B:$B,$A68,'Source 2026'!$A:$A,"Amount (NIS)")</f>
        <v>4844.5</v>
      </c>
      <c r="J68" s="9" t="n">
        <f aca="false">I68*$J$5</f>
        <v>6119.36842105263</v>
      </c>
      <c r="K68" s="9" t="n">
        <f aca="false">J68-H68</f>
        <v>-3063.73157894737</v>
      </c>
      <c r="L68" s="11" t="n">
        <f aca="false">IF(AND(H68=0,J68=0),0,IF(H68=0,"New",(J68-H68)/H68))</f>
        <v>-0.333627160648078</v>
      </c>
    </row>
    <row r="69" customFormat="false" ht="15" hidden="false" customHeight="true" outlineLevel="0" collapsed="false">
      <c r="A69" s="8" t="s">
        <v>138</v>
      </c>
      <c r="B69" s="8" t="str">
        <f aca="false">IFERROR(INDEX('Source 2026'!$C:$C,MATCH($A69,'Source 2026'!$B:$B,0)),IFERROR(INDEX('Source 2025'!$C:$C,MATCH($A69,'Source 2025'!$B:$B,0)),""))</f>
        <v>S-M חבק יד עם צמדןחום</v>
      </c>
      <c r="C69" s="9" t="n">
        <f aca="false">SUMIFS('Source 2025'!$F:$F,'Source 2025'!$B:$B,$A69,'Source 2025'!$A:$A,"Quantity (units)")+SUMIFS('Source 2025'!$H:$H,'Source 2025'!$B:$B,$A69,'Source 2025'!$A:$A,"Quantity (units)")+SUMIFS('Source 2025'!$M:$M,'Source 2025'!$B:$B,$A69,'Source 2025'!$A:$A,"Quantity (units)")+SUMIFS('Source 2025'!$N:$N,'Source 2025'!$B:$B,$A69,'Source 2025'!$A:$A,"Quantity (units)")+SUMIFS('Source 2025'!$S:$S,'Source 2025'!$B:$B,$A69,'Source 2025'!$A:$A,"Quantity (units)")+SUMIFS('Source 2025'!$U:$U,'Source 2025'!$B:$B,$A69,'Source 2025'!$A:$A,"Quantity (units)")+SUMIFS('Source 2025'!$D:$D,'Source 2025'!$B:$B,$A69,'Source 2025'!$A:$A,"Quantity (units)")+SUMIFS('Source 2025'!$E:$E,'Source 2025'!$B:$B,$A69,'Source 2025'!$A:$A,"Quantity (units)")+SUMIFS('Source 2025'!$G:$G,'Source 2025'!$B:$B,$A69,'Source 2025'!$A:$A,"Quantity (units)")</f>
        <v>185</v>
      </c>
      <c r="D69" s="9" t="n">
        <f aca="false">SUMIFS('Source 2026'!$F:$F,'Source 2026'!$B:$B,$A69,'Source 2026'!$A:$A,"Quantity (units)")+SUMIFS('Source 2026'!$H:$H,'Source 2026'!$B:$B,$A69,'Source 2026'!$A:$A,"Quantity (units)")+SUMIFS('Source 2026'!$M:$M,'Source 2026'!$B:$B,$A69,'Source 2026'!$A:$A,"Quantity (units)")+SUMIFS('Source 2026'!$N:$N,'Source 2026'!$B:$B,$A69,'Source 2026'!$A:$A,"Quantity (units)")+SUMIFS('Source 2026'!$S:$S,'Source 2026'!$B:$B,$A69,'Source 2026'!$A:$A,"Quantity (units)")+SUMIFS('Source 2026'!$U:$U,'Source 2026'!$B:$B,$A69,'Source 2026'!$A:$A,"Quantity (units)")+SUMIFS('Source 2026'!$D:$D,'Source 2026'!$B:$B,$A69,'Source 2026'!$A:$A,"Quantity (units)")+SUMIFS('Source 2026'!$E:$E,'Source 2026'!$B:$B,$A69,'Source 2026'!$A:$A,"Quantity (units)")+SUMIFS('Source 2026'!$G:$G,'Source 2026'!$B:$B,$A69,'Source 2026'!$A:$A,"Quantity (units)")</f>
        <v>69</v>
      </c>
      <c r="E69" s="9" t="n">
        <f aca="false">D69*$J$5</f>
        <v>87.1578947368421</v>
      </c>
      <c r="F69" s="9" t="n">
        <f aca="false">E69-C69</f>
        <v>-97.8421052631579</v>
      </c>
      <c r="G69" s="11" t="n">
        <f aca="false">IF(AND(C69=0,E69=0),0,IF(C69=0,"New",(E69-C69)/C69))</f>
        <v>-0.528876244665718</v>
      </c>
      <c r="H69" s="9" t="n">
        <f aca="false">SUMIFS('Source 2025'!$F:$F,'Source 2025'!$B:$B,$A69,'Source 2025'!$A:$A,"Amount (NIS)")+SUMIFS('Source 2025'!$H:$H,'Source 2025'!$B:$B,$A69,'Source 2025'!$A:$A,"Amount (NIS)")+SUMIFS('Source 2025'!$M:$M,'Source 2025'!$B:$B,$A69,'Source 2025'!$A:$A,"Amount (NIS)")+SUMIFS('Source 2025'!$N:$N,'Source 2025'!$B:$B,$A69,'Source 2025'!$A:$A,"Amount (NIS)")+SUMIFS('Source 2025'!$S:$S,'Source 2025'!$B:$B,$A69,'Source 2025'!$A:$A,"Amount (NIS)")+SUMIFS('Source 2025'!$U:$U,'Source 2025'!$B:$B,$A69,'Source 2025'!$A:$A,"Amount (NIS)")+SUMIFS('Source 2025'!$D:$D,'Source 2025'!$B:$B,$A69,'Source 2025'!$A:$A,"Amount (NIS)")+SUMIFS('Source 2025'!$E:$E,'Source 2025'!$B:$B,$A69,'Source 2025'!$A:$A,"Amount (NIS)")+SUMIFS('Source 2025'!$G:$G,'Source 2025'!$B:$B,$A69,'Source 2025'!$A:$A,"Amount (NIS)")</f>
        <v>6463.6</v>
      </c>
      <c r="I69" s="9" t="n">
        <f aca="false">SUMIFS('Source 2026'!$F:$F,'Source 2026'!$B:$B,$A69,'Source 2026'!$A:$A,"Amount (NIS)")+SUMIFS('Source 2026'!$H:$H,'Source 2026'!$B:$B,$A69,'Source 2026'!$A:$A,"Amount (NIS)")+SUMIFS('Source 2026'!$M:$M,'Source 2026'!$B:$B,$A69,'Source 2026'!$A:$A,"Amount (NIS)")+SUMIFS('Source 2026'!$N:$N,'Source 2026'!$B:$B,$A69,'Source 2026'!$A:$A,"Amount (NIS)")+SUMIFS('Source 2026'!$S:$S,'Source 2026'!$B:$B,$A69,'Source 2026'!$A:$A,"Amount (NIS)")+SUMIFS('Source 2026'!$U:$U,'Source 2026'!$B:$B,$A69,'Source 2026'!$A:$A,"Amount (NIS)")+SUMIFS('Source 2026'!$D:$D,'Source 2026'!$B:$B,$A69,'Source 2026'!$A:$A,"Amount (NIS)")+SUMIFS('Source 2026'!$E:$E,'Source 2026'!$B:$B,$A69,'Source 2026'!$A:$A,"Amount (NIS)")+SUMIFS('Source 2026'!$G:$G,'Source 2026'!$B:$B,$A69,'Source 2026'!$A:$A,"Amount (NIS)")</f>
        <v>2144.4</v>
      </c>
      <c r="J69" s="9" t="n">
        <f aca="false">I69*$J$5</f>
        <v>2708.71578947368</v>
      </c>
      <c r="K69" s="9" t="n">
        <f aca="false">J69-H69</f>
        <v>-3754.88421052632</v>
      </c>
      <c r="L69" s="11" t="n">
        <f aca="false">IF(AND(H69=0,J69=0),0,IF(H69=0,"New",(J69-H69)/H69))</f>
        <v>-0.580927688985444</v>
      </c>
    </row>
    <row r="70" customFormat="false" ht="15" hidden="false" customHeight="true" outlineLevel="0" collapsed="false">
      <c r="A70" s="8" t="s">
        <v>139</v>
      </c>
      <c r="B70" s="8" t="str">
        <f aca="false">IFERROR(INDEX('Source 2026'!$C:$C,MATCH($A70,'Source 2026'!$B:$B,0)),IFERROR(INDEX('Source 2025'!$C:$C,MATCH($A70,'Source 2025'!$B:$B,0)),""))</f>
        <v>S מגן קרסול עקב סגור+רצוע</v>
      </c>
      <c r="C70" s="9" t="n">
        <f aca="false">SUMIFS('Source 2025'!$F:$F,'Source 2025'!$B:$B,$A70,'Source 2025'!$A:$A,"Quantity (units)")+SUMIFS('Source 2025'!$H:$H,'Source 2025'!$B:$B,$A70,'Source 2025'!$A:$A,"Quantity (units)")+SUMIFS('Source 2025'!$M:$M,'Source 2025'!$B:$B,$A70,'Source 2025'!$A:$A,"Quantity (units)")+SUMIFS('Source 2025'!$N:$N,'Source 2025'!$B:$B,$A70,'Source 2025'!$A:$A,"Quantity (units)")+SUMIFS('Source 2025'!$S:$S,'Source 2025'!$B:$B,$A70,'Source 2025'!$A:$A,"Quantity (units)")+SUMIFS('Source 2025'!$U:$U,'Source 2025'!$B:$B,$A70,'Source 2025'!$A:$A,"Quantity (units)")+SUMIFS('Source 2025'!$D:$D,'Source 2025'!$B:$B,$A70,'Source 2025'!$A:$A,"Quantity (units)")+SUMIFS('Source 2025'!$E:$E,'Source 2025'!$B:$B,$A70,'Source 2025'!$A:$A,"Quantity (units)")+SUMIFS('Source 2025'!$G:$G,'Source 2025'!$B:$B,$A70,'Source 2025'!$A:$A,"Quantity (units)")</f>
        <v>164</v>
      </c>
      <c r="D70" s="9" t="n">
        <f aca="false">SUMIFS('Source 2026'!$F:$F,'Source 2026'!$B:$B,$A70,'Source 2026'!$A:$A,"Quantity (units)")+SUMIFS('Source 2026'!$H:$H,'Source 2026'!$B:$B,$A70,'Source 2026'!$A:$A,"Quantity (units)")+SUMIFS('Source 2026'!$M:$M,'Source 2026'!$B:$B,$A70,'Source 2026'!$A:$A,"Quantity (units)")+SUMIFS('Source 2026'!$N:$N,'Source 2026'!$B:$B,$A70,'Source 2026'!$A:$A,"Quantity (units)")+SUMIFS('Source 2026'!$S:$S,'Source 2026'!$B:$B,$A70,'Source 2026'!$A:$A,"Quantity (units)")+SUMIFS('Source 2026'!$U:$U,'Source 2026'!$B:$B,$A70,'Source 2026'!$A:$A,"Quantity (units)")+SUMIFS('Source 2026'!$D:$D,'Source 2026'!$B:$B,$A70,'Source 2026'!$A:$A,"Quantity (units)")+SUMIFS('Source 2026'!$E:$E,'Source 2026'!$B:$B,$A70,'Source 2026'!$A:$A,"Quantity (units)")+SUMIFS('Source 2026'!$G:$G,'Source 2026'!$B:$B,$A70,'Source 2026'!$A:$A,"Quantity (units)")</f>
        <v>99</v>
      </c>
      <c r="E70" s="9" t="n">
        <f aca="false">D70*$J$5</f>
        <v>125.052631578947</v>
      </c>
      <c r="F70" s="9" t="n">
        <f aca="false">E70-C70</f>
        <v>-38.9473684210526</v>
      </c>
      <c r="G70" s="11" t="n">
        <f aca="false">IF(AND(C70=0,E70=0),0,IF(C70=0,"New",(E70-C70)/C70))</f>
        <v>-0.237483953786906</v>
      </c>
      <c r="H70" s="9" t="n">
        <f aca="false">SUMIFS('Source 2025'!$F:$F,'Source 2025'!$B:$B,$A70,'Source 2025'!$A:$A,"Amount (NIS)")+SUMIFS('Source 2025'!$H:$H,'Source 2025'!$B:$B,$A70,'Source 2025'!$A:$A,"Amount (NIS)")+SUMIFS('Source 2025'!$M:$M,'Source 2025'!$B:$B,$A70,'Source 2025'!$A:$A,"Amount (NIS)")+SUMIFS('Source 2025'!$N:$N,'Source 2025'!$B:$B,$A70,'Source 2025'!$A:$A,"Amount (NIS)")+SUMIFS('Source 2025'!$S:$S,'Source 2025'!$B:$B,$A70,'Source 2025'!$A:$A,"Amount (NIS)")+SUMIFS('Source 2025'!$U:$U,'Source 2025'!$B:$B,$A70,'Source 2025'!$A:$A,"Amount (NIS)")+SUMIFS('Source 2025'!$D:$D,'Source 2025'!$B:$B,$A70,'Source 2025'!$A:$A,"Amount (NIS)")+SUMIFS('Source 2025'!$E:$E,'Source 2025'!$B:$B,$A70,'Source 2025'!$A:$A,"Amount (NIS)")+SUMIFS('Source 2025'!$G:$G,'Source 2025'!$B:$B,$A70,'Source 2025'!$A:$A,"Amount (NIS)")</f>
        <v>10827.4</v>
      </c>
      <c r="I70" s="9" t="n">
        <f aca="false">SUMIFS('Source 2026'!$F:$F,'Source 2026'!$B:$B,$A70,'Source 2026'!$A:$A,"Amount (NIS)")+SUMIFS('Source 2026'!$H:$H,'Source 2026'!$B:$B,$A70,'Source 2026'!$A:$A,"Amount (NIS)")+SUMIFS('Source 2026'!$M:$M,'Source 2026'!$B:$B,$A70,'Source 2026'!$A:$A,"Amount (NIS)")+SUMIFS('Source 2026'!$N:$N,'Source 2026'!$B:$B,$A70,'Source 2026'!$A:$A,"Amount (NIS)")+SUMIFS('Source 2026'!$S:$S,'Source 2026'!$B:$B,$A70,'Source 2026'!$A:$A,"Amount (NIS)")+SUMIFS('Source 2026'!$U:$U,'Source 2026'!$B:$B,$A70,'Source 2026'!$A:$A,"Amount (NIS)")+SUMIFS('Source 2026'!$D:$D,'Source 2026'!$B:$B,$A70,'Source 2026'!$A:$A,"Amount (NIS)")+SUMIFS('Source 2026'!$E:$E,'Source 2026'!$B:$B,$A70,'Source 2026'!$A:$A,"Amount (NIS)")+SUMIFS('Source 2026'!$G:$G,'Source 2026'!$B:$B,$A70,'Source 2026'!$A:$A,"Amount (NIS)")</f>
        <v>6552.7</v>
      </c>
      <c r="J70" s="9" t="n">
        <f aca="false">I70*$J$5</f>
        <v>8277.0947368421</v>
      </c>
      <c r="K70" s="9" t="n">
        <f aca="false">J70-H70</f>
        <v>-2550.3052631579</v>
      </c>
      <c r="L70" s="11" t="n">
        <f aca="false">IF(AND(H70=0,J70=0),0,IF(H70=0,"New",(J70-H70)/H70))</f>
        <v>-0.235541797953146</v>
      </c>
    </row>
    <row r="71" customFormat="false" ht="15" hidden="false" customHeight="true" outlineLevel="0" collapsed="false">
      <c r="A71" s="8" t="s">
        <v>140</v>
      </c>
      <c r="B71" s="8" t="str">
        <f aca="false">IFERROR(INDEX('Source 2026'!$C:$C,MATCH($A71,'Source 2026'!$B:$B,0)),IFERROR(INDEX('Source 2025'!$C:$C,MATCH($A71,'Source 2025'!$B:$B,0)),""))</f>
        <v>חגורת בטן קלה</v>
      </c>
      <c r="C71" s="9" t="n">
        <f aca="false">SUMIFS('Source 2025'!$F:$F,'Source 2025'!$B:$B,$A71,'Source 2025'!$A:$A,"Quantity (units)")+SUMIFS('Source 2025'!$H:$H,'Source 2025'!$B:$B,$A71,'Source 2025'!$A:$A,"Quantity (units)")+SUMIFS('Source 2025'!$M:$M,'Source 2025'!$B:$B,$A71,'Source 2025'!$A:$A,"Quantity (units)")+SUMIFS('Source 2025'!$N:$N,'Source 2025'!$B:$B,$A71,'Source 2025'!$A:$A,"Quantity (units)")+SUMIFS('Source 2025'!$S:$S,'Source 2025'!$B:$B,$A71,'Source 2025'!$A:$A,"Quantity (units)")+SUMIFS('Source 2025'!$U:$U,'Source 2025'!$B:$B,$A71,'Source 2025'!$A:$A,"Quantity (units)")+SUMIFS('Source 2025'!$D:$D,'Source 2025'!$B:$B,$A71,'Source 2025'!$A:$A,"Quantity (units)")+SUMIFS('Source 2025'!$E:$E,'Source 2025'!$B:$B,$A71,'Source 2025'!$A:$A,"Quantity (units)")+SUMIFS('Source 2025'!$G:$G,'Source 2025'!$B:$B,$A71,'Source 2025'!$A:$A,"Quantity (units)")</f>
        <v>224</v>
      </c>
      <c r="D71" s="9" t="n">
        <f aca="false">SUMIFS('Source 2026'!$F:$F,'Source 2026'!$B:$B,$A71,'Source 2026'!$A:$A,"Quantity (units)")+SUMIFS('Source 2026'!$H:$H,'Source 2026'!$B:$B,$A71,'Source 2026'!$A:$A,"Quantity (units)")+SUMIFS('Source 2026'!$M:$M,'Source 2026'!$B:$B,$A71,'Source 2026'!$A:$A,"Quantity (units)")+SUMIFS('Source 2026'!$N:$N,'Source 2026'!$B:$B,$A71,'Source 2026'!$A:$A,"Quantity (units)")+SUMIFS('Source 2026'!$S:$S,'Source 2026'!$B:$B,$A71,'Source 2026'!$A:$A,"Quantity (units)")+SUMIFS('Source 2026'!$U:$U,'Source 2026'!$B:$B,$A71,'Source 2026'!$A:$A,"Quantity (units)")+SUMIFS('Source 2026'!$D:$D,'Source 2026'!$B:$B,$A71,'Source 2026'!$A:$A,"Quantity (units)")+SUMIFS('Source 2026'!$E:$E,'Source 2026'!$B:$B,$A71,'Source 2026'!$A:$A,"Quantity (units)")+SUMIFS('Source 2026'!$G:$G,'Source 2026'!$B:$B,$A71,'Source 2026'!$A:$A,"Quantity (units)")</f>
        <v>161</v>
      </c>
      <c r="E71" s="9" t="n">
        <f aca="false">D71*$J$5</f>
        <v>203.368421052632</v>
      </c>
      <c r="F71" s="9" t="n">
        <f aca="false">E71-C71</f>
        <v>-20.6315789473684</v>
      </c>
      <c r="G71" s="11" t="n">
        <f aca="false">IF(AND(C71=0,E71=0),0,IF(C71=0,"New",(E71-C71)/C71))</f>
        <v>-0.0921052631578948</v>
      </c>
      <c r="H71" s="9" t="n">
        <f aca="false">SUMIFS('Source 2025'!$F:$F,'Source 2025'!$B:$B,$A71,'Source 2025'!$A:$A,"Amount (NIS)")+SUMIFS('Source 2025'!$H:$H,'Source 2025'!$B:$B,$A71,'Source 2025'!$A:$A,"Amount (NIS)")+SUMIFS('Source 2025'!$M:$M,'Source 2025'!$B:$B,$A71,'Source 2025'!$A:$A,"Amount (NIS)")+SUMIFS('Source 2025'!$N:$N,'Source 2025'!$B:$B,$A71,'Source 2025'!$A:$A,"Amount (NIS)")+SUMIFS('Source 2025'!$S:$S,'Source 2025'!$B:$B,$A71,'Source 2025'!$A:$A,"Amount (NIS)")+SUMIFS('Source 2025'!$U:$U,'Source 2025'!$B:$B,$A71,'Source 2025'!$A:$A,"Amount (NIS)")+SUMIFS('Source 2025'!$D:$D,'Source 2025'!$B:$B,$A71,'Source 2025'!$A:$A,"Amount (NIS)")+SUMIFS('Source 2025'!$E:$E,'Source 2025'!$B:$B,$A71,'Source 2025'!$A:$A,"Amount (NIS)")+SUMIFS('Source 2025'!$G:$G,'Source 2025'!$B:$B,$A71,'Source 2025'!$A:$A,"Amount (NIS)")</f>
        <v>14959.2</v>
      </c>
      <c r="I71" s="9" t="n">
        <f aca="false">SUMIFS('Source 2026'!$F:$F,'Source 2026'!$B:$B,$A71,'Source 2026'!$A:$A,"Amount (NIS)")+SUMIFS('Source 2026'!$H:$H,'Source 2026'!$B:$B,$A71,'Source 2026'!$A:$A,"Amount (NIS)")+SUMIFS('Source 2026'!$M:$M,'Source 2026'!$B:$B,$A71,'Source 2026'!$A:$A,"Amount (NIS)")+SUMIFS('Source 2026'!$N:$N,'Source 2026'!$B:$B,$A71,'Source 2026'!$A:$A,"Amount (NIS)")+SUMIFS('Source 2026'!$S:$S,'Source 2026'!$B:$B,$A71,'Source 2026'!$A:$A,"Amount (NIS)")+SUMIFS('Source 2026'!$U:$U,'Source 2026'!$B:$B,$A71,'Source 2026'!$A:$A,"Amount (NIS)")+SUMIFS('Source 2026'!$D:$D,'Source 2026'!$B:$B,$A71,'Source 2026'!$A:$A,"Amount (NIS)")+SUMIFS('Source 2026'!$E:$E,'Source 2026'!$B:$B,$A71,'Source 2026'!$A:$A,"Amount (NIS)")+SUMIFS('Source 2026'!$G:$G,'Source 2026'!$B:$B,$A71,'Source 2026'!$A:$A,"Amount (NIS)")</f>
        <v>10810.9</v>
      </c>
      <c r="J71" s="9" t="n">
        <f aca="false">I71*$J$5</f>
        <v>13655.8736842105</v>
      </c>
      <c r="K71" s="9" t="n">
        <f aca="false">J71-H71</f>
        <v>-1303.32631578948</v>
      </c>
      <c r="L71" s="11" t="n">
        <f aca="false">IF(AND(H71=0,J71=0),0,IF(H71=0,"New",(J71-H71)/H71))</f>
        <v>-0.0871254021464702</v>
      </c>
    </row>
    <row r="72" customFormat="false" ht="15" hidden="false" customHeight="true" outlineLevel="0" collapsed="false">
      <c r="A72" s="8" t="s">
        <v>141</v>
      </c>
      <c r="B72" s="8" t="str">
        <f aca="false">IFERROR(INDEX('Source 2026'!$C:$C,MATCH($A72,'Source 2026'!$B:$B,0)),IFERROR(INDEX('Source 2025'!$C:$C,MATCH($A72,'Source 2025'!$B:$B,0)),""))</f>
        <v>מטטרזלי סיליקון362</v>
      </c>
      <c r="C72" s="9" t="n">
        <f aca="false">SUMIFS('Source 2025'!$F:$F,'Source 2025'!$B:$B,$A72,'Source 2025'!$A:$A,"Quantity (units)")+SUMIFS('Source 2025'!$H:$H,'Source 2025'!$B:$B,$A72,'Source 2025'!$A:$A,"Quantity (units)")+SUMIFS('Source 2025'!$M:$M,'Source 2025'!$B:$B,$A72,'Source 2025'!$A:$A,"Quantity (units)")+SUMIFS('Source 2025'!$N:$N,'Source 2025'!$B:$B,$A72,'Source 2025'!$A:$A,"Quantity (units)")+SUMIFS('Source 2025'!$S:$S,'Source 2025'!$B:$B,$A72,'Source 2025'!$A:$A,"Quantity (units)")+SUMIFS('Source 2025'!$U:$U,'Source 2025'!$B:$B,$A72,'Source 2025'!$A:$A,"Quantity (units)")+SUMIFS('Source 2025'!$D:$D,'Source 2025'!$B:$B,$A72,'Source 2025'!$A:$A,"Quantity (units)")+SUMIFS('Source 2025'!$E:$E,'Source 2025'!$B:$B,$A72,'Source 2025'!$A:$A,"Quantity (units)")+SUMIFS('Source 2025'!$G:$G,'Source 2025'!$B:$B,$A72,'Source 2025'!$A:$A,"Quantity (units)")</f>
        <v>309</v>
      </c>
      <c r="D72" s="9" t="n">
        <f aca="false">SUMIFS('Source 2026'!$F:$F,'Source 2026'!$B:$B,$A72,'Source 2026'!$A:$A,"Quantity (units)")+SUMIFS('Source 2026'!$H:$H,'Source 2026'!$B:$B,$A72,'Source 2026'!$A:$A,"Quantity (units)")+SUMIFS('Source 2026'!$M:$M,'Source 2026'!$B:$B,$A72,'Source 2026'!$A:$A,"Quantity (units)")+SUMIFS('Source 2026'!$N:$N,'Source 2026'!$B:$B,$A72,'Source 2026'!$A:$A,"Quantity (units)")+SUMIFS('Source 2026'!$S:$S,'Source 2026'!$B:$B,$A72,'Source 2026'!$A:$A,"Quantity (units)")+SUMIFS('Source 2026'!$U:$U,'Source 2026'!$B:$B,$A72,'Source 2026'!$A:$A,"Quantity (units)")+SUMIFS('Source 2026'!$D:$D,'Source 2026'!$B:$B,$A72,'Source 2026'!$A:$A,"Quantity (units)")+SUMIFS('Source 2026'!$E:$E,'Source 2026'!$B:$B,$A72,'Source 2026'!$A:$A,"Quantity (units)")+SUMIFS('Source 2026'!$G:$G,'Source 2026'!$B:$B,$A72,'Source 2026'!$A:$A,"Quantity (units)")</f>
        <v>164</v>
      </c>
      <c r="E72" s="9" t="n">
        <f aca="false">D72*$J$5</f>
        <v>207.157894736842</v>
      </c>
      <c r="F72" s="9" t="n">
        <f aca="false">E72-C72</f>
        <v>-101.842105263158</v>
      </c>
      <c r="G72" s="11" t="n">
        <f aca="false">IF(AND(C72=0,E72=0),0,IF(C72=0,"New",(E72-C72)/C72))</f>
        <v>-0.329586101175268</v>
      </c>
      <c r="H72" s="9" t="n">
        <f aca="false">SUMIFS('Source 2025'!$F:$F,'Source 2025'!$B:$B,$A72,'Source 2025'!$A:$A,"Amount (NIS)")+SUMIFS('Source 2025'!$H:$H,'Source 2025'!$B:$B,$A72,'Source 2025'!$A:$A,"Amount (NIS)")+SUMIFS('Source 2025'!$M:$M,'Source 2025'!$B:$B,$A72,'Source 2025'!$A:$A,"Amount (NIS)")+SUMIFS('Source 2025'!$N:$N,'Source 2025'!$B:$B,$A72,'Source 2025'!$A:$A,"Amount (NIS)")+SUMIFS('Source 2025'!$S:$S,'Source 2025'!$B:$B,$A72,'Source 2025'!$A:$A,"Amount (NIS)")+SUMIFS('Source 2025'!$U:$U,'Source 2025'!$B:$B,$A72,'Source 2025'!$A:$A,"Amount (NIS)")+SUMIFS('Source 2025'!$D:$D,'Source 2025'!$B:$B,$A72,'Source 2025'!$A:$A,"Amount (NIS)")+SUMIFS('Source 2025'!$E:$E,'Source 2025'!$B:$B,$A72,'Source 2025'!$A:$A,"Amount (NIS)")+SUMIFS('Source 2025'!$G:$G,'Source 2025'!$B:$B,$A72,'Source 2025'!$A:$A,"Amount (NIS)")</f>
        <v>8696.6</v>
      </c>
      <c r="I72" s="9" t="n">
        <f aca="false">SUMIFS('Source 2026'!$F:$F,'Source 2026'!$B:$B,$A72,'Source 2026'!$A:$A,"Amount (NIS)")+SUMIFS('Source 2026'!$H:$H,'Source 2026'!$B:$B,$A72,'Source 2026'!$A:$A,"Amount (NIS)")+SUMIFS('Source 2026'!$M:$M,'Source 2026'!$B:$B,$A72,'Source 2026'!$A:$A,"Amount (NIS)")+SUMIFS('Source 2026'!$N:$N,'Source 2026'!$B:$B,$A72,'Source 2026'!$A:$A,"Amount (NIS)")+SUMIFS('Source 2026'!$S:$S,'Source 2026'!$B:$B,$A72,'Source 2026'!$A:$A,"Amount (NIS)")+SUMIFS('Source 2026'!$U:$U,'Source 2026'!$B:$B,$A72,'Source 2026'!$A:$A,"Amount (NIS)")+SUMIFS('Source 2026'!$D:$D,'Source 2026'!$B:$B,$A72,'Source 2026'!$A:$A,"Amount (NIS)")+SUMIFS('Source 2026'!$E:$E,'Source 2026'!$B:$B,$A72,'Source 2026'!$A:$A,"Amount (NIS)")+SUMIFS('Source 2026'!$G:$G,'Source 2026'!$B:$B,$A72,'Source 2026'!$A:$A,"Amount (NIS)")</f>
        <v>4670.1</v>
      </c>
      <c r="J72" s="9" t="n">
        <f aca="false">I72*$J$5</f>
        <v>5899.07368421053</v>
      </c>
      <c r="K72" s="9" t="n">
        <f aca="false">J72-H72</f>
        <v>-2797.52631578947</v>
      </c>
      <c r="L72" s="11" t="n">
        <f aca="false">IF(AND(H72=0,J72=0),0,IF(H72=0,"New",(J72-H72)/H72))</f>
        <v>-0.321680463145307</v>
      </c>
    </row>
    <row r="73" customFormat="false" ht="15" hidden="false" customHeight="true" outlineLevel="0" collapsed="false">
      <c r="A73" s="8" t="s">
        <v>142</v>
      </c>
      <c r="B73" s="8" t="str">
        <f aca="false">IFERROR(INDEX('Source 2026'!$C:$C,MATCH($A73,'Source 2026'!$B:$B,0)),IFERROR(INDEX('Source 2025'!$C:$C,MATCH($A73,'Source 2025'!$B:$B,0)),""))</f>
        <v>L מגן מרפק שחור</v>
      </c>
      <c r="C73" s="9" t="n">
        <f aca="false">SUMIFS('Source 2025'!$F:$F,'Source 2025'!$B:$B,$A73,'Source 2025'!$A:$A,"Quantity (units)")+SUMIFS('Source 2025'!$H:$H,'Source 2025'!$B:$B,$A73,'Source 2025'!$A:$A,"Quantity (units)")+SUMIFS('Source 2025'!$M:$M,'Source 2025'!$B:$B,$A73,'Source 2025'!$A:$A,"Quantity (units)")+SUMIFS('Source 2025'!$N:$N,'Source 2025'!$B:$B,$A73,'Source 2025'!$A:$A,"Quantity (units)")+SUMIFS('Source 2025'!$S:$S,'Source 2025'!$B:$B,$A73,'Source 2025'!$A:$A,"Quantity (units)")+SUMIFS('Source 2025'!$U:$U,'Source 2025'!$B:$B,$A73,'Source 2025'!$A:$A,"Quantity (units)")+SUMIFS('Source 2025'!$D:$D,'Source 2025'!$B:$B,$A73,'Source 2025'!$A:$A,"Quantity (units)")+SUMIFS('Source 2025'!$E:$E,'Source 2025'!$B:$B,$A73,'Source 2025'!$A:$A,"Quantity (units)")+SUMIFS('Source 2025'!$G:$G,'Source 2025'!$B:$B,$A73,'Source 2025'!$A:$A,"Quantity (units)")</f>
        <v>479</v>
      </c>
      <c r="D73" s="9" t="n">
        <f aca="false">SUMIFS('Source 2026'!$F:$F,'Source 2026'!$B:$B,$A73,'Source 2026'!$A:$A,"Quantity (units)")+SUMIFS('Source 2026'!$H:$H,'Source 2026'!$B:$B,$A73,'Source 2026'!$A:$A,"Quantity (units)")+SUMIFS('Source 2026'!$M:$M,'Source 2026'!$B:$B,$A73,'Source 2026'!$A:$A,"Quantity (units)")+SUMIFS('Source 2026'!$N:$N,'Source 2026'!$B:$B,$A73,'Source 2026'!$A:$A,"Quantity (units)")+SUMIFS('Source 2026'!$S:$S,'Source 2026'!$B:$B,$A73,'Source 2026'!$A:$A,"Quantity (units)")+SUMIFS('Source 2026'!$U:$U,'Source 2026'!$B:$B,$A73,'Source 2026'!$A:$A,"Quantity (units)")+SUMIFS('Source 2026'!$D:$D,'Source 2026'!$B:$B,$A73,'Source 2026'!$A:$A,"Quantity (units)")+SUMIFS('Source 2026'!$E:$E,'Source 2026'!$B:$B,$A73,'Source 2026'!$A:$A,"Quantity (units)")+SUMIFS('Source 2026'!$G:$G,'Source 2026'!$B:$B,$A73,'Source 2026'!$A:$A,"Quantity (units)")</f>
        <v>330</v>
      </c>
      <c r="E73" s="9" t="n">
        <f aca="false">D73*$J$5</f>
        <v>416.842105263158</v>
      </c>
      <c r="F73" s="9" t="n">
        <f aca="false">E73-C73</f>
        <v>-62.1578947368421</v>
      </c>
      <c r="G73" s="11" t="n">
        <f aca="false">IF(AND(C73=0,E73=0),0,IF(C73=0,"New",(E73-C73)/C73))</f>
        <v>-0.129765959784639</v>
      </c>
      <c r="H73" s="9" t="n">
        <f aca="false">SUMIFS('Source 2025'!$F:$F,'Source 2025'!$B:$B,$A73,'Source 2025'!$A:$A,"Amount (NIS)")+SUMIFS('Source 2025'!$H:$H,'Source 2025'!$B:$B,$A73,'Source 2025'!$A:$A,"Amount (NIS)")+SUMIFS('Source 2025'!$M:$M,'Source 2025'!$B:$B,$A73,'Source 2025'!$A:$A,"Amount (NIS)")+SUMIFS('Source 2025'!$N:$N,'Source 2025'!$B:$B,$A73,'Source 2025'!$A:$A,"Amount (NIS)")+SUMIFS('Source 2025'!$S:$S,'Source 2025'!$B:$B,$A73,'Source 2025'!$A:$A,"Amount (NIS)")+SUMIFS('Source 2025'!$U:$U,'Source 2025'!$B:$B,$A73,'Source 2025'!$A:$A,"Amount (NIS)")+SUMIFS('Source 2025'!$D:$D,'Source 2025'!$B:$B,$A73,'Source 2025'!$A:$A,"Amount (NIS)")+SUMIFS('Source 2025'!$E:$E,'Source 2025'!$B:$B,$A73,'Source 2025'!$A:$A,"Amount (NIS)")+SUMIFS('Source 2025'!$G:$G,'Source 2025'!$B:$B,$A73,'Source 2025'!$A:$A,"Amount (NIS)")</f>
        <v>14087.2</v>
      </c>
      <c r="I73" s="9" t="n">
        <f aca="false">SUMIFS('Source 2026'!$F:$F,'Source 2026'!$B:$B,$A73,'Source 2026'!$A:$A,"Amount (NIS)")+SUMIFS('Source 2026'!$H:$H,'Source 2026'!$B:$B,$A73,'Source 2026'!$A:$A,"Amount (NIS)")+SUMIFS('Source 2026'!$M:$M,'Source 2026'!$B:$B,$A73,'Source 2026'!$A:$A,"Amount (NIS)")+SUMIFS('Source 2026'!$N:$N,'Source 2026'!$B:$B,$A73,'Source 2026'!$A:$A,"Amount (NIS)")+SUMIFS('Source 2026'!$S:$S,'Source 2026'!$B:$B,$A73,'Source 2026'!$A:$A,"Amount (NIS)")+SUMIFS('Source 2026'!$U:$U,'Source 2026'!$B:$B,$A73,'Source 2026'!$A:$A,"Amount (NIS)")+SUMIFS('Source 2026'!$D:$D,'Source 2026'!$B:$B,$A73,'Source 2026'!$A:$A,"Amount (NIS)")+SUMIFS('Source 2026'!$E:$E,'Source 2026'!$B:$B,$A73,'Source 2026'!$A:$A,"Amount (NIS)")+SUMIFS('Source 2026'!$G:$G,'Source 2026'!$B:$B,$A73,'Source 2026'!$A:$A,"Amount (NIS)")</f>
        <v>10062</v>
      </c>
      <c r="J73" s="9" t="n">
        <f aca="false">I73*$J$5</f>
        <v>12709.8947368421</v>
      </c>
      <c r="K73" s="9" t="n">
        <f aca="false">J73-H73</f>
        <v>-1377.30526315789</v>
      </c>
      <c r="L73" s="11" t="n">
        <f aca="false">IF(AND(H73=0,J73=0),0,IF(H73=0,"New",(J73-H73)/H73))</f>
        <v>-0.0977699800640222</v>
      </c>
    </row>
    <row r="74" customFormat="false" ht="15" hidden="false" customHeight="true" outlineLevel="0" collapsed="false">
      <c r="A74" s="8" t="s">
        <v>143</v>
      </c>
      <c r="B74" s="8" t="str">
        <f aca="false">IFERROR(INDEX('Source 2026'!$C:$C,MATCH($A74,'Source 2026'!$B:$B,0)),IFERROR(INDEX('Source 2025'!$C:$C,MATCH($A74,'Source 2025'!$B:$B,0)),""))</f>
        <v>אמבט לכף הרגל</v>
      </c>
      <c r="C74" s="9" t="n">
        <f aca="false">SUMIFS('Source 2025'!$F:$F,'Source 2025'!$B:$B,$A74,'Source 2025'!$A:$A,"Quantity (units)")+SUMIFS('Source 2025'!$H:$H,'Source 2025'!$B:$B,$A74,'Source 2025'!$A:$A,"Quantity (units)")+SUMIFS('Source 2025'!$M:$M,'Source 2025'!$B:$B,$A74,'Source 2025'!$A:$A,"Quantity (units)")+SUMIFS('Source 2025'!$N:$N,'Source 2025'!$B:$B,$A74,'Source 2025'!$A:$A,"Quantity (units)")+SUMIFS('Source 2025'!$S:$S,'Source 2025'!$B:$B,$A74,'Source 2025'!$A:$A,"Quantity (units)")+SUMIFS('Source 2025'!$U:$U,'Source 2025'!$B:$B,$A74,'Source 2025'!$A:$A,"Quantity (units)")+SUMIFS('Source 2025'!$D:$D,'Source 2025'!$B:$B,$A74,'Source 2025'!$A:$A,"Quantity (units)")+SUMIFS('Source 2025'!$E:$E,'Source 2025'!$B:$B,$A74,'Source 2025'!$A:$A,"Quantity (units)")+SUMIFS('Source 2025'!$G:$G,'Source 2025'!$B:$B,$A74,'Source 2025'!$A:$A,"Quantity (units)")</f>
        <v>390</v>
      </c>
      <c r="D74" s="9" t="n">
        <f aca="false">SUMIFS('Source 2026'!$F:$F,'Source 2026'!$B:$B,$A74,'Source 2026'!$A:$A,"Quantity (units)")+SUMIFS('Source 2026'!$H:$H,'Source 2026'!$B:$B,$A74,'Source 2026'!$A:$A,"Quantity (units)")+SUMIFS('Source 2026'!$M:$M,'Source 2026'!$B:$B,$A74,'Source 2026'!$A:$A,"Quantity (units)")+SUMIFS('Source 2026'!$N:$N,'Source 2026'!$B:$B,$A74,'Source 2026'!$A:$A,"Quantity (units)")+SUMIFS('Source 2026'!$S:$S,'Source 2026'!$B:$B,$A74,'Source 2026'!$A:$A,"Quantity (units)")+SUMIFS('Source 2026'!$U:$U,'Source 2026'!$B:$B,$A74,'Source 2026'!$A:$A,"Quantity (units)")+SUMIFS('Source 2026'!$D:$D,'Source 2026'!$B:$B,$A74,'Source 2026'!$A:$A,"Quantity (units)")+SUMIFS('Source 2026'!$E:$E,'Source 2026'!$B:$B,$A74,'Source 2026'!$A:$A,"Quantity (units)")+SUMIFS('Source 2026'!$G:$G,'Source 2026'!$B:$B,$A74,'Source 2026'!$A:$A,"Quantity (units)")</f>
        <v>95</v>
      </c>
      <c r="E74" s="9" t="n">
        <f aca="false">D74*$J$5</f>
        <v>120</v>
      </c>
      <c r="F74" s="9" t="n">
        <f aca="false">E74-C74</f>
        <v>-270</v>
      </c>
      <c r="G74" s="11" t="n">
        <f aca="false">IF(AND(C74=0,E74=0),0,IF(C74=0,"New",(E74-C74)/C74))</f>
        <v>-0.692307692307692</v>
      </c>
      <c r="H74" s="9" t="n">
        <f aca="false">SUMIFS('Source 2025'!$F:$F,'Source 2025'!$B:$B,$A74,'Source 2025'!$A:$A,"Amount (NIS)")+SUMIFS('Source 2025'!$H:$H,'Source 2025'!$B:$B,$A74,'Source 2025'!$A:$A,"Amount (NIS)")+SUMIFS('Source 2025'!$M:$M,'Source 2025'!$B:$B,$A74,'Source 2025'!$A:$A,"Amount (NIS)")+SUMIFS('Source 2025'!$N:$N,'Source 2025'!$B:$B,$A74,'Source 2025'!$A:$A,"Amount (NIS)")+SUMIFS('Source 2025'!$S:$S,'Source 2025'!$B:$B,$A74,'Source 2025'!$A:$A,"Amount (NIS)")+SUMIFS('Source 2025'!$U:$U,'Source 2025'!$B:$B,$A74,'Source 2025'!$A:$A,"Amount (NIS)")+SUMIFS('Source 2025'!$D:$D,'Source 2025'!$B:$B,$A74,'Source 2025'!$A:$A,"Amount (NIS)")+SUMIFS('Source 2025'!$E:$E,'Source 2025'!$B:$B,$A74,'Source 2025'!$A:$A,"Amount (NIS)")+SUMIFS('Source 2025'!$G:$G,'Source 2025'!$B:$B,$A74,'Source 2025'!$A:$A,"Amount (NIS)")</f>
        <v>5137.1</v>
      </c>
      <c r="I74" s="9" t="n">
        <f aca="false">SUMIFS('Source 2026'!$F:$F,'Source 2026'!$B:$B,$A74,'Source 2026'!$A:$A,"Amount (NIS)")+SUMIFS('Source 2026'!$H:$H,'Source 2026'!$B:$B,$A74,'Source 2026'!$A:$A,"Amount (NIS)")+SUMIFS('Source 2026'!$M:$M,'Source 2026'!$B:$B,$A74,'Source 2026'!$A:$A,"Amount (NIS)")+SUMIFS('Source 2026'!$N:$N,'Source 2026'!$B:$B,$A74,'Source 2026'!$A:$A,"Amount (NIS)")+SUMIFS('Source 2026'!$S:$S,'Source 2026'!$B:$B,$A74,'Source 2026'!$A:$A,"Amount (NIS)")+SUMIFS('Source 2026'!$U:$U,'Source 2026'!$B:$B,$A74,'Source 2026'!$A:$A,"Amount (NIS)")+SUMIFS('Source 2026'!$D:$D,'Source 2026'!$B:$B,$A74,'Source 2026'!$A:$A,"Amount (NIS)")+SUMIFS('Source 2026'!$E:$E,'Source 2026'!$B:$B,$A74,'Source 2026'!$A:$A,"Amount (NIS)")+SUMIFS('Source 2026'!$G:$G,'Source 2026'!$B:$B,$A74,'Source 2026'!$A:$A,"Amount (NIS)")</f>
        <v>1292.3</v>
      </c>
      <c r="J74" s="9" t="n">
        <f aca="false">I74*$J$5</f>
        <v>1632.37894736842</v>
      </c>
      <c r="K74" s="9" t="n">
        <f aca="false">J74-H74</f>
        <v>-3504.72105263158</v>
      </c>
      <c r="L74" s="11" t="n">
        <f aca="false">IF(AND(H74=0,J74=0),0,IF(H74=0,"New",(J74-H74)/H74))</f>
        <v>-0.682237264727488</v>
      </c>
    </row>
    <row r="75" customFormat="false" ht="15" hidden="false" customHeight="true" outlineLevel="0" collapsed="false">
      <c r="A75" s="8" t="s">
        <v>144</v>
      </c>
      <c r="B75" s="8" t="str">
        <f aca="false">IFERROR(INDEX('Source 2026'!$C:$C,MATCH($A75,'Source 2026'!$B:$B,0)),IFERROR(INDEX('Source 2025'!$C:$C,MATCH($A75,'Source 2025'!$B:$B,0)),""))</f>
        <v>שרוול מטטרזלי מסיליקון</v>
      </c>
      <c r="C75" s="9" t="n">
        <f aca="false">SUMIFS('Source 2025'!$F:$F,'Source 2025'!$B:$B,$A75,'Source 2025'!$A:$A,"Quantity (units)")+SUMIFS('Source 2025'!$H:$H,'Source 2025'!$B:$B,$A75,'Source 2025'!$A:$A,"Quantity (units)")+SUMIFS('Source 2025'!$M:$M,'Source 2025'!$B:$B,$A75,'Source 2025'!$A:$A,"Quantity (units)")+SUMIFS('Source 2025'!$N:$N,'Source 2025'!$B:$B,$A75,'Source 2025'!$A:$A,"Quantity (units)")+SUMIFS('Source 2025'!$S:$S,'Source 2025'!$B:$B,$A75,'Source 2025'!$A:$A,"Quantity (units)")+SUMIFS('Source 2025'!$U:$U,'Source 2025'!$B:$B,$A75,'Source 2025'!$A:$A,"Quantity (units)")+SUMIFS('Source 2025'!$D:$D,'Source 2025'!$B:$B,$A75,'Source 2025'!$A:$A,"Quantity (units)")+SUMIFS('Source 2025'!$E:$E,'Source 2025'!$B:$B,$A75,'Source 2025'!$A:$A,"Quantity (units)")+SUMIFS('Source 2025'!$G:$G,'Source 2025'!$B:$B,$A75,'Source 2025'!$A:$A,"Quantity (units)")</f>
        <v>161</v>
      </c>
      <c r="D75" s="9" t="n">
        <f aca="false">SUMIFS('Source 2026'!$F:$F,'Source 2026'!$B:$B,$A75,'Source 2026'!$A:$A,"Quantity (units)")+SUMIFS('Source 2026'!$H:$H,'Source 2026'!$B:$B,$A75,'Source 2026'!$A:$A,"Quantity (units)")+SUMIFS('Source 2026'!$M:$M,'Source 2026'!$B:$B,$A75,'Source 2026'!$A:$A,"Quantity (units)")+SUMIFS('Source 2026'!$N:$N,'Source 2026'!$B:$B,$A75,'Source 2026'!$A:$A,"Quantity (units)")+SUMIFS('Source 2026'!$S:$S,'Source 2026'!$B:$B,$A75,'Source 2026'!$A:$A,"Quantity (units)")+SUMIFS('Source 2026'!$U:$U,'Source 2026'!$B:$B,$A75,'Source 2026'!$A:$A,"Quantity (units)")+SUMIFS('Source 2026'!$D:$D,'Source 2026'!$B:$B,$A75,'Source 2026'!$A:$A,"Quantity (units)")+SUMIFS('Source 2026'!$E:$E,'Source 2026'!$B:$B,$A75,'Source 2026'!$A:$A,"Quantity (units)")+SUMIFS('Source 2026'!$G:$G,'Source 2026'!$B:$B,$A75,'Source 2026'!$A:$A,"Quantity (units)")</f>
        <v>92</v>
      </c>
      <c r="E75" s="9" t="n">
        <f aca="false">D75*$J$5</f>
        <v>116.210526315789</v>
      </c>
      <c r="F75" s="9" t="n">
        <f aca="false">E75-C75</f>
        <v>-44.7894736842105</v>
      </c>
      <c r="G75" s="11" t="n">
        <f aca="false">IF(AND(C75=0,E75=0),0,IF(C75=0,"New",(E75-C75)/C75))</f>
        <v>-0.278195488721805</v>
      </c>
      <c r="H75" s="9" t="n">
        <f aca="false">SUMIFS('Source 2025'!$F:$F,'Source 2025'!$B:$B,$A75,'Source 2025'!$A:$A,"Amount (NIS)")+SUMIFS('Source 2025'!$H:$H,'Source 2025'!$B:$B,$A75,'Source 2025'!$A:$A,"Amount (NIS)")+SUMIFS('Source 2025'!$M:$M,'Source 2025'!$B:$B,$A75,'Source 2025'!$A:$A,"Amount (NIS)")+SUMIFS('Source 2025'!$N:$N,'Source 2025'!$B:$B,$A75,'Source 2025'!$A:$A,"Amount (NIS)")+SUMIFS('Source 2025'!$S:$S,'Source 2025'!$B:$B,$A75,'Source 2025'!$A:$A,"Amount (NIS)")+SUMIFS('Source 2025'!$U:$U,'Source 2025'!$B:$B,$A75,'Source 2025'!$A:$A,"Amount (NIS)")+SUMIFS('Source 2025'!$D:$D,'Source 2025'!$B:$B,$A75,'Source 2025'!$A:$A,"Amount (NIS)")+SUMIFS('Source 2025'!$E:$E,'Source 2025'!$B:$B,$A75,'Source 2025'!$A:$A,"Amount (NIS)")+SUMIFS('Source 2025'!$G:$G,'Source 2025'!$B:$B,$A75,'Source 2025'!$A:$A,"Amount (NIS)")</f>
        <v>9236.9</v>
      </c>
      <c r="I75" s="9" t="n">
        <f aca="false">SUMIFS('Source 2026'!$F:$F,'Source 2026'!$B:$B,$A75,'Source 2026'!$A:$A,"Amount (NIS)")+SUMIFS('Source 2026'!$H:$H,'Source 2026'!$B:$B,$A75,'Source 2026'!$A:$A,"Amount (NIS)")+SUMIFS('Source 2026'!$M:$M,'Source 2026'!$B:$B,$A75,'Source 2026'!$A:$A,"Amount (NIS)")+SUMIFS('Source 2026'!$N:$N,'Source 2026'!$B:$B,$A75,'Source 2026'!$A:$A,"Amount (NIS)")+SUMIFS('Source 2026'!$S:$S,'Source 2026'!$B:$B,$A75,'Source 2026'!$A:$A,"Amount (NIS)")+SUMIFS('Source 2026'!$U:$U,'Source 2026'!$B:$B,$A75,'Source 2026'!$A:$A,"Amount (NIS)")+SUMIFS('Source 2026'!$D:$D,'Source 2026'!$B:$B,$A75,'Source 2026'!$A:$A,"Amount (NIS)")+SUMIFS('Source 2026'!$E:$E,'Source 2026'!$B:$B,$A75,'Source 2026'!$A:$A,"Amount (NIS)")+SUMIFS('Source 2026'!$G:$G,'Source 2026'!$B:$B,$A75,'Source 2026'!$A:$A,"Amount (NIS)")</f>
        <v>5406.7</v>
      </c>
      <c r="J75" s="9" t="n">
        <f aca="false">I75*$J$5</f>
        <v>6829.51578947368</v>
      </c>
      <c r="K75" s="9" t="n">
        <f aca="false">J75-H75</f>
        <v>-2407.38421052632</v>
      </c>
      <c r="L75" s="11" t="n">
        <f aca="false">IF(AND(H75=0,J75=0),0,IF(H75=0,"New",(J75-H75)/H75))</f>
        <v>-0.260626856469845</v>
      </c>
    </row>
    <row r="76" customFormat="false" ht="15" hidden="false" customHeight="true" outlineLevel="0" collapsed="false">
      <c r="A76" s="8" t="s">
        <v>145</v>
      </c>
      <c r="B76" s="8" t="str">
        <f aca="false">IFERROR(INDEX('Source 2026'!$C:$C,MATCH($A76,'Source 2026'!$B:$B,0)),IFERROR(INDEX('Source 2025'!$C:$C,MATCH($A76,'Source 2025'!$B:$B,0)),""))</f>
        <v>תחבושת א.נצמ</v>
      </c>
      <c r="C76" s="9" t="n">
        <f aca="false">SUMIFS('Source 2025'!$F:$F,'Source 2025'!$B:$B,$A76,'Source 2025'!$A:$A,"Quantity (units)")+SUMIFS('Source 2025'!$H:$H,'Source 2025'!$B:$B,$A76,'Source 2025'!$A:$A,"Quantity (units)")+SUMIFS('Source 2025'!$M:$M,'Source 2025'!$B:$B,$A76,'Source 2025'!$A:$A,"Quantity (units)")+SUMIFS('Source 2025'!$N:$N,'Source 2025'!$B:$B,$A76,'Source 2025'!$A:$A,"Quantity (units)")+SUMIFS('Source 2025'!$S:$S,'Source 2025'!$B:$B,$A76,'Source 2025'!$A:$A,"Quantity (units)")+SUMIFS('Source 2025'!$U:$U,'Source 2025'!$B:$B,$A76,'Source 2025'!$A:$A,"Quantity (units)")+SUMIFS('Source 2025'!$D:$D,'Source 2025'!$B:$B,$A76,'Source 2025'!$A:$A,"Quantity (units)")+SUMIFS('Source 2025'!$E:$E,'Source 2025'!$B:$B,$A76,'Source 2025'!$A:$A,"Quantity (units)")+SUMIFS('Source 2025'!$G:$G,'Source 2025'!$B:$B,$A76,'Source 2025'!$A:$A,"Quantity (units)")</f>
        <v>928</v>
      </c>
      <c r="D76" s="9" t="n">
        <f aca="false">SUMIFS('Source 2026'!$F:$F,'Source 2026'!$B:$B,$A76,'Source 2026'!$A:$A,"Quantity (units)")+SUMIFS('Source 2026'!$H:$H,'Source 2026'!$B:$B,$A76,'Source 2026'!$A:$A,"Quantity (units)")+SUMIFS('Source 2026'!$M:$M,'Source 2026'!$B:$B,$A76,'Source 2026'!$A:$A,"Quantity (units)")+SUMIFS('Source 2026'!$N:$N,'Source 2026'!$B:$B,$A76,'Source 2026'!$A:$A,"Quantity (units)")+SUMIFS('Source 2026'!$S:$S,'Source 2026'!$B:$B,$A76,'Source 2026'!$A:$A,"Quantity (units)")+SUMIFS('Source 2026'!$U:$U,'Source 2026'!$B:$B,$A76,'Source 2026'!$A:$A,"Quantity (units)")+SUMIFS('Source 2026'!$D:$D,'Source 2026'!$B:$B,$A76,'Source 2026'!$A:$A,"Quantity (units)")+SUMIFS('Source 2026'!$E:$E,'Source 2026'!$B:$B,$A76,'Source 2026'!$A:$A,"Quantity (units)")+SUMIFS('Source 2026'!$G:$G,'Source 2026'!$B:$B,$A76,'Source 2026'!$A:$A,"Quantity (units)")</f>
        <v>513</v>
      </c>
      <c r="E76" s="9" t="n">
        <f aca="false">D76*$J$5</f>
        <v>648</v>
      </c>
      <c r="F76" s="9" t="n">
        <f aca="false">E76-C76</f>
        <v>-280</v>
      </c>
      <c r="G76" s="11" t="n">
        <f aca="false">IF(AND(C76=0,E76=0),0,IF(C76=0,"New",(E76-C76)/C76))</f>
        <v>-0.301724137931035</v>
      </c>
      <c r="H76" s="9" t="n">
        <f aca="false">SUMIFS('Source 2025'!$F:$F,'Source 2025'!$B:$B,$A76,'Source 2025'!$A:$A,"Amount (NIS)")+SUMIFS('Source 2025'!$H:$H,'Source 2025'!$B:$B,$A76,'Source 2025'!$A:$A,"Amount (NIS)")+SUMIFS('Source 2025'!$M:$M,'Source 2025'!$B:$B,$A76,'Source 2025'!$A:$A,"Amount (NIS)")+SUMIFS('Source 2025'!$N:$N,'Source 2025'!$B:$B,$A76,'Source 2025'!$A:$A,"Amount (NIS)")+SUMIFS('Source 2025'!$S:$S,'Source 2025'!$B:$B,$A76,'Source 2025'!$A:$A,"Amount (NIS)")+SUMIFS('Source 2025'!$U:$U,'Source 2025'!$B:$B,$A76,'Source 2025'!$A:$A,"Amount (NIS)")+SUMIFS('Source 2025'!$D:$D,'Source 2025'!$B:$B,$A76,'Source 2025'!$A:$A,"Amount (NIS)")+SUMIFS('Source 2025'!$E:$E,'Source 2025'!$B:$B,$A76,'Source 2025'!$A:$A,"Amount (NIS)")+SUMIFS('Source 2025'!$G:$G,'Source 2025'!$B:$B,$A76,'Source 2025'!$A:$A,"Amount (NIS)")</f>
        <v>9313.1</v>
      </c>
      <c r="I76" s="9" t="n">
        <f aca="false">SUMIFS('Source 2026'!$F:$F,'Source 2026'!$B:$B,$A76,'Source 2026'!$A:$A,"Amount (NIS)")+SUMIFS('Source 2026'!$H:$H,'Source 2026'!$B:$B,$A76,'Source 2026'!$A:$A,"Amount (NIS)")+SUMIFS('Source 2026'!$M:$M,'Source 2026'!$B:$B,$A76,'Source 2026'!$A:$A,"Amount (NIS)")+SUMIFS('Source 2026'!$N:$N,'Source 2026'!$B:$B,$A76,'Source 2026'!$A:$A,"Amount (NIS)")+SUMIFS('Source 2026'!$S:$S,'Source 2026'!$B:$B,$A76,'Source 2026'!$A:$A,"Amount (NIS)")+SUMIFS('Source 2026'!$U:$U,'Source 2026'!$B:$B,$A76,'Source 2026'!$A:$A,"Amount (NIS)")+SUMIFS('Source 2026'!$D:$D,'Source 2026'!$B:$B,$A76,'Source 2026'!$A:$A,"Amount (NIS)")+SUMIFS('Source 2026'!$E:$E,'Source 2026'!$B:$B,$A76,'Source 2026'!$A:$A,"Amount (NIS)")+SUMIFS('Source 2026'!$G:$G,'Source 2026'!$B:$B,$A76,'Source 2026'!$A:$A,"Amount (NIS)")</f>
        <v>5672.9</v>
      </c>
      <c r="J76" s="9" t="n">
        <f aca="false">I76*$J$5</f>
        <v>7165.76842105263</v>
      </c>
      <c r="K76" s="9" t="n">
        <f aca="false">J76-H76</f>
        <v>-2147.33157894737</v>
      </c>
      <c r="L76" s="11" t="n">
        <f aca="false">IF(AND(H76=0,J76=0),0,IF(H76=0,"New",(J76-H76)/H76))</f>
        <v>-0.230571085776741</v>
      </c>
    </row>
    <row r="77" customFormat="false" ht="15" hidden="false" customHeight="true" outlineLevel="0" collapsed="false">
      <c r="A77" s="8" t="s">
        <v>146</v>
      </c>
      <c r="B77" s="8" t="str">
        <f aca="false">IFERROR(INDEX('Source 2026'!$C:$C,MATCH($A77,'Source 2026'!$B:$B,0)),IFERROR(INDEX('Source 2025'!$C:$C,MATCH($A77,'Source 2025'!$B:$B,0)),""))</f>
        <v>מגן ברך עם תמיכות</v>
      </c>
      <c r="C77" s="9" t="n">
        <f aca="false">SUMIFS('Source 2025'!$F:$F,'Source 2025'!$B:$B,$A77,'Source 2025'!$A:$A,"Quantity (units)")+SUMIFS('Source 2025'!$H:$H,'Source 2025'!$B:$B,$A77,'Source 2025'!$A:$A,"Quantity (units)")+SUMIFS('Source 2025'!$M:$M,'Source 2025'!$B:$B,$A77,'Source 2025'!$A:$A,"Quantity (units)")+SUMIFS('Source 2025'!$N:$N,'Source 2025'!$B:$B,$A77,'Source 2025'!$A:$A,"Quantity (units)")+SUMIFS('Source 2025'!$S:$S,'Source 2025'!$B:$B,$A77,'Source 2025'!$A:$A,"Quantity (units)")+SUMIFS('Source 2025'!$U:$U,'Source 2025'!$B:$B,$A77,'Source 2025'!$A:$A,"Quantity (units)")+SUMIFS('Source 2025'!$D:$D,'Source 2025'!$B:$B,$A77,'Source 2025'!$A:$A,"Quantity (units)")+SUMIFS('Source 2025'!$E:$E,'Source 2025'!$B:$B,$A77,'Source 2025'!$A:$A,"Quantity (units)")+SUMIFS('Source 2025'!$G:$G,'Source 2025'!$B:$B,$A77,'Source 2025'!$A:$A,"Quantity (units)")</f>
        <v>555</v>
      </c>
      <c r="D77" s="9" t="n">
        <f aca="false">SUMIFS('Source 2026'!$F:$F,'Source 2026'!$B:$B,$A77,'Source 2026'!$A:$A,"Quantity (units)")+SUMIFS('Source 2026'!$H:$H,'Source 2026'!$B:$B,$A77,'Source 2026'!$A:$A,"Quantity (units)")+SUMIFS('Source 2026'!$M:$M,'Source 2026'!$B:$B,$A77,'Source 2026'!$A:$A,"Quantity (units)")+SUMIFS('Source 2026'!$N:$N,'Source 2026'!$B:$B,$A77,'Source 2026'!$A:$A,"Quantity (units)")+SUMIFS('Source 2026'!$S:$S,'Source 2026'!$B:$B,$A77,'Source 2026'!$A:$A,"Quantity (units)")+SUMIFS('Source 2026'!$U:$U,'Source 2026'!$B:$B,$A77,'Source 2026'!$A:$A,"Quantity (units)")+SUMIFS('Source 2026'!$D:$D,'Source 2026'!$B:$B,$A77,'Source 2026'!$A:$A,"Quantity (units)")+SUMIFS('Source 2026'!$E:$E,'Source 2026'!$B:$B,$A77,'Source 2026'!$A:$A,"Quantity (units)")+SUMIFS('Source 2026'!$G:$G,'Source 2026'!$B:$B,$A77,'Source 2026'!$A:$A,"Quantity (units)")</f>
        <v>496</v>
      </c>
      <c r="E77" s="9" t="n">
        <f aca="false">D77*$J$5</f>
        <v>626.526315789474</v>
      </c>
      <c r="F77" s="9" t="n">
        <f aca="false">E77-C77</f>
        <v>71.5263157894736</v>
      </c>
      <c r="G77" s="11" t="n">
        <f aca="false">IF(AND(C77=0,E77=0),0,IF(C77=0,"New",(E77-C77)/C77))</f>
        <v>0.128876244665718</v>
      </c>
      <c r="H77" s="9" t="n">
        <f aca="false">SUMIFS('Source 2025'!$F:$F,'Source 2025'!$B:$B,$A77,'Source 2025'!$A:$A,"Amount (NIS)")+SUMIFS('Source 2025'!$H:$H,'Source 2025'!$B:$B,$A77,'Source 2025'!$A:$A,"Amount (NIS)")+SUMIFS('Source 2025'!$M:$M,'Source 2025'!$B:$B,$A77,'Source 2025'!$A:$A,"Amount (NIS)")+SUMIFS('Source 2025'!$N:$N,'Source 2025'!$B:$B,$A77,'Source 2025'!$A:$A,"Amount (NIS)")+SUMIFS('Source 2025'!$S:$S,'Source 2025'!$B:$B,$A77,'Source 2025'!$A:$A,"Amount (NIS)")+SUMIFS('Source 2025'!$U:$U,'Source 2025'!$B:$B,$A77,'Source 2025'!$A:$A,"Amount (NIS)")+SUMIFS('Source 2025'!$D:$D,'Source 2025'!$B:$B,$A77,'Source 2025'!$A:$A,"Amount (NIS)")+SUMIFS('Source 2025'!$E:$E,'Source 2025'!$B:$B,$A77,'Source 2025'!$A:$A,"Amount (NIS)")+SUMIFS('Source 2025'!$G:$G,'Source 2025'!$B:$B,$A77,'Source 2025'!$A:$A,"Amount (NIS)")</f>
        <v>36987</v>
      </c>
      <c r="I77" s="9" t="n">
        <f aca="false">SUMIFS('Source 2026'!$F:$F,'Source 2026'!$B:$B,$A77,'Source 2026'!$A:$A,"Amount (NIS)")+SUMIFS('Source 2026'!$H:$H,'Source 2026'!$B:$B,$A77,'Source 2026'!$A:$A,"Amount (NIS)")+SUMIFS('Source 2026'!$M:$M,'Source 2026'!$B:$B,$A77,'Source 2026'!$A:$A,"Amount (NIS)")+SUMIFS('Source 2026'!$N:$N,'Source 2026'!$B:$B,$A77,'Source 2026'!$A:$A,"Amount (NIS)")+SUMIFS('Source 2026'!$S:$S,'Source 2026'!$B:$B,$A77,'Source 2026'!$A:$A,"Amount (NIS)")+SUMIFS('Source 2026'!$U:$U,'Source 2026'!$B:$B,$A77,'Source 2026'!$A:$A,"Amount (NIS)")+SUMIFS('Source 2026'!$D:$D,'Source 2026'!$B:$B,$A77,'Source 2026'!$A:$A,"Amount (NIS)")+SUMIFS('Source 2026'!$E:$E,'Source 2026'!$B:$B,$A77,'Source 2026'!$A:$A,"Amount (NIS)")+SUMIFS('Source 2026'!$G:$G,'Source 2026'!$B:$B,$A77,'Source 2026'!$A:$A,"Amount (NIS)")</f>
        <v>33520.5</v>
      </c>
      <c r="J77" s="9" t="n">
        <f aca="false">I77*$J$5</f>
        <v>42341.6842105263</v>
      </c>
      <c r="K77" s="9" t="n">
        <f aca="false">J77-H77</f>
        <v>5354.68421052631</v>
      </c>
      <c r="L77" s="11" t="n">
        <f aca="false">IF(AND(H77=0,J77=0),0,IF(H77=0,"New",(J77-H77)/H77))</f>
        <v>0.144772060738268</v>
      </c>
    </row>
    <row r="78" customFormat="false" ht="15" hidden="false" customHeight="true" outlineLevel="0" collapsed="false">
      <c r="A78" s="8" t="s">
        <v>147</v>
      </c>
      <c r="B78" s="8" t="str">
        <f aca="false">IFERROR(INDEX('Source 2026'!$C:$C,MATCH($A78,'Source 2026'!$B:$B,0)),IFERROR(INDEX('Source 2025'!$C:$C,MATCH($A78,'Source 2025'!$B:$B,0)),""))</f>
        <v>חגורת גב +סגירה כפולה</v>
      </c>
      <c r="C78" s="9" t="n">
        <f aca="false">SUMIFS('Source 2025'!$F:$F,'Source 2025'!$B:$B,$A78,'Source 2025'!$A:$A,"Quantity (units)")+SUMIFS('Source 2025'!$H:$H,'Source 2025'!$B:$B,$A78,'Source 2025'!$A:$A,"Quantity (units)")+SUMIFS('Source 2025'!$M:$M,'Source 2025'!$B:$B,$A78,'Source 2025'!$A:$A,"Quantity (units)")+SUMIFS('Source 2025'!$N:$N,'Source 2025'!$B:$B,$A78,'Source 2025'!$A:$A,"Quantity (units)")+SUMIFS('Source 2025'!$S:$S,'Source 2025'!$B:$B,$A78,'Source 2025'!$A:$A,"Quantity (units)")+SUMIFS('Source 2025'!$U:$U,'Source 2025'!$B:$B,$A78,'Source 2025'!$A:$A,"Quantity (units)")+SUMIFS('Source 2025'!$D:$D,'Source 2025'!$B:$B,$A78,'Source 2025'!$A:$A,"Quantity (units)")+SUMIFS('Source 2025'!$E:$E,'Source 2025'!$B:$B,$A78,'Source 2025'!$A:$A,"Quantity (units)")+SUMIFS('Source 2025'!$G:$G,'Source 2025'!$B:$B,$A78,'Source 2025'!$A:$A,"Quantity (units)")</f>
        <v>64</v>
      </c>
      <c r="D78" s="9" t="n">
        <f aca="false">SUMIFS('Source 2026'!$F:$F,'Source 2026'!$B:$B,$A78,'Source 2026'!$A:$A,"Quantity (units)")+SUMIFS('Source 2026'!$H:$H,'Source 2026'!$B:$B,$A78,'Source 2026'!$A:$A,"Quantity (units)")+SUMIFS('Source 2026'!$M:$M,'Source 2026'!$B:$B,$A78,'Source 2026'!$A:$A,"Quantity (units)")+SUMIFS('Source 2026'!$N:$N,'Source 2026'!$B:$B,$A78,'Source 2026'!$A:$A,"Quantity (units)")+SUMIFS('Source 2026'!$S:$S,'Source 2026'!$B:$B,$A78,'Source 2026'!$A:$A,"Quantity (units)")+SUMIFS('Source 2026'!$U:$U,'Source 2026'!$B:$B,$A78,'Source 2026'!$A:$A,"Quantity (units)")+SUMIFS('Source 2026'!$D:$D,'Source 2026'!$B:$B,$A78,'Source 2026'!$A:$A,"Quantity (units)")+SUMIFS('Source 2026'!$E:$E,'Source 2026'!$B:$B,$A78,'Source 2026'!$A:$A,"Quantity (units)")+SUMIFS('Source 2026'!$G:$G,'Source 2026'!$B:$B,$A78,'Source 2026'!$A:$A,"Quantity (units)")</f>
        <v>32</v>
      </c>
      <c r="E78" s="9" t="n">
        <f aca="false">D78*$J$5</f>
        <v>40.4210526315789</v>
      </c>
      <c r="F78" s="9" t="n">
        <f aca="false">E78-C78</f>
        <v>-23.5789473684211</v>
      </c>
      <c r="G78" s="11" t="n">
        <f aca="false">IF(AND(C78=0,E78=0),0,IF(C78=0,"New",(E78-C78)/C78))</f>
        <v>-0.368421052631579</v>
      </c>
      <c r="H78" s="9" t="n">
        <f aca="false">SUMIFS('Source 2025'!$F:$F,'Source 2025'!$B:$B,$A78,'Source 2025'!$A:$A,"Amount (NIS)")+SUMIFS('Source 2025'!$H:$H,'Source 2025'!$B:$B,$A78,'Source 2025'!$A:$A,"Amount (NIS)")+SUMIFS('Source 2025'!$M:$M,'Source 2025'!$B:$B,$A78,'Source 2025'!$A:$A,"Amount (NIS)")+SUMIFS('Source 2025'!$N:$N,'Source 2025'!$B:$B,$A78,'Source 2025'!$A:$A,"Amount (NIS)")+SUMIFS('Source 2025'!$S:$S,'Source 2025'!$B:$B,$A78,'Source 2025'!$A:$A,"Amount (NIS)")+SUMIFS('Source 2025'!$U:$U,'Source 2025'!$B:$B,$A78,'Source 2025'!$A:$A,"Amount (NIS)")+SUMIFS('Source 2025'!$D:$D,'Source 2025'!$B:$B,$A78,'Source 2025'!$A:$A,"Amount (NIS)")+SUMIFS('Source 2025'!$E:$E,'Source 2025'!$B:$B,$A78,'Source 2025'!$A:$A,"Amount (NIS)")+SUMIFS('Source 2025'!$G:$G,'Source 2025'!$B:$B,$A78,'Source 2025'!$A:$A,"Amount (NIS)")</f>
        <v>6752.6</v>
      </c>
      <c r="I78" s="9" t="n">
        <f aca="false">SUMIFS('Source 2026'!$F:$F,'Source 2026'!$B:$B,$A78,'Source 2026'!$A:$A,"Amount (NIS)")+SUMIFS('Source 2026'!$H:$H,'Source 2026'!$B:$B,$A78,'Source 2026'!$A:$A,"Amount (NIS)")+SUMIFS('Source 2026'!$M:$M,'Source 2026'!$B:$B,$A78,'Source 2026'!$A:$A,"Amount (NIS)")+SUMIFS('Source 2026'!$N:$N,'Source 2026'!$B:$B,$A78,'Source 2026'!$A:$A,"Amount (NIS)")+SUMIFS('Source 2026'!$S:$S,'Source 2026'!$B:$B,$A78,'Source 2026'!$A:$A,"Amount (NIS)")+SUMIFS('Source 2026'!$U:$U,'Source 2026'!$B:$B,$A78,'Source 2026'!$A:$A,"Amount (NIS)")+SUMIFS('Source 2026'!$D:$D,'Source 2026'!$B:$B,$A78,'Source 2026'!$A:$A,"Amount (NIS)")+SUMIFS('Source 2026'!$E:$E,'Source 2026'!$B:$B,$A78,'Source 2026'!$A:$A,"Amount (NIS)")+SUMIFS('Source 2026'!$G:$G,'Source 2026'!$B:$B,$A78,'Source 2026'!$A:$A,"Amount (NIS)")</f>
        <v>3393.7</v>
      </c>
      <c r="J78" s="9" t="n">
        <f aca="false">I78*$J$5</f>
        <v>4286.77894736842</v>
      </c>
      <c r="K78" s="9" t="n">
        <f aca="false">J78-H78</f>
        <v>-2465.82105263158</v>
      </c>
      <c r="L78" s="11" t="n">
        <f aca="false">IF(AND(H78=0,J78=0),0,IF(H78=0,"New",(J78-H78)/H78))</f>
        <v>-0.365166166014806</v>
      </c>
    </row>
    <row r="79" customFormat="false" ht="15" hidden="false" customHeight="true" outlineLevel="0" collapsed="false">
      <c r="A79" s="8" t="s">
        <v>148</v>
      </c>
      <c r="B79" s="8" t="str">
        <f aca="false">IFERROR(INDEX('Source 2026'!$C:$C,MATCH($A79,'Source 2026'!$B:$B,0)),IFERROR(INDEX('Source 2025'!$C:$C,MATCH($A79,'Source 2025'!$B:$B,0)),""))</f>
        <v>רפידת אנטי ריח -זוג</v>
      </c>
      <c r="C79" s="9" t="n">
        <f aca="false">SUMIFS('Source 2025'!$F:$F,'Source 2025'!$B:$B,$A79,'Source 2025'!$A:$A,"Quantity (units)")+SUMIFS('Source 2025'!$H:$H,'Source 2025'!$B:$B,$A79,'Source 2025'!$A:$A,"Quantity (units)")+SUMIFS('Source 2025'!$M:$M,'Source 2025'!$B:$B,$A79,'Source 2025'!$A:$A,"Quantity (units)")+SUMIFS('Source 2025'!$N:$N,'Source 2025'!$B:$B,$A79,'Source 2025'!$A:$A,"Quantity (units)")+SUMIFS('Source 2025'!$S:$S,'Source 2025'!$B:$B,$A79,'Source 2025'!$A:$A,"Quantity (units)")+SUMIFS('Source 2025'!$U:$U,'Source 2025'!$B:$B,$A79,'Source 2025'!$A:$A,"Quantity (units)")+SUMIFS('Source 2025'!$D:$D,'Source 2025'!$B:$B,$A79,'Source 2025'!$A:$A,"Quantity (units)")+SUMIFS('Source 2025'!$E:$E,'Source 2025'!$B:$B,$A79,'Source 2025'!$A:$A,"Quantity (units)")+SUMIFS('Source 2025'!$G:$G,'Source 2025'!$B:$B,$A79,'Source 2025'!$A:$A,"Quantity (units)")</f>
        <v>629</v>
      </c>
      <c r="D79" s="9" t="n">
        <f aca="false">SUMIFS('Source 2026'!$F:$F,'Source 2026'!$B:$B,$A79,'Source 2026'!$A:$A,"Quantity (units)")+SUMIFS('Source 2026'!$H:$H,'Source 2026'!$B:$B,$A79,'Source 2026'!$A:$A,"Quantity (units)")+SUMIFS('Source 2026'!$M:$M,'Source 2026'!$B:$B,$A79,'Source 2026'!$A:$A,"Quantity (units)")+SUMIFS('Source 2026'!$N:$N,'Source 2026'!$B:$B,$A79,'Source 2026'!$A:$A,"Quantity (units)")+SUMIFS('Source 2026'!$S:$S,'Source 2026'!$B:$B,$A79,'Source 2026'!$A:$A,"Quantity (units)")+SUMIFS('Source 2026'!$U:$U,'Source 2026'!$B:$B,$A79,'Source 2026'!$A:$A,"Quantity (units)")+SUMIFS('Source 2026'!$D:$D,'Source 2026'!$B:$B,$A79,'Source 2026'!$A:$A,"Quantity (units)")+SUMIFS('Source 2026'!$E:$E,'Source 2026'!$B:$B,$A79,'Source 2026'!$A:$A,"Quantity (units)")+SUMIFS('Source 2026'!$G:$G,'Source 2026'!$B:$B,$A79,'Source 2026'!$A:$A,"Quantity (units)")</f>
        <v>386</v>
      </c>
      <c r="E79" s="9" t="n">
        <f aca="false">D79*$J$5</f>
        <v>487.578947368421</v>
      </c>
      <c r="F79" s="9" t="n">
        <f aca="false">E79-C79</f>
        <v>-141.421052631579</v>
      </c>
      <c r="G79" s="11" t="n">
        <f aca="false">IF(AND(C79=0,E79=0),0,IF(C79=0,"New",(E79-C79)/C79))</f>
        <v>-0.224834741862606</v>
      </c>
      <c r="H79" s="9" t="n">
        <f aca="false">SUMIFS('Source 2025'!$F:$F,'Source 2025'!$B:$B,$A79,'Source 2025'!$A:$A,"Amount (NIS)")+SUMIFS('Source 2025'!$H:$H,'Source 2025'!$B:$B,$A79,'Source 2025'!$A:$A,"Amount (NIS)")+SUMIFS('Source 2025'!$M:$M,'Source 2025'!$B:$B,$A79,'Source 2025'!$A:$A,"Amount (NIS)")+SUMIFS('Source 2025'!$N:$N,'Source 2025'!$B:$B,$A79,'Source 2025'!$A:$A,"Amount (NIS)")+SUMIFS('Source 2025'!$S:$S,'Source 2025'!$B:$B,$A79,'Source 2025'!$A:$A,"Amount (NIS)")+SUMIFS('Source 2025'!$U:$U,'Source 2025'!$B:$B,$A79,'Source 2025'!$A:$A,"Amount (NIS)")+SUMIFS('Source 2025'!$D:$D,'Source 2025'!$B:$B,$A79,'Source 2025'!$A:$A,"Amount (NIS)")+SUMIFS('Source 2025'!$E:$E,'Source 2025'!$B:$B,$A79,'Source 2025'!$A:$A,"Amount (NIS)")+SUMIFS('Source 2025'!$G:$G,'Source 2025'!$B:$B,$A79,'Source 2025'!$A:$A,"Amount (NIS)")</f>
        <v>8964.7</v>
      </c>
      <c r="I79" s="9" t="n">
        <f aca="false">SUMIFS('Source 2026'!$F:$F,'Source 2026'!$B:$B,$A79,'Source 2026'!$A:$A,"Amount (NIS)")+SUMIFS('Source 2026'!$H:$H,'Source 2026'!$B:$B,$A79,'Source 2026'!$A:$A,"Amount (NIS)")+SUMIFS('Source 2026'!$M:$M,'Source 2026'!$B:$B,$A79,'Source 2026'!$A:$A,"Amount (NIS)")+SUMIFS('Source 2026'!$N:$N,'Source 2026'!$B:$B,$A79,'Source 2026'!$A:$A,"Amount (NIS)")+SUMIFS('Source 2026'!$S:$S,'Source 2026'!$B:$B,$A79,'Source 2026'!$A:$A,"Amount (NIS)")+SUMIFS('Source 2026'!$U:$U,'Source 2026'!$B:$B,$A79,'Source 2026'!$A:$A,"Amount (NIS)")+SUMIFS('Source 2026'!$D:$D,'Source 2026'!$B:$B,$A79,'Source 2026'!$A:$A,"Amount (NIS)")+SUMIFS('Source 2026'!$E:$E,'Source 2026'!$B:$B,$A79,'Source 2026'!$A:$A,"Amount (NIS)")+SUMIFS('Source 2026'!$G:$G,'Source 2026'!$B:$B,$A79,'Source 2026'!$A:$A,"Amount (NIS)")</f>
        <v>5636.2</v>
      </c>
      <c r="J79" s="9" t="n">
        <f aca="false">I79*$J$5</f>
        <v>7119.41052631579</v>
      </c>
      <c r="K79" s="9" t="n">
        <f aca="false">J79-H79</f>
        <v>-1845.28947368421</v>
      </c>
      <c r="L79" s="11" t="n">
        <f aca="false">IF(AND(H79=0,J79=0),0,IF(H79=0,"New",(J79-H79)/H79))</f>
        <v>-0.205839512051068</v>
      </c>
    </row>
    <row r="80" customFormat="false" ht="15" hidden="false" customHeight="true" outlineLevel="0" collapsed="false">
      <c r="A80" s="8" t="s">
        <v>149</v>
      </c>
      <c r="B80" s="8" t="str">
        <f aca="false">IFERROR(INDEX('Source 2026'!$C:$C,MATCH($A80,'Source 2026'!$B:$B,0)),IFERROR(INDEX('Source 2025'!$C:$C,MATCH($A80,'Source 2025'!$B:$B,0)),""))</f>
        <v>גרבי ג'ל לריכוך עור העקב</v>
      </c>
      <c r="C80" s="9" t="n">
        <f aca="false">SUMIFS('Source 2025'!$F:$F,'Source 2025'!$B:$B,$A80,'Source 2025'!$A:$A,"Quantity (units)")+SUMIFS('Source 2025'!$H:$H,'Source 2025'!$B:$B,$A80,'Source 2025'!$A:$A,"Quantity (units)")+SUMIFS('Source 2025'!$M:$M,'Source 2025'!$B:$B,$A80,'Source 2025'!$A:$A,"Quantity (units)")+SUMIFS('Source 2025'!$N:$N,'Source 2025'!$B:$B,$A80,'Source 2025'!$A:$A,"Quantity (units)")+SUMIFS('Source 2025'!$S:$S,'Source 2025'!$B:$B,$A80,'Source 2025'!$A:$A,"Quantity (units)")+SUMIFS('Source 2025'!$U:$U,'Source 2025'!$B:$B,$A80,'Source 2025'!$A:$A,"Quantity (units)")+SUMIFS('Source 2025'!$D:$D,'Source 2025'!$B:$B,$A80,'Source 2025'!$A:$A,"Quantity (units)")+SUMIFS('Source 2025'!$E:$E,'Source 2025'!$B:$B,$A80,'Source 2025'!$A:$A,"Quantity (units)")+SUMIFS('Source 2025'!$G:$G,'Source 2025'!$B:$B,$A80,'Source 2025'!$A:$A,"Quantity (units)")</f>
        <v>110</v>
      </c>
      <c r="D80" s="9" t="n">
        <f aca="false">SUMIFS('Source 2026'!$F:$F,'Source 2026'!$B:$B,$A80,'Source 2026'!$A:$A,"Quantity (units)")+SUMIFS('Source 2026'!$H:$H,'Source 2026'!$B:$B,$A80,'Source 2026'!$A:$A,"Quantity (units)")+SUMIFS('Source 2026'!$M:$M,'Source 2026'!$B:$B,$A80,'Source 2026'!$A:$A,"Quantity (units)")+SUMIFS('Source 2026'!$N:$N,'Source 2026'!$B:$B,$A80,'Source 2026'!$A:$A,"Quantity (units)")+SUMIFS('Source 2026'!$S:$S,'Source 2026'!$B:$B,$A80,'Source 2026'!$A:$A,"Quantity (units)")+SUMIFS('Source 2026'!$U:$U,'Source 2026'!$B:$B,$A80,'Source 2026'!$A:$A,"Quantity (units)")+SUMIFS('Source 2026'!$D:$D,'Source 2026'!$B:$B,$A80,'Source 2026'!$A:$A,"Quantity (units)")+SUMIFS('Source 2026'!$E:$E,'Source 2026'!$B:$B,$A80,'Source 2026'!$A:$A,"Quantity (units)")+SUMIFS('Source 2026'!$G:$G,'Source 2026'!$B:$B,$A80,'Source 2026'!$A:$A,"Quantity (units)")</f>
        <v>20</v>
      </c>
      <c r="E80" s="9" t="n">
        <f aca="false">D80*$J$5</f>
        <v>25.2631578947368</v>
      </c>
      <c r="F80" s="9" t="n">
        <f aca="false">E80-C80</f>
        <v>-84.7368421052632</v>
      </c>
      <c r="G80" s="11" t="n">
        <f aca="false">IF(AND(C80=0,E80=0),0,IF(C80=0,"New",(E80-C80)/C80))</f>
        <v>-0.770334928229665</v>
      </c>
      <c r="H80" s="9" t="n">
        <f aca="false">SUMIFS('Source 2025'!$F:$F,'Source 2025'!$B:$B,$A80,'Source 2025'!$A:$A,"Amount (NIS)")+SUMIFS('Source 2025'!$H:$H,'Source 2025'!$B:$B,$A80,'Source 2025'!$A:$A,"Amount (NIS)")+SUMIFS('Source 2025'!$M:$M,'Source 2025'!$B:$B,$A80,'Source 2025'!$A:$A,"Amount (NIS)")+SUMIFS('Source 2025'!$N:$N,'Source 2025'!$B:$B,$A80,'Source 2025'!$A:$A,"Amount (NIS)")+SUMIFS('Source 2025'!$S:$S,'Source 2025'!$B:$B,$A80,'Source 2025'!$A:$A,"Amount (NIS)")+SUMIFS('Source 2025'!$U:$U,'Source 2025'!$B:$B,$A80,'Source 2025'!$A:$A,"Amount (NIS)")+SUMIFS('Source 2025'!$D:$D,'Source 2025'!$B:$B,$A80,'Source 2025'!$A:$A,"Amount (NIS)")+SUMIFS('Source 2025'!$E:$E,'Source 2025'!$B:$B,$A80,'Source 2025'!$A:$A,"Amount (NIS)")+SUMIFS('Source 2025'!$G:$G,'Source 2025'!$B:$B,$A80,'Source 2025'!$A:$A,"Amount (NIS)")</f>
        <v>4004.4</v>
      </c>
      <c r="I80" s="9" t="n">
        <f aca="false">SUMIFS('Source 2026'!$F:$F,'Source 2026'!$B:$B,$A80,'Source 2026'!$A:$A,"Amount (NIS)")+SUMIFS('Source 2026'!$H:$H,'Source 2026'!$B:$B,$A80,'Source 2026'!$A:$A,"Amount (NIS)")+SUMIFS('Source 2026'!$M:$M,'Source 2026'!$B:$B,$A80,'Source 2026'!$A:$A,"Amount (NIS)")+SUMIFS('Source 2026'!$N:$N,'Source 2026'!$B:$B,$A80,'Source 2026'!$A:$A,"Amount (NIS)")+SUMIFS('Source 2026'!$S:$S,'Source 2026'!$B:$B,$A80,'Source 2026'!$A:$A,"Amount (NIS)")+SUMIFS('Source 2026'!$U:$U,'Source 2026'!$B:$B,$A80,'Source 2026'!$A:$A,"Amount (NIS)")+SUMIFS('Source 2026'!$D:$D,'Source 2026'!$B:$B,$A80,'Source 2026'!$A:$A,"Amount (NIS)")+SUMIFS('Source 2026'!$E:$E,'Source 2026'!$B:$B,$A80,'Source 2026'!$A:$A,"Amount (NIS)")+SUMIFS('Source 2026'!$G:$G,'Source 2026'!$B:$B,$A80,'Source 2026'!$A:$A,"Amount (NIS)")</f>
        <v>693.6</v>
      </c>
      <c r="J80" s="9" t="n">
        <f aca="false">I80*$J$5</f>
        <v>876.126315789474</v>
      </c>
      <c r="K80" s="9" t="n">
        <f aca="false">J80-H80</f>
        <v>-3128.27368421053</v>
      </c>
      <c r="L80" s="11" t="n">
        <f aca="false">IF(AND(H80=0,J80=0),0,IF(H80=0,"New",(J80-H80)/H80))</f>
        <v>-0.781209091052474</v>
      </c>
    </row>
    <row r="81" customFormat="false" ht="15" hidden="false" customHeight="true" outlineLevel="0" collapsed="false">
      <c r="A81" s="8" t="s">
        <v>150</v>
      </c>
      <c r="B81" s="8" t="str">
        <f aca="false">IFERROR(INDEX('Source 2026'!$C:$C,MATCH($A81,'Source 2026'!$B:$B,0)),IFERROR(INDEX('Source 2025'!$C:$C,MATCH($A81,'Source 2025'!$B:$B,0)),""))</f>
        <v>S מגן ברך</v>
      </c>
      <c r="C81" s="9" t="n">
        <f aca="false">SUMIFS('Source 2025'!$F:$F,'Source 2025'!$B:$B,$A81,'Source 2025'!$A:$A,"Quantity (units)")+SUMIFS('Source 2025'!$H:$H,'Source 2025'!$B:$B,$A81,'Source 2025'!$A:$A,"Quantity (units)")+SUMIFS('Source 2025'!$M:$M,'Source 2025'!$B:$B,$A81,'Source 2025'!$A:$A,"Quantity (units)")+SUMIFS('Source 2025'!$N:$N,'Source 2025'!$B:$B,$A81,'Source 2025'!$A:$A,"Quantity (units)")+SUMIFS('Source 2025'!$S:$S,'Source 2025'!$B:$B,$A81,'Source 2025'!$A:$A,"Quantity (units)")+SUMIFS('Source 2025'!$U:$U,'Source 2025'!$B:$B,$A81,'Source 2025'!$A:$A,"Quantity (units)")+SUMIFS('Source 2025'!$D:$D,'Source 2025'!$B:$B,$A81,'Source 2025'!$A:$A,"Quantity (units)")+SUMIFS('Source 2025'!$E:$E,'Source 2025'!$B:$B,$A81,'Source 2025'!$A:$A,"Quantity (units)")+SUMIFS('Source 2025'!$G:$G,'Source 2025'!$B:$B,$A81,'Source 2025'!$A:$A,"Quantity (units)")</f>
        <v>48</v>
      </c>
      <c r="D81" s="9" t="n">
        <f aca="false">SUMIFS('Source 2026'!$F:$F,'Source 2026'!$B:$B,$A81,'Source 2026'!$A:$A,"Quantity (units)")+SUMIFS('Source 2026'!$H:$H,'Source 2026'!$B:$B,$A81,'Source 2026'!$A:$A,"Quantity (units)")+SUMIFS('Source 2026'!$M:$M,'Source 2026'!$B:$B,$A81,'Source 2026'!$A:$A,"Quantity (units)")+SUMIFS('Source 2026'!$N:$N,'Source 2026'!$B:$B,$A81,'Source 2026'!$A:$A,"Quantity (units)")+SUMIFS('Source 2026'!$S:$S,'Source 2026'!$B:$B,$A81,'Source 2026'!$A:$A,"Quantity (units)")+SUMIFS('Source 2026'!$U:$U,'Source 2026'!$B:$B,$A81,'Source 2026'!$A:$A,"Quantity (units)")+SUMIFS('Source 2026'!$D:$D,'Source 2026'!$B:$B,$A81,'Source 2026'!$A:$A,"Quantity (units)")+SUMIFS('Source 2026'!$E:$E,'Source 2026'!$B:$B,$A81,'Source 2026'!$A:$A,"Quantity (units)")+SUMIFS('Source 2026'!$G:$G,'Source 2026'!$B:$B,$A81,'Source 2026'!$A:$A,"Quantity (units)")</f>
        <v>69</v>
      </c>
      <c r="E81" s="9" t="n">
        <f aca="false">D81*$J$5</f>
        <v>87.1578947368421</v>
      </c>
      <c r="F81" s="9" t="n">
        <f aca="false">E81-C81</f>
        <v>39.1578947368421</v>
      </c>
      <c r="G81" s="11" t="n">
        <f aca="false">IF(AND(C81=0,E81=0),0,IF(C81=0,"New",(E81-C81)/C81))</f>
        <v>0.81578947368421</v>
      </c>
      <c r="H81" s="9" t="n">
        <f aca="false">SUMIFS('Source 2025'!$F:$F,'Source 2025'!$B:$B,$A81,'Source 2025'!$A:$A,"Amount (NIS)")+SUMIFS('Source 2025'!$H:$H,'Source 2025'!$B:$B,$A81,'Source 2025'!$A:$A,"Amount (NIS)")+SUMIFS('Source 2025'!$M:$M,'Source 2025'!$B:$B,$A81,'Source 2025'!$A:$A,"Amount (NIS)")+SUMIFS('Source 2025'!$N:$N,'Source 2025'!$B:$B,$A81,'Source 2025'!$A:$A,"Amount (NIS)")+SUMIFS('Source 2025'!$S:$S,'Source 2025'!$B:$B,$A81,'Source 2025'!$A:$A,"Amount (NIS)")+SUMIFS('Source 2025'!$U:$U,'Source 2025'!$B:$B,$A81,'Source 2025'!$A:$A,"Amount (NIS)")+SUMIFS('Source 2025'!$D:$D,'Source 2025'!$B:$B,$A81,'Source 2025'!$A:$A,"Amount (NIS)")+SUMIFS('Source 2025'!$E:$E,'Source 2025'!$B:$B,$A81,'Source 2025'!$A:$A,"Amount (NIS)")+SUMIFS('Source 2025'!$G:$G,'Source 2025'!$B:$B,$A81,'Source 2025'!$A:$A,"Amount (NIS)")</f>
        <v>6443.2</v>
      </c>
      <c r="I81" s="9" t="n">
        <f aca="false">SUMIFS('Source 2026'!$F:$F,'Source 2026'!$B:$B,$A81,'Source 2026'!$A:$A,"Amount (NIS)")+SUMIFS('Source 2026'!$H:$H,'Source 2026'!$B:$B,$A81,'Source 2026'!$A:$A,"Amount (NIS)")+SUMIFS('Source 2026'!$M:$M,'Source 2026'!$B:$B,$A81,'Source 2026'!$A:$A,"Amount (NIS)")+SUMIFS('Source 2026'!$N:$N,'Source 2026'!$B:$B,$A81,'Source 2026'!$A:$A,"Amount (NIS)")+SUMIFS('Source 2026'!$S:$S,'Source 2026'!$B:$B,$A81,'Source 2026'!$A:$A,"Amount (NIS)")+SUMIFS('Source 2026'!$U:$U,'Source 2026'!$B:$B,$A81,'Source 2026'!$A:$A,"Amount (NIS)")+SUMIFS('Source 2026'!$D:$D,'Source 2026'!$B:$B,$A81,'Source 2026'!$A:$A,"Amount (NIS)")+SUMIFS('Source 2026'!$E:$E,'Source 2026'!$B:$B,$A81,'Source 2026'!$A:$A,"Amount (NIS)")+SUMIFS('Source 2026'!$G:$G,'Source 2026'!$B:$B,$A81,'Source 2026'!$A:$A,"Amount (NIS)")</f>
        <v>9427.7</v>
      </c>
      <c r="J81" s="9" t="n">
        <f aca="false">I81*$J$5</f>
        <v>11908.6736842105</v>
      </c>
      <c r="K81" s="9" t="n">
        <f aca="false">J81-H81</f>
        <v>5465.47368421053</v>
      </c>
      <c r="L81" s="11" t="n">
        <f aca="false">IF(AND(H81=0,J81=0),0,IF(H81=0,"New",(J81-H81)/H81))</f>
        <v>0.848254544979285</v>
      </c>
    </row>
    <row r="82" customFormat="false" ht="15" hidden="false" customHeight="true" outlineLevel="0" collapsed="false">
      <c r="A82" s="8" t="s">
        <v>151</v>
      </c>
      <c r="B82" s="8" t="str">
        <f aca="false">IFERROR(INDEX('Source 2026'!$C:$C,MATCH($A82,'Source 2026'!$B:$B,0)),IFERROR(INDEX('Source 2025'!$C:$C,MATCH($A82,'Source 2025'!$B:$B,0)),""))</f>
        <v>אפיק ג'ל מולט.ספורט35-38</v>
      </c>
      <c r="C82" s="9" t="n">
        <f aca="false">SUMIFS('Source 2025'!$F:$F,'Source 2025'!$B:$B,$A82,'Source 2025'!$A:$A,"Quantity (units)")+SUMIFS('Source 2025'!$H:$H,'Source 2025'!$B:$B,$A82,'Source 2025'!$A:$A,"Quantity (units)")+SUMIFS('Source 2025'!$M:$M,'Source 2025'!$B:$B,$A82,'Source 2025'!$A:$A,"Quantity (units)")+SUMIFS('Source 2025'!$N:$N,'Source 2025'!$B:$B,$A82,'Source 2025'!$A:$A,"Quantity (units)")+SUMIFS('Source 2025'!$S:$S,'Source 2025'!$B:$B,$A82,'Source 2025'!$A:$A,"Quantity (units)")+SUMIFS('Source 2025'!$U:$U,'Source 2025'!$B:$B,$A82,'Source 2025'!$A:$A,"Quantity (units)")+SUMIFS('Source 2025'!$D:$D,'Source 2025'!$B:$B,$A82,'Source 2025'!$A:$A,"Quantity (units)")+SUMIFS('Source 2025'!$E:$E,'Source 2025'!$B:$B,$A82,'Source 2025'!$A:$A,"Quantity (units)")+SUMIFS('Source 2025'!$G:$G,'Source 2025'!$B:$B,$A82,'Source 2025'!$A:$A,"Quantity (units)")</f>
        <v>55</v>
      </c>
      <c r="D82" s="9" t="n">
        <f aca="false">SUMIFS('Source 2026'!$F:$F,'Source 2026'!$B:$B,$A82,'Source 2026'!$A:$A,"Quantity (units)")+SUMIFS('Source 2026'!$H:$H,'Source 2026'!$B:$B,$A82,'Source 2026'!$A:$A,"Quantity (units)")+SUMIFS('Source 2026'!$M:$M,'Source 2026'!$B:$B,$A82,'Source 2026'!$A:$A,"Quantity (units)")+SUMIFS('Source 2026'!$N:$N,'Source 2026'!$B:$B,$A82,'Source 2026'!$A:$A,"Quantity (units)")+SUMIFS('Source 2026'!$S:$S,'Source 2026'!$B:$B,$A82,'Source 2026'!$A:$A,"Quantity (units)")+SUMIFS('Source 2026'!$U:$U,'Source 2026'!$B:$B,$A82,'Source 2026'!$A:$A,"Quantity (units)")+SUMIFS('Source 2026'!$D:$D,'Source 2026'!$B:$B,$A82,'Source 2026'!$A:$A,"Quantity (units)")+SUMIFS('Source 2026'!$E:$E,'Source 2026'!$B:$B,$A82,'Source 2026'!$A:$A,"Quantity (units)")+SUMIFS('Source 2026'!$G:$G,'Source 2026'!$B:$B,$A82,'Source 2026'!$A:$A,"Quantity (units)")</f>
        <v>26</v>
      </c>
      <c r="E82" s="9" t="n">
        <f aca="false">D82*$J$5</f>
        <v>32.8421052631579</v>
      </c>
      <c r="F82" s="9" t="n">
        <f aca="false">E82-C82</f>
        <v>-22.1578947368421</v>
      </c>
      <c r="G82" s="11" t="n">
        <f aca="false">IF(AND(C82=0,E82=0),0,IF(C82=0,"New",(E82-C82)/C82))</f>
        <v>-0.402870813397129</v>
      </c>
      <c r="H82" s="9" t="n">
        <f aca="false">SUMIFS('Source 2025'!$F:$F,'Source 2025'!$B:$B,$A82,'Source 2025'!$A:$A,"Amount (NIS)")+SUMIFS('Source 2025'!$H:$H,'Source 2025'!$B:$B,$A82,'Source 2025'!$A:$A,"Amount (NIS)")+SUMIFS('Source 2025'!$M:$M,'Source 2025'!$B:$B,$A82,'Source 2025'!$A:$A,"Amount (NIS)")+SUMIFS('Source 2025'!$N:$N,'Source 2025'!$B:$B,$A82,'Source 2025'!$A:$A,"Amount (NIS)")+SUMIFS('Source 2025'!$S:$S,'Source 2025'!$B:$B,$A82,'Source 2025'!$A:$A,"Amount (NIS)")+SUMIFS('Source 2025'!$U:$U,'Source 2025'!$B:$B,$A82,'Source 2025'!$A:$A,"Amount (NIS)")+SUMIFS('Source 2025'!$D:$D,'Source 2025'!$B:$B,$A82,'Source 2025'!$A:$A,"Amount (NIS)")+SUMIFS('Source 2025'!$E:$E,'Source 2025'!$B:$B,$A82,'Source 2025'!$A:$A,"Amount (NIS)")+SUMIFS('Source 2025'!$G:$G,'Source 2025'!$B:$B,$A82,'Source 2025'!$A:$A,"Amount (NIS)")</f>
        <v>5662.1</v>
      </c>
      <c r="I82" s="9" t="n">
        <f aca="false">SUMIFS('Source 2026'!$F:$F,'Source 2026'!$B:$B,$A82,'Source 2026'!$A:$A,"Amount (NIS)")+SUMIFS('Source 2026'!$H:$H,'Source 2026'!$B:$B,$A82,'Source 2026'!$A:$A,"Amount (NIS)")+SUMIFS('Source 2026'!$M:$M,'Source 2026'!$B:$B,$A82,'Source 2026'!$A:$A,"Amount (NIS)")+SUMIFS('Source 2026'!$N:$N,'Source 2026'!$B:$B,$A82,'Source 2026'!$A:$A,"Amount (NIS)")+SUMIFS('Source 2026'!$S:$S,'Source 2026'!$B:$B,$A82,'Source 2026'!$A:$A,"Amount (NIS)")+SUMIFS('Source 2026'!$U:$U,'Source 2026'!$B:$B,$A82,'Source 2026'!$A:$A,"Amount (NIS)")+SUMIFS('Source 2026'!$D:$D,'Source 2026'!$B:$B,$A82,'Source 2026'!$A:$A,"Amount (NIS)")+SUMIFS('Source 2026'!$E:$E,'Source 2026'!$B:$B,$A82,'Source 2026'!$A:$A,"Amount (NIS)")+SUMIFS('Source 2026'!$G:$G,'Source 2026'!$B:$B,$A82,'Source 2026'!$A:$A,"Amount (NIS)")</f>
        <v>2731.8</v>
      </c>
      <c r="J82" s="9" t="n">
        <f aca="false">I82*$J$5</f>
        <v>3450.69473684211</v>
      </c>
      <c r="K82" s="9" t="n">
        <f aca="false">J82-H82</f>
        <v>-2211.4052631579</v>
      </c>
      <c r="L82" s="11" t="n">
        <f aca="false">IF(AND(H82=0,J82=0),0,IF(H82=0,"New",(J82-H82)/H82))</f>
        <v>-0.390562735232139</v>
      </c>
    </row>
    <row r="83" customFormat="false" ht="15" hidden="false" customHeight="true" outlineLevel="0" collapsed="false">
      <c r="A83" s="8" t="s">
        <v>152</v>
      </c>
      <c r="B83" s="8" t="str">
        <f aca="false">IFERROR(INDEX('Source 2026'!$C:$C,MATCH($A83,'Source 2026'!$B:$B,0)),IFERROR(INDEX('Source 2025'!$C:$C,MATCH($A83,'Source 2025'!$B:$B,0)),""))</f>
        <v>Lמ.ברך+כרית סיל.סביב לפיקה</v>
      </c>
      <c r="C83" s="9" t="n">
        <f aca="false">SUMIFS('Source 2025'!$F:$F,'Source 2025'!$B:$B,$A83,'Source 2025'!$A:$A,"Quantity (units)")+SUMIFS('Source 2025'!$H:$H,'Source 2025'!$B:$B,$A83,'Source 2025'!$A:$A,"Quantity (units)")+SUMIFS('Source 2025'!$M:$M,'Source 2025'!$B:$B,$A83,'Source 2025'!$A:$A,"Quantity (units)")+SUMIFS('Source 2025'!$N:$N,'Source 2025'!$B:$B,$A83,'Source 2025'!$A:$A,"Quantity (units)")+SUMIFS('Source 2025'!$S:$S,'Source 2025'!$B:$B,$A83,'Source 2025'!$A:$A,"Quantity (units)")+SUMIFS('Source 2025'!$U:$U,'Source 2025'!$B:$B,$A83,'Source 2025'!$A:$A,"Quantity (units)")+SUMIFS('Source 2025'!$D:$D,'Source 2025'!$B:$B,$A83,'Source 2025'!$A:$A,"Quantity (units)")+SUMIFS('Source 2025'!$E:$E,'Source 2025'!$B:$B,$A83,'Source 2025'!$A:$A,"Quantity (units)")+SUMIFS('Source 2025'!$G:$G,'Source 2025'!$B:$B,$A83,'Source 2025'!$A:$A,"Quantity (units)")</f>
        <v>17</v>
      </c>
      <c r="D83" s="9" t="n">
        <f aca="false">SUMIFS('Source 2026'!$F:$F,'Source 2026'!$B:$B,$A83,'Source 2026'!$A:$A,"Quantity (units)")+SUMIFS('Source 2026'!$H:$H,'Source 2026'!$B:$B,$A83,'Source 2026'!$A:$A,"Quantity (units)")+SUMIFS('Source 2026'!$M:$M,'Source 2026'!$B:$B,$A83,'Source 2026'!$A:$A,"Quantity (units)")+SUMIFS('Source 2026'!$N:$N,'Source 2026'!$B:$B,$A83,'Source 2026'!$A:$A,"Quantity (units)")+SUMIFS('Source 2026'!$S:$S,'Source 2026'!$B:$B,$A83,'Source 2026'!$A:$A,"Quantity (units)")+SUMIFS('Source 2026'!$U:$U,'Source 2026'!$B:$B,$A83,'Source 2026'!$A:$A,"Quantity (units)")+SUMIFS('Source 2026'!$D:$D,'Source 2026'!$B:$B,$A83,'Source 2026'!$A:$A,"Quantity (units)")+SUMIFS('Source 2026'!$E:$E,'Source 2026'!$B:$B,$A83,'Source 2026'!$A:$A,"Quantity (units)")+SUMIFS('Source 2026'!$G:$G,'Source 2026'!$B:$B,$A83,'Source 2026'!$A:$A,"Quantity (units)")</f>
        <v>2</v>
      </c>
      <c r="E83" s="9" t="n">
        <f aca="false">D83*$J$5</f>
        <v>2.52631578947368</v>
      </c>
      <c r="F83" s="9" t="n">
        <f aca="false">E83-C83</f>
        <v>-14.4736842105263</v>
      </c>
      <c r="G83" s="11" t="n">
        <f aca="false">IF(AND(C83=0,E83=0),0,IF(C83=0,"New",(E83-C83)/C83))</f>
        <v>-0.851393188854489</v>
      </c>
      <c r="H83" s="9" t="n">
        <f aca="false">SUMIFS('Source 2025'!$F:$F,'Source 2025'!$B:$B,$A83,'Source 2025'!$A:$A,"Amount (NIS)")+SUMIFS('Source 2025'!$H:$H,'Source 2025'!$B:$B,$A83,'Source 2025'!$A:$A,"Amount (NIS)")+SUMIFS('Source 2025'!$M:$M,'Source 2025'!$B:$B,$A83,'Source 2025'!$A:$A,"Amount (NIS)")+SUMIFS('Source 2025'!$N:$N,'Source 2025'!$B:$B,$A83,'Source 2025'!$A:$A,"Amount (NIS)")+SUMIFS('Source 2025'!$S:$S,'Source 2025'!$B:$B,$A83,'Source 2025'!$A:$A,"Amount (NIS)")+SUMIFS('Source 2025'!$U:$U,'Source 2025'!$B:$B,$A83,'Source 2025'!$A:$A,"Amount (NIS)")+SUMIFS('Source 2025'!$D:$D,'Source 2025'!$B:$B,$A83,'Source 2025'!$A:$A,"Amount (NIS)")+SUMIFS('Source 2025'!$E:$E,'Source 2025'!$B:$B,$A83,'Source 2025'!$A:$A,"Amount (NIS)")+SUMIFS('Source 2025'!$G:$G,'Source 2025'!$B:$B,$A83,'Source 2025'!$A:$A,"Amount (NIS)")</f>
        <v>3073.3</v>
      </c>
      <c r="I83" s="9" t="n">
        <f aca="false">SUMIFS('Source 2026'!$F:$F,'Source 2026'!$B:$B,$A83,'Source 2026'!$A:$A,"Amount (NIS)")+SUMIFS('Source 2026'!$H:$H,'Source 2026'!$B:$B,$A83,'Source 2026'!$A:$A,"Amount (NIS)")+SUMIFS('Source 2026'!$M:$M,'Source 2026'!$B:$B,$A83,'Source 2026'!$A:$A,"Amount (NIS)")+SUMIFS('Source 2026'!$N:$N,'Source 2026'!$B:$B,$A83,'Source 2026'!$A:$A,"Amount (NIS)")+SUMIFS('Source 2026'!$S:$S,'Source 2026'!$B:$B,$A83,'Source 2026'!$A:$A,"Amount (NIS)")+SUMIFS('Source 2026'!$U:$U,'Source 2026'!$B:$B,$A83,'Source 2026'!$A:$A,"Amount (NIS)")+SUMIFS('Source 2026'!$D:$D,'Source 2026'!$B:$B,$A83,'Source 2026'!$A:$A,"Amount (NIS)")+SUMIFS('Source 2026'!$E:$E,'Source 2026'!$B:$B,$A83,'Source 2026'!$A:$A,"Amount (NIS)")+SUMIFS('Source 2026'!$G:$G,'Source 2026'!$B:$B,$A83,'Source 2026'!$A:$A,"Amount (NIS)")</f>
        <v>349.9</v>
      </c>
      <c r="J83" s="9" t="n">
        <f aca="false">I83*$J$5</f>
        <v>441.978947368421</v>
      </c>
      <c r="K83" s="9" t="n">
        <f aca="false">J83-H83</f>
        <v>-2631.32105263158</v>
      </c>
      <c r="L83" s="11" t="n">
        <f aca="false">IF(AND(H83=0,J83=0),0,IF(H83=0,"New",(J83-H83)/H83))</f>
        <v>-0.856187502889916</v>
      </c>
    </row>
    <row r="84" customFormat="false" ht="15" hidden="false" customHeight="true" outlineLevel="0" collapsed="false">
      <c r="A84" s="8" t="s">
        <v>153</v>
      </c>
      <c r="B84" s="8" t="str">
        <f aca="false">IFERROR(INDEX('Source 2026'!$C:$C,MATCH($A84,'Source 2026'!$B:$B,0)),IFERROR(INDEX('Source 2025'!$C:$C,MATCH($A84,'Source 2025'!$B:$B,0)),""))</f>
        <v>S ח.גב ""איטלקית"" אורירית</v>
      </c>
      <c r="C84" s="9" t="n">
        <f aca="false">SUMIFS('Source 2025'!$F:$F,'Source 2025'!$B:$B,$A84,'Source 2025'!$A:$A,"Quantity (units)")+SUMIFS('Source 2025'!$H:$H,'Source 2025'!$B:$B,$A84,'Source 2025'!$A:$A,"Quantity (units)")+SUMIFS('Source 2025'!$M:$M,'Source 2025'!$B:$B,$A84,'Source 2025'!$A:$A,"Quantity (units)")+SUMIFS('Source 2025'!$N:$N,'Source 2025'!$B:$B,$A84,'Source 2025'!$A:$A,"Quantity (units)")+SUMIFS('Source 2025'!$S:$S,'Source 2025'!$B:$B,$A84,'Source 2025'!$A:$A,"Quantity (units)")+SUMIFS('Source 2025'!$U:$U,'Source 2025'!$B:$B,$A84,'Source 2025'!$A:$A,"Quantity (units)")+SUMIFS('Source 2025'!$D:$D,'Source 2025'!$B:$B,$A84,'Source 2025'!$A:$A,"Quantity (units)")+SUMIFS('Source 2025'!$E:$E,'Source 2025'!$B:$B,$A84,'Source 2025'!$A:$A,"Quantity (units)")+SUMIFS('Source 2025'!$G:$G,'Source 2025'!$B:$B,$A84,'Source 2025'!$A:$A,"Quantity (units)")</f>
        <v>9</v>
      </c>
      <c r="D84" s="9" t="n">
        <f aca="false">SUMIFS('Source 2026'!$F:$F,'Source 2026'!$B:$B,$A84,'Source 2026'!$A:$A,"Quantity (units)")+SUMIFS('Source 2026'!$H:$H,'Source 2026'!$B:$B,$A84,'Source 2026'!$A:$A,"Quantity (units)")+SUMIFS('Source 2026'!$M:$M,'Source 2026'!$B:$B,$A84,'Source 2026'!$A:$A,"Quantity (units)")+SUMIFS('Source 2026'!$N:$N,'Source 2026'!$B:$B,$A84,'Source 2026'!$A:$A,"Quantity (units)")+SUMIFS('Source 2026'!$S:$S,'Source 2026'!$B:$B,$A84,'Source 2026'!$A:$A,"Quantity (units)")+SUMIFS('Source 2026'!$U:$U,'Source 2026'!$B:$B,$A84,'Source 2026'!$A:$A,"Quantity (units)")+SUMIFS('Source 2026'!$D:$D,'Source 2026'!$B:$B,$A84,'Source 2026'!$A:$A,"Quantity (units)")+SUMIFS('Source 2026'!$E:$E,'Source 2026'!$B:$B,$A84,'Source 2026'!$A:$A,"Quantity (units)")+SUMIFS('Source 2026'!$G:$G,'Source 2026'!$B:$B,$A84,'Source 2026'!$A:$A,"Quantity (units)")</f>
        <v>-2</v>
      </c>
      <c r="E84" s="9" t="n">
        <f aca="false">D84*$J$5</f>
        <v>-2.52631578947368</v>
      </c>
      <c r="F84" s="9" t="n">
        <f aca="false">E84-C84</f>
        <v>-11.5263157894737</v>
      </c>
      <c r="G84" s="11" t="n">
        <f aca="false">IF(AND(C84=0,E84=0),0,IF(C84=0,"New",(E84-C84)/C84))</f>
        <v>-1.28070175438597</v>
      </c>
      <c r="H84" s="9" t="n">
        <f aca="false">SUMIFS('Source 2025'!$F:$F,'Source 2025'!$B:$B,$A84,'Source 2025'!$A:$A,"Amount (NIS)")+SUMIFS('Source 2025'!$H:$H,'Source 2025'!$B:$B,$A84,'Source 2025'!$A:$A,"Amount (NIS)")+SUMIFS('Source 2025'!$M:$M,'Source 2025'!$B:$B,$A84,'Source 2025'!$A:$A,"Amount (NIS)")+SUMIFS('Source 2025'!$N:$N,'Source 2025'!$B:$B,$A84,'Source 2025'!$A:$A,"Amount (NIS)")+SUMIFS('Source 2025'!$S:$S,'Source 2025'!$B:$B,$A84,'Source 2025'!$A:$A,"Amount (NIS)")+SUMIFS('Source 2025'!$U:$U,'Source 2025'!$B:$B,$A84,'Source 2025'!$A:$A,"Amount (NIS)")+SUMIFS('Source 2025'!$D:$D,'Source 2025'!$B:$B,$A84,'Source 2025'!$A:$A,"Amount (NIS)")+SUMIFS('Source 2025'!$E:$E,'Source 2025'!$B:$B,$A84,'Source 2025'!$A:$A,"Amount (NIS)")+SUMIFS('Source 2025'!$G:$G,'Source 2025'!$B:$B,$A84,'Source 2025'!$A:$A,"Amount (NIS)")</f>
        <v>2234.9</v>
      </c>
      <c r="I84" s="9" t="n">
        <f aca="false">SUMIFS('Source 2026'!$F:$F,'Source 2026'!$B:$B,$A84,'Source 2026'!$A:$A,"Amount (NIS)")+SUMIFS('Source 2026'!$H:$H,'Source 2026'!$B:$B,$A84,'Source 2026'!$A:$A,"Amount (NIS)")+SUMIFS('Source 2026'!$M:$M,'Source 2026'!$B:$B,$A84,'Source 2026'!$A:$A,"Amount (NIS)")+SUMIFS('Source 2026'!$N:$N,'Source 2026'!$B:$B,$A84,'Source 2026'!$A:$A,"Amount (NIS)")+SUMIFS('Source 2026'!$S:$S,'Source 2026'!$B:$B,$A84,'Source 2026'!$A:$A,"Amount (NIS)")+SUMIFS('Source 2026'!$U:$U,'Source 2026'!$B:$B,$A84,'Source 2026'!$A:$A,"Amount (NIS)")+SUMIFS('Source 2026'!$D:$D,'Source 2026'!$B:$B,$A84,'Source 2026'!$A:$A,"Amount (NIS)")+SUMIFS('Source 2026'!$E:$E,'Source 2026'!$B:$B,$A84,'Source 2026'!$A:$A,"Amount (NIS)")+SUMIFS('Source 2026'!$G:$G,'Source 2026'!$B:$B,$A84,'Source 2026'!$A:$A,"Amount (NIS)")</f>
        <v>-478.4</v>
      </c>
      <c r="J84" s="9" t="n">
        <f aca="false">I84*$J$5</f>
        <v>-604.294736842105</v>
      </c>
      <c r="K84" s="9" t="n">
        <f aca="false">J84-H84</f>
        <v>-2839.19473684211</v>
      </c>
      <c r="L84" s="11" t="n">
        <f aca="false">IF(AND(H84=0,J84=0),0,IF(H84=0,"New",(J84-H84)/H84))</f>
        <v>-1.27039005630771</v>
      </c>
    </row>
    <row r="85" customFormat="false" ht="15" hidden="false" customHeight="true" outlineLevel="0" collapsed="false">
      <c r="A85" s="8" t="s">
        <v>154</v>
      </c>
      <c r="B85" s="8" t="str">
        <f aca="false">IFERROR(INDEX('Source 2026'!$C:$C,MATCH($A85,'Source 2026'!$B:$B,0)),IFERROR(INDEX('Source 2025'!$C:$C,MATCH($A85,'Source 2025'!$B:$B,0)),""))</f>
        <v>מגן ברך + צירים</v>
      </c>
      <c r="C85" s="9" t="n">
        <f aca="false">SUMIFS('Source 2025'!$F:$F,'Source 2025'!$B:$B,$A85,'Source 2025'!$A:$A,"Quantity (units)")+SUMIFS('Source 2025'!$H:$H,'Source 2025'!$B:$B,$A85,'Source 2025'!$A:$A,"Quantity (units)")+SUMIFS('Source 2025'!$M:$M,'Source 2025'!$B:$B,$A85,'Source 2025'!$A:$A,"Quantity (units)")+SUMIFS('Source 2025'!$N:$N,'Source 2025'!$B:$B,$A85,'Source 2025'!$A:$A,"Quantity (units)")+SUMIFS('Source 2025'!$S:$S,'Source 2025'!$B:$B,$A85,'Source 2025'!$A:$A,"Quantity (units)")+SUMIFS('Source 2025'!$U:$U,'Source 2025'!$B:$B,$A85,'Source 2025'!$A:$A,"Quantity (units)")+SUMIFS('Source 2025'!$D:$D,'Source 2025'!$B:$B,$A85,'Source 2025'!$A:$A,"Quantity (units)")+SUMIFS('Source 2025'!$E:$E,'Source 2025'!$B:$B,$A85,'Source 2025'!$A:$A,"Quantity (units)")+SUMIFS('Source 2025'!$G:$G,'Source 2025'!$B:$B,$A85,'Source 2025'!$A:$A,"Quantity (units)")</f>
        <v>103</v>
      </c>
      <c r="D85" s="9" t="n">
        <f aca="false">SUMIFS('Source 2026'!$F:$F,'Source 2026'!$B:$B,$A85,'Source 2026'!$A:$A,"Quantity (units)")+SUMIFS('Source 2026'!$H:$H,'Source 2026'!$B:$B,$A85,'Source 2026'!$A:$A,"Quantity (units)")+SUMIFS('Source 2026'!$M:$M,'Source 2026'!$B:$B,$A85,'Source 2026'!$A:$A,"Quantity (units)")+SUMIFS('Source 2026'!$N:$N,'Source 2026'!$B:$B,$A85,'Source 2026'!$A:$A,"Quantity (units)")+SUMIFS('Source 2026'!$S:$S,'Source 2026'!$B:$B,$A85,'Source 2026'!$A:$A,"Quantity (units)")+SUMIFS('Source 2026'!$U:$U,'Source 2026'!$B:$B,$A85,'Source 2026'!$A:$A,"Quantity (units)")+SUMIFS('Source 2026'!$D:$D,'Source 2026'!$B:$B,$A85,'Source 2026'!$A:$A,"Quantity (units)")+SUMIFS('Source 2026'!$E:$E,'Source 2026'!$B:$B,$A85,'Source 2026'!$A:$A,"Quantity (units)")+SUMIFS('Source 2026'!$G:$G,'Source 2026'!$B:$B,$A85,'Source 2026'!$A:$A,"Quantity (units)")</f>
        <v>73</v>
      </c>
      <c r="E85" s="9" t="n">
        <f aca="false">D85*$J$5</f>
        <v>92.2105263157895</v>
      </c>
      <c r="F85" s="9" t="n">
        <f aca="false">E85-C85</f>
        <v>-10.7894736842105</v>
      </c>
      <c r="G85" s="11" t="n">
        <f aca="false">IF(AND(C85=0,E85=0),0,IF(C85=0,"New",(E85-C85)/C85))</f>
        <v>-0.104752171691364</v>
      </c>
      <c r="H85" s="9" t="n">
        <f aca="false">SUMIFS('Source 2025'!$F:$F,'Source 2025'!$B:$B,$A85,'Source 2025'!$A:$A,"Amount (NIS)")+SUMIFS('Source 2025'!$H:$H,'Source 2025'!$B:$B,$A85,'Source 2025'!$A:$A,"Amount (NIS)")+SUMIFS('Source 2025'!$M:$M,'Source 2025'!$B:$B,$A85,'Source 2025'!$A:$A,"Amount (NIS)")+SUMIFS('Source 2025'!$N:$N,'Source 2025'!$B:$B,$A85,'Source 2025'!$A:$A,"Amount (NIS)")+SUMIFS('Source 2025'!$S:$S,'Source 2025'!$B:$B,$A85,'Source 2025'!$A:$A,"Amount (NIS)")+SUMIFS('Source 2025'!$U:$U,'Source 2025'!$B:$B,$A85,'Source 2025'!$A:$A,"Amount (NIS)")+SUMIFS('Source 2025'!$D:$D,'Source 2025'!$B:$B,$A85,'Source 2025'!$A:$A,"Amount (NIS)")+SUMIFS('Source 2025'!$E:$E,'Source 2025'!$B:$B,$A85,'Source 2025'!$A:$A,"Amount (NIS)")+SUMIFS('Source 2025'!$G:$G,'Source 2025'!$B:$B,$A85,'Source 2025'!$A:$A,"Amount (NIS)")</f>
        <v>9674.1</v>
      </c>
      <c r="I85" s="9" t="n">
        <f aca="false">SUMIFS('Source 2026'!$F:$F,'Source 2026'!$B:$B,$A85,'Source 2026'!$A:$A,"Amount (NIS)")+SUMIFS('Source 2026'!$H:$H,'Source 2026'!$B:$B,$A85,'Source 2026'!$A:$A,"Amount (NIS)")+SUMIFS('Source 2026'!$M:$M,'Source 2026'!$B:$B,$A85,'Source 2026'!$A:$A,"Amount (NIS)")+SUMIFS('Source 2026'!$N:$N,'Source 2026'!$B:$B,$A85,'Source 2026'!$A:$A,"Amount (NIS)")+SUMIFS('Source 2026'!$S:$S,'Source 2026'!$B:$B,$A85,'Source 2026'!$A:$A,"Amount (NIS)")+SUMIFS('Source 2026'!$U:$U,'Source 2026'!$B:$B,$A85,'Source 2026'!$A:$A,"Amount (NIS)")+SUMIFS('Source 2026'!$D:$D,'Source 2026'!$B:$B,$A85,'Source 2026'!$A:$A,"Amount (NIS)")+SUMIFS('Source 2026'!$E:$E,'Source 2026'!$B:$B,$A85,'Source 2026'!$A:$A,"Amount (NIS)")+SUMIFS('Source 2026'!$G:$G,'Source 2026'!$B:$B,$A85,'Source 2026'!$A:$A,"Amount (NIS)")</f>
        <v>7022.6</v>
      </c>
      <c r="J85" s="9" t="n">
        <f aca="false">I85*$J$5</f>
        <v>8870.65263157895</v>
      </c>
      <c r="K85" s="9" t="n">
        <f aca="false">J85-H85</f>
        <v>-803.447368421053</v>
      </c>
      <c r="L85" s="11" t="n">
        <f aca="false">IF(AND(H85=0,J85=0),0,IF(H85=0,"New",(J85-H85)/H85))</f>
        <v>-0.0830513813606489</v>
      </c>
    </row>
    <row r="86" customFormat="false" ht="15" hidden="false" customHeight="true" outlineLevel="0" collapsed="false">
      <c r="A86" s="8" t="s">
        <v>155</v>
      </c>
      <c r="B86" s="8" t="str">
        <f aca="false">IFERROR(INDEX('Source 2026'!$C:$C,MATCH($A86,'Source 2026'!$B:$B,0)),IFERROR(INDEX('Source 2025'!$C:$C,MATCH($A86,'Source 2025'!$B:$B,0)),""))</f>
        <v>גרב.כסף לסכרתים שחור35-38</v>
      </c>
      <c r="C86" s="9" t="n">
        <f aca="false">SUMIFS('Source 2025'!$F:$F,'Source 2025'!$B:$B,$A86,'Source 2025'!$A:$A,"Quantity (units)")+SUMIFS('Source 2025'!$H:$H,'Source 2025'!$B:$B,$A86,'Source 2025'!$A:$A,"Quantity (units)")+SUMIFS('Source 2025'!$M:$M,'Source 2025'!$B:$B,$A86,'Source 2025'!$A:$A,"Quantity (units)")+SUMIFS('Source 2025'!$N:$N,'Source 2025'!$B:$B,$A86,'Source 2025'!$A:$A,"Quantity (units)")+SUMIFS('Source 2025'!$S:$S,'Source 2025'!$B:$B,$A86,'Source 2025'!$A:$A,"Quantity (units)")+SUMIFS('Source 2025'!$U:$U,'Source 2025'!$B:$B,$A86,'Source 2025'!$A:$A,"Quantity (units)")+SUMIFS('Source 2025'!$D:$D,'Source 2025'!$B:$B,$A86,'Source 2025'!$A:$A,"Quantity (units)")+SUMIFS('Source 2025'!$E:$E,'Source 2025'!$B:$B,$A86,'Source 2025'!$A:$A,"Quantity (units)")+SUMIFS('Source 2025'!$G:$G,'Source 2025'!$B:$B,$A86,'Source 2025'!$A:$A,"Quantity (units)")</f>
        <v>136</v>
      </c>
      <c r="D86" s="9" t="n">
        <f aca="false">SUMIFS('Source 2026'!$F:$F,'Source 2026'!$B:$B,$A86,'Source 2026'!$A:$A,"Quantity (units)")+SUMIFS('Source 2026'!$H:$H,'Source 2026'!$B:$B,$A86,'Source 2026'!$A:$A,"Quantity (units)")+SUMIFS('Source 2026'!$M:$M,'Source 2026'!$B:$B,$A86,'Source 2026'!$A:$A,"Quantity (units)")+SUMIFS('Source 2026'!$N:$N,'Source 2026'!$B:$B,$A86,'Source 2026'!$A:$A,"Quantity (units)")+SUMIFS('Source 2026'!$S:$S,'Source 2026'!$B:$B,$A86,'Source 2026'!$A:$A,"Quantity (units)")+SUMIFS('Source 2026'!$U:$U,'Source 2026'!$B:$B,$A86,'Source 2026'!$A:$A,"Quantity (units)")+SUMIFS('Source 2026'!$D:$D,'Source 2026'!$B:$B,$A86,'Source 2026'!$A:$A,"Quantity (units)")+SUMIFS('Source 2026'!$E:$E,'Source 2026'!$B:$B,$A86,'Source 2026'!$A:$A,"Quantity (units)")+SUMIFS('Source 2026'!$G:$G,'Source 2026'!$B:$B,$A86,'Source 2026'!$A:$A,"Quantity (units)")</f>
        <v>49</v>
      </c>
      <c r="E86" s="9" t="n">
        <f aca="false">D86*$J$5</f>
        <v>61.8947368421053</v>
      </c>
      <c r="F86" s="9" t="n">
        <f aca="false">E86-C86</f>
        <v>-74.1052631578947</v>
      </c>
      <c r="G86" s="11" t="n">
        <f aca="false">IF(AND(C86=0,E86=0),0,IF(C86=0,"New",(E86-C86)/C86))</f>
        <v>-0.544891640866873</v>
      </c>
      <c r="H86" s="9" t="n">
        <f aca="false">SUMIFS('Source 2025'!$F:$F,'Source 2025'!$B:$B,$A86,'Source 2025'!$A:$A,"Amount (NIS)")+SUMIFS('Source 2025'!$H:$H,'Source 2025'!$B:$B,$A86,'Source 2025'!$A:$A,"Amount (NIS)")+SUMIFS('Source 2025'!$M:$M,'Source 2025'!$B:$B,$A86,'Source 2025'!$A:$A,"Amount (NIS)")+SUMIFS('Source 2025'!$N:$N,'Source 2025'!$B:$B,$A86,'Source 2025'!$A:$A,"Amount (NIS)")+SUMIFS('Source 2025'!$S:$S,'Source 2025'!$B:$B,$A86,'Source 2025'!$A:$A,"Amount (NIS)")+SUMIFS('Source 2025'!$U:$U,'Source 2025'!$B:$B,$A86,'Source 2025'!$A:$A,"Amount (NIS)")+SUMIFS('Source 2025'!$D:$D,'Source 2025'!$B:$B,$A86,'Source 2025'!$A:$A,"Amount (NIS)")+SUMIFS('Source 2025'!$E:$E,'Source 2025'!$B:$B,$A86,'Source 2025'!$A:$A,"Amount (NIS)")+SUMIFS('Source 2025'!$G:$G,'Source 2025'!$B:$B,$A86,'Source 2025'!$A:$A,"Amount (NIS)")</f>
        <v>4187.5</v>
      </c>
      <c r="I86" s="9" t="n">
        <f aca="false">SUMIFS('Source 2026'!$F:$F,'Source 2026'!$B:$B,$A86,'Source 2026'!$A:$A,"Amount (NIS)")+SUMIFS('Source 2026'!$H:$H,'Source 2026'!$B:$B,$A86,'Source 2026'!$A:$A,"Amount (NIS)")+SUMIFS('Source 2026'!$M:$M,'Source 2026'!$B:$B,$A86,'Source 2026'!$A:$A,"Amount (NIS)")+SUMIFS('Source 2026'!$N:$N,'Source 2026'!$B:$B,$A86,'Source 2026'!$A:$A,"Amount (NIS)")+SUMIFS('Source 2026'!$S:$S,'Source 2026'!$B:$B,$A86,'Source 2026'!$A:$A,"Amount (NIS)")+SUMIFS('Source 2026'!$U:$U,'Source 2026'!$B:$B,$A86,'Source 2026'!$A:$A,"Amount (NIS)")+SUMIFS('Source 2026'!$D:$D,'Source 2026'!$B:$B,$A86,'Source 2026'!$A:$A,"Amount (NIS)")+SUMIFS('Source 2026'!$E:$E,'Source 2026'!$B:$B,$A86,'Source 2026'!$A:$A,"Amount (NIS)")+SUMIFS('Source 2026'!$G:$G,'Source 2026'!$B:$B,$A86,'Source 2026'!$A:$A,"Amount (NIS)")</f>
        <v>1631.3</v>
      </c>
      <c r="J86" s="9" t="n">
        <f aca="false">I86*$J$5</f>
        <v>2060.58947368421</v>
      </c>
      <c r="K86" s="9" t="n">
        <f aca="false">J86-H86</f>
        <v>-2126.91052631579</v>
      </c>
      <c r="L86" s="11" t="n">
        <f aca="false">IF(AND(H86=0,J86=0),0,IF(H86=0,"New",(J86-H86)/H86))</f>
        <v>-0.507918931657502</v>
      </c>
    </row>
    <row r="87" customFormat="false" ht="15" hidden="false" customHeight="true" outlineLevel="0" collapsed="false">
      <c r="A87" s="8" t="s">
        <v>156</v>
      </c>
      <c r="B87" s="8" t="str">
        <f aca="false">IFERROR(INDEX('Source 2026'!$C:$C,MATCH($A87,'Source 2026'!$B:$B,0)),IFERROR(INDEX('Source 2025'!$C:$C,MATCH($A87,'Source 2025'!$B:$B,0)),""))</f>
        <v>תחבושת א.נצמ</v>
      </c>
      <c r="C87" s="9" t="n">
        <f aca="false">SUMIFS('Source 2025'!$F:$F,'Source 2025'!$B:$B,$A87,'Source 2025'!$A:$A,"Quantity (units)")+SUMIFS('Source 2025'!$H:$H,'Source 2025'!$B:$B,$A87,'Source 2025'!$A:$A,"Quantity (units)")+SUMIFS('Source 2025'!$M:$M,'Source 2025'!$B:$B,$A87,'Source 2025'!$A:$A,"Quantity (units)")+SUMIFS('Source 2025'!$N:$N,'Source 2025'!$B:$B,$A87,'Source 2025'!$A:$A,"Quantity (units)")+SUMIFS('Source 2025'!$S:$S,'Source 2025'!$B:$B,$A87,'Source 2025'!$A:$A,"Quantity (units)")+SUMIFS('Source 2025'!$U:$U,'Source 2025'!$B:$B,$A87,'Source 2025'!$A:$A,"Quantity (units)")+SUMIFS('Source 2025'!$D:$D,'Source 2025'!$B:$B,$A87,'Source 2025'!$A:$A,"Quantity (units)")+SUMIFS('Source 2025'!$E:$E,'Source 2025'!$B:$B,$A87,'Source 2025'!$A:$A,"Quantity (units)")+SUMIFS('Source 2025'!$G:$G,'Source 2025'!$B:$B,$A87,'Source 2025'!$A:$A,"Quantity (units)")</f>
        <v>471</v>
      </c>
      <c r="D87" s="9" t="n">
        <f aca="false">SUMIFS('Source 2026'!$F:$F,'Source 2026'!$B:$B,$A87,'Source 2026'!$A:$A,"Quantity (units)")+SUMIFS('Source 2026'!$H:$H,'Source 2026'!$B:$B,$A87,'Source 2026'!$A:$A,"Quantity (units)")+SUMIFS('Source 2026'!$M:$M,'Source 2026'!$B:$B,$A87,'Source 2026'!$A:$A,"Quantity (units)")+SUMIFS('Source 2026'!$N:$N,'Source 2026'!$B:$B,$A87,'Source 2026'!$A:$A,"Quantity (units)")+SUMIFS('Source 2026'!$S:$S,'Source 2026'!$B:$B,$A87,'Source 2026'!$A:$A,"Quantity (units)")+SUMIFS('Source 2026'!$U:$U,'Source 2026'!$B:$B,$A87,'Source 2026'!$A:$A,"Quantity (units)")+SUMIFS('Source 2026'!$D:$D,'Source 2026'!$B:$B,$A87,'Source 2026'!$A:$A,"Quantity (units)")+SUMIFS('Source 2026'!$E:$E,'Source 2026'!$B:$B,$A87,'Source 2026'!$A:$A,"Quantity (units)")+SUMIFS('Source 2026'!$G:$G,'Source 2026'!$B:$B,$A87,'Source 2026'!$A:$A,"Quantity (units)")</f>
        <v>192</v>
      </c>
      <c r="E87" s="9" t="n">
        <f aca="false">D87*$J$5</f>
        <v>242.526315789474</v>
      </c>
      <c r="F87" s="9" t="n">
        <f aca="false">E87-C87</f>
        <v>-228.473684210526</v>
      </c>
      <c r="G87" s="11" t="n">
        <f aca="false">IF(AND(C87=0,E87=0),0,IF(C87=0,"New",(E87-C87)/C87))</f>
        <v>-0.485082132081797</v>
      </c>
      <c r="H87" s="9" t="n">
        <f aca="false">SUMIFS('Source 2025'!$F:$F,'Source 2025'!$B:$B,$A87,'Source 2025'!$A:$A,"Amount (NIS)")+SUMIFS('Source 2025'!$H:$H,'Source 2025'!$B:$B,$A87,'Source 2025'!$A:$A,"Amount (NIS)")+SUMIFS('Source 2025'!$M:$M,'Source 2025'!$B:$B,$A87,'Source 2025'!$A:$A,"Amount (NIS)")+SUMIFS('Source 2025'!$N:$N,'Source 2025'!$B:$B,$A87,'Source 2025'!$A:$A,"Amount (NIS)")+SUMIFS('Source 2025'!$S:$S,'Source 2025'!$B:$B,$A87,'Source 2025'!$A:$A,"Amount (NIS)")+SUMIFS('Source 2025'!$U:$U,'Source 2025'!$B:$B,$A87,'Source 2025'!$A:$A,"Amount (NIS)")+SUMIFS('Source 2025'!$D:$D,'Source 2025'!$B:$B,$A87,'Source 2025'!$A:$A,"Amount (NIS)")+SUMIFS('Source 2025'!$E:$E,'Source 2025'!$B:$B,$A87,'Source 2025'!$A:$A,"Amount (NIS)")+SUMIFS('Source 2025'!$G:$G,'Source 2025'!$B:$B,$A87,'Source 2025'!$A:$A,"Amount (NIS)")</f>
        <v>4693.4</v>
      </c>
      <c r="I87" s="9" t="n">
        <f aca="false">SUMIFS('Source 2026'!$F:$F,'Source 2026'!$B:$B,$A87,'Source 2026'!$A:$A,"Amount (NIS)")+SUMIFS('Source 2026'!$H:$H,'Source 2026'!$B:$B,$A87,'Source 2026'!$A:$A,"Amount (NIS)")+SUMIFS('Source 2026'!$M:$M,'Source 2026'!$B:$B,$A87,'Source 2026'!$A:$A,"Amount (NIS)")+SUMIFS('Source 2026'!$N:$N,'Source 2026'!$B:$B,$A87,'Source 2026'!$A:$A,"Amount (NIS)")+SUMIFS('Source 2026'!$S:$S,'Source 2026'!$B:$B,$A87,'Source 2026'!$A:$A,"Amount (NIS)")+SUMIFS('Source 2026'!$U:$U,'Source 2026'!$B:$B,$A87,'Source 2026'!$A:$A,"Amount (NIS)")+SUMIFS('Source 2026'!$D:$D,'Source 2026'!$B:$B,$A87,'Source 2026'!$A:$A,"Amount (NIS)")+SUMIFS('Source 2026'!$E:$E,'Source 2026'!$B:$B,$A87,'Source 2026'!$A:$A,"Amount (NIS)")+SUMIFS('Source 2026'!$G:$G,'Source 2026'!$B:$B,$A87,'Source 2026'!$A:$A,"Amount (NIS)")</f>
        <v>2138.5</v>
      </c>
      <c r="J87" s="9" t="n">
        <f aca="false">I87*$J$5</f>
        <v>2701.26315789474</v>
      </c>
      <c r="K87" s="9" t="n">
        <f aca="false">J87-H87</f>
        <v>-1992.13684210526</v>
      </c>
      <c r="L87" s="11" t="n">
        <f aca="false">IF(AND(H87=0,J87=0),0,IF(H87=0,"New",(J87-H87)/H87))</f>
        <v>-0.424454945690813</v>
      </c>
    </row>
    <row r="88" customFormat="false" ht="15" hidden="false" customHeight="true" outlineLevel="0" collapsed="false">
      <c r="A88" s="8" t="s">
        <v>157</v>
      </c>
      <c r="B88" s="8" t="str">
        <f aca="false">IFERROR(INDEX('Source 2026'!$C:$C,MATCH($A88,'Source 2026'!$B:$B,0)),IFERROR(INDEX('Source 2025'!$C:$C,MATCH($A88,'Source 2025'!$B:$B,0)),""))</f>
        <v>תחבושת א.נצמ</v>
      </c>
      <c r="C88" s="9" t="n">
        <f aca="false">SUMIFS('Source 2025'!$F:$F,'Source 2025'!$B:$B,$A88,'Source 2025'!$A:$A,"Quantity (units)")+SUMIFS('Source 2025'!$H:$H,'Source 2025'!$B:$B,$A88,'Source 2025'!$A:$A,"Quantity (units)")+SUMIFS('Source 2025'!$M:$M,'Source 2025'!$B:$B,$A88,'Source 2025'!$A:$A,"Quantity (units)")+SUMIFS('Source 2025'!$N:$N,'Source 2025'!$B:$B,$A88,'Source 2025'!$A:$A,"Quantity (units)")+SUMIFS('Source 2025'!$S:$S,'Source 2025'!$B:$B,$A88,'Source 2025'!$A:$A,"Quantity (units)")+SUMIFS('Source 2025'!$U:$U,'Source 2025'!$B:$B,$A88,'Source 2025'!$A:$A,"Quantity (units)")+SUMIFS('Source 2025'!$D:$D,'Source 2025'!$B:$B,$A88,'Source 2025'!$A:$A,"Quantity (units)")+SUMIFS('Source 2025'!$E:$E,'Source 2025'!$B:$B,$A88,'Source 2025'!$A:$A,"Quantity (units)")+SUMIFS('Source 2025'!$G:$G,'Source 2025'!$B:$B,$A88,'Source 2025'!$A:$A,"Quantity (units)")</f>
        <v>476</v>
      </c>
      <c r="D88" s="9" t="n">
        <f aca="false">SUMIFS('Source 2026'!$F:$F,'Source 2026'!$B:$B,$A88,'Source 2026'!$A:$A,"Quantity (units)")+SUMIFS('Source 2026'!$H:$H,'Source 2026'!$B:$B,$A88,'Source 2026'!$A:$A,"Quantity (units)")+SUMIFS('Source 2026'!$M:$M,'Source 2026'!$B:$B,$A88,'Source 2026'!$A:$A,"Quantity (units)")+SUMIFS('Source 2026'!$N:$N,'Source 2026'!$B:$B,$A88,'Source 2026'!$A:$A,"Quantity (units)")+SUMIFS('Source 2026'!$S:$S,'Source 2026'!$B:$B,$A88,'Source 2026'!$A:$A,"Quantity (units)")+SUMIFS('Source 2026'!$U:$U,'Source 2026'!$B:$B,$A88,'Source 2026'!$A:$A,"Quantity (units)")+SUMIFS('Source 2026'!$D:$D,'Source 2026'!$B:$B,$A88,'Source 2026'!$A:$A,"Quantity (units)")+SUMIFS('Source 2026'!$E:$E,'Source 2026'!$B:$B,$A88,'Source 2026'!$A:$A,"Quantity (units)")+SUMIFS('Source 2026'!$G:$G,'Source 2026'!$B:$B,$A88,'Source 2026'!$A:$A,"Quantity (units)")</f>
        <v>180</v>
      </c>
      <c r="E88" s="9" t="n">
        <f aca="false">D88*$J$5</f>
        <v>227.368421052632</v>
      </c>
      <c r="F88" s="9" t="n">
        <f aca="false">E88-C88</f>
        <v>-248.631578947368</v>
      </c>
      <c r="G88" s="11" t="n">
        <f aca="false">IF(AND(C88=0,E88=0),0,IF(C88=0,"New",(E88-C88)/C88))</f>
        <v>-0.52233524988943</v>
      </c>
      <c r="H88" s="9" t="n">
        <f aca="false">SUMIFS('Source 2025'!$F:$F,'Source 2025'!$B:$B,$A88,'Source 2025'!$A:$A,"Amount (NIS)")+SUMIFS('Source 2025'!$H:$H,'Source 2025'!$B:$B,$A88,'Source 2025'!$A:$A,"Amount (NIS)")+SUMIFS('Source 2025'!$M:$M,'Source 2025'!$B:$B,$A88,'Source 2025'!$A:$A,"Amount (NIS)")+SUMIFS('Source 2025'!$N:$N,'Source 2025'!$B:$B,$A88,'Source 2025'!$A:$A,"Amount (NIS)")+SUMIFS('Source 2025'!$S:$S,'Source 2025'!$B:$B,$A88,'Source 2025'!$A:$A,"Amount (NIS)")+SUMIFS('Source 2025'!$U:$U,'Source 2025'!$B:$B,$A88,'Source 2025'!$A:$A,"Amount (NIS)")+SUMIFS('Source 2025'!$D:$D,'Source 2025'!$B:$B,$A88,'Source 2025'!$A:$A,"Amount (NIS)")+SUMIFS('Source 2025'!$E:$E,'Source 2025'!$B:$B,$A88,'Source 2025'!$A:$A,"Amount (NIS)")+SUMIFS('Source 2025'!$G:$G,'Source 2025'!$B:$B,$A88,'Source 2025'!$A:$A,"Amount (NIS)")</f>
        <v>4540.6</v>
      </c>
      <c r="I88" s="9" t="n">
        <f aca="false">SUMIFS('Source 2026'!$F:$F,'Source 2026'!$B:$B,$A88,'Source 2026'!$A:$A,"Amount (NIS)")+SUMIFS('Source 2026'!$H:$H,'Source 2026'!$B:$B,$A88,'Source 2026'!$A:$A,"Amount (NIS)")+SUMIFS('Source 2026'!$M:$M,'Source 2026'!$B:$B,$A88,'Source 2026'!$A:$A,"Amount (NIS)")+SUMIFS('Source 2026'!$N:$N,'Source 2026'!$B:$B,$A88,'Source 2026'!$A:$A,"Amount (NIS)")+SUMIFS('Source 2026'!$S:$S,'Source 2026'!$B:$B,$A88,'Source 2026'!$A:$A,"Amount (NIS)")+SUMIFS('Source 2026'!$U:$U,'Source 2026'!$B:$B,$A88,'Source 2026'!$A:$A,"Amount (NIS)")+SUMIFS('Source 2026'!$D:$D,'Source 2026'!$B:$B,$A88,'Source 2026'!$A:$A,"Amount (NIS)")+SUMIFS('Source 2026'!$E:$E,'Source 2026'!$B:$B,$A88,'Source 2026'!$A:$A,"Amount (NIS)")+SUMIFS('Source 2026'!$G:$G,'Source 2026'!$B:$B,$A88,'Source 2026'!$A:$A,"Amount (NIS)")</f>
        <v>2001.6</v>
      </c>
      <c r="J88" s="9" t="n">
        <f aca="false">I88*$J$5</f>
        <v>2528.33684210526</v>
      </c>
      <c r="K88" s="9" t="n">
        <f aca="false">J88-H88</f>
        <v>-2012.26315789474</v>
      </c>
      <c r="L88" s="11" t="n">
        <f aca="false">IF(AND(H88=0,J88=0),0,IF(H88=0,"New",(J88-H88)/H88))</f>
        <v>-0.44317120158013</v>
      </c>
    </row>
    <row r="89" customFormat="false" ht="15" hidden="false" customHeight="true" outlineLevel="0" collapsed="false">
      <c r="A89" s="8" t="s">
        <v>158</v>
      </c>
      <c r="B89" s="8" t="str">
        <f aca="false">IFERROR(INDEX('Source 2026'!$C:$C,MATCH($A89,'Source 2026'!$B:$B,0)),IFERROR(INDEX('Source 2025'!$C:$C,MATCH($A89,'Source 2025'!$B:$B,0)),""))</f>
        <v>S מגן קרסול מתכוון עם סקוטש</v>
      </c>
      <c r="C89" s="9" t="n">
        <f aca="false">SUMIFS('Source 2025'!$F:$F,'Source 2025'!$B:$B,$A89,'Source 2025'!$A:$A,"Quantity (units)")+SUMIFS('Source 2025'!$H:$H,'Source 2025'!$B:$B,$A89,'Source 2025'!$A:$A,"Quantity (units)")+SUMIFS('Source 2025'!$M:$M,'Source 2025'!$B:$B,$A89,'Source 2025'!$A:$A,"Quantity (units)")+SUMIFS('Source 2025'!$N:$N,'Source 2025'!$B:$B,$A89,'Source 2025'!$A:$A,"Quantity (units)")+SUMIFS('Source 2025'!$S:$S,'Source 2025'!$B:$B,$A89,'Source 2025'!$A:$A,"Quantity (units)")+SUMIFS('Source 2025'!$U:$U,'Source 2025'!$B:$B,$A89,'Source 2025'!$A:$A,"Quantity (units)")+SUMIFS('Source 2025'!$D:$D,'Source 2025'!$B:$B,$A89,'Source 2025'!$A:$A,"Quantity (units)")+SUMIFS('Source 2025'!$E:$E,'Source 2025'!$B:$B,$A89,'Source 2025'!$A:$A,"Quantity (units)")+SUMIFS('Source 2025'!$G:$G,'Source 2025'!$B:$B,$A89,'Source 2025'!$A:$A,"Quantity (units)")</f>
        <v>39</v>
      </c>
      <c r="D89" s="9" t="n">
        <f aca="false">SUMIFS('Source 2026'!$F:$F,'Source 2026'!$B:$B,$A89,'Source 2026'!$A:$A,"Quantity (units)")+SUMIFS('Source 2026'!$H:$H,'Source 2026'!$B:$B,$A89,'Source 2026'!$A:$A,"Quantity (units)")+SUMIFS('Source 2026'!$M:$M,'Source 2026'!$B:$B,$A89,'Source 2026'!$A:$A,"Quantity (units)")+SUMIFS('Source 2026'!$N:$N,'Source 2026'!$B:$B,$A89,'Source 2026'!$A:$A,"Quantity (units)")+SUMIFS('Source 2026'!$S:$S,'Source 2026'!$B:$B,$A89,'Source 2026'!$A:$A,"Quantity (units)")+SUMIFS('Source 2026'!$U:$U,'Source 2026'!$B:$B,$A89,'Source 2026'!$A:$A,"Quantity (units)")+SUMIFS('Source 2026'!$D:$D,'Source 2026'!$B:$B,$A89,'Source 2026'!$A:$A,"Quantity (units)")+SUMIFS('Source 2026'!$E:$E,'Source 2026'!$B:$B,$A89,'Source 2026'!$A:$A,"Quantity (units)")+SUMIFS('Source 2026'!$G:$G,'Source 2026'!$B:$B,$A89,'Source 2026'!$A:$A,"Quantity (units)")</f>
        <v>0</v>
      </c>
      <c r="E89" s="9" t="n">
        <f aca="false">D89*$J$5</f>
        <v>0</v>
      </c>
      <c r="F89" s="9" t="n">
        <f aca="false">E89-C89</f>
        <v>-39</v>
      </c>
      <c r="G89" s="11" t="n">
        <f aca="false">IF(AND(C89=0,E89=0),0,IF(C89=0,"New",(E89-C89)/C89))</f>
        <v>-1</v>
      </c>
      <c r="H89" s="9" t="n">
        <f aca="false">SUMIFS('Source 2025'!$F:$F,'Source 2025'!$B:$B,$A89,'Source 2025'!$A:$A,"Amount (NIS)")+SUMIFS('Source 2025'!$H:$H,'Source 2025'!$B:$B,$A89,'Source 2025'!$A:$A,"Amount (NIS)")+SUMIFS('Source 2025'!$M:$M,'Source 2025'!$B:$B,$A89,'Source 2025'!$A:$A,"Amount (NIS)")+SUMIFS('Source 2025'!$N:$N,'Source 2025'!$B:$B,$A89,'Source 2025'!$A:$A,"Amount (NIS)")+SUMIFS('Source 2025'!$S:$S,'Source 2025'!$B:$B,$A89,'Source 2025'!$A:$A,"Amount (NIS)")+SUMIFS('Source 2025'!$U:$U,'Source 2025'!$B:$B,$A89,'Source 2025'!$A:$A,"Amount (NIS)")+SUMIFS('Source 2025'!$D:$D,'Source 2025'!$B:$B,$A89,'Source 2025'!$A:$A,"Amount (NIS)")+SUMIFS('Source 2025'!$E:$E,'Source 2025'!$B:$B,$A89,'Source 2025'!$A:$A,"Amount (NIS)")+SUMIFS('Source 2025'!$G:$G,'Source 2025'!$B:$B,$A89,'Source 2025'!$A:$A,"Amount (NIS)")</f>
        <v>2520.7</v>
      </c>
      <c r="I89" s="9" t="n">
        <f aca="false">SUMIFS('Source 2026'!$F:$F,'Source 2026'!$B:$B,$A89,'Source 2026'!$A:$A,"Amount (NIS)")+SUMIFS('Source 2026'!$H:$H,'Source 2026'!$B:$B,$A89,'Source 2026'!$A:$A,"Amount (NIS)")+SUMIFS('Source 2026'!$M:$M,'Source 2026'!$B:$B,$A89,'Source 2026'!$A:$A,"Amount (NIS)")+SUMIFS('Source 2026'!$N:$N,'Source 2026'!$B:$B,$A89,'Source 2026'!$A:$A,"Amount (NIS)")+SUMIFS('Source 2026'!$S:$S,'Source 2026'!$B:$B,$A89,'Source 2026'!$A:$A,"Amount (NIS)")+SUMIFS('Source 2026'!$U:$U,'Source 2026'!$B:$B,$A89,'Source 2026'!$A:$A,"Amount (NIS)")+SUMIFS('Source 2026'!$D:$D,'Source 2026'!$B:$B,$A89,'Source 2026'!$A:$A,"Amount (NIS)")+SUMIFS('Source 2026'!$E:$E,'Source 2026'!$B:$B,$A89,'Source 2026'!$A:$A,"Amount (NIS)")+SUMIFS('Source 2026'!$G:$G,'Source 2026'!$B:$B,$A89,'Source 2026'!$A:$A,"Amount (NIS)")</f>
        <v>0</v>
      </c>
      <c r="J89" s="9" t="n">
        <f aca="false">I89*$J$5</f>
        <v>0</v>
      </c>
      <c r="K89" s="9" t="n">
        <f aca="false">J89-H89</f>
        <v>-2520.7</v>
      </c>
      <c r="L89" s="11" t="n">
        <f aca="false">IF(AND(H89=0,J89=0),0,IF(H89=0,"New",(J89-H89)/H89))</f>
        <v>-1</v>
      </c>
    </row>
    <row r="90" customFormat="false" ht="15" hidden="false" customHeight="true" outlineLevel="0" collapsed="false">
      <c r="A90" s="8" t="s">
        <v>159</v>
      </c>
      <c r="B90" s="8" t="str">
        <f aca="false">IFERROR(INDEX('Source 2026'!$C:$C,MATCH($A90,'Source 2026'!$B:$B,0)),IFERROR(INDEX('Source 2025'!$C:$C,MATCH($A90,'Source 2025'!$B:$B,0)),""))</f>
        <v>S-Lטבעת אלסטית מסיליקון</v>
      </c>
      <c r="C90" s="9" t="n">
        <f aca="false">SUMIFS('Source 2025'!$F:$F,'Source 2025'!$B:$B,$A90,'Source 2025'!$A:$A,"Quantity (units)")+SUMIFS('Source 2025'!$H:$H,'Source 2025'!$B:$B,$A90,'Source 2025'!$A:$A,"Quantity (units)")+SUMIFS('Source 2025'!$M:$M,'Source 2025'!$B:$B,$A90,'Source 2025'!$A:$A,"Quantity (units)")+SUMIFS('Source 2025'!$N:$N,'Source 2025'!$B:$B,$A90,'Source 2025'!$A:$A,"Quantity (units)")+SUMIFS('Source 2025'!$S:$S,'Source 2025'!$B:$B,$A90,'Source 2025'!$A:$A,"Quantity (units)")+SUMIFS('Source 2025'!$U:$U,'Source 2025'!$B:$B,$A90,'Source 2025'!$A:$A,"Quantity (units)")+SUMIFS('Source 2025'!$D:$D,'Source 2025'!$B:$B,$A90,'Source 2025'!$A:$A,"Quantity (units)")+SUMIFS('Source 2025'!$E:$E,'Source 2025'!$B:$B,$A90,'Source 2025'!$A:$A,"Quantity (units)")+SUMIFS('Source 2025'!$G:$G,'Source 2025'!$B:$B,$A90,'Source 2025'!$A:$A,"Quantity (units)")</f>
        <v>666</v>
      </c>
      <c r="D90" s="9" t="n">
        <f aca="false">SUMIFS('Source 2026'!$F:$F,'Source 2026'!$B:$B,$A90,'Source 2026'!$A:$A,"Quantity (units)")+SUMIFS('Source 2026'!$H:$H,'Source 2026'!$B:$B,$A90,'Source 2026'!$A:$A,"Quantity (units)")+SUMIFS('Source 2026'!$M:$M,'Source 2026'!$B:$B,$A90,'Source 2026'!$A:$A,"Quantity (units)")+SUMIFS('Source 2026'!$N:$N,'Source 2026'!$B:$B,$A90,'Source 2026'!$A:$A,"Quantity (units)")+SUMIFS('Source 2026'!$S:$S,'Source 2026'!$B:$B,$A90,'Source 2026'!$A:$A,"Quantity (units)")+SUMIFS('Source 2026'!$U:$U,'Source 2026'!$B:$B,$A90,'Source 2026'!$A:$A,"Quantity (units)")+SUMIFS('Source 2026'!$D:$D,'Source 2026'!$B:$B,$A90,'Source 2026'!$A:$A,"Quantity (units)")+SUMIFS('Source 2026'!$E:$E,'Source 2026'!$B:$B,$A90,'Source 2026'!$A:$A,"Quantity (units)")+SUMIFS('Source 2026'!$G:$G,'Source 2026'!$B:$B,$A90,'Source 2026'!$A:$A,"Quantity (units)")</f>
        <v>477</v>
      </c>
      <c r="E90" s="9" t="n">
        <f aca="false">D90*$J$5</f>
        <v>602.526315789474</v>
      </c>
      <c r="F90" s="9" t="n">
        <f aca="false">E90-C90</f>
        <v>-63.4736842105264</v>
      </c>
      <c r="G90" s="11" t="n">
        <f aca="false">IF(AND(C90=0,E90=0),0,IF(C90=0,"New",(E90-C90)/C90))</f>
        <v>-0.0953058321479375</v>
      </c>
      <c r="H90" s="9" t="n">
        <f aca="false">SUMIFS('Source 2025'!$F:$F,'Source 2025'!$B:$B,$A90,'Source 2025'!$A:$A,"Amount (NIS)")+SUMIFS('Source 2025'!$H:$H,'Source 2025'!$B:$B,$A90,'Source 2025'!$A:$A,"Amount (NIS)")+SUMIFS('Source 2025'!$M:$M,'Source 2025'!$B:$B,$A90,'Source 2025'!$A:$A,"Amount (NIS)")+SUMIFS('Source 2025'!$N:$N,'Source 2025'!$B:$B,$A90,'Source 2025'!$A:$A,"Amount (NIS)")+SUMIFS('Source 2025'!$S:$S,'Source 2025'!$B:$B,$A90,'Source 2025'!$A:$A,"Amount (NIS)")+SUMIFS('Source 2025'!$U:$U,'Source 2025'!$B:$B,$A90,'Source 2025'!$A:$A,"Amount (NIS)")+SUMIFS('Source 2025'!$D:$D,'Source 2025'!$B:$B,$A90,'Source 2025'!$A:$A,"Amount (NIS)")+SUMIFS('Source 2025'!$E:$E,'Source 2025'!$B:$B,$A90,'Source 2025'!$A:$A,"Amount (NIS)")+SUMIFS('Source 2025'!$G:$G,'Source 2025'!$B:$B,$A90,'Source 2025'!$A:$A,"Amount (NIS)")</f>
        <v>8890.8</v>
      </c>
      <c r="I90" s="9" t="n">
        <f aca="false">SUMIFS('Source 2026'!$F:$F,'Source 2026'!$B:$B,$A90,'Source 2026'!$A:$A,"Amount (NIS)")+SUMIFS('Source 2026'!$H:$H,'Source 2026'!$B:$B,$A90,'Source 2026'!$A:$A,"Amount (NIS)")+SUMIFS('Source 2026'!$M:$M,'Source 2026'!$B:$B,$A90,'Source 2026'!$A:$A,"Amount (NIS)")+SUMIFS('Source 2026'!$N:$N,'Source 2026'!$B:$B,$A90,'Source 2026'!$A:$A,"Amount (NIS)")+SUMIFS('Source 2026'!$S:$S,'Source 2026'!$B:$B,$A90,'Source 2026'!$A:$A,"Amount (NIS)")+SUMIFS('Source 2026'!$U:$U,'Source 2026'!$B:$B,$A90,'Source 2026'!$A:$A,"Amount (NIS)")+SUMIFS('Source 2026'!$D:$D,'Source 2026'!$B:$B,$A90,'Source 2026'!$A:$A,"Amount (NIS)")+SUMIFS('Source 2026'!$E:$E,'Source 2026'!$B:$B,$A90,'Source 2026'!$A:$A,"Amount (NIS)")+SUMIFS('Source 2026'!$G:$G,'Source 2026'!$B:$B,$A90,'Source 2026'!$A:$A,"Amount (NIS)")</f>
        <v>6371.4</v>
      </c>
      <c r="J90" s="9" t="n">
        <f aca="false">I90*$J$5</f>
        <v>8048.08421052632</v>
      </c>
      <c r="K90" s="9" t="n">
        <f aca="false">J90-H90</f>
        <v>-842.715789473687</v>
      </c>
      <c r="L90" s="11" t="n">
        <f aca="false">IF(AND(H90=0,J90=0),0,IF(H90=0,"New",(J90-H90)/H90))</f>
        <v>-0.0947851475090753</v>
      </c>
    </row>
    <row r="91" customFormat="false" ht="15" hidden="false" customHeight="true" outlineLevel="0" collapsed="false">
      <c r="A91" s="8" t="s">
        <v>160</v>
      </c>
      <c r="B91" s="8" t="str">
        <f aca="false">IFERROR(INDEX('Source 2026'!$C:$C,MATCH($A91,'Source 2026'!$B:$B,0)),IFERROR(INDEX('Source 2025'!$C:$C,MATCH($A91,'Source 2025'!$B:$B,0)),""))</f>
        <v>מגן מרפק</v>
      </c>
      <c r="C91" s="9" t="n">
        <f aca="false">SUMIFS('Source 2025'!$F:$F,'Source 2025'!$B:$B,$A91,'Source 2025'!$A:$A,"Quantity (units)")+SUMIFS('Source 2025'!$H:$H,'Source 2025'!$B:$B,$A91,'Source 2025'!$A:$A,"Quantity (units)")+SUMIFS('Source 2025'!$M:$M,'Source 2025'!$B:$B,$A91,'Source 2025'!$A:$A,"Quantity (units)")+SUMIFS('Source 2025'!$N:$N,'Source 2025'!$B:$B,$A91,'Source 2025'!$A:$A,"Quantity (units)")+SUMIFS('Source 2025'!$S:$S,'Source 2025'!$B:$B,$A91,'Source 2025'!$A:$A,"Quantity (units)")+SUMIFS('Source 2025'!$U:$U,'Source 2025'!$B:$B,$A91,'Source 2025'!$A:$A,"Quantity (units)")+SUMIFS('Source 2025'!$D:$D,'Source 2025'!$B:$B,$A91,'Source 2025'!$A:$A,"Quantity (units)")+SUMIFS('Source 2025'!$E:$E,'Source 2025'!$B:$B,$A91,'Source 2025'!$A:$A,"Quantity (units)")+SUMIFS('Source 2025'!$G:$G,'Source 2025'!$B:$B,$A91,'Source 2025'!$A:$A,"Quantity (units)")</f>
        <v>231</v>
      </c>
      <c r="D91" s="9" t="n">
        <f aca="false">SUMIFS('Source 2026'!$F:$F,'Source 2026'!$B:$B,$A91,'Source 2026'!$A:$A,"Quantity (units)")+SUMIFS('Source 2026'!$H:$H,'Source 2026'!$B:$B,$A91,'Source 2026'!$A:$A,"Quantity (units)")+SUMIFS('Source 2026'!$M:$M,'Source 2026'!$B:$B,$A91,'Source 2026'!$A:$A,"Quantity (units)")+SUMIFS('Source 2026'!$N:$N,'Source 2026'!$B:$B,$A91,'Source 2026'!$A:$A,"Quantity (units)")+SUMIFS('Source 2026'!$S:$S,'Source 2026'!$B:$B,$A91,'Source 2026'!$A:$A,"Quantity (units)")+SUMIFS('Source 2026'!$U:$U,'Source 2026'!$B:$B,$A91,'Source 2026'!$A:$A,"Quantity (units)")+SUMIFS('Source 2026'!$D:$D,'Source 2026'!$B:$B,$A91,'Source 2026'!$A:$A,"Quantity (units)")+SUMIFS('Source 2026'!$E:$E,'Source 2026'!$B:$B,$A91,'Source 2026'!$A:$A,"Quantity (units)")+SUMIFS('Source 2026'!$G:$G,'Source 2026'!$B:$B,$A91,'Source 2026'!$A:$A,"Quantity (units)")</f>
        <v>158</v>
      </c>
      <c r="E91" s="9" t="n">
        <f aca="false">D91*$J$5</f>
        <v>199.578947368421</v>
      </c>
      <c r="F91" s="9" t="n">
        <f aca="false">E91-C91</f>
        <v>-31.421052631579</v>
      </c>
      <c r="G91" s="11" t="n">
        <f aca="false">IF(AND(C91=0,E91=0),0,IF(C91=0,"New",(E91-C91)/C91))</f>
        <v>-0.136021872863978</v>
      </c>
      <c r="H91" s="9" t="n">
        <f aca="false">SUMIFS('Source 2025'!$F:$F,'Source 2025'!$B:$B,$A91,'Source 2025'!$A:$A,"Amount (NIS)")+SUMIFS('Source 2025'!$H:$H,'Source 2025'!$B:$B,$A91,'Source 2025'!$A:$A,"Amount (NIS)")+SUMIFS('Source 2025'!$M:$M,'Source 2025'!$B:$B,$A91,'Source 2025'!$A:$A,"Amount (NIS)")+SUMIFS('Source 2025'!$N:$N,'Source 2025'!$B:$B,$A91,'Source 2025'!$A:$A,"Amount (NIS)")+SUMIFS('Source 2025'!$S:$S,'Source 2025'!$B:$B,$A91,'Source 2025'!$A:$A,"Amount (NIS)")+SUMIFS('Source 2025'!$U:$U,'Source 2025'!$B:$B,$A91,'Source 2025'!$A:$A,"Amount (NIS)")+SUMIFS('Source 2025'!$D:$D,'Source 2025'!$B:$B,$A91,'Source 2025'!$A:$A,"Amount (NIS)")+SUMIFS('Source 2025'!$E:$E,'Source 2025'!$B:$B,$A91,'Source 2025'!$A:$A,"Amount (NIS)")+SUMIFS('Source 2025'!$G:$G,'Source 2025'!$B:$B,$A91,'Source 2025'!$A:$A,"Amount (NIS)")</f>
        <v>8400.9</v>
      </c>
      <c r="I91" s="9" t="n">
        <f aca="false">SUMIFS('Source 2026'!$F:$F,'Source 2026'!$B:$B,$A91,'Source 2026'!$A:$A,"Amount (NIS)")+SUMIFS('Source 2026'!$H:$H,'Source 2026'!$B:$B,$A91,'Source 2026'!$A:$A,"Amount (NIS)")+SUMIFS('Source 2026'!$M:$M,'Source 2026'!$B:$B,$A91,'Source 2026'!$A:$A,"Amount (NIS)")+SUMIFS('Source 2026'!$N:$N,'Source 2026'!$B:$B,$A91,'Source 2026'!$A:$A,"Amount (NIS)")+SUMIFS('Source 2026'!$S:$S,'Source 2026'!$B:$B,$A91,'Source 2026'!$A:$A,"Amount (NIS)")+SUMIFS('Source 2026'!$U:$U,'Source 2026'!$B:$B,$A91,'Source 2026'!$A:$A,"Amount (NIS)")+SUMIFS('Source 2026'!$D:$D,'Source 2026'!$B:$B,$A91,'Source 2026'!$A:$A,"Amount (NIS)")+SUMIFS('Source 2026'!$E:$E,'Source 2026'!$B:$B,$A91,'Source 2026'!$A:$A,"Amount (NIS)")+SUMIFS('Source 2026'!$G:$G,'Source 2026'!$B:$B,$A91,'Source 2026'!$A:$A,"Amount (NIS)")</f>
        <v>5971.7</v>
      </c>
      <c r="J91" s="9" t="n">
        <f aca="false">I91*$J$5</f>
        <v>7543.2</v>
      </c>
      <c r="K91" s="9" t="n">
        <f aca="false">J91-H91</f>
        <v>-857.700000000001</v>
      </c>
      <c r="L91" s="11" t="n">
        <f aca="false">IF(AND(H91=0,J91=0),0,IF(H91=0,"New",(J91-H91)/H91))</f>
        <v>-0.102096203978145</v>
      </c>
    </row>
    <row r="92" customFormat="false" ht="15" hidden="false" customHeight="true" outlineLevel="0" collapsed="false">
      <c r="A92" s="8" t="s">
        <v>161</v>
      </c>
      <c r="B92" s="8" t="str">
        <f aca="false">IFERROR(INDEX('Source 2026'!$C:$C,MATCH($A92,'Source 2026'!$B:$B,0)),IFERROR(INDEX('Source 2025'!$C:$C,MATCH($A92,'Source 2025'!$B:$B,0)),""))</f>
        <v>בוהן סיליקון קשיח</v>
      </c>
      <c r="C92" s="9" t="n">
        <f aca="false">SUMIFS('Source 2025'!$F:$F,'Source 2025'!$B:$B,$A92,'Source 2025'!$A:$A,"Quantity (units)")+SUMIFS('Source 2025'!$H:$H,'Source 2025'!$B:$B,$A92,'Source 2025'!$A:$A,"Quantity (units)")+SUMIFS('Source 2025'!$M:$M,'Source 2025'!$B:$B,$A92,'Source 2025'!$A:$A,"Quantity (units)")+SUMIFS('Source 2025'!$N:$N,'Source 2025'!$B:$B,$A92,'Source 2025'!$A:$A,"Quantity (units)")+SUMIFS('Source 2025'!$S:$S,'Source 2025'!$B:$B,$A92,'Source 2025'!$A:$A,"Quantity (units)")+SUMIFS('Source 2025'!$U:$U,'Source 2025'!$B:$B,$A92,'Source 2025'!$A:$A,"Quantity (units)")+SUMIFS('Source 2025'!$D:$D,'Source 2025'!$B:$B,$A92,'Source 2025'!$A:$A,"Quantity (units)")+SUMIFS('Source 2025'!$E:$E,'Source 2025'!$B:$B,$A92,'Source 2025'!$A:$A,"Quantity (units)")+SUMIFS('Source 2025'!$G:$G,'Source 2025'!$B:$B,$A92,'Source 2025'!$A:$A,"Quantity (units)")</f>
        <v>167</v>
      </c>
      <c r="D92" s="9" t="n">
        <f aca="false">SUMIFS('Source 2026'!$F:$F,'Source 2026'!$B:$B,$A92,'Source 2026'!$A:$A,"Quantity (units)")+SUMIFS('Source 2026'!$H:$H,'Source 2026'!$B:$B,$A92,'Source 2026'!$A:$A,"Quantity (units)")+SUMIFS('Source 2026'!$M:$M,'Source 2026'!$B:$B,$A92,'Source 2026'!$A:$A,"Quantity (units)")+SUMIFS('Source 2026'!$N:$N,'Source 2026'!$B:$B,$A92,'Source 2026'!$A:$A,"Quantity (units)")+SUMIFS('Source 2026'!$S:$S,'Source 2026'!$B:$B,$A92,'Source 2026'!$A:$A,"Quantity (units)")+SUMIFS('Source 2026'!$U:$U,'Source 2026'!$B:$B,$A92,'Source 2026'!$A:$A,"Quantity (units)")+SUMIFS('Source 2026'!$D:$D,'Source 2026'!$B:$B,$A92,'Source 2026'!$A:$A,"Quantity (units)")+SUMIFS('Source 2026'!$E:$E,'Source 2026'!$B:$B,$A92,'Source 2026'!$A:$A,"Quantity (units)")+SUMIFS('Source 2026'!$G:$G,'Source 2026'!$B:$B,$A92,'Source 2026'!$A:$A,"Quantity (units)")</f>
        <v>46</v>
      </c>
      <c r="E92" s="9" t="n">
        <f aca="false">D92*$J$5</f>
        <v>58.1052631578947</v>
      </c>
      <c r="F92" s="9" t="n">
        <f aca="false">E92-C92</f>
        <v>-108.894736842105</v>
      </c>
      <c r="G92" s="11" t="n">
        <f aca="false">IF(AND(C92=0,E92=0),0,IF(C92=0,"New",(E92-C92)/C92))</f>
        <v>-0.652064292467696</v>
      </c>
      <c r="H92" s="9" t="n">
        <f aca="false">SUMIFS('Source 2025'!$F:$F,'Source 2025'!$B:$B,$A92,'Source 2025'!$A:$A,"Amount (NIS)")+SUMIFS('Source 2025'!$H:$H,'Source 2025'!$B:$B,$A92,'Source 2025'!$A:$A,"Amount (NIS)")+SUMIFS('Source 2025'!$M:$M,'Source 2025'!$B:$B,$A92,'Source 2025'!$A:$A,"Amount (NIS)")+SUMIFS('Source 2025'!$N:$N,'Source 2025'!$B:$B,$A92,'Source 2025'!$A:$A,"Amount (NIS)")+SUMIFS('Source 2025'!$S:$S,'Source 2025'!$B:$B,$A92,'Source 2025'!$A:$A,"Amount (NIS)")+SUMIFS('Source 2025'!$U:$U,'Source 2025'!$B:$B,$A92,'Source 2025'!$A:$A,"Amount (NIS)")+SUMIFS('Source 2025'!$D:$D,'Source 2025'!$B:$B,$A92,'Source 2025'!$A:$A,"Amount (NIS)")+SUMIFS('Source 2025'!$E:$E,'Source 2025'!$B:$B,$A92,'Source 2025'!$A:$A,"Amount (NIS)")+SUMIFS('Source 2025'!$G:$G,'Source 2025'!$B:$B,$A92,'Source 2025'!$A:$A,"Amount (NIS)")</f>
        <v>3307.6</v>
      </c>
      <c r="I92" s="9" t="n">
        <f aca="false">SUMIFS('Source 2026'!$F:$F,'Source 2026'!$B:$B,$A92,'Source 2026'!$A:$A,"Amount (NIS)")+SUMIFS('Source 2026'!$H:$H,'Source 2026'!$B:$B,$A92,'Source 2026'!$A:$A,"Amount (NIS)")+SUMIFS('Source 2026'!$M:$M,'Source 2026'!$B:$B,$A92,'Source 2026'!$A:$A,"Amount (NIS)")+SUMIFS('Source 2026'!$N:$N,'Source 2026'!$B:$B,$A92,'Source 2026'!$A:$A,"Amount (NIS)")+SUMIFS('Source 2026'!$S:$S,'Source 2026'!$B:$B,$A92,'Source 2026'!$A:$A,"Amount (NIS)")+SUMIFS('Source 2026'!$U:$U,'Source 2026'!$B:$B,$A92,'Source 2026'!$A:$A,"Amount (NIS)")+SUMIFS('Source 2026'!$D:$D,'Source 2026'!$B:$B,$A92,'Source 2026'!$A:$A,"Amount (NIS)")+SUMIFS('Source 2026'!$E:$E,'Source 2026'!$B:$B,$A92,'Source 2026'!$A:$A,"Amount (NIS)")+SUMIFS('Source 2026'!$G:$G,'Source 2026'!$B:$B,$A92,'Source 2026'!$A:$A,"Amount (NIS)")</f>
        <v>913.3</v>
      </c>
      <c r="J92" s="9" t="n">
        <f aca="false">I92*$J$5</f>
        <v>1153.64210526316</v>
      </c>
      <c r="K92" s="9" t="n">
        <f aca="false">J92-H92</f>
        <v>-2153.95789473684</v>
      </c>
      <c r="L92" s="11" t="n">
        <f aca="false">IF(AND(H92=0,J92=0),0,IF(H92=0,"New",(J92-H92)/H92))</f>
        <v>-0.651214746262197</v>
      </c>
    </row>
    <row r="93" customFormat="false" ht="15" hidden="false" customHeight="true" outlineLevel="0" collapsed="false">
      <c r="A93" s="8" t="s">
        <v>162</v>
      </c>
      <c r="B93" s="8" t="str">
        <f aca="false">IFERROR(INDEX('Source 2026'!$C:$C,MATCH($A93,'Source 2026'!$B:$B,0)),IFERROR(INDEX('Source 2025'!$C:$C,MATCH($A93,'Source 2025'!$B:$B,0)),""))</f>
        <v>חבק טניס</v>
      </c>
      <c r="C93" s="9" t="n">
        <f aca="false">SUMIFS('Source 2025'!$F:$F,'Source 2025'!$B:$B,$A93,'Source 2025'!$A:$A,"Quantity (units)")+SUMIFS('Source 2025'!$H:$H,'Source 2025'!$B:$B,$A93,'Source 2025'!$A:$A,"Quantity (units)")+SUMIFS('Source 2025'!$M:$M,'Source 2025'!$B:$B,$A93,'Source 2025'!$A:$A,"Quantity (units)")+SUMIFS('Source 2025'!$N:$N,'Source 2025'!$B:$B,$A93,'Source 2025'!$A:$A,"Quantity (units)")+SUMIFS('Source 2025'!$S:$S,'Source 2025'!$B:$B,$A93,'Source 2025'!$A:$A,"Quantity (units)")+SUMIFS('Source 2025'!$U:$U,'Source 2025'!$B:$B,$A93,'Source 2025'!$A:$A,"Quantity (units)")+SUMIFS('Source 2025'!$D:$D,'Source 2025'!$B:$B,$A93,'Source 2025'!$A:$A,"Quantity (units)")+SUMIFS('Source 2025'!$E:$E,'Source 2025'!$B:$B,$A93,'Source 2025'!$A:$A,"Quantity (units)")+SUMIFS('Source 2025'!$G:$G,'Source 2025'!$B:$B,$A93,'Source 2025'!$A:$A,"Quantity (units)")</f>
        <v>394</v>
      </c>
      <c r="D93" s="9" t="n">
        <f aca="false">SUMIFS('Source 2026'!$F:$F,'Source 2026'!$B:$B,$A93,'Source 2026'!$A:$A,"Quantity (units)")+SUMIFS('Source 2026'!$H:$H,'Source 2026'!$B:$B,$A93,'Source 2026'!$A:$A,"Quantity (units)")+SUMIFS('Source 2026'!$M:$M,'Source 2026'!$B:$B,$A93,'Source 2026'!$A:$A,"Quantity (units)")+SUMIFS('Source 2026'!$N:$N,'Source 2026'!$B:$B,$A93,'Source 2026'!$A:$A,"Quantity (units)")+SUMIFS('Source 2026'!$S:$S,'Source 2026'!$B:$B,$A93,'Source 2026'!$A:$A,"Quantity (units)")+SUMIFS('Source 2026'!$U:$U,'Source 2026'!$B:$B,$A93,'Source 2026'!$A:$A,"Quantity (units)")+SUMIFS('Source 2026'!$D:$D,'Source 2026'!$B:$B,$A93,'Source 2026'!$A:$A,"Quantity (units)")+SUMIFS('Source 2026'!$E:$E,'Source 2026'!$B:$B,$A93,'Source 2026'!$A:$A,"Quantity (units)")+SUMIFS('Source 2026'!$G:$G,'Source 2026'!$B:$B,$A93,'Source 2026'!$A:$A,"Quantity (units)")</f>
        <v>314</v>
      </c>
      <c r="E93" s="9" t="n">
        <f aca="false">D93*$J$5</f>
        <v>396.631578947368</v>
      </c>
      <c r="F93" s="9" t="n">
        <f aca="false">E93-C93</f>
        <v>2.63157894736838</v>
      </c>
      <c r="G93" s="11" t="n">
        <f aca="false">IF(AND(C93=0,E93=0),0,IF(C93=0,"New",(E93-C93)/C93))</f>
        <v>0.00667913438418371</v>
      </c>
      <c r="H93" s="9" t="n">
        <f aca="false">SUMIFS('Source 2025'!$F:$F,'Source 2025'!$B:$B,$A93,'Source 2025'!$A:$A,"Amount (NIS)")+SUMIFS('Source 2025'!$H:$H,'Source 2025'!$B:$B,$A93,'Source 2025'!$A:$A,"Amount (NIS)")+SUMIFS('Source 2025'!$M:$M,'Source 2025'!$B:$B,$A93,'Source 2025'!$A:$A,"Amount (NIS)")+SUMIFS('Source 2025'!$N:$N,'Source 2025'!$B:$B,$A93,'Source 2025'!$A:$A,"Amount (NIS)")+SUMIFS('Source 2025'!$S:$S,'Source 2025'!$B:$B,$A93,'Source 2025'!$A:$A,"Amount (NIS)")+SUMIFS('Source 2025'!$U:$U,'Source 2025'!$B:$B,$A93,'Source 2025'!$A:$A,"Amount (NIS)")+SUMIFS('Source 2025'!$D:$D,'Source 2025'!$B:$B,$A93,'Source 2025'!$A:$A,"Amount (NIS)")+SUMIFS('Source 2025'!$E:$E,'Source 2025'!$B:$B,$A93,'Source 2025'!$A:$A,"Amount (NIS)")+SUMIFS('Source 2025'!$G:$G,'Source 2025'!$B:$B,$A93,'Source 2025'!$A:$A,"Amount (NIS)")</f>
        <v>14192.7</v>
      </c>
      <c r="I93" s="9" t="n">
        <f aca="false">SUMIFS('Source 2026'!$F:$F,'Source 2026'!$B:$B,$A93,'Source 2026'!$A:$A,"Amount (NIS)")+SUMIFS('Source 2026'!$H:$H,'Source 2026'!$B:$B,$A93,'Source 2026'!$A:$A,"Amount (NIS)")+SUMIFS('Source 2026'!$M:$M,'Source 2026'!$B:$B,$A93,'Source 2026'!$A:$A,"Amount (NIS)")+SUMIFS('Source 2026'!$N:$N,'Source 2026'!$B:$B,$A93,'Source 2026'!$A:$A,"Amount (NIS)")+SUMIFS('Source 2026'!$S:$S,'Source 2026'!$B:$B,$A93,'Source 2026'!$A:$A,"Amount (NIS)")+SUMIFS('Source 2026'!$U:$U,'Source 2026'!$B:$B,$A93,'Source 2026'!$A:$A,"Amount (NIS)")+SUMIFS('Source 2026'!$D:$D,'Source 2026'!$B:$B,$A93,'Source 2026'!$A:$A,"Amount (NIS)")+SUMIFS('Source 2026'!$E:$E,'Source 2026'!$B:$B,$A93,'Source 2026'!$A:$A,"Amount (NIS)")+SUMIFS('Source 2026'!$G:$G,'Source 2026'!$B:$B,$A93,'Source 2026'!$A:$A,"Amount (NIS)")</f>
        <v>11799.5</v>
      </c>
      <c r="J93" s="9" t="n">
        <f aca="false">I93*$J$5</f>
        <v>14904.6315789474</v>
      </c>
      <c r="K93" s="9" t="n">
        <f aca="false">J93-H93</f>
        <v>711.931578947369</v>
      </c>
      <c r="L93" s="11" t="n">
        <f aca="false">IF(AND(H93=0,J93=0),0,IF(H93=0,"New",(J93-H93)/H93))</f>
        <v>0.0501618140979073</v>
      </c>
    </row>
    <row r="94" customFormat="false" ht="15" hidden="false" customHeight="true" outlineLevel="0" collapsed="false">
      <c r="A94" s="8" t="s">
        <v>163</v>
      </c>
      <c r="B94" s="8" t="str">
        <f aca="false">IFERROR(INDEX('Source 2026'!$C:$C,MATCH($A94,'Source 2026'!$B:$B,0)),IFERROR(INDEX('Source 2025'!$C:$C,MATCH($A94,'Source 2025'!$B:$B,0)),""))</f>
        <v>נצמדת כחול20מ""מ</v>
      </c>
      <c r="C94" s="9" t="n">
        <f aca="false">SUMIFS('Source 2025'!$F:$F,'Source 2025'!$B:$B,$A94,'Source 2025'!$A:$A,"Quantity (units)")+SUMIFS('Source 2025'!$H:$H,'Source 2025'!$B:$B,$A94,'Source 2025'!$A:$A,"Quantity (units)")+SUMIFS('Source 2025'!$M:$M,'Source 2025'!$B:$B,$A94,'Source 2025'!$A:$A,"Quantity (units)")+SUMIFS('Source 2025'!$N:$N,'Source 2025'!$B:$B,$A94,'Source 2025'!$A:$A,"Quantity (units)")+SUMIFS('Source 2025'!$S:$S,'Source 2025'!$B:$B,$A94,'Source 2025'!$A:$A,"Quantity (units)")+SUMIFS('Source 2025'!$U:$U,'Source 2025'!$B:$B,$A94,'Source 2025'!$A:$A,"Quantity (units)")+SUMIFS('Source 2025'!$D:$D,'Source 2025'!$B:$B,$A94,'Source 2025'!$A:$A,"Quantity (units)")+SUMIFS('Source 2025'!$E:$E,'Source 2025'!$B:$B,$A94,'Source 2025'!$A:$A,"Quantity (units)")+SUMIFS('Source 2025'!$G:$G,'Source 2025'!$B:$B,$A94,'Source 2025'!$A:$A,"Quantity (units)")</f>
        <v>400</v>
      </c>
      <c r="D94" s="9" t="n">
        <f aca="false">SUMIFS('Source 2026'!$F:$F,'Source 2026'!$B:$B,$A94,'Source 2026'!$A:$A,"Quantity (units)")+SUMIFS('Source 2026'!$H:$H,'Source 2026'!$B:$B,$A94,'Source 2026'!$A:$A,"Quantity (units)")+SUMIFS('Source 2026'!$M:$M,'Source 2026'!$B:$B,$A94,'Source 2026'!$A:$A,"Quantity (units)")+SUMIFS('Source 2026'!$N:$N,'Source 2026'!$B:$B,$A94,'Source 2026'!$A:$A,"Quantity (units)")+SUMIFS('Source 2026'!$S:$S,'Source 2026'!$B:$B,$A94,'Source 2026'!$A:$A,"Quantity (units)")+SUMIFS('Source 2026'!$U:$U,'Source 2026'!$B:$B,$A94,'Source 2026'!$A:$A,"Quantity (units)")+SUMIFS('Source 2026'!$D:$D,'Source 2026'!$B:$B,$A94,'Source 2026'!$A:$A,"Quantity (units)")+SUMIFS('Source 2026'!$E:$E,'Source 2026'!$B:$B,$A94,'Source 2026'!$A:$A,"Quantity (units)")+SUMIFS('Source 2026'!$G:$G,'Source 2026'!$B:$B,$A94,'Source 2026'!$A:$A,"Quantity (units)")</f>
        <v>124</v>
      </c>
      <c r="E94" s="9" t="n">
        <f aca="false">D94*$J$5</f>
        <v>156.631578947368</v>
      </c>
      <c r="F94" s="9" t="n">
        <f aca="false">E94-C94</f>
        <v>-243.368421052632</v>
      </c>
      <c r="G94" s="11" t="n">
        <f aca="false">IF(AND(C94=0,E94=0),0,IF(C94=0,"New",(E94-C94)/C94))</f>
        <v>-0.608421052631579</v>
      </c>
      <c r="H94" s="9" t="n">
        <f aca="false">SUMIFS('Source 2025'!$F:$F,'Source 2025'!$B:$B,$A94,'Source 2025'!$A:$A,"Amount (NIS)")+SUMIFS('Source 2025'!$H:$H,'Source 2025'!$B:$B,$A94,'Source 2025'!$A:$A,"Amount (NIS)")+SUMIFS('Source 2025'!$M:$M,'Source 2025'!$B:$B,$A94,'Source 2025'!$A:$A,"Amount (NIS)")+SUMIFS('Source 2025'!$N:$N,'Source 2025'!$B:$B,$A94,'Source 2025'!$A:$A,"Amount (NIS)")+SUMIFS('Source 2025'!$S:$S,'Source 2025'!$B:$B,$A94,'Source 2025'!$A:$A,"Amount (NIS)")+SUMIFS('Source 2025'!$U:$U,'Source 2025'!$B:$B,$A94,'Source 2025'!$A:$A,"Amount (NIS)")+SUMIFS('Source 2025'!$D:$D,'Source 2025'!$B:$B,$A94,'Source 2025'!$A:$A,"Amount (NIS)")+SUMIFS('Source 2025'!$E:$E,'Source 2025'!$B:$B,$A94,'Source 2025'!$A:$A,"Amount (NIS)")+SUMIFS('Source 2025'!$G:$G,'Source 2025'!$B:$B,$A94,'Source 2025'!$A:$A,"Amount (NIS)")</f>
        <v>3741.1</v>
      </c>
      <c r="I94" s="9" t="n">
        <f aca="false">SUMIFS('Source 2026'!$F:$F,'Source 2026'!$B:$B,$A94,'Source 2026'!$A:$A,"Amount (NIS)")+SUMIFS('Source 2026'!$H:$H,'Source 2026'!$B:$B,$A94,'Source 2026'!$A:$A,"Amount (NIS)")+SUMIFS('Source 2026'!$M:$M,'Source 2026'!$B:$B,$A94,'Source 2026'!$A:$A,"Amount (NIS)")+SUMIFS('Source 2026'!$N:$N,'Source 2026'!$B:$B,$A94,'Source 2026'!$A:$A,"Amount (NIS)")+SUMIFS('Source 2026'!$S:$S,'Source 2026'!$B:$B,$A94,'Source 2026'!$A:$A,"Amount (NIS)")+SUMIFS('Source 2026'!$U:$U,'Source 2026'!$B:$B,$A94,'Source 2026'!$A:$A,"Amount (NIS)")+SUMIFS('Source 2026'!$D:$D,'Source 2026'!$B:$B,$A94,'Source 2026'!$A:$A,"Amount (NIS)")+SUMIFS('Source 2026'!$E:$E,'Source 2026'!$B:$B,$A94,'Source 2026'!$A:$A,"Amount (NIS)")+SUMIFS('Source 2026'!$G:$G,'Source 2026'!$B:$B,$A94,'Source 2026'!$A:$A,"Amount (NIS)")</f>
        <v>1388.3</v>
      </c>
      <c r="J94" s="9" t="n">
        <f aca="false">I94*$J$5</f>
        <v>1753.64210526316</v>
      </c>
      <c r="K94" s="9" t="n">
        <f aca="false">J94-H94</f>
        <v>-1987.45789473684</v>
      </c>
      <c r="L94" s="11" t="n">
        <f aca="false">IF(AND(H94=0,J94=0),0,IF(H94=0,"New",(J94-H94)/H94))</f>
        <v>-0.531249604324087</v>
      </c>
    </row>
    <row r="95" customFormat="false" ht="15" hidden="false" customHeight="true" outlineLevel="0" collapsed="false">
      <c r="A95" s="8" t="s">
        <v>164</v>
      </c>
      <c r="B95" s="8" t="str">
        <f aca="false">IFERROR(INDEX('Source 2026'!$C:$C,MATCH($A95,'Source 2026'!$B:$B,0)),IFERROR(INDEX('Source 2025'!$C:$C,MATCH($A95,'Source 2025'!$B:$B,0)),""))</f>
        <v>M מדרס ג'ל ספורט לגבר</v>
      </c>
      <c r="C95" s="9" t="n">
        <f aca="false">SUMIFS('Source 2025'!$F:$F,'Source 2025'!$B:$B,$A95,'Source 2025'!$A:$A,"Quantity (units)")+SUMIFS('Source 2025'!$H:$H,'Source 2025'!$B:$B,$A95,'Source 2025'!$A:$A,"Quantity (units)")+SUMIFS('Source 2025'!$M:$M,'Source 2025'!$B:$B,$A95,'Source 2025'!$A:$A,"Quantity (units)")+SUMIFS('Source 2025'!$N:$N,'Source 2025'!$B:$B,$A95,'Source 2025'!$A:$A,"Quantity (units)")+SUMIFS('Source 2025'!$S:$S,'Source 2025'!$B:$B,$A95,'Source 2025'!$A:$A,"Quantity (units)")+SUMIFS('Source 2025'!$U:$U,'Source 2025'!$B:$B,$A95,'Source 2025'!$A:$A,"Quantity (units)")+SUMIFS('Source 2025'!$D:$D,'Source 2025'!$B:$B,$A95,'Source 2025'!$A:$A,"Quantity (units)")+SUMIFS('Source 2025'!$E:$E,'Source 2025'!$B:$B,$A95,'Source 2025'!$A:$A,"Quantity (units)")+SUMIFS('Source 2025'!$G:$G,'Source 2025'!$B:$B,$A95,'Source 2025'!$A:$A,"Quantity (units)")</f>
        <v>-1</v>
      </c>
      <c r="D95" s="9" t="n">
        <f aca="false">SUMIFS('Source 2026'!$F:$F,'Source 2026'!$B:$B,$A95,'Source 2026'!$A:$A,"Quantity (units)")+SUMIFS('Source 2026'!$H:$H,'Source 2026'!$B:$B,$A95,'Source 2026'!$A:$A,"Quantity (units)")+SUMIFS('Source 2026'!$M:$M,'Source 2026'!$B:$B,$A95,'Source 2026'!$A:$A,"Quantity (units)")+SUMIFS('Source 2026'!$N:$N,'Source 2026'!$B:$B,$A95,'Source 2026'!$A:$A,"Quantity (units)")+SUMIFS('Source 2026'!$S:$S,'Source 2026'!$B:$B,$A95,'Source 2026'!$A:$A,"Quantity (units)")+SUMIFS('Source 2026'!$U:$U,'Source 2026'!$B:$B,$A95,'Source 2026'!$A:$A,"Quantity (units)")+SUMIFS('Source 2026'!$D:$D,'Source 2026'!$B:$B,$A95,'Source 2026'!$A:$A,"Quantity (units)")+SUMIFS('Source 2026'!$E:$E,'Source 2026'!$B:$B,$A95,'Source 2026'!$A:$A,"Quantity (units)")+SUMIFS('Source 2026'!$G:$G,'Source 2026'!$B:$B,$A95,'Source 2026'!$A:$A,"Quantity (units)")</f>
        <v>39</v>
      </c>
      <c r="E95" s="9" t="n">
        <f aca="false">D95*$J$5</f>
        <v>49.2631578947368</v>
      </c>
      <c r="F95" s="9" t="n">
        <f aca="false">E95-C95</f>
        <v>50.2631578947368</v>
      </c>
      <c r="G95" s="11" t="n">
        <f aca="false">IF(AND(C95=0,E95=0),0,IF(C95=0,"New",(E95-C95)/C95))</f>
        <v>-50.2631578947368</v>
      </c>
      <c r="H95" s="9" t="n">
        <f aca="false">SUMIFS('Source 2025'!$F:$F,'Source 2025'!$B:$B,$A95,'Source 2025'!$A:$A,"Amount (NIS)")+SUMIFS('Source 2025'!$H:$H,'Source 2025'!$B:$B,$A95,'Source 2025'!$A:$A,"Amount (NIS)")+SUMIFS('Source 2025'!$M:$M,'Source 2025'!$B:$B,$A95,'Source 2025'!$A:$A,"Amount (NIS)")+SUMIFS('Source 2025'!$N:$N,'Source 2025'!$B:$B,$A95,'Source 2025'!$A:$A,"Amount (NIS)")+SUMIFS('Source 2025'!$S:$S,'Source 2025'!$B:$B,$A95,'Source 2025'!$A:$A,"Amount (NIS)")+SUMIFS('Source 2025'!$U:$U,'Source 2025'!$B:$B,$A95,'Source 2025'!$A:$A,"Amount (NIS)")+SUMIFS('Source 2025'!$D:$D,'Source 2025'!$B:$B,$A95,'Source 2025'!$A:$A,"Amount (NIS)")+SUMIFS('Source 2025'!$E:$E,'Source 2025'!$B:$B,$A95,'Source 2025'!$A:$A,"Amount (NIS)")+SUMIFS('Source 2025'!$G:$G,'Source 2025'!$B:$B,$A95,'Source 2025'!$A:$A,"Amount (NIS)")</f>
        <v>-88.5</v>
      </c>
      <c r="I95" s="9" t="n">
        <f aca="false">SUMIFS('Source 2026'!$F:$F,'Source 2026'!$B:$B,$A95,'Source 2026'!$A:$A,"Amount (NIS)")+SUMIFS('Source 2026'!$H:$H,'Source 2026'!$B:$B,$A95,'Source 2026'!$A:$A,"Amount (NIS)")+SUMIFS('Source 2026'!$M:$M,'Source 2026'!$B:$B,$A95,'Source 2026'!$A:$A,"Amount (NIS)")+SUMIFS('Source 2026'!$N:$N,'Source 2026'!$B:$B,$A95,'Source 2026'!$A:$A,"Amount (NIS)")+SUMIFS('Source 2026'!$S:$S,'Source 2026'!$B:$B,$A95,'Source 2026'!$A:$A,"Amount (NIS)")+SUMIFS('Source 2026'!$U:$U,'Source 2026'!$B:$B,$A95,'Source 2026'!$A:$A,"Amount (NIS)")+SUMIFS('Source 2026'!$D:$D,'Source 2026'!$B:$B,$A95,'Source 2026'!$A:$A,"Amount (NIS)")+SUMIFS('Source 2026'!$E:$E,'Source 2026'!$B:$B,$A95,'Source 2026'!$A:$A,"Amount (NIS)")+SUMIFS('Source 2026'!$G:$G,'Source 2026'!$B:$B,$A95,'Source 2026'!$A:$A,"Amount (NIS)")</f>
        <v>2191.9</v>
      </c>
      <c r="J95" s="9" t="n">
        <f aca="false">I95*$J$5</f>
        <v>2768.71578947368</v>
      </c>
      <c r="K95" s="9" t="n">
        <f aca="false">J95-H95</f>
        <v>2857.21578947368</v>
      </c>
      <c r="L95" s="11" t="n">
        <f aca="false">IF(AND(H95=0,J95=0),0,IF(H95=0,"New",(J95-H95)/H95))</f>
        <v>-32.2849241748439</v>
      </c>
    </row>
    <row r="96" customFormat="false" ht="15" hidden="false" customHeight="true" outlineLevel="0" collapsed="false">
      <c r="A96" s="8" t="s">
        <v>165</v>
      </c>
      <c r="B96" s="8" t="str">
        <f aca="false">IFERROR(INDEX('Source 2026'!$C:$C,MATCH($A96,'Source 2026'!$B:$B,0)),IFERROR(INDEX('Source 2025'!$C:$C,MATCH($A96,'Source 2025'!$B:$B,0)),""))</f>
        <v>S חבק יד</v>
      </c>
      <c r="C96" s="9" t="n">
        <f aca="false">SUMIFS('Source 2025'!$F:$F,'Source 2025'!$B:$B,$A96,'Source 2025'!$A:$A,"Quantity (units)")+SUMIFS('Source 2025'!$H:$H,'Source 2025'!$B:$B,$A96,'Source 2025'!$A:$A,"Quantity (units)")+SUMIFS('Source 2025'!$M:$M,'Source 2025'!$B:$B,$A96,'Source 2025'!$A:$A,"Quantity (units)")+SUMIFS('Source 2025'!$N:$N,'Source 2025'!$B:$B,$A96,'Source 2025'!$A:$A,"Quantity (units)")+SUMIFS('Source 2025'!$S:$S,'Source 2025'!$B:$B,$A96,'Source 2025'!$A:$A,"Quantity (units)")+SUMIFS('Source 2025'!$U:$U,'Source 2025'!$B:$B,$A96,'Source 2025'!$A:$A,"Quantity (units)")+SUMIFS('Source 2025'!$D:$D,'Source 2025'!$B:$B,$A96,'Source 2025'!$A:$A,"Quantity (units)")+SUMIFS('Source 2025'!$E:$E,'Source 2025'!$B:$B,$A96,'Source 2025'!$A:$A,"Quantity (units)")+SUMIFS('Source 2025'!$G:$G,'Source 2025'!$B:$B,$A96,'Source 2025'!$A:$A,"Quantity (units)")</f>
        <v>35</v>
      </c>
      <c r="D96" s="9" t="n">
        <f aca="false">SUMIFS('Source 2026'!$F:$F,'Source 2026'!$B:$B,$A96,'Source 2026'!$A:$A,"Quantity (units)")+SUMIFS('Source 2026'!$H:$H,'Source 2026'!$B:$B,$A96,'Source 2026'!$A:$A,"Quantity (units)")+SUMIFS('Source 2026'!$M:$M,'Source 2026'!$B:$B,$A96,'Source 2026'!$A:$A,"Quantity (units)")+SUMIFS('Source 2026'!$N:$N,'Source 2026'!$B:$B,$A96,'Source 2026'!$A:$A,"Quantity (units)")+SUMIFS('Source 2026'!$S:$S,'Source 2026'!$B:$B,$A96,'Source 2026'!$A:$A,"Quantity (units)")+SUMIFS('Source 2026'!$U:$U,'Source 2026'!$B:$B,$A96,'Source 2026'!$A:$A,"Quantity (units)")+SUMIFS('Source 2026'!$D:$D,'Source 2026'!$B:$B,$A96,'Source 2026'!$A:$A,"Quantity (units)")+SUMIFS('Source 2026'!$E:$E,'Source 2026'!$B:$B,$A96,'Source 2026'!$A:$A,"Quantity (units)")+SUMIFS('Source 2026'!$G:$G,'Source 2026'!$B:$B,$A96,'Source 2026'!$A:$A,"Quantity (units)")</f>
        <v>57</v>
      </c>
      <c r="E96" s="9" t="n">
        <f aca="false">D96*$J$5</f>
        <v>72</v>
      </c>
      <c r="F96" s="9" t="n">
        <f aca="false">E96-C96</f>
        <v>37</v>
      </c>
      <c r="G96" s="11" t="n">
        <f aca="false">IF(AND(C96=0,E96=0),0,IF(C96=0,"New",(E96-C96)/C96))</f>
        <v>1.05714285714286</v>
      </c>
      <c r="H96" s="9" t="n">
        <f aca="false">SUMIFS('Source 2025'!$F:$F,'Source 2025'!$B:$B,$A96,'Source 2025'!$A:$A,"Amount (NIS)")+SUMIFS('Source 2025'!$H:$H,'Source 2025'!$B:$B,$A96,'Source 2025'!$A:$A,"Amount (NIS)")+SUMIFS('Source 2025'!$M:$M,'Source 2025'!$B:$B,$A96,'Source 2025'!$A:$A,"Amount (NIS)")+SUMIFS('Source 2025'!$N:$N,'Source 2025'!$B:$B,$A96,'Source 2025'!$A:$A,"Amount (NIS)")+SUMIFS('Source 2025'!$S:$S,'Source 2025'!$B:$B,$A96,'Source 2025'!$A:$A,"Amount (NIS)")+SUMIFS('Source 2025'!$U:$U,'Source 2025'!$B:$B,$A96,'Source 2025'!$A:$A,"Amount (NIS)")+SUMIFS('Source 2025'!$D:$D,'Source 2025'!$B:$B,$A96,'Source 2025'!$A:$A,"Amount (NIS)")+SUMIFS('Source 2025'!$E:$E,'Source 2025'!$B:$B,$A96,'Source 2025'!$A:$A,"Amount (NIS)")+SUMIFS('Source 2025'!$G:$G,'Source 2025'!$B:$B,$A96,'Source 2025'!$A:$A,"Amount (NIS)")</f>
        <v>2874.7</v>
      </c>
      <c r="I96" s="9" t="n">
        <f aca="false">SUMIFS('Source 2026'!$F:$F,'Source 2026'!$B:$B,$A96,'Source 2026'!$A:$A,"Amount (NIS)")+SUMIFS('Source 2026'!$H:$H,'Source 2026'!$B:$B,$A96,'Source 2026'!$A:$A,"Amount (NIS)")+SUMIFS('Source 2026'!$M:$M,'Source 2026'!$B:$B,$A96,'Source 2026'!$A:$A,"Amount (NIS)")+SUMIFS('Source 2026'!$N:$N,'Source 2026'!$B:$B,$A96,'Source 2026'!$A:$A,"Amount (NIS)")+SUMIFS('Source 2026'!$S:$S,'Source 2026'!$B:$B,$A96,'Source 2026'!$A:$A,"Amount (NIS)")+SUMIFS('Source 2026'!$U:$U,'Source 2026'!$B:$B,$A96,'Source 2026'!$A:$A,"Amount (NIS)")+SUMIFS('Source 2026'!$D:$D,'Source 2026'!$B:$B,$A96,'Source 2026'!$A:$A,"Amount (NIS)")+SUMIFS('Source 2026'!$E:$E,'Source 2026'!$B:$B,$A96,'Source 2026'!$A:$A,"Amount (NIS)")+SUMIFS('Source 2026'!$G:$G,'Source 2026'!$B:$B,$A96,'Source 2026'!$A:$A,"Amount (NIS)")</f>
        <v>5149.6</v>
      </c>
      <c r="J96" s="9" t="n">
        <f aca="false">I96*$J$5</f>
        <v>6504.75789473684</v>
      </c>
      <c r="K96" s="9" t="n">
        <f aca="false">J96-H96</f>
        <v>3630.05789473684</v>
      </c>
      <c r="L96" s="11" t="n">
        <f aca="false">IF(AND(H96=0,J96=0),0,IF(H96=0,"New",(J96-H96)/H96))</f>
        <v>1.26276059927535</v>
      </c>
    </row>
    <row r="97" customFormat="false" ht="15" hidden="false" customHeight="true" outlineLevel="0" collapsed="false">
      <c r="A97" s="8" t="s">
        <v>166</v>
      </c>
      <c r="B97" s="8" t="str">
        <f aca="false">IFERROR(INDEX('Source 2026'!$C:$C,MATCH($A97,'Source 2026'!$B:$B,0)),IFERROR(INDEX('Source 2025'!$C:$C,MATCH($A97,'Source 2025'!$B:$B,0)),""))</f>
        <v>S-M סד לאגודל</v>
      </c>
      <c r="C97" s="9" t="n">
        <f aca="false">SUMIFS('Source 2025'!$F:$F,'Source 2025'!$B:$B,$A97,'Source 2025'!$A:$A,"Quantity (units)")+SUMIFS('Source 2025'!$H:$H,'Source 2025'!$B:$B,$A97,'Source 2025'!$A:$A,"Quantity (units)")+SUMIFS('Source 2025'!$M:$M,'Source 2025'!$B:$B,$A97,'Source 2025'!$A:$A,"Quantity (units)")+SUMIFS('Source 2025'!$N:$N,'Source 2025'!$B:$B,$A97,'Source 2025'!$A:$A,"Quantity (units)")+SUMIFS('Source 2025'!$S:$S,'Source 2025'!$B:$B,$A97,'Source 2025'!$A:$A,"Quantity (units)")+SUMIFS('Source 2025'!$U:$U,'Source 2025'!$B:$B,$A97,'Source 2025'!$A:$A,"Quantity (units)")+SUMIFS('Source 2025'!$D:$D,'Source 2025'!$B:$B,$A97,'Source 2025'!$A:$A,"Quantity (units)")+SUMIFS('Source 2025'!$E:$E,'Source 2025'!$B:$B,$A97,'Source 2025'!$A:$A,"Quantity (units)")+SUMIFS('Source 2025'!$G:$G,'Source 2025'!$B:$B,$A97,'Source 2025'!$A:$A,"Quantity (units)")</f>
        <v>135</v>
      </c>
      <c r="D97" s="9" t="n">
        <f aca="false">SUMIFS('Source 2026'!$F:$F,'Source 2026'!$B:$B,$A97,'Source 2026'!$A:$A,"Quantity (units)")+SUMIFS('Source 2026'!$H:$H,'Source 2026'!$B:$B,$A97,'Source 2026'!$A:$A,"Quantity (units)")+SUMIFS('Source 2026'!$M:$M,'Source 2026'!$B:$B,$A97,'Source 2026'!$A:$A,"Quantity (units)")+SUMIFS('Source 2026'!$N:$N,'Source 2026'!$B:$B,$A97,'Source 2026'!$A:$A,"Quantity (units)")+SUMIFS('Source 2026'!$S:$S,'Source 2026'!$B:$B,$A97,'Source 2026'!$A:$A,"Quantity (units)")+SUMIFS('Source 2026'!$U:$U,'Source 2026'!$B:$B,$A97,'Source 2026'!$A:$A,"Quantity (units)")+SUMIFS('Source 2026'!$D:$D,'Source 2026'!$B:$B,$A97,'Source 2026'!$A:$A,"Quantity (units)")+SUMIFS('Source 2026'!$E:$E,'Source 2026'!$B:$B,$A97,'Source 2026'!$A:$A,"Quantity (units)")+SUMIFS('Source 2026'!$G:$G,'Source 2026'!$B:$B,$A97,'Source 2026'!$A:$A,"Quantity (units)")</f>
        <v>101</v>
      </c>
      <c r="E97" s="9" t="n">
        <f aca="false">D97*$J$5</f>
        <v>127.578947368421</v>
      </c>
      <c r="F97" s="9" t="n">
        <f aca="false">E97-C97</f>
        <v>-7.42105263157896</v>
      </c>
      <c r="G97" s="11" t="n">
        <f aca="false">IF(AND(C97=0,E97=0),0,IF(C97=0,"New",(E97-C97)/C97))</f>
        <v>-0.0549707602339182</v>
      </c>
      <c r="H97" s="9" t="n">
        <f aca="false">SUMIFS('Source 2025'!$F:$F,'Source 2025'!$B:$B,$A97,'Source 2025'!$A:$A,"Amount (NIS)")+SUMIFS('Source 2025'!$H:$H,'Source 2025'!$B:$B,$A97,'Source 2025'!$A:$A,"Amount (NIS)")+SUMIFS('Source 2025'!$M:$M,'Source 2025'!$B:$B,$A97,'Source 2025'!$A:$A,"Amount (NIS)")+SUMIFS('Source 2025'!$N:$N,'Source 2025'!$B:$B,$A97,'Source 2025'!$A:$A,"Amount (NIS)")+SUMIFS('Source 2025'!$S:$S,'Source 2025'!$B:$B,$A97,'Source 2025'!$A:$A,"Amount (NIS)")+SUMIFS('Source 2025'!$U:$U,'Source 2025'!$B:$B,$A97,'Source 2025'!$A:$A,"Amount (NIS)")+SUMIFS('Source 2025'!$D:$D,'Source 2025'!$B:$B,$A97,'Source 2025'!$A:$A,"Amount (NIS)")+SUMIFS('Source 2025'!$E:$E,'Source 2025'!$B:$B,$A97,'Source 2025'!$A:$A,"Amount (NIS)")+SUMIFS('Source 2025'!$G:$G,'Source 2025'!$B:$B,$A97,'Source 2025'!$A:$A,"Amount (NIS)")</f>
        <v>9104.6</v>
      </c>
      <c r="I97" s="9" t="n">
        <f aca="false">SUMIFS('Source 2026'!$F:$F,'Source 2026'!$B:$B,$A97,'Source 2026'!$A:$A,"Amount (NIS)")+SUMIFS('Source 2026'!$H:$H,'Source 2026'!$B:$B,$A97,'Source 2026'!$A:$A,"Amount (NIS)")+SUMIFS('Source 2026'!$M:$M,'Source 2026'!$B:$B,$A97,'Source 2026'!$A:$A,"Amount (NIS)")+SUMIFS('Source 2026'!$N:$N,'Source 2026'!$B:$B,$A97,'Source 2026'!$A:$A,"Amount (NIS)")+SUMIFS('Source 2026'!$S:$S,'Source 2026'!$B:$B,$A97,'Source 2026'!$A:$A,"Amount (NIS)")+SUMIFS('Source 2026'!$U:$U,'Source 2026'!$B:$B,$A97,'Source 2026'!$A:$A,"Amount (NIS)")+SUMIFS('Source 2026'!$D:$D,'Source 2026'!$B:$B,$A97,'Source 2026'!$A:$A,"Amount (NIS)")+SUMIFS('Source 2026'!$E:$E,'Source 2026'!$B:$B,$A97,'Source 2026'!$A:$A,"Amount (NIS)")+SUMIFS('Source 2026'!$G:$G,'Source 2026'!$B:$B,$A97,'Source 2026'!$A:$A,"Amount (NIS)")</f>
        <v>6859.8</v>
      </c>
      <c r="J97" s="9" t="n">
        <f aca="false">I97*$J$5</f>
        <v>8665.01052631579</v>
      </c>
      <c r="K97" s="9" t="n">
        <f aca="false">J97-H97</f>
        <v>-439.589473684211</v>
      </c>
      <c r="L97" s="11" t="n">
        <f aca="false">IF(AND(H97=0,J97=0),0,IF(H97=0,"New",(J97-H97)/H97))</f>
        <v>-0.0482821292186599</v>
      </c>
    </row>
    <row r="98" customFormat="false" ht="15" hidden="false" customHeight="true" outlineLevel="0" collapsed="false">
      <c r="A98" s="8" t="s">
        <v>167</v>
      </c>
      <c r="B98" s="8" t="str">
        <f aca="false">IFERROR(INDEX('Source 2026'!$C:$C,MATCH($A98,'Source 2026'!$B:$B,0)),IFERROR(INDEX('Source 2025'!$C:$C,MATCH($A98,'Source 2025'!$B:$B,0)),""))</f>
        <v>בליסטר פלסטר</v>
      </c>
      <c r="C98" s="9" t="n">
        <f aca="false">SUMIFS('Source 2025'!$F:$F,'Source 2025'!$B:$B,$A98,'Source 2025'!$A:$A,"Quantity (units)")+SUMIFS('Source 2025'!$H:$H,'Source 2025'!$B:$B,$A98,'Source 2025'!$A:$A,"Quantity (units)")+SUMIFS('Source 2025'!$M:$M,'Source 2025'!$B:$B,$A98,'Source 2025'!$A:$A,"Quantity (units)")+SUMIFS('Source 2025'!$N:$N,'Source 2025'!$B:$B,$A98,'Source 2025'!$A:$A,"Quantity (units)")+SUMIFS('Source 2025'!$S:$S,'Source 2025'!$B:$B,$A98,'Source 2025'!$A:$A,"Quantity (units)")+SUMIFS('Source 2025'!$U:$U,'Source 2025'!$B:$B,$A98,'Source 2025'!$A:$A,"Quantity (units)")+SUMIFS('Source 2025'!$D:$D,'Source 2025'!$B:$B,$A98,'Source 2025'!$A:$A,"Quantity (units)")+SUMIFS('Source 2025'!$E:$E,'Source 2025'!$B:$B,$A98,'Source 2025'!$A:$A,"Quantity (units)")+SUMIFS('Source 2025'!$G:$G,'Source 2025'!$B:$B,$A98,'Source 2025'!$A:$A,"Quantity (units)")</f>
        <v>343</v>
      </c>
      <c r="D98" s="9" t="n">
        <f aca="false">SUMIFS('Source 2026'!$F:$F,'Source 2026'!$B:$B,$A98,'Source 2026'!$A:$A,"Quantity (units)")+SUMIFS('Source 2026'!$H:$H,'Source 2026'!$B:$B,$A98,'Source 2026'!$A:$A,"Quantity (units)")+SUMIFS('Source 2026'!$M:$M,'Source 2026'!$B:$B,$A98,'Source 2026'!$A:$A,"Quantity (units)")+SUMIFS('Source 2026'!$N:$N,'Source 2026'!$B:$B,$A98,'Source 2026'!$A:$A,"Quantity (units)")+SUMIFS('Source 2026'!$S:$S,'Source 2026'!$B:$B,$A98,'Source 2026'!$A:$A,"Quantity (units)")+SUMIFS('Source 2026'!$U:$U,'Source 2026'!$B:$B,$A98,'Source 2026'!$A:$A,"Quantity (units)")+SUMIFS('Source 2026'!$D:$D,'Source 2026'!$B:$B,$A98,'Source 2026'!$A:$A,"Quantity (units)")+SUMIFS('Source 2026'!$E:$E,'Source 2026'!$B:$B,$A98,'Source 2026'!$A:$A,"Quantity (units)")+SUMIFS('Source 2026'!$G:$G,'Source 2026'!$B:$B,$A98,'Source 2026'!$A:$A,"Quantity (units)")</f>
        <v>222</v>
      </c>
      <c r="E98" s="9" t="n">
        <f aca="false">D98*$J$5</f>
        <v>280.421052631579</v>
      </c>
      <c r="F98" s="9" t="n">
        <f aca="false">E98-C98</f>
        <v>-62.578947368421</v>
      </c>
      <c r="G98" s="11" t="n">
        <f aca="false">IF(AND(C98=0,E98=0),0,IF(C98=0,"New",(E98-C98)/C98))</f>
        <v>-0.182445910695105</v>
      </c>
      <c r="H98" s="9" t="n">
        <f aca="false">SUMIFS('Source 2025'!$F:$F,'Source 2025'!$B:$B,$A98,'Source 2025'!$A:$A,"Amount (NIS)")+SUMIFS('Source 2025'!$H:$H,'Source 2025'!$B:$B,$A98,'Source 2025'!$A:$A,"Amount (NIS)")+SUMIFS('Source 2025'!$M:$M,'Source 2025'!$B:$B,$A98,'Source 2025'!$A:$A,"Amount (NIS)")+SUMIFS('Source 2025'!$N:$N,'Source 2025'!$B:$B,$A98,'Source 2025'!$A:$A,"Amount (NIS)")+SUMIFS('Source 2025'!$S:$S,'Source 2025'!$B:$B,$A98,'Source 2025'!$A:$A,"Amount (NIS)")+SUMIFS('Source 2025'!$U:$U,'Source 2025'!$B:$B,$A98,'Source 2025'!$A:$A,"Amount (NIS)")+SUMIFS('Source 2025'!$D:$D,'Source 2025'!$B:$B,$A98,'Source 2025'!$A:$A,"Amount (NIS)")+SUMIFS('Source 2025'!$E:$E,'Source 2025'!$B:$B,$A98,'Source 2025'!$A:$A,"Amount (NIS)")+SUMIFS('Source 2025'!$G:$G,'Source 2025'!$B:$B,$A98,'Source 2025'!$A:$A,"Amount (NIS)")</f>
        <v>6288.6</v>
      </c>
      <c r="I98" s="9" t="n">
        <f aca="false">SUMIFS('Source 2026'!$F:$F,'Source 2026'!$B:$B,$A98,'Source 2026'!$A:$A,"Amount (NIS)")+SUMIFS('Source 2026'!$H:$H,'Source 2026'!$B:$B,$A98,'Source 2026'!$A:$A,"Amount (NIS)")+SUMIFS('Source 2026'!$M:$M,'Source 2026'!$B:$B,$A98,'Source 2026'!$A:$A,"Amount (NIS)")+SUMIFS('Source 2026'!$N:$N,'Source 2026'!$B:$B,$A98,'Source 2026'!$A:$A,"Amount (NIS)")+SUMIFS('Source 2026'!$S:$S,'Source 2026'!$B:$B,$A98,'Source 2026'!$A:$A,"Amount (NIS)")+SUMIFS('Source 2026'!$U:$U,'Source 2026'!$B:$B,$A98,'Source 2026'!$A:$A,"Amount (NIS)")+SUMIFS('Source 2026'!$D:$D,'Source 2026'!$B:$B,$A98,'Source 2026'!$A:$A,"Amount (NIS)")+SUMIFS('Source 2026'!$E:$E,'Source 2026'!$B:$B,$A98,'Source 2026'!$A:$A,"Amount (NIS)")+SUMIFS('Source 2026'!$G:$G,'Source 2026'!$B:$B,$A98,'Source 2026'!$A:$A,"Amount (NIS)")</f>
        <v>4074.7</v>
      </c>
      <c r="J98" s="9" t="n">
        <f aca="false">I98*$J$5</f>
        <v>5146.98947368421</v>
      </c>
      <c r="K98" s="9" t="n">
        <f aca="false">J98-H98</f>
        <v>-1141.61052631579</v>
      </c>
      <c r="L98" s="11" t="n">
        <f aca="false">IF(AND(H98=0,J98=0),0,IF(H98=0,"New",(J98-H98)/H98))</f>
        <v>-0.181536514695765</v>
      </c>
    </row>
    <row r="99" customFormat="false" ht="15" hidden="false" customHeight="true" outlineLevel="0" collapsed="false">
      <c r="A99" s="8" t="s">
        <v>168</v>
      </c>
      <c r="B99" s="8" t="str">
        <f aca="false">IFERROR(INDEX('Source 2026'!$C:$C,MATCH($A99,'Source 2026'!$B:$B,0)),IFERROR(INDEX('Source 2025'!$C:$C,MATCH($A99,'Source 2025'!$B:$B,0)),""))</f>
        <v>S מגן ירך</v>
      </c>
      <c r="C99" s="9" t="n">
        <f aca="false">SUMIFS('Source 2025'!$F:$F,'Source 2025'!$B:$B,$A99,'Source 2025'!$A:$A,"Quantity (units)")+SUMIFS('Source 2025'!$H:$H,'Source 2025'!$B:$B,$A99,'Source 2025'!$A:$A,"Quantity (units)")+SUMIFS('Source 2025'!$M:$M,'Source 2025'!$B:$B,$A99,'Source 2025'!$A:$A,"Quantity (units)")+SUMIFS('Source 2025'!$N:$N,'Source 2025'!$B:$B,$A99,'Source 2025'!$A:$A,"Quantity (units)")+SUMIFS('Source 2025'!$S:$S,'Source 2025'!$B:$B,$A99,'Source 2025'!$A:$A,"Quantity (units)")+SUMIFS('Source 2025'!$U:$U,'Source 2025'!$B:$B,$A99,'Source 2025'!$A:$A,"Quantity (units)")+SUMIFS('Source 2025'!$D:$D,'Source 2025'!$B:$B,$A99,'Source 2025'!$A:$A,"Quantity (units)")+SUMIFS('Source 2025'!$E:$E,'Source 2025'!$B:$B,$A99,'Source 2025'!$A:$A,"Quantity (units)")+SUMIFS('Source 2025'!$G:$G,'Source 2025'!$B:$B,$A99,'Source 2025'!$A:$A,"Quantity (units)")</f>
        <v>122</v>
      </c>
      <c r="D99" s="9" t="n">
        <f aca="false">SUMIFS('Source 2026'!$F:$F,'Source 2026'!$B:$B,$A99,'Source 2026'!$A:$A,"Quantity (units)")+SUMIFS('Source 2026'!$H:$H,'Source 2026'!$B:$B,$A99,'Source 2026'!$A:$A,"Quantity (units)")+SUMIFS('Source 2026'!$M:$M,'Source 2026'!$B:$B,$A99,'Source 2026'!$A:$A,"Quantity (units)")+SUMIFS('Source 2026'!$N:$N,'Source 2026'!$B:$B,$A99,'Source 2026'!$A:$A,"Quantity (units)")+SUMIFS('Source 2026'!$S:$S,'Source 2026'!$B:$B,$A99,'Source 2026'!$A:$A,"Quantity (units)")+SUMIFS('Source 2026'!$U:$U,'Source 2026'!$B:$B,$A99,'Source 2026'!$A:$A,"Quantity (units)")+SUMIFS('Source 2026'!$D:$D,'Source 2026'!$B:$B,$A99,'Source 2026'!$A:$A,"Quantity (units)")+SUMIFS('Source 2026'!$E:$E,'Source 2026'!$B:$B,$A99,'Source 2026'!$A:$A,"Quantity (units)")+SUMIFS('Source 2026'!$G:$G,'Source 2026'!$B:$B,$A99,'Source 2026'!$A:$A,"Quantity (units)")</f>
        <v>53</v>
      </c>
      <c r="E99" s="9" t="n">
        <f aca="false">D99*$J$5</f>
        <v>66.9473684210526</v>
      </c>
      <c r="F99" s="9" t="n">
        <f aca="false">E99-C99</f>
        <v>-55.0526315789474</v>
      </c>
      <c r="G99" s="11" t="n">
        <f aca="false">IF(AND(C99=0,E99=0),0,IF(C99=0,"New",(E99-C99)/C99))</f>
        <v>-0.451251078515962</v>
      </c>
      <c r="H99" s="9" t="n">
        <f aca="false">SUMIFS('Source 2025'!$F:$F,'Source 2025'!$B:$B,$A99,'Source 2025'!$A:$A,"Amount (NIS)")+SUMIFS('Source 2025'!$H:$H,'Source 2025'!$B:$B,$A99,'Source 2025'!$A:$A,"Amount (NIS)")+SUMIFS('Source 2025'!$M:$M,'Source 2025'!$B:$B,$A99,'Source 2025'!$A:$A,"Amount (NIS)")+SUMIFS('Source 2025'!$N:$N,'Source 2025'!$B:$B,$A99,'Source 2025'!$A:$A,"Amount (NIS)")+SUMIFS('Source 2025'!$S:$S,'Source 2025'!$B:$B,$A99,'Source 2025'!$A:$A,"Amount (NIS)")+SUMIFS('Source 2025'!$U:$U,'Source 2025'!$B:$B,$A99,'Source 2025'!$A:$A,"Amount (NIS)")+SUMIFS('Source 2025'!$D:$D,'Source 2025'!$B:$B,$A99,'Source 2025'!$A:$A,"Amount (NIS)")+SUMIFS('Source 2025'!$E:$E,'Source 2025'!$B:$B,$A99,'Source 2025'!$A:$A,"Amount (NIS)")+SUMIFS('Source 2025'!$G:$G,'Source 2025'!$B:$B,$A99,'Source 2025'!$A:$A,"Amount (NIS)")</f>
        <v>4038.6</v>
      </c>
      <c r="I99" s="9" t="n">
        <f aca="false">SUMIFS('Source 2026'!$F:$F,'Source 2026'!$B:$B,$A99,'Source 2026'!$A:$A,"Amount (NIS)")+SUMIFS('Source 2026'!$H:$H,'Source 2026'!$B:$B,$A99,'Source 2026'!$A:$A,"Amount (NIS)")+SUMIFS('Source 2026'!$M:$M,'Source 2026'!$B:$B,$A99,'Source 2026'!$A:$A,"Amount (NIS)")+SUMIFS('Source 2026'!$N:$N,'Source 2026'!$B:$B,$A99,'Source 2026'!$A:$A,"Amount (NIS)")+SUMIFS('Source 2026'!$S:$S,'Source 2026'!$B:$B,$A99,'Source 2026'!$A:$A,"Amount (NIS)")+SUMIFS('Source 2026'!$U:$U,'Source 2026'!$B:$B,$A99,'Source 2026'!$A:$A,"Amount (NIS)")+SUMIFS('Source 2026'!$D:$D,'Source 2026'!$B:$B,$A99,'Source 2026'!$A:$A,"Amount (NIS)")+SUMIFS('Source 2026'!$E:$E,'Source 2026'!$B:$B,$A99,'Source 2026'!$A:$A,"Amount (NIS)")+SUMIFS('Source 2026'!$G:$G,'Source 2026'!$B:$B,$A99,'Source 2026'!$A:$A,"Amount (NIS)")</f>
        <v>1827.6</v>
      </c>
      <c r="J99" s="9" t="n">
        <f aca="false">I99*$J$5</f>
        <v>2308.54736842105</v>
      </c>
      <c r="K99" s="9" t="n">
        <f aca="false">J99-H99</f>
        <v>-1730.05263157895</v>
      </c>
      <c r="L99" s="11" t="n">
        <f aca="false">IF(AND(H99=0,J99=0),0,IF(H99=0,"New",(J99-H99)/H99))</f>
        <v>-0.4283792976722</v>
      </c>
    </row>
    <row r="100" customFormat="false" ht="15" hidden="false" customHeight="true" outlineLevel="0" collapsed="false">
      <c r="A100" s="8" t="s">
        <v>169</v>
      </c>
      <c r="B100" s="8" t="str">
        <f aca="false">IFERROR(INDEX('Source 2026'!$C:$C,MATCH($A100,'Source 2026'!$B:$B,0)),IFERROR(INDEX('Source 2025'!$C:$C,MATCH($A100,'Source 2025'!$B:$B,0)),""))</f>
        <v>כרית ליישור אצבע פטיש</v>
      </c>
      <c r="C100" s="9" t="n">
        <f aca="false">SUMIFS('Source 2025'!$F:$F,'Source 2025'!$B:$B,$A100,'Source 2025'!$A:$A,"Quantity (units)")+SUMIFS('Source 2025'!$H:$H,'Source 2025'!$B:$B,$A100,'Source 2025'!$A:$A,"Quantity (units)")+SUMIFS('Source 2025'!$M:$M,'Source 2025'!$B:$B,$A100,'Source 2025'!$A:$A,"Quantity (units)")+SUMIFS('Source 2025'!$N:$N,'Source 2025'!$B:$B,$A100,'Source 2025'!$A:$A,"Quantity (units)")+SUMIFS('Source 2025'!$S:$S,'Source 2025'!$B:$B,$A100,'Source 2025'!$A:$A,"Quantity (units)")+SUMIFS('Source 2025'!$U:$U,'Source 2025'!$B:$B,$A100,'Source 2025'!$A:$A,"Quantity (units)")+SUMIFS('Source 2025'!$D:$D,'Source 2025'!$B:$B,$A100,'Source 2025'!$A:$A,"Quantity (units)")+SUMIFS('Source 2025'!$E:$E,'Source 2025'!$B:$B,$A100,'Source 2025'!$A:$A,"Quantity (units)")+SUMIFS('Source 2025'!$G:$G,'Source 2025'!$B:$B,$A100,'Source 2025'!$A:$A,"Quantity (units)")</f>
        <v>222</v>
      </c>
      <c r="D100" s="9" t="n">
        <f aca="false">SUMIFS('Source 2026'!$F:$F,'Source 2026'!$B:$B,$A100,'Source 2026'!$A:$A,"Quantity (units)")+SUMIFS('Source 2026'!$H:$H,'Source 2026'!$B:$B,$A100,'Source 2026'!$A:$A,"Quantity (units)")+SUMIFS('Source 2026'!$M:$M,'Source 2026'!$B:$B,$A100,'Source 2026'!$A:$A,"Quantity (units)")+SUMIFS('Source 2026'!$N:$N,'Source 2026'!$B:$B,$A100,'Source 2026'!$A:$A,"Quantity (units)")+SUMIFS('Source 2026'!$S:$S,'Source 2026'!$B:$B,$A100,'Source 2026'!$A:$A,"Quantity (units)")+SUMIFS('Source 2026'!$U:$U,'Source 2026'!$B:$B,$A100,'Source 2026'!$A:$A,"Quantity (units)")+SUMIFS('Source 2026'!$D:$D,'Source 2026'!$B:$B,$A100,'Source 2026'!$A:$A,"Quantity (units)")+SUMIFS('Source 2026'!$E:$E,'Source 2026'!$B:$B,$A100,'Source 2026'!$A:$A,"Quantity (units)")+SUMIFS('Source 2026'!$G:$G,'Source 2026'!$B:$B,$A100,'Source 2026'!$A:$A,"Quantity (units)")</f>
        <v>136</v>
      </c>
      <c r="E100" s="9" t="n">
        <f aca="false">D100*$J$5</f>
        <v>171.789473684211</v>
      </c>
      <c r="F100" s="9" t="n">
        <f aca="false">E100-C100</f>
        <v>-50.2105263157895</v>
      </c>
      <c r="G100" s="11" t="n">
        <f aca="false">IF(AND(C100=0,E100=0),0,IF(C100=0,"New",(E100-C100)/C100))</f>
        <v>-0.226173541963016</v>
      </c>
      <c r="H100" s="9" t="n">
        <f aca="false">SUMIFS('Source 2025'!$F:$F,'Source 2025'!$B:$B,$A100,'Source 2025'!$A:$A,"Amount (NIS)")+SUMIFS('Source 2025'!$H:$H,'Source 2025'!$B:$B,$A100,'Source 2025'!$A:$A,"Amount (NIS)")+SUMIFS('Source 2025'!$M:$M,'Source 2025'!$B:$B,$A100,'Source 2025'!$A:$A,"Amount (NIS)")+SUMIFS('Source 2025'!$N:$N,'Source 2025'!$B:$B,$A100,'Source 2025'!$A:$A,"Amount (NIS)")+SUMIFS('Source 2025'!$S:$S,'Source 2025'!$B:$B,$A100,'Source 2025'!$A:$A,"Amount (NIS)")+SUMIFS('Source 2025'!$U:$U,'Source 2025'!$B:$B,$A100,'Source 2025'!$A:$A,"Amount (NIS)")+SUMIFS('Source 2025'!$D:$D,'Source 2025'!$B:$B,$A100,'Source 2025'!$A:$A,"Amount (NIS)")+SUMIFS('Source 2025'!$E:$E,'Source 2025'!$B:$B,$A100,'Source 2025'!$A:$A,"Amount (NIS)")+SUMIFS('Source 2025'!$G:$G,'Source 2025'!$B:$B,$A100,'Source 2025'!$A:$A,"Amount (NIS)")</f>
        <v>5823</v>
      </c>
      <c r="I100" s="9" t="n">
        <f aca="false">SUMIFS('Source 2026'!$F:$F,'Source 2026'!$B:$B,$A100,'Source 2026'!$A:$A,"Amount (NIS)")+SUMIFS('Source 2026'!$H:$H,'Source 2026'!$B:$B,$A100,'Source 2026'!$A:$A,"Amount (NIS)")+SUMIFS('Source 2026'!$M:$M,'Source 2026'!$B:$B,$A100,'Source 2026'!$A:$A,"Amount (NIS)")+SUMIFS('Source 2026'!$N:$N,'Source 2026'!$B:$B,$A100,'Source 2026'!$A:$A,"Amount (NIS)")+SUMIFS('Source 2026'!$S:$S,'Source 2026'!$B:$B,$A100,'Source 2026'!$A:$A,"Amount (NIS)")+SUMIFS('Source 2026'!$U:$U,'Source 2026'!$B:$B,$A100,'Source 2026'!$A:$A,"Amount (NIS)")+SUMIFS('Source 2026'!$D:$D,'Source 2026'!$B:$B,$A100,'Source 2026'!$A:$A,"Amount (NIS)")+SUMIFS('Source 2026'!$E:$E,'Source 2026'!$B:$B,$A100,'Source 2026'!$A:$A,"Amount (NIS)")+SUMIFS('Source 2026'!$G:$G,'Source 2026'!$B:$B,$A100,'Source 2026'!$A:$A,"Amount (NIS)")</f>
        <v>3638.9</v>
      </c>
      <c r="J100" s="9" t="n">
        <f aca="false">I100*$J$5</f>
        <v>4596.5052631579</v>
      </c>
      <c r="K100" s="9" t="n">
        <f aca="false">J100-H100</f>
        <v>-1226.49473684211</v>
      </c>
      <c r="L100" s="11" t="n">
        <f aca="false">IF(AND(H100=0,J100=0),0,IF(H100=0,"New",(J100-H100)/H100))</f>
        <v>-0.210629355459747</v>
      </c>
    </row>
    <row r="101" customFormat="false" ht="15" hidden="false" customHeight="true" outlineLevel="0" collapsed="false">
      <c r="A101" s="8" t="s">
        <v>170</v>
      </c>
      <c r="B101" s="8" t="str">
        <f aca="false">IFERROR(INDEX('Source 2026'!$C:$C,MATCH($A101,'Source 2026'!$B:$B,0)),IFERROR(INDEX('Source 2025'!$C:$C,MATCH($A101,'Source 2025'!$B:$B,0)),""))</f>
        <v>גרב.כסף לסכרתים אפור35-38</v>
      </c>
      <c r="C101" s="9" t="n">
        <f aca="false">SUMIFS('Source 2025'!$F:$F,'Source 2025'!$B:$B,$A101,'Source 2025'!$A:$A,"Quantity (units)")+SUMIFS('Source 2025'!$H:$H,'Source 2025'!$B:$B,$A101,'Source 2025'!$A:$A,"Quantity (units)")+SUMIFS('Source 2025'!$M:$M,'Source 2025'!$B:$B,$A101,'Source 2025'!$A:$A,"Quantity (units)")+SUMIFS('Source 2025'!$N:$N,'Source 2025'!$B:$B,$A101,'Source 2025'!$A:$A,"Quantity (units)")+SUMIFS('Source 2025'!$S:$S,'Source 2025'!$B:$B,$A101,'Source 2025'!$A:$A,"Quantity (units)")+SUMIFS('Source 2025'!$U:$U,'Source 2025'!$B:$B,$A101,'Source 2025'!$A:$A,"Quantity (units)")+SUMIFS('Source 2025'!$D:$D,'Source 2025'!$B:$B,$A101,'Source 2025'!$A:$A,"Quantity (units)")+SUMIFS('Source 2025'!$E:$E,'Source 2025'!$B:$B,$A101,'Source 2025'!$A:$A,"Quantity (units)")+SUMIFS('Source 2025'!$G:$G,'Source 2025'!$B:$B,$A101,'Source 2025'!$A:$A,"Quantity (units)")</f>
        <v>84</v>
      </c>
      <c r="D101" s="9" t="n">
        <f aca="false">SUMIFS('Source 2026'!$F:$F,'Source 2026'!$B:$B,$A101,'Source 2026'!$A:$A,"Quantity (units)")+SUMIFS('Source 2026'!$H:$H,'Source 2026'!$B:$B,$A101,'Source 2026'!$A:$A,"Quantity (units)")+SUMIFS('Source 2026'!$M:$M,'Source 2026'!$B:$B,$A101,'Source 2026'!$A:$A,"Quantity (units)")+SUMIFS('Source 2026'!$N:$N,'Source 2026'!$B:$B,$A101,'Source 2026'!$A:$A,"Quantity (units)")+SUMIFS('Source 2026'!$S:$S,'Source 2026'!$B:$B,$A101,'Source 2026'!$A:$A,"Quantity (units)")+SUMIFS('Source 2026'!$U:$U,'Source 2026'!$B:$B,$A101,'Source 2026'!$A:$A,"Quantity (units)")+SUMIFS('Source 2026'!$D:$D,'Source 2026'!$B:$B,$A101,'Source 2026'!$A:$A,"Quantity (units)")+SUMIFS('Source 2026'!$E:$E,'Source 2026'!$B:$B,$A101,'Source 2026'!$A:$A,"Quantity (units)")+SUMIFS('Source 2026'!$G:$G,'Source 2026'!$B:$B,$A101,'Source 2026'!$A:$A,"Quantity (units)")</f>
        <v>0</v>
      </c>
      <c r="E101" s="9" t="n">
        <f aca="false">D101*$J$5</f>
        <v>0</v>
      </c>
      <c r="F101" s="9" t="n">
        <f aca="false">E101-C101</f>
        <v>-84</v>
      </c>
      <c r="G101" s="11" t="n">
        <f aca="false">IF(AND(C101=0,E101=0),0,IF(C101=0,"New",(E101-C101)/C101))</f>
        <v>-1</v>
      </c>
      <c r="H101" s="9" t="n">
        <f aca="false">SUMIFS('Source 2025'!$F:$F,'Source 2025'!$B:$B,$A101,'Source 2025'!$A:$A,"Amount (NIS)")+SUMIFS('Source 2025'!$H:$H,'Source 2025'!$B:$B,$A101,'Source 2025'!$A:$A,"Amount (NIS)")+SUMIFS('Source 2025'!$M:$M,'Source 2025'!$B:$B,$A101,'Source 2025'!$A:$A,"Amount (NIS)")+SUMIFS('Source 2025'!$N:$N,'Source 2025'!$B:$B,$A101,'Source 2025'!$A:$A,"Amount (NIS)")+SUMIFS('Source 2025'!$S:$S,'Source 2025'!$B:$B,$A101,'Source 2025'!$A:$A,"Amount (NIS)")+SUMIFS('Source 2025'!$U:$U,'Source 2025'!$B:$B,$A101,'Source 2025'!$A:$A,"Amount (NIS)")+SUMIFS('Source 2025'!$D:$D,'Source 2025'!$B:$B,$A101,'Source 2025'!$A:$A,"Amount (NIS)")+SUMIFS('Source 2025'!$E:$E,'Source 2025'!$B:$B,$A101,'Source 2025'!$A:$A,"Amount (NIS)")+SUMIFS('Source 2025'!$G:$G,'Source 2025'!$B:$B,$A101,'Source 2025'!$A:$A,"Amount (NIS)")</f>
        <v>2147.5</v>
      </c>
      <c r="I101" s="9" t="n">
        <f aca="false">SUMIFS('Source 2026'!$F:$F,'Source 2026'!$B:$B,$A101,'Source 2026'!$A:$A,"Amount (NIS)")+SUMIFS('Source 2026'!$H:$H,'Source 2026'!$B:$B,$A101,'Source 2026'!$A:$A,"Amount (NIS)")+SUMIFS('Source 2026'!$M:$M,'Source 2026'!$B:$B,$A101,'Source 2026'!$A:$A,"Amount (NIS)")+SUMIFS('Source 2026'!$N:$N,'Source 2026'!$B:$B,$A101,'Source 2026'!$A:$A,"Amount (NIS)")+SUMIFS('Source 2026'!$S:$S,'Source 2026'!$B:$B,$A101,'Source 2026'!$A:$A,"Amount (NIS)")+SUMIFS('Source 2026'!$U:$U,'Source 2026'!$B:$B,$A101,'Source 2026'!$A:$A,"Amount (NIS)")+SUMIFS('Source 2026'!$D:$D,'Source 2026'!$B:$B,$A101,'Source 2026'!$A:$A,"Amount (NIS)")+SUMIFS('Source 2026'!$E:$E,'Source 2026'!$B:$B,$A101,'Source 2026'!$A:$A,"Amount (NIS)")+SUMIFS('Source 2026'!$G:$G,'Source 2026'!$B:$B,$A101,'Source 2026'!$A:$A,"Amount (NIS)")</f>
        <v>0</v>
      </c>
      <c r="J101" s="9" t="n">
        <f aca="false">I101*$J$5</f>
        <v>0</v>
      </c>
      <c r="K101" s="9" t="n">
        <f aca="false">J101-H101</f>
        <v>-2147.5</v>
      </c>
      <c r="L101" s="11" t="n">
        <f aca="false">IF(AND(H101=0,J101=0),0,IF(H101=0,"New",(J101-H101)/H101))</f>
        <v>-1</v>
      </c>
    </row>
    <row r="102" customFormat="false" ht="15" hidden="false" customHeight="true" outlineLevel="0" collapsed="false">
      <c r="A102" s="8" t="s">
        <v>171</v>
      </c>
      <c r="B102" s="8" t="str">
        <f aca="false">IFERROR(INDEX('Source 2026'!$C:$C,MATCH($A102,'Source 2026'!$B:$B,0)),IFERROR(INDEX('Source 2025'!$C:$C,MATCH($A102,'Source 2025'!$B:$B,0)),""))</f>
        <v>מדרסי אפיק ג'ל נוחות</v>
      </c>
      <c r="C102" s="9" t="n">
        <f aca="false">SUMIFS('Source 2025'!$F:$F,'Source 2025'!$B:$B,$A102,'Source 2025'!$A:$A,"Quantity (units)")+SUMIFS('Source 2025'!$H:$H,'Source 2025'!$B:$B,$A102,'Source 2025'!$A:$A,"Quantity (units)")+SUMIFS('Source 2025'!$M:$M,'Source 2025'!$B:$B,$A102,'Source 2025'!$A:$A,"Quantity (units)")+SUMIFS('Source 2025'!$N:$N,'Source 2025'!$B:$B,$A102,'Source 2025'!$A:$A,"Quantity (units)")+SUMIFS('Source 2025'!$S:$S,'Source 2025'!$B:$B,$A102,'Source 2025'!$A:$A,"Quantity (units)")+SUMIFS('Source 2025'!$U:$U,'Source 2025'!$B:$B,$A102,'Source 2025'!$A:$A,"Quantity (units)")+SUMIFS('Source 2025'!$D:$D,'Source 2025'!$B:$B,$A102,'Source 2025'!$A:$A,"Quantity (units)")+SUMIFS('Source 2025'!$E:$E,'Source 2025'!$B:$B,$A102,'Source 2025'!$A:$A,"Quantity (units)")+SUMIFS('Source 2025'!$G:$G,'Source 2025'!$B:$B,$A102,'Source 2025'!$A:$A,"Quantity (units)")</f>
        <v>46</v>
      </c>
      <c r="D102" s="9" t="n">
        <f aca="false">SUMIFS('Source 2026'!$F:$F,'Source 2026'!$B:$B,$A102,'Source 2026'!$A:$A,"Quantity (units)")+SUMIFS('Source 2026'!$H:$H,'Source 2026'!$B:$B,$A102,'Source 2026'!$A:$A,"Quantity (units)")+SUMIFS('Source 2026'!$M:$M,'Source 2026'!$B:$B,$A102,'Source 2026'!$A:$A,"Quantity (units)")+SUMIFS('Source 2026'!$N:$N,'Source 2026'!$B:$B,$A102,'Source 2026'!$A:$A,"Quantity (units)")+SUMIFS('Source 2026'!$S:$S,'Source 2026'!$B:$B,$A102,'Source 2026'!$A:$A,"Quantity (units)")+SUMIFS('Source 2026'!$U:$U,'Source 2026'!$B:$B,$A102,'Source 2026'!$A:$A,"Quantity (units)")+SUMIFS('Source 2026'!$D:$D,'Source 2026'!$B:$B,$A102,'Source 2026'!$A:$A,"Quantity (units)")+SUMIFS('Source 2026'!$E:$E,'Source 2026'!$B:$B,$A102,'Source 2026'!$A:$A,"Quantity (units)")+SUMIFS('Source 2026'!$G:$G,'Source 2026'!$B:$B,$A102,'Source 2026'!$A:$A,"Quantity (units)")</f>
        <v>25</v>
      </c>
      <c r="E102" s="9" t="n">
        <f aca="false">D102*$J$5</f>
        <v>31.5789473684211</v>
      </c>
      <c r="F102" s="9" t="n">
        <f aca="false">E102-C102</f>
        <v>-14.4210526315789</v>
      </c>
      <c r="G102" s="11" t="n">
        <f aca="false">IF(AND(C102=0,E102=0),0,IF(C102=0,"New",(E102-C102)/C102))</f>
        <v>-0.31350114416476</v>
      </c>
      <c r="H102" s="9" t="n">
        <f aca="false">SUMIFS('Source 2025'!$F:$F,'Source 2025'!$B:$B,$A102,'Source 2025'!$A:$A,"Amount (NIS)")+SUMIFS('Source 2025'!$H:$H,'Source 2025'!$B:$B,$A102,'Source 2025'!$A:$A,"Amount (NIS)")+SUMIFS('Source 2025'!$M:$M,'Source 2025'!$B:$B,$A102,'Source 2025'!$A:$A,"Amount (NIS)")+SUMIFS('Source 2025'!$N:$N,'Source 2025'!$B:$B,$A102,'Source 2025'!$A:$A,"Amount (NIS)")+SUMIFS('Source 2025'!$S:$S,'Source 2025'!$B:$B,$A102,'Source 2025'!$A:$A,"Amount (NIS)")+SUMIFS('Source 2025'!$U:$U,'Source 2025'!$B:$B,$A102,'Source 2025'!$A:$A,"Amount (NIS)")+SUMIFS('Source 2025'!$D:$D,'Source 2025'!$B:$B,$A102,'Source 2025'!$A:$A,"Amount (NIS)")+SUMIFS('Source 2025'!$E:$E,'Source 2025'!$B:$B,$A102,'Source 2025'!$A:$A,"Amount (NIS)")+SUMIFS('Source 2025'!$G:$G,'Source 2025'!$B:$B,$A102,'Source 2025'!$A:$A,"Amount (NIS)")</f>
        <v>4743.4</v>
      </c>
      <c r="I102" s="9" t="n">
        <f aca="false">SUMIFS('Source 2026'!$F:$F,'Source 2026'!$B:$B,$A102,'Source 2026'!$A:$A,"Amount (NIS)")+SUMIFS('Source 2026'!$H:$H,'Source 2026'!$B:$B,$A102,'Source 2026'!$A:$A,"Amount (NIS)")+SUMIFS('Source 2026'!$M:$M,'Source 2026'!$B:$B,$A102,'Source 2026'!$A:$A,"Amount (NIS)")+SUMIFS('Source 2026'!$N:$N,'Source 2026'!$B:$B,$A102,'Source 2026'!$A:$A,"Amount (NIS)")+SUMIFS('Source 2026'!$S:$S,'Source 2026'!$B:$B,$A102,'Source 2026'!$A:$A,"Amount (NIS)")+SUMIFS('Source 2026'!$U:$U,'Source 2026'!$B:$B,$A102,'Source 2026'!$A:$A,"Amount (NIS)")+SUMIFS('Source 2026'!$D:$D,'Source 2026'!$B:$B,$A102,'Source 2026'!$A:$A,"Amount (NIS)")+SUMIFS('Source 2026'!$E:$E,'Source 2026'!$B:$B,$A102,'Source 2026'!$A:$A,"Amount (NIS)")+SUMIFS('Source 2026'!$G:$G,'Source 2026'!$B:$B,$A102,'Source 2026'!$A:$A,"Amount (NIS)")</f>
        <v>2619.6</v>
      </c>
      <c r="J102" s="9" t="n">
        <f aca="false">I102*$J$5</f>
        <v>3308.96842105263</v>
      </c>
      <c r="K102" s="9" t="n">
        <f aca="false">J102-H102</f>
        <v>-1434.43157894737</v>
      </c>
      <c r="L102" s="11" t="n">
        <f aca="false">IF(AND(H102=0,J102=0),0,IF(H102=0,"New",(J102-H102)/H102))</f>
        <v>-0.302405780441744</v>
      </c>
    </row>
    <row r="103" customFormat="false" ht="15" hidden="false" customHeight="true" outlineLevel="0" collapsed="false">
      <c r="A103" s="8" t="s">
        <v>172</v>
      </c>
      <c r="B103" s="8" t="str">
        <f aca="false">IFERROR(INDEX('Source 2026'!$C:$C,MATCH($A103,'Source 2026'!$B:$B,0)),IFERROR(INDEX('Source 2025'!$C:$C,MATCH($A103,'Source 2025'!$B:$B,0)),""))</f>
        <v>S-M חגורת גב</v>
      </c>
      <c r="C103" s="9" t="n">
        <f aca="false">SUMIFS('Source 2025'!$F:$F,'Source 2025'!$B:$B,$A103,'Source 2025'!$A:$A,"Quantity (units)")+SUMIFS('Source 2025'!$H:$H,'Source 2025'!$B:$B,$A103,'Source 2025'!$A:$A,"Quantity (units)")+SUMIFS('Source 2025'!$M:$M,'Source 2025'!$B:$B,$A103,'Source 2025'!$A:$A,"Quantity (units)")+SUMIFS('Source 2025'!$N:$N,'Source 2025'!$B:$B,$A103,'Source 2025'!$A:$A,"Quantity (units)")+SUMIFS('Source 2025'!$S:$S,'Source 2025'!$B:$B,$A103,'Source 2025'!$A:$A,"Quantity (units)")+SUMIFS('Source 2025'!$U:$U,'Source 2025'!$B:$B,$A103,'Source 2025'!$A:$A,"Quantity (units)")+SUMIFS('Source 2025'!$D:$D,'Source 2025'!$B:$B,$A103,'Source 2025'!$A:$A,"Quantity (units)")+SUMIFS('Source 2025'!$E:$E,'Source 2025'!$B:$B,$A103,'Source 2025'!$A:$A,"Quantity (units)")+SUMIFS('Source 2025'!$G:$G,'Source 2025'!$B:$B,$A103,'Source 2025'!$A:$A,"Quantity (units)")</f>
        <v>34</v>
      </c>
      <c r="D103" s="9" t="n">
        <f aca="false">SUMIFS('Source 2026'!$F:$F,'Source 2026'!$B:$B,$A103,'Source 2026'!$A:$A,"Quantity (units)")+SUMIFS('Source 2026'!$H:$H,'Source 2026'!$B:$B,$A103,'Source 2026'!$A:$A,"Quantity (units)")+SUMIFS('Source 2026'!$M:$M,'Source 2026'!$B:$B,$A103,'Source 2026'!$A:$A,"Quantity (units)")+SUMIFS('Source 2026'!$N:$N,'Source 2026'!$B:$B,$A103,'Source 2026'!$A:$A,"Quantity (units)")+SUMIFS('Source 2026'!$S:$S,'Source 2026'!$B:$B,$A103,'Source 2026'!$A:$A,"Quantity (units)")+SUMIFS('Source 2026'!$U:$U,'Source 2026'!$B:$B,$A103,'Source 2026'!$A:$A,"Quantity (units)")+SUMIFS('Source 2026'!$D:$D,'Source 2026'!$B:$B,$A103,'Source 2026'!$A:$A,"Quantity (units)")+SUMIFS('Source 2026'!$E:$E,'Source 2026'!$B:$B,$A103,'Source 2026'!$A:$A,"Quantity (units)")+SUMIFS('Source 2026'!$G:$G,'Source 2026'!$B:$B,$A103,'Source 2026'!$A:$A,"Quantity (units)")</f>
        <v>19</v>
      </c>
      <c r="E103" s="9" t="n">
        <f aca="false">D103*$J$5</f>
        <v>24</v>
      </c>
      <c r="F103" s="9" t="n">
        <f aca="false">E103-C103</f>
        <v>-10</v>
      </c>
      <c r="G103" s="11" t="n">
        <f aca="false">IF(AND(C103=0,E103=0),0,IF(C103=0,"New",(E103-C103)/C103))</f>
        <v>-0.294117647058824</v>
      </c>
      <c r="H103" s="9" t="n">
        <f aca="false">SUMIFS('Source 2025'!$F:$F,'Source 2025'!$B:$B,$A103,'Source 2025'!$A:$A,"Amount (NIS)")+SUMIFS('Source 2025'!$H:$H,'Source 2025'!$B:$B,$A103,'Source 2025'!$A:$A,"Amount (NIS)")+SUMIFS('Source 2025'!$M:$M,'Source 2025'!$B:$B,$A103,'Source 2025'!$A:$A,"Amount (NIS)")+SUMIFS('Source 2025'!$N:$N,'Source 2025'!$B:$B,$A103,'Source 2025'!$A:$A,"Amount (NIS)")+SUMIFS('Source 2025'!$S:$S,'Source 2025'!$B:$B,$A103,'Source 2025'!$A:$A,"Amount (NIS)")+SUMIFS('Source 2025'!$U:$U,'Source 2025'!$B:$B,$A103,'Source 2025'!$A:$A,"Amount (NIS)")+SUMIFS('Source 2025'!$D:$D,'Source 2025'!$B:$B,$A103,'Source 2025'!$A:$A,"Amount (NIS)")+SUMIFS('Source 2025'!$E:$E,'Source 2025'!$B:$B,$A103,'Source 2025'!$A:$A,"Amount (NIS)")+SUMIFS('Source 2025'!$G:$G,'Source 2025'!$B:$B,$A103,'Source 2025'!$A:$A,"Amount (NIS)")</f>
        <v>4847.2</v>
      </c>
      <c r="I103" s="9" t="n">
        <f aca="false">SUMIFS('Source 2026'!$F:$F,'Source 2026'!$B:$B,$A103,'Source 2026'!$A:$A,"Amount (NIS)")+SUMIFS('Source 2026'!$H:$H,'Source 2026'!$B:$B,$A103,'Source 2026'!$A:$A,"Amount (NIS)")+SUMIFS('Source 2026'!$M:$M,'Source 2026'!$B:$B,$A103,'Source 2026'!$A:$A,"Amount (NIS)")+SUMIFS('Source 2026'!$N:$N,'Source 2026'!$B:$B,$A103,'Source 2026'!$A:$A,"Amount (NIS)")+SUMIFS('Source 2026'!$S:$S,'Source 2026'!$B:$B,$A103,'Source 2026'!$A:$A,"Amount (NIS)")+SUMIFS('Source 2026'!$U:$U,'Source 2026'!$B:$B,$A103,'Source 2026'!$A:$A,"Amount (NIS)")+SUMIFS('Source 2026'!$D:$D,'Source 2026'!$B:$B,$A103,'Source 2026'!$A:$A,"Amount (NIS)")+SUMIFS('Source 2026'!$E:$E,'Source 2026'!$B:$B,$A103,'Source 2026'!$A:$A,"Amount (NIS)")+SUMIFS('Source 2026'!$G:$G,'Source 2026'!$B:$B,$A103,'Source 2026'!$A:$A,"Amount (NIS)")</f>
        <v>2726.7</v>
      </c>
      <c r="J103" s="9" t="n">
        <f aca="false">I103*$J$5</f>
        <v>3444.25263157895</v>
      </c>
      <c r="K103" s="9" t="n">
        <f aca="false">J103-H103</f>
        <v>-1402.94736842105</v>
      </c>
      <c r="L103" s="11" t="n">
        <f aca="false">IF(AND(H103=0,J103=0),0,IF(H103=0,"New",(J103-H103)/H103))</f>
        <v>-0.289434594904492</v>
      </c>
    </row>
    <row r="104" customFormat="false" ht="15" hidden="false" customHeight="true" outlineLevel="0" collapsed="false">
      <c r="A104" s="8" t="s">
        <v>173</v>
      </c>
      <c r="B104" s="8" t="str">
        <f aca="false">IFERROR(INDEX('Source 2026'!$C:$C,MATCH($A104,'Source 2026'!$B:$B,0)),IFERROR(INDEX('Source 2025'!$C:$C,MATCH($A104,'Source 2025'!$B:$B,0)),""))</f>
        <v>גב אפורה</v>
      </c>
      <c r="C104" s="9" t="n">
        <f aca="false">SUMIFS('Source 2025'!$F:$F,'Source 2025'!$B:$B,$A104,'Source 2025'!$A:$A,"Quantity (units)")+SUMIFS('Source 2025'!$H:$H,'Source 2025'!$B:$B,$A104,'Source 2025'!$A:$A,"Quantity (units)")+SUMIFS('Source 2025'!$M:$M,'Source 2025'!$B:$B,$A104,'Source 2025'!$A:$A,"Quantity (units)")+SUMIFS('Source 2025'!$N:$N,'Source 2025'!$B:$B,$A104,'Source 2025'!$A:$A,"Quantity (units)")+SUMIFS('Source 2025'!$S:$S,'Source 2025'!$B:$B,$A104,'Source 2025'!$A:$A,"Quantity (units)")+SUMIFS('Source 2025'!$U:$U,'Source 2025'!$B:$B,$A104,'Source 2025'!$A:$A,"Quantity (units)")+SUMIFS('Source 2025'!$D:$D,'Source 2025'!$B:$B,$A104,'Source 2025'!$A:$A,"Quantity (units)")+SUMIFS('Source 2025'!$E:$E,'Source 2025'!$B:$B,$A104,'Source 2025'!$A:$A,"Quantity (units)")+SUMIFS('Source 2025'!$G:$G,'Source 2025'!$B:$B,$A104,'Source 2025'!$A:$A,"Quantity (units)")</f>
        <v>53</v>
      </c>
      <c r="D104" s="9" t="n">
        <f aca="false">SUMIFS('Source 2026'!$F:$F,'Source 2026'!$B:$B,$A104,'Source 2026'!$A:$A,"Quantity (units)")+SUMIFS('Source 2026'!$H:$H,'Source 2026'!$B:$B,$A104,'Source 2026'!$A:$A,"Quantity (units)")+SUMIFS('Source 2026'!$M:$M,'Source 2026'!$B:$B,$A104,'Source 2026'!$A:$A,"Quantity (units)")+SUMIFS('Source 2026'!$N:$N,'Source 2026'!$B:$B,$A104,'Source 2026'!$A:$A,"Quantity (units)")+SUMIFS('Source 2026'!$S:$S,'Source 2026'!$B:$B,$A104,'Source 2026'!$A:$A,"Quantity (units)")+SUMIFS('Source 2026'!$U:$U,'Source 2026'!$B:$B,$A104,'Source 2026'!$A:$A,"Quantity (units)")+SUMIFS('Source 2026'!$D:$D,'Source 2026'!$B:$B,$A104,'Source 2026'!$A:$A,"Quantity (units)")+SUMIFS('Source 2026'!$E:$E,'Source 2026'!$B:$B,$A104,'Source 2026'!$A:$A,"Quantity (units)")+SUMIFS('Source 2026'!$G:$G,'Source 2026'!$B:$B,$A104,'Source 2026'!$A:$A,"Quantity (units)")</f>
        <v>35</v>
      </c>
      <c r="E104" s="9" t="n">
        <f aca="false">D104*$J$5</f>
        <v>44.2105263157895</v>
      </c>
      <c r="F104" s="9" t="n">
        <f aca="false">E104-C104</f>
        <v>-8.78947368421053</v>
      </c>
      <c r="G104" s="11" t="n">
        <f aca="false">IF(AND(C104=0,E104=0),0,IF(C104=0,"New",(E104-C104)/C104))</f>
        <v>-0.16583912611718</v>
      </c>
      <c r="H104" s="9" t="n">
        <f aca="false">SUMIFS('Source 2025'!$F:$F,'Source 2025'!$B:$B,$A104,'Source 2025'!$A:$A,"Amount (NIS)")+SUMIFS('Source 2025'!$H:$H,'Source 2025'!$B:$B,$A104,'Source 2025'!$A:$A,"Amount (NIS)")+SUMIFS('Source 2025'!$M:$M,'Source 2025'!$B:$B,$A104,'Source 2025'!$A:$A,"Amount (NIS)")+SUMIFS('Source 2025'!$N:$N,'Source 2025'!$B:$B,$A104,'Source 2025'!$A:$A,"Amount (NIS)")+SUMIFS('Source 2025'!$S:$S,'Source 2025'!$B:$B,$A104,'Source 2025'!$A:$A,"Amount (NIS)")+SUMIFS('Source 2025'!$U:$U,'Source 2025'!$B:$B,$A104,'Source 2025'!$A:$A,"Amount (NIS)")+SUMIFS('Source 2025'!$D:$D,'Source 2025'!$B:$B,$A104,'Source 2025'!$A:$A,"Amount (NIS)")+SUMIFS('Source 2025'!$E:$E,'Source 2025'!$B:$B,$A104,'Source 2025'!$A:$A,"Amount (NIS)")+SUMIFS('Source 2025'!$G:$G,'Source 2025'!$B:$B,$A104,'Source 2025'!$A:$A,"Amount (NIS)")</f>
        <v>5922.9</v>
      </c>
      <c r="I104" s="9" t="n">
        <f aca="false">SUMIFS('Source 2026'!$F:$F,'Source 2026'!$B:$B,$A104,'Source 2026'!$A:$A,"Amount (NIS)")+SUMIFS('Source 2026'!$H:$H,'Source 2026'!$B:$B,$A104,'Source 2026'!$A:$A,"Amount (NIS)")+SUMIFS('Source 2026'!$M:$M,'Source 2026'!$B:$B,$A104,'Source 2026'!$A:$A,"Amount (NIS)")+SUMIFS('Source 2026'!$N:$N,'Source 2026'!$B:$B,$A104,'Source 2026'!$A:$A,"Amount (NIS)")+SUMIFS('Source 2026'!$S:$S,'Source 2026'!$B:$B,$A104,'Source 2026'!$A:$A,"Amount (NIS)")+SUMIFS('Source 2026'!$U:$U,'Source 2026'!$B:$B,$A104,'Source 2026'!$A:$A,"Amount (NIS)")+SUMIFS('Source 2026'!$D:$D,'Source 2026'!$B:$B,$A104,'Source 2026'!$A:$A,"Amount (NIS)")+SUMIFS('Source 2026'!$E:$E,'Source 2026'!$B:$B,$A104,'Source 2026'!$A:$A,"Amount (NIS)")+SUMIFS('Source 2026'!$G:$G,'Source 2026'!$B:$B,$A104,'Source 2026'!$A:$A,"Amount (NIS)")</f>
        <v>3813.7</v>
      </c>
      <c r="J104" s="9" t="n">
        <f aca="false">I104*$J$5</f>
        <v>4817.3052631579</v>
      </c>
      <c r="K104" s="9" t="n">
        <f aca="false">J104-H104</f>
        <v>-1105.5947368421</v>
      </c>
      <c r="L104" s="11" t="n">
        <f aca="false">IF(AND(H104=0,J104=0),0,IF(H104=0,"New",(J104-H104)/H104))</f>
        <v>-0.186664427365329</v>
      </c>
    </row>
    <row r="105" customFormat="false" ht="15" hidden="false" customHeight="true" outlineLevel="0" collapsed="false">
      <c r="A105" s="8" t="s">
        <v>174</v>
      </c>
      <c r="B105" s="8" t="str">
        <f aca="false">IFERROR(INDEX('Source 2026'!$C:$C,MATCH($A105,'Source 2026'!$B:$B,0)),IFERROR(INDEX('Source 2025'!$C:$C,MATCH($A105,'Source 2025'!$B:$B,0)),""))</f>
        <v>נצמדת שחור 20 מ""מ</v>
      </c>
      <c r="C105" s="9" t="n">
        <f aca="false">SUMIFS('Source 2025'!$F:$F,'Source 2025'!$B:$B,$A105,'Source 2025'!$A:$A,"Quantity (units)")+SUMIFS('Source 2025'!$H:$H,'Source 2025'!$B:$B,$A105,'Source 2025'!$A:$A,"Quantity (units)")+SUMIFS('Source 2025'!$M:$M,'Source 2025'!$B:$B,$A105,'Source 2025'!$A:$A,"Quantity (units)")+SUMIFS('Source 2025'!$N:$N,'Source 2025'!$B:$B,$A105,'Source 2025'!$A:$A,"Quantity (units)")+SUMIFS('Source 2025'!$S:$S,'Source 2025'!$B:$B,$A105,'Source 2025'!$A:$A,"Quantity (units)")+SUMIFS('Source 2025'!$U:$U,'Source 2025'!$B:$B,$A105,'Source 2025'!$A:$A,"Quantity (units)")+SUMIFS('Source 2025'!$D:$D,'Source 2025'!$B:$B,$A105,'Source 2025'!$A:$A,"Quantity (units)")+SUMIFS('Source 2025'!$E:$E,'Source 2025'!$B:$B,$A105,'Source 2025'!$A:$A,"Quantity (units)")+SUMIFS('Source 2025'!$G:$G,'Source 2025'!$B:$B,$A105,'Source 2025'!$A:$A,"Quantity (units)")</f>
        <v>482</v>
      </c>
      <c r="D105" s="9" t="n">
        <f aca="false">SUMIFS('Source 2026'!$F:$F,'Source 2026'!$B:$B,$A105,'Source 2026'!$A:$A,"Quantity (units)")+SUMIFS('Source 2026'!$H:$H,'Source 2026'!$B:$B,$A105,'Source 2026'!$A:$A,"Quantity (units)")+SUMIFS('Source 2026'!$M:$M,'Source 2026'!$B:$B,$A105,'Source 2026'!$A:$A,"Quantity (units)")+SUMIFS('Source 2026'!$N:$N,'Source 2026'!$B:$B,$A105,'Source 2026'!$A:$A,"Quantity (units)")+SUMIFS('Source 2026'!$S:$S,'Source 2026'!$B:$B,$A105,'Source 2026'!$A:$A,"Quantity (units)")+SUMIFS('Source 2026'!$U:$U,'Source 2026'!$B:$B,$A105,'Source 2026'!$A:$A,"Quantity (units)")+SUMIFS('Source 2026'!$D:$D,'Source 2026'!$B:$B,$A105,'Source 2026'!$A:$A,"Quantity (units)")+SUMIFS('Source 2026'!$E:$E,'Source 2026'!$B:$B,$A105,'Source 2026'!$A:$A,"Quantity (units)")+SUMIFS('Source 2026'!$G:$G,'Source 2026'!$B:$B,$A105,'Source 2026'!$A:$A,"Quantity (units)")</f>
        <v>212</v>
      </c>
      <c r="E105" s="9" t="n">
        <f aca="false">D105*$J$5</f>
        <v>267.789473684211</v>
      </c>
      <c r="F105" s="9" t="n">
        <f aca="false">E105-C105</f>
        <v>-214.210526315789</v>
      </c>
      <c r="G105" s="11" t="n">
        <f aca="false">IF(AND(C105=0,E105=0),0,IF(C105=0,"New",(E105-C105)/C105))</f>
        <v>-0.444420179078401</v>
      </c>
      <c r="H105" s="9" t="n">
        <f aca="false">SUMIFS('Source 2025'!$F:$F,'Source 2025'!$B:$B,$A105,'Source 2025'!$A:$A,"Amount (NIS)")+SUMIFS('Source 2025'!$H:$H,'Source 2025'!$B:$B,$A105,'Source 2025'!$A:$A,"Amount (NIS)")+SUMIFS('Source 2025'!$M:$M,'Source 2025'!$B:$B,$A105,'Source 2025'!$A:$A,"Amount (NIS)")+SUMIFS('Source 2025'!$N:$N,'Source 2025'!$B:$B,$A105,'Source 2025'!$A:$A,"Amount (NIS)")+SUMIFS('Source 2025'!$S:$S,'Source 2025'!$B:$B,$A105,'Source 2025'!$A:$A,"Amount (NIS)")+SUMIFS('Source 2025'!$U:$U,'Source 2025'!$B:$B,$A105,'Source 2025'!$A:$A,"Amount (NIS)")+SUMIFS('Source 2025'!$D:$D,'Source 2025'!$B:$B,$A105,'Source 2025'!$A:$A,"Amount (NIS)")+SUMIFS('Source 2025'!$E:$E,'Source 2025'!$B:$B,$A105,'Source 2025'!$A:$A,"Amount (NIS)")+SUMIFS('Source 2025'!$G:$G,'Source 2025'!$B:$B,$A105,'Source 2025'!$A:$A,"Amount (NIS)")</f>
        <v>4463.1</v>
      </c>
      <c r="I105" s="9" t="n">
        <f aca="false">SUMIFS('Source 2026'!$F:$F,'Source 2026'!$B:$B,$A105,'Source 2026'!$A:$A,"Amount (NIS)")+SUMIFS('Source 2026'!$H:$H,'Source 2026'!$B:$B,$A105,'Source 2026'!$A:$A,"Amount (NIS)")+SUMIFS('Source 2026'!$M:$M,'Source 2026'!$B:$B,$A105,'Source 2026'!$A:$A,"Amount (NIS)")+SUMIFS('Source 2026'!$N:$N,'Source 2026'!$B:$B,$A105,'Source 2026'!$A:$A,"Amount (NIS)")+SUMIFS('Source 2026'!$S:$S,'Source 2026'!$B:$B,$A105,'Source 2026'!$A:$A,"Amount (NIS)")+SUMIFS('Source 2026'!$U:$U,'Source 2026'!$B:$B,$A105,'Source 2026'!$A:$A,"Amount (NIS)")+SUMIFS('Source 2026'!$D:$D,'Source 2026'!$B:$B,$A105,'Source 2026'!$A:$A,"Amount (NIS)")+SUMIFS('Source 2026'!$E:$E,'Source 2026'!$B:$B,$A105,'Source 2026'!$A:$A,"Amount (NIS)")+SUMIFS('Source 2026'!$G:$G,'Source 2026'!$B:$B,$A105,'Source 2026'!$A:$A,"Amount (NIS)")</f>
        <v>2361.9</v>
      </c>
      <c r="J105" s="9" t="n">
        <f aca="false">I105*$J$5</f>
        <v>2983.45263157895</v>
      </c>
      <c r="K105" s="9" t="n">
        <f aca="false">J105-H105</f>
        <v>-1479.64736842105</v>
      </c>
      <c r="L105" s="11" t="n">
        <f aca="false">IF(AND(H105=0,J105=0),0,IF(H105=0,"New",(J105-H105)/H105))</f>
        <v>-0.331529064645886</v>
      </c>
    </row>
    <row r="106" customFormat="false" ht="15" hidden="false" customHeight="true" outlineLevel="0" collapsed="false">
      <c r="A106" s="8" t="s">
        <v>175</v>
      </c>
      <c r="B106" s="8" t="str">
        <f aca="false">IFERROR(INDEX('Source 2026'!$C:$C,MATCH($A106,'Source 2026'!$B:$B,0)),IFERROR(INDEX('Source 2025'!$C:$C,MATCH($A106,'Source 2025'!$B:$B,0)),""))</f>
        <v>גב אפורה</v>
      </c>
      <c r="C106" s="9" t="n">
        <f aca="false">SUMIFS('Source 2025'!$F:$F,'Source 2025'!$B:$B,$A106,'Source 2025'!$A:$A,"Quantity (units)")+SUMIFS('Source 2025'!$H:$H,'Source 2025'!$B:$B,$A106,'Source 2025'!$A:$A,"Quantity (units)")+SUMIFS('Source 2025'!$M:$M,'Source 2025'!$B:$B,$A106,'Source 2025'!$A:$A,"Quantity (units)")+SUMIFS('Source 2025'!$N:$N,'Source 2025'!$B:$B,$A106,'Source 2025'!$A:$A,"Quantity (units)")+SUMIFS('Source 2025'!$S:$S,'Source 2025'!$B:$B,$A106,'Source 2025'!$A:$A,"Quantity (units)")+SUMIFS('Source 2025'!$U:$U,'Source 2025'!$B:$B,$A106,'Source 2025'!$A:$A,"Quantity (units)")+SUMIFS('Source 2025'!$D:$D,'Source 2025'!$B:$B,$A106,'Source 2025'!$A:$A,"Quantity (units)")+SUMIFS('Source 2025'!$E:$E,'Source 2025'!$B:$B,$A106,'Source 2025'!$A:$A,"Quantity (units)")+SUMIFS('Source 2025'!$G:$G,'Source 2025'!$B:$B,$A106,'Source 2025'!$A:$A,"Quantity (units)")</f>
        <v>41</v>
      </c>
      <c r="D106" s="9" t="n">
        <f aca="false">SUMIFS('Source 2026'!$F:$F,'Source 2026'!$B:$B,$A106,'Source 2026'!$A:$A,"Quantity (units)")+SUMIFS('Source 2026'!$H:$H,'Source 2026'!$B:$B,$A106,'Source 2026'!$A:$A,"Quantity (units)")+SUMIFS('Source 2026'!$M:$M,'Source 2026'!$B:$B,$A106,'Source 2026'!$A:$A,"Quantity (units)")+SUMIFS('Source 2026'!$N:$N,'Source 2026'!$B:$B,$A106,'Source 2026'!$A:$A,"Quantity (units)")+SUMIFS('Source 2026'!$S:$S,'Source 2026'!$B:$B,$A106,'Source 2026'!$A:$A,"Quantity (units)")+SUMIFS('Source 2026'!$U:$U,'Source 2026'!$B:$B,$A106,'Source 2026'!$A:$A,"Quantity (units)")+SUMIFS('Source 2026'!$D:$D,'Source 2026'!$B:$B,$A106,'Source 2026'!$A:$A,"Quantity (units)")+SUMIFS('Source 2026'!$E:$E,'Source 2026'!$B:$B,$A106,'Source 2026'!$A:$A,"Quantity (units)")+SUMIFS('Source 2026'!$G:$G,'Source 2026'!$B:$B,$A106,'Source 2026'!$A:$A,"Quantity (units)")</f>
        <v>22</v>
      </c>
      <c r="E106" s="9" t="n">
        <f aca="false">D106*$J$5</f>
        <v>27.7894736842105</v>
      </c>
      <c r="F106" s="9" t="n">
        <f aca="false">E106-C106</f>
        <v>-13.2105263157895</v>
      </c>
      <c r="G106" s="11" t="n">
        <f aca="false">IF(AND(C106=0,E106=0),0,IF(C106=0,"New",(E106-C106)/C106))</f>
        <v>-0.322207958921695</v>
      </c>
      <c r="H106" s="9" t="n">
        <f aca="false">SUMIFS('Source 2025'!$F:$F,'Source 2025'!$B:$B,$A106,'Source 2025'!$A:$A,"Amount (NIS)")+SUMIFS('Source 2025'!$H:$H,'Source 2025'!$B:$B,$A106,'Source 2025'!$A:$A,"Amount (NIS)")+SUMIFS('Source 2025'!$M:$M,'Source 2025'!$B:$B,$A106,'Source 2025'!$A:$A,"Amount (NIS)")+SUMIFS('Source 2025'!$N:$N,'Source 2025'!$B:$B,$A106,'Source 2025'!$A:$A,"Amount (NIS)")+SUMIFS('Source 2025'!$S:$S,'Source 2025'!$B:$B,$A106,'Source 2025'!$A:$A,"Amount (NIS)")+SUMIFS('Source 2025'!$U:$U,'Source 2025'!$B:$B,$A106,'Source 2025'!$A:$A,"Amount (NIS)")+SUMIFS('Source 2025'!$D:$D,'Source 2025'!$B:$B,$A106,'Source 2025'!$A:$A,"Amount (NIS)")+SUMIFS('Source 2025'!$E:$E,'Source 2025'!$B:$B,$A106,'Source 2025'!$A:$A,"Amount (NIS)")+SUMIFS('Source 2025'!$G:$G,'Source 2025'!$B:$B,$A106,'Source 2025'!$A:$A,"Amount (NIS)")</f>
        <v>4452.3</v>
      </c>
      <c r="I106" s="9" t="n">
        <f aca="false">SUMIFS('Source 2026'!$F:$F,'Source 2026'!$B:$B,$A106,'Source 2026'!$A:$A,"Amount (NIS)")+SUMIFS('Source 2026'!$H:$H,'Source 2026'!$B:$B,$A106,'Source 2026'!$A:$A,"Amount (NIS)")+SUMIFS('Source 2026'!$M:$M,'Source 2026'!$B:$B,$A106,'Source 2026'!$A:$A,"Amount (NIS)")+SUMIFS('Source 2026'!$N:$N,'Source 2026'!$B:$B,$A106,'Source 2026'!$A:$A,"Amount (NIS)")+SUMIFS('Source 2026'!$S:$S,'Source 2026'!$B:$B,$A106,'Source 2026'!$A:$A,"Amount (NIS)")+SUMIFS('Source 2026'!$U:$U,'Source 2026'!$B:$B,$A106,'Source 2026'!$A:$A,"Amount (NIS)")+SUMIFS('Source 2026'!$D:$D,'Source 2026'!$B:$B,$A106,'Source 2026'!$A:$A,"Amount (NIS)")+SUMIFS('Source 2026'!$E:$E,'Source 2026'!$B:$B,$A106,'Source 2026'!$A:$A,"Amount (NIS)")+SUMIFS('Source 2026'!$G:$G,'Source 2026'!$B:$B,$A106,'Source 2026'!$A:$A,"Amount (NIS)")</f>
        <v>2494.1</v>
      </c>
      <c r="J106" s="9" t="n">
        <f aca="false">I106*$J$5</f>
        <v>3150.44210526316</v>
      </c>
      <c r="K106" s="9" t="n">
        <f aca="false">J106-H106</f>
        <v>-1301.85789473684</v>
      </c>
      <c r="L106" s="11" t="n">
        <f aca="false">IF(AND(H106=0,J106=0),0,IF(H106=0,"New",(J106-H106)/H106))</f>
        <v>-0.292401207182095</v>
      </c>
    </row>
    <row r="107" customFormat="false" ht="15" hidden="false" customHeight="true" outlineLevel="0" collapsed="false">
      <c r="A107" s="8" t="s">
        <v>176</v>
      </c>
      <c r="B107" s="8" t="str">
        <f aca="false">IFERROR(INDEX('Source 2026'!$C:$C,MATCH($A107,'Source 2026'!$B:$B,0)),IFERROR(INDEX('Source 2025'!$C:$C,MATCH($A107,'Source 2025'!$B:$B,0)),""))</f>
        <v>L-XL חגורת הריון</v>
      </c>
      <c r="C107" s="9" t="n">
        <f aca="false">SUMIFS('Source 2025'!$F:$F,'Source 2025'!$B:$B,$A107,'Source 2025'!$A:$A,"Quantity (units)")+SUMIFS('Source 2025'!$H:$H,'Source 2025'!$B:$B,$A107,'Source 2025'!$A:$A,"Quantity (units)")+SUMIFS('Source 2025'!$M:$M,'Source 2025'!$B:$B,$A107,'Source 2025'!$A:$A,"Quantity (units)")+SUMIFS('Source 2025'!$N:$N,'Source 2025'!$B:$B,$A107,'Source 2025'!$A:$A,"Quantity (units)")+SUMIFS('Source 2025'!$S:$S,'Source 2025'!$B:$B,$A107,'Source 2025'!$A:$A,"Quantity (units)")+SUMIFS('Source 2025'!$U:$U,'Source 2025'!$B:$B,$A107,'Source 2025'!$A:$A,"Quantity (units)")+SUMIFS('Source 2025'!$D:$D,'Source 2025'!$B:$B,$A107,'Source 2025'!$A:$A,"Quantity (units)")+SUMIFS('Source 2025'!$E:$E,'Source 2025'!$B:$B,$A107,'Source 2025'!$A:$A,"Quantity (units)")+SUMIFS('Source 2025'!$G:$G,'Source 2025'!$B:$B,$A107,'Source 2025'!$A:$A,"Quantity (units)")</f>
        <v>18</v>
      </c>
      <c r="D107" s="9" t="n">
        <f aca="false">SUMIFS('Source 2026'!$F:$F,'Source 2026'!$B:$B,$A107,'Source 2026'!$A:$A,"Quantity (units)")+SUMIFS('Source 2026'!$H:$H,'Source 2026'!$B:$B,$A107,'Source 2026'!$A:$A,"Quantity (units)")+SUMIFS('Source 2026'!$M:$M,'Source 2026'!$B:$B,$A107,'Source 2026'!$A:$A,"Quantity (units)")+SUMIFS('Source 2026'!$N:$N,'Source 2026'!$B:$B,$A107,'Source 2026'!$A:$A,"Quantity (units)")+SUMIFS('Source 2026'!$S:$S,'Source 2026'!$B:$B,$A107,'Source 2026'!$A:$A,"Quantity (units)")+SUMIFS('Source 2026'!$U:$U,'Source 2026'!$B:$B,$A107,'Source 2026'!$A:$A,"Quantity (units)")+SUMIFS('Source 2026'!$D:$D,'Source 2026'!$B:$B,$A107,'Source 2026'!$A:$A,"Quantity (units)")+SUMIFS('Source 2026'!$E:$E,'Source 2026'!$B:$B,$A107,'Source 2026'!$A:$A,"Quantity (units)")+SUMIFS('Source 2026'!$G:$G,'Source 2026'!$B:$B,$A107,'Source 2026'!$A:$A,"Quantity (units)")</f>
        <v>33</v>
      </c>
      <c r="E107" s="9" t="n">
        <f aca="false">D107*$J$5</f>
        <v>41.6842105263158</v>
      </c>
      <c r="F107" s="9" t="n">
        <f aca="false">E107-C107</f>
        <v>23.6842105263158</v>
      </c>
      <c r="G107" s="11" t="n">
        <f aca="false">IF(AND(C107=0,E107=0),0,IF(C107=0,"New",(E107-C107)/C107))</f>
        <v>1.31578947368421</v>
      </c>
      <c r="H107" s="9" t="n">
        <f aca="false">SUMIFS('Source 2025'!$F:$F,'Source 2025'!$B:$B,$A107,'Source 2025'!$A:$A,"Amount (NIS)")+SUMIFS('Source 2025'!$H:$H,'Source 2025'!$B:$B,$A107,'Source 2025'!$A:$A,"Amount (NIS)")+SUMIFS('Source 2025'!$M:$M,'Source 2025'!$B:$B,$A107,'Source 2025'!$A:$A,"Amount (NIS)")+SUMIFS('Source 2025'!$N:$N,'Source 2025'!$B:$B,$A107,'Source 2025'!$A:$A,"Amount (NIS)")+SUMIFS('Source 2025'!$S:$S,'Source 2025'!$B:$B,$A107,'Source 2025'!$A:$A,"Amount (NIS)")+SUMIFS('Source 2025'!$U:$U,'Source 2025'!$B:$B,$A107,'Source 2025'!$A:$A,"Amount (NIS)")+SUMIFS('Source 2025'!$D:$D,'Source 2025'!$B:$B,$A107,'Source 2025'!$A:$A,"Amount (NIS)")+SUMIFS('Source 2025'!$E:$E,'Source 2025'!$B:$B,$A107,'Source 2025'!$A:$A,"Amount (NIS)")+SUMIFS('Source 2025'!$G:$G,'Source 2025'!$B:$B,$A107,'Source 2025'!$A:$A,"Amount (NIS)")</f>
        <v>2119.9</v>
      </c>
      <c r="I107" s="9" t="n">
        <f aca="false">SUMIFS('Source 2026'!$F:$F,'Source 2026'!$B:$B,$A107,'Source 2026'!$A:$A,"Amount (NIS)")+SUMIFS('Source 2026'!$H:$H,'Source 2026'!$B:$B,$A107,'Source 2026'!$A:$A,"Amount (NIS)")+SUMIFS('Source 2026'!$M:$M,'Source 2026'!$B:$B,$A107,'Source 2026'!$A:$A,"Amount (NIS)")+SUMIFS('Source 2026'!$N:$N,'Source 2026'!$B:$B,$A107,'Source 2026'!$A:$A,"Amount (NIS)")+SUMIFS('Source 2026'!$S:$S,'Source 2026'!$B:$B,$A107,'Source 2026'!$A:$A,"Amount (NIS)")+SUMIFS('Source 2026'!$U:$U,'Source 2026'!$B:$B,$A107,'Source 2026'!$A:$A,"Amount (NIS)")+SUMIFS('Source 2026'!$D:$D,'Source 2026'!$B:$B,$A107,'Source 2026'!$A:$A,"Amount (NIS)")+SUMIFS('Source 2026'!$E:$E,'Source 2026'!$B:$B,$A107,'Source 2026'!$A:$A,"Amount (NIS)")+SUMIFS('Source 2026'!$G:$G,'Source 2026'!$B:$B,$A107,'Source 2026'!$A:$A,"Amount (NIS)")</f>
        <v>4039.8</v>
      </c>
      <c r="J107" s="9" t="n">
        <f aca="false">I107*$J$5</f>
        <v>5102.90526315789</v>
      </c>
      <c r="K107" s="9" t="n">
        <f aca="false">J107-H107</f>
        <v>2983.00526315789</v>
      </c>
      <c r="L107" s="11" t="n">
        <f aca="false">IF(AND(H107=0,J107=0),0,IF(H107=0,"New",(J107-H107)/H107))</f>
        <v>1.40714432905226</v>
      </c>
    </row>
    <row r="108" customFormat="false" ht="15" hidden="false" customHeight="true" outlineLevel="0" collapsed="false">
      <c r="A108" s="8" t="s">
        <v>177</v>
      </c>
      <c r="B108" s="8" t="str">
        <f aca="false">IFERROR(INDEX('Source 2026'!$C:$C,MATCH($A108,'Source 2026'!$B:$B,0)),IFERROR(INDEX('Source 2025'!$C:$C,MATCH($A108,'Source 2025'!$B:$B,0)),""))</f>
        <v>מתלה ליד לילדים</v>
      </c>
      <c r="C108" s="9" t="n">
        <f aca="false">SUMIFS('Source 2025'!$F:$F,'Source 2025'!$B:$B,$A108,'Source 2025'!$A:$A,"Quantity (units)")+SUMIFS('Source 2025'!$H:$H,'Source 2025'!$B:$B,$A108,'Source 2025'!$A:$A,"Quantity (units)")+SUMIFS('Source 2025'!$M:$M,'Source 2025'!$B:$B,$A108,'Source 2025'!$A:$A,"Quantity (units)")+SUMIFS('Source 2025'!$N:$N,'Source 2025'!$B:$B,$A108,'Source 2025'!$A:$A,"Quantity (units)")+SUMIFS('Source 2025'!$S:$S,'Source 2025'!$B:$B,$A108,'Source 2025'!$A:$A,"Quantity (units)")+SUMIFS('Source 2025'!$U:$U,'Source 2025'!$B:$B,$A108,'Source 2025'!$A:$A,"Quantity (units)")+SUMIFS('Source 2025'!$D:$D,'Source 2025'!$B:$B,$A108,'Source 2025'!$A:$A,"Quantity (units)")+SUMIFS('Source 2025'!$E:$E,'Source 2025'!$B:$B,$A108,'Source 2025'!$A:$A,"Quantity (units)")+SUMIFS('Source 2025'!$G:$G,'Source 2025'!$B:$B,$A108,'Source 2025'!$A:$A,"Quantity (units)")</f>
        <v>153</v>
      </c>
      <c r="D108" s="9" t="n">
        <f aca="false">SUMIFS('Source 2026'!$F:$F,'Source 2026'!$B:$B,$A108,'Source 2026'!$A:$A,"Quantity (units)")+SUMIFS('Source 2026'!$H:$H,'Source 2026'!$B:$B,$A108,'Source 2026'!$A:$A,"Quantity (units)")+SUMIFS('Source 2026'!$M:$M,'Source 2026'!$B:$B,$A108,'Source 2026'!$A:$A,"Quantity (units)")+SUMIFS('Source 2026'!$N:$N,'Source 2026'!$B:$B,$A108,'Source 2026'!$A:$A,"Quantity (units)")+SUMIFS('Source 2026'!$S:$S,'Source 2026'!$B:$B,$A108,'Source 2026'!$A:$A,"Quantity (units)")+SUMIFS('Source 2026'!$U:$U,'Source 2026'!$B:$B,$A108,'Source 2026'!$A:$A,"Quantity (units)")+SUMIFS('Source 2026'!$D:$D,'Source 2026'!$B:$B,$A108,'Source 2026'!$A:$A,"Quantity (units)")+SUMIFS('Source 2026'!$E:$E,'Source 2026'!$B:$B,$A108,'Source 2026'!$A:$A,"Quantity (units)")+SUMIFS('Source 2026'!$G:$G,'Source 2026'!$B:$B,$A108,'Source 2026'!$A:$A,"Quantity (units)")</f>
        <v>115</v>
      </c>
      <c r="E108" s="9" t="n">
        <f aca="false">D108*$J$5</f>
        <v>145.263157894737</v>
      </c>
      <c r="F108" s="9" t="n">
        <f aca="false">E108-C108</f>
        <v>-7.73684210526318</v>
      </c>
      <c r="G108" s="11" t="n">
        <f aca="false">IF(AND(C108=0,E108=0),0,IF(C108=0,"New",(E108-C108)/C108))</f>
        <v>-0.0505675954592365</v>
      </c>
      <c r="H108" s="9" t="n">
        <f aca="false">SUMIFS('Source 2025'!$F:$F,'Source 2025'!$B:$B,$A108,'Source 2025'!$A:$A,"Amount (NIS)")+SUMIFS('Source 2025'!$H:$H,'Source 2025'!$B:$B,$A108,'Source 2025'!$A:$A,"Amount (NIS)")+SUMIFS('Source 2025'!$M:$M,'Source 2025'!$B:$B,$A108,'Source 2025'!$A:$A,"Amount (NIS)")+SUMIFS('Source 2025'!$N:$N,'Source 2025'!$B:$B,$A108,'Source 2025'!$A:$A,"Amount (NIS)")+SUMIFS('Source 2025'!$S:$S,'Source 2025'!$B:$B,$A108,'Source 2025'!$A:$A,"Amount (NIS)")+SUMIFS('Source 2025'!$U:$U,'Source 2025'!$B:$B,$A108,'Source 2025'!$A:$A,"Amount (NIS)")+SUMIFS('Source 2025'!$D:$D,'Source 2025'!$B:$B,$A108,'Source 2025'!$A:$A,"Amount (NIS)")+SUMIFS('Source 2025'!$E:$E,'Source 2025'!$B:$B,$A108,'Source 2025'!$A:$A,"Amount (NIS)")+SUMIFS('Source 2025'!$G:$G,'Source 2025'!$B:$B,$A108,'Source 2025'!$A:$A,"Amount (NIS)")</f>
        <v>7719.7</v>
      </c>
      <c r="I108" s="9" t="n">
        <f aca="false">SUMIFS('Source 2026'!$F:$F,'Source 2026'!$B:$B,$A108,'Source 2026'!$A:$A,"Amount (NIS)")+SUMIFS('Source 2026'!$H:$H,'Source 2026'!$B:$B,$A108,'Source 2026'!$A:$A,"Amount (NIS)")+SUMIFS('Source 2026'!$M:$M,'Source 2026'!$B:$B,$A108,'Source 2026'!$A:$A,"Amount (NIS)")+SUMIFS('Source 2026'!$N:$N,'Source 2026'!$B:$B,$A108,'Source 2026'!$A:$A,"Amount (NIS)")+SUMIFS('Source 2026'!$S:$S,'Source 2026'!$B:$B,$A108,'Source 2026'!$A:$A,"Amount (NIS)")+SUMIFS('Source 2026'!$U:$U,'Source 2026'!$B:$B,$A108,'Source 2026'!$A:$A,"Amount (NIS)")+SUMIFS('Source 2026'!$D:$D,'Source 2026'!$B:$B,$A108,'Source 2026'!$A:$A,"Amount (NIS)")+SUMIFS('Source 2026'!$E:$E,'Source 2026'!$B:$B,$A108,'Source 2026'!$A:$A,"Amount (NIS)")+SUMIFS('Source 2026'!$G:$G,'Source 2026'!$B:$B,$A108,'Source 2026'!$A:$A,"Amount (NIS)")</f>
        <v>5814.2</v>
      </c>
      <c r="J108" s="9" t="n">
        <f aca="false">I108*$J$5</f>
        <v>7344.25263157895</v>
      </c>
      <c r="K108" s="9" t="n">
        <f aca="false">J108-H108</f>
        <v>-375.447368421053</v>
      </c>
      <c r="L108" s="11" t="n">
        <f aca="false">IF(AND(H108=0,J108=0),0,IF(H108=0,"New",(J108-H108)/H108))</f>
        <v>-0.0486349687709436</v>
      </c>
    </row>
    <row r="109" customFormat="false" ht="15" hidden="false" customHeight="true" outlineLevel="0" collapsed="false">
      <c r="A109" s="8" t="s">
        <v>178</v>
      </c>
      <c r="B109" s="8" t="str">
        <f aca="false">IFERROR(INDEX('Source 2026'!$C:$C,MATCH($A109,'Source 2026'!$B:$B,0)),IFERROR(INDEX('Source 2025'!$C:$C,MATCH($A109,'Source 2025'!$B:$B,0)),""))</f>
        <v>L מ.ברך אפור+כרית סיליקון</v>
      </c>
      <c r="C109" s="9" t="n">
        <f aca="false">SUMIFS('Source 2025'!$F:$F,'Source 2025'!$B:$B,$A109,'Source 2025'!$A:$A,"Quantity (units)")+SUMIFS('Source 2025'!$H:$H,'Source 2025'!$B:$B,$A109,'Source 2025'!$A:$A,"Quantity (units)")+SUMIFS('Source 2025'!$M:$M,'Source 2025'!$B:$B,$A109,'Source 2025'!$A:$A,"Quantity (units)")+SUMIFS('Source 2025'!$N:$N,'Source 2025'!$B:$B,$A109,'Source 2025'!$A:$A,"Quantity (units)")+SUMIFS('Source 2025'!$S:$S,'Source 2025'!$B:$B,$A109,'Source 2025'!$A:$A,"Quantity (units)")+SUMIFS('Source 2025'!$U:$U,'Source 2025'!$B:$B,$A109,'Source 2025'!$A:$A,"Quantity (units)")+SUMIFS('Source 2025'!$D:$D,'Source 2025'!$B:$B,$A109,'Source 2025'!$A:$A,"Quantity (units)")+SUMIFS('Source 2025'!$E:$E,'Source 2025'!$B:$B,$A109,'Source 2025'!$A:$A,"Quantity (units)")+SUMIFS('Source 2025'!$G:$G,'Source 2025'!$B:$B,$A109,'Source 2025'!$A:$A,"Quantity (units)")</f>
        <v>11</v>
      </c>
      <c r="D109" s="9" t="n">
        <f aca="false">SUMIFS('Source 2026'!$F:$F,'Source 2026'!$B:$B,$A109,'Source 2026'!$A:$A,"Quantity (units)")+SUMIFS('Source 2026'!$H:$H,'Source 2026'!$B:$B,$A109,'Source 2026'!$A:$A,"Quantity (units)")+SUMIFS('Source 2026'!$M:$M,'Source 2026'!$B:$B,$A109,'Source 2026'!$A:$A,"Quantity (units)")+SUMIFS('Source 2026'!$N:$N,'Source 2026'!$B:$B,$A109,'Source 2026'!$A:$A,"Quantity (units)")+SUMIFS('Source 2026'!$S:$S,'Source 2026'!$B:$B,$A109,'Source 2026'!$A:$A,"Quantity (units)")+SUMIFS('Source 2026'!$U:$U,'Source 2026'!$B:$B,$A109,'Source 2026'!$A:$A,"Quantity (units)")+SUMIFS('Source 2026'!$D:$D,'Source 2026'!$B:$B,$A109,'Source 2026'!$A:$A,"Quantity (units)")+SUMIFS('Source 2026'!$E:$E,'Source 2026'!$B:$B,$A109,'Source 2026'!$A:$A,"Quantity (units)")+SUMIFS('Source 2026'!$G:$G,'Source 2026'!$B:$B,$A109,'Source 2026'!$A:$A,"Quantity (units)")</f>
        <v>0</v>
      </c>
      <c r="E109" s="9" t="n">
        <f aca="false">D109*$J$5</f>
        <v>0</v>
      </c>
      <c r="F109" s="9" t="n">
        <f aca="false">E109-C109</f>
        <v>-11</v>
      </c>
      <c r="G109" s="11" t="n">
        <f aca="false">IF(AND(C109=0,E109=0),0,IF(C109=0,"New",(E109-C109)/C109))</f>
        <v>-1</v>
      </c>
      <c r="H109" s="9" t="n">
        <f aca="false">SUMIFS('Source 2025'!$F:$F,'Source 2025'!$B:$B,$A109,'Source 2025'!$A:$A,"Amount (NIS)")+SUMIFS('Source 2025'!$H:$H,'Source 2025'!$B:$B,$A109,'Source 2025'!$A:$A,"Amount (NIS)")+SUMIFS('Source 2025'!$M:$M,'Source 2025'!$B:$B,$A109,'Source 2025'!$A:$A,"Amount (NIS)")+SUMIFS('Source 2025'!$N:$N,'Source 2025'!$B:$B,$A109,'Source 2025'!$A:$A,"Amount (NIS)")+SUMIFS('Source 2025'!$S:$S,'Source 2025'!$B:$B,$A109,'Source 2025'!$A:$A,"Amount (NIS)")+SUMIFS('Source 2025'!$U:$U,'Source 2025'!$B:$B,$A109,'Source 2025'!$A:$A,"Amount (NIS)")+SUMIFS('Source 2025'!$D:$D,'Source 2025'!$B:$B,$A109,'Source 2025'!$A:$A,"Amount (NIS)")+SUMIFS('Source 2025'!$E:$E,'Source 2025'!$B:$B,$A109,'Source 2025'!$A:$A,"Amount (NIS)")+SUMIFS('Source 2025'!$G:$G,'Source 2025'!$B:$B,$A109,'Source 2025'!$A:$A,"Amount (NIS)")</f>
        <v>1897.3</v>
      </c>
      <c r="I109" s="9" t="n">
        <f aca="false">SUMIFS('Source 2026'!$F:$F,'Source 2026'!$B:$B,$A109,'Source 2026'!$A:$A,"Amount (NIS)")+SUMIFS('Source 2026'!$H:$H,'Source 2026'!$B:$B,$A109,'Source 2026'!$A:$A,"Amount (NIS)")+SUMIFS('Source 2026'!$M:$M,'Source 2026'!$B:$B,$A109,'Source 2026'!$A:$A,"Amount (NIS)")+SUMIFS('Source 2026'!$N:$N,'Source 2026'!$B:$B,$A109,'Source 2026'!$A:$A,"Amount (NIS)")+SUMIFS('Source 2026'!$S:$S,'Source 2026'!$B:$B,$A109,'Source 2026'!$A:$A,"Amount (NIS)")+SUMIFS('Source 2026'!$U:$U,'Source 2026'!$B:$B,$A109,'Source 2026'!$A:$A,"Amount (NIS)")+SUMIFS('Source 2026'!$D:$D,'Source 2026'!$B:$B,$A109,'Source 2026'!$A:$A,"Amount (NIS)")+SUMIFS('Source 2026'!$E:$E,'Source 2026'!$B:$B,$A109,'Source 2026'!$A:$A,"Amount (NIS)")+SUMIFS('Source 2026'!$G:$G,'Source 2026'!$B:$B,$A109,'Source 2026'!$A:$A,"Amount (NIS)")</f>
        <v>0</v>
      </c>
      <c r="J109" s="9" t="n">
        <f aca="false">I109*$J$5</f>
        <v>0</v>
      </c>
      <c r="K109" s="9" t="n">
        <f aca="false">J109-H109</f>
        <v>-1897.3</v>
      </c>
      <c r="L109" s="11" t="n">
        <f aca="false">IF(AND(H109=0,J109=0),0,IF(H109=0,"New",(J109-H109)/H109))</f>
        <v>-1</v>
      </c>
    </row>
    <row r="110" customFormat="false" ht="15" hidden="false" customHeight="true" outlineLevel="0" collapsed="false">
      <c r="A110" s="8" t="s">
        <v>179</v>
      </c>
      <c r="B110" s="8" t="str">
        <f aca="false">IFERROR(INDEX('Source 2026'!$C:$C,MATCH($A110,'Source 2026'!$B:$B,0)),IFERROR(INDEX('Source 2025'!$C:$C,MATCH($A110,'Source 2025'!$B:$B,0)),""))</f>
        <v>מדרסי אפיק ג'ל נוחות</v>
      </c>
      <c r="C110" s="9" t="n">
        <f aca="false">SUMIFS('Source 2025'!$F:$F,'Source 2025'!$B:$B,$A110,'Source 2025'!$A:$A,"Quantity (units)")+SUMIFS('Source 2025'!$H:$H,'Source 2025'!$B:$B,$A110,'Source 2025'!$A:$A,"Quantity (units)")+SUMIFS('Source 2025'!$M:$M,'Source 2025'!$B:$B,$A110,'Source 2025'!$A:$A,"Quantity (units)")+SUMIFS('Source 2025'!$N:$N,'Source 2025'!$B:$B,$A110,'Source 2025'!$A:$A,"Quantity (units)")+SUMIFS('Source 2025'!$S:$S,'Source 2025'!$B:$B,$A110,'Source 2025'!$A:$A,"Quantity (units)")+SUMIFS('Source 2025'!$U:$U,'Source 2025'!$B:$B,$A110,'Source 2025'!$A:$A,"Quantity (units)")+SUMIFS('Source 2025'!$D:$D,'Source 2025'!$B:$B,$A110,'Source 2025'!$A:$A,"Quantity (units)")+SUMIFS('Source 2025'!$E:$E,'Source 2025'!$B:$B,$A110,'Source 2025'!$A:$A,"Quantity (units)")+SUMIFS('Source 2025'!$G:$G,'Source 2025'!$B:$B,$A110,'Source 2025'!$A:$A,"Quantity (units)")</f>
        <v>42</v>
      </c>
      <c r="D110" s="9" t="n">
        <f aca="false">SUMIFS('Source 2026'!$F:$F,'Source 2026'!$B:$B,$A110,'Source 2026'!$A:$A,"Quantity (units)")+SUMIFS('Source 2026'!$H:$H,'Source 2026'!$B:$B,$A110,'Source 2026'!$A:$A,"Quantity (units)")+SUMIFS('Source 2026'!$M:$M,'Source 2026'!$B:$B,$A110,'Source 2026'!$A:$A,"Quantity (units)")+SUMIFS('Source 2026'!$N:$N,'Source 2026'!$B:$B,$A110,'Source 2026'!$A:$A,"Quantity (units)")+SUMIFS('Source 2026'!$S:$S,'Source 2026'!$B:$B,$A110,'Source 2026'!$A:$A,"Quantity (units)")+SUMIFS('Source 2026'!$U:$U,'Source 2026'!$B:$B,$A110,'Source 2026'!$A:$A,"Quantity (units)")+SUMIFS('Source 2026'!$D:$D,'Source 2026'!$B:$B,$A110,'Source 2026'!$A:$A,"Quantity (units)")+SUMIFS('Source 2026'!$E:$E,'Source 2026'!$B:$B,$A110,'Source 2026'!$A:$A,"Quantity (units)")+SUMIFS('Source 2026'!$G:$G,'Source 2026'!$B:$B,$A110,'Source 2026'!$A:$A,"Quantity (units)")</f>
        <v>23</v>
      </c>
      <c r="E110" s="9" t="n">
        <f aca="false">D110*$J$5</f>
        <v>29.0526315789474</v>
      </c>
      <c r="F110" s="9" t="n">
        <f aca="false">E110-C110</f>
        <v>-12.9473684210526</v>
      </c>
      <c r="G110" s="11" t="n">
        <f aca="false">IF(AND(C110=0,E110=0),0,IF(C110=0,"New",(E110-C110)/C110))</f>
        <v>-0.308270676691729</v>
      </c>
      <c r="H110" s="9" t="n">
        <f aca="false">SUMIFS('Source 2025'!$F:$F,'Source 2025'!$B:$B,$A110,'Source 2025'!$A:$A,"Amount (NIS)")+SUMIFS('Source 2025'!$H:$H,'Source 2025'!$B:$B,$A110,'Source 2025'!$A:$A,"Amount (NIS)")+SUMIFS('Source 2025'!$M:$M,'Source 2025'!$B:$B,$A110,'Source 2025'!$A:$A,"Amount (NIS)")+SUMIFS('Source 2025'!$N:$N,'Source 2025'!$B:$B,$A110,'Source 2025'!$A:$A,"Amount (NIS)")+SUMIFS('Source 2025'!$S:$S,'Source 2025'!$B:$B,$A110,'Source 2025'!$A:$A,"Amount (NIS)")+SUMIFS('Source 2025'!$U:$U,'Source 2025'!$B:$B,$A110,'Source 2025'!$A:$A,"Amount (NIS)")+SUMIFS('Source 2025'!$D:$D,'Source 2025'!$B:$B,$A110,'Source 2025'!$A:$A,"Amount (NIS)")+SUMIFS('Source 2025'!$E:$E,'Source 2025'!$B:$B,$A110,'Source 2025'!$A:$A,"Amount (NIS)")+SUMIFS('Source 2025'!$G:$G,'Source 2025'!$B:$B,$A110,'Source 2025'!$A:$A,"Amount (NIS)")</f>
        <v>4272.5</v>
      </c>
      <c r="I110" s="9" t="n">
        <f aca="false">SUMIFS('Source 2026'!$F:$F,'Source 2026'!$B:$B,$A110,'Source 2026'!$A:$A,"Amount (NIS)")+SUMIFS('Source 2026'!$H:$H,'Source 2026'!$B:$B,$A110,'Source 2026'!$A:$A,"Amount (NIS)")+SUMIFS('Source 2026'!$M:$M,'Source 2026'!$B:$B,$A110,'Source 2026'!$A:$A,"Amount (NIS)")+SUMIFS('Source 2026'!$N:$N,'Source 2026'!$B:$B,$A110,'Source 2026'!$A:$A,"Amount (NIS)")+SUMIFS('Source 2026'!$S:$S,'Source 2026'!$B:$B,$A110,'Source 2026'!$A:$A,"Amount (NIS)")+SUMIFS('Source 2026'!$U:$U,'Source 2026'!$B:$B,$A110,'Source 2026'!$A:$A,"Amount (NIS)")+SUMIFS('Source 2026'!$D:$D,'Source 2026'!$B:$B,$A110,'Source 2026'!$A:$A,"Amount (NIS)")+SUMIFS('Source 2026'!$E:$E,'Source 2026'!$B:$B,$A110,'Source 2026'!$A:$A,"Amount (NIS)")+SUMIFS('Source 2026'!$G:$G,'Source 2026'!$B:$B,$A110,'Source 2026'!$A:$A,"Amount (NIS)")</f>
        <v>2426.4</v>
      </c>
      <c r="J110" s="9" t="n">
        <f aca="false">I110*$J$5</f>
        <v>3064.92631578947</v>
      </c>
      <c r="K110" s="9" t="n">
        <f aca="false">J110-H110</f>
        <v>-1207.57368421053</v>
      </c>
      <c r="L110" s="11" t="n">
        <f aca="false">IF(AND(H110=0,J110=0),0,IF(H110=0,"New",(J110-H110)/H110))</f>
        <v>-0.282638662190878</v>
      </c>
    </row>
    <row r="111" customFormat="false" ht="15" hidden="false" customHeight="true" outlineLevel="0" collapsed="false">
      <c r="A111" s="8" t="s">
        <v>180</v>
      </c>
      <c r="B111" s="8" t="str">
        <f aca="false">IFERROR(INDEX('Source 2026'!$C:$C,MATCH($A111,'Source 2026'!$B:$B,0)),IFERROR(INDEX('Source 2025'!$C:$C,MATCH($A111,'Source 2025'!$B:$B,0)),""))</f>
        <v>להסרת עור קשה</v>
      </c>
      <c r="C111" s="9" t="n">
        <f aca="false">SUMIFS('Source 2025'!$F:$F,'Source 2025'!$B:$B,$A111,'Source 2025'!$A:$A,"Quantity (units)")+SUMIFS('Source 2025'!$H:$H,'Source 2025'!$B:$B,$A111,'Source 2025'!$A:$A,"Quantity (units)")+SUMIFS('Source 2025'!$M:$M,'Source 2025'!$B:$B,$A111,'Source 2025'!$A:$A,"Quantity (units)")+SUMIFS('Source 2025'!$N:$N,'Source 2025'!$B:$B,$A111,'Source 2025'!$A:$A,"Quantity (units)")+SUMIFS('Source 2025'!$S:$S,'Source 2025'!$B:$B,$A111,'Source 2025'!$A:$A,"Quantity (units)")+SUMIFS('Source 2025'!$U:$U,'Source 2025'!$B:$B,$A111,'Source 2025'!$A:$A,"Quantity (units)")+SUMIFS('Source 2025'!$D:$D,'Source 2025'!$B:$B,$A111,'Source 2025'!$A:$A,"Quantity (units)")+SUMIFS('Source 2025'!$E:$E,'Source 2025'!$B:$B,$A111,'Source 2025'!$A:$A,"Quantity (units)")+SUMIFS('Source 2025'!$G:$G,'Source 2025'!$B:$B,$A111,'Source 2025'!$A:$A,"Quantity (units)")</f>
        <v>220</v>
      </c>
      <c r="D111" s="9" t="n">
        <f aca="false">SUMIFS('Source 2026'!$F:$F,'Source 2026'!$B:$B,$A111,'Source 2026'!$A:$A,"Quantity (units)")+SUMIFS('Source 2026'!$H:$H,'Source 2026'!$B:$B,$A111,'Source 2026'!$A:$A,"Quantity (units)")+SUMIFS('Source 2026'!$M:$M,'Source 2026'!$B:$B,$A111,'Source 2026'!$A:$A,"Quantity (units)")+SUMIFS('Source 2026'!$N:$N,'Source 2026'!$B:$B,$A111,'Source 2026'!$A:$A,"Quantity (units)")+SUMIFS('Source 2026'!$S:$S,'Source 2026'!$B:$B,$A111,'Source 2026'!$A:$A,"Quantity (units)")+SUMIFS('Source 2026'!$U:$U,'Source 2026'!$B:$B,$A111,'Source 2026'!$A:$A,"Quantity (units)")+SUMIFS('Source 2026'!$D:$D,'Source 2026'!$B:$B,$A111,'Source 2026'!$A:$A,"Quantity (units)")+SUMIFS('Source 2026'!$E:$E,'Source 2026'!$B:$B,$A111,'Source 2026'!$A:$A,"Quantity (units)")+SUMIFS('Source 2026'!$G:$G,'Source 2026'!$B:$B,$A111,'Source 2026'!$A:$A,"Quantity (units)")</f>
        <v>146</v>
      </c>
      <c r="E111" s="9" t="n">
        <f aca="false">D111*$J$5</f>
        <v>184.421052631579</v>
      </c>
      <c r="F111" s="9" t="n">
        <f aca="false">E111-C111</f>
        <v>-35.5789473684211</v>
      </c>
      <c r="G111" s="11" t="n">
        <f aca="false">IF(AND(C111=0,E111=0),0,IF(C111=0,"New",(E111-C111)/C111))</f>
        <v>-0.161722488038278</v>
      </c>
      <c r="H111" s="9" t="n">
        <f aca="false">SUMIFS('Source 2025'!$F:$F,'Source 2025'!$B:$B,$A111,'Source 2025'!$A:$A,"Amount (NIS)")+SUMIFS('Source 2025'!$H:$H,'Source 2025'!$B:$B,$A111,'Source 2025'!$A:$A,"Amount (NIS)")+SUMIFS('Source 2025'!$M:$M,'Source 2025'!$B:$B,$A111,'Source 2025'!$A:$A,"Amount (NIS)")+SUMIFS('Source 2025'!$N:$N,'Source 2025'!$B:$B,$A111,'Source 2025'!$A:$A,"Amount (NIS)")+SUMIFS('Source 2025'!$S:$S,'Source 2025'!$B:$B,$A111,'Source 2025'!$A:$A,"Amount (NIS)")+SUMIFS('Source 2025'!$U:$U,'Source 2025'!$B:$B,$A111,'Source 2025'!$A:$A,"Amount (NIS)")+SUMIFS('Source 2025'!$D:$D,'Source 2025'!$B:$B,$A111,'Source 2025'!$A:$A,"Amount (NIS)")+SUMIFS('Source 2025'!$E:$E,'Source 2025'!$B:$B,$A111,'Source 2025'!$A:$A,"Amount (NIS)")+SUMIFS('Source 2025'!$G:$G,'Source 2025'!$B:$B,$A111,'Source 2025'!$A:$A,"Amount (NIS)")</f>
        <v>5447.3</v>
      </c>
      <c r="I111" s="9" t="n">
        <f aca="false">SUMIFS('Source 2026'!$F:$F,'Source 2026'!$B:$B,$A111,'Source 2026'!$A:$A,"Amount (NIS)")+SUMIFS('Source 2026'!$H:$H,'Source 2026'!$B:$B,$A111,'Source 2026'!$A:$A,"Amount (NIS)")+SUMIFS('Source 2026'!$M:$M,'Source 2026'!$B:$B,$A111,'Source 2026'!$A:$A,"Amount (NIS)")+SUMIFS('Source 2026'!$N:$N,'Source 2026'!$B:$B,$A111,'Source 2026'!$A:$A,"Amount (NIS)")+SUMIFS('Source 2026'!$S:$S,'Source 2026'!$B:$B,$A111,'Source 2026'!$A:$A,"Amount (NIS)")+SUMIFS('Source 2026'!$U:$U,'Source 2026'!$B:$B,$A111,'Source 2026'!$A:$A,"Amount (NIS)")+SUMIFS('Source 2026'!$D:$D,'Source 2026'!$B:$B,$A111,'Source 2026'!$A:$A,"Amount (NIS)")+SUMIFS('Source 2026'!$E:$E,'Source 2026'!$B:$B,$A111,'Source 2026'!$A:$A,"Amount (NIS)")+SUMIFS('Source 2026'!$G:$G,'Source 2026'!$B:$B,$A111,'Source 2026'!$A:$A,"Amount (NIS)")</f>
        <v>3606.2</v>
      </c>
      <c r="J111" s="9" t="n">
        <f aca="false">I111*$J$5</f>
        <v>4555.2</v>
      </c>
      <c r="K111" s="9" t="n">
        <f aca="false">J111-H111</f>
        <v>-892.1</v>
      </c>
      <c r="L111" s="11" t="n">
        <f aca="false">IF(AND(H111=0,J111=0),0,IF(H111=0,"New",(J111-H111)/H111))</f>
        <v>-0.163769206762983</v>
      </c>
    </row>
    <row r="112" customFormat="false" ht="15" hidden="false" customHeight="true" outlineLevel="0" collapsed="false">
      <c r="A112" s="8" t="s">
        <v>181</v>
      </c>
      <c r="B112" s="8" t="str">
        <f aca="false">IFERROR(INDEX('Source 2026'!$C:$C,MATCH($A112,'Source 2026'!$B:$B,0)),IFERROR(INDEX('Source 2025'!$C:$C,MATCH($A112,'Source 2025'!$B:$B,0)),""))</f>
        <v>37-38 מדרסי סיליק.לח.סכרת</v>
      </c>
      <c r="C112" s="9" t="n">
        <f aca="false">SUMIFS('Source 2025'!$F:$F,'Source 2025'!$B:$B,$A112,'Source 2025'!$A:$A,"Quantity (units)")+SUMIFS('Source 2025'!$H:$H,'Source 2025'!$B:$B,$A112,'Source 2025'!$A:$A,"Quantity (units)")+SUMIFS('Source 2025'!$M:$M,'Source 2025'!$B:$B,$A112,'Source 2025'!$A:$A,"Quantity (units)")+SUMIFS('Source 2025'!$N:$N,'Source 2025'!$B:$B,$A112,'Source 2025'!$A:$A,"Quantity (units)")+SUMIFS('Source 2025'!$S:$S,'Source 2025'!$B:$B,$A112,'Source 2025'!$A:$A,"Quantity (units)")+SUMIFS('Source 2025'!$U:$U,'Source 2025'!$B:$B,$A112,'Source 2025'!$A:$A,"Quantity (units)")+SUMIFS('Source 2025'!$D:$D,'Source 2025'!$B:$B,$A112,'Source 2025'!$A:$A,"Quantity (units)")+SUMIFS('Source 2025'!$E:$E,'Source 2025'!$B:$B,$A112,'Source 2025'!$A:$A,"Quantity (units)")+SUMIFS('Source 2025'!$G:$G,'Source 2025'!$B:$B,$A112,'Source 2025'!$A:$A,"Quantity (units)")</f>
        <v>20</v>
      </c>
      <c r="D112" s="9" t="n">
        <f aca="false">SUMIFS('Source 2026'!$F:$F,'Source 2026'!$B:$B,$A112,'Source 2026'!$A:$A,"Quantity (units)")+SUMIFS('Source 2026'!$H:$H,'Source 2026'!$B:$B,$A112,'Source 2026'!$A:$A,"Quantity (units)")+SUMIFS('Source 2026'!$M:$M,'Source 2026'!$B:$B,$A112,'Source 2026'!$A:$A,"Quantity (units)")+SUMIFS('Source 2026'!$N:$N,'Source 2026'!$B:$B,$A112,'Source 2026'!$A:$A,"Quantity (units)")+SUMIFS('Source 2026'!$S:$S,'Source 2026'!$B:$B,$A112,'Source 2026'!$A:$A,"Quantity (units)")+SUMIFS('Source 2026'!$U:$U,'Source 2026'!$B:$B,$A112,'Source 2026'!$A:$A,"Quantity (units)")+SUMIFS('Source 2026'!$D:$D,'Source 2026'!$B:$B,$A112,'Source 2026'!$A:$A,"Quantity (units)")+SUMIFS('Source 2026'!$E:$E,'Source 2026'!$B:$B,$A112,'Source 2026'!$A:$A,"Quantity (units)")+SUMIFS('Source 2026'!$G:$G,'Source 2026'!$B:$B,$A112,'Source 2026'!$A:$A,"Quantity (units)")</f>
        <v>3</v>
      </c>
      <c r="E112" s="9" t="n">
        <f aca="false">D112*$J$5</f>
        <v>3.78947368421053</v>
      </c>
      <c r="F112" s="9" t="n">
        <f aca="false">E112-C112</f>
        <v>-16.2105263157895</v>
      </c>
      <c r="G112" s="11" t="n">
        <f aca="false">IF(AND(C112=0,E112=0),0,IF(C112=0,"New",(E112-C112)/C112))</f>
        <v>-0.810526315789474</v>
      </c>
      <c r="H112" s="9" t="n">
        <f aca="false">SUMIFS('Source 2025'!$F:$F,'Source 2025'!$B:$B,$A112,'Source 2025'!$A:$A,"Amount (NIS)")+SUMIFS('Source 2025'!$H:$H,'Source 2025'!$B:$B,$A112,'Source 2025'!$A:$A,"Amount (NIS)")+SUMIFS('Source 2025'!$M:$M,'Source 2025'!$B:$B,$A112,'Source 2025'!$A:$A,"Amount (NIS)")+SUMIFS('Source 2025'!$N:$N,'Source 2025'!$B:$B,$A112,'Source 2025'!$A:$A,"Amount (NIS)")+SUMIFS('Source 2025'!$S:$S,'Source 2025'!$B:$B,$A112,'Source 2025'!$A:$A,"Amount (NIS)")+SUMIFS('Source 2025'!$U:$U,'Source 2025'!$B:$B,$A112,'Source 2025'!$A:$A,"Amount (NIS)")+SUMIFS('Source 2025'!$D:$D,'Source 2025'!$B:$B,$A112,'Source 2025'!$A:$A,"Amount (NIS)")+SUMIFS('Source 2025'!$E:$E,'Source 2025'!$B:$B,$A112,'Source 2025'!$A:$A,"Amount (NIS)")+SUMIFS('Source 2025'!$G:$G,'Source 2025'!$B:$B,$A112,'Source 2025'!$A:$A,"Amount (NIS)")</f>
        <v>2261</v>
      </c>
      <c r="I112" s="9" t="n">
        <f aca="false">SUMIFS('Source 2026'!$F:$F,'Source 2026'!$B:$B,$A112,'Source 2026'!$A:$A,"Amount (NIS)")+SUMIFS('Source 2026'!$H:$H,'Source 2026'!$B:$B,$A112,'Source 2026'!$A:$A,"Amount (NIS)")+SUMIFS('Source 2026'!$M:$M,'Source 2026'!$B:$B,$A112,'Source 2026'!$A:$A,"Amount (NIS)")+SUMIFS('Source 2026'!$N:$N,'Source 2026'!$B:$B,$A112,'Source 2026'!$A:$A,"Amount (NIS)")+SUMIFS('Source 2026'!$S:$S,'Source 2026'!$B:$B,$A112,'Source 2026'!$A:$A,"Amount (NIS)")+SUMIFS('Source 2026'!$U:$U,'Source 2026'!$B:$B,$A112,'Source 2026'!$A:$A,"Amount (NIS)")+SUMIFS('Source 2026'!$D:$D,'Source 2026'!$B:$B,$A112,'Source 2026'!$A:$A,"Amount (NIS)")+SUMIFS('Source 2026'!$E:$E,'Source 2026'!$B:$B,$A112,'Source 2026'!$A:$A,"Amount (NIS)")+SUMIFS('Source 2026'!$G:$G,'Source 2026'!$B:$B,$A112,'Source 2026'!$A:$A,"Amount (NIS)")</f>
        <v>450.5</v>
      </c>
      <c r="J112" s="9" t="n">
        <f aca="false">I112*$J$5</f>
        <v>569.052631578947</v>
      </c>
      <c r="K112" s="9" t="n">
        <f aca="false">J112-H112</f>
        <v>-1691.94736842105</v>
      </c>
      <c r="L112" s="11" t="n">
        <f aca="false">IF(AND(H112=0,J112=0),0,IF(H112=0,"New",(J112-H112)/H112))</f>
        <v>-0.748318163830629</v>
      </c>
    </row>
    <row r="113" customFormat="false" ht="15" hidden="false" customHeight="true" outlineLevel="0" collapsed="false">
      <c r="A113" s="8" t="s">
        <v>182</v>
      </c>
      <c r="B113" s="8" t="str">
        <f aca="false">IFERROR(INDEX('Source 2026'!$C:$C,MATCH($A113,'Source 2026'!$B:$B,0)),IFERROR(INDEX('Source 2025'!$C:$C,MATCH($A113,'Source 2025'!$B:$B,0)),""))</f>
        <v>3667 מגן בוניון</v>
      </c>
      <c r="C113" s="9" t="n">
        <f aca="false">SUMIFS('Source 2025'!$F:$F,'Source 2025'!$B:$B,$A113,'Source 2025'!$A:$A,"Quantity (units)")+SUMIFS('Source 2025'!$H:$H,'Source 2025'!$B:$B,$A113,'Source 2025'!$A:$A,"Quantity (units)")+SUMIFS('Source 2025'!$M:$M,'Source 2025'!$B:$B,$A113,'Source 2025'!$A:$A,"Quantity (units)")+SUMIFS('Source 2025'!$N:$N,'Source 2025'!$B:$B,$A113,'Source 2025'!$A:$A,"Quantity (units)")+SUMIFS('Source 2025'!$S:$S,'Source 2025'!$B:$B,$A113,'Source 2025'!$A:$A,"Quantity (units)")+SUMIFS('Source 2025'!$U:$U,'Source 2025'!$B:$B,$A113,'Source 2025'!$A:$A,"Quantity (units)")+SUMIFS('Source 2025'!$D:$D,'Source 2025'!$B:$B,$A113,'Source 2025'!$A:$A,"Quantity (units)")+SUMIFS('Source 2025'!$E:$E,'Source 2025'!$B:$B,$A113,'Source 2025'!$A:$A,"Quantity (units)")+SUMIFS('Source 2025'!$G:$G,'Source 2025'!$B:$B,$A113,'Source 2025'!$A:$A,"Quantity (units)")</f>
        <v>141</v>
      </c>
      <c r="D113" s="9" t="n">
        <f aca="false">SUMIFS('Source 2026'!$F:$F,'Source 2026'!$B:$B,$A113,'Source 2026'!$A:$A,"Quantity (units)")+SUMIFS('Source 2026'!$H:$H,'Source 2026'!$B:$B,$A113,'Source 2026'!$A:$A,"Quantity (units)")+SUMIFS('Source 2026'!$M:$M,'Source 2026'!$B:$B,$A113,'Source 2026'!$A:$A,"Quantity (units)")+SUMIFS('Source 2026'!$N:$N,'Source 2026'!$B:$B,$A113,'Source 2026'!$A:$A,"Quantity (units)")+SUMIFS('Source 2026'!$S:$S,'Source 2026'!$B:$B,$A113,'Source 2026'!$A:$A,"Quantity (units)")+SUMIFS('Source 2026'!$U:$U,'Source 2026'!$B:$B,$A113,'Source 2026'!$A:$A,"Quantity (units)")+SUMIFS('Source 2026'!$D:$D,'Source 2026'!$B:$B,$A113,'Source 2026'!$A:$A,"Quantity (units)")+SUMIFS('Source 2026'!$E:$E,'Source 2026'!$B:$B,$A113,'Source 2026'!$A:$A,"Quantity (units)")+SUMIFS('Source 2026'!$G:$G,'Source 2026'!$B:$B,$A113,'Source 2026'!$A:$A,"Quantity (units)")</f>
        <v>81</v>
      </c>
      <c r="E113" s="9" t="n">
        <f aca="false">D113*$J$5</f>
        <v>102.315789473684</v>
      </c>
      <c r="F113" s="9" t="n">
        <f aca="false">E113-C113</f>
        <v>-38.6842105263158</v>
      </c>
      <c r="G113" s="11" t="n">
        <f aca="false">IF(AND(C113=0,E113=0),0,IF(C113=0,"New",(E113-C113)/C113))</f>
        <v>-0.274356103023516</v>
      </c>
      <c r="H113" s="9" t="n">
        <f aca="false">SUMIFS('Source 2025'!$F:$F,'Source 2025'!$B:$B,$A113,'Source 2025'!$A:$A,"Amount (NIS)")+SUMIFS('Source 2025'!$H:$H,'Source 2025'!$B:$B,$A113,'Source 2025'!$A:$A,"Amount (NIS)")+SUMIFS('Source 2025'!$M:$M,'Source 2025'!$B:$B,$A113,'Source 2025'!$A:$A,"Amount (NIS)")+SUMIFS('Source 2025'!$N:$N,'Source 2025'!$B:$B,$A113,'Source 2025'!$A:$A,"Amount (NIS)")+SUMIFS('Source 2025'!$S:$S,'Source 2025'!$B:$B,$A113,'Source 2025'!$A:$A,"Amount (NIS)")+SUMIFS('Source 2025'!$U:$U,'Source 2025'!$B:$B,$A113,'Source 2025'!$A:$A,"Amount (NIS)")+SUMIFS('Source 2025'!$D:$D,'Source 2025'!$B:$B,$A113,'Source 2025'!$A:$A,"Amount (NIS)")+SUMIFS('Source 2025'!$E:$E,'Source 2025'!$B:$B,$A113,'Source 2025'!$A:$A,"Amount (NIS)")+SUMIFS('Source 2025'!$G:$G,'Source 2025'!$B:$B,$A113,'Source 2025'!$A:$A,"Amount (NIS)")</f>
        <v>4332.4</v>
      </c>
      <c r="I113" s="9" t="n">
        <f aca="false">SUMIFS('Source 2026'!$F:$F,'Source 2026'!$B:$B,$A113,'Source 2026'!$A:$A,"Amount (NIS)")+SUMIFS('Source 2026'!$H:$H,'Source 2026'!$B:$B,$A113,'Source 2026'!$A:$A,"Amount (NIS)")+SUMIFS('Source 2026'!$M:$M,'Source 2026'!$B:$B,$A113,'Source 2026'!$A:$A,"Amount (NIS)")+SUMIFS('Source 2026'!$N:$N,'Source 2026'!$B:$B,$A113,'Source 2026'!$A:$A,"Amount (NIS)")+SUMIFS('Source 2026'!$S:$S,'Source 2026'!$B:$B,$A113,'Source 2026'!$A:$A,"Amount (NIS)")+SUMIFS('Source 2026'!$U:$U,'Source 2026'!$B:$B,$A113,'Source 2026'!$A:$A,"Amount (NIS)")+SUMIFS('Source 2026'!$D:$D,'Source 2026'!$B:$B,$A113,'Source 2026'!$A:$A,"Amount (NIS)")+SUMIFS('Source 2026'!$E:$E,'Source 2026'!$B:$B,$A113,'Source 2026'!$A:$A,"Amount (NIS)")+SUMIFS('Source 2026'!$G:$G,'Source 2026'!$B:$B,$A113,'Source 2026'!$A:$A,"Amount (NIS)")</f>
        <v>2522.8</v>
      </c>
      <c r="J113" s="9" t="n">
        <f aca="false">I113*$J$5</f>
        <v>3186.69473684211</v>
      </c>
      <c r="K113" s="9" t="n">
        <f aca="false">J113-H113</f>
        <v>-1145.70526315789</v>
      </c>
      <c r="L113" s="11" t="n">
        <f aca="false">IF(AND(H113=0,J113=0),0,IF(H113=0,"New",(J113-H113)/H113))</f>
        <v>-0.264450480832309</v>
      </c>
    </row>
    <row r="114" customFormat="false" ht="15" hidden="false" customHeight="true" outlineLevel="0" collapsed="false">
      <c r="A114" s="8" t="s">
        <v>183</v>
      </c>
      <c r="B114" s="8" t="str">
        <f aca="false">IFERROR(INDEX('Source 2026'!$C:$C,MATCH($A114,'Source 2026'!$B:$B,0)),IFERROR(INDEX('Source 2025'!$C:$C,MATCH($A114,'Source 2025'!$B:$B,0)),""))</f>
        <v>S מגן שוק</v>
      </c>
      <c r="C114" s="9" t="n">
        <f aca="false">SUMIFS('Source 2025'!$F:$F,'Source 2025'!$B:$B,$A114,'Source 2025'!$A:$A,"Quantity (units)")+SUMIFS('Source 2025'!$H:$H,'Source 2025'!$B:$B,$A114,'Source 2025'!$A:$A,"Quantity (units)")+SUMIFS('Source 2025'!$M:$M,'Source 2025'!$B:$B,$A114,'Source 2025'!$A:$A,"Quantity (units)")+SUMIFS('Source 2025'!$N:$N,'Source 2025'!$B:$B,$A114,'Source 2025'!$A:$A,"Quantity (units)")+SUMIFS('Source 2025'!$S:$S,'Source 2025'!$B:$B,$A114,'Source 2025'!$A:$A,"Quantity (units)")+SUMIFS('Source 2025'!$U:$U,'Source 2025'!$B:$B,$A114,'Source 2025'!$A:$A,"Quantity (units)")+SUMIFS('Source 2025'!$D:$D,'Source 2025'!$B:$B,$A114,'Source 2025'!$A:$A,"Quantity (units)")+SUMIFS('Source 2025'!$E:$E,'Source 2025'!$B:$B,$A114,'Source 2025'!$A:$A,"Quantity (units)")+SUMIFS('Source 2025'!$G:$G,'Source 2025'!$B:$B,$A114,'Source 2025'!$A:$A,"Quantity (units)")</f>
        <v>7</v>
      </c>
      <c r="D114" s="9" t="n">
        <f aca="false">SUMIFS('Source 2026'!$F:$F,'Source 2026'!$B:$B,$A114,'Source 2026'!$A:$A,"Quantity (units)")+SUMIFS('Source 2026'!$H:$H,'Source 2026'!$B:$B,$A114,'Source 2026'!$A:$A,"Quantity (units)")+SUMIFS('Source 2026'!$M:$M,'Source 2026'!$B:$B,$A114,'Source 2026'!$A:$A,"Quantity (units)")+SUMIFS('Source 2026'!$N:$N,'Source 2026'!$B:$B,$A114,'Source 2026'!$A:$A,"Quantity (units)")+SUMIFS('Source 2026'!$S:$S,'Source 2026'!$B:$B,$A114,'Source 2026'!$A:$A,"Quantity (units)")+SUMIFS('Source 2026'!$U:$U,'Source 2026'!$B:$B,$A114,'Source 2026'!$A:$A,"Quantity (units)")+SUMIFS('Source 2026'!$D:$D,'Source 2026'!$B:$B,$A114,'Source 2026'!$A:$A,"Quantity (units)")+SUMIFS('Source 2026'!$E:$E,'Source 2026'!$B:$B,$A114,'Source 2026'!$A:$A,"Quantity (units)")+SUMIFS('Source 2026'!$G:$G,'Source 2026'!$B:$B,$A114,'Source 2026'!$A:$A,"Quantity (units)")</f>
        <v>17</v>
      </c>
      <c r="E114" s="9" t="n">
        <f aca="false">D114*$J$5</f>
        <v>21.4736842105263</v>
      </c>
      <c r="F114" s="9" t="n">
        <f aca="false">E114-C114</f>
        <v>14.4736842105263</v>
      </c>
      <c r="G114" s="11" t="n">
        <f aca="false">IF(AND(C114=0,E114=0),0,IF(C114=0,"New",(E114-C114)/C114))</f>
        <v>2.06766917293233</v>
      </c>
      <c r="H114" s="9" t="n">
        <f aca="false">SUMIFS('Source 2025'!$F:$F,'Source 2025'!$B:$B,$A114,'Source 2025'!$A:$A,"Amount (NIS)")+SUMIFS('Source 2025'!$H:$H,'Source 2025'!$B:$B,$A114,'Source 2025'!$A:$A,"Amount (NIS)")+SUMIFS('Source 2025'!$M:$M,'Source 2025'!$B:$B,$A114,'Source 2025'!$A:$A,"Amount (NIS)")+SUMIFS('Source 2025'!$N:$N,'Source 2025'!$B:$B,$A114,'Source 2025'!$A:$A,"Amount (NIS)")+SUMIFS('Source 2025'!$S:$S,'Source 2025'!$B:$B,$A114,'Source 2025'!$A:$A,"Amount (NIS)")+SUMIFS('Source 2025'!$U:$U,'Source 2025'!$B:$B,$A114,'Source 2025'!$A:$A,"Amount (NIS)")+SUMIFS('Source 2025'!$D:$D,'Source 2025'!$B:$B,$A114,'Source 2025'!$A:$A,"Amount (NIS)")+SUMIFS('Source 2025'!$E:$E,'Source 2025'!$B:$B,$A114,'Source 2025'!$A:$A,"Amount (NIS)")+SUMIFS('Source 2025'!$G:$G,'Source 2025'!$B:$B,$A114,'Source 2025'!$A:$A,"Amount (NIS)")</f>
        <v>1024.6</v>
      </c>
      <c r="I114" s="9" t="n">
        <f aca="false">SUMIFS('Source 2026'!$F:$F,'Source 2026'!$B:$B,$A114,'Source 2026'!$A:$A,"Amount (NIS)")+SUMIFS('Source 2026'!$H:$H,'Source 2026'!$B:$B,$A114,'Source 2026'!$A:$A,"Amount (NIS)")+SUMIFS('Source 2026'!$M:$M,'Source 2026'!$B:$B,$A114,'Source 2026'!$A:$A,"Amount (NIS)")+SUMIFS('Source 2026'!$N:$N,'Source 2026'!$B:$B,$A114,'Source 2026'!$A:$A,"Amount (NIS)")+SUMIFS('Source 2026'!$S:$S,'Source 2026'!$B:$B,$A114,'Source 2026'!$A:$A,"Amount (NIS)")+SUMIFS('Source 2026'!$U:$U,'Source 2026'!$B:$B,$A114,'Source 2026'!$A:$A,"Amount (NIS)")+SUMIFS('Source 2026'!$D:$D,'Source 2026'!$B:$B,$A114,'Source 2026'!$A:$A,"Amount (NIS)")+SUMIFS('Source 2026'!$E:$E,'Source 2026'!$B:$B,$A114,'Source 2026'!$A:$A,"Amount (NIS)")+SUMIFS('Source 2026'!$G:$G,'Source 2026'!$B:$B,$A114,'Source 2026'!$A:$A,"Amount (NIS)")</f>
        <v>2766.9</v>
      </c>
      <c r="J114" s="9" t="n">
        <f aca="false">I114*$J$5</f>
        <v>3495.03157894737</v>
      </c>
      <c r="K114" s="9" t="n">
        <f aca="false">J114-H114</f>
        <v>2470.43157894737</v>
      </c>
      <c r="L114" s="11" t="n">
        <f aca="false">IF(AND(H114=0,J114=0),0,IF(H114=0,"New",(J114-H114)/H114))</f>
        <v>2.41111807431912</v>
      </c>
    </row>
    <row r="115" customFormat="false" ht="15" hidden="false" customHeight="true" outlineLevel="0" collapsed="false">
      <c r="A115" s="8" t="s">
        <v>184</v>
      </c>
      <c r="B115" s="8" t="str">
        <f aca="false">IFERROR(INDEX('Source 2026'!$C:$C,MATCH($A115,'Source 2026'!$B:$B,0)),IFERROR(INDEX('Source 2025'!$C:$C,MATCH($A115,'Source 2025'!$B:$B,0)),""))</f>
        <v>S ח.גב סג. כפולה שחור+אדום</v>
      </c>
      <c r="C115" s="9" t="n">
        <f aca="false">SUMIFS('Source 2025'!$F:$F,'Source 2025'!$B:$B,$A115,'Source 2025'!$A:$A,"Quantity (units)")+SUMIFS('Source 2025'!$H:$H,'Source 2025'!$B:$B,$A115,'Source 2025'!$A:$A,"Quantity (units)")+SUMIFS('Source 2025'!$M:$M,'Source 2025'!$B:$B,$A115,'Source 2025'!$A:$A,"Quantity (units)")+SUMIFS('Source 2025'!$N:$N,'Source 2025'!$B:$B,$A115,'Source 2025'!$A:$A,"Quantity (units)")+SUMIFS('Source 2025'!$S:$S,'Source 2025'!$B:$B,$A115,'Source 2025'!$A:$A,"Quantity (units)")+SUMIFS('Source 2025'!$U:$U,'Source 2025'!$B:$B,$A115,'Source 2025'!$A:$A,"Quantity (units)")+SUMIFS('Source 2025'!$D:$D,'Source 2025'!$B:$B,$A115,'Source 2025'!$A:$A,"Quantity (units)")+SUMIFS('Source 2025'!$E:$E,'Source 2025'!$B:$B,$A115,'Source 2025'!$A:$A,"Quantity (units)")+SUMIFS('Source 2025'!$G:$G,'Source 2025'!$B:$B,$A115,'Source 2025'!$A:$A,"Quantity (units)")</f>
        <v>20</v>
      </c>
      <c r="D115" s="9" t="n">
        <f aca="false">SUMIFS('Source 2026'!$F:$F,'Source 2026'!$B:$B,$A115,'Source 2026'!$A:$A,"Quantity (units)")+SUMIFS('Source 2026'!$H:$H,'Source 2026'!$B:$B,$A115,'Source 2026'!$A:$A,"Quantity (units)")+SUMIFS('Source 2026'!$M:$M,'Source 2026'!$B:$B,$A115,'Source 2026'!$A:$A,"Quantity (units)")+SUMIFS('Source 2026'!$N:$N,'Source 2026'!$B:$B,$A115,'Source 2026'!$A:$A,"Quantity (units)")+SUMIFS('Source 2026'!$S:$S,'Source 2026'!$B:$B,$A115,'Source 2026'!$A:$A,"Quantity (units)")+SUMIFS('Source 2026'!$U:$U,'Source 2026'!$B:$B,$A115,'Source 2026'!$A:$A,"Quantity (units)")+SUMIFS('Source 2026'!$D:$D,'Source 2026'!$B:$B,$A115,'Source 2026'!$A:$A,"Quantity (units)")+SUMIFS('Source 2026'!$E:$E,'Source 2026'!$B:$B,$A115,'Source 2026'!$A:$A,"Quantity (units)")+SUMIFS('Source 2026'!$G:$G,'Source 2026'!$B:$B,$A115,'Source 2026'!$A:$A,"Quantity (units)")</f>
        <v>2</v>
      </c>
      <c r="E115" s="9" t="n">
        <f aca="false">D115*$J$5</f>
        <v>2.52631578947368</v>
      </c>
      <c r="F115" s="9" t="n">
        <f aca="false">E115-C115</f>
        <v>-17.4736842105263</v>
      </c>
      <c r="G115" s="11" t="n">
        <f aca="false">IF(AND(C115=0,E115=0),0,IF(C115=0,"New",(E115-C115)/C115))</f>
        <v>-0.873684210526316</v>
      </c>
      <c r="H115" s="9" t="n">
        <f aca="false">SUMIFS('Source 2025'!$F:$F,'Source 2025'!$B:$B,$A115,'Source 2025'!$A:$A,"Amount (NIS)")+SUMIFS('Source 2025'!$H:$H,'Source 2025'!$B:$B,$A115,'Source 2025'!$A:$A,"Amount (NIS)")+SUMIFS('Source 2025'!$M:$M,'Source 2025'!$B:$B,$A115,'Source 2025'!$A:$A,"Amount (NIS)")+SUMIFS('Source 2025'!$N:$N,'Source 2025'!$B:$B,$A115,'Source 2025'!$A:$A,"Amount (NIS)")+SUMIFS('Source 2025'!$S:$S,'Source 2025'!$B:$B,$A115,'Source 2025'!$A:$A,"Amount (NIS)")+SUMIFS('Source 2025'!$U:$U,'Source 2025'!$B:$B,$A115,'Source 2025'!$A:$A,"Amount (NIS)")+SUMIFS('Source 2025'!$D:$D,'Source 2025'!$B:$B,$A115,'Source 2025'!$A:$A,"Amount (NIS)")+SUMIFS('Source 2025'!$E:$E,'Source 2025'!$B:$B,$A115,'Source 2025'!$A:$A,"Amount (NIS)")+SUMIFS('Source 2025'!$G:$G,'Source 2025'!$B:$B,$A115,'Source 2025'!$A:$A,"Amount (NIS)")</f>
        <v>1915.9</v>
      </c>
      <c r="I115" s="9" t="n">
        <f aca="false">SUMIFS('Source 2026'!$F:$F,'Source 2026'!$B:$B,$A115,'Source 2026'!$A:$A,"Amount (NIS)")+SUMIFS('Source 2026'!$H:$H,'Source 2026'!$B:$B,$A115,'Source 2026'!$A:$A,"Amount (NIS)")+SUMIFS('Source 2026'!$M:$M,'Source 2026'!$B:$B,$A115,'Source 2026'!$A:$A,"Amount (NIS)")+SUMIFS('Source 2026'!$N:$N,'Source 2026'!$B:$B,$A115,'Source 2026'!$A:$A,"Amount (NIS)")+SUMIFS('Source 2026'!$S:$S,'Source 2026'!$B:$B,$A115,'Source 2026'!$A:$A,"Amount (NIS)")+SUMIFS('Source 2026'!$U:$U,'Source 2026'!$B:$B,$A115,'Source 2026'!$A:$A,"Amount (NIS)")+SUMIFS('Source 2026'!$D:$D,'Source 2026'!$B:$B,$A115,'Source 2026'!$A:$A,"Amount (NIS)")+SUMIFS('Source 2026'!$E:$E,'Source 2026'!$B:$B,$A115,'Source 2026'!$A:$A,"Amount (NIS)")+SUMIFS('Source 2026'!$G:$G,'Source 2026'!$B:$B,$A115,'Source 2026'!$A:$A,"Amount (NIS)")</f>
        <v>217.4</v>
      </c>
      <c r="J115" s="9" t="n">
        <f aca="false">I115*$J$5</f>
        <v>274.610526315789</v>
      </c>
      <c r="K115" s="9" t="n">
        <f aca="false">J115-H115</f>
        <v>-1641.28947368421</v>
      </c>
      <c r="L115" s="11" t="n">
        <f aca="false">IF(AND(H115=0,J115=0),0,IF(H115=0,"New",(J115-H115)/H115))</f>
        <v>-0.856667609835696</v>
      </c>
    </row>
    <row r="116" customFormat="false" ht="15" hidden="false" customHeight="true" outlineLevel="0" collapsed="false">
      <c r="A116" s="8" t="s">
        <v>185</v>
      </c>
      <c r="B116" s="8" t="str">
        <f aca="false">IFERROR(INDEX('Source 2026'!$C:$C,MATCH($A116,'Source 2026'!$B:$B,0)),IFERROR(INDEX('Source 2025'!$C:$C,MATCH($A116,'Source 2025'!$B:$B,0)),""))</f>
        <v>סד לאגודל</v>
      </c>
      <c r="C116" s="9" t="n">
        <f aca="false">SUMIFS('Source 2025'!$F:$F,'Source 2025'!$B:$B,$A116,'Source 2025'!$A:$A,"Quantity (units)")+SUMIFS('Source 2025'!$H:$H,'Source 2025'!$B:$B,$A116,'Source 2025'!$A:$A,"Quantity (units)")+SUMIFS('Source 2025'!$M:$M,'Source 2025'!$B:$B,$A116,'Source 2025'!$A:$A,"Quantity (units)")+SUMIFS('Source 2025'!$N:$N,'Source 2025'!$B:$B,$A116,'Source 2025'!$A:$A,"Quantity (units)")+SUMIFS('Source 2025'!$S:$S,'Source 2025'!$B:$B,$A116,'Source 2025'!$A:$A,"Quantity (units)")+SUMIFS('Source 2025'!$U:$U,'Source 2025'!$B:$B,$A116,'Source 2025'!$A:$A,"Quantity (units)")+SUMIFS('Source 2025'!$D:$D,'Source 2025'!$B:$B,$A116,'Source 2025'!$A:$A,"Quantity (units)")+SUMIFS('Source 2025'!$E:$E,'Source 2025'!$B:$B,$A116,'Source 2025'!$A:$A,"Quantity (units)")+SUMIFS('Source 2025'!$G:$G,'Source 2025'!$B:$B,$A116,'Source 2025'!$A:$A,"Quantity (units)")</f>
        <v>120</v>
      </c>
      <c r="D116" s="9" t="n">
        <f aca="false">SUMIFS('Source 2026'!$F:$F,'Source 2026'!$B:$B,$A116,'Source 2026'!$A:$A,"Quantity (units)")+SUMIFS('Source 2026'!$H:$H,'Source 2026'!$B:$B,$A116,'Source 2026'!$A:$A,"Quantity (units)")+SUMIFS('Source 2026'!$M:$M,'Source 2026'!$B:$B,$A116,'Source 2026'!$A:$A,"Quantity (units)")+SUMIFS('Source 2026'!$N:$N,'Source 2026'!$B:$B,$A116,'Source 2026'!$A:$A,"Quantity (units)")+SUMIFS('Source 2026'!$S:$S,'Source 2026'!$B:$B,$A116,'Source 2026'!$A:$A,"Quantity (units)")+SUMIFS('Source 2026'!$U:$U,'Source 2026'!$B:$B,$A116,'Source 2026'!$A:$A,"Quantity (units)")+SUMIFS('Source 2026'!$D:$D,'Source 2026'!$B:$B,$A116,'Source 2026'!$A:$A,"Quantity (units)")+SUMIFS('Source 2026'!$E:$E,'Source 2026'!$B:$B,$A116,'Source 2026'!$A:$A,"Quantity (units)")+SUMIFS('Source 2026'!$G:$G,'Source 2026'!$B:$B,$A116,'Source 2026'!$A:$A,"Quantity (units)")</f>
        <v>105</v>
      </c>
      <c r="E116" s="9" t="n">
        <f aca="false">D116*$J$5</f>
        <v>132.631578947368</v>
      </c>
      <c r="F116" s="9" t="n">
        <f aca="false">E116-C116</f>
        <v>12.6315789473684</v>
      </c>
      <c r="G116" s="11" t="n">
        <f aca="false">IF(AND(C116=0,E116=0),0,IF(C116=0,"New",(E116-C116)/C116))</f>
        <v>0.105263157894737</v>
      </c>
      <c r="H116" s="9" t="n">
        <f aca="false">SUMIFS('Source 2025'!$F:$F,'Source 2025'!$B:$B,$A116,'Source 2025'!$A:$A,"Amount (NIS)")+SUMIFS('Source 2025'!$H:$H,'Source 2025'!$B:$B,$A116,'Source 2025'!$A:$A,"Amount (NIS)")+SUMIFS('Source 2025'!$M:$M,'Source 2025'!$B:$B,$A116,'Source 2025'!$A:$A,"Amount (NIS)")+SUMIFS('Source 2025'!$N:$N,'Source 2025'!$B:$B,$A116,'Source 2025'!$A:$A,"Amount (NIS)")+SUMIFS('Source 2025'!$S:$S,'Source 2025'!$B:$B,$A116,'Source 2025'!$A:$A,"Amount (NIS)")+SUMIFS('Source 2025'!$U:$U,'Source 2025'!$B:$B,$A116,'Source 2025'!$A:$A,"Amount (NIS)")+SUMIFS('Source 2025'!$D:$D,'Source 2025'!$B:$B,$A116,'Source 2025'!$A:$A,"Amount (NIS)")+SUMIFS('Source 2025'!$E:$E,'Source 2025'!$B:$B,$A116,'Source 2025'!$A:$A,"Amount (NIS)")+SUMIFS('Source 2025'!$G:$G,'Source 2025'!$B:$B,$A116,'Source 2025'!$A:$A,"Amount (NIS)")</f>
        <v>13916.1</v>
      </c>
      <c r="I116" s="9" t="n">
        <f aca="false">SUMIFS('Source 2026'!$F:$F,'Source 2026'!$B:$B,$A116,'Source 2026'!$A:$A,"Amount (NIS)")+SUMIFS('Source 2026'!$H:$H,'Source 2026'!$B:$B,$A116,'Source 2026'!$A:$A,"Amount (NIS)")+SUMIFS('Source 2026'!$M:$M,'Source 2026'!$B:$B,$A116,'Source 2026'!$A:$A,"Amount (NIS)")+SUMIFS('Source 2026'!$N:$N,'Source 2026'!$B:$B,$A116,'Source 2026'!$A:$A,"Amount (NIS)")+SUMIFS('Source 2026'!$S:$S,'Source 2026'!$B:$B,$A116,'Source 2026'!$A:$A,"Amount (NIS)")+SUMIFS('Source 2026'!$U:$U,'Source 2026'!$B:$B,$A116,'Source 2026'!$A:$A,"Amount (NIS)")+SUMIFS('Source 2026'!$D:$D,'Source 2026'!$B:$B,$A116,'Source 2026'!$A:$A,"Amount (NIS)")+SUMIFS('Source 2026'!$E:$E,'Source 2026'!$B:$B,$A116,'Source 2026'!$A:$A,"Amount (NIS)")+SUMIFS('Source 2026'!$G:$G,'Source 2026'!$B:$B,$A116,'Source 2026'!$A:$A,"Amount (NIS)")</f>
        <v>12242</v>
      </c>
      <c r="J116" s="9" t="n">
        <f aca="false">I116*$J$5</f>
        <v>15463.5789473684</v>
      </c>
      <c r="K116" s="9" t="n">
        <f aca="false">J116-H116</f>
        <v>1547.47894736842</v>
      </c>
      <c r="L116" s="11" t="n">
        <f aca="false">IF(AND(H116=0,J116=0),0,IF(H116=0,"New",(J116-H116)/H116))</f>
        <v>0.111200619955909</v>
      </c>
    </row>
    <row r="117" customFormat="false" ht="15" hidden="false" customHeight="true" outlineLevel="0" collapsed="false">
      <c r="A117" s="8" t="s">
        <v>186</v>
      </c>
      <c r="B117" s="8" t="str">
        <f aca="false">IFERROR(INDEX('Source 2026'!$C:$C,MATCH($A117,'Source 2026'!$B:$B,0)),IFERROR(INDEX('Source 2025'!$C:$C,MATCH($A117,'Source 2025'!$B:$B,0)),""))</f>
        <v>שרוול מגן לבוניון</v>
      </c>
      <c r="C117" s="9" t="n">
        <f aca="false">SUMIFS('Source 2025'!$F:$F,'Source 2025'!$B:$B,$A117,'Source 2025'!$A:$A,"Quantity (units)")+SUMIFS('Source 2025'!$H:$H,'Source 2025'!$B:$B,$A117,'Source 2025'!$A:$A,"Quantity (units)")+SUMIFS('Source 2025'!$M:$M,'Source 2025'!$B:$B,$A117,'Source 2025'!$A:$A,"Quantity (units)")+SUMIFS('Source 2025'!$N:$N,'Source 2025'!$B:$B,$A117,'Source 2025'!$A:$A,"Quantity (units)")+SUMIFS('Source 2025'!$S:$S,'Source 2025'!$B:$B,$A117,'Source 2025'!$A:$A,"Quantity (units)")+SUMIFS('Source 2025'!$U:$U,'Source 2025'!$B:$B,$A117,'Source 2025'!$A:$A,"Quantity (units)")+SUMIFS('Source 2025'!$D:$D,'Source 2025'!$B:$B,$A117,'Source 2025'!$A:$A,"Quantity (units)")+SUMIFS('Source 2025'!$E:$E,'Source 2025'!$B:$B,$A117,'Source 2025'!$A:$A,"Quantity (units)")+SUMIFS('Source 2025'!$G:$G,'Source 2025'!$B:$B,$A117,'Source 2025'!$A:$A,"Quantity (units)")</f>
        <v>127</v>
      </c>
      <c r="D117" s="9" t="n">
        <f aca="false">SUMIFS('Source 2026'!$F:$F,'Source 2026'!$B:$B,$A117,'Source 2026'!$A:$A,"Quantity (units)")+SUMIFS('Source 2026'!$H:$H,'Source 2026'!$B:$B,$A117,'Source 2026'!$A:$A,"Quantity (units)")+SUMIFS('Source 2026'!$M:$M,'Source 2026'!$B:$B,$A117,'Source 2026'!$A:$A,"Quantity (units)")+SUMIFS('Source 2026'!$N:$N,'Source 2026'!$B:$B,$A117,'Source 2026'!$A:$A,"Quantity (units)")+SUMIFS('Source 2026'!$S:$S,'Source 2026'!$B:$B,$A117,'Source 2026'!$A:$A,"Quantity (units)")+SUMIFS('Source 2026'!$U:$U,'Source 2026'!$B:$B,$A117,'Source 2026'!$A:$A,"Quantity (units)")+SUMIFS('Source 2026'!$D:$D,'Source 2026'!$B:$B,$A117,'Source 2026'!$A:$A,"Quantity (units)")+SUMIFS('Source 2026'!$E:$E,'Source 2026'!$B:$B,$A117,'Source 2026'!$A:$A,"Quantity (units)")+SUMIFS('Source 2026'!$G:$G,'Source 2026'!$B:$B,$A117,'Source 2026'!$A:$A,"Quantity (units)")</f>
        <v>77</v>
      </c>
      <c r="E117" s="9" t="n">
        <f aca="false">D117*$J$5</f>
        <v>97.2631578947368</v>
      </c>
      <c r="F117" s="9" t="n">
        <f aca="false">E117-C117</f>
        <v>-29.7368421052632</v>
      </c>
      <c r="G117" s="11" t="n">
        <f aca="false">IF(AND(C117=0,E117=0),0,IF(C117=0,"New",(E117-C117)/C117))</f>
        <v>-0.234148363033568</v>
      </c>
      <c r="H117" s="9" t="n">
        <f aca="false">SUMIFS('Source 2025'!$F:$F,'Source 2025'!$B:$B,$A117,'Source 2025'!$A:$A,"Amount (NIS)")+SUMIFS('Source 2025'!$H:$H,'Source 2025'!$B:$B,$A117,'Source 2025'!$A:$A,"Amount (NIS)")+SUMIFS('Source 2025'!$M:$M,'Source 2025'!$B:$B,$A117,'Source 2025'!$A:$A,"Amount (NIS)")+SUMIFS('Source 2025'!$N:$N,'Source 2025'!$B:$B,$A117,'Source 2025'!$A:$A,"Amount (NIS)")+SUMIFS('Source 2025'!$S:$S,'Source 2025'!$B:$B,$A117,'Source 2025'!$A:$A,"Amount (NIS)")+SUMIFS('Source 2025'!$U:$U,'Source 2025'!$B:$B,$A117,'Source 2025'!$A:$A,"Amount (NIS)")+SUMIFS('Source 2025'!$D:$D,'Source 2025'!$B:$B,$A117,'Source 2025'!$A:$A,"Amount (NIS)")+SUMIFS('Source 2025'!$E:$E,'Source 2025'!$B:$B,$A117,'Source 2025'!$A:$A,"Amount (NIS)")+SUMIFS('Source 2025'!$G:$G,'Source 2025'!$B:$B,$A117,'Source 2025'!$A:$A,"Amount (NIS)")</f>
        <v>4418.7</v>
      </c>
      <c r="I117" s="9" t="n">
        <f aca="false">SUMIFS('Source 2026'!$F:$F,'Source 2026'!$B:$B,$A117,'Source 2026'!$A:$A,"Amount (NIS)")+SUMIFS('Source 2026'!$H:$H,'Source 2026'!$B:$B,$A117,'Source 2026'!$A:$A,"Amount (NIS)")+SUMIFS('Source 2026'!$M:$M,'Source 2026'!$B:$B,$A117,'Source 2026'!$A:$A,"Amount (NIS)")+SUMIFS('Source 2026'!$N:$N,'Source 2026'!$B:$B,$A117,'Source 2026'!$A:$A,"Amount (NIS)")+SUMIFS('Source 2026'!$S:$S,'Source 2026'!$B:$B,$A117,'Source 2026'!$A:$A,"Amount (NIS)")+SUMIFS('Source 2026'!$U:$U,'Source 2026'!$B:$B,$A117,'Source 2026'!$A:$A,"Amount (NIS)")+SUMIFS('Source 2026'!$D:$D,'Source 2026'!$B:$B,$A117,'Source 2026'!$A:$A,"Amount (NIS)")+SUMIFS('Source 2026'!$E:$E,'Source 2026'!$B:$B,$A117,'Source 2026'!$A:$A,"Amount (NIS)")+SUMIFS('Source 2026'!$G:$G,'Source 2026'!$B:$B,$A117,'Source 2026'!$A:$A,"Amount (NIS)")</f>
        <v>2765</v>
      </c>
      <c r="J117" s="9" t="n">
        <f aca="false">I117*$J$5</f>
        <v>3492.63157894737</v>
      </c>
      <c r="K117" s="9" t="n">
        <f aca="false">J117-H117</f>
        <v>-926.068421052632</v>
      </c>
      <c r="L117" s="11" t="n">
        <f aca="false">IF(AND(H117=0,J117=0),0,IF(H117=0,"New",(J117-H117)/H117))</f>
        <v>-0.209579383314692</v>
      </c>
    </row>
    <row r="118" customFormat="false" ht="15" hidden="false" customHeight="true" outlineLevel="0" collapsed="false">
      <c r="A118" s="8" t="s">
        <v>187</v>
      </c>
      <c r="B118" s="8" t="str">
        <f aca="false">IFERROR(INDEX('Source 2026'!$C:$C,MATCH($A118,'Source 2026'!$B:$B,0)),IFERROR(INDEX('Source 2025'!$C:$C,MATCH($A118,'Source 2025'!$B:$B,0)),""))</f>
        <v>S מגן ברך מחמם</v>
      </c>
      <c r="C118" s="9" t="n">
        <f aca="false">SUMIFS('Source 2025'!$F:$F,'Source 2025'!$B:$B,$A118,'Source 2025'!$A:$A,"Quantity (units)")+SUMIFS('Source 2025'!$H:$H,'Source 2025'!$B:$B,$A118,'Source 2025'!$A:$A,"Quantity (units)")+SUMIFS('Source 2025'!$M:$M,'Source 2025'!$B:$B,$A118,'Source 2025'!$A:$A,"Quantity (units)")+SUMIFS('Source 2025'!$N:$N,'Source 2025'!$B:$B,$A118,'Source 2025'!$A:$A,"Quantity (units)")+SUMIFS('Source 2025'!$S:$S,'Source 2025'!$B:$B,$A118,'Source 2025'!$A:$A,"Quantity (units)")+SUMIFS('Source 2025'!$U:$U,'Source 2025'!$B:$B,$A118,'Source 2025'!$A:$A,"Quantity (units)")+SUMIFS('Source 2025'!$D:$D,'Source 2025'!$B:$B,$A118,'Source 2025'!$A:$A,"Quantity (units)")+SUMIFS('Source 2025'!$E:$E,'Source 2025'!$B:$B,$A118,'Source 2025'!$A:$A,"Quantity (units)")+SUMIFS('Source 2025'!$G:$G,'Source 2025'!$B:$B,$A118,'Source 2025'!$A:$A,"Quantity (units)")</f>
        <v>36</v>
      </c>
      <c r="D118" s="9" t="n">
        <f aca="false">SUMIFS('Source 2026'!$F:$F,'Source 2026'!$B:$B,$A118,'Source 2026'!$A:$A,"Quantity (units)")+SUMIFS('Source 2026'!$H:$H,'Source 2026'!$B:$B,$A118,'Source 2026'!$A:$A,"Quantity (units)")+SUMIFS('Source 2026'!$M:$M,'Source 2026'!$B:$B,$A118,'Source 2026'!$A:$A,"Quantity (units)")+SUMIFS('Source 2026'!$N:$N,'Source 2026'!$B:$B,$A118,'Source 2026'!$A:$A,"Quantity (units)")+SUMIFS('Source 2026'!$S:$S,'Source 2026'!$B:$B,$A118,'Source 2026'!$A:$A,"Quantity (units)")+SUMIFS('Source 2026'!$U:$U,'Source 2026'!$B:$B,$A118,'Source 2026'!$A:$A,"Quantity (units)")+SUMIFS('Source 2026'!$D:$D,'Source 2026'!$B:$B,$A118,'Source 2026'!$A:$A,"Quantity (units)")+SUMIFS('Source 2026'!$E:$E,'Source 2026'!$B:$B,$A118,'Source 2026'!$A:$A,"Quantity (units)")+SUMIFS('Source 2026'!$G:$G,'Source 2026'!$B:$B,$A118,'Source 2026'!$A:$A,"Quantity (units)")</f>
        <v>7</v>
      </c>
      <c r="E118" s="9" t="n">
        <f aca="false">D118*$J$5</f>
        <v>8.84210526315789</v>
      </c>
      <c r="F118" s="9" t="n">
        <f aca="false">E118-C118</f>
        <v>-27.1578947368421</v>
      </c>
      <c r="G118" s="11" t="n">
        <f aca="false">IF(AND(C118=0,E118=0),0,IF(C118=0,"New",(E118-C118)/C118))</f>
        <v>-0.754385964912281</v>
      </c>
      <c r="H118" s="9" t="n">
        <f aca="false">SUMIFS('Source 2025'!$F:$F,'Source 2025'!$B:$B,$A118,'Source 2025'!$A:$A,"Amount (NIS)")+SUMIFS('Source 2025'!$H:$H,'Source 2025'!$B:$B,$A118,'Source 2025'!$A:$A,"Amount (NIS)")+SUMIFS('Source 2025'!$M:$M,'Source 2025'!$B:$B,$A118,'Source 2025'!$A:$A,"Amount (NIS)")+SUMIFS('Source 2025'!$N:$N,'Source 2025'!$B:$B,$A118,'Source 2025'!$A:$A,"Amount (NIS)")+SUMIFS('Source 2025'!$S:$S,'Source 2025'!$B:$B,$A118,'Source 2025'!$A:$A,"Amount (NIS)")+SUMIFS('Source 2025'!$U:$U,'Source 2025'!$B:$B,$A118,'Source 2025'!$A:$A,"Amount (NIS)")+SUMIFS('Source 2025'!$D:$D,'Source 2025'!$B:$B,$A118,'Source 2025'!$A:$A,"Amount (NIS)")+SUMIFS('Source 2025'!$E:$E,'Source 2025'!$B:$B,$A118,'Source 2025'!$A:$A,"Amount (NIS)")+SUMIFS('Source 2025'!$G:$G,'Source 2025'!$B:$B,$A118,'Source 2025'!$A:$A,"Amount (NIS)")</f>
        <v>1987.3</v>
      </c>
      <c r="I118" s="9" t="n">
        <f aca="false">SUMIFS('Source 2026'!$F:$F,'Source 2026'!$B:$B,$A118,'Source 2026'!$A:$A,"Amount (NIS)")+SUMIFS('Source 2026'!$H:$H,'Source 2026'!$B:$B,$A118,'Source 2026'!$A:$A,"Amount (NIS)")+SUMIFS('Source 2026'!$M:$M,'Source 2026'!$B:$B,$A118,'Source 2026'!$A:$A,"Amount (NIS)")+SUMIFS('Source 2026'!$N:$N,'Source 2026'!$B:$B,$A118,'Source 2026'!$A:$A,"Amount (NIS)")+SUMIFS('Source 2026'!$S:$S,'Source 2026'!$B:$B,$A118,'Source 2026'!$A:$A,"Amount (NIS)")+SUMIFS('Source 2026'!$U:$U,'Source 2026'!$B:$B,$A118,'Source 2026'!$A:$A,"Amount (NIS)")+SUMIFS('Source 2026'!$D:$D,'Source 2026'!$B:$B,$A118,'Source 2026'!$A:$A,"Amount (NIS)")+SUMIFS('Source 2026'!$E:$E,'Source 2026'!$B:$B,$A118,'Source 2026'!$A:$A,"Amount (NIS)")+SUMIFS('Source 2026'!$G:$G,'Source 2026'!$B:$B,$A118,'Source 2026'!$A:$A,"Amount (NIS)")</f>
        <v>396.7</v>
      </c>
      <c r="J118" s="9" t="n">
        <f aca="false">I118*$J$5</f>
        <v>501.094736842105</v>
      </c>
      <c r="K118" s="9" t="n">
        <f aca="false">J118-H118</f>
        <v>-1486.20526315789</v>
      </c>
      <c r="L118" s="11" t="n">
        <f aca="false">IF(AND(H118=0,J118=0),0,IF(H118=0,"New",(J118-H118)/H118))</f>
        <v>-0.74785148853112</v>
      </c>
    </row>
    <row r="119" customFormat="false" ht="15" hidden="false" customHeight="true" outlineLevel="0" collapsed="false">
      <c r="A119" s="8" t="s">
        <v>188</v>
      </c>
      <c r="B119" s="8" t="str">
        <f aca="false">IFERROR(INDEX('Source 2026'!$C:$C,MATCH($A119,'Source 2026'!$B:$B,0)),IFERROR(INDEX('Source 2025'!$C:$C,MATCH($A119,'Source 2025'!$B:$B,0)),""))</f>
        <v>מגן קרסול עקב סגור+רצוע</v>
      </c>
      <c r="C119" s="9" t="n">
        <f aca="false">SUMIFS('Source 2025'!$F:$F,'Source 2025'!$B:$B,$A119,'Source 2025'!$A:$A,"Quantity (units)")+SUMIFS('Source 2025'!$H:$H,'Source 2025'!$B:$B,$A119,'Source 2025'!$A:$A,"Quantity (units)")+SUMIFS('Source 2025'!$M:$M,'Source 2025'!$B:$B,$A119,'Source 2025'!$A:$A,"Quantity (units)")+SUMIFS('Source 2025'!$N:$N,'Source 2025'!$B:$B,$A119,'Source 2025'!$A:$A,"Quantity (units)")+SUMIFS('Source 2025'!$S:$S,'Source 2025'!$B:$B,$A119,'Source 2025'!$A:$A,"Quantity (units)")+SUMIFS('Source 2025'!$U:$U,'Source 2025'!$B:$B,$A119,'Source 2025'!$A:$A,"Quantity (units)")+SUMIFS('Source 2025'!$D:$D,'Source 2025'!$B:$B,$A119,'Source 2025'!$A:$A,"Quantity (units)")+SUMIFS('Source 2025'!$E:$E,'Source 2025'!$B:$B,$A119,'Source 2025'!$A:$A,"Quantity (units)")+SUMIFS('Source 2025'!$G:$G,'Source 2025'!$B:$B,$A119,'Source 2025'!$A:$A,"Quantity (units)")</f>
        <v>46</v>
      </c>
      <c r="D119" s="9" t="n">
        <f aca="false">SUMIFS('Source 2026'!$F:$F,'Source 2026'!$B:$B,$A119,'Source 2026'!$A:$A,"Quantity (units)")+SUMIFS('Source 2026'!$H:$H,'Source 2026'!$B:$B,$A119,'Source 2026'!$A:$A,"Quantity (units)")+SUMIFS('Source 2026'!$M:$M,'Source 2026'!$B:$B,$A119,'Source 2026'!$A:$A,"Quantity (units)")+SUMIFS('Source 2026'!$N:$N,'Source 2026'!$B:$B,$A119,'Source 2026'!$A:$A,"Quantity (units)")+SUMIFS('Source 2026'!$S:$S,'Source 2026'!$B:$B,$A119,'Source 2026'!$A:$A,"Quantity (units)")+SUMIFS('Source 2026'!$U:$U,'Source 2026'!$B:$B,$A119,'Source 2026'!$A:$A,"Quantity (units)")+SUMIFS('Source 2026'!$D:$D,'Source 2026'!$B:$B,$A119,'Source 2026'!$A:$A,"Quantity (units)")+SUMIFS('Source 2026'!$E:$E,'Source 2026'!$B:$B,$A119,'Source 2026'!$A:$A,"Quantity (units)")+SUMIFS('Source 2026'!$G:$G,'Source 2026'!$B:$B,$A119,'Source 2026'!$A:$A,"Quantity (units)")</f>
        <v>24</v>
      </c>
      <c r="E119" s="9" t="n">
        <f aca="false">D119*$J$5</f>
        <v>30.3157894736842</v>
      </c>
      <c r="F119" s="9" t="n">
        <f aca="false">E119-C119</f>
        <v>-15.6842105263158</v>
      </c>
      <c r="G119" s="11" t="n">
        <f aca="false">IF(AND(C119=0,E119=0),0,IF(C119=0,"New",(E119-C119)/C119))</f>
        <v>-0.340961098398169</v>
      </c>
      <c r="H119" s="9" t="n">
        <f aca="false">SUMIFS('Source 2025'!$F:$F,'Source 2025'!$B:$B,$A119,'Source 2025'!$A:$A,"Amount (NIS)")+SUMIFS('Source 2025'!$H:$H,'Source 2025'!$B:$B,$A119,'Source 2025'!$A:$A,"Amount (NIS)")+SUMIFS('Source 2025'!$M:$M,'Source 2025'!$B:$B,$A119,'Source 2025'!$A:$A,"Amount (NIS)")+SUMIFS('Source 2025'!$N:$N,'Source 2025'!$B:$B,$A119,'Source 2025'!$A:$A,"Amount (NIS)")+SUMIFS('Source 2025'!$S:$S,'Source 2025'!$B:$B,$A119,'Source 2025'!$A:$A,"Amount (NIS)")+SUMIFS('Source 2025'!$U:$U,'Source 2025'!$B:$B,$A119,'Source 2025'!$A:$A,"Amount (NIS)")+SUMIFS('Source 2025'!$D:$D,'Source 2025'!$B:$B,$A119,'Source 2025'!$A:$A,"Amount (NIS)")+SUMIFS('Source 2025'!$E:$E,'Source 2025'!$B:$B,$A119,'Source 2025'!$A:$A,"Amount (NIS)")+SUMIFS('Source 2025'!$G:$G,'Source 2025'!$B:$B,$A119,'Source 2025'!$A:$A,"Amount (NIS)")</f>
        <v>3106.1</v>
      </c>
      <c r="I119" s="9" t="n">
        <f aca="false">SUMIFS('Source 2026'!$F:$F,'Source 2026'!$B:$B,$A119,'Source 2026'!$A:$A,"Amount (NIS)")+SUMIFS('Source 2026'!$H:$H,'Source 2026'!$B:$B,$A119,'Source 2026'!$A:$A,"Amount (NIS)")+SUMIFS('Source 2026'!$M:$M,'Source 2026'!$B:$B,$A119,'Source 2026'!$A:$A,"Amount (NIS)")+SUMIFS('Source 2026'!$N:$N,'Source 2026'!$B:$B,$A119,'Source 2026'!$A:$A,"Amount (NIS)")+SUMIFS('Source 2026'!$S:$S,'Source 2026'!$B:$B,$A119,'Source 2026'!$A:$A,"Amount (NIS)")+SUMIFS('Source 2026'!$U:$U,'Source 2026'!$B:$B,$A119,'Source 2026'!$A:$A,"Amount (NIS)")+SUMIFS('Source 2026'!$D:$D,'Source 2026'!$B:$B,$A119,'Source 2026'!$A:$A,"Amount (NIS)")+SUMIFS('Source 2026'!$E:$E,'Source 2026'!$B:$B,$A119,'Source 2026'!$A:$A,"Amount (NIS)")+SUMIFS('Source 2026'!$G:$G,'Source 2026'!$B:$B,$A119,'Source 2026'!$A:$A,"Amount (NIS)")</f>
        <v>1601.9</v>
      </c>
      <c r="J119" s="9" t="n">
        <f aca="false">I119*$J$5</f>
        <v>2023.45263157895</v>
      </c>
      <c r="K119" s="9" t="n">
        <f aca="false">J119-H119</f>
        <v>-1082.64736842105</v>
      </c>
      <c r="L119" s="11" t="n">
        <f aca="false">IF(AND(H119=0,J119=0),0,IF(H119=0,"New",(J119-H119)/H119))</f>
        <v>-0.348555219864477</v>
      </c>
    </row>
    <row r="120" customFormat="false" ht="15" hidden="false" customHeight="true" outlineLevel="0" collapsed="false">
      <c r="A120" s="8" t="s">
        <v>189</v>
      </c>
      <c r="B120" s="8" t="str">
        <f aca="false">IFERROR(INDEX('Source 2026'!$C:$C,MATCH($A120,'Source 2026'!$B:$B,0)),IFERROR(INDEX('Source 2025'!$C:$C,MATCH($A120,'Source 2025'!$B:$B,0)),""))</f>
        <v>חגורת גב +סגירה כפולה</v>
      </c>
      <c r="C120" s="9" t="n">
        <f aca="false">SUMIFS('Source 2025'!$F:$F,'Source 2025'!$B:$B,$A120,'Source 2025'!$A:$A,"Quantity (units)")+SUMIFS('Source 2025'!$H:$H,'Source 2025'!$B:$B,$A120,'Source 2025'!$A:$A,"Quantity (units)")+SUMIFS('Source 2025'!$M:$M,'Source 2025'!$B:$B,$A120,'Source 2025'!$A:$A,"Quantity (units)")+SUMIFS('Source 2025'!$N:$N,'Source 2025'!$B:$B,$A120,'Source 2025'!$A:$A,"Quantity (units)")+SUMIFS('Source 2025'!$S:$S,'Source 2025'!$B:$B,$A120,'Source 2025'!$A:$A,"Quantity (units)")+SUMIFS('Source 2025'!$U:$U,'Source 2025'!$B:$B,$A120,'Source 2025'!$A:$A,"Quantity (units)")+SUMIFS('Source 2025'!$D:$D,'Source 2025'!$B:$B,$A120,'Source 2025'!$A:$A,"Quantity (units)")+SUMIFS('Source 2025'!$E:$E,'Source 2025'!$B:$B,$A120,'Source 2025'!$A:$A,"Quantity (units)")+SUMIFS('Source 2025'!$G:$G,'Source 2025'!$B:$B,$A120,'Source 2025'!$A:$A,"Quantity (units)")</f>
        <v>21</v>
      </c>
      <c r="D120" s="9" t="n">
        <f aca="false">SUMIFS('Source 2026'!$F:$F,'Source 2026'!$B:$B,$A120,'Source 2026'!$A:$A,"Quantity (units)")+SUMIFS('Source 2026'!$H:$H,'Source 2026'!$B:$B,$A120,'Source 2026'!$A:$A,"Quantity (units)")+SUMIFS('Source 2026'!$M:$M,'Source 2026'!$B:$B,$A120,'Source 2026'!$A:$A,"Quantity (units)")+SUMIFS('Source 2026'!$N:$N,'Source 2026'!$B:$B,$A120,'Source 2026'!$A:$A,"Quantity (units)")+SUMIFS('Source 2026'!$S:$S,'Source 2026'!$B:$B,$A120,'Source 2026'!$A:$A,"Quantity (units)")+SUMIFS('Source 2026'!$U:$U,'Source 2026'!$B:$B,$A120,'Source 2026'!$A:$A,"Quantity (units)")+SUMIFS('Source 2026'!$D:$D,'Source 2026'!$B:$B,$A120,'Source 2026'!$A:$A,"Quantity (units)")+SUMIFS('Source 2026'!$E:$E,'Source 2026'!$B:$B,$A120,'Source 2026'!$A:$A,"Quantity (units)")+SUMIFS('Source 2026'!$G:$G,'Source 2026'!$B:$B,$A120,'Source 2026'!$A:$A,"Quantity (units)")</f>
        <v>8</v>
      </c>
      <c r="E120" s="9" t="n">
        <f aca="false">D120*$J$5</f>
        <v>10.1052631578947</v>
      </c>
      <c r="F120" s="9" t="n">
        <f aca="false">E120-C120</f>
        <v>-10.8947368421053</v>
      </c>
      <c r="G120" s="11" t="n">
        <f aca="false">IF(AND(C120=0,E120=0),0,IF(C120=0,"New",(E120-C120)/C120))</f>
        <v>-0.518796992481203</v>
      </c>
      <c r="H120" s="9" t="n">
        <f aca="false">SUMIFS('Source 2025'!$F:$F,'Source 2025'!$B:$B,$A120,'Source 2025'!$A:$A,"Amount (NIS)")+SUMIFS('Source 2025'!$H:$H,'Source 2025'!$B:$B,$A120,'Source 2025'!$A:$A,"Amount (NIS)")+SUMIFS('Source 2025'!$M:$M,'Source 2025'!$B:$B,$A120,'Source 2025'!$A:$A,"Amount (NIS)")+SUMIFS('Source 2025'!$N:$N,'Source 2025'!$B:$B,$A120,'Source 2025'!$A:$A,"Amount (NIS)")+SUMIFS('Source 2025'!$S:$S,'Source 2025'!$B:$B,$A120,'Source 2025'!$A:$A,"Amount (NIS)")+SUMIFS('Source 2025'!$U:$U,'Source 2025'!$B:$B,$A120,'Source 2025'!$A:$A,"Amount (NIS)")+SUMIFS('Source 2025'!$D:$D,'Source 2025'!$B:$B,$A120,'Source 2025'!$A:$A,"Amount (NIS)")+SUMIFS('Source 2025'!$E:$E,'Source 2025'!$B:$B,$A120,'Source 2025'!$A:$A,"Amount (NIS)")+SUMIFS('Source 2025'!$G:$G,'Source 2025'!$B:$B,$A120,'Source 2025'!$A:$A,"Amount (NIS)")</f>
        <v>2324.2</v>
      </c>
      <c r="I120" s="9" t="n">
        <f aca="false">SUMIFS('Source 2026'!$F:$F,'Source 2026'!$B:$B,$A120,'Source 2026'!$A:$A,"Amount (NIS)")+SUMIFS('Source 2026'!$H:$H,'Source 2026'!$B:$B,$A120,'Source 2026'!$A:$A,"Amount (NIS)")+SUMIFS('Source 2026'!$M:$M,'Source 2026'!$B:$B,$A120,'Source 2026'!$A:$A,"Amount (NIS)")+SUMIFS('Source 2026'!$N:$N,'Source 2026'!$B:$B,$A120,'Source 2026'!$A:$A,"Amount (NIS)")+SUMIFS('Source 2026'!$S:$S,'Source 2026'!$B:$B,$A120,'Source 2026'!$A:$A,"Amount (NIS)")+SUMIFS('Source 2026'!$U:$U,'Source 2026'!$B:$B,$A120,'Source 2026'!$A:$A,"Amount (NIS)")+SUMIFS('Source 2026'!$D:$D,'Source 2026'!$B:$B,$A120,'Source 2026'!$A:$A,"Amount (NIS)")+SUMIFS('Source 2026'!$E:$E,'Source 2026'!$B:$B,$A120,'Source 2026'!$A:$A,"Amount (NIS)")+SUMIFS('Source 2026'!$G:$G,'Source 2026'!$B:$B,$A120,'Source 2026'!$A:$A,"Amount (NIS)")</f>
        <v>858.9</v>
      </c>
      <c r="J120" s="9" t="n">
        <f aca="false">I120*$J$5</f>
        <v>1084.92631578947</v>
      </c>
      <c r="K120" s="9" t="n">
        <f aca="false">J120-H120</f>
        <v>-1239.27368421053</v>
      </c>
      <c r="L120" s="11" t="n">
        <f aca="false">IF(AND(H120=0,J120=0),0,IF(H120=0,"New",(J120-H120)/H120))</f>
        <v>-0.533204407628658</v>
      </c>
    </row>
    <row r="121" customFormat="false" ht="15" hidden="false" customHeight="true" outlineLevel="0" collapsed="false">
      <c r="A121" s="8" t="s">
        <v>190</v>
      </c>
      <c r="B121" s="8" t="str">
        <f aca="false">IFERROR(INDEX('Source 2026'!$C:$C,MATCH($A121,'Source 2026'!$B:$B,0)),IFERROR(INDEX('Source 2025'!$C:$C,MATCH($A121,'Source 2025'!$B:$B,0)),""))</f>
        <v>לחץ א.הבוניון</v>
      </c>
      <c r="C121" s="9" t="n">
        <f aca="false">SUMIFS('Source 2025'!$F:$F,'Source 2025'!$B:$B,$A121,'Source 2025'!$A:$A,"Quantity (units)")+SUMIFS('Source 2025'!$H:$H,'Source 2025'!$B:$B,$A121,'Source 2025'!$A:$A,"Quantity (units)")+SUMIFS('Source 2025'!$M:$M,'Source 2025'!$B:$B,$A121,'Source 2025'!$A:$A,"Quantity (units)")+SUMIFS('Source 2025'!$N:$N,'Source 2025'!$B:$B,$A121,'Source 2025'!$A:$A,"Quantity (units)")+SUMIFS('Source 2025'!$S:$S,'Source 2025'!$B:$B,$A121,'Source 2025'!$A:$A,"Quantity (units)")+SUMIFS('Source 2025'!$U:$U,'Source 2025'!$B:$B,$A121,'Source 2025'!$A:$A,"Quantity (units)")+SUMIFS('Source 2025'!$D:$D,'Source 2025'!$B:$B,$A121,'Source 2025'!$A:$A,"Quantity (units)")+SUMIFS('Source 2025'!$E:$E,'Source 2025'!$B:$B,$A121,'Source 2025'!$A:$A,"Quantity (units)")+SUMIFS('Source 2025'!$G:$G,'Source 2025'!$B:$B,$A121,'Source 2025'!$A:$A,"Quantity (units)")</f>
        <v>149</v>
      </c>
      <c r="D121" s="9" t="n">
        <f aca="false">SUMIFS('Source 2026'!$F:$F,'Source 2026'!$B:$B,$A121,'Source 2026'!$A:$A,"Quantity (units)")+SUMIFS('Source 2026'!$H:$H,'Source 2026'!$B:$B,$A121,'Source 2026'!$A:$A,"Quantity (units)")+SUMIFS('Source 2026'!$M:$M,'Source 2026'!$B:$B,$A121,'Source 2026'!$A:$A,"Quantity (units)")+SUMIFS('Source 2026'!$N:$N,'Source 2026'!$B:$B,$A121,'Source 2026'!$A:$A,"Quantity (units)")+SUMIFS('Source 2026'!$S:$S,'Source 2026'!$B:$B,$A121,'Source 2026'!$A:$A,"Quantity (units)")+SUMIFS('Source 2026'!$U:$U,'Source 2026'!$B:$B,$A121,'Source 2026'!$A:$A,"Quantity (units)")+SUMIFS('Source 2026'!$D:$D,'Source 2026'!$B:$B,$A121,'Source 2026'!$A:$A,"Quantity (units)")+SUMIFS('Source 2026'!$E:$E,'Source 2026'!$B:$B,$A121,'Source 2026'!$A:$A,"Quantity (units)")+SUMIFS('Source 2026'!$G:$G,'Source 2026'!$B:$B,$A121,'Source 2026'!$A:$A,"Quantity (units)")</f>
        <v>68</v>
      </c>
      <c r="E121" s="9" t="n">
        <f aca="false">D121*$J$5</f>
        <v>85.8947368421053</v>
      </c>
      <c r="F121" s="9" t="n">
        <f aca="false">E121-C121</f>
        <v>-63.1052631578947</v>
      </c>
      <c r="G121" s="11" t="n">
        <f aca="false">IF(AND(C121=0,E121=0),0,IF(C121=0,"New",(E121-C121)/C121))</f>
        <v>-0.423525256093253</v>
      </c>
      <c r="H121" s="9" t="n">
        <f aca="false">SUMIFS('Source 2025'!$F:$F,'Source 2025'!$B:$B,$A121,'Source 2025'!$A:$A,"Amount (NIS)")+SUMIFS('Source 2025'!$H:$H,'Source 2025'!$B:$B,$A121,'Source 2025'!$A:$A,"Amount (NIS)")+SUMIFS('Source 2025'!$M:$M,'Source 2025'!$B:$B,$A121,'Source 2025'!$A:$A,"Amount (NIS)")+SUMIFS('Source 2025'!$N:$N,'Source 2025'!$B:$B,$A121,'Source 2025'!$A:$A,"Amount (NIS)")+SUMIFS('Source 2025'!$S:$S,'Source 2025'!$B:$B,$A121,'Source 2025'!$A:$A,"Amount (NIS)")+SUMIFS('Source 2025'!$U:$U,'Source 2025'!$B:$B,$A121,'Source 2025'!$A:$A,"Amount (NIS)")+SUMIFS('Source 2025'!$D:$D,'Source 2025'!$B:$B,$A121,'Source 2025'!$A:$A,"Amount (NIS)")+SUMIFS('Source 2025'!$E:$E,'Source 2025'!$B:$B,$A121,'Source 2025'!$A:$A,"Amount (NIS)")+SUMIFS('Source 2025'!$G:$G,'Source 2025'!$B:$B,$A121,'Source 2025'!$A:$A,"Amount (NIS)")</f>
        <v>2810.7</v>
      </c>
      <c r="I121" s="9" t="n">
        <f aca="false">SUMIFS('Source 2026'!$F:$F,'Source 2026'!$B:$B,$A121,'Source 2026'!$A:$A,"Amount (NIS)")+SUMIFS('Source 2026'!$H:$H,'Source 2026'!$B:$B,$A121,'Source 2026'!$A:$A,"Amount (NIS)")+SUMIFS('Source 2026'!$M:$M,'Source 2026'!$B:$B,$A121,'Source 2026'!$A:$A,"Amount (NIS)")+SUMIFS('Source 2026'!$N:$N,'Source 2026'!$B:$B,$A121,'Source 2026'!$A:$A,"Amount (NIS)")+SUMIFS('Source 2026'!$S:$S,'Source 2026'!$B:$B,$A121,'Source 2026'!$A:$A,"Amount (NIS)")+SUMIFS('Source 2026'!$U:$U,'Source 2026'!$B:$B,$A121,'Source 2026'!$A:$A,"Amount (NIS)")+SUMIFS('Source 2026'!$D:$D,'Source 2026'!$B:$B,$A121,'Source 2026'!$A:$A,"Amount (NIS)")+SUMIFS('Source 2026'!$E:$E,'Source 2026'!$B:$B,$A121,'Source 2026'!$A:$A,"Amount (NIS)")+SUMIFS('Source 2026'!$G:$G,'Source 2026'!$B:$B,$A121,'Source 2026'!$A:$A,"Amount (NIS)")</f>
        <v>1349.9</v>
      </c>
      <c r="J121" s="9" t="n">
        <f aca="false">I121*$J$5</f>
        <v>1705.13684210526</v>
      </c>
      <c r="K121" s="9" t="n">
        <f aca="false">J121-H121</f>
        <v>-1105.56315789474</v>
      </c>
      <c r="L121" s="11" t="n">
        <f aca="false">IF(AND(H121=0,J121=0),0,IF(H121=0,"New",(J121-H121)/H121))</f>
        <v>-0.393340860958031</v>
      </c>
    </row>
    <row r="122" customFormat="false" ht="15" hidden="false" customHeight="true" outlineLevel="0" collapsed="false">
      <c r="A122" s="8" t="s">
        <v>191</v>
      </c>
      <c r="B122" s="8" t="str">
        <f aca="false">IFERROR(INDEX('Source 2026'!$C:$C,MATCH($A122,'Source 2026'!$B:$B,0)),IFERROR(INDEX('Source 2025'!$C:$C,MATCH($A122,'Source 2025'!$B:$B,0)),""))</f>
        <v>35-38 גרב.כסף לסכרתים לבן</v>
      </c>
      <c r="C122" s="9" t="n">
        <f aca="false">SUMIFS('Source 2025'!$F:$F,'Source 2025'!$B:$B,$A122,'Source 2025'!$A:$A,"Quantity (units)")+SUMIFS('Source 2025'!$H:$H,'Source 2025'!$B:$B,$A122,'Source 2025'!$A:$A,"Quantity (units)")+SUMIFS('Source 2025'!$M:$M,'Source 2025'!$B:$B,$A122,'Source 2025'!$A:$A,"Quantity (units)")+SUMIFS('Source 2025'!$N:$N,'Source 2025'!$B:$B,$A122,'Source 2025'!$A:$A,"Quantity (units)")+SUMIFS('Source 2025'!$S:$S,'Source 2025'!$B:$B,$A122,'Source 2025'!$A:$A,"Quantity (units)")+SUMIFS('Source 2025'!$U:$U,'Source 2025'!$B:$B,$A122,'Source 2025'!$A:$A,"Quantity (units)")+SUMIFS('Source 2025'!$D:$D,'Source 2025'!$B:$B,$A122,'Source 2025'!$A:$A,"Quantity (units)")+SUMIFS('Source 2025'!$E:$E,'Source 2025'!$B:$B,$A122,'Source 2025'!$A:$A,"Quantity (units)")+SUMIFS('Source 2025'!$G:$G,'Source 2025'!$B:$B,$A122,'Source 2025'!$A:$A,"Quantity (units)")</f>
        <v>178</v>
      </c>
      <c r="D122" s="9" t="n">
        <f aca="false">SUMIFS('Source 2026'!$F:$F,'Source 2026'!$B:$B,$A122,'Source 2026'!$A:$A,"Quantity (units)")+SUMIFS('Source 2026'!$H:$H,'Source 2026'!$B:$B,$A122,'Source 2026'!$A:$A,"Quantity (units)")+SUMIFS('Source 2026'!$M:$M,'Source 2026'!$B:$B,$A122,'Source 2026'!$A:$A,"Quantity (units)")+SUMIFS('Source 2026'!$N:$N,'Source 2026'!$B:$B,$A122,'Source 2026'!$A:$A,"Quantity (units)")+SUMIFS('Source 2026'!$S:$S,'Source 2026'!$B:$B,$A122,'Source 2026'!$A:$A,"Quantity (units)")+SUMIFS('Source 2026'!$U:$U,'Source 2026'!$B:$B,$A122,'Source 2026'!$A:$A,"Quantity (units)")+SUMIFS('Source 2026'!$D:$D,'Source 2026'!$B:$B,$A122,'Source 2026'!$A:$A,"Quantity (units)")+SUMIFS('Source 2026'!$E:$E,'Source 2026'!$B:$B,$A122,'Source 2026'!$A:$A,"Quantity (units)")+SUMIFS('Source 2026'!$G:$G,'Source 2026'!$B:$B,$A122,'Source 2026'!$A:$A,"Quantity (units)")</f>
        <v>111</v>
      </c>
      <c r="E122" s="9" t="n">
        <f aca="false">D122*$J$5</f>
        <v>140.210526315789</v>
      </c>
      <c r="F122" s="9" t="n">
        <f aca="false">E122-C122</f>
        <v>-37.7894736842105</v>
      </c>
      <c r="G122" s="11" t="n">
        <f aca="false">IF(AND(C122=0,E122=0),0,IF(C122=0,"New",(E122-C122)/C122))</f>
        <v>-0.212300413956239</v>
      </c>
      <c r="H122" s="9" t="n">
        <f aca="false">SUMIFS('Source 2025'!$F:$F,'Source 2025'!$B:$B,$A122,'Source 2025'!$A:$A,"Amount (NIS)")+SUMIFS('Source 2025'!$H:$H,'Source 2025'!$B:$B,$A122,'Source 2025'!$A:$A,"Amount (NIS)")+SUMIFS('Source 2025'!$M:$M,'Source 2025'!$B:$B,$A122,'Source 2025'!$A:$A,"Amount (NIS)")+SUMIFS('Source 2025'!$N:$N,'Source 2025'!$B:$B,$A122,'Source 2025'!$A:$A,"Amount (NIS)")+SUMIFS('Source 2025'!$S:$S,'Source 2025'!$B:$B,$A122,'Source 2025'!$A:$A,"Amount (NIS)")+SUMIFS('Source 2025'!$U:$U,'Source 2025'!$B:$B,$A122,'Source 2025'!$A:$A,"Amount (NIS)")+SUMIFS('Source 2025'!$D:$D,'Source 2025'!$B:$B,$A122,'Source 2025'!$A:$A,"Amount (NIS)")+SUMIFS('Source 2025'!$E:$E,'Source 2025'!$B:$B,$A122,'Source 2025'!$A:$A,"Amount (NIS)")+SUMIFS('Source 2025'!$G:$G,'Source 2025'!$B:$B,$A122,'Source 2025'!$A:$A,"Amount (NIS)")</f>
        <v>4416.3</v>
      </c>
      <c r="I122" s="9" t="n">
        <f aca="false">SUMIFS('Source 2026'!$F:$F,'Source 2026'!$B:$B,$A122,'Source 2026'!$A:$A,"Amount (NIS)")+SUMIFS('Source 2026'!$H:$H,'Source 2026'!$B:$B,$A122,'Source 2026'!$A:$A,"Amount (NIS)")+SUMIFS('Source 2026'!$M:$M,'Source 2026'!$B:$B,$A122,'Source 2026'!$A:$A,"Amount (NIS)")+SUMIFS('Source 2026'!$N:$N,'Source 2026'!$B:$B,$A122,'Source 2026'!$A:$A,"Amount (NIS)")+SUMIFS('Source 2026'!$S:$S,'Source 2026'!$B:$B,$A122,'Source 2026'!$A:$A,"Amount (NIS)")+SUMIFS('Source 2026'!$U:$U,'Source 2026'!$B:$B,$A122,'Source 2026'!$A:$A,"Amount (NIS)")+SUMIFS('Source 2026'!$D:$D,'Source 2026'!$B:$B,$A122,'Source 2026'!$A:$A,"Amount (NIS)")+SUMIFS('Source 2026'!$E:$E,'Source 2026'!$B:$B,$A122,'Source 2026'!$A:$A,"Amount (NIS)")+SUMIFS('Source 2026'!$G:$G,'Source 2026'!$B:$B,$A122,'Source 2026'!$A:$A,"Amount (NIS)")</f>
        <v>2961.6</v>
      </c>
      <c r="J122" s="9" t="n">
        <f aca="false">I122*$J$5</f>
        <v>3740.96842105263</v>
      </c>
      <c r="K122" s="9" t="n">
        <f aca="false">J122-H122</f>
        <v>-675.33157894737</v>
      </c>
      <c r="L122" s="11" t="n">
        <f aca="false">IF(AND(H122=0,J122=0),0,IF(H122=0,"New",(J122-H122)/H122))</f>
        <v>-0.152917958233673</v>
      </c>
    </row>
    <row r="123" customFormat="false" ht="15" hidden="false" customHeight="true" outlineLevel="0" collapsed="false">
      <c r="A123" s="8" t="s">
        <v>192</v>
      </c>
      <c r="B123" s="8" t="str">
        <f aca="false">IFERROR(INDEX('Source 2026'!$C:$C,MATCH($A123,'Source 2026'!$B:$B,0)),IFERROR(INDEX('Source 2025'!$C:$C,MATCH($A123,'Source 2025'!$B:$B,0)),""))</f>
        <v>S חגורת שבר לצד ימין</v>
      </c>
      <c r="C123" s="9" t="n">
        <f aca="false">SUMIFS('Source 2025'!$F:$F,'Source 2025'!$B:$B,$A123,'Source 2025'!$A:$A,"Quantity (units)")+SUMIFS('Source 2025'!$H:$H,'Source 2025'!$B:$B,$A123,'Source 2025'!$A:$A,"Quantity (units)")+SUMIFS('Source 2025'!$M:$M,'Source 2025'!$B:$B,$A123,'Source 2025'!$A:$A,"Quantity (units)")+SUMIFS('Source 2025'!$N:$N,'Source 2025'!$B:$B,$A123,'Source 2025'!$A:$A,"Quantity (units)")+SUMIFS('Source 2025'!$S:$S,'Source 2025'!$B:$B,$A123,'Source 2025'!$A:$A,"Quantity (units)")+SUMIFS('Source 2025'!$U:$U,'Source 2025'!$B:$B,$A123,'Source 2025'!$A:$A,"Quantity (units)")+SUMIFS('Source 2025'!$D:$D,'Source 2025'!$B:$B,$A123,'Source 2025'!$A:$A,"Quantity (units)")+SUMIFS('Source 2025'!$E:$E,'Source 2025'!$B:$B,$A123,'Source 2025'!$A:$A,"Quantity (units)")+SUMIFS('Source 2025'!$G:$G,'Source 2025'!$B:$B,$A123,'Source 2025'!$A:$A,"Quantity (units)")</f>
        <v>20</v>
      </c>
      <c r="D123" s="9" t="n">
        <f aca="false">SUMIFS('Source 2026'!$F:$F,'Source 2026'!$B:$B,$A123,'Source 2026'!$A:$A,"Quantity (units)")+SUMIFS('Source 2026'!$H:$H,'Source 2026'!$B:$B,$A123,'Source 2026'!$A:$A,"Quantity (units)")+SUMIFS('Source 2026'!$M:$M,'Source 2026'!$B:$B,$A123,'Source 2026'!$A:$A,"Quantity (units)")+SUMIFS('Source 2026'!$N:$N,'Source 2026'!$B:$B,$A123,'Source 2026'!$A:$A,"Quantity (units)")+SUMIFS('Source 2026'!$S:$S,'Source 2026'!$B:$B,$A123,'Source 2026'!$A:$A,"Quantity (units)")+SUMIFS('Source 2026'!$U:$U,'Source 2026'!$B:$B,$A123,'Source 2026'!$A:$A,"Quantity (units)")+SUMIFS('Source 2026'!$D:$D,'Source 2026'!$B:$B,$A123,'Source 2026'!$A:$A,"Quantity (units)")+SUMIFS('Source 2026'!$E:$E,'Source 2026'!$B:$B,$A123,'Source 2026'!$A:$A,"Quantity (units)")+SUMIFS('Source 2026'!$G:$G,'Source 2026'!$B:$B,$A123,'Source 2026'!$A:$A,"Quantity (units)")</f>
        <v>12</v>
      </c>
      <c r="E123" s="9" t="n">
        <f aca="false">D123*$J$5</f>
        <v>15.1578947368421</v>
      </c>
      <c r="F123" s="9" t="n">
        <f aca="false">E123-C123</f>
        <v>-4.8421052631579</v>
      </c>
      <c r="G123" s="11" t="n">
        <f aca="false">IF(AND(C123=0,E123=0),0,IF(C123=0,"New",(E123-C123)/C123))</f>
        <v>-0.242105263157895</v>
      </c>
      <c r="H123" s="9" t="n">
        <f aca="false">SUMIFS('Source 2025'!$F:$F,'Source 2025'!$B:$B,$A123,'Source 2025'!$A:$A,"Amount (NIS)")+SUMIFS('Source 2025'!$H:$H,'Source 2025'!$B:$B,$A123,'Source 2025'!$A:$A,"Amount (NIS)")+SUMIFS('Source 2025'!$M:$M,'Source 2025'!$B:$B,$A123,'Source 2025'!$A:$A,"Amount (NIS)")+SUMIFS('Source 2025'!$N:$N,'Source 2025'!$B:$B,$A123,'Source 2025'!$A:$A,"Amount (NIS)")+SUMIFS('Source 2025'!$S:$S,'Source 2025'!$B:$B,$A123,'Source 2025'!$A:$A,"Amount (NIS)")+SUMIFS('Source 2025'!$U:$U,'Source 2025'!$B:$B,$A123,'Source 2025'!$A:$A,"Amount (NIS)")+SUMIFS('Source 2025'!$D:$D,'Source 2025'!$B:$B,$A123,'Source 2025'!$A:$A,"Amount (NIS)")+SUMIFS('Source 2025'!$E:$E,'Source 2025'!$B:$B,$A123,'Source 2025'!$A:$A,"Amount (NIS)")+SUMIFS('Source 2025'!$G:$G,'Source 2025'!$B:$B,$A123,'Source 2025'!$A:$A,"Amount (NIS)")</f>
        <v>3630.5</v>
      </c>
      <c r="I123" s="9" t="n">
        <f aca="false">SUMIFS('Source 2026'!$F:$F,'Source 2026'!$B:$B,$A123,'Source 2026'!$A:$A,"Amount (NIS)")+SUMIFS('Source 2026'!$H:$H,'Source 2026'!$B:$B,$A123,'Source 2026'!$A:$A,"Amount (NIS)")+SUMIFS('Source 2026'!$M:$M,'Source 2026'!$B:$B,$A123,'Source 2026'!$A:$A,"Amount (NIS)")+SUMIFS('Source 2026'!$N:$N,'Source 2026'!$B:$B,$A123,'Source 2026'!$A:$A,"Amount (NIS)")+SUMIFS('Source 2026'!$S:$S,'Source 2026'!$B:$B,$A123,'Source 2026'!$A:$A,"Amount (NIS)")+SUMIFS('Source 2026'!$U:$U,'Source 2026'!$B:$B,$A123,'Source 2026'!$A:$A,"Amount (NIS)")+SUMIFS('Source 2026'!$D:$D,'Source 2026'!$B:$B,$A123,'Source 2026'!$A:$A,"Amount (NIS)")+SUMIFS('Source 2026'!$E:$E,'Source 2026'!$B:$B,$A123,'Source 2026'!$A:$A,"Amount (NIS)")+SUMIFS('Source 2026'!$G:$G,'Source 2026'!$B:$B,$A123,'Source 2026'!$A:$A,"Amount (NIS)")</f>
        <v>2202</v>
      </c>
      <c r="J123" s="9" t="n">
        <f aca="false">I123*$J$5</f>
        <v>2781.47368421053</v>
      </c>
      <c r="K123" s="9" t="n">
        <f aca="false">J123-H123</f>
        <v>-849.026315789474</v>
      </c>
      <c r="L123" s="11" t="n">
        <f aca="false">IF(AND(H123=0,J123=0),0,IF(H123=0,"New",(J123-H123)/H123))</f>
        <v>-0.233859335019825</v>
      </c>
    </row>
    <row r="124" customFormat="false" ht="15" hidden="false" customHeight="true" outlineLevel="0" collapsed="false">
      <c r="A124" s="8" t="s">
        <v>193</v>
      </c>
      <c r="B124" s="8" t="str">
        <f aca="false">IFERROR(INDEX('Source 2026'!$C:$C,MATCH($A124,'Source 2026'!$B:$B,0)),IFERROR(INDEX('Source 2025'!$C:$C,MATCH($A124,'Source 2025'!$B:$B,0)),""))</f>
        <v>סד ליישור אצבע</v>
      </c>
      <c r="C124" s="9" t="n">
        <f aca="false">SUMIFS('Source 2025'!$F:$F,'Source 2025'!$B:$B,$A124,'Source 2025'!$A:$A,"Quantity (units)")+SUMIFS('Source 2025'!$H:$H,'Source 2025'!$B:$B,$A124,'Source 2025'!$A:$A,"Quantity (units)")+SUMIFS('Source 2025'!$M:$M,'Source 2025'!$B:$B,$A124,'Source 2025'!$A:$A,"Quantity (units)")+SUMIFS('Source 2025'!$N:$N,'Source 2025'!$B:$B,$A124,'Source 2025'!$A:$A,"Quantity (units)")+SUMIFS('Source 2025'!$S:$S,'Source 2025'!$B:$B,$A124,'Source 2025'!$A:$A,"Quantity (units)")+SUMIFS('Source 2025'!$U:$U,'Source 2025'!$B:$B,$A124,'Source 2025'!$A:$A,"Quantity (units)")+SUMIFS('Source 2025'!$D:$D,'Source 2025'!$B:$B,$A124,'Source 2025'!$A:$A,"Quantity (units)")+SUMIFS('Source 2025'!$E:$E,'Source 2025'!$B:$B,$A124,'Source 2025'!$A:$A,"Quantity (units)")+SUMIFS('Source 2025'!$G:$G,'Source 2025'!$B:$B,$A124,'Source 2025'!$A:$A,"Quantity (units)")</f>
        <v>382</v>
      </c>
      <c r="D124" s="9" t="n">
        <f aca="false">SUMIFS('Source 2026'!$F:$F,'Source 2026'!$B:$B,$A124,'Source 2026'!$A:$A,"Quantity (units)")+SUMIFS('Source 2026'!$H:$H,'Source 2026'!$B:$B,$A124,'Source 2026'!$A:$A,"Quantity (units)")+SUMIFS('Source 2026'!$M:$M,'Source 2026'!$B:$B,$A124,'Source 2026'!$A:$A,"Quantity (units)")+SUMIFS('Source 2026'!$N:$N,'Source 2026'!$B:$B,$A124,'Source 2026'!$A:$A,"Quantity (units)")+SUMIFS('Source 2026'!$S:$S,'Source 2026'!$B:$B,$A124,'Source 2026'!$A:$A,"Quantity (units)")+SUMIFS('Source 2026'!$U:$U,'Source 2026'!$B:$B,$A124,'Source 2026'!$A:$A,"Quantity (units)")+SUMIFS('Source 2026'!$D:$D,'Source 2026'!$B:$B,$A124,'Source 2026'!$A:$A,"Quantity (units)")+SUMIFS('Source 2026'!$E:$E,'Source 2026'!$B:$B,$A124,'Source 2026'!$A:$A,"Quantity (units)")+SUMIFS('Source 2026'!$G:$G,'Source 2026'!$B:$B,$A124,'Source 2026'!$A:$A,"Quantity (units)")</f>
        <v>301</v>
      </c>
      <c r="E124" s="9" t="n">
        <f aca="false">D124*$J$5</f>
        <v>380.21052631579</v>
      </c>
      <c r="F124" s="9" t="n">
        <f aca="false">E124-C124</f>
        <v>-1.78947368421052</v>
      </c>
      <c r="G124" s="11" t="n">
        <f aca="false">IF(AND(C124=0,E124=0),0,IF(C124=0,"New",(E124-C124)/C124))</f>
        <v>-0.00468448608432073</v>
      </c>
      <c r="H124" s="9" t="n">
        <f aca="false">SUMIFS('Source 2025'!$F:$F,'Source 2025'!$B:$B,$A124,'Source 2025'!$A:$A,"Amount (NIS)")+SUMIFS('Source 2025'!$H:$H,'Source 2025'!$B:$B,$A124,'Source 2025'!$A:$A,"Amount (NIS)")+SUMIFS('Source 2025'!$M:$M,'Source 2025'!$B:$B,$A124,'Source 2025'!$A:$A,"Amount (NIS)")+SUMIFS('Source 2025'!$N:$N,'Source 2025'!$B:$B,$A124,'Source 2025'!$A:$A,"Amount (NIS)")+SUMIFS('Source 2025'!$S:$S,'Source 2025'!$B:$B,$A124,'Source 2025'!$A:$A,"Amount (NIS)")+SUMIFS('Source 2025'!$U:$U,'Source 2025'!$B:$B,$A124,'Source 2025'!$A:$A,"Amount (NIS)")+SUMIFS('Source 2025'!$D:$D,'Source 2025'!$B:$B,$A124,'Source 2025'!$A:$A,"Amount (NIS)")+SUMIFS('Source 2025'!$E:$E,'Source 2025'!$B:$B,$A124,'Source 2025'!$A:$A,"Amount (NIS)")+SUMIFS('Source 2025'!$G:$G,'Source 2025'!$B:$B,$A124,'Source 2025'!$A:$A,"Amount (NIS)")</f>
        <v>7315.8</v>
      </c>
      <c r="I124" s="9" t="n">
        <f aca="false">SUMIFS('Source 2026'!$F:$F,'Source 2026'!$B:$B,$A124,'Source 2026'!$A:$A,"Amount (NIS)")+SUMIFS('Source 2026'!$H:$H,'Source 2026'!$B:$B,$A124,'Source 2026'!$A:$A,"Amount (NIS)")+SUMIFS('Source 2026'!$M:$M,'Source 2026'!$B:$B,$A124,'Source 2026'!$A:$A,"Amount (NIS)")+SUMIFS('Source 2026'!$N:$N,'Source 2026'!$B:$B,$A124,'Source 2026'!$A:$A,"Amount (NIS)")+SUMIFS('Source 2026'!$S:$S,'Source 2026'!$B:$B,$A124,'Source 2026'!$A:$A,"Amount (NIS)")+SUMIFS('Source 2026'!$U:$U,'Source 2026'!$B:$B,$A124,'Source 2026'!$A:$A,"Amount (NIS)")+SUMIFS('Source 2026'!$D:$D,'Source 2026'!$B:$B,$A124,'Source 2026'!$A:$A,"Amount (NIS)")+SUMIFS('Source 2026'!$E:$E,'Source 2026'!$B:$B,$A124,'Source 2026'!$A:$A,"Amount (NIS)")+SUMIFS('Source 2026'!$G:$G,'Source 2026'!$B:$B,$A124,'Source 2026'!$A:$A,"Amount (NIS)")</f>
        <v>5909.1</v>
      </c>
      <c r="J124" s="9" t="n">
        <f aca="false">I124*$J$5</f>
        <v>7464.12631578947</v>
      </c>
      <c r="K124" s="9" t="n">
        <f aca="false">J124-H124</f>
        <v>148.326315789473</v>
      </c>
      <c r="L124" s="11" t="n">
        <f aca="false">IF(AND(H124=0,J124=0),0,IF(H124=0,"New",(J124-H124)/H124))</f>
        <v>0.0202747909715236</v>
      </c>
    </row>
    <row r="125" customFormat="false" ht="15" hidden="false" customHeight="true" outlineLevel="0" collapsed="false">
      <c r="A125" s="8" t="s">
        <v>194</v>
      </c>
      <c r="B125" s="8" t="str">
        <f aca="false">IFERROR(INDEX('Source 2026'!$C:$C,MATCH($A125,'Source 2026'!$B:$B,0)),IFERROR(INDEX('Source 2025'!$C:$C,MATCH($A125,'Source 2025'!$B:$B,0)),""))</f>
        <v>S 'מגן ברך ארוך בז</v>
      </c>
      <c r="C125" s="9" t="n">
        <f aca="false">SUMIFS('Source 2025'!$F:$F,'Source 2025'!$B:$B,$A125,'Source 2025'!$A:$A,"Quantity (units)")+SUMIFS('Source 2025'!$H:$H,'Source 2025'!$B:$B,$A125,'Source 2025'!$A:$A,"Quantity (units)")+SUMIFS('Source 2025'!$M:$M,'Source 2025'!$B:$B,$A125,'Source 2025'!$A:$A,"Quantity (units)")+SUMIFS('Source 2025'!$N:$N,'Source 2025'!$B:$B,$A125,'Source 2025'!$A:$A,"Quantity (units)")+SUMIFS('Source 2025'!$S:$S,'Source 2025'!$B:$B,$A125,'Source 2025'!$A:$A,"Quantity (units)")+SUMIFS('Source 2025'!$U:$U,'Source 2025'!$B:$B,$A125,'Source 2025'!$A:$A,"Quantity (units)")+SUMIFS('Source 2025'!$D:$D,'Source 2025'!$B:$B,$A125,'Source 2025'!$A:$A,"Quantity (units)")+SUMIFS('Source 2025'!$E:$E,'Source 2025'!$B:$B,$A125,'Source 2025'!$A:$A,"Quantity (units)")+SUMIFS('Source 2025'!$G:$G,'Source 2025'!$B:$B,$A125,'Source 2025'!$A:$A,"Quantity (units)")</f>
        <v>375</v>
      </c>
      <c r="D125" s="9" t="n">
        <f aca="false">SUMIFS('Source 2026'!$F:$F,'Source 2026'!$B:$B,$A125,'Source 2026'!$A:$A,"Quantity (units)")+SUMIFS('Source 2026'!$H:$H,'Source 2026'!$B:$B,$A125,'Source 2026'!$A:$A,"Quantity (units)")+SUMIFS('Source 2026'!$M:$M,'Source 2026'!$B:$B,$A125,'Source 2026'!$A:$A,"Quantity (units)")+SUMIFS('Source 2026'!$N:$N,'Source 2026'!$B:$B,$A125,'Source 2026'!$A:$A,"Quantity (units)")+SUMIFS('Source 2026'!$S:$S,'Source 2026'!$B:$B,$A125,'Source 2026'!$A:$A,"Quantity (units)")+SUMIFS('Source 2026'!$U:$U,'Source 2026'!$B:$B,$A125,'Source 2026'!$A:$A,"Quantity (units)")+SUMIFS('Source 2026'!$D:$D,'Source 2026'!$B:$B,$A125,'Source 2026'!$A:$A,"Quantity (units)")+SUMIFS('Source 2026'!$E:$E,'Source 2026'!$B:$B,$A125,'Source 2026'!$A:$A,"Quantity (units)")+SUMIFS('Source 2026'!$G:$G,'Source 2026'!$B:$B,$A125,'Source 2026'!$A:$A,"Quantity (units)")</f>
        <v>409</v>
      </c>
      <c r="E125" s="9" t="n">
        <f aca="false">D125*$J$5</f>
        <v>516.631578947368</v>
      </c>
      <c r="F125" s="9" t="n">
        <f aca="false">E125-C125</f>
        <v>141.631578947368</v>
      </c>
      <c r="G125" s="11" t="n">
        <f aca="false">IF(AND(C125=0,E125=0),0,IF(C125=0,"New",(E125-C125)/C125))</f>
        <v>0.377684210526316</v>
      </c>
      <c r="H125" s="9" t="n">
        <f aca="false">SUMIFS('Source 2025'!$F:$F,'Source 2025'!$B:$B,$A125,'Source 2025'!$A:$A,"Amount (NIS)")+SUMIFS('Source 2025'!$H:$H,'Source 2025'!$B:$B,$A125,'Source 2025'!$A:$A,"Amount (NIS)")+SUMIFS('Source 2025'!$M:$M,'Source 2025'!$B:$B,$A125,'Source 2025'!$A:$A,"Amount (NIS)")+SUMIFS('Source 2025'!$N:$N,'Source 2025'!$B:$B,$A125,'Source 2025'!$A:$A,"Amount (NIS)")+SUMIFS('Source 2025'!$S:$S,'Source 2025'!$B:$B,$A125,'Source 2025'!$A:$A,"Amount (NIS)")+SUMIFS('Source 2025'!$U:$U,'Source 2025'!$B:$B,$A125,'Source 2025'!$A:$A,"Amount (NIS)")+SUMIFS('Source 2025'!$D:$D,'Source 2025'!$B:$B,$A125,'Source 2025'!$A:$A,"Amount (NIS)")+SUMIFS('Source 2025'!$E:$E,'Source 2025'!$B:$B,$A125,'Source 2025'!$A:$A,"Amount (NIS)")+SUMIFS('Source 2025'!$G:$G,'Source 2025'!$B:$B,$A125,'Source 2025'!$A:$A,"Amount (NIS)")</f>
        <v>13509.9</v>
      </c>
      <c r="I125" s="9" t="n">
        <f aca="false">SUMIFS('Source 2026'!$F:$F,'Source 2026'!$B:$B,$A125,'Source 2026'!$A:$A,"Amount (NIS)")+SUMIFS('Source 2026'!$H:$H,'Source 2026'!$B:$B,$A125,'Source 2026'!$A:$A,"Amount (NIS)")+SUMIFS('Source 2026'!$M:$M,'Source 2026'!$B:$B,$A125,'Source 2026'!$A:$A,"Amount (NIS)")+SUMIFS('Source 2026'!$N:$N,'Source 2026'!$B:$B,$A125,'Source 2026'!$A:$A,"Amount (NIS)")+SUMIFS('Source 2026'!$S:$S,'Source 2026'!$B:$B,$A125,'Source 2026'!$A:$A,"Amount (NIS)")+SUMIFS('Source 2026'!$U:$U,'Source 2026'!$B:$B,$A125,'Source 2026'!$A:$A,"Amount (NIS)")+SUMIFS('Source 2026'!$D:$D,'Source 2026'!$B:$B,$A125,'Source 2026'!$A:$A,"Amount (NIS)")+SUMIFS('Source 2026'!$E:$E,'Source 2026'!$B:$B,$A125,'Source 2026'!$A:$A,"Amount (NIS)")+SUMIFS('Source 2026'!$G:$G,'Source 2026'!$B:$B,$A125,'Source 2026'!$A:$A,"Amount (NIS)")</f>
        <v>14911.9</v>
      </c>
      <c r="J125" s="9" t="n">
        <f aca="false">I125*$J$5</f>
        <v>18836.0842105263</v>
      </c>
      <c r="K125" s="9" t="n">
        <f aca="false">J125-H125</f>
        <v>5326.18421052632</v>
      </c>
      <c r="L125" s="11" t="n">
        <f aca="false">IF(AND(H125=0,J125=0),0,IF(H125=0,"New",(J125-H125)/H125))</f>
        <v>0.394243052171098</v>
      </c>
    </row>
    <row r="126" customFormat="false" ht="15" hidden="false" customHeight="true" outlineLevel="0" collapsed="false">
      <c r="A126" s="8" t="s">
        <v>195</v>
      </c>
      <c r="B126" s="8" t="str">
        <f aca="false">IFERROR(INDEX('Source 2026'!$C:$C,MATCH($A126,'Source 2026'!$B:$B,0)),IFERROR(INDEX('Source 2025'!$C:$C,MATCH($A126,'Source 2025'!$B:$B,0)),""))</f>
        <v>S-M סד לאגודל</v>
      </c>
      <c r="C126" s="9" t="n">
        <f aca="false">SUMIFS('Source 2025'!$F:$F,'Source 2025'!$B:$B,$A126,'Source 2025'!$A:$A,"Quantity (units)")+SUMIFS('Source 2025'!$H:$H,'Source 2025'!$B:$B,$A126,'Source 2025'!$A:$A,"Quantity (units)")+SUMIFS('Source 2025'!$M:$M,'Source 2025'!$B:$B,$A126,'Source 2025'!$A:$A,"Quantity (units)")+SUMIFS('Source 2025'!$N:$N,'Source 2025'!$B:$B,$A126,'Source 2025'!$A:$A,"Quantity (units)")+SUMIFS('Source 2025'!$S:$S,'Source 2025'!$B:$B,$A126,'Source 2025'!$A:$A,"Quantity (units)")+SUMIFS('Source 2025'!$U:$U,'Source 2025'!$B:$B,$A126,'Source 2025'!$A:$A,"Quantity (units)")+SUMIFS('Source 2025'!$D:$D,'Source 2025'!$B:$B,$A126,'Source 2025'!$A:$A,"Quantity (units)")+SUMIFS('Source 2025'!$E:$E,'Source 2025'!$B:$B,$A126,'Source 2025'!$A:$A,"Quantity (units)")+SUMIFS('Source 2025'!$G:$G,'Source 2025'!$B:$B,$A126,'Source 2025'!$A:$A,"Quantity (units)")</f>
        <v>90</v>
      </c>
      <c r="D126" s="9" t="n">
        <f aca="false">SUMIFS('Source 2026'!$F:$F,'Source 2026'!$B:$B,$A126,'Source 2026'!$A:$A,"Quantity (units)")+SUMIFS('Source 2026'!$H:$H,'Source 2026'!$B:$B,$A126,'Source 2026'!$A:$A,"Quantity (units)")+SUMIFS('Source 2026'!$M:$M,'Source 2026'!$B:$B,$A126,'Source 2026'!$A:$A,"Quantity (units)")+SUMIFS('Source 2026'!$N:$N,'Source 2026'!$B:$B,$A126,'Source 2026'!$A:$A,"Quantity (units)")+SUMIFS('Source 2026'!$S:$S,'Source 2026'!$B:$B,$A126,'Source 2026'!$A:$A,"Quantity (units)")+SUMIFS('Source 2026'!$U:$U,'Source 2026'!$B:$B,$A126,'Source 2026'!$A:$A,"Quantity (units)")+SUMIFS('Source 2026'!$D:$D,'Source 2026'!$B:$B,$A126,'Source 2026'!$A:$A,"Quantity (units)")+SUMIFS('Source 2026'!$E:$E,'Source 2026'!$B:$B,$A126,'Source 2026'!$A:$A,"Quantity (units)")+SUMIFS('Source 2026'!$G:$G,'Source 2026'!$B:$B,$A126,'Source 2026'!$A:$A,"Quantity (units)")</f>
        <v>69</v>
      </c>
      <c r="E126" s="9" t="n">
        <f aca="false">D126*$J$5</f>
        <v>87.1578947368421</v>
      </c>
      <c r="F126" s="9" t="n">
        <f aca="false">E126-C126</f>
        <v>-2.8421052631579</v>
      </c>
      <c r="G126" s="11" t="n">
        <f aca="false">IF(AND(C126=0,E126=0),0,IF(C126=0,"New",(E126-C126)/C126))</f>
        <v>-0.0315789473684212</v>
      </c>
      <c r="H126" s="9" t="n">
        <f aca="false">SUMIFS('Source 2025'!$F:$F,'Source 2025'!$B:$B,$A126,'Source 2025'!$A:$A,"Amount (NIS)")+SUMIFS('Source 2025'!$H:$H,'Source 2025'!$B:$B,$A126,'Source 2025'!$A:$A,"Amount (NIS)")+SUMIFS('Source 2025'!$M:$M,'Source 2025'!$B:$B,$A126,'Source 2025'!$A:$A,"Amount (NIS)")+SUMIFS('Source 2025'!$N:$N,'Source 2025'!$B:$B,$A126,'Source 2025'!$A:$A,"Amount (NIS)")+SUMIFS('Source 2025'!$S:$S,'Source 2025'!$B:$B,$A126,'Source 2025'!$A:$A,"Amount (NIS)")+SUMIFS('Source 2025'!$U:$U,'Source 2025'!$B:$B,$A126,'Source 2025'!$A:$A,"Amount (NIS)")+SUMIFS('Source 2025'!$D:$D,'Source 2025'!$B:$B,$A126,'Source 2025'!$A:$A,"Amount (NIS)")+SUMIFS('Source 2025'!$E:$E,'Source 2025'!$B:$B,$A126,'Source 2025'!$A:$A,"Amount (NIS)")+SUMIFS('Source 2025'!$G:$G,'Source 2025'!$B:$B,$A126,'Source 2025'!$A:$A,"Amount (NIS)")</f>
        <v>5983.9</v>
      </c>
      <c r="I126" s="9" t="n">
        <f aca="false">SUMIFS('Source 2026'!$F:$F,'Source 2026'!$B:$B,$A126,'Source 2026'!$A:$A,"Amount (NIS)")+SUMIFS('Source 2026'!$H:$H,'Source 2026'!$B:$B,$A126,'Source 2026'!$A:$A,"Amount (NIS)")+SUMIFS('Source 2026'!$M:$M,'Source 2026'!$B:$B,$A126,'Source 2026'!$A:$A,"Amount (NIS)")+SUMIFS('Source 2026'!$N:$N,'Source 2026'!$B:$B,$A126,'Source 2026'!$A:$A,"Amount (NIS)")+SUMIFS('Source 2026'!$S:$S,'Source 2026'!$B:$B,$A126,'Source 2026'!$A:$A,"Amount (NIS)")+SUMIFS('Source 2026'!$U:$U,'Source 2026'!$B:$B,$A126,'Source 2026'!$A:$A,"Amount (NIS)")+SUMIFS('Source 2026'!$D:$D,'Source 2026'!$B:$B,$A126,'Source 2026'!$A:$A,"Amount (NIS)")+SUMIFS('Source 2026'!$E:$E,'Source 2026'!$B:$B,$A126,'Source 2026'!$A:$A,"Amount (NIS)")+SUMIFS('Source 2026'!$G:$G,'Source 2026'!$B:$B,$A126,'Source 2026'!$A:$A,"Amount (NIS)")</f>
        <v>4665.1</v>
      </c>
      <c r="J126" s="9" t="n">
        <f aca="false">I126*$J$5</f>
        <v>5892.75789473684</v>
      </c>
      <c r="K126" s="9" t="n">
        <f aca="false">J126-H126</f>
        <v>-91.1421052631586</v>
      </c>
      <c r="L126" s="11" t="n">
        <f aca="false">IF(AND(H126=0,J126=0),0,IF(H126=0,"New",(J126-H126)/H126))</f>
        <v>-0.0152312213210713</v>
      </c>
    </row>
    <row r="127" customFormat="false" ht="15" hidden="false" customHeight="true" outlineLevel="0" collapsed="false">
      <c r="A127" s="8" t="s">
        <v>196</v>
      </c>
      <c r="B127" s="8" t="str">
        <f aca="false">IFERROR(INDEX('Source 2026'!$C:$C,MATCH($A127,'Source 2026'!$B:$B,0)),IFERROR(INDEX('Source 2025'!$C:$C,MATCH($A127,'Source 2025'!$B:$B,0)),""))</f>
        <v>מקבע קרסול</v>
      </c>
      <c r="C127" s="9" t="n">
        <f aca="false">SUMIFS('Source 2025'!$F:$F,'Source 2025'!$B:$B,$A127,'Source 2025'!$A:$A,"Quantity (units)")+SUMIFS('Source 2025'!$H:$H,'Source 2025'!$B:$B,$A127,'Source 2025'!$A:$A,"Quantity (units)")+SUMIFS('Source 2025'!$M:$M,'Source 2025'!$B:$B,$A127,'Source 2025'!$A:$A,"Quantity (units)")+SUMIFS('Source 2025'!$N:$N,'Source 2025'!$B:$B,$A127,'Source 2025'!$A:$A,"Quantity (units)")+SUMIFS('Source 2025'!$S:$S,'Source 2025'!$B:$B,$A127,'Source 2025'!$A:$A,"Quantity (units)")+SUMIFS('Source 2025'!$U:$U,'Source 2025'!$B:$B,$A127,'Source 2025'!$A:$A,"Quantity (units)")+SUMIFS('Source 2025'!$D:$D,'Source 2025'!$B:$B,$A127,'Source 2025'!$A:$A,"Quantity (units)")+SUMIFS('Source 2025'!$E:$E,'Source 2025'!$B:$B,$A127,'Source 2025'!$A:$A,"Quantity (units)")+SUMIFS('Source 2025'!$G:$G,'Source 2025'!$B:$B,$A127,'Source 2025'!$A:$A,"Quantity (units)")</f>
        <v>0</v>
      </c>
      <c r="D127" s="9" t="n">
        <f aca="false">SUMIFS('Source 2026'!$F:$F,'Source 2026'!$B:$B,$A127,'Source 2026'!$A:$A,"Quantity (units)")+SUMIFS('Source 2026'!$H:$H,'Source 2026'!$B:$B,$A127,'Source 2026'!$A:$A,"Quantity (units)")+SUMIFS('Source 2026'!$M:$M,'Source 2026'!$B:$B,$A127,'Source 2026'!$A:$A,"Quantity (units)")+SUMIFS('Source 2026'!$N:$N,'Source 2026'!$B:$B,$A127,'Source 2026'!$A:$A,"Quantity (units)")+SUMIFS('Source 2026'!$S:$S,'Source 2026'!$B:$B,$A127,'Source 2026'!$A:$A,"Quantity (units)")+SUMIFS('Source 2026'!$U:$U,'Source 2026'!$B:$B,$A127,'Source 2026'!$A:$A,"Quantity (units)")+SUMIFS('Source 2026'!$D:$D,'Source 2026'!$B:$B,$A127,'Source 2026'!$A:$A,"Quantity (units)")+SUMIFS('Source 2026'!$E:$E,'Source 2026'!$B:$B,$A127,'Source 2026'!$A:$A,"Quantity (units)")+SUMIFS('Source 2026'!$G:$G,'Source 2026'!$B:$B,$A127,'Source 2026'!$A:$A,"Quantity (units)")</f>
        <v>8</v>
      </c>
      <c r="E127" s="9" t="n">
        <f aca="false">D127*$J$5</f>
        <v>10.1052631578947</v>
      </c>
      <c r="F127" s="9" t="n">
        <f aca="false">E127-C127</f>
        <v>10.1052631578947</v>
      </c>
      <c r="G127" s="11" t="str">
        <f aca="false">IF(AND(C127=0,E127=0),0,IF(C127=0,"New",(E127-C127)/C127))</f>
        <v>New</v>
      </c>
      <c r="H127" s="9" t="n">
        <f aca="false">SUMIFS('Source 2025'!$F:$F,'Source 2025'!$B:$B,$A127,'Source 2025'!$A:$A,"Amount (NIS)")+SUMIFS('Source 2025'!$H:$H,'Source 2025'!$B:$B,$A127,'Source 2025'!$A:$A,"Amount (NIS)")+SUMIFS('Source 2025'!$M:$M,'Source 2025'!$B:$B,$A127,'Source 2025'!$A:$A,"Amount (NIS)")+SUMIFS('Source 2025'!$N:$N,'Source 2025'!$B:$B,$A127,'Source 2025'!$A:$A,"Amount (NIS)")+SUMIFS('Source 2025'!$S:$S,'Source 2025'!$B:$B,$A127,'Source 2025'!$A:$A,"Amount (NIS)")+SUMIFS('Source 2025'!$U:$U,'Source 2025'!$B:$B,$A127,'Source 2025'!$A:$A,"Amount (NIS)")+SUMIFS('Source 2025'!$D:$D,'Source 2025'!$B:$B,$A127,'Source 2025'!$A:$A,"Amount (NIS)")+SUMIFS('Source 2025'!$E:$E,'Source 2025'!$B:$B,$A127,'Source 2025'!$A:$A,"Amount (NIS)")+SUMIFS('Source 2025'!$G:$G,'Source 2025'!$B:$B,$A127,'Source 2025'!$A:$A,"Amount (NIS)")</f>
        <v>0</v>
      </c>
      <c r="I127" s="9" t="n">
        <f aca="false">SUMIFS('Source 2026'!$F:$F,'Source 2026'!$B:$B,$A127,'Source 2026'!$A:$A,"Amount (NIS)")+SUMIFS('Source 2026'!$H:$H,'Source 2026'!$B:$B,$A127,'Source 2026'!$A:$A,"Amount (NIS)")+SUMIFS('Source 2026'!$M:$M,'Source 2026'!$B:$B,$A127,'Source 2026'!$A:$A,"Amount (NIS)")+SUMIFS('Source 2026'!$N:$N,'Source 2026'!$B:$B,$A127,'Source 2026'!$A:$A,"Amount (NIS)")+SUMIFS('Source 2026'!$S:$S,'Source 2026'!$B:$B,$A127,'Source 2026'!$A:$A,"Amount (NIS)")+SUMIFS('Source 2026'!$U:$U,'Source 2026'!$B:$B,$A127,'Source 2026'!$A:$A,"Amount (NIS)")+SUMIFS('Source 2026'!$D:$D,'Source 2026'!$B:$B,$A127,'Source 2026'!$A:$A,"Amount (NIS)")+SUMIFS('Source 2026'!$E:$E,'Source 2026'!$B:$B,$A127,'Source 2026'!$A:$A,"Amount (NIS)")+SUMIFS('Source 2026'!$G:$G,'Source 2026'!$B:$B,$A127,'Source 2026'!$A:$A,"Amount (NIS)")</f>
        <v>1301.1</v>
      </c>
      <c r="J127" s="9" t="n">
        <f aca="false">I127*$J$5</f>
        <v>1643.49473684211</v>
      </c>
      <c r="K127" s="9" t="n">
        <f aca="false">J127-H127</f>
        <v>1643.49473684211</v>
      </c>
      <c r="L127" s="11" t="str">
        <f aca="false">IF(AND(H127=0,J127=0),0,IF(H127=0,"New",(J127-H127)/H127))</f>
        <v>New</v>
      </c>
    </row>
    <row r="128" customFormat="false" ht="15" hidden="false" customHeight="true" outlineLevel="0" collapsed="false">
      <c r="A128" s="8" t="s">
        <v>197</v>
      </c>
      <c r="B128" s="8" t="str">
        <f aca="false">IFERROR(INDEX('Source 2026'!$C:$C,MATCH($A128,'Source 2026'!$B:$B,0)),IFERROR(INDEX('Source 2025'!$C:$C,MATCH($A128,'Source 2025'!$B:$B,0)),""))</f>
        <v>נצמדת בז' 20 מ""מ</v>
      </c>
      <c r="C128" s="9" t="n">
        <f aca="false">SUMIFS('Source 2025'!$F:$F,'Source 2025'!$B:$B,$A128,'Source 2025'!$A:$A,"Quantity (units)")+SUMIFS('Source 2025'!$H:$H,'Source 2025'!$B:$B,$A128,'Source 2025'!$A:$A,"Quantity (units)")+SUMIFS('Source 2025'!$M:$M,'Source 2025'!$B:$B,$A128,'Source 2025'!$A:$A,"Quantity (units)")+SUMIFS('Source 2025'!$N:$N,'Source 2025'!$B:$B,$A128,'Source 2025'!$A:$A,"Quantity (units)")+SUMIFS('Source 2025'!$S:$S,'Source 2025'!$B:$B,$A128,'Source 2025'!$A:$A,"Quantity (units)")+SUMIFS('Source 2025'!$U:$U,'Source 2025'!$B:$B,$A128,'Source 2025'!$A:$A,"Quantity (units)")+SUMIFS('Source 2025'!$D:$D,'Source 2025'!$B:$B,$A128,'Source 2025'!$A:$A,"Quantity (units)")+SUMIFS('Source 2025'!$E:$E,'Source 2025'!$B:$B,$A128,'Source 2025'!$A:$A,"Quantity (units)")+SUMIFS('Source 2025'!$G:$G,'Source 2025'!$B:$B,$A128,'Source 2025'!$A:$A,"Quantity (units)")</f>
        <v>702</v>
      </c>
      <c r="D128" s="9" t="n">
        <f aca="false">SUMIFS('Source 2026'!$F:$F,'Source 2026'!$B:$B,$A128,'Source 2026'!$A:$A,"Quantity (units)")+SUMIFS('Source 2026'!$H:$H,'Source 2026'!$B:$B,$A128,'Source 2026'!$A:$A,"Quantity (units)")+SUMIFS('Source 2026'!$M:$M,'Source 2026'!$B:$B,$A128,'Source 2026'!$A:$A,"Quantity (units)")+SUMIFS('Source 2026'!$N:$N,'Source 2026'!$B:$B,$A128,'Source 2026'!$A:$A,"Quantity (units)")+SUMIFS('Source 2026'!$S:$S,'Source 2026'!$B:$B,$A128,'Source 2026'!$A:$A,"Quantity (units)")+SUMIFS('Source 2026'!$U:$U,'Source 2026'!$B:$B,$A128,'Source 2026'!$A:$A,"Quantity (units)")+SUMIFS('Source 2026'!$D:$D,'Source 2026'!$B:$B,$A128,'Source 2026'!$A:$A,"Quantity (units)")+SUMIFS('Source 2026'!$E:$E,'Source 2026'!$B:$B,$A128,'Source 2026'!$A:$A,"Quantity (units)")+SUMIFS('Source 2026'!$G:$G,'Source 2026'!$B:$B,$A128,'Source 2026'!$A:$A,"Quantity (units)")</f>
        <v>745</v>
      </c>
      <c r="E128" s="9" t="n">
        <f aca="false">D128*$J$5</f>
        <v>941.052631578947</v>
      </c>
      <c r="F128" s="9" t="n">
        <f aca="false">E128-C128</f>
        <v>239.052631578947</v>
      </c>
      <c r="G128" s="11" t="n">
        <f aca="false">IF(AND(C128=0,E128=0),0,IF(C128=0,"New",(E128-C128)/C128))</f>
        <v>0.340530814215025</v>
      </c>
      <c r="H128" s="9" t="n">
        <f aca="false">SUMIFS('Source 2025'!$F:$F,'Source 2025'!$B:$B,$A128,'Source 2025'!$A:$A,"Amount (NIS)")+SUMIFS('Source 2025'!$H:$H,'Source 2025'!$B:$B,$A128,'Source 2025'!$A:$A,"Amount (NIS)")+SUMIFS('Source 2025'!$M:$M,'Source 2025'!$B:$B,$A128,'Source 2025'!$A:$A,"Amount (NIS)")+SUMIFS('Source 2025'!$N:$N,'Source 2025'!$B:$B,$A128,'Source 2025'!$A:$A,"Amount (NIS)")+SUMIFS('Source 2025'!$S:$S,'Source 2025'!$B:$B,$A128,'Source 2025'!$A:$A,"Amount (NIS)")+SUMIFS('Source 2025'!$U:$U,'Source 2025'!$B:$B,$A128,'Source 2025'!$A:$A,"Amount (NIS)")+SUMIFS('Source 2025'!$D:$D,'Source 2025'!$B:$B,$A128,'Source 2025'!$A:$A,"Amount (NIS)")+SUMIFS('Source 2025'!$E:$E,'Source 2025'!$B:$B,$A128,'Source 2025'!$A:$A,"Amount (NIS)")+SUMIFS('Source 2025'!$G:$G,'Source 2025'!$B:$B,$A128,'Source 2025'!$A:$A,"Amount (NIS)")</f>
        <v>7071.1</v>
      </c>
      <c r="I128" s="9" t="n">
        <f aca="false">SUMIFS('Source 2026'!$F:$F,'Source 2026'!$B:$B,$A128,'Source 2026'!$A:$A,"Amount (NIS)")+SUMIFS('Source 2026'!$H:$H,'Source 2026'!$B:$B,$A128,'Source 2026'!$A:$A,"Amount (NIS)")+SUMIFS('Source 2026'!$M:$M,'Source 2026'!$B:$B,$A128,'Source 2026'!$A:$A,"Amount (NIS)")+SUMIFS('Source 2026'!$N:$N,'Source 2026'!$B:$B,$A128,'Source 2026'!$A:$A,"Amount (NIS)")+SUMIFS('Source 2026'!$S:$S,'Source 2026'!$B:$B,$A128,'Source 2026'!$A:$A,"Amount (NIS)")+SUMIFS('Source 2026'!$U:$U,'Source 2026'!$B:$B,$A128,'Source 2026'!$A:$A,"Amount (NIS)")+SUMIFS('Source 2026'!$D:$D,'Source 2026'!$B:$B,$A128,'Source 2026'!$A:$A,"Amount (NIS)")+SUMIFS('Source 2026'!$E:$E,'Source 2026'!$B:$B,$A128,'Source 2026'!$A:$A,"Amount (NIS)")+SUMIFS('Source 2026'!$G:$G,'Source 2026'!$B:$B,$A128,'Source 2026'!$A:$A,"Amount (NIS)")</f>
        <v>8337</v>
      </c>
      <c r="J128" s="9" t="n">
        <f aca="false">I128*$J$5</f>
        <v>10530.9473684211</v>
      </c>
      <c r="K128" s="9" t="n">
        <f aca="false">J128-H128</f>
        <v>3459.84736842105</v>
      </c>
      <c r="L128" s="11" t="n">
        <f aca="false">IF(AND(H128=0,J128=0),0,IF(H128=0,"New",(J128-H128)/H128))</f>
        <v>0.48929407990568</v>
      </c>
    </row>
    <row r="129" customFormat="false" ht="15" hidden="false" customHeight="true" outlineLevel="0" collapsed="false">
      <c r="A129" s="8" t="s">
        <v>198</v>
      </c>
      <c r="B129" s="8" t="str">
        <f aca="false">IFERROR(INDEX('Source 2026'!$C:$C,MATCH($A129,'Source 2026'!$B:$B,0)),IFERROR(INDEX('Source 2025'!$C:$C,MATCH($A129,'Source 2025'!$B:$B,0)),""))</f>
        <v>לחץ מיבלת2יח</v>
      </c>
      <c r="C129" s="9" t="n">
        <f aca="false">SUMIFS('Source 2025'!$F:$F,'Source 2025'!$B:$B,$A129,'Source 2025'!$A:$A,"Quantity (units)")+SUMIFS('Source 2025'!$H:$H,'Source 2025'!$B:$B,$A129,'Source 2025'!$A:$A,"Quantity (units)")+SUMIFS('Source 2025'!$M:$M,'Source 2025'!$B:$B,$A129,'Source 2025'!$A:$A,"Quantity (units)")+SUMIFS('Source 2025'!$N:$N,'Source 2025'!$B:$B,$A129,'Source 2025'!$A:$A,"Quantity (units)")+SUMIFS('Source 2025'!$S:$S,'Source 2025'!$B:$B,$A129,'Source 2025'!$A:$A,"Quantity (units)")+SUMIFS('Source 2025'!$U:$U,'Source 2025'!$B:$B,$A129,'Source 2025'!$A:$A,"Quantity (units)")+SUMIFS('Source 2025'!$D:$D,'Source 2025'!$B:$B,$A129,'Source 2025'!$A:$A,"Quantity (units)")+SUMIFS('Source 2025'!$E:$E,'Source 2025'!$B:$B,$A129,'Source 2025'!$A:$A,"Quantity (units)")+SUMIFS('Source 2025'!$G:$G,'Source 2025'!$B:$B,$A129,'Source 2025'!$A:$A,"Quantity (units)")</f>
        <v>260</v>
      </c>
      <c r="D129" s="9" t="n">
        <f aca="false">SUMIFS('Source 2026'!$F:$F,'Source 2026'!$B:$B,$A129,'Source 2026'!$A:$A,"Quantity (units)")+SUMIFS('Source 2026'!$H:$H,'Source 2026'!$B:$B,$A129,'Source 2026'!$A:$A,"Quantity (units)")+SUMIFS('Source 2026'!$M:$M,'Source 2026'!$B:$B,$A129,'Source 2026'!$A:$A,"Quantity (units)")+SUMIFS('Source 2026'!$N:$N,'Source 2026'!$B:$B,$A129,'Source 2026'!$A:$A,"Quantity (units)")+SUMIFS('Source 2026'!$S:$S,'Source 2026'!$B:$B,$A129,'Source 2026'!$A:$A,"Quantity (units)")+SUMIFS('Source 2026'!$U:$U,'Source 2026'!$B:$B,$A129,'Source 2026'!$A:$A,"Quantity (units)")+SUMIFS('Source 2026'!$D:$D,'Source 2026'!$B:$B,$A129,'Source 2026'!$A:$A,"Quantity (units)")+SUMIFS('Source 2026'!$E:$E,'Source 2026'!$B:$B,$A129,'Source 2026'!$A:$A,"Quantity (units)")+SUMIFS('Source 2026'!$G:$G,'Source 2026'!$B:$B,$A129,'Source 2026'!$A:$A,"Quantity (units)")</f>
        <v>185</v>
      </c>
      <c r="E129" s="9" t="n">
        <f aca="false">D129*$J$5</f>
        <v>233.684210526316</v>
      </c>
      <c r="F129" s="9" t="n">
        <f aca="false">E129-C129</f>
        <v>-26.3157894736842</v>
      </c>
      <c r="G129" s="11" t="n">
        <f aca="false">IF(AND(C129=0,E129=0),0,IF(C129=0,"New",(E129-C129)/C129))</f>
        <v>-0.101214574898785</v>
      </c>
      <c r="H129" s="9" t="n">
        <f aca="false">SUMIFS('Source 2025'!$F:$F,'Source 2025'!$B:$B,$A129,'Source 2025'!$A:$A,"Amount (NIS)")+SUMIFS('Source 2025'!$H:$H,'Source 2025'!$B:$B,$A129,'Source 2025'!$A:$A,"Amount (NIS)")+SUMIFS('Source 2025'!$M:$M,'Source 2025'!$B:$B,$A129,'Source 2025'!$A:$A,"Amount (NIS)")+SUMIFS('Source 2025'!$N:$N,'Source 2025'!$B:$B,$A129,'Source 2025'!$A:$A,"Amount (NIS)")+SUMIFS('Source 2025'!$S:$S,'Source 2025'!$B:$B,$A129,'Source 2025'!$A:$A,"Amount (NIS)")+SUMIFS('Source 2025'!$U:$U,'Source 2025'!$B:$B,$A129,'Source 2025'!$A:$A,"Amount (NIS)")+SUMIFS('Source 2025'!$D:$D,'Source 2025'!$B:$B,$A129,'Source 2025'!$A:$A,"Amount (NIS)")+SUMIFS('Source 2025'!$E:$E,'Source 2025'!$B:$B,$A129,'Source 2025'!$A:$A,"Amount (NIS)")+SUMIFS('Source 2025'!$G:$G,'Source 2025'!$B:$B,$A129,'Source 2025'!$A:$A,"Amount (NIS)")</f>
        <v>4077.9</v>
      </c>
      <c r="I129" s="9" t="n">
        <f aca="false">SUMIFS('Source 2026'!$F:$F,'Source 2026'!$B:$B,$A129,'Source 2026'!$A:$A,"Amount (NIS)")+SUMIFS('Source 2026'!$H:$H,'Source 2026'!$B:$B,$A129,'Source 2026'!$A:$A,"Amount (NIS)")+SUMIFS('Source 2026'!$M:$M,'Source 2026'!$B:$B,$A129,'Source 2026'!$A:$A,"Amount (NIS)")+SUMIFS('Source 2026'!$N:$N,'Source 2026'!$B:$B,$A129,'Source 2026'!$A:$A,"Amount (NIS)")+SUMIFS('Source 2026'!$S:$S,'Source 2026'!$B:$B,$A129,'Source 2026'!$A:$A,"Amount (NIS)")+SUMIFS('Source 2026'!$U:$U,'Source 2026'!$B:$B,$A129,'Source 2026'!$A:$A,"Amount (NIS)")+SUMIFS('Source 2026'!$D:$D,'Source 2026'!$B:$B,$A129,'Source 2026'!$A:$A,"Amount (NIS)")+SUMIFS('Source 2026'!$E:$E,'Source 2026'!$B:$B,$A129,'Source 2026'!$A:$A,"Amount (NIS)")+SUMIFS('Source 2026'!$G:$G,'Source 2026'!$B:$B,$A129,'Source 2026'!$A:$A,"Amount (NIS)")</f>
        <v>2821.7</v>
      </c>
      <c r="J129" s="9" t="n">
        <f aca="false">I129*$J$5</f>
        <v>3564.25263157895</v>
      </c>
      <c r="K129" s="9" t="n">
        <f aca="false">J129-H129</f>
        <v>-513.647368421052</v>
      </c>
      <c r="L129" s="11" t="n">
        <f aca="false">IF(AND(H129=0,J129=0),0,IF(H129=0,"New",(J129-H129)/H129))</f>
        <v>-0.125958794580802</v>
      </c>
    </row>
    <row r="130" customFormat="false" ht="15" hidden="false" customHeight="true" outlineLevel="0" collapsed="false">
      <c r="A130" s="8" t="s">
        <v>199</v>
      </c>
      <c r="B130" s="8" t="str">
        <f aca="false">IFERROR(INDEX('Source 2026'!$C:$C,MATCH($A130,'Source 2026'!$B:$B,0)),IFERROR(INDEX('Source 2025'!$C:$C,MATCH($A130,'Source 2025'!$B:$B,0)),""))</f>
        <v>סד ליישור אצבע</v>
      </c>
      <c r="C130" s="9" t="n">
        <f aca="false">SUMIFS('Source 2025'!$F:$F,'Source 2025'!$B:$B,$A130,'Source 2025'!$A:$A,"Quantity (units)")+SUMIFS('Source 2025'!$H:$H,'Source 2025'!$B:$B,$A130,'Source 2025'!$A:$A,"Quantity (units)")+SUMIFS('Source 2025'!$M:$M,'Source 2025'!$B:$B,$A130,'Source 2025'!$A:$A,"Quantity (units)")+SUMIFS('Source 2025'!$N:$N,'Source 2025'!$B:$B,$A130,'Source 2025'!$A:$A,"Quantity (units)")+SUMIFS('Source 2025'!$S:$S,'Source 2025'!$B:$B,$A130,'Source 2025'!$A:$A,"Quantity (units)")+SUMIFS('Source 2025'!$U:$U,'Source 2025'!$B:$B,$A130,'Source 2025'!$A:$A,"Quantity (units)")+SUMIFS('Source 2025'!$D:$D,'Source 2025'!$B:$B,$A130,'Source 2025'!$A:$A,"Quantity (units)")+SUMIFS('Source 2025'!$E:$E,'Source 2025'!$B:$B,$A130,'Source 2025'!$A:$A,"Quantity (units)")+SUMIFS('Source 2025'!$G:$G,'Source 2025'!$B:$B,$A130,'Source 2025'!$A:$A,"Quantity (units)")</f>
        <v>222</v>
      </c>
      <c r="D130" s="9" t="n">
        <f aca="false">SUMIFS('Source 2026'!$F:$F,'Source 2026'!$B:$B,$A130,'Source 2026'!$A:$A,"Quantity (units)")+SUMIFS('Source 2026'!$H:$H,'Source 2026'!$B:$B,$A130,'Source 2026'!$A:$A,"Quantity (units)")+SUMIFS('Source 2026'!$M:$M,'Source 2026'!$B:$B,$A130,'Source 2026'!$A:$A,"Quantity (units)")+SUMIFS('Source 2026'!$N:$N,'Source 2026'!$B:$B,$A130,'Source 2026'!$A:$A,"Quantity (units)")+SUMIFS('Source 2026'!$S:$S,'Source 2026'!$B:$B,$A130,'Source 2026'!$A:$A,"Quantity (units)")+SUMIFS('Source 2026'!$U:$U,'Source 2026'!$B:$B,$A130,'Source 2026'!$A:$A,"Quantity (units)")+SUMIFS('Source 2026'!$D:$D,'Source 2026'!$B:$B,$A130,'Source 2026'!$A:$A,"Quantity (units)")+SUMIFS('Source 2026'!$E:$E,'Source 2026'!$B:$B,$A130,'Source 2026'!$A:$A,"Quantity (units)")+SUMIFS('Source 2026'!$G:$G,'Source 2026'!$B:$B,$A130,'Source 2026'!$A:$A,"Quantity (units)")</f>
        <v>154</v>
      </c>
      <c r="E130" s="9" t="n">
        <f aca="false">D130*$J$5</f>
        <v>194.526315789474</v>
      </c>
      <c r="F130" s="9" t="n">
        <f aca="false">E130-C130</f>
        <v>-27.4736842105263</v>
      </c>
      <c r="G130" s="11" t="n">
        <f aca="false">IF(AND(C130=0,E130=0),0,IF(C130=0,"New",(E130-C130)/C130))</f>
        <v>-0.12375533428165</v>
      </c>
      <c r="H130" s="9" t="n">
        <f aca="false">SUMIFS('Source 2025'!$F:$F,'Source 2025'!$B:$B,$A130,'Source 2025'!$A:$A,"Amount (NIS)")+SUMIFS('Source 2025'!$H:$H,'Source 2025'!$B:$B,$A130,'Source 2025'!$A:$A,"Amount (NIS)")+SUMIFS('Source 2025'!$M:$M,'Source 2025'!$B:$B,$A130,'Source 2025'!$A:$A,"Amount (NIS)")+SUMIFS('Source 2025'!$N:$N,'Source 2025'!$B:$B,$A130,'Source 2025'!$A:$A,"Amount (NIS)")+SUMIFS('Source 2025'!$S:$S,'Source 2025'!$B:$B,$A130,'Source 2025'!$A:$A,"Amount (NIS)")+SUMIFS('Source 2025'!$U:$U,'Source 2025'!$B:$B,$A130,'Source 2025'!$A:$A,"Amount (NIS)")+SUMIFS('Source 2025'!$D:$D,'Source 2025'!$B:$B,$A130,'Source 2025'!$A:$A,"Amount (NIS)")+SUMIFS('Source 2025'!$E:$E,'Source 2025'!$B:$B,$A130,'Source 2025'!$A:$A,"Amount (NIS)")+SUMIFS('Source 2025'!$G:$G,'Source 2025'!$B:$B,$A130,'Source 2025'!$A:$A,"Amount (NIS)")</f>
        <v>4293</v>
      </c>
      <c r="I130" s="9" t="n">
        <f aca="false">SUMIFS('Source 2026'!$F:$F,'Source 2026'!$B:$B,$A130,'Source 2026'!$A:$A,"Amount (NIS)")+SUMIFS('Source 2026'!$H:$H,'Source 2026'!$B:$B,$A130,'Source 2026'!$A:$A,"Amount (NIS)")+SUMIFS('Source 2026'!$M:$M,'Source 2026'!$B:$B,$A130,'Source 2026'!$A:$A,"Amount (NIS)")+SUMIFS('Source 2026'!$N:$N,'Source 2026'!$B:$B,$A130,'Source 2026'!$A:$A,"Amount (NIS)")+SUMIFS('Source 2026'!$S:$S,'Source 2026'!$B:$B,$A130,'Source 2026'!$A:$A,"Amount (NIS)")+SUMIFS('Source 2026'!$U:$U,'Source 2026'!$B:$B,$A130,'Source 2026'!$A:$A,"Amount (NIS)")+SUMIFS('Source 2026'!$D:$D,'Source 2026'!$B:$B,$A130,'Source 2026'!$A:$A,"Amount (NIS)")+SUMIFS('Source 2026'!$E:$E,'Source 2026'!$B:$B,$A130,'Source 2026'!$A:$A,"Amount (NIS)")+SUMIFS('Source 2026'!$G:$G,'Source 2026'!$B:$B,$A130,'Source 2026'!$A:$A,"Amount (NIS)")</f>
        <v>3046.2</v>
      </c>
      <c r="J130" s="9" t="n">
        <f aca="false">I130*$J$5</f>
        <v>3847.83157894737</v>
      </c>
      <c r="K130" s="9" t="n">
        <f aca="false">J130-H130</f>
        <v>-445.168421052631</v>
      </c>
      <c r="L130" s="11" t="n">
        <f aca="false">IF(AND(H130=0,J130=0),0,IF(H130=0,"New",(J130-H130)/H130))</f>
        <v>-0.103696347787708</v>
      </c>
    </row>
    <row r="131" customFormat="false" ht="15" hidden="false" customHeight="true" outlineLevel="0" collapsed="false">
      <c r="A131" s="8" t="s">
        <v>200</v>
      </c>
      <c r="B131" s="8" t="str">
        <f aca="false">IFERROR(INDEX('Source 2026'!$C:$C,MATCH($A131,'Source 2026'!$B:$B,0)),IFERROR(INDEX('Source 2025'!$C:$C,MATCH($A131,'Source 2025'!$B:$B,0)),""))</f>
        <v>41-45 'רפידת ג'ל בז</v>
      </c>
      <c r="C131" s="9" t="n">
        <f aca="false">SUMIFS('Source 2025'!$F:$F,'Source 2025'!$B:$B,$A131,'Source 2025'!$A:$A,"Quantity (units)")+SUMIFS('Source 2025'!$H:$H,'Source 2025'!$B:$B,$A131,'Source 2025'!$A:$A,"Quantity (units)")+SUMIFS('Source 2025'!$M:$M,'Source 2025'!$B:$B,$A131,'Source 2025'!$A:$A,"Quantity (units)")+SUMIFS('Source 2025'!$N:$N,'Source 2025'!$B:$B,$A131,'Source 2025'!$A:$A,"Quantity (units)")+SUMIFS('Source 2025'!$S:$S,'Source 2025'!$B:$B,$A131,'Source 2025'!$A:$A,"Quantity (units)")+SUMIFS('Source 2025'!$U:$U,'Source 2025'!$B:$B,$A131,'Source 2025'!$A:$A,"Quantity (units)")+SUMIFS('Source 2025'!$D:$D,'Source 2025'!$B:$B,$A131,'Source 2025'!$A:$A,"Quantity (units)")+SUMIFS('Source 2025'!$E:$E,'Source 2025'!$B:$B,$A131,'Source 2025'!$A:$A,"Quantity (units)")+SUMIFS('Source 2025'!$G:$G,'Source 2025'!$B:$B,$A131,'Source 2025'!$A:$A,"Quantity (units)")</f>
        <v>28</v>
      </c>
      <c r="D131" s="9" t="n">
        <f aca="false">SUMIFS('Source 2026'!$F:$F,'Source 2026'!$B:$B,$A131,'Source 2026'!$A:$A,"Quantity (units)")+SUMIFS('Source 2026'!$H:$H,'Source 2026'!$B:$B,$A131,'Source 2026'!$A:$A,"Quantity (units)")+SUMIFS('Source 2026'!$M:$M,'Source 2026'!$B:$B,$A131,'Source 2026'!$A:$A,"Quantity (units)")+SUMIFS('Source 2026'!$N:$N,'Source 2026'!$B:$B,$A131,'Source 2026'!$A:$A,"Quantity (units)")+SUMIFS('Source 2026'!$S:$S,'Source 2026'!$B:$B,$A131,'Source 2026'!$A:$A,"Quantity (units)")+SUMIFS('Source 2026'!$U:$U,'Source 2026'!$B:$B,$A131,'Source 2026'!$A:$A,"Quantity (units)")+SUMIFS('Source 2026'!$D:$D,'Source 2026'!$B:$B,$A131,'Source 2026'!$A:$A,"Quantity (units)")+SUMIFS('Source 2026'!$E:$E,'Source 2026'!$B:$B,$A131,'Source 2026'!$A:$A,"Quantity (units)")+SUMIFS('Source 2026'!$G:$G,'Source 2026'!$B:$B,$A131,'Source 2026'!$A:$A,"Quantity (units)")</f>
        <v>3</v>
      </c>
      <c r="E131" s="9" t="n">
        <f aca="false">D131*$J$5</f>
        <v>3.78947368421053</v>
      </c>
      <c r="F131" s="9" t="n">
        <f aca="false">E131-C131</f>
        <v>-24.2105263157895</v>
      </c>
      <c r="G131" s="11" t="n">
        <f aca="false">IF(AND(C131=0,E131=0),0,IF(C131=0,"New",(E131-C131)/C131))</f>
        <v>-0.864661654135338</v>
      </c>
      <c r="H131" s="9" t="n">
        <f aca="false">SUMIFS('Source 2025'!$F:$F,'Source 2025'!$B:$B,$A131,'Source 2025'!$A:$A,"Amount (NIS)")+SUMIFS('Source 2025'!$H:$H,'Source 2025'!$B:$B,$A131,'Source 2025'!$A:$A,"Amount (NIS)")+SUMIFS('Source 2025'!$M:$M,'Source 2025'!$B:$B,$A131,'Source 2025'!$A:$A,"Amount (NIS)")+SUMIFS('Source 2025'!$N:$N,'Source 2025'!$B:$B,$A131,'Source 2025'!$A:$A,"Amount (NIS)")+SUMIFS('Source 2025'!$S:$S,'Source 2025'!$B:$B,$A131,'Source 2025'!$A:$A,"Amount (NIS)")+SUMIFS('Source 2025'!$U:$U,'Source 2025'!$B:$B,$A131,'Source 2025'!$A:$A,"Amount (NIS)")+SUMIFS('Source 2025'!$D:$D,'Source 2025'!$B:$B,$A131,'Source 2025'!$A:$A,"Amount (NIS)")+SUMIFS('Source 2025'!$E:$E,'Source 2025'!$B:$B,$A131,'Source 2025'!$A:$A,"Amount (NIS)")+SUMIFS('Source 2025'!$G:$G,'Source 2025'!$B:$B,$A131,'Source 2025'!$A:$A,"Amount (NIS)")</f>
        <v>1431.1</v>
      </c>
      <c r="I131" s="9" t="n">
        <f aca="false">SUMIFS('Source 2026'!$F:$F,'Source 2026'!$B:$B,$A131,'Source 2026'!$A:$A,"Amount (NIS)")+SUMIFS('Source 2026'!$H:$H,'Source 2026'!$B:$B,$A131,'Source 2026'!$A:$A,"Amount (NIS)")+SUMIFS('Source 2026'!$M:$M,'Source 2026'!$B:$B,$A131,'Source 2026'!$A:$A,"Amount (NIS)")+SUMIFS('Source 2026'!$N:$N,'Source 2026'!$B:$B,$A131,'Source 2026'!$A:$A,"Amount (NIS)")+SUMIFS('Source 2026'!$S:$S,'Source 2026'!$B:$B,$A131,'Source 2026'!$A:$A,"Amount (NIS)")+SUMIFS('Source 2026'!$U:$U,'Source 2026'!$B:$B,$A131,'Source 2026'!$A:$A,"Amount (NIS)")+SUMIFS('Source 2026'!$D:$D,'Source 2026'!$B:$B,$A131,'Source 2026'!$A:$A,"Amount (NIS)")+SUMIFS('Source 2026'!$E:$E,'Source 2026'!$B:$B,$A131,'Source 2026'!$A:$A,"Amount (NIS)")+SUMIFS('Source 2026'!$G:$G,'Source 2026'!$B:$B,$A131,'Source 2026'!$A:$A,"Amount (NIS)")</f>
        <v>185.1</v>
      </c>
      <c r="J131" s="9" t="n">
        <f aca="false">I131*$J$5</f>
        <v>233.810526315789</v>
      </c>
      <c r="K131" s="9" t="n">
        <f aca="false">J131-H131</f>
        <v>-1197.28947368421</v>
      </c>
      <c r="L131" s="11" t="n">
        <f aca="false">IF(AND(H131=0,J131=0),0,IF(H131=0,"New",(J131-H131)/H131))</f>
        <v>-0.836621810973524</v>
      </c>
    </row>
    <row r="132" customFormat="false" ht="15" hidden="false" customHeight="true" outlineLevel="0" collapsed="false">
      <c r="A132" s="8" t="s">
        <v>201</v>
      </c>
      <c r="B132" s="8" t="str">
        <f aca="false">IFERROR(INDEX('Source 2026'!$C:$C,MATCH($A132,'Source 2026'!$B:$B,0)),IFERROR(INDEX('Source 2025'!$C:$C,MATCH($A132,'Source 2025'!$B:$B,0)),""))</f>
        <v>9 מ""ס להתאמהX5 מדבקה גדולה</v>
      </c>
      <c r="C132" s="9" t="n">
        <f aca="false">SUMIFS('Source 2025'!$F:$F,'Source 2025'!$B:$B,$A132,'Source 2025'!$A:$A,"Quantity (units)")+SUMIFS('Source 2025'!$H:$H,'Source 2025'!$B:$B,$A132,'Source 2025'!$A:$A,"Quantity (units)")+SUMIFS('Source 2025'!$M:$M,'Source 2025'!$B:$B,$A132,'Source 2025'!$A:$A,"Quantity (units)")+SUMIFS('Source 2025'!$N:$N,'Source 2025'!$B:$B,$A132,'Source 2025'!$A:$A,"Quantity (units)")+SUMIFS('Source 2025'!$S:$S,'Source 2025'!$B:$B,$A132,'Source 2025'!$A:$A,"Quantity (units)")+SUMIFS('Source 2025'!$U:$U,'Source 2025'!$B:$B,$A132,'Source 2025'!$A:$A,"Quantity (units)")+SUMIFS('Source 2025'!$D:$D,'Source 2025'!$B:$B,$A132,'Source 2025'!$A:$A,"Quantity (units)")+SUMIFS('Source 2025'!$E:$E,'Source 2025'!$B:$B,$A132,'Source 2025'!$A:$A,"Quantity (units)")+SUMIFS('Source 2025'!$G:$G,'Source 2025'!$B:$B,$A132,'Source 2025'!$A:$A,"Quantity (units)")</f>
        <v>116</v>
      </c>
      <c r="D132" s="9" t="n">
        <f aca="false">SUMIFS('Source 2026'!$F:$F,'Source 2026'!$B:$B,$A132,'Source 2026'!$A:$A,"Quantity (units)")+SUMIFS('Source 2026'!$H:$H,'Source 2026'!$B:$B,$A132,'Source 2026'!$A:$A,"Quantity (units)")+SUMIFS('Source 2026'!$M:$M,'Source 2026'!$B:$B,$A132,'Source 2026'!$A:$A,"Quantity (units)")+SUMIFS('Source 2026'!$N:$N,'Source 2026'!$B:$B,$A132,'Source 2026'!$A:$A,"Quantity (units)")+SUMIFS('Source 2026'!$S:$S,'Source 2026'!$B:$B,$A132,'Source 2026'!$A:$A,"Quantity (units)")+SUMIFS('Source 2026'!$U:$U,'Source 2026'!$B:$B,$A132,'Source 2026'!$A:$A,"Quantity (units)")+SUMIFS('Source 2026'!$D:$D,'Source 2026'!$B:$B,$A132,'Source 2026'!$A:$A,"Quantity (units)")+SUMIFS('Source 2026'!$E:$E,'Source 2026'!$B:$B,$A132,'Source 2026'!$A:$A,"Quantity (units)")+SUMIFS('Source 2026'!$G:$G,'Source 2026'!$B:$B,$A132,'Source 2026'!$A:$A,"Quantity (units)")</f>
        <v>59</v>
      </c>
      <c r="E132" s="9" t="n">
        <f aca="false">D132*$J$5</f>
        <v>74.5263157894737</v>
      </c>
      <c r="F132" s="9" t="n">
        <f aca="false">E132-C132</f>
        <v>-41.4736842105263</v>
      </c>
      <c r="G132" s="11" t="n">
        <f aca="false">IF(AND(C132=0,E132=0),0,IF(C132=0,"New",(E132-C132)/C132))</f>
        <v>-0.357531760435572</v>
      </c>
      <c r="H132" s="9" t="n">
        <f aca="false">SUMIFS('Source 2025'!$F:$F,'Source 2025'!$B:$B,$A132,'Source 2025'!$A:$A,"Amount (NIS)")+SUMIFS('Source 2025'!$H:$H,'Source 2025'!$B:$B,$A132,'Source 2025'!$A:$A,"Amount (NIS)")+SUMIFS('Source 2025'!$M:$M,'Source 2025'!$B:$B,$A132,'Source 2025'!$A:$A,"Amount (NIS)")+SUMIFS('Source 2025'!$N:$N,'Source 2025'!$B:$B,$A132,'Source 2025'!$A:$A,"Amount (NIS)")+SUMIFS('Source 2025'!$S:$S,'Source 2025'!$B:$B,$A132,'Source 2025'!$A:$A,"Amount (NIS)")+SUMIFS('Source 2025'!$U:$U,'Source 2025'!$B:$B,$A132,'Source 2025'!$A:$A,"Amount (NIS)")+SUMIFS('Source 2025'!$D:$D,'Source 2025'!$B:$B,$A132,'Source 2025'!$A:$A,"Amount (NIS)")+SUMIFS('Source 2025'!$E:$E,'Source 2025'!$B:$B,$A132,'Source 2025'!$A:$A,"Amount (NIS)")+SUMIFS('Source 2025'!$G:$G,'Source 2025'!$B:$B,$A132,'Source 2025'!$A:$A,"Amount (NIS)")</f>
        <v>2425</v>
      </c>
      <c r="I132" s="9" t="n">
        <f aca="false">SUMIFS('Source 2026'!$F:$F,'Source 2026'!$B:$B,$A132,'Source 2026'!$A:$A,"Amount (NIS)")+SUMIFS('Source 2026'!$H:$H,'Source 2026'!$B:$B,$A132,'Source 2026'!$A:$A,"Amount (NIS)")+SUMIFS('Source 2026'!$M:$M,'Source 2026'!$B:$B,$A132,'Source 2026'!$A:$A,"Amount (NIS)")+SUMIFS('Source 2026'!$N:$N,'Source 2026'!$B:$B,$A132,'Source 2026'!$A:$A,"Amount (NIS)")+SUMIFS('Source 2026'!$S:$S,'Source 2026'!$B:$B,$A132,'Source 2026'!$A:$A,"Amount (NIS)")+SUMIFS('Source 2026'!$U:$U,'Source 2026'!$B:$B,$A132,'Source 2026'!$A:$A,"Amount (NIS)")+SUMIFS('Source 2026'!$D:$D,'Source 2026'!$B:$B,$A132,'Source 2026'!$A:$A,"Amount (NIS)")+SUMIFS('Source 2026'!$E:$E,'Source 2026'!$B:$B,$A132,'Source 2026'!$A:$A,"Amount (NIS)")+SUMIFS('Source 2026'!$G:$G,'Source 2026'!$B:$B,$A132,'Source 2026'!$A:$A,"Amount (NIS)")</f>
        <v>1206.8</v>
      </c>
      <c r="J132" s="9" t="n">
        <f aca="false">I132*$J$5</f>
        <v>1524.37894736842</v>
      </c>
      <c r="K132" s="9" t="n">
        <f aca="false">J132-H132</f>
        <v>-900.621052631579</v>
      </c>
      <c r="L132" s="11" t="n">
        <f aca="false">IF(AND(H132=0,J132=0),0,IF(H132=0,"New",(J132-H132)/H132))</f>
        <v>-0.371390124796527</v>
      </c>
    </row>
    <row r="133" customFormat="false" ht="15" hidden="false" customHeight="true" outlineLevel="0" collapsed="false">
      <c r="A133" s="8" t="s">
        <v>202</v>
      </c>
      <c r="B133" s="8" t="str">
        <f aca="false">IFERROR(INDEX('Source 2026'!$C:$C,MATCH($A133,'Source 2026'!$B:$B,0)),IFERROR(INDEX('Source 2025'!$C:$C,MATCH($A133,'Source 2025'!$B:$B,0)),""))</f>
        <v>רפידת בולמת זעזועים -זוג</v>
      </c>
      <c r="C133" s="9" t="n">
        <f aca="false">SUMIFS('Source 2025'!$F:$F,'Source 2025'!$B:$B,$A133,'Source 2025'!$A:$A,"Quantity (units)")+SUMIFS('Source 2025'!$H:$H,'Source 2025'!$B:$B,$A133,'Source 2025'!$A:$A,"Quantity (units)")+SUMIFS('Source 2025'!$M:$M,'Source 2025'!$B:$B,$A133,'Source 2025'!$A:$A,"Quantity (units)")+SUMIFS('Source 2025'!$N:$N,'Source 2025'!$B:$B,$A133,'Source 2025'!$A:$A,"Quantity (units)")+SUMIFS('Source 2025'!$S:$S,'Source 2025'!$B:$B,$A133,'Source 2025'!$A:$A,"Quantity (units)")+SUMIFS('Source 2025'!$U:$U,'Source 2025'!$B:$B,$A133,'Source 2025'!$A:$A,"Quantity (units)")+SUMIFS('Source 2025'!$D:$D,'Source 2025'!$B:$B,$A133,'Source 2025'!$A:$A,"Quantity (units)")+SUMIFS('Source 2025'!$E:$E,'Source 2025'!$B:$B,$A133,'Source 2025'!$A:$A,"Quantity (units)")+SUMIFS('Source 2025'!$G:$G,'Source 2025'!$B:$B,$A133,'Source 2025'!$A:$A,"Quantity (units)")</f>
        <v>304</v>
      </c>
      <c r="D133" s="9" t="n">
        <f aca="false">SUMIFS('Source 2026'!$F:$F,'Source 2026'!$B:$B,$A133,'Source 2026'!$A:$A,"Quantity (units)")+SUMIFS('Source 2026'!$H:$H,'Source 2026'!$B:$B,$A133,'Source 2026'!$A:$A,"Quantity (units)")+SUMIFS('Source 2026'!$M:$M,'Source 2026'!$B:$B,$A133,'Source 2026'!$A:$A,"Quantity (units)")+SUMIFS('Source 2026'!$N:$N,'Source 2026'!$B:$B,$A133,'Source 2026'!$A:$A,"Quantity (units)")+SUMIFS('Source 2026'!$S:$S,'Source 2026'!$B:$B,$A133,'Source 2026'!$A:$A,"Quantity (units)")+SUMIFS('Source 2026'!$U:$U,'Source 2026'!$B:$B,$A133,'Source 2026'!$A:$A,"Quantity (units)")+SUMIFS('Source 2026'!$D:$D,'Source 2026'!$B:$B,$A133,'Source 2026'!$A:$A,"Quantity (units)")+SUMIFS('Source 2026'!$E:$E,'Source 2026'!$B:$B,$A133,'Source 2026'!$A:$A,"Quantity (units)")+SUMIFS('Source 2026'!$G:$G,'Source 2026'!$B:$B,$A133,'Source 2026'!$A:$A,"Quantity (units)")</f>
        <v>208</v>
      </c>
      <c r="E133" s="9" t="n">
        <f aca="false">D133*$J$5</f>
        <v>262.736842105263</v>
      </c>
      <c r="F133" s="9" t="n">
        <f aca="false">E133-C133</f>
        <v>-41.2631578947369</v>
      </c>
      <c r="G133" s="11" t="n">
        <f aca="false">IF(AND(C133=0,E133=0),0,IF(C133=0,"New",(E133-C133)/C133))</f>
        <v>-0.135734072022161</v>
      </c>
      <c r="H133" s="9" t="n">
        <f aca="false">SUMIFS('Source 2025'!$F:$F,'Source 2025'!$B:$B,$A133,'Source 2025'!$A:$A,"Amount (NIS)")+SUMIFS('Source 2025'!$H:$H,'Source 2025'!$B:$B,$A133,'Source 2025'!$A:$A,"Amount (NIS)")+SUMIFS('Source 2025'!$M:$M,'Source 2025'!$B:$B,$A133,'Source 2025'!$A:$A,"Amount (NIS)")+SUMIFS('Source 2025'!$N:$N,'Source 2025'!$B:$B,$A133,'Source 2025'!$A:$A,"Amount (NIS)")+SUMIFS('Source 2025'!$S:$S,'Source 2025'!$B:$B,$A133,'Source 2025'!$A:$A,"Amount (NIS)")+SUMIFS('Source 2025'!$U:$U,'Source 2025'!$B:$B,$A133,'Source 2025'!$A:$A,"Amount (NIS)")+SUMIFS('Source 2025'!$D:$D,'Source 2025'!$B:$B,$A133,'Source 2025'!$A:$A,"Amount (NIS)")+SUMIFS('Source 2025'!$E:$E,'Source 2025'!$B:$B,$A133,'Source 2025'!$A:$A,"Amount (NIS)")+SUMIFS('Source 2025'!$G:$G,'Source 2025'!$B:$B,$A133,'Source 2025'!$A:$A,"Amount (NIS)")</f>
        <v>4153.2</v>
      </c>
      <c r="I133" s="9" t="n">
        <f aca="false">SUMIFS('Source 2026'!$F:$F,'Source 2026'!$B:$B,$A133,'Source 2026'!$A:$A,"Amount (NIS)")+SUMIFS('Source 2026'!$H:$H,'Source 2026'!$B:$B,$A133,'Source 2026'!$A:$A,"Amount (NIS)")+SUMIFS('Source 2026'!$M:$M,'Source 2026'!$B:$B,$A133,'Source 2026'!$A:$A,"Amount (NIS)")+SUMIFS('Source 2026'!$N:$N,'Source 2026'!$B:$B,$A133,'Source 2026'!$A:$A,"Amount (NIS)")+SUMIFS('Source 2026'!$S:$S,'Source 2026'!$B:$B,$A133,'Source 2026'!$A:$A,"Amount (NIS)")+SUMIFS('Source 2026'!$U:$U,'Source 2026'!$B:$B,$A133,'Source 2026'!$A:$A,"Amount (NIS)")+SUMIFS('Source 2026'!$D:$D,'Source 2026'!$B:$B,$A133,'Source 2026'!$A:$A,"Amount (NIS)")+SUMIFS('Source 2026'!$E:$E,'Source 2026'!$B:$B,$A133,'Source 2026'!$A:$A,"Amount (NIS)")+SUMIFS('Source 2026'!$G:$G,'Source 2026'!$B:$B,$A133,'Source 2026'!$A:$A,"Amount (NIS)")</f>
        <v>2953.3</v>
      </c>
      <c r="J133" s="9" t="n">
        <f aca="false">I133*$J$5</f>
        <v>3730.48421052632</v>
      </c>
      <c r="K133" s="9" t="n">
        <f aca="false">J133-H133</f>
        <v>-422.715789473685</v>
      </c>
      <c r="L133" s="11" t="n">
        <f aca="false">IF(AND(H133=0,J133=0),0,IF(H133=0,"New",(J133-H133)/H133))</f>
        <v>-0.10178074484101</v>
      </c>
    </row>
    <row r="134" customFormat="false" ht="15" hidden="false" customHeight="true" outlineLevel="0" collapsed="false">
      <c r="A134" s="8" t="s">
        <v>203</v>
      </c>
      <c r="B134" s="8" t="str">
        <f aca="false">IFERROR(INDEX('Source 2026'!$C:$C,MATCH($A134,'Source 2026'!$B:$B,0)),IFERROR(INDEX('Source 2025'!$C:$C,MATCH($A134,'Source 2025'!$B:$B,0)),""))</f>
        <v>S מתלה אשכים לאחר ניתוח</v>
      </c>
      <c r="C134" s="9" t="n">
        <f aca="false">SUMIFS('Source 2025'!$F:$F,'Source 2025'!$B:$B,$A134,'Source 2025'!$A:$A,"Quantity (units)")+SUMIFS('Source 2025'!$H:$H,'Source 2025'!$B:$B,$A134,'Source 2025'!$A:$A,"Quantity (units)")+SUMIFS('Source 2025'!$M:$M,'Source 2025'!$B:$B,$A134,'Source 2025'!$A:$A,"Quantity (units)")+SUMIFS('Source 2025'!$N:$N,'Source 2025'!$B:$B,$A134,'Source 2025'!$A:$A,"Quantity (units)")+SUMIFS('Source 2025'!$S:$S,'Source 2025'!$B:$B,$A134,'Source 2025'!$A:$A,"Quantity (units)")+SUMIFS('Source 2025'!$U:$U,'Source 2025'!$B:$B,$A134,'Source 2025'!$A:$A,"Quantity (units)")+SUMIFS('Source 2025'!$D:$D,'Source 2025'!$B:$B,$A134,'Source 2025'!$A:$A,"Quantity (units)")+SUMIFS('Source 2025'!$E:$E,'Source 2025'!$B:$B,$A134,'Source 2025'!$A:$A,"Quantity (units)")+SUMIFS('Source 2025'!$G:$G,'Source 2025'!$B:$B,$A134,'Source 2025'!$A:$A,"Quantity (units)")</f>
        <v>17</v>
      </c>
      <c r="D134" s="9" t="n">
        <f aca="false">SUMIFS('Source 2026'!$F:$F,'Source 2026'!$B:$B,$A134,'Source 2026'!$A:$A,"Quantity (units)")+SUMIFS('Source 2026'!$H:$H,'Source 2026'!$B:$B,$A134,'Source 2026'!$A:$A,"Quantity (units)")+SUMIFS('Source 2026'!$M:$M,'Source 2026'!$B:$B,$A134,'Source 2026'!$A:$A,"Quantity (units)")+SUMIFS('Source 2026'!$N:$N,'Source 2026'!$B:$B,$A134,'Source 2026'!$A:$A,"Quantity (units)")+SUMIFS('Source 2026'!$S:$S,'Source 2026'!$B:$B,$A134,'Source 2026'!$A:$A,"Quantity (units)")+SUMIFS('Source 2026'!$U:$U,'Source 2026'!$B:$B,$A134,'Source 2026'!$A:$A,"Quantity (units)")+SUMIFS('Source 2026'!$D:$D,'Source 2026'!$B:$B,$A134,'Source 2026'!$A:$A,"Quantity (units)")+SUMIFS('Source 2026'!$E:$E,'Source 2026'!$B:$B,$A134,'Source 2026'!$A:$A,"Quantity (units)")+SUMIFS('Source 2026'!$G:$G,'Source 2026'!$B:$B,$A134,'Source 2026'!$A:$A,"Quantity (units)")</f>
        <v>5</v>
      </c>
      <c r="E134" s="9" t="n">
        <f aca="false">D134*$J$5</f>
        <v>6.31578947368421</v>
      </c>
      <c r="F134" s="9" t="n">
        <f aca="false">E134-C134</f>
        <v>-10.6842105263158</v>
      </c>
      <c r="G134" s="11" t="n">
        <f aca="false">IF(AND(C134=0,E134=0),0,IF(C134=0,"New",(E134-C134)/C134))</f>
        <v>-0.628482972136223</v>
      </c>
      <c r="H134" s="9" t="n">
        <f aca="false">SUMIFS('Source 2025'!$F:$F,'Source 2025'!$B:$B,$A134,'Source 2025'!$A:$A,"Amount (NIS)")+SUMIFS('Source 2025'!$H:$H,'Source 2025'!$B:$B,$A134,'Source 2025'!$A:$A,"Amount (NIS)")+SUMIFS('Source 2025'!$M:$M,'Source 2025'!$B:$B,$A134,'Source 2025'!$A:$A,"Amount (NIS)")+SUMIFS('Source 2025'!$N:$N,'Source 2025'!$B:$B,$A134,'Source 2025'!$A:$A,"Amount (NIS)")+SUMIFS('Source 2025'!$S:$S,'Source 2025'!$B:$B,$A134,'Source 2025'!$A:$A,"Amount (NIS)")+SUMIFS('Source 2025'!$U:$U,'Source 2025'!$B:$B,$A134,'Source 2025'!$A:$A,"Amount (NIS)")+SUMIFS('Source 2025'!$D:$D,'Source 2025'!$B:$B,$A134,'Source 2025'!$A:$A,"Amount (NIS)")+SUMIFS('Source 2025'!$E:$E,'Source 2025'!$B:$B,$A134,'Source 2025'!$A:$A,"Amount (NIS)")+SUMIFS('Source 2025'!$G:$G,'Source 2025'!$B:$B,$A134,'Source 2025'!$A:$A,"Amount (NIS)")</f>
        <v>1761.7</v>
      </c>
      <c r="I134" s="9" t="n">
        <f aca="false">SUMIFS('Source 2026'!$F:$F,'Source 2026'!$B:$B,$A134,'Source 2026'!$A:$A,"Amount (NIS)")+SUMIFS('Source 2026'!$H:$H,'Source 2026'!$B:$B,$A134,'Source 2026'!$A:$A,"Amount (NIS)")+SUMIFS('Source 2026'!$M:$M,'Source 2026'!$B:$B,$A134,'Source 2026'!$A:$A,"Amount (NIS)")+SUMIFS('Source 2026'!$N:$N,'Source 2026'!$B:$B,$A134,'Source 2026'!$A:$A,"Amount (NIS)")+SUMIFS('Source 2026'!$S:$S,'Source 2026'!$B:$B,$A134,'Source 2026'!$A:$A,"Amount (NIS)")+SUMIFS('Source 2026'!$U:$U,'Source 2026'!$B:$B,$A134,'Source 2026'!$A:$A,"Amount (NIS)")+SUMIFS('Source 2026'!$D:$D,'Source 2026'!$B:$B,$A134,'Source 2026'!$A:$A,"Amount (NIS)")+SUMIFS('Source 2026'!$E:$E,'Source 2026'!$B:$B,$A134,'Source 2026'!$A:$A,"Amount (NIS)")+SUMIFS('Source 2026'!$G:$G,'Source 2026'!$B:$B,$A134,'Source 2026'!$A:$A,"Amount (NIS)")</f>
        <v>577.3</v>
      </c>
      <c r="J134" s="9" t="n">
        <f aca="false">I134*$J$5</f>
        <v>729.221052631579</v>
      </c>
      <c r="K134" s="9" t="n">
        <f aca="false">J134-H134</f>
        <v>-1032.47894736842</v>
      </c>
      <c r="L134" s="11" t="n">
        <f aca="false">IF(AND(H134=0,J134=0),0,IF(H134=0,"New",(J134-H134)/H134))</f>
        <v>-0.586069675522746</v>
      </c>
    </row>
    <row r="135" customFormat="false" ht="15" hidden="false" customHeight="true" outlineLevel="0" collapsed="false">
      <c r="A135" s="8" t="s">
        <v>204</v>
      </c>
      <c r="B135" s="8" t="str">
        <f aca="false">IFERROR(INDEX('Source 2026'!$C:$C,MATCH($A135,'Source 2026'!$B:$B,0)),IFERROR(INDEX('Source 2025'!$C:$C,MATCH($A135,'Source 2025'!$B:$B,0)),""))</f>
        <v>תחבושת נצמדת ורוד 20ממ</v>
      </c>
      <c r="C135" s="9" t="n">
        <f aca="false">SUMIFS('Source 2025'!$F:$F,'Source 2025'!$B:$B,$A135,'Source 2025'!$A:$A,"Quantity (units)")+SUMIFS('Source 2025'!$H:$H,'Source 2025'!$B:$B,$A135,'Source 2025'!$A:$A,"Quantity (units)")+SUMIFS('Source 2025'!$M:$M,'Source 2025'!$B:$B,$A135,'Source 2025'!$A:$A,"Quantity (units)")+SUMIFS('Source 2025'!$N:$N,'Source 2025'!$B:$B,$A135,'Source 2025'!$A:$A,"Quantity (units)")+SUMIFS('Source 2025'!$S:$S,'Source 2025'!$B:$B,$A135,'Source 2025'!$A:$A,"Quantity (units)")+SUMIFS('Source 2025'!$U:$U,'Source 2025'!$B:$B,$A135,'Source 2025'!$A:$A,"Quantity (units)")+SUMIFS('Source 2025'!$D:$D,'Source 2025'!$B:$B,$A135,'Source 2025'!$A:$A,"Quantity (units)")+SUMIFS('Source 2025'!$E:$E,'Source 2025'!$B:$B,$A135,'Source 2025'!$A:$A,"Quantity (units)")+SUMIFS('Source 2025'!$G:$G,'Source 2025'!$B:$B,$A135,'Source 2025'!$A:$A,"Quantity (units)")</f>
        <v>201</v>
      </c>
      <c r="D135" s="9" t="n">
        <f aca="false">SUMIFS('Source 2026'!$F:$F,'Source 2026'!$B:$B,$A135,'Source 2026'!$A:$A,"Quantity (units)")+SUMIFS('Source 2026'!$H:$H,'Source 2026'!$B:$B,$A135,'Source 2026'!$A:$A,"Quantity (units)")+SUMIFS('Source 2026'!$M:$M,'Source 2026'!$B:$B,$A135,'Source 2026'!$A:$A,"Quantity (units)")+SUMIFS('Source 2026'!$N:$N,'Source 2026'!$B:$B,$A135,'Source 2026'!$A:$A,"Quantity (units)")+SUMIFS('Source 2026'!$S:$S,'Source 2026'!$B:$B,$A135,'Source 2026'!$A:$A,"Quantity (units)")+SUMIFS('Source 2026'!$U:$U,'Source 2026'!$B:$B,$A135,'Source 2026'!$A:$A,"Quantity (units)")+SUMIFS('Source 2026'!$D:$D,'Source 2026'!$B:$B,$A135,'Source 2026'!$A:$A,"Quantity (units)")+SUMIFS('Source 2026'!$E:$E,'Source 2026'!$B:$B,$A135,'Source 2026'!$A:$A,"Quantity (units)")+SUMIFS('Source 2026'!$G:$G,'Source 2026'!$B:$B,$A135,'Source 2026'!$A:$A,"Quantity (units)")</f>
        <v>64</v>
      </c>
      <c r="E135" s="9" t="n">
        <f aca="false">D135*$J$5</f>
        <v>80.8421052631579</v>
      </c>
      <c r="F135" s="9" t="n">
        <f aca="false">E135-C135</f>
        <v>-120.157894736842</v>
      </c>
      <c r="G135" s="11" t="n">
        <f aca="false">IF(AND(C135=0,E135=0),0,IF(C135=0,"New",(E135-C135)/C135))</f>
        <v>-0.597800471327573</v>
      </c>
      <c r="H135" s="9" t="n">
        <f aca="false">SUMIFS('Source 2025'!$F:$F,'Source 2025'!$B:$B,$A135,'Source 2025'!$A:$A,"Amount (NIS)")+SUMIFS('Source 2025'!$H:$H,'Source 2025'!$B:$B,$A135,'Source 2025'!$A:$A,"Amount (NIS)")+SUMIFS('Source 2025'!$M:$M,'Source 2025'!$B:$B,$A135,'Source 2025'!$A:$A,"Amount (NIS)")+SUMIFS('Source 2025'!$N:$N,'Source 2025'!$B:$B,$A135,'Source 2025'!$A:$A,"Amount (NIS)")+SUMIFS('Source 2025'!$S:$S,'Source 2025'!$B:$B,$A135,'Source 2025'!$A:$A,"Amount (NIS)")+SUMIFS('Source 2025'!$U:$U,'Source 2025'!$B:$B,$A135,'Source 2025'!$A:$A,"Amount (NIS)")+SUMIFS('Source 2025'!$D:$D,'Source 2025'!$B:$B,$A135,'Source 2025'!$A:$A,"Amount (NIS)")+SUMIFS('Source 2025'!$E:$E,'Source 2025'!$B:$B,$A135,'Source 2025'!$A:$A,"Amount (NIS)")+SUMIFS('Source 2025'!$G:$G,'Source 2025'!$B:$B,$A135,'Source 2025'!$A:$A,"Amount (NIS)")</f>
        <v>1926.5</v>
      </c>
      <c r="I135" s="9" t="n">
        <f aca="false">SUMIFS('Source 2026'!$F:$F,'Source 2026'!$B:$B,$A135,'Source 2026'!$A:$A,"Amount (NIS)")+SUMIFS('Source 2026'!$H:$H,'Source 2026'!$B:$B,$A135,'Source 2026'!$A:$A,"Amount (NIS)")+SUMIFS('Source 2026'!$M:$M,'Source 2026'!$B:$B,$A135,'Source 2026'!$A:$A,"Amount (NIS)")+SUMIFS('Source 2026'!$N:$N,'Source 2026'!$B:$B,$A135,'Source 2026'!$A:$A,"Amount (NIS)")+SUMIFS('Source 2026'!$S:$S,'Source 2026'!$B:$B,$A135,'Source 2026'!$A:$A,"Amount (NIS)")+SUMIFS('Source 2026'!$U:$U,'Source 2026'!$B:$B,$A135,'Source 2026'!$A:$A,"Amount (NIS)")+SUMIFS('Source 2026'!$D:$D,'Source 2026'!$B:$B,$A135,'Source 2026'!$A:$A,"Amount (NIS)")+SUMIFS('Source 2026'!$E:$E,'Source 2026'!$B:$B,$A135,'Source 2026'!$A:$A,"Amount (NIS)")+SUMIFS('Source 2026'!$G:$G,'Source 2026'!$B:$B,$A135,'Source 2026'!$A:$A,"Amount (NIS)")</f>
        <v>748.7</v>
      </c>
      <c r="J135" s="9" t="n">
        <f aca="false">I135*$J$5</f>
        <v>945.726315789474</v>
      </c>
      <c r="K135" s="9" t="n">
        <f aca="false">J135-H135</f>
        <v>-980.773684210526</v>
      </c>
      <c r="L135" s="11" t="n">
        <f aca="false">IF(AND(H135=0,J135=0),0,IF(H135=0,"New",(J135-H135)/H135))</f>
        <v>-0.50909612468753</v>
      </c>
    </row>
    <row r="136" customFormat="false" ht="15" hidden="false" customHeight="true" outlineLevel="0" collapsed="false">
      <c r="A136" s="8" t="s">
        <v>205</v>
      </c>
      <c r="B136" s="8" t="str">
        <f aca="false">IFERROR(INDEX('Source 2026'!$C:$C,MATCH($A136,'Source 2026'!$B:$B,0)),IFERROR(INDEX('Source 2025'!$C:$C,MATCH($A136,'Source 2025'!$B:$B,0)),""))</f>
        <v>Sמ.ברך מוצלב+ספירלות בצדדים</v>
      </c>
      <c r="C136" s="9" t="n">
        <f aca="false">SUMIFS('Source 2025'!$F:$F,'Source 2025'!$B:$B,$A136,'Source 2025'!$A:$A,"Quantity (units)")+SUMIFS('Source 2025'!$H:$H,'Source 2025'!$B:$B,$A136,'Source 2025'!$A:$A,"Quantity (units)")+SUMIFS('Source 2025'!$M:$M,'Source 2025'!$B:$B,$A136,'Source 2025'!$A:$A,"Quantity (units)")+SUMIFS('Source 2025'!$N:$N,'Source 2025'!$B:$B,$A136,'Source 2025'!$A:$A,"Quantity (units)")+SUMIFS('Source 2025'!$S:$S,'Source 2025'!$B:$B,$A136,'Source 2025'!$A:$A,"Quantity (units)")+SUMIFS('Source 2025'!$U:$U,'Source 2025'!$B:$B,$A136,'Source 2025'!$A:$A,"Quantity (units)")+SUMIFS('Source 2025'!$D:$D,'Source 2025'!$B:$B,$A136,'Source 2025'!$A:$A,"Quantity (units)")+SUMIFS('Source 2025'!$E:$E,'Source 2025'!$B:$B,$A136,'Source 2025'!$A:$A,"Quantity (units)")+SUMIFS('Source 2025'!$G:$G,'Source 2025'!$B:$B,$A136,'Source 2025'!$A:$A,"Quantity (units)")</f>
        <v>29</v>
      </c>
      <c r="D136" s="9" t="n">
        <f aca="false">SUMIFS('Source 2026'!$F:$F,'Source 2026'!$B:$B,$A136,'Source 2026'!$A:$A,"Quantity (units)")+SUMIFS('Source 2026'!$H:$H,'Source 2026'!$B:$B,$A136,'Source 2026'!$A:$A,"Quantity (units)")+SUMIFS('Source 2026'!$M:$M,'Source 2026'!$B:$B,$A136,'Source 2026'!$A:$A,"Quantity (units)")+SUMIFS('Source 2026'!$N:$N,'Source 2026'!$B:$B,$A136,'Source 2026'!$A:$A,"Quantity (units)")+SUMIFS('Source 2026'!$S:$S,'Source 2026'!$B:$B,$A136,'Source 2026'!$A:$A,"Quantity (units)")+SUMIFS('Source 2026'!$U:$U,'Source 2026'!$B:$B,$A136,'Source 2026'!$A:$A,"Quantity (units)")+SUMIFS('Source 2026'!$D:$D,'Source 2026'!$B:$B,$A136,'Source 2026'!$A:$A,"Quantity (units)")+SUMIFS('Source 2026'!$E:$E,'Source 2026'!$B:$B,$A136,'Source 2026'!$A:$A,"Quantity (units)")+SUMIFS('Source 2026'!$G:$G,'Source 2026'!$B:$B,$A136,'Source 2026'!$A:$A,"Quantity (units)")</f>
        <v>19</v>
      </c>
      <c r="E136" s="9" t="n">
        <f aca="false">D136*$J$5</f>
        <v>24</v>
      </c>
      <c r="F136" s="9" t="n">
        <f aca="false">E136-C136</f>
        <v>-5</v>
      </c>
      <c r="G136" s="11" t="n">
        <f aca="false">IF(AND(C136=0,E136=0),0,IF(C136=0,"New",(E136-C136)/C136))</f>
        <v>-0.172413793103448</v>
      </c>
      <c r="H136" s="9" t="n">
        <f aca="false">SUMIFS('Source 2025'!$F:$F,'Source 2025'!$B:$B,$A136,'Source 2025'!$A:$A,"Amount (NIS)")+SUMIFS('Source 2025'!$H:$H,'Source 2025'!$B:$B,$A136,'Source 2025'!$A:$A,"Amount (NIS)")+SUMIFS('Source 2025'!$M:$M,'Source 2025'!$B:$B,$A136,'Source 2025'!$A:$A,"Amount (NIS)")+SUMIFS('Source 2025'!$N:$N,'Source 2025'!$B:$B,$A136,'Source 2025'!$A:$A,"Amount (NIS)")+SUMIFS('Source 2025'!$S:$S,'Source 2025'!$B:$B,$A136,'Source 2025'!$A:$A,"Amount (NIS)")+SUMIFS('Source 2025'!$U:$U,'Source 2025'!$B:$B,$A136,'Source 2025'!$A:$A,"Amount (NIS)")+SUMIFS('Source 2025'!$D:$D,'Source 2025'!$B:$B,$A136,'Source 2025'!$A:$A,"Amount (NIS)")+SUMIFS('Source 2025'!$E:$E,'Source 2025'!$B:$B,$A136,'Source 2025'!$A:$A,"Amount (NIS)")+SUMIFS('Source 2025'!$G:$G,'Source 2025'!$B:$B,$A136,'Source 2025'!$A:$A,"Amount (NIS)")</f>
        <v>3377.1</v>
      </c>
      <c r="I136" s="9" t="n">
        <f aca="false">SUMIFS('Source 2026'!$F:$F,'Source 2026'!$B:$B,$A136,'Source 2026'!$A:$A,"Amount (NIS)")+SUMIFS('Source 2026'!$H:$H,'Source 2026'!$B:$B,$A136,'Source 2026'!$A:$A,"Amount (NIS)")+SUMIFS('Source 2026'!$M:$M,'Source 2026'!$B:$B,$A136,'Source 2026'!$A:$A,"Amount (NIS)")+SUMIFS('Source 2026'!$N:$N,'Source 2026'!$B:$B,$A136,'Source 2026'!$A:$A,"Amount (NIS)")+SUMIFS('Source 2026'!$S:$S,'Source 2026'!$B:$B,$A136,'Source 2026'!$A:$A,"Amount (NIS)")+SUMIFS('Source 2026'!$U:$U,'Source 2026'!$B:$B,$A136,'Source 2026'!$A:$A,"Amount (NIS)")+SUMIFS('Source 2026'!$D:$D,'Source 2026'!$B:$B,$A136,'Source 2026'!$A:$A,"Amount (NIS)")+SUMIFS('Source 2026'!$E:$E,'Source 2026'!$B:$B,$A136,'Source 2026'!$A:$A,"Amount (NIS)")+SUMIFS('Source 2026'!$G:$G,'Source 2026'!$B:$B,$A136,'Source 2026'!$A:$A,"Amount (NIS)")</f>
        <v>2226.5</v>
      </c>
      <c r="J136" s="9" t="n">
        <f aca="false">I136*$J$5</f>
        <v>2812.42105263158</v>
      </c>
      <c r="K136" s="9" t="n">
        <f aca="false">J136-H136</f>
        <v>-564.678947368421</v>
      </c>
      <c r="L136" s="11" t="n">
        <f aca="false">IF(AND(H136=0,J136=0),0,IF(H136=0,"New",(J136-H136)/H136))</f>
        <v>-0.167208240019076</v>
      </c>
    </row>
    <row r="137" customFormat="false" ht="15" hidden="false" customHeight="true" outlineLevel="0" collapsed="false">
      <c r="A137" s="8" t="s">
        <v>206</v>
      </c>
      <c r="B137" s="8" t="str">
        <f aca="false">IFERROR(INDEX('Source 2026'!$C:$C,MATCH($A137,'Source 2026'!$B:$B,0)),IFERROR(INDEX('Source 2025'!$C:$C,MATCH($A137,'Source 2025'!$B:$B,0)),""))</f>
        <v>XLמפריד אצבע סיליקון ליבלת</v>
      </c>
      <c r="C137" s="9" t="n">
        <f aca="false">SUMIFS('Source 2025'!$F:$F,'Source 2025'!$B:$B,$A137,'Source 2025'!$A:$A,"Quantity (units)")+SUMIFS('Source 2025'!$H:$H,'Source 2025'!$B:$B,$A137,'Source 2025'!$A:$A,"Quantity (units)")+SUMIFS('Source 2025'!$M:$M,'Source 2025'!$B:$B,$A137,'Source 2025'!$A:$A,"Quantity (units)")+SUMIFS('Source 2025'!$N:$N,'Source 2025'!$B:$B,$A137,'Source 2025'!$A:$A,"Quantity (units)")+SUMIFS('Source 2025'!$S:$S,'Source 2025'!$B:$B,$A137,'Source 2025'!$A:$A,"Quantity (units)")+SUMIFS('Source 2025'!$U:$U,'Source 2025'!$B:$B,$A137,'Source 2025'!$A:$A,"Quantity (units)")+SUMIFS('Source 2025'!$D:$D,'Source 2025'!$B:$B,$A137,'Source 2025'!$A:$A,"Quantity (units)")+SUMIFS('Source 2025'!$E:$E,'Source 2025'!$B:$B,$A137,'Source 2025'!$A:$A,"Quantity (units)")+SUMIFS('Source 2025'!$G:$G,'Source 2025'!$B:$B,$A137,'Source 2025'!$A:$A,"Quantity (units)")</f>
        <v>521</v>
      </c>
      <c r="D137" s="9" t="n">
        <f aca="false">SUMIFS('Source 2026'!$F:$F,'Source 2026'!$B:$B,$A137,'Source 2026'!$A:$A,"Quantity (units)")+SUMIFS('Source 2026'!$H:$H,'Source 2026'!$B:$B,$A137,'Source 2026'!$A:$A,"Quantity (units)")+SUMIFS('Source 2026'!$M:$M,'Source 2026'!$B:$B,$A137,'Source 2026'!$A:$A,"Quantity (units)")+SUMIFS('Source 2026'!$N:$N,'Source 2026'!$B:$B,$A137,'Source 2026'!$A:$A,"Quantity (units)")+SUMIFS('Source 2026'!$S:$S,'Source 2026'!$B:$B,$A137,'Source 2026'!$A:$A,"Quantity (units)")+SUMIFS('Source 2026'!$U:$U,'Source 2026'!$B:$B,$A137,'Source 2026'!$A:$A,"Quantity (units)")+SUMIFS('Source 2026'!$D:$D,'Source 2026'!$B:$B,$A137,'Source 2026'!$A:$A,"Quantity (units)")+SUMIFS('Source 2026'!$E:$E,'Source 2026'!$B:$B,$A137,'Source 2026'!$A:$A,"Quantity (units)")+SUMIFS('Source 2026'!$G:$G,'Source 2026'!$B:$B,$A137,'Source 2026'!$A:$A,"Quantity (units)")</f>
        <v>438</v>
      </c>
      <c r="E137" s="9" t="n">
        <f aca="false">D137*$J$5</f>
        <v>553.263157894737</v>
      </c>
      <c r="F137" s="9" t="n">
        <f aca="false">E137-C137</f>
        <v>32.2631578947368</v>
      </c>
      <c r="G137" s="11" t="n">
        <f aca="false">IF(AND(C137=0,E137=0),0,IF(C137=0,"New",(E137-C137)/C137))</f>
        <v>0.0619254470148498</v>
      </c>
      <c r="H137" s="9" t="n">
        <f aca="false">SUMIFS('Source 2025'!$F:$F,'Source 2025'!$B:$B,$A137,'Source 2025'!$A:$A,"Amount (NIS)")+SUMIFS('Source 2025'!$H:$H,'Source 2025'!$B:$B,$A137,'Source 2025'!$A:$A,"Amount (NIS)")+SUMIFS('Source 2025'!$M:$M,'Source 2025'!$B:$B,$A137,'Source 2025'!$A:$A,"Amount (NIS)")+SUMIFS('Source 2025'!$N:$N,'Source 2025'!$B:$B,$A137,'Source 2025'!$A:$A,"Amount (NIS)")+SUMIFS('Source 2025'!$S:$S,'Source 2025'!$B:$B,$A137,'Source 2025'!$A:$A,"Amount (NIS)")+SUMIFS('Source 2025'!$U:$U,'Source 2025'!$B:$B,$A137,'Source 2025'!$A:$A,"Amount (NIS)")+SUMIFS('Source 2025'!$D:$D,'Source 2025'!$B:$B,$A137,'Source 2025'!$A:$A,"Amount (NIS)")+SUMIFS('Source 2025'!$E:$E,'Source 2025'!$B:$B,$A137,'Source 2025'!$A:$A,"Amount (NIS)")+SUMIFS('Source 2025'!$G:$G,'Source 2025'!$B:$B,$A137,'Source 2025'!$A:$A,"Amount (NIS)")</f>
        <v>7118.4</v>
      </c>
      <c r="I137" s="9" t="n">
        <f aca="false">SUMIFS('Source 2026'!$F:$F,'Source 2026'!$B:$B,$A137,'Source 2026'!$A:$A,"Amount (NIS)")+SUMIFS('Source 2026'!$H:$H,'Source 2026'!$B:$B,$A137,'Source 2026'!$A:$A,"Amount (NIS)")+SUMIFS('Source 2026'!$M:$M,'Source 2026'!$B:$B,$A137,'Source 2026'!$A:$A,"Amount (NIS)")+SUMIFS('Source 2026'!$N:$N,'Source 2026'!$B:$B,$A137,'Source 2026'!$A:$A,"Amount (NIS)")+SUMIFS('Source 2026'!$S:$S,'Source 2026'!$B:$B,$A137,'Source 2026'!$A:$A,"Amount (NIS)")+SUMIFS('Source 2026'!$U:$U,'Source 2026'!$B:$B,$A137,'Source 2026'!$A:$A,"Amount (NIS)")+SUMIFS('Source 2026'!$D:$D,'Source 2026'!$B:$B,$A137,'Source 2026'!$A:$A,"Amount (NIS)")+SUMIFS('Source 2026'!$E:$E,'Source 2026'!$B:$B,$A137,'Source 2026'!$A:$A,"Amount (NIS)")+SUMIFS('Source 2026'!$G:$G,'Source 2026'!$B:$B,$A137,'Source 2026'!$A:$A,"Amount (NIS)")</f>
        <v>5988.1</v>
      </c>
      <c r="J137" s="9" t="n">
        <f aca="false">I137*$J$5</f>
        <v>7563.91578947368</v>
      </c>
      <c r="K137" s="9" t="n">
        <f aca="false">J137-H137</f>
        <v>445.515789473683</v>
      </c>
      <c r="L137" s="11" t="n">
        <f aca="false">IF(AND(H137=0,J137=0),0,IF(H137=0,"New",(J137-H137)/H137))</f>
        <v>0.0625865067253432</v>
      </c>
    </row>
    <row r="138" customFormat="false" ht="15" hidden="false" customHeight="true" outlineLevel="0" collapsed="false">
      <c r="A138" s="8" t="s">
        <v>207</v>
      </c>
      <c r="B138" s="8" t="str">
        <f aca="false">IFERROR(INDEX('Source 2026'!$C:$C,MATCH($A138,'Source 2026'!$B:$B,0)),IFERROR(INDEX('Source 2025'!$C:$C,MATCH($A138,'Source 2025'!$B:$B,0)),""))</f>
        <v>רפידת נוחות-זוג</v>
      </c>
      <c r="C138" s="9" t="n">
        <f aca="false">SUMIFS('Source 2025'!$F:$F,'Source 2025'!$B:$B,$A138,'Source 2025'!$A:$A,"Quantity (units)")+SUMIFS('Source 2025'!$H:$H,'Source 2025'!$B:$B,$A138,'Source 2025'!$A:$A,"Quantity (units)")+SUMIFS('Source 2025'!$M:$M,'Source 2025'!$B:$B,$A138,'Source 2025'!$A:$A,"Quantity (units)")+SUMIFS('Source 2025'!$N:$N,'Source 2025'!$B:$B,$A138,'Source 2025'!$A:$A,"Quantity (units)")+SUMIFS('Source 2025'!$S:$S,'Source 2025'!$B:$B,$A138,'Source 2025'!$A:$A,"Quantity (units)")+SUMIFS('Source 2025'!$U:$U,'Source 2025'!$B:$B,$A138,'Source 2025'!$A:$A,"Quantity (units)")+SUMIFS('Source 2025'!$D:$D,'Source 2025'!$B:$B,$A138,'Source 2025'!$A:$A,"Quantity (units)")+SUMIFS('Source 2025'!$E:$E,'Source 2025'!$B:$B,$A138,'Source 2025'!$A:$A,"Quantity (units)")+SUMIFS('Source 2025'!$G:$G,'Source 2025'!$B:$B,$A138,'Source 2025'!$A:$A,"Quantity (units)")</f>
        <v>428</v>
      </c>
      <c r="D138" s="9" t="n">
        <f aca="false">SUMIFS('Source 2026'!$F:$F,'Source 2026'!$B:$B,$A138,'Source 2026'!$A:$A,"Quantity (units)")+SUMIFS('Source 2026'!$H:$H,'Source 2026'!$B:$B,$A138,'Source 2026'!$A:$A,"Quantity (units)")+SUMIFS('Source 2026'!$M:$M,'Source 2026'!$B:$B,$A138,'Source 2026'!$A:$A,"Quantity (units)")+SUMIFS('Source 2026'!$N:$N,'Source 2026'!$B:$B,$A138,'Source 2026'!$A:$A,"Quantity (units)")+SUMIFS('Source 2026'!$S:$S,'Source 2026'!$B:$B,$A138,'Source 2026'!$A:$A,"Quantity (units)")+SUMIFS('Source 2026'!$U:$U,'Source 2026'!$B:$B,$A138,'Source 2026'!$A:$A,"Quantity (units)")+SUMIFS('Source 2026'!$D:$D,'Source 2026'!$B:$B,$A138,'Source 2026'!$A:$A,"Quantity (units)")+SUMIFS('Source 2026'!$E:$E,'Source 2026'!$B:$B,$A138,'Source 2026'!$A:$A,"Quantity (units)")+SUMIFS('Source 2026'!$G:$G,'Source 2026'!$B:$B,$A138,'Source 2026'!$A:$A,"Quantity (units)")</f>
        <v>319</v>
      </c>
      <c r="E138" s="9" t="n">
        <f aca="false">D138*$J$5</f>
        <v>402.947368421053</v>
      </c>
      <c r="F138" s="9" t="n">
        <f aca="false">E138-C138</f>
        <v>-25.0526315789474</v>
      </c>
      <c r="G138" s="11" t="n">
        <f aca="false">IF(AND(C138=0,E138=0),0,IF(C138=0,"New",(E138-C138)/C138))</f>
        <v>-0.0585341859321201</v>
      </c>
      <c r="H138" s="9" t="n">
        <f aca="false">SUMIFS('Source 2025'!$F:$F,'Source 2025'!$B:$B,$A138,'Source 2025'!$A:$A,"Amount (NIS)")+SUMIFS('Source 2025'!$H:$H,'Source 2025'!$B:$B,$A138,'Source 2025'!$A:$A,"Amount (NIS)")+SUMIFS('Source 2025'!$M:$M,'Source 2025'!$B:$B,$A138,'Source 2025'!$A:$A,"Amount (NIS)")+SUMIFS('Source 2025'!$N:$N,'Source 2025'!$B:$B,$A138,'Source 2025'!$A:$A,"Amount (NIS)")+SUMIFS('Source 2025'!$S:$S,'Source 2025'!$B:$B,$A138,'Source 2025'!$A:$A,"Amount (NIS)")+SUMIFS('Source 2025'!$U:$U,'Source 2025'!$B:$B,$A138,'Source 2025'!$A:$A,"Amount (NIS)")+SUMIFS('Source 2025'!$D:$D,'Source 2025'!$B:$B,$A138,'Source 2025'!$A:$A,"Amount (NIS)")+SUMIFS('Source 2025'!$E:$E,'Source 2025'!$B:$B,$A138,'Source 2025'!$A:$A,"Amount (NIS)")+SUMIFS('Source 2025'!$G:$G,'Source 2025'!$B:$B,$A138,'Source 2025'!$A:$A,"Amount (NIS)")</f>
        <v>5019.7</v>
      </c>
      <c r="I138" s="9" t="n">
        <f aca="false">SUMIFS('Source 2026'!$F:$F,'Source 2026'!$B:$B,$A138,'Source 2026'!$A:$A,"Amount (NIS)")+SUMIFS('Source 2026'!$H:$H,'Source 2026'!$B:$B,$A138,'Source 2026'!$A:$A,"Amount (NIS)")+SUMIFS('Source 2026'!$M:$M,'Source 2026'!$B:$B,$A138,'Source 2026'!$A:$A,"Amount (NIS)")+SUMIFS('Source 2026'!$N:$N,'Source 2026'!$B:$B,$A138,'Source 2026'!$A:$A,"Amount (NIS)")+SUMIFS('Source 2026'!$S:$S,'Source 2026'!$B:$B,$A138,'Source 2026'!$A:$A,"Amount (NIS)")+SUMIFS('Source 2026'!$U:$U,'Source 2026'!$B:$B,$A138,'Source 2026'!$A:$A,"Amount (NIS)")+SUMIFS('Source 2026'!$D:$D,'Source 2026'!$B:$B,$A138,'Source 2026'!$A:$A,"Amount (NIS)")+SUMIFS('Source 2026'!$E:$E,'Source 2026'!$B:$B,$A138,'Source 2026'!$A:$A,"Amount (NIS)")+SUMIFS('Source 2026'!$G:$G,'Source 2026'!$B:$B,$A138,'Source 2026'!$A:$A,"Amount (NIS)")</f>
        <v>3921.1</v>
      </c>
      <c r="J138" s="9" t="n">
        <f aca="false">I138*$J$5</f>
        <v>4952.96842105263</v>
      </c>
      <c r="K138" s="9" t="n">
        <f aca="false">J138-H138</f>
        <v>-66.7315789473687</v>
      </c>
      <c r="L138" s="11" t="n">
        <f aca="false">IF(AND(H138=0,J138=0),0,IF(H138=0,"New",(J138-H138)/H138))</f>
        <v>-0.0132939376750341</v>
      </c>
    </row>
    <row r="139" customFormat="false" ht="15" hidden="false" customHeight="true" outlineLevel="0" collapsed="false">
      <c r="A139" s="8" t="s">
        <v>208</v>
      </c>
      <c r="B139" s="8" t="str">
        <f aca="false">IFERROR(INDEX('Source 2026'!$C:$C,MATCH($A139,'Source 2026'!$B:$B,0)),IFERROR(INDEX('Source 2025'!$C:$C,MATCH($A139,'Source 2025'!$B:$B,0)),""))</f>
        <v>חבק ""טניס אלבו רצועה</v>
      </c>
      <c r="C139" s="9" t="n">
        <f aca="false">SUMIFS('Source 2025'!$F:$F,'Source 2025'!$B:$B,$A139,'Source 2025'!$A:$A,"Quantity (units)")+SUMIFS('Source 2025'!$H:$H,'Source 2025'!$B:$B,$A139,'Source 2025'!$A:$A,"Quantity (units)")+SUMIFS('Source 2025'!$M:$M,'Source 2025'!$B:$B,$A139,'Source 2025'!$A:$A,"Quantity (units)")+SUMIFS('Source 2025'!$N:$N,'Source 2025'!$B:$B,$A139,'Source 2025'!$A:$A,"Quantity (units)")+SUMIFS('Source 2025'!$S:$S,'Source 2025'!$B:$B,$A139,'Source 2025'!$A:$A,"Quantity (units)")+SUMIFS('Source 2025'!$U:$U,'Source 2025'!$B:$B,$A139,'Source 2025'!$A:$A,"Quantity (units)")+SUMIFS('Source 2025'!$D:$D,'Source 2025'!$B:$B,$A139,'Source 2025'!$A:$A,"Quantity (units)")+SUMIFS('Source 2025'!$E:$E,'Source 2025'!$B:$B,$A139,'Source 2025'!$A:$A,"Quantity (units)")+SUMIFS('Source 2025'!$G:$G,'Source 2025'!$B:$B,$A139,'Source 2025'!$A:$A,"Quantity (units)")</f>
        <v>25</v>
      </c>
      <c r="D139" s="9" t="n">
        <f aca="false">SUMIFS('Source 2026'!$F:$F,'Source 2026'!$B:$B,$A139,'Source 2026'!$A:$A,"Quantity (units)")+SUMIFS('Source 2026'!$H:$H,'Source 2026'!$B:$B,$A139,'Source 2026'!$A:$A,"Quantity (units)")+SUMIFS('Source 2026'!$M:$M,'Source 2026'!$B:$B,$A139,'Source 2026'!$A:$A,"Quantity (units)")+SUMIFS('Source 2026'!$N:$N,'Source 2026'!$B:$B,$A139,'Source 2026'!$A:$A,"Quantity (units)")+SUMIFS('Source 2026'!$S:$S,'Source 2026'!$B:$B,$A139,'Source 2026'!$A:$A,"Quantity (units)")+SUMIFS('Source 2026'!$U:$U,'Source 2026'!$B:$B,$A139,'Source 2026'!$A:$A,"Quantity (units)")+SUMIFS('Source 2026'!$D:$D,'Source 2026'!$B:$B,$A139,'Source 2026'!$A:$A,"Quantity (units)")+SUMIFS('Source 2026'!$E:$E,'Source 2026'!$B:$B,$A139,'Source 2026'!$A:$A,"Quantity (units)")+SUMIFS('Source 2026'!$G:$G,'Source 2026'!$B:$B,$A139,'Source 2026'!$A:$A,"Quantity (units)")</f>
        <v>11</v>
      </c>
      <c r="E139" s="9" t="n">
        <f aca="false">D139*$J$5</f>
        <v>13.8947368421053</v>
      </c>
      <c r="F139" s="9" t="n">
        <f aca="false">E139-C139</f>
        <v>-11.1052631578947</v>
      </c>
      <c r="G139" s="11" t="n">
        <f aca="false">IF(AND(C139=0,E139=0),0,IF(C139=0,"New",(E139-C139)/C139))</f>
        <v>-0.44421052631579</v>
      </c>
      <c r="H139" s="9" t="n">
        <f aca="false">SUMIFS('Source 2025'!$F:$F,'Source 2025'!$B:$B,$A139,'Source 2025'!$A:$A,"Amount (NIS)")+SUMIFS('Source 2025'!$H:$H,'Source 2025'!$B:$B,$A139,'Source 2025'!$A:$A,"Amount (NIS)")+SUMIFS('Source 2025'!$M:$M,'Source 2025'!$B:$B,$A139,'Source 2025'!$A:$A,"Amount (NIS)")+SUMIFS('Source 2025'!$N:$N,'Source 2025'!$B:$B,$A139,'Source 2025'!$A:$A,"Amount (NIS)")+SUMIFS('Source 2025'!$S:$S,'Source 2025'!$B:$B,$A139,'Source 2025'!$A:$A,"Amount (NIS)")+SUMIFS('Source 2025'!$U:$U,'Source 2025'!$B:$B,$A139,'Source 2025'!$A:$A,"Amount (NIS)")+SUMIFS('Source 2025'!$D:$D,'Source 2025'!$B:$B,$A139,'Source 2025'!$A:$A,"Amount (NIS)")+SUMIFS('Source 2025'!$E:$E,'Source 2025'!$B:$B,$A139,'Source 2025'!$A:$A,"Amount (NIS)")+SUMIFS('Source 2025'!$G:$G,'Source 2025'!$B:$B,$A139,'Source 2025'!$A:$A,"Amount (NIS)")</f>
        <v>1952.8</v>
      </c>
      <c r="I139" s="9" t="n">
        <f aca="false">SUMIFS('Source 2026'!$F:$F,'Source 2026'!$B:$B,$A139,'Source 2026'!$A:$A,"Amount (NIS)")+SUMIFS('Source 2026'!$H:$H,'Source 2026'!$B:$B,$A139,'Source 2026'!$A:$A,"Amount (NIS)")+SUMIFS('Source 2026'!$M:$M,'Source 2026'!$B:$B,$A139,'Source 2026'!$A:$A,"Amount (NIS)")+SUMIFS('Source 2026'!$N:$N,'Source 2026'!$B:$B,$A139,'Source 2026'!$A:$A,"Amount (NIS)")+SUMIFS('Source 2026'!$S:$S,'Source 2026'!$B:$B,$A139,'Source 2026'!$A:$A,"Amount (NIS)")+SUMIFS('Source 2026'!$U:$U,'Source 2026'!$B:$B,$A139,'Source 2026'!$A:$A,"Amount (NIS)")+SUMIFS('Source 2026'!$D:$D,'Source 2026'!$B:$B,$A139,'Source 2026'!$A:$A,"Amount (NIS)")+SUMIFS('Source 2026'!$E:$E,'Source 2026'!$B:$B,$A139,'Source 2026'!$A:$A,"Amount (NIS)")+SUMIFS('Source 2026'!$G:$G,'Source 2026'!$B:$B,$A139,'Source 2026'!$A:$A,"Amount (NIS)")</f>
        <v>859.4</v>
      </c>
      <c r="J139" s="9" t="n">
        <f aca="false">I139*$J$5</f>
        <v>1085.55789473684</v>
      </c>
      <c r="K139" s="9" t="n">
        <f aca="false">J139-H139</f>
        <v>-867.242105263158</v>
      </c>
      <c r="L139" s="11" t="n">
        <f aca="false">IF(AND(H139=0,J139=0),0,IF(H139=0,"New",(J139-H139)/H139))</f>
        <v>-0.444101856443649</v>
      </c>
    </row>
    <row r="140" customFormat="false" ht="15" hidden="false" customHeight="true" outlineLevel="0" collapsed="false">
      <c r="A140" s="8" t="s">
        <v>209</v>
      </c>
      <c r="B140" s="8" t="str">
        <f aca="false">IFERROR(INDEX('Source 2026'!$C:$C,MATCH($A140,'Source 2026'!$B:$B,0)),IFERROR(INDEX('Source 2025'!$C:$C,MATCH($A140,'Source 2025'!$B:$B,0)),""))</f>
        <v>רצועת ""פיקה""+כרית</v>
      </c>
      <c r="C140" s="9" t="n">
        <f aca="false">SUMIFS('Source 2025'!$F:$F,'Source 2025'!$B:$B,$A140,'Source 2025'!$A:$A,"Quantity (units)")+SUMIFS('Source 2025'!$H:$H,'Source 2025'!$B:$B,$A140,'Source 2025'!$A:$A,"Quantity (units)")+SUMIFS('Source 2025'!$M:$M,'Source 2025'!$B:$B,$A140,'Source 2025'!$A:$A,"Quantity (units)")+SUMIFS('Source 2025'!$N:$N,'Source 2025'!$B:$B,$A140,'Source 2025'!$A:$A,"Quantity (units)")+SUMIFS('Source 2025'!$S:$S,'Source 2025'!$B:$B,$A140,'Source 2025'!$A:$A,"Quantity (units)")+SUMIFS('Source 2025'!$U:$U,'Source 2025'!$B:$B,$A140,'Source 2025'!$A:$A,"Quantity (units)")+SUMIFS('Source 2025'!$D:$D,'Source 2025'!$B:$B,$A140,'Source 2025'!$A:$A,"Quantity (units)")+SUMIFS('Source 2025'!$E:$E,'Source 2025'!$B:$B,$A140,'Source 2025'!$A:$A,"Quantity (units)")+SUMIFS('Source 2025'!$G:$G,'Source 2025'!$B:$B,$A140,'Source 2025'!$A:$A,"Quantity (units)")</f>
        <v>35</v>
      </c>
      <c r="D140" s="9" t="n">
        <f aca="false">SUMIFS('Source 2026'!$F:$F,'Source 2026'!$B:$B,$A140,'Source 2026'!$A:$A,"Quantity (units)")+SUMIFS('Source 2026'!$H:$H,'Source 2026'!$B:$B,$A140,'Source 2026'!$A:$A,"Quantity (units)")+SUMIFS('Source 2026'!$M:$M,'Source 2026'!$B:$B,$A140,'Source 2026'!$A:$A,"Quantity (units)")+SUMIFS('Source 2026'!$N:$N,'Source 2026'!$B:$B,$A140,'Source 2026'!$A:$A,"Quantity (units)")+SUMIFS('Source 2026'!$S:$S,'Source 2026'!$B:$B,$A140,'Source 2026'!$A:$A,"Quantity (units)")+SUMIFS('Source 2026'!$U:$U,'Source 2026'!$B:$B,$A140,'Source 2026'!$A:$A,"Quantity (units)")+SUMIFS('Source 2026'!$D:$D,'Source 2026'!$B:$B,$A140,'Source 2026'!$A:$A,"Quantity (units)")+SUMIFS('Source 2026'!$E:$E,'Source 2026'!$B:$B,$A140,'Source 2026'!$A:$A,"Quantity (units)")+SUMIFS('Source 2026'!$G:$G,'Source 2026'!$B:$B,$A140,'Source 2026'!$A:$A,"Quantity (units)")</f>
        <v>23</v>
      </c>
      <c r="E140" s="9" t="n">
        <f aca="false">D140*$J$5</f>
        <v>29.0526315789474</v>
      </c>
      <c r="F140" s="9" t="n">
        <f aca="false">E140-C140</f>
        <v>-5.94736842105263</v>
      </c>
      <c r="G140" s="11" t="n">
        <f aca="false">IF(AND(C140=0,E140=0),0,IF(C140=0,"New",(E140-C140)/C140))</f>
        <v>-0.169924812030075</v>
      </c>
      <c r="H140" s="9" t="n">
        <f aca="false">SUMIFS('Source 2025'!$F:$F,'Source 2025'!$B:$B,$A140,'Source 2025'!$A:$A,"Amount (NIS)")+SUMIFS('Source 2025'!$H:$H,'Source 2025'!$B:$B,$A140,'Source 2025'!$A:$A,"Amount (NIS)")+SUMIFS('Source 2025'!$M:$M,'Source 2025'!$B:$B,$A140,'Source 2025'!$A:$A,"Amount (NIS)")+SUMIFS('Source 2025'!$N:$N,'Source 2025'!$B:$B,$A140,'Source 2025'!$A:$A,"Amount (NIS)")+SUMIFS('Source 2025'!$S:$S,'Source 2025'!$B:$B,$A140,'Source 2025'!$A:$A,"Amount (NIS)")+SUMIFS('Source 2025'!$U:$U,'Source 2025'!$B:$B,$A140,'Source 2025'!$A:$A,"Amount (NIS)")+SUMIFS('Source 2025'!$D:$D,'Source 2025'!$B:$B,$A140,'Source 2025'!$A:$A,"Amount (NIS)")+SUMIFS('Source 2025'!$E:$E,'Source 2025'!$B:$B,$A140,'Source 2025'!$A:$A,"Amount (NIS)")+SUMIFS('Source 2025'!$G:$G,'Source 2025'!$B:$B,$A140,'Source 2025'!$A:$A,"Amount (NIS)")</f>
        <v>3191.1</v>
      </c>
      <c r="I140" s="9" t="n">
        <f aca="false">SUMIFS('Source 2026'!$F:$F,'Source 2026'!$B:$B,$A140,'Source 2026'!$A:$A,"Amount (NIS)")+SUMIFS('Source 2026'!$H:$H,'Source 2026'!$B:$B,$A140,'Source 2026'!$A:$A,"Amount (NIS)")+SUMIFS('Source 2026'!$M:$M,'Source 2026'!$B:$B,$A140,'Source 2026'!$A:$A,"Amount (NIS)")+SUMIFS('Source 2026'!$N:$N,'Source 2026'!$B:$B,$A140,'Source 2026'!$A:$A,"Amount (NIS)")+SUMIFS('Source 2026'!$S:$S,'Source 2026'!$B:$B,$A140,'Source 2026'!$A:$A,"Amount (NIS)")+SUMIFS('Source 2026'!$U:$U,'Source 2026'!$B:$B,$A140,'Source 2026'!$A:$A,"Amount (NIS)")+SUMIFS('Source 2026'!$D:$D,'Source 2026'!$B:$B,$A140,'Source 2026'!$A:$A,"Amount (NIS)")+SUMIFS('Source 2026'!$E:$E,'Source 2026'!$B:$B,$A140,'Source 2026'!$A:$A,"Amount (NIS)")+SUMIFS('Source 2026'!$G:$G,'Source 2026'!$B:$B,$A140,'Source 2026'!$A:$A,"Amount (NIS)")</f>
        <v>2107.1</v>
      </c>
      <c r="J140" s="9" t="n">
        <f aca="false">I140*$J$5</f>
        <v>2661.6</v>
      </c>
      <c r="K140" s="9" t="n">
        <f aca="false">J140-H140</f>
        <v>-529.5</v>
      </c>
      <c r="L140" s="11" t="n">
        <f aca="false">IF(AND(H140=0,J140=0),0,IF(H140=0,"New",(J140-H140)/H140))</f>
        <v>-0.165930243489706</v>
      </c>
    </row>
    <row r="141" customFormat="false" ht="15" hidden="false" customHeight="true" outlineLevel="0" collapsed="false">
      <c r="A141" s="8" t="s">
        <v>210</v>
      </c>
      <c r="B141" s="8" t="str">
        <f aca="false">IFERROR(INDEX('Source 2026'!$C:$C,MATCH($A141,'Source 2026'!$B:$B,0)),IFERROR(INDEX('Source 2025'!$C:$C,MATCH($A141,'Source 2025'!$B:$B,0)),""))</f>
        <v>גרבי קיץ אנטי בקטריא39-42</v>
      </c>
      <c r="C141" s="9" t="n">
        <f aca="false">SUMIFS('Source 2025'!$F:$F,'Source 2025'!$B:$B,$A141,'Source 2025'!$A:$A,"Quantity (units)")+SUMIFS('Source 2025'!$H:$H,'Source 2025'!$B:$B,$A141,'Source 2025'!$A:$A,"Quantity (units)")+SUMIFS('Source 2025'!$M:$M,'Source 2025'!$B:$B,$A141,'Source 2025'!$A:$A,"Quantity (units)")+SUMIFS('Source 2025'!$N:$N,'Source 2025'!$B:$B,$A141,'Source 2025'!$A:$A,"Quantity (units)")+SUMIFS('Source 2025'!$S:$S,'Source 2025'!$B:$B,$A141,'Source 2025'!$A:$A,"Quantity (units)")+SUMIFS('Source 2025'!$U:$U,'Source 2025'!$B:$B,$A141,'Source 2025'!$A:$A,"Quantity (units)")+SUMIFS('Source 2025'!$D:$D,'Source 2025'!$B:$B,$A141,'Source 2025'!$A:$A,"Quantity (units)")+SUMIFS('Source 2025'!$E:$E,'Source 2025'!$B:$B,$A141,'Source 2025'!$A:$A,"Quantity (units)")+SUMIFS('Source 2025'!$G:$G,'Source 2025'!$B:$B,$A141,'Source 2025'!$A:$A,"Quantity (units)")</f>
        <v>0</v>
      </c>
      <c r="D141" s="9" t="n">
        <f aca="false">SUMIFS('Source 2026'!$F:$F,'Source 2026'!$B:$B,$A141,'Source 2026'!$A:$A,"Quantity (units)")+SUMIFS('Source 2026'!$H:$H,'Source 2026'!$B:$B,$A141,'Source 2026'!$A:$A,"Quantity (units)")+SUMIFS('Source 2026'!$M:$M,'Source 2026'!$B:$B,$A141,'Source 2026'!$A:$A,"Quantity (units)")+SUMIFS('Source 2026'!$N:$N,'Source 2026'!$B:$B,$A141,'Source 2026'!$A:$A,"Quantity (units)")+SUMIFS('Source 2026'!$S:$S,'Source 2026'!$B:$B,$A141,'Source 2026'!$A:$A,"Quantity (units)")+SUMIFS('Source 2026'!$U:$U,'Source 2026'!$B:$B,$A141,'Source 2026'!$A:$A,"Quantity (units)")+SUMIFS('Source 2026'!$D:$D,'Source 2026'!$B:$B,$A141,'Source 2026'!$A:$A,"Quantity (units)")+SUMIFS('Source 2026'!$E:$E,'Source 2026'!$B:$B,$A141,'Source 2026'!$A:$A,"Quantity (units)")+SUMIFS('Source 2026'!$G:$G,'Source 2026'!$B:$B,$A141,'Source 2026'!$A:$A,"Quantity (units)")</f>
        <v>37</v>
      </c>
      <c r="E141" s="9" t="n">
        <f aca="false">D141*$J$5</f>
        <v>46.7368421052632</v>
      </c>
      <c r="F141" s="9" t="n">
        <f aca="false">E141-C141</f>
        <v>46.7368421052632</v>
      </c>
      <c r="G141" s="11" t="str">
        <f aca="false">IF(AND(C141=0,E141=0),0,IF(C141=0,"New",(E141-C141)/C141))</f>
        <v>New</v>
      </c>
      <c r="H141" s="9" t="n">
        <f aca="false">SUMIFS('Source 2025'!$F:$F,'Source 2025'!$B:$B,$A141,'Source 2025'!$A:$A,"Amount (NIS)")+SUMIFS('Source 2025'!$H:$H,'Source 2025'!$B:$B,$A141,'Source 2025'!$A:$A,"Amount (NIS)")+SUMIFS('Source 2025'!$M:$M,'Source 2025'!$B:$B,$A141,'Source 2025'!$A:$A,"Amount (NIS)")+SUMIFS('Source 2025'!$N:$N,'Source 2025'!$B:$B,$A141,'Source 2025'!$A:$A,"Amount (NIS)")+SUMIFS('Source 2025'!$S:$S,'Source 2025'!$B:$B,$A141,'Source 2025'!$A:$A,"Amount (NIS)")+SUMIFS('Source 2025'!$U:$U,'Source 2025'!$B:$B,$A141,'Source 2025'!$A:$A,"Amount (NIS)")+SUMIFS('Source 2025'!$D:$D,'Source 2025'!$B:$B,$A141,'Source 2025'!$A:$A,"Amount (NIS)")+SUMIFS('Source 2025'!$E:$E,'Source 2025'!$B:$B,$A141,'Source 2025'!$A:$A,"Amount (NIS)")+SUMIFS('Source 2025'!$G:$G,'Source 2025'!$B:$B,$A141,'Source 2025'!$A:$A,"Amount (NIS)")</f>
        <v>0</v>
      </c>
      <c r="I141" s="9" t="n">
        <f aca="false">SUMIFS('Source 2026'!$F:$F,'Source 2026'!$B:$B,$A141,'Source 2026'!$A:$A,"Amount (NIS)")+SUMIFS('Source 2026'!$H:$H,'Source 2026'!$B:$B,$A141,'Source 2026'!$A:$A,"Amount (NIS)")+SUMIFS('Source 2026'!$M:$M,'Source 2026'!$B:$B,$A141,'Source 2026'!$A:$A,"Amount (NIS)")+SUMIFS('Source 2026'!$N:$N,'Source 2026'!$B:$B,$A141,'Source 2026'!$A:$A,"Amount (NIS)")+SUMIFS('Source 2026'!$S:$S,'Source 2026'!$B:$B,$A141,'Source 2026'!$A:$A,"Amount (NIS)")+SUMIFS('Source 2026'!$U:$U,'Source 2026'!$B:$B,$A141,'Source 2026'!$A:$A,"Amount (NIS)")+SUMIFS('Source 2026'!$D:$D,'Source 2026'!$B:$B,$A141,'Source 2026'!$A:$A,"Amount (NIS)")+SUMIFS('Source 2026'!$E:$E,'Source 2026'!$B:$B,$A141,'Source 2026'!$A:$A,"Amount (NIS)")+SUMIFS('Source 2026'!$G:$G,'Source 2026'!$B:$B,$A141,'Source 2026'!$A:$A,"Amount (NIS)")</f>
        <v>1060.7</v>
      </c>
      <c r="J141" s="9" t="n">
        <f aca="false">I141*$J$5</f>
        <v>1339.83157894737</v>
      </c>
      <c r="K141" s="9" t="n">
        <f aca="false">J141-H141</f>
        <v>1339.83157894737</v>
      </c>
      <c r="L141" s="11" t="str">
        <f aca="false">IF(AND(H141=0,J141=0),0,IF(H141=0,"New",(J141-H141)/H141))</f>
        <v>New</v>
      </c>
    </row>
    <row r="142" customFormat="false" ht="15" hidden="false" customHeight="true" outlineLevel="0" collapsed="false">
      <c r="A142" s="8" t="s">
        <v>211</v>
      </c>
      <c r="B142" s="8" t="str">
        <f aca="false">IFERROR(INDEX('Source 2026'!$C:$C,MATCH($A142,'Source 2026'!$B:$B,0)),IFERROR(INDEX('Source 2025'!$C:$C,MATCH($A142,'Source 2025'!$B:$B,0)),""))</f>
        <v>ONE SIZE חבק יד</v>
      </c>
      <c r="C142" s="9" t="n">
        <f aca="false">SUMIFS('Source 2025'!$F:$F,'Source 2025'!$B:$B,$A142,'Source 2025'!$A:$A,"Quantity (units)")+SUMIFS('Source 2025'!$H:$H,'Source 2025'!$B:$B,$A142,'Source 2025'!$A:$A,"Quantity (units)")+SUMIFS('Source 2025'!$M:$M,'Source 2025'!$B:$B,$A142,'Source 2025'!$A:$A,"Quantity (units)")+SUMIFS('Source 2025'!$N:$N,'Source 2025'!$B:$B,$A142,'Source 2025'!$A:$A,"Quantity (units)")+SUMIFS('Source 2025'!$S:$S,'Source 2025'!$B:$B,$A142,'Source 2025'!$A:$A,"Quantity (units)")+SUMIFS('Source 2025'!$U:$U,'Source 2025'!$B:$B,$A142,'Source 2025'!$A:$A,"Quantity (units)")+SUMIFS('Source 2025'!$D:$D,'Source 2025'!$B:$B,$A142,'Source 2025'!$A:$A,"Quantity (units)")+SUMIFS('Source 2025'!$E:$E,'Source 2025'!$B:$B,$A142,'Source 2025'!$A:$A,"Quantity (units)")+SUMIFS('Source 2025'!$G:$G,'Source 2025'!$B:$B,$A142,'Source 2025'!$A:$A,"Quantity (units)")</f>
        <v>0</v>
      </c>
      <c r="D142" s="9" t="n">
        <f aca="false">SUMIFS('Source 2026'!$F:$F,'Source 2026'!$B:$B,$A142,'Source 2026'!$A:$A,"Quantity (units)")+SUMIFS('Source 2026'!$H:$H,'Source 2026'!$B:$B,$A142,'Source 2026'!$A:$A,"Quantity (units)")+SUMIFS('Source 2026'!$M:$M,'Source 2026'!$B:$B,$A142,'Source 2026'!$A:$A,"Quantity (units)")+SUMIFS('Source 2026'!$N:$N,'Source 2026'!$B:$B,$A142,'Source 2026'!$A:$A,"Quantity (units)")+SUMIFS('Source 2026'!$S:$S,'Source 2026'!$B:$B,$A142,'Source 2026'!$A:$A,"Quantity (units)")+SUMIFS('Source 2026'!$U:$U,'Source 2026'!$B:$B,$A142,'Source 2026'!$A:$A,"Quantity (units)")+SUMIFS('Source 2026'!$D:$D,'Source 2026'!$B:$B,$A142,'Source 2026'!$A:$A,"Quantity (units)")+SUMIFS('Source 2026'!$E:$E,'Source 2026'!$B:$B,$A142,'Source 2026'!$A:$A,"Quantity (units)")+SUMIFS('Source 2026'!$G:$G,'Source 2026'!$B:$B,$A142,'Source 2026'!$A:$A,"Quantity (units)")</f>
        <v>22</v>
      </c>
      <c r="E142" s="9" t="n">
        <f aca="false">D142*$J$5</f>
        <v>27.7894736842105</v>
      </c>
      <c r="F142" s="9" t="n">
        <f aca="false">E142-C142</f>
        <v>27.7894736842105</v>
      </c>
      <c r="G142" s="11" t="str">
        <f aca="false">IF(AND(C142=0,E142=0),0,IF(C142=0,"New",(E142-C142)/C142))</f>
        <v>New</v>
      </c>
      <c r="H142" s="9" t="n">
        <f aca="false">SUMIFS('Source 2025'!$F:$F,'Source 2025'!$B:$B,$A142,'Source 2025'!$A:$A,"Amount (NIS)")+SUMIFS('Source 2025'!$H:$H,'Source 2025'!$B:$B,$A142,'Source 2025'!$A:$A,"Amount (NIS)")+SUMIFS('Source 2025'!$M:$M,'Source 2025'!$B:$B,$A142,'Source 2025'!$A:$A,"Amount (NIS)")+SUMIFS('Source 2025'!$N:$N,'Source 2025'!$B:$B,$A142,'Source 2025'!$A:$A,"Amount (NIS)")+SUMIFS('Source 2025'!$S:$S,'Source 2025'!$B:$B,$A142,'Source 2025'!$A:$A,"Amount (NIS)")+SUMIFS('Source 2025'!$U:$U,'Source 2025'!$B:$B,$A142,'Source 2025'!$A:$A,"Amount (NIS)")+SUMIFS('Source 2025'!$D:$D,'Source 2025'!$B:$B,$A142,'Source 2025'!$A:$A,"Amount (NIS)")+SUMIFS('Source 2025'!$E:$E,'Source 2025'!$B:$B,$A142,'Source 2025'!$A:$A,"Amount (NIS)")+SUMIFS('Source 2025'!$G:$G,'Source 2025'!$B:$B,$A142,'Source 2025'!$A:$A,"Amount (NIS)")</f>
        <v>0</v>
      </c>
      <c r="I142" s="9" t="n">
        <f aca="false">SUMIFS('Source 2026'!$F:$F,'Source 2026'!$B:$B,$A142,'Source 2026'!$A:$A,"Amount (NIS)")+SUMIFS('Source 2026'!$H:$H,'Source 2026'!$B:$B,$A142,'Source 2026'!$A:$A,"Amount (NIS)")+SUMIFS('Source 2026'!$M:$M,'Source 2026'!$B:$B,$A142,'Source 2026'!$A:$A,"Amount (NIS)")+SUMIFS('Source 2026'!$N:$N,'Source 2026'!$B:$B,$A142,'Source 2026'!$A:$A,"Amount (NIS)")+SUMIFS('Source 2026'!$S:$S,'Source 2026'!$B:$B,$A142,'Source 2026'!$A:$A,"Amount (NIS)")+SUMIFS('Source 2026'!$U:$U,'Source 2026'!$B:$B,$A142,'Source 2026'!$A:$A,"Amount (NIS)")+SUMIFS('Source 2026'!$D:$D,'Source 2026'!$B:$B,$A142,'Source 2026'!$A:$A,"Amount (NIS)")+SUMIFS('Source 2026'!$E:$E,'Source 2026'!$B:$B,$A142,'Source 2026'!$A:$A,"Amount (NIS)")+SUMIFS('Source 2026'!$G:$G,'Source 2026'!$B:$B,$A142,'Source 2026'!$A:$A,"Amount (NIS)")</f>
        <v>1035.8</v>
      </c>
      <c r="J142" s="9" t="n">
        <f aca="false">I142*$J$5</f>
        <v>1308.37894736842</v>
      </c>
      <c r="K142" s="9" t="n">
        <f aca="false">J142-H142</f>
        <v>1308.37894736842</v>
      </c>
      <c r="L142" s="11" t="str">
        <f aca="false">IF(AND(H142=0,J142=0),0,IF(H142=0,"New",(J142-H142)/H142))</f>
        <v>New</v>
      </c>
    </row>
    <row r="143" customFormat="false" ht="15" hidden="false" customHeight="true" outlineLevel="0" collapsed="false">
      <c r="A143" s="8" t="s">
        <v>212</v>
      </c>
      <c r="B143" s="8" t="str">
        <f aca="false">IFERROR(INDEX('Source 2026'!$C:$C,MATCH($A143,'Source 2026'!$B:$B,0)),IFERROR(INDEX('Source 2025'!$C:$C,MATCH($A143,'Source 2025'!$B:$B,0)),""))</f>
        <v>M  סד לקרסול</v>
      </c>
      <c r="C143" s="9" t="n">
        <f aca="false">SUMIFS('Source 2025'!$F:$F,'Source 2025'!$B:$B,$A143,'Source 2025'!$A:$A,"Quantity (units)")+SUMIFS('Source 2025'!$H:$H,'Source 2025'!$B:$B,$A143,'Source 2025'!$A:$A,"Quantity (units)")+SUMIFS('Source 2025'!$M:$M,'Source 2025'!$B:$B,$A143,'Source 2025'!$A:$A,"Quantity (units)")+SUMIFS('Source 2025'!$N:$N,'Source 2025'!$B:$B,$A143,'Source 2025'!$A:$A,"Quantity (units)")+SUMIFS('Source 2025'!$S:$S,'Source 2025'!$B:$B,$A143,'Source 2025'!$A:$A,"Quantity (units)")+SUMIFS('Source 2025'!$U:$U,'Source 2025'!$B:$B,$A143,'Source 2025'!$A:$A,"Quantity (units)")+SUMIFS('Source 2025'!$D:$D,'Source 2025'!$B:$B,$A143,'Source 2025'!$A:$A,"Quantity (units)")+SUMIFS('Source 2025'!$E:$E,'Source 2025'!$B:$B,$A143,'Source 2025'!$A:$A,"Quantity (units)")+SUMIFS('Source 2025'!$G:$G,'Source 2025'!$B:$B,$A143,'Source 2025'!$A:$A,"Quantity (units)")</f>
        <v>9</v>
      </c>
      <c r="D143" s="9" t="n">
        <f aca="false">SUMIFS('Source 2026'!$F:$F,'Source 2026'!$B:$B,$A143,'Source 2026'!$A:$A,"Quantity (units)")+SUMIFS('Source 2026'!$H:$H,'Source 2026'!$B:$B,$A143,'Source 2026'!$A:$A,"Quantity (units)")+SUMIFS('Source 2026'!$M:$M,'Source 2026'!$B:$B,$A143,'Source 2026'!$A:$A,"Quantity (units)")+SUMIFS('Source 2026'!$N:$N,'Source 2026'!$B:$B,$A143,'Source 2026'!$A:$A,"Quantity (units)")+SUMIFS('Source 2026'!$S:$S,'Source 2026'!$B:$B,$A143,'Source 2026'!$A:$A,"Quantity (units)")+SUMIFS('Source 2026'!$U:$U,'Source 2026'!$B:$B,$A143,'Source 2026'!$A:$A,"Quantity (units)")+SUMIFS('Source 2026'!$D:$D,'Source 2026'!$B:$B,$A143,'Source 2026'!$A:$A,"Quantity (units)")+SUMIFS('Source 2026'!$E:$E,'Source 2026'!$B:$B,$A143,'Source 2026'!$A:$A,"Quantity (units)")+SUMIFS('Source 2026'!$G:$G,'Source 2026'!$B:$B,$A143,'Source 2026'!$A:$A,"Quantity (units)")</f>
        <v>0</v>
      </c>
      <c r="E143" s="9" t="n">
        <f aca="false">D143*$J$5</f>
        <v>0</v>
      </c>
      <c r="F143" s="9" t="n">
        <f aca="false">E143-C143</f>
        <v>-9</v>
      </c>
      <c r="G143" s="11" t="n">
        <f aca="false">IF(AND(C143=0,E143=0),0,IF(C143=0,"New",(E143-C143)/C143))</f>
        <v>-1</v>
      </c>
      <c r="H143" s="9" t="n">
        <f aca="false">SUMIFS('Source 2025'!$F:$F,'Source 2025'!$B:$B,$A143,'Source 2025'!$A:$A,"Amount (NIS)")+SUMIFS('Source 2025'!$H:$H,'Source 2025'!$B:$B,$A143,'Source 2025'!$A:$A,"Amount (NIS)")+SUMIFS('Source 2025'!$M:$M,'Source 2025'!$B:$B,$A143,'Source 2025'!$A:$A,"Amount (NIS)")+SUMIFS('Source 2025'!$N:$N,'Source 2025'!$B:$B,$A143,'Source 2025'!$A:$A,"Amount (NIS)")+SUMIFS('Source 2025'!$S:$S,'Source 2025'!$B:$B,$A143,'Source 2025'!$A:$A,"Amount (NIS)")+SUMIFS('Source 2025'!$U:$U,'Source 2025'!$B:$B,$A143,'Source 2025'!$A:$A,"Amount (NIS)")+SUMIFS('Source 2025'!$D:$D,'Source 2025'!$B:$B,$A143,'Source 2025'!$A:$A,"Amount (NIS)")+SUMIFS('Source 2025'!$E:$E,'Source 2025'!$B:$B,$A143,'Source 2025'!$A:$A,"Amount (NIS)")+SUMIFS('Source 2025'!$G:$G,'Source 2025'!$B:$B,$A143,'Source 2025'!$A:$A,"Amount (NIS)")</f>
        <v>1025.3</v>
      </c>
      <c r="I143" s="9" t="n">
        <f aca="false">SUMIFS('Source 2026'!$F:$F,'Source 2026'!$B:$B,$A143,'Source 2026'!$A:$A,"Amount (NIS)")+SUMIFS('Source 2026'!$H:$H,'Source 2026'!$B:$B,$A143,'Source 2026'!$A:$A,"Amount (NIS)")+SUMIFS('Source 2026'!$M:$M,'Source 2026'!$B:$B,$A143,'Source 2026'!$A:$A,"Amount (NIS)")+SUMIFS('Source 2026'!$N:$N,'Source 2026'!$B:$B,$A143,'Source 2026'!$A:$A,"Amount (NIS)")+SUMIFS('Source 2026'!$S:$S,'Source 2026'!$B:$B,$A143,'Source 2026'!$A:$A,"Amount (NIS)")+SUMIFS('Source 2026'!$U:$U,'Source 2026'!$B:$B,$A143,'Source 2026'!$A:$A,"Amount (NIS)")+SUMIFS('Source 2026'!$D:$D,'Source 2026'!$B:$B,$A143,'Source 2026'!$A:$A,"Amount (NIS)")+SUMIFS('Source 2026'!$E:$E,'Source 2026'!$B:$B,$A143,'Source 2026'!$A:$A,"Amount (NIS)")+SUMIFS('Source 2026'!$G:$G,'Source 2026'!$B:$B,$A143,'Source 2026'!$A:$A,"Amount (NIS)")</f>
        <v>0</v>
      </c>
      <c r="J143" s="9" t="n">
        <f aca="false">I143*$J$5</f>
        <v>0</v>
      </c>
      <c r="K143" s="9" t="n">
        <f aca="false">J143-H143</f>
        <v>-1025.3</v>
      </c>
      <c r="L143" s="11" t="n">
        <f aca="false">IF(AND(H143=0,J143=0),0,IF(H143=0,"New",(J143-H143)/H143))</f>
        <v>-1</v>
      </c>
    </row>
    <row r="144" customFormat="false" ht="15" hidden="false" customHeight="true" outlineLevel="0" collapsed="false">
      <c r="A144" s="8" t="s">
        <v>213</v>
      </c>
      <c r="B144" s="8" t="str">
        <f aca="false">IFERROR(INDEX('Source 2026'!$C:$C,MATCH($A144,'Source 2026'!$B:$B,0)),IFERROR(INDEX('Source 2025'!$C:$C,MATCH($A144,'Source 2025'!$B:$B,0)),""))</f>
        <v>לגבס קצר יד</v>
      </c>
      <c r="C144" s="9" t="n">
        <f aca="false">SUMIFS('Source 2025'!$F:$F,'Source 2025'!$B:$B,$A144,'Source 2025'!$A:$A,"Quantity (units)")+SUMIFS('Source 2025'!$H:$H,'Source 2025'!$B:$B,$A144,'Source 2025'!$A:$A,"Quantity (units)")+SUMIFS('Source 2025'!$M:$M,'Source 2025'!$B:$B,$A144,'Source 2025'!$A:$A,"Quantity (units)")+SUMIFS('Source 2025'!$N:$N,'Source 2025'!$B:$B,$A144,'Source 2025'!$A:$A,"Quantity (units)")+SUMIFS('Source 2025'!$S:$S,'Source 2025'!$B:$B,$A144,'Source 2025'!$A:$A,"Quantity (units)")+SUMIFS('Source 2025'!$U:$U,'Source 2025'!$B:$B,$A144,'Source 2025'!$A:$A,"Quantity (units)")+SUMIFS('Source 2025'!$D:$D,'Source 2025'!$B:$B,$A144,'Source 2025'!$A:$A,"Quantity (units)")+SUMIFS('Source 2025'!$E:$E,'Source 2025'!$B:$B,$A144,'Source 2025'!$A:$A,"Quantity (units)")+SUMIFS('Source 2025'!$G:$G,'Source 2025'!$B:$B,$A144,'Source 2025'!$A:$A,"Quantity (units)")</f>
        <v>358</v>
      </c>
      <c r="D144" s="9" t="n">
        <f aca="false">SUMIFS('Source 2026'!$F:$F,'Source 2026'!$B:$B,$A144,'Source 2026'!$A:$A,"Quantity (units)")+SUMIFS('Source 2026'!$H:$H,'Source 2026'!$B:$B,$A144,'Source 2026'!$A:$A,"Quantity (units)")+SUMIFS('Source 2026'!$M:$M,'Source 2026'!$B:$B,$A144,'Source 2026'!$A:$A,"Quantity (units)")+SUMIFS('Source 2026'!$N:$N,'Source 2026'!$B:$B,$A144,'Source 2026'!$A:$A,"Quantity (units)")+SUMIFS('Source 2026'!$S:$S,'Source 2026'!$B:$B,$A144,'Source 2026'!$A:$A,"Quantity (units)")+SUMIFS('Source 2026'!$U:$U,'Source 2026'!$B:$B,$A144,'Source 2026'!$A:$A,"Quantity (units)")+SUMIFS('Source 2026'!$D:$D,'Source 2026'!$B:$B,$A144,'Source 2026'!$A:$A,"Quantity (units)")+SUMIFS('Source 2026'!$E:$E,'Source 2026'!$B:$B,$A144,'Source 2026'!$A:$A,"Quantity (units)")+SUMIFS('Source 2026'!$G:$G,'Source 2026'!$B:$B,$A144,'Source 2026'!$A:$A,"Quantity (units)")</f>
        <v>330</v>
      </c>
      <c r="E144" s="9" t="n">
        <f aca="false">D144*$J$5</f>
        <v>416.842105263158</v>
      </c>
      <c r="F144" s="9" t="n">
        <f aca="false">E144-C144</f>
        <v>58.8421052631579</v>
      </c>
      <c r="G144" s="11" t="n">
        <f aca="false">IF(AND(C144=0,E144=0),0,IF(C144=0,"New",(E144-C144)/C144))</f>
        <v>0.164363422522787</v>
      </c>
      <c r="H144" s="9" t="n">
        <f aca="false">SUMIFS('Source 2025'!$F:$F,'Source 2025'!$B:$B,$A144,'Source 2025'!$A:$A,"Amount (NIS)")+SUMIFS('Source 2025'!$H:$H,'Source 2025'!$B:$B,$A144,'Source 2025'!$A:$A,"Amount (NIS)")+SUMIFS('Source 2025'!$M:$M,'Source 2025'!$B:$B,$A144,'Source 2025'!$A:$A,"Amount (NIS)")+SUMIFS('Source 2025'!$N:$N,'Source 2025'!$B:$B,$A144,'Source 2025'!$A:$A,"Amount (NIS)")+SUMIFS('Source 2025'!$S:$S,'Source 2025'!$B:$B,$A144,'Source 2025'!$A:$A,"Amount (NIS)")+SUMIFS('Source 2025'!$U:$U,'Source 2025'!$B:$B,$A144,'Source 2025'!$A:$A,"Amount (NIS)")+SUMIFS('Source 2025'!$D:$D,'Source 2025'!$B:$B,$A144,'Source 2025'!$A:$A,"Amount (NIS)")+SUMIFS('Source 2025'!$E:$E,'Source 2025'!$B:$B,$A144,'Source 2025'!$A:$A,"Amount (NIS)")+SUMIFS('Source 2025'!$G:$G,'Source 2025'!$B:$B,$A144,'Source 2025'!$A:$A,"Amount (NIS)")</f>
        <v>14794.5</v>
      </c>
      <c r="I144" s="9" t="n">
        <f aca="false">SUMIFS('Source 2026'!$F:$F,'Source 2026'!$B:$B,$A144,'Source 2026'!$A:$A,"Amount (NIS)")+SUMIFS('Source 2026'!$H:$H,'Source 2026'!$B:$B,$A144,'Source 2026'!$A:$A,"Amount (NIS)")+SUMIFS('Source 2026'!$M:$M,'Source 2026'!$B:$B,$A144,'Source 2026'!$A:$A,"Amount (NIS)")+SUMIFS('Source 2026'!$N:$N,'Source 2026'!$B:$B,$A144,'Source 2026'!$A:$A,"Amount (NIS)")+SUMIFS('Source 2026'!$S:$S,'Source 2026'!$B:$B,$A144,'Source 2026'!$A:$A,"Amount (NIS)")+SUMIFS('Source 2026'!$U:$U,'Source 2026'!$B:$B,$A144,'Source 2026'!$A:$A,"Amount (NIS)")+SUMIFS('Source 2026'!$D:$D,'Source 2026'!$B:$B,$A144,'Source 2026'!$A:$A,"Amount (NIS)")+SUMIFS('Source 2026'!$E:$E,'Source 2026'!$B:$B,$A144,'Source 2026'!$A:$A,"Amount (NIS)")+SUMIFS('Source 2026'!$G:$G,'Source 2026'!$B:$B,$A144,'Source 2026'!$A:$A,"Amount (NIS)")</f>
        <v>13785.8</v>
      </c>
      <c r="J144" s="9" t="n">
        <f aca="false">I144*$J$5</f>
        <v>17413.6421052632</v>
      </c>
      <c r="K144" s="9" t="n">
        <f aca="false">J144-H144</f>
        <v>2619.14210526316</v>
      </c>
      <c r="L144" s="11" t="n">
        <f aca="false">IF(AND(H144=0,J144=0),0,IF(H144=0,"New",(J144-H144)/H144))</f>
        <v>0.177034851144896</v>
      </c>
    </row>
    <row r="145" customFormat="false" ht="15" hidden="false" customHeight="true" outlineLevel="0" collapsed="false">
      <c r="A145" s="8" t="s">
        <v>214</v>
      </c>
      <c r="B145" s="8" t="str">
        <f aca="false">IFERROR(INDEX('Source 2026'!$C:$C,MATCH($A145,'Source 2026'!$B:$B,0)),IFERROR(INDEX('Source 2025'!$C:$C,MATCH($A145,'Source 2025'!$B:$B,0)),""))</f>
        <v>S-M חבק יד עם צמדן</v>
      </c>
      <c r="C145" s="9" t="n">
        <f aca="false">SUMIFS('Source 2025'!$F:$F,'Source 2025'!$B:$B,$A145,'Source 2025'!$A:$A,"Quantity (units)")+SUMIFS('Source 2025'!$H:$H,'Source 2025'!$B:$B,$A145,'Source 2025'!$A:$A,"Quantity (units)")+SUMIFS('Source 2025'!$M:$M,'Source 2025'!$B:$B,$A145,'Source 2025'!$A:$A,"Quantity (units)")+SUMIFS('Source 2025'!$N:$N,'Source 2025'!$B:$B,$A145,'Source 2025'!$A:$A,"Quantity (units)")+SUMIFS('Source 2025'!$S:$S,'Source 2025'!$B:$B,$A145,'Source 2025'!$A:$A,"Quantity (units)")+SUMIFS('Source 2025'!$U:$U,'Source 2025'!$B:$B,$A145,'Source 2025'!$A:$A,"Quantity (units)")+SUMIFS('Source 2025'!$D:$D,'Source 2025'!$B:$B,$A145,'Source 2025'!$A:$A,"Quantity (units)")+SUMIFS('Source 2025'!$E:$E,'Source 2025'!$B:$B,$A145,'Source 2025'!$A:$A,"Quantity (units)")+SUMIFS('Source 2025'!$G:$G,'Source 2025'!$B:$B,$A145,'Source 2025'!$A:$A,"Quantity (units)")</f>
        <v>151</v>
      </c>
      <c r="D145" s="9" t="n">
        <f aca="false">SUMIFS('Source 2026'!$F:$F,'Source 2026'!$B:$B,$A145,'Source 2026'!$A:$A,"Quantity (units)")+SUMIFS('Source 2026'!$H:$H,'Source 2026'!$B:$B,$A145,'Source 2026'!$A:$A,"Quantity (units)")+SUMIFS('Source 2026'!$M:$M,'Source 2026'!$B:$B,$A145,'Source 2026'!$A:$A,"Quantity (units)")+SUMIFS('Source 2026'!$N:$N,'Source 2026'!$B:$B,$A145,'Source 2026'!$A:$A,"Quantity (units)")+SUMIFS('Source 2026'!$S:$S,'Source 2026'!$B:$B,$A145,'Source 2026'!$A:$A,"Quantity (units)")+SUMIFS('Source 2026'!$U:$U,'Source 2026'!$B:$B,$A145,'Source 2026'!$A:$A,"Quantity (units)")+SUMIFS('Source 2026'!$D:$D,'Source 2026'!$B:$B,$A145,'Source 2026'!$A:$A,"Quantity (units)")+SUMIFS('Source 2026'!$E:$E,'Source 2026'!$B:$B,$A145,'Source 2026'!$A:$A,"Quantity (units)")+SUMIFS('Source 2026'!$G:$G,'Source 2026'!$B:$B,$A145,'Source 2026'!$A:$A,"Quantity (units)")</f>
        <v>122</v>
      </c>
      <c r="E145" s="9" t="n">
        <f aca="false">D145*$J$5</f>
        <v>154.105263157895</v>
      </c>
      <c r="F145" s="9" t="n">
        <f aca="false">E145-C145</f>
        <v>3.10526315789474</v>
      </c>
      <c r="G145" s="11" t="n">
        <f aca="false">IF(AND(C145=0,E145=0),0,IF(C145=0,"New",(E145-C145)/C145))</f>
        <v>0.0205646566747996</v>
      </c>
      <c r="H145" s="9" t="n">
        <f aca="false">SUMIFS('Source 2025'!$F:$F,'Source 2025'!$B:$B,$A145,'Source 2025'!$A:$A,"Amount (NIS)")+SUMIFS('Source 2025'!$H:$H,'Source 2025'!$B:$B,$A145,'Source 2025'!$A:$A,"Amount (NIS)")+SUMIFS('Source 2025'!$M:$M,'Source 2025'!$B:$B,$A145,'Source 2025'!$A:$A,"Amount (NIS)")+SUMIFS('Source 2025'!$N:$N,'Source 2025'!$B:$B,$A145,'Source 2025'!$A:$A,"Amount (NIS)")+SUMIFS('Source 2025'!$S:$S,'Source 2025'!$B:$B,$A145,'Source 2025'!$A:$A,"Amount (NIS)")+SUMIFS('Source 2025'!$U:$U,'Source 2025'!$B:$B,$A145,'Source 2025'!$A:$A,"Amount (NIS)")+SUMIFS('Source 2025'!$D:$D,'Source 2025'!$B:$B,$A145,'Source 2025'!$A:$A,"Amount (NIS)")+SUMIFS('Source 2025'!$E:$E,'Source 2025'!$B:$B,$A145,'Source 2025'!$A:$A,"Amount (NIS)")+SUMIFS('Source 2025'!$G:$G,'Source 2025'!$B:$B,$A145,'Source 2025'!$A:$A,"Amount (NIS)")</f>
        <v>5278.9</v>
      </c>
      <c r="I145" s="9" t="n">
        <f aca="false">SUMIFS('Source 2026'!$F:$F,'Source 2026'!$B:$B,$A145,'Source 2026'!$A:$A,"Amount (NIS)")+SUMIFS('Source 2026'!$H:$H,'Source 2026'!$B:$B,$A145,'Source 2026'!$A:$A,"Amount (NIS)")+SUMIFS('Source 2026'!$M:$M,'Source 2026'!$B:$B,$A145,'Source 2026'!$A:$A,"Amount (NIS)")+SUMIFS('Source 2026'!$N:$N,'Source 2026'!$B:$B,$A145,'Source 2026'!$A:$A,"Amount (NIS)")+SUMIFS('Source 2026'!$S:$S,'Source 2026'!$B:$B,$A145,'Source 2026'!$A:$A,"Amount (NIS)")+SUMIFS('Source 2026'!$U:$U,'Source 2026'!$B:$B,$A145,'Source 2026'!$A:$A,"Amount (NIS)")+SUMIFS('Source 2026'!$D:$D,'Source 2026'!$B:$B,$A145,'Source 2026'!$A:$A,"Amount (NIS)")+SUMIFS('Source 2026'!$E:$E,'Source 2026'!$B:$B,$A145,'Source 2026'!$A:$A,"Amount (NIS)")+SUMIFS('Source 2026'!$G:$G,'Source 2026'!$B:$B,$A145,'Source 2026'!$A:$A,"Amount (NIS)")</f>
        <v>4270.8</v>
      </c>
      <c r="J145" s="9" t="n">
        <f aca="false">I145*$J$5</f>
        <v>5394.69473684211</v>
      </c>
      <c r="K145" s="9" t="n">
        <f aca="false">J145-H145</f>
        <v>115.794736842106</v>
      </c>
      <c r="L145" s="11" t="n">
        <f aca="false">IF(AND(H145=0,J145=0),0,IF(H145=0,"New",(J145-H145)/H145))</f>
        <v>0.0219353912447869</v>
      </c>
    </row>
    <row r="146" customFormat="false" ht="15" hidden="false" customHeight="true" outlineLevel="0" collapsed="false">
      <c r="A146" s="8" t="s">
        <v>215</v>
      </c>
      <c r="B146" s="8" t="str">
        <f aca="false">IFERROR(INDEX('Source 2026'!$C:$C,MATCH($A146,'Source 2026'!$B:$B,0)),IFERROR(INDEX('Source 2025'!$C:$C,MATCH($A146,'Source 2025'!$B:$B,0)),""))</f>
        <v>XS חגורת פאבליק</v>
      </c>
      <c r="C146" s="9" t="n">
        <f aca="false">SUMIFS('Source 2025'!$F:$F,'Source 2025'!$B:$B,$A146,'Source 2025'!$A:$A,"Quantity (units)")+SUMIFS('Source 2025'!$H:$H,'Source 2025'!$B:$B,$A146,'Source 2025'!$A:$A,"Quantity (units)")+SUMIFS('Source 2025'!$M:$M,'Source 2025'!$B:$B,$A146,'Source 2025'!$A:$A,"Quantity (units)")+SUMIFS('Source 2025'!$N:$N,'Source 2025'!$B:$B,$A146,'Source 2025'!$A:$A,"Quantity (units)")+SUMIFS('Source 2025'!$S:$S,'Source 2025'!$B:$B,$A146,'Source 2025'!$A:$A,"Quantity (units)")+SUMIFS('Source 2025'!$U:$U,'Source 2025'!$B:$B,$A146,'Source 2025'!$A:$A,"Quantity (units)")+SUMIFS('Source 2025'!$D:$D,'Source 2025'!$B:$B,$A146,'Source 2025'!$A:$A,"Quantity (units)")+SUMIFS('Source 2025'!$E:$E,'Source 2025'!$B:$B,$A146,'Source 2025'!$A:$A,"Quantity (units)")+SUMIFS('Source 2025'!$G:$G,'Source 2025'!$B:$B,$A146,'Source 2025'!$A:$A,"Quantity (units)")</f>
        <v>0</v>
      </c>
      <c r="D146" s="9" t="n">
        <f aca="false">SUMIFS('Source 2026'!$F:$F,'Source 2026'!$B:$B,$A146,'Source 2026'!$A:$A,"Quantity (units)")+SUMIFS('Source 2026'!$H:$H,'Source 2026'!$B:$B,$A146,'Source 2026'!$A:$A,"Quantity (units)")+SUMIFS('Source 2026'!$M:$M,'Source 2026'!$B:$B,$A146,'Source 2026'!$A:$A,"Quantity (units)")+SUMIFS('Source 2026'!$N:$N,'Source 2026'!$B:$B,$A146,'Source 2026'!$A:$A,"Quantity (units)")+SUMIFS('Source 2026'!$S:$S,'Source 2026'!$B:$B,$A146,'Source 2026'!$A:$A,"Quantity (units)")+SUMIFS('Source 2026'!$U:$U,'Source 2026'!$B:$B,$A146,'Source 2026'!$A:$A,"Quantity (units)")+SUMIFS('Source 2026'!$D:$D,'Source 2026'!$B:$B,$A146,'Source 2026'!$A:$A,"Quantity (units)")+SUMIFS('Source 2026'!$E:$E,'Source 2026'!$B:$B,$A146,'Source 2026'!$A:$A,"Quantity (units)")+SUMIFS('Source 2026'!$G:$G,'Source 2026'!$B:$B,$A146,'Source 2026'!$A:$A,"Quantity (units)")</f>
        <v>3</v>
      </c>
      <c r="E146" s="9" t="n">
        <f aca="false">D146*$J$5</f>
        <v>3.78947368421053</v>
      </c>
      <c r="F146" s="9" t="n">
        <f aca="false">E146-C146</f>
        <v>3.78947368421053</v>
      </c>
      <c r="G146" s="11" t="str">
        <f aca="false">IF(AND(C146=0,E146=0),0,IF(C146=0,"New",(E146-C146)/C146))</f>
        <v>New</v>
      </c>
      <c r="H146" s="9" t="n">
        <f aca="false">SUMIFS('Source 2025'!$F:$F,'Source 2025'!$B:$B,$A146,'Source 2025'!$A:$A,"Amount (NIS)")+SUMIFS('Source 2025'!$H:$H,'Source 2025'!$B:$B,$A146,'Source 2025'!$A:$A,"Amount (NIS)")+SUMIFS('Source 2025'!$M:$M,'Source 2025'!$B:$B,$A146,'Source 2025'!$A:$A,"Amount (NIS)")+SUMIFS('Source 2025'!$N:$N,'Source 2025'!$B:$B,$A146,'Source 2025'!$A:$A,"Amount (NIS)")+SUMIFS('Source 2025'!$S:$S,'Source 2025'!$B:$B,$A146,'Source 2025'!$A:$A,"Amount (NIS)")+SUMIFS('Source 2025'!$U:$U,'Source 2025'!$B:$B,$A146,'Source 2025'!$A:$A,"Amount (NIS)")+SUMIFS('Source 2025'!$D:$D,'Source 2025'!$B:$B,$A146,'Source 2025'!$A:$A,"Amount (NIS)")+SUMIFS('Source 2025'!$E:$E,'Source 2025'!$B:$B,$A146,'Source 2025'!$A:$A,"Amount (NIS)")+SUMIFS('Source 2025'!$G:$G,'Source 2025'!$B:$B,$A146,'Source 2025'!$A:$A,"Amount (NIS)")</f>
        <v>0</v>
      </c>
      <c r="I146" s="9" t="n">
        <f aca="false">SUMIFS('Source 2026'!$F:$F,'Source 2026'!$B:$B,$A146,'Source 2026'!$A:$A,"Amount (NIS)")+SUMIFS('Source 2026'!$H:$H,'Source 2026'!$B:$B,$A146,'Source 2026'!$A:$A,"Amount (NIS)")+SUMIFS('Source 2026'!$M:$M,'Source 2026'!$B:$B,$A146,'Source 2026'!$A:$A,"Amount (NIS)")+SUMIFS('Source 2026'!$N:$N,'Source 2026'!$B:$B,$A146,'Source 2026'!$A:$A,"Amount (NIS)")+SUMIFS('Source 2026'!$S:$S,'Source 2026'!$B:$B,$A146,'Source 2026'!$A:$A,"Amount (NIS)")+SUMIFS('Source 2026'!$U:$U,'Source 2026'!$B:$B,$A146,'Source 2026'!$A:$A,"Amount (NIS)")+SUMIFS('Source 2026'!$D:$D,'Source 2026'!$B:$B,$A146,'Source 2026'!$A:$A,"Amount (NIS)")+SUMIFS('Source 2026'!$E:$E,'Source 2026'!$B:$B,$A146,'Source 2026'!$A:$A,"Amount (NIS)")+SUMIFS('Source 2026'!$G:$G,'Source 2026'!$B:$B,$A146,'Source 2026'!$A:$A,"Amount (NIS)")</f>
        <v>970.2</v>
      </c>
      <c r="J146" s="9" t="n">
        <f aca="false">I146*$J$5</f>
        <v>1225.51578947368</v>
      </c>
      <c r="K146" s="9" t="n">
        <f aca="false">J146-H146</f>
        <v>1225.51578947368</v>
      </c>
      <c r="L146" s="11" t="str">
        <f aca="false">IF(AND(H146=0,J146=0),0,IF(H146=0,"New",(J146-H146)/H146))</f>
        <v>New</v>
      </c>
    </row>
    <row r="147" customFormat="false" ht="15" hidden="false" customHeight="true" outlineLevel="0" collapsed="false">
      <c r="A147" s="8" t="s">
        <v>216</v>
      </c>
      <c r="B147" s="8" t="str">
        <f aca="false">IFERROR(INDEX('Source 2026'!$C:$C,MATCH($A147,'Source 2026'!$B:$B,0)),IFERROR(INDEX('Source 2025'!$C:$C,MATCH($A147,'Source 2025'!$B:$B,0)),""))</f>
        <v>חבק טניס אלבו</v>
      </c>
      <c r="C147" s="9" t="n">
        <f aca="false">SUMIFS('Source 2025'!$F:$F,'Source 2025'!$B:$B,$A147,'Source 2025'!$A:$A,"Quantity (units)")+SUMIFS('Source 2025'!$H:$H,'Source 2025'!$B:$B,$A147,'Source 2025'!$A:$A,"Quantity (units)")+SUMIFS('Source 2025'!$M:$M,'Source 2025'!$B:$B,$A147,'Source 2025'!$A:$A,"Quantity (units)")+SUMIFS('Source 2025'!$N:$N,'Source 2025'!$B:$B,$A147,'Source 2025'!$A:$A,"Quantity (units)")+SUMIFS('Source 2025'!$S:$S,'Source 2025'!$B:$B,$A147,'Source 2025'!$A:$A,"Quantity (units)")+SUMIFS('Source 2025'!$U:$U,'Source 2025'!$B:$B,$A147,'Source 2025'!$A:$A,"Quantity (units)")+SUMIFS('Source 2025'!$D:$D,'Source 2025'!$B:$B,$A147,'Source 2025'!$A:$A,"Quantity (units)")+SUMIFS('Source 2025'!$E:$E,'Source 2025'!$B:$B,$A147,'Source 2025'!$A:$A,"Quantity (units)")+SUMIFS('Source 2025'!$G:$G,'Source 2025'!$B:$B,$A147,'Source 2025'!$A:$A,"Quantity (units)")</f>
        <v>79</v>
      </c>
      <c r="D147" s="9" t="n">
        <f aca="false">SUMIFS('Source 2026'!$F:$F,'Source 2026'!$B:$B,$A147,'Source 2026'!$A:$A,"Quantity (units)")+SUMIFS('Source 2026'!$H:$H,'Source 2026'!$B:$B,$A147,'Source 2026'!$A:$A,"Quantity (units)")+SUMIFS('Source 2026'!$M:$M,'Source 2026'!$B:$B,$A147,'Source 2026'!$A:$A,"Quantity (units)")+SUMIFS('Source 2026'!$N:$N,'Source 2026'!$B:$B,$A147,'Source 2026'!$A:$A,"Quantity (units)")+SUMIFS('Source 2026'!$S:$S,'Source 2026'!$B:$B,$A147,'Source 2026'!$A:$A,"Quantity (units)")+SUMIFS('Source 2026'!$U:$U,'Source 2026'!$B:$B,$A147,'Source 2026'!$A:$A,"Quantity (units)")+SUMIFS('Source 2026'!$D:$D,'Source 2026'!$B:$B,$A147,'Source 2026'!$A:$A,"Quantity (units)")+SUMIFS('Source 2026'!$E:$E,'Source 2026'!$B:$B,$A147,'Source 2026'!$A:$A,"Quantity (units)")+SUMIFS('Source 2026'!$G:$G,'Source 2026'!$B:$B,$A147,'Source 2026'!$A:$A,"Quantity (units)")</f>
        <v>67</v>
      </c>
      <c r="E147" s="9" t="n">
        <f aca="false">D147*$J$5</f>
        <v>84.6315789473684</v>
      </c>
      <c r="F147" s="9" t="n">
        <f aca="false">E147-C147</f>
        <v>5.63157894736841</v>
      </c>
      <c r="G147" s="11" t="n">
        <f aca="false">IF(AND(C147=0,E147=0),0,IF(C147=0,"New",(E147-C147)/C147))</f>
        <v>0.0712858094603596</v>
      </c>
      <c r="H147" s="9" t="n">
        <f aca="false">SUMIFS('Source 2025'!$F:$F,'Source 2025'!$B:$B,$A147,'Source 2025'!$A:$A,"Amount (NIS)")+SUMIFS('Source 2025'!$H:$H,'Source 2025'!$B:$B,$A147,'Source 2025'!$A:$A,"Amount (NIS)")+SUMIFS('Source 2025'!$M:$M,'Source 2025'!$B:$B,$A147,'Source 2025'!$A:$A,"Amount (NIS)")+SUMIFS('Source 2025'!$N:$N,'Source 2025'!$B:$B,$A147,'Source 2025'!$A:$A,"Amount (NIS)")+SUMIFS('Source 2025'!$S:$S,'Source 2025'!$B:$B,$A147,'Source 2025'!$A:$A,"Amount (NIS)")+SUMIFS('Source 2025'!$U:$U,'Source 2025'!$B:$B,$A147,'Source 2025'!$A:$A,"Amount (NIS)")+SUMIFS('Source 2025'!$D:$D,'Source 2025'!$B:$B,$A147,'Source 2025'!$A:$A,"Amount (NIS)")+SUMIFS('Source 2025'!$E:$E,'Source 2025'!$B:$B,$A147,'Source 2025'!$A:$A,"Amount (NIS)")+SUMIFS('Source 2025'!$G:$G,'Source 2025'!$B:$B,$A147,'Source 2025'!$A:$A,"Amount (NIS)")</f>
        <v>6503.9</v>
      </c>
      <c r="I147" s="9" t="n">
        <f aca="false">SUMIFS('Source 2026'!$F:$F,'Source 2026'!$B:$B,$A147,'Source 2026'!$A:$A,"Amount (NIS)")+SUMIFS('Source 2026'!$H:$H,'Source 2026'!$B:$B,$A147,'Source 2026'!$A:$A,"Amount (NIS)")+SUMIFS('Source 2026'!$M:$M,'Source 2026'!$B:$B,$A147,'Source 2026'!$A:$A,"Amount (NIS)")+SUMIFS('Source 2026'!$N:$N,'Source 2026'!$B:$B,$A147,'Source 2026'!$A:$A,"Amount (NIS)")+SUMIFS('Source 2026'!$S:$S,'Source 2026'!$B:$B,$A147,'Source 2026'!$A:$A,"Amount (NIS)")+SUMIFS('Source 2026'!$U:$U,'Source 2026'!$B:$B,$A147,'Source 2026'!$A:$A,"Amount (NIS)")+SUMIFS('Source 2026'!$D:$D,'Source 2026'!$B:$B,$A147,'Source 2026'!$A:$A,"Amount (NIS)")+SUMIFS('Source 2026'!$E:$E,'Source 2026'!$B:$B,$A147,'Source 2026'!$A:$A,"Amount (NIS)")+SUMIFS('Source 2026'!$G:$G,'Source 2026'!$B:$B,$A147,'Source 2026'!$A:$A,"Amount (NIS)")</f>
        <v>5537</v>
      </c>
      <c r="J147" s="9" t="n">
        <f aca="false">I147*$J$5</f>
        <v>6994.10526315789</v>
      </c>
      <c r="K147" s="9" t="n">
        <f aca="false">J147-H147</f>
        <v>490.205263157895</v>
      </c>
      <c r="L147" s="11" t="n">
        <f aca="false">IF(AND(H147=0,J147=0),0,IF(H147=0,"New",(J147-H147)/H147))</f>
        <v>0.0753709717489344</v>
      </c>
    </row>
    <row r="148" customFormat="false" ht="15" hidden="false" customHeight="true" outlineLevel="0" collapsed="false">
      <c r="A148" s="8" t="s">
        <v>217</v>
      </c>
      <c r="B148" s="8" t="str">
        <f aca="false">IFERROR(INDEX('Source 2026'!$C:$C,MATCH($A148,'Source 2026'!$B:$B,0)),IFERROR(INDEX('Source 2025'!$C:$C,MATCH($A148,'Source 2025'!$B:$B,0)),""))</f>
        <v>סד ליישור אצבע</v>
      </c>
      <c r="C148" s="9" t="n">
        <f aca="false">SUMIFS('Source 2025'!$F:$F,'Source 2025'!$B:$B,$A148,'Source 2025'!$A:$A,"Quantity (units)")+SUMIFS('Source 2025'!$H:$H,'Source 2025'!$B:$B,$A148,'Source 2025'!$A:$A,"Quantity (units)")+SUMIFS('Source 2025'!$M:$M,'Source 2025'!$B:$B,$A148,'Source 2025'!$A:$A,"Quantity (units)")+SUMIFS('Source 2025'!$N:$N,'Source 2025'!$B:$B,$A148,'Source 2025'!$A:$A,"Quantity (units)")+SUMIFS('Source 2025'!$S:$S,'Source 2025'!$B:$B,$A148,'Source 2025'!$A:$A,"Quantity (units)")+SUMIFS('Source 2025'!$U:$U,'Source 2025'!$B:$B,$A148,'Source 2025'!$A:$A,"Quantity (units)")+SUMIFS('Source 2025'!$D:$D,'Source 2025'!$B:$B,$A148,'Source 2025'!$A:$A,"Quantity (units)")+SUMIFS('Source 2025'!$E:$E,'Source 2025'!$B:$B,$A148,'Source 2025'!$A:$A,"Quantity (units)")+SUMIFS('Source 2025'!$G:$G,'Source 2025'!$B:$B,$A148,'Source 2025'!$A:$A,"Quantity (units)")</f>
        <v>278</v>
      </c>
      <c r="D148" s="9" t="n">
        <f aca="false">SUMIFS('Source 2026'!$F:$F,'Source 2026'!$B:$B,$A148,'Source 2026'!$A:$A,"Quantity (units)")+SUMIFS('Source 2026'!$H:$H,'Source 2026'!$B:$B,$A148,'Source 2026'!$A:$A,"Quantity (units)")+SUMIFS('Source 2026'!$M:$M,'Source 2026'!$B:$B,$A148,'Source 2026'!$A:$A,"Quantity (units)")+SUMIFS('Source 2026'!$N:$N,'Source 2026'!$B:$B,$A148,'Source 2026'!$A:$A,"Quantity (units)")+SUMIFS('Source 2026'!$S:$S,'Source 2026'!$B:$B,$A148,'Source 2026'!$A:$A,"Quantity (units)")+SUMIFS('Source 2026'!$U:$U,'Source 2026'!$B:$B,$A148,'Source 2026'!$A:$A,"Quantity (units)")+SUMIFS('Source 2026'!$D:$D,'Source 2026'!$B:$B,$A148,'Source 2026'!$A:$A,"Quantity (units)")+SUMIFS('Source 2026'!$E:$E,'Source 2026'!$B:$B,$A148,'Source 2026'!$A:$A,"Quantity (units)")+SUMIFS('Source 2026'!$G:$G,'Source 2026'!$B:$B,$A148,'Source 2026'!$A:$A,"Quantity (units)")</f>
        <v>221</v>
      </c>
      <c r="E148" s="9" t="n">
        <f aca="false">D148*$J$5</f>
        <v>279.157894736842</v>
      </c>
      <c r="F148" s="9" t="n">
        <f aca="false">E148-C148</f>
        <v>1.15789473684208</v>
      </c>
      <c r="G148" s="11" t="n">
        <f aca="false">IF(AND(C148=0,E148=0),0,IF(C148=0,"New",(E148-C148)/C148))</f>
        <v>0.00416508898144634</v>
      </c>
      <c r="H148" s="9" t="n">
        <f aca="false">SUMIFS('Source 2025'!$F:$F,'Source 2025'!$B:$B,$A148,'Source 2025'!$A:$A,"Amount (NIS)")+SUMIFS('Source 2025'!$H:$H,'Source 2025'!$B:$B,$A148,'Source 2025'!$A:$A,"Amount (NIS)")+SUMIFS('Source 2025'!$M:$M,'Source 2025'!$B:$B,$A148,'Source 2025'!$A:$A,"Amount (NIS)")+SUMIFS('Source 2025'!$N:$N,'Source 2025'!$B:$B,$A148,'Source 2025'!$A:$A,"Amount (NIS)")+SUMIFS('Source 2025'!$S:$S,'Source 2025'!$B:$B,$A148,'Source 2025'!$A:$A,"Amount (NIS)")+SUMIFS('Source 2025'!$U:$U,'Source 2025'!$B:$B,$A148,'Source 2025'!$A:$A,"Amount (NIS)")+SUMIFS('Source 2025'!$D:$D,'Source 2025'!$B:$B,$A148,'Source 2025'!$A:$A,"Amount (NIS)")+SUMIFS('Source 2025'!$E:$E,'Source 2025'!$B:$B,$A148,'Source 2025'!$A:$A,"Amount (NIS)")+SUMIFS('Source 2025'!$G:$G,'Source 2025'!$B:$B,$A148,'Source 2025'!$A:$A,"Amount (NIS)")</f>
        <v>5307.5</v>
      </c>
      <c r="I148" s="9" t="n">
        <f aca="false">SUMIFS('Source 2026'!$F:$F,'Source 2026'!$B:$B,$A148,'Source 2026'!$A:$A,"Amount (NIS)")+SUMIFS('Source 2026'!$H:$H,'Source 2026'!$B:$B,$A148,'Source 2026'!$A:$A,"Amount (NIS)")+SUMIFS('Source 2026'!$M:$M,'Source 2026'!$B:$B,$A148,'Source 2026'!$A:$A,"Amount (NIS)")+SUMIFS('Source 2026'!$N:$N,'Source 2026'!$B:$B,$A148,'Source 2026'!$A:$A,"Amount (NIS)")+SUMIFS('Source 2026'!$S:$S,'Source 2026'!$B:$B,$A148,'Source 2026'!$A:$A,"Amount (NIS)")+SUMIFS('Source 2026'!$U:$U,'Source 2026'!$B:$B,$A148,'Source 2026'!$A:$A,"Amount (NIS)")+SUMIFS('Source 2026'!$D:$D,'Source 2026'!$B:$B,$A148,'Source 2026'!$A:$A,"Amount (NIS)")+SUMIFS('Source 2026'!$E:$E,'Source 2026'!$B:$B,$A148,'Source 2026'!$A:$A,"Amount (NIS)")+SUMIFS('Source 2026'!$G:$G,'Source 2026'!$B:$B,$A148,'Source 2026'!$A:$A,"Amount (NIS)")</f>
        <v>4346.2</v>
      </c>
      <c r="J148" s="9" t="n">
        <f aca="false">I148*$J$5</f>
        <v>5489.93684210526</v>
      </c>
      <c r="K148" s="9" t="n">
        <f aca="false">J148-H148</f>
        <v>182.436842105262</v>
      </c>
      <c r="L148" s="11" t="n">
        <f aca="false">IF(AND(H148=0,J148=0),0,IF(H148=0,"New",(J148-H148)/H148))</f>
        <v>0.0343734040707042</v>
      </c>
    </row>
    <row r="149" customFormat="false" ht="15" hidden="false" customHeight="true" outlineLevel="0" collapsed="false">
      <c r="A149" s="8" t="s">
        <v>218</v>
      </c>
      <c r="B149" s="8" t="str">
        <f aca="false">IFERROR(INDEX('Source 2026'!$C:$C,MATCH($A149,'Source 2026'!$B:$B,0)),IFERROR(INDEX('Source 2025'!$C:$C,MATCH($A149,'Source 2025'!$B:$B,0)),""))</f>
        <v>מדרס מטטרזלי לנעלי עקב</v>
      </c>
      <c r="C149" s="9" t="n">
        <f aca="false">SUMIFS('Source 2025'!$F:$F,'Source 2025'!$B:$B,$A149,'Source 2025'!$A:$A,"Quantity (units)")+SUMIFS('Source 2025'!$H:$H,'Source 2025'!$B:$B,$A149,'Source 2025'!$A:$A,"Quantity (units)")+SUMIFS('Source 2025'!$M:$M,'Source 2025'!$B:$B,$A149,'Source 2025'!$A:$A,"Quantity (units)")+SUMIFS('Source 2025'!$N:$N,'Source 2025'!$B:$B,$A149,'Source 2025'!$A:$A,"Quantity (units)")+SUMIFS('Source 2025'!$S:$S,'Source 2025'!$B:$B,$A149,'Source 2025'!$A:$A,"Quantity (units)")+SUMIFS('Source 2025'!$U:$U,'Source 2025'!$B:$B,$A149,'Source 2025'!$A:$A,"Quantity (units)")+SUMIFS('Source 2025'!$D:$D,'Source 2025'!$B:$B,$A149,'Source 2025'!$A:$A,"Quantity (units)")+SUMIFS('Source 2025'!$E:$E,'Source 2025'!$B:$B,$A149,'Source 2025'!$A:$A,"Quantity (units)")+SUMIFS('Source 2025'!$G:$G,'Source 2025'!$B:$B,$A149,'Source 2025'!$A:$A,"Quantity (units)")</f>
        <v>78</v>
      </c>
      <c r="D149" s="9" t="n">
        <f aca="false">SUMIFS('Source 2026'!$F:$F,'Source 2026'!$B:$B,$A149,'Source 2026'!$A:$A,"Quantity (units)")+SUMIFS('Source 2026'!$H:$H,'Source 2026'!$B:$B,$A149,'Source 2026'!$A:$A,"Quantity (units)")+SUMIFS('Source 2026'!$M:$M,'Source 2026'!$B:$B,$A149,'Source 2026'!$A:$A,"Quantity (units)")+SUMIFS('Source 2026'!$N:$N,'Source 2026'!$B:$B,$A149,'Source 2026'!$A:$A,"Quantity (units)")+SUMIFS('Source 2026'!$S:$S,'Source 2026'!$B:$B,$A149,'Source 2026'!$A:$A,"Quantity (units)")+SUMIFS('Source 2026'!$U:$U,'Source 2026'!$B:$B,$A149,'Source 2026'!$A:$A,"Quantity (units)")+SUMIFS('Source 2026'!$D:$D,'Source 2026'!$B:$B,$A149,'Source 2026'!$A:$A,"Quantity (units)")+SUMIFS('Source 2026'!$E:$E,'Source 2026'!$B:$B,$A149,'Source 2026'!$A:$A,"Quantity (units)")+SUMIFS('Source 2026'!$G:$G,'Source 2026'!$B:$B,$A149,'Source 2026'!$A:$A,"Quantity (units)")</f>
        <v>35</v>
      </c>
      <c r="E149" s="9" t="n">
        <f aca="false">D149*$J$5</f>
        <v>44.2105263157895</v>
      </c>
      <c r="F149" s="9" t="n">
        <f aca="false">E149-C149</f>
        <v>-33.7894736842105</v>
      </c>
      <c r="G149" s="11" t="n">
        <f aca="false">IF(AND(C149=0,E149=0),0,IF(C149=0,"New",(E149-C149)/C149))</f>
        <v>-0.433198380566802</v>
      </c>
      <c r="H149" s="9" t="n">
        <f aca="false">SUMIFS('Source 2025'!$F:$F,'Source 2025'!$B:$B,$A149,'Source 2025'!$A:$A,"Amount (NIS)")+SUMIFS('Source 2025'!$H:$H,'Source 2025'!$B:$B,$A149,'Source 2025'!$A:$A,"Amount (NIS)")+SUMIFS('Source 2025'!$M:$M,'Source 2025'!$B:$B,$A149,'Source 2025'!$A:$A,"Amount (NIS)")+SUMIFS('Source 2025'!$N:$N,'Source 2025'!$B:$B,$A149,'Source 2025'!$A:$A,"Amount (NIS)")+SUMIFS('Source 2025'!$S:$S,'Source 2025'!$B:$B,$A149,'Source 2025'!$A:$A,"Amount (NIS)")+SUMIFS('Source 2025'!$U:$U,'Source 2025'!$B:$B,$A149,'Source 2025'!$A:$A,"Amount (NIS)")+SUMIFS('Source 2025'!$D:$D,'Source 2025'!$B:$B,$A149,'Source 2025'!$A:$A,"Amount (NIS)")+SUMIFS('Source 2025'!$E:$E,'Source 2025'!$B:$B,$A149,'Source 2025'!$A:$A,"Amount (NIS)")+SUMIFS('Source 2025'!$G:$G,'Source 2025'!$B:$B,$A149,'Source 2025'!$A:$A,"Amount (NIS)")</f>
        <v>1748.1</v>
      </c>
      <c r="I149" s="9" t="n">
        <f aca="false">SUMIFS('Source 2026'!$F:$F,'Source 2026'!$B:$B,$A149,'Source 2026'!$A:$A,"Amount (NIS)")+SUMIFS('Source 2026'!$H:$H,'Source 2026'!$B:$B,$A149,'Source 2026'!$A:$A,"Amount (NIS)")+SUMIFS('Source 2026'!$M:$M,'Source 2026'!$B:$B,$A149,'Source 2026'!$A:$A,"Amount (NIS)")+SUMIFS('Source 2026'!$N:$N,'Source 2026'!$B:$B,$A149,'Source 2026'!$A:$A,"Amount (NIS)")+SUMIFS('Source 2026'!$S:$S,'Source 2026'!$B:$B,$A149,'Source 2026'!$A:$A,"Amount (NIS)")+SUMIFS('Source 2026'!$U:$U,'Source 2026'!$B:$B,$A149,'Source 2026'!$A:$A,"Amount (NIS)")+SUMIFS('Source 2026'!$D:$D,'Source 2026'!$B:$B,$A149,'Source 2026'!$A:$A,"Amount (NIS)")+SUMIFS('Source 2026'!$E:$E,'Source 2026'!$B:$B,$A149,'Source 2026'!$A:$A,"Amount (NIS)")+SUMIFS('Source 2026'!$G:$G,'Source 2026'!$B:$B,$A149,'Source 2026'!$A:$A,"Amount (NIS)")</f>
        <v>788.8</v>
      </c>
      <c r="J149" s="9" t="n">
        <f aca="false">I149*$J$5</f>
        <v>996.378947368421</v>
      </c>
      <c r="K149" s="9" t="n">
        <f aca="false">J149-H149</f>
        <v>-751.721052631579</v>
      </c>
      <c r="L149" s="11" t="n">
        <f aca="false">IF(AND(H149=0,J149=0),0,IF(H149=0,"New",(J149-H149)/H149))</f>
        <v>-0.430021767994725</v>
      </c>
    </row>
    <row r="150" customFormat="false" ht="15" hidden="false" customHeight="true" outlineLevel="0" collapsed="false">
      <c r="A150" s="8" t="s">
        <v>219</v>
      </c>
      <c r="B150" s="8" t="str">
        <f aca="false">IFERROR(INDEX('Source 2026'!$C:$C,MATCH($A150,'Source 2026'!$B:$B,0)),IFERROR(INDEX('Source 2025'!$C:$C,MATCH($A150,'Source 2025'!$B:$B,0)),""))</f>
        <v>מדבקה לשחרור לחץ 2 יח</v>
      </c>
      <c r="C150" s="9" t="n">
        <f aca="false">SUMIFS('Source 2025'!$F:$F,'Source 2025'!$B:$B,$A150,'Source 2025'!$A:$A,"Quantity (units)")+SUMIFS('Source 2025'!$H:$H,'Source 2025'!$B:$B,$A150,'Source 2025'!$A:$A,"Quantity (units)")+SUMIFS('Source 2025'!$M:$M,'Source 2025'!$B:$B,$A150,'Source 2025'!$A:$A,"Quantity (units)")+SUMIFS('Source 2025'!$N:$N,'Source 2025'!$B:$B,$A150,'Source 2025'!$A:$A,"Quantity (units)")+SUMIFS('Source 2025'!$S:$S,'Source 2025'!$B:$B,$A150,'Source 2025'!$A:$A,"Quantity (units)")+SUMIFS('Source 2025'!$U:$U,'Source 2025'!$B:$B,$A150,'Source 2025'!$A:$A,"Quantity (units)")+SUMIFS('Source 2025'!$D:$D,'Source 2025'!$B:$B,$A150,'Source 2025'!$A:$A,"Quantity (units)")+SUMIFS('Source 2025'!$E:$E,'Source 2025'!$B:$B,$A150,'Source 2025'!$A:$A,"Quantity (units)")+SUMIFS('Source 2025'!$G:$G,'Source 2025'!$B:$B,$A150,'Source 2025'!$A:$A,"Quantity (units)")</f>
        <v>113</v>
      </c>
      <c r="D150" s="9" t="n">
        <f aca="false">SUMIFS('Source 2026'!$F:$F,'Source 2026'!$B:$B,$A150,'Source 2026'!$A:$A,"Quantity (units)")+SUMIFS('Source 2026'!$H:$H,'Source 2026'!$B:$B,$A150,'Source 2026'!$A:$A,"Quantity (units)")+SUMIFS('Source 2026'!$M:$M,'Source 2026'!$B:$B,$A150,'Source 2026'!$A:$A,"Quantity (units)")+SUMIFS('Source 2026'!$N:$N,'Source 2026'!$B:$B,$A150,'Source 2026'!$A:$A,"Quantity (units)")+SUMIFS('Source 2026'!$S:$S,'Source 2026'!$B:$B,$A150,'Source 2026'!$A:$A,"Quantity (units)")+SUMIFS('Source 2026'!$U:$U,'Source 2026'!$B:$B,$A150,'Source 2026'!$A:$A,"Quantity (units)")+SUMIFS('Source 2026'!$D:$D,'Source 2026'!$B:$B,$A150,'Source 2026'!$A:$A,"Quantity (units)")+SUMIFS('Source 2026'!$E:$E,'Source 2026'!$B:$B,$A150,'Source 2026'!$A:$A,"Quantity (units)")+SUMIFS('Source 2026'!$G:$G,'Source 2026'!$B:$B,$A150,'Source 2026'!$A:$A,"Quantity (units)")</f>
        <v>83</v>
      </c>
      <c r="E150" s="9" t="n">
        <f aca="false">D150*$J$5</f>
        <v>104.842105263158</v>
      </c>
      <c r="F150" s="9" t="n">
        <f aca="false">E150-C150</f>
        <v>-8.15789473684211</v>
      </c>
      <c r="G150" s="11" t="n">
        <f aca="false">IF(AND(C150=0,E150=0),0,IF(C150=0,"New",(E150-C150)/C150))</f>
        <v>-0.072193758733116</v>
      </c>
      <c r="H150" s="9" t="n">
        <f aca="false">SUMIFS('Source 2025'!$F:$F,'Source 2025'!$B:$B,$A150,'Source 2025'!$A:$A,"Amount (NIS)")+SUMIFS('Source 2025'!$H:$H,'Source 2025'!$B:$B,$A150,'Source 2025'!$A:$A,"Amount (NIS)")+SUMIFS('Source 2025'!$M:$M,'Source 2025'!$B:$B,$A150,'Source 2025'!$A:$A,"Amount (NIS)")+SUMIFS('Source 2025'!$N:$N,'Source 2025'!$B:$B,$A150,'Source 2025'!$A:$A,"Amount (NIS)")+SUMIFS('Source 2025'!$S:$S,'Source 2025'!$B:$B,$A150,'Source 2025'!$A:$A,"Amount (NIS)")+SUMIFS('Source 2025'!$U:$U,'Source 2025'!$B:$B,$A150,'Source 2025'!$A:$A,"Amount (NIS)")+SUMIFS('Source 2025'!$D:$D,'Source 2025'!$B:$B,$A150,'Source 2025'!$A:$A,"Amount (NIS)")+SUMIFS('Source 2025'!$E:$E,'Source 2025'!$B:$B,$A150,'Source 2025'!$A:$A,"Amount (NIS)")+SUMIFS('Source 2025'!$G:$G,'Source 2025'!$B:$B,$A150,'Source 2025'!$A:$A,"Amount (NIS)")</f>
        <v>3446.7</v>
      </c>
      <c r="I150" s="9" t="n">
        <f aca="false">SUMIFS('Source 2026'!$F:$F,'Source 2026'!$B:$B,$A150,'Source 2026'!$A:$A,"Amount (NIS)")+SUMIFS('Source 2026'!$H:$H,'Source 2026'!$B:$B,$A150,'Source 2026'!$A:$A,"Amount (NIS)")+SUMIFS('Source 2026'!$M:$M,'Source 2026'!$B:$B,$A150,'Source 2026'!$A:$A,"Amount (NIS)")+SUMIFS('Source 2026'!$N:$N,'Source 2026'!$B:$B,$A150,'Source 2026'!$A:$A,"Amount (NIS)")+SUMIFS('Source 2026'!$S:$S,'Source 2026'!$B:$B,$A150,'Source 2026'!$A:$A,"Amount (NIS)")+SUMIFS('Source 2026'!$U:$U,'Source 2026'!$B:$B,$A150,'Source 2026'!$A:$A,"Amount (NIS)")+SUMIFS('Source 2026'!$D:$D,'Source 2026'!$B:$B,$A150,'Source 2026'!$A:$A,"Amount (NIS)")+SUMIFS('Source 2026'!$E:$E,'Source 2026'!$B:$B,$A150,'Source 2026'!$A:$A,"Amount (NIS)")+SUMIFS('Source 2026'!$G:$G,'Source 2026'!$B:$B,$A150,'Source 2026'!$A:$A,"Amount (NIS)")</f>
        <v>2495.4</v>
      </c>
      <c r="J150" s="9" t="n">
        <f aca="false">I150*$J$5</f>
        <v>3152.08421052632</v>
      </c>
      <c r="K150" s="9" t="n">
        <f aca="false">J150-H150</f>
        <v>-294.615789473684</v>
      </c>
      <c r="L150" s="11" t="n">
        <f aca="false">IF(AND(H150=0,J150=0),0,IF(H150=0,"New",(J150-H150)/H150))</f>
        <v>-0.0854776422298675</v>
      </c>
    </row>
    <row r="151" customFormat="false" ht="15" hidden="false" customHeight="true" outlineLevel="0" collapsed="false">
      <c r="A151" s="8" t="s">
        <v>220</v>
      </c>
      <c r="B151" s="8" t="str">
        <f aca="false">IFERROR(INDEX('Source 2026'!$C:$C,MATCH($A151,'Source 2026'!$B:$B,0)),IFERROR(INDEX('Source 2025'!$C:$C,MATCH($A151,'Source 2025'!$B:$B,0)),""))</f>
        <v>S  ח.גב גבוהה</v>
      </c>
      <c r="C151" s="9" t="n">
        <f aca="false">SUMIFS('Source 2025'!$F:$F,'Source 2025'!$B:$B,$A151,'Source 2025'!$A:$A,"Quantity (units)")+SUMIFS('Source 2025'!$H:$H,'Source 2025'!$B:$B,$A151,'Source 2025'!$A:$A,"Quantity (units)")+SUMIFS('Source 2025'!$M:$M,'Source 2025'!$B:$B,$A151,'Source 2025'!$A:$A,"Quantity (units)")+SUMIFS('Source 2025'!$N:$N,'Source 2025'!$B:$B,$A151,'Source 2025'!$A:$A,"Quantity (units)")+SUMIFS('Source 2025'!$S:$S,'Source 2025'!$B:$B,$A151,'Source 2025'!$A:$A,"Quantity (units)")+SUMIFS('Source 2025'!$U:$U,'Source 2025'!$B:$B,$A151,'Source 2025'!$A:$A,"Quantity (units)")+SUMIFS('Source 2025'!$D:$D,'Source 2025'!$B:$B,$A151,'Source 2025'!$A:$A,"Quantity (units)")+SUMIFS('Source 2025'!$E:$E,'Source 2025'!$B:$B,$A151,'Source 2025'!$A:$A,"Quantity (units)")+SUMIFS('Source 2025'!$G:$G,'Source 2025'!$B:$B,$A151,'Source 2025'!$A:$A,"Quantity (units)")</f>
        <v>2</v>
      </c>
      <c r="D151" s="9" t="n">
        <f aca="false">SUMIFS('Source 2026'!$F:$F,'Source 2026'!$B:$B,$A151,'Source 2026'!$A:$A,"Quantity (units)")+SUMIFS('Source 2026'!$H:$H,'Source 2026'!$B:$B,$A151,'Source 2026'!$A:$A,"Quantity (units)")+SUMIFS('Source 2026'!$M:$M,'Source 2026'!$B:$B,$A151,'Source 2026'!$A:$A,"Quantity (units)")+SUMIFS('Source 2026'!$N:$N,'Source 2026'!$B:$B,$A151,'Source 2026'!$A:$A,"Quantity (units)")+SUMIFS('Source 2026'!$S:$S,'Source 2026'!$B:$B,$A151,'Source 2026'!$A:$A,"Quantity (units)")+SUMIFS('Source 2026'!$U:$U,'Source 2026'!$B:$B,$A151,'Source 2026'!$A:$A,"Quantity (units)")+SUMIFS('Source 2026'!$D:$D,'Source 2026'!$B:$B,$A151,'Source 2026'!$A:$A,"Quantity (units)")+SUMIFS('Source 2026'!$E:$E,'Source 2026'!$B:$B,$A151,'Source 2026'!$A:$A,"Quantity (units)")+SUMIFS('Source 2026'!$G:$G,'Source 2026'!$B:$B,$A151,'Source 2026'!$A:$A,"Quantity (units)")</f>
        <v>0</v>
      </c>
      <c r="E151" s="9" t="n">
        <f aca="false">D151*$J$5</f>
        <v>0</v>
      </c>
      <c r="F151" s="9" t="n">
        <f aca="false">E151-C151</f>
        <v>-2</v>
      </c>
      <c r="G151" s="11" t="n">
        <f aca="false">IF(AND(C151=0,E151=0),0,IF(C151=0,"New",(E151-C151)/C151))</f>
        <v>-1</v>
      </c>
      <c r="H151" s="9" t="n">
        <f aca="false">SUMIFS('Source 2025'!$F:$F,'Source 2025'!$B:$B,$A151,'Source 2025'!$A:$A,"Amount (NIS)")+SUMIFS('Source 2025'!$H:$H,'Source 2025'!$B:$B,$A151,'Source 2025'!$A:$A,"Amount (NIS)")+SUMIFS('Source 2025'!$M:$M,'Source 2025'!$B:$B,$A151,'Source 2025'!$A:$A,"Amount (NIS)")+SUMIFS('Source 2025'!$N:$N,'Source 2025'!$B:$B,$A151,'Source 2025'!$A:$A,"Amount (NIS)")+SUMIFS('Source 2025'!$S:$S,'Source 2025'!$B:$B,$A151,'Source 2025'!$A:$A,"Amount (NIS)")+SUMIFS('Source 2025'!$U:$U,'Source 2025'!$B:$B,$A151,'Source 2025'!$A:$A,"Amount (NIS)")+SUMIFS('Source 2025'!$D:$D,'Source 2025'!$B:$B,$A151,'Source 2025'!$A:$A,"Amount (NIS)")+SUMIFS('Source 2025'!$E:$E,'Source 2025'!$B:$B,$A151,'Source 2025'!$A:$A,"Amount (NIS)")+SUMIFS('Source 2025'!$G:$G,'Source 2025'!$B:$B,$A151,'Source 2025'!$A:$A,"Amount (NIS)")</f>
        <v>945.4</v>
      </c>
      <c r="I151" s="9" t="n">
        <f aca="false">SUMIFS('Source 2026'!$F:$F,'Source 2026'!$B:$B,$A151,'Source 2026'!$A:$A,"Amount (NIS)")+SUMIFS('Source 2026'!$H:$H,'Source 2026'!$B:$B,$A151,'Source 2026'!$A:$A,"Amount (NIS)")+SUMIFS('Source 2026'!$M:$M,'Source 2026'!$B:$B,$A151,'Source 2026'!$A:$A,"Amount (NIS)")+SUMIFS('Source 2026'!$N:$N,'Source 2026'!$B:$B,$A151,'Source 2026'!$A:$A,"Amount (NIS)")+SUMIFS('Source 2026'!$S:$S,'Source 2026'!$B:$B,$A151,'Source 2026'!$A:$A,"Amount (NIS)")+SUMIFS('Source 2026'!$U:$U,'Source 2026'!$B:$B,$A151,'Source 2026'!$A:$A,"Amount (NIS)")+SUMIFS('Source 2026'!$D:$D,'Source 2026'!$B:$B,$A151,'Source 2026'!$A:$A,"Amount (NIS)")+SUMIFS('Source 2026'!$E:$E,'Source 2026'!$B:$B,$A151,'Source 2026'!$A:$A,"Amount (NIS)")+SUMIFS('Source 2026'!$G:$G,'Source 2026'!$B:$B,$A151,'Source 2026'!$A:$A,"Amount (NIS)")</f>
        <v>0</v>
      </c>
      <c r="J151" s="9" t="n">
        <f aca="false">I151*$J$5</f>
        <v>0</v>
      </c>
      <c r="K151" s="9" t="n">
        <f aca="false">J151-H151</f>
        <v>-945.4</v>
      </c>
      <c r="L151" s="11" t="n">
        <f aca="false">IF(AND(H151=0,J151=0),0,IF(H151=0,"New",(J151-H151)/H151))</f>
        <v>-1</v>
      </c>
    </row>
    <row r="152" customFormat="false" ht="15" hidden="false" customHeight="true" outlineLevel="0" collapsed="false">
      <c r="A152" s="8" t="s">
        <v>221</v>
      </c>
      <c r="B152" s="8" t="str">
        <f aca="false">IFERROR(INDEX('Source 2026'!$C:$C,MATCH($A152,'Source 2026'!$B:$B,0)),IFERROR(INDEX('Source 2025'!$C:$C,MATCH($A152,'Source 2025'!$B:$B,0)),""))</f>
        <v>L חגורה לשבר טבור</v>
      </c>
      <c r="C152" s="9" t="n">
        <f aca="false">SUMIFS('Source 2025'!$F:$F,'Source 2025'!$B:$B,$A152,'Source 2025'!$A:$A,"Quantity (units)")+SUMIFS('Source 2025'!$H:$H,'Source 2025'!$B:$B,$A152,'Source 2025'!$A:$A,"Quantity (units)")+SUMIFS('Source 2025'!$M:$M,'Source 2025'!$B:$B,$A152,'Source 2025'!$A:$A,"Quantity (units)")+SUMIFS('Source 2025'!$N:$N,'Source 2025'!$B:$B,$A152,'Source 2025'!$A:$A,"Quantity (units)")+SUMIFS('Source 2025'!$S:$S,'Source 2025'!$B:$B,$A152,'Source 2025'!$A:$A,"Quantity (units)")+SUMIFS('Source 2025'!$U:$U,'Source 2025'!$B:$B,$A152,'Source 2025'!$A:$A,"Quantity (units)")+SUMIFS('Source 2025'!$D:$D,'Source 2025'!$B:$B,$A152,'Source 2025'!$A:$A,"Quantity (units)")+SUMIFS('Source 2025'!$E:$E,'Source 2025'!$B:$B,$A152,'Source 2025'!$A:$A,"Quantity (units)")+SUMIFS('Source 2025'!$G:$G,'Source 2025'!$B:$B,$A152,'Source 2025'!$A:$A,"Quantity (units)")</f>
        <v>8</v>
      </c>
      <c r="D152" s="9" t="n">
        <f aca="false">SUMIFS('Source 2026'!$F:$F,'Source 2026'!$B:$B,$A152,'Source 2026'!$A:$A,"Quantity (units)")+SUMIFS('Source 2026'!$H:$H,'Source 2026'!$B:$B,$A152,'Source 2026'!$A:$A,"Quantity (units)")+SUMIFS('Source 2026'!$M:$M,'Source 2026'!$B:$B,$A152,'Source 2026'!$A:$A,"Quantity (units)")+SUMIFS('Source 2026'!$N:$N,'Source 2026'!$B:$B,$A152,'Source 2026'!$A:$A,"Quantity (units)")+SUMIFS('Source 2026'!$S:$S,'Source 2026'!$B:$B,$A152,'Source 2026'!$A:$A,"Quantity (units)")+SUMIFS('Source 2026'!$U:$U,'Source 2026'!$B:$B,$A152,'Source 2026'!$A:$A,"Quantity (units)")+SUMIFS('Source 2026'!$D:$D,'Source 2026'!$B:$B,$A152,'Source 2026'!$A:$A,"Quantity (units)")+SUMIFS('Source 2026'!$E:$E,'Source 2026'!$B:$B,$A152,'Source 2026'!$A:$A,"Quantity (units)")+SUMIFS('Source 2026'!$G:$G,'Source 2026'!$B:$B,$A152,'Source 2026'!$A:$A,"Quantity (units)")</f>
        <v>2</v>
      </c>
      <c r="E152" s="9" t="n">
        <f aca="false">D152*$J$5</f>
        <v>2.52631578947368</v>
      </c>
      <c r="F152" s="9" t="n">
        <f aca="false">E152-C152</f>
        <v>-5.47368421052632</v>
      </c>
      <c r="G152" s="11" t="n">
        <f aca="false">IF(AND(C152=0,E152=0),0,IF(C152=0,"New",(E152-C152)/C152))</f>
        <v>-0.68421052631579</v>
      </c>
      <c r="H152" s="9" t="n">
        <f aca="false">SUMIFS('Source 2025'!$F:$F,'Source 2025'!$B:$B,$A152,'Source 2025'!$A:$A,"Amount (NIS)")+SUMIFS('Source 2025'!$H:$H,'Source 2025'!$B:$B,$A152,'Source 2025'!$A:$A,"Amount (NIS)")+SUMIFS('Source 2025'!$M:$M,'Source 2025'!$B:$B,$A152,'Source 2025'!$A:$A,"Amount (NIS)")+SUMIFS('Source 2025'!$N:$N,'Source 2025'!$B:$B,$A152,'Source 2025'!$A:$A,"Amount (NIS)")+SUMIFS('Source 2025'!$S:$S,'Source 2025'!$B:$B,$A152,'Source 2025'!$A:$A,"Amount (NIS)")+SUMIFS('Source 2025'!$U:$U,'Source 2025'!$B:$B,$A152,'Source 2025'!$A:$A,"Amount (NIS)")+SUMIFS('Source 2025'!$D:$D,'Source 2025'!$B:$B,$A152,'Source 2025'!$A:$A,"Amount (NIS)")+SUMIFS('Source 2025'!$E:$E,'Source 2025'!$B:$B,$A152,'Source 2025'!$A:$A,"Amount (NIS)")+SUMIFS('Source 2025'!$G:$G,'Source 2025'!$B:$B,$A152,'Source 2025'!$A:$A,"Amount (NIS)")</f>
        <v>1232.9</v>
      </c>
      <c r="I152" s="9" t="n">
        <f aca="false">SUMIFS('Source 2026'!$F:$F,'Source 2026'!$B:$B,$A152,'Source 2026'!$A:$A,"Amount (NIS)")+SUMIFS('Source 2026'!$H:$H,'Source 2026'!$B:$B,$A152,'Source 2026'!$A:$A,"Amount (NIS)")+SUMIFS('Source 2026'!$M:$M,'Source 2026'!$B:$B,$A152,'Source 2026'!$A:$A,"Amount (NIS)")+SUMIFS('Source 2026'!$N:$N,'Source 2026'!$B:$B,$A152,'Source 2026'!$A:$A,"Amount (NIS)")+SUMIFS('Source 2026'!$S:$S,'Source 2026'!$B:$B,$A152,'Source 2026'!$A:$A,"Amount (NIS)")+SUMIFS('Source 2026'!$U:$U,'Source 2026'!$B:$B,$A152,'Source 2026'!$A:$A,"Amount (NIS)")+SUMIFS('Source 2026'!$D:$D,'Source 2026'!$B:$B,$A152,'Source 2026'!$A:$A,"Amount (NIS)")+SUMIFS('Source 2026'!$E:$E,'Source 2026'!$B:$B,$A152,'Source 2026'!$A:$A,"Amount (NIS)")+SUMIFS('Source 2026'!$G:$G,'Source 2026'!$B:$B,$A152,'Source 2026'!$A:$A,"Amount (NIS)")</f>
        <v>314</v>
      </c>
      <c r="J152" s="9" t="n">
        <f aca="false">I152*$J$5</f>
        <v>396.631578947368</v>
      </c>
      <c r="K152" s="9" t="n">
        <f aca="false">J152-H152</f>
        <v>-836.268421052632</v>
      </c>
      <c r="L152" s="11" t="n">
        <f aca="false">IF(AND(H152=0,J152=0),0,IF(H152=0,"New",(J152-H152)/H152))</f>
        <v>-0.678293795970989</v>
      </c>
    </row>
    <row r="153" customFormat="false" ht="15" hidden="false" customHeight="true" outlineLevel="0" collapsed="false">
      <c r="A153" s="8" t="s">
        <v>222</v>
      </c>
      <c r="B153" s="8" t="str">
        <f aca="false">IFERROR(INDEX('Source 2026'!$C:$C,MATCH($A153,'Source 2026'!$B:$B,0)),IFERROR(INDEX('Source 2025'!$C:$C,MATCH($A153,'Source 2025'!$B:$B,0)),""))</f>
        <v>L מיצב פיקה</v>
      </c>
      <c r="C153" s="9" t="n">
        <f aca="false">SUMIFS('Source 2025'!$F:$F,'Source 2025'!$B:$B,$A153,'Source 2025'!$A:$A,"Quantity (units)")+SUMIFS('Source 2025'!$H:$H,'Source 2025'!$B:$B,$A153,'Source 2025'!$A:$A,"Quantity (units)")+SUMIFS('Source 2025'!$M:$M,'Source 2025'!$B:$B,$A153,'Source 2025'!$A:$A,"Quantity (units)")+SUMIFS('Source 2025'!$N:$N,'Source 2025'!$B:$B,$A153,'Source 2025'!$A:$A,"Quantity (units)")+SUMIFS('Source 2025'!$S:$S,'Source 2025'!$B:$B,$A153,'Source 2025'!$A:$A,"Quantity (units)")+SUMIFS('Source 2025'!$U:$U,'Source 2025'!$B:$B,$A153,'Source 2025'!$A:$A,"Quantity (units)")+SUMIFS('Source 2025'!$D:$D,'Source 2025'!$B:$B,$A153,'Source 2025'!$A:$A,"Quantity (units)")+SUMIFS('Source 2025'!$E:$E,'Source 2025'!$B:$B,$A153,'Source 2025'!$A:$A,"Quantity (units)")+SUMIFS('Source 2025'!$G:$G,'Source 2025'!$B:$B,$A153,'Source 2025'!$A:$A,"Quantity (units)")</f>
        <v>10</v>
      </c>
      <c r="D153" s="9" t="n">
        <f aca="false">SUMIFS('Source 2026'!$F:$F,'Source 2026'!$B:$B,$A153,'Source 2026'!$A:$A,"Quantity (units)")+SUMIFS('Source 2026'!$H:$H,'Source 2026'!$B:$B,$A153,'Source 2026'!$A:$A,"Quantity (units)")+SUMIFS('Source 2026'!$M:$M,'Source 2026'!$B:$B,$A153,'Source 2026'!$A:$A,"Quantity (units)")+SUMIFS('Source 2026'!$N:$N,'Source 2026'!$B:$B,$A153,'Source 2026'!$A:$A,"Quantity (units)")+SUMIFS('Source 2026'!$S:$S,'Source 2026'!$B:$B,$A153,'Source 2026'!$A:$A,"Quantity (units)")+SUMIFS('Source 2026'!$U:$U,'Source 2026'!$B:$B,$A153,'Source 2026'!$A:$A,"Quantity (units)")+SUMIFS('Source 2026'!$D:$D,'Source 2026'!$B:$B,$A153,'Source 2026'!$A:$A,"Quantity (units)")+SUMIFS('Source 2026'!$E:$E,'Source 2026'!$B:$B,$A153,'Source 2026'!$A:$A,"Quantity (units)")+SUMIFS('Source 2026'!$G:$G,'Source 2026'!$B:$B,$A153,'Source 2026'!$A:$A,"Quantity (units)")</f>
        <v>0</v>
      </c>
      <c r="E153" s="9" t="n">
        <f aca="false">D153*$J$5</f>
        <v>0</v>
      </c>
      <c r="F153" s="9" t="n">
        <f aca="false">E153-C153</f>
        <v>-10</v>
      </c>
      <c r="G153" s="11" t="n">
        <f aca="false">IF(AND(C153=0,E153=0),0,IF(C153=0,"New",(E153-C153)/C153))</f>
        <v>-1</v>
      </c>
      <c r="H153" s="9" t="n">
        <f aca="false">SUMIFS('Source 2025'!$F:$F,'Source 2025'!$B:$B,$A153,'Source 2025'!$A:$A,"Amount (NIS)")+SUMIFS('Source 2025'!$H:$H,'Source 2025'!$B:$B,$A153,'Source 2025'!$A:$A,"Amount (NIS)")+SUMIFS('Source 2025'!$M:$M,'Source 2025'!$B:$B,$A153,'Source 2025'!$A:$A,"Amount (NIS)")+SUMIFS('Source 2025'!$N:$N,'Source 2025'!$B:$B,$A153,'Source 2025'!$A:$A,"Amount (NIS)")+SUMIFS('Source 2025'!$S:$S,'Source 2025'!$B:$B,$A153,'Source 2025'!$A:$A,"Amount (NIS)")+SUMIFS('Source 2025'!$U:$U,'Source 2025'!$B:$B,$A153,'Source 2025'!$A:$A,"Amount (NIS)")+SUMIFS('Source 2025'!$D:$D,'Source 2025'!$B:$B,$A153,'Source 2025'!$A:$A,"Amount (NIS)")+SUMIFS('Source 2025'!$E:$E,'Source 2025'!$B:$B,$A153,'Source 2025'!$A:$A,"Amount (NIS)")+SUMIFS('Source 2025'!$G:$G,'Source 2025'!$B:$B,$A153,'Source 2025'!$A:$A,"Amount (NIS)")</f>
        <v>907.8</v>
      </c>
      <c r="I153" s="9" t="n">
        <f aca="false">SUMIFS('Source 2026'!$F:$F,'Source 2026'!$B:$B,$A153,'Source 2026'!$A:$A,"Amount (NIS)")+SUMIFS('Source 2026'!$H:$H,'Source 2026'!$B:$B,$A153,'Source 2026'!$A:$A,"Amount (NIS)")+SUMIFS('Source 2026'!$M:$M,'Source 2026'!$B:$B,$A153,'Source 2026'!$A:$A,"Amount (NIS)")+SUMIFS('Source 2026'!$N:$N,'Source 2026'!$B:$B,$A153,'Source 2026'!$A:$A,"Amount (NIS)")+SUMIFS('Source 2026'!$S:$S,'Source 2026'!$B:$B,$A153,'Source 2026'!$A:$A,"Amount (NIS)")+SUMIFS('Source 2026'!$U:$U,'Source 2026'!$B:$B,$A153,'Source 2026'!$A:$A,"Amount (NIS)")+SUMIFS('Source 2026'!$D:$D,'Source 2026'!$B:$B,$A153,'Source 2026'!$A:$A,"Amount (NIS)")+SUMIFS('Source 2026'!$E:$E,'Source 2026'!$B:$B,$A153,'Source 2026'!$A:$A,"Amount (NIS)")+SUMIFS('Source 2026'!$G:$G,'Source 2026'!$B:$B,$A153,'Source 2026'!$A:$A,"Amount (NIS)")</f>
        <v>0</v>
      </c>
      <c r="J153" s="9" t="n">
        <f aca="false">I153*$J$5</f>
        <v>0</v>
      </c>
      <c r="K153" s="9" t="n">
        <f aca="false">J153-H153</f>
        <v>-907.8</v>
      </c>
      <c r="L153" s="11" t="n">
        <f aca="false">IF(AND(H153=0,J153=0),0,IF(H153=0,"New",(J153-H153)/H153))</f>
        <v>-1</v>
      </c>
    </row>
    <row r="154" customFormat="false" ht="15" hidden="false" customHeight="true" outlineLevel="0" collapsed="false">
      <c r="A154" s="8" t="s">
        <v>223</v>
      </c>
      <c r="B154" s="8" t="str">
        <f aca="false">IFERROR(INDEX('Source 2026'!$C:$C,MATCH($A154,'Source 2026'!$B:$B,0)),IFERROR(INDEX('Source 2025'!$C:$C,MATCH($A154,'Source 2025'!$B:$B,0)),""))</f>
        <v>S מדרס ג'ל לנעלי עקב</v>
      </c>
      <c r="C154" s="9" t="n">
        <f aca="false">SUMIFS('Source 2025'!$F:$F,'Source 2025'!$B:$B,$A154,'Source 2025'!$A:$A,"Quantity (units)")+SUMIFS('Source 2025'!$H:$H,'Source 2025'!$B:$B,$A154,'Source 2025'!$A:$A,"Quantity (units)")+SUMIFS('Source 2025'!$M:$M,'Source 2025'!$B:$B,$A154,'Source 2025'!$A:$A,"Quantity (units)")+SUMIFS('Source 2025'!$N:$N,'Source 2025'!$B:$B,$A154,'Source 2025'!$A:$A,"Quantity (units)")+SUMIFS('Source 2025'!$S:$S,'Source 2025'!$B:$B,$A154,'Source 2025'!$A:$A,"Quantity (units)")+SUMIFS('Source 2025'!$U:$U,'Source 2025'!$B:$B,$A154,'Source 2025'!$A:$A,"Quantity (units)")+SUMIFS('Source 2025'!$D:$D,'Source 2025'!$B:$B,$A154,'Source 2025'!$A:$A,"Quantity (units)")+SUMIFS('Source 2025'!$E:$E,'Source 2025'!$B:$B,$A154,'Source 2025'!$A:$A,"Quantity (units)")+SUMIFS('Source 2025'!$G:$G,'Source 2025'!$B:$B,$A154,'Source 2025'!$A:$A,"Quantity (units)")</f>
        <v>0</v>
      </c>
      <c r="D154" s="9" t="n">
        <f aca="false">SUMIFS('Source 2026'!$F:$F,'Source 2026'!$B:$B,$A154,'Source 2026'!$A:$A,"Quantity (units)")+SUMIFS('Source 2026'!$H:$H,'Source 2026'!$B:$B,$A154,'Source 2026'!$A:$A,"Quantity (units)")+SUMIFS('Source 2026'!$M:$M,'Source 2026'!$B:$B,$A154,'Source 2026'!$A:$A,"Quantity (units)")+SUMIFS('Source 2026'!$N:$N,'Source 2026'!$B:$B,$A154,'Source 2026'!$A:$A,"Quantity (units)")+SUMIFS('Source 2026'!$S:$S,'Source 2026'!$B:$B,$A154,'Source 2026'!$A:$A,"Quantity (units)")+SUMIFS('Source 2026'!$U:$U,'Source 2026'!$B:$B,$A154,'Source 2026'!$A:$A,"Quantity (units)")+SUMIFS('Source 2026'!$D:$D,'Source 2026'!$B:$B,$A154,'Source 2026'!$A:$A,"Quantity (units)")+SUMIFS('Source 2026'!$E:$E,'Source 2026'!$B:$B,$A154,'Source 2026'!$A:$A,"Quantity (units)")+SUMIFS('Source 2026'!$G:$G,'Source 2026'!$B:$B,$A154,'Source 2026'!$A:$A,"Quantity (units)")</f>
        <v>12</v>
      </c>
      <c r="E154" s="9" t="n">
        <f aca="false">D154*$J$5</f>
        <v>15.1578947368421</v>
      </c>
      <c r="F154" s="9" t="n">
        <f aca="false">E154-C154</f>
        <v>15.1578947368421</v>
      </c>
      <c r="G154" s="11" t="str">
        <f aca="false">IF(AND(C154=0,E154=0),0,IF(C154=0,"New",(E154-C154)/C154))</f>
        <v>New</v>
      </c>
      <c r="H154" s="9" t="n">
        <f aca="false">SUMIFS('Source 2025'!$F:$F,'Source 2025'!$B:$B,$A154,'Source 2025'!$A:$A,"Amount (NIS)")+SUMIFS('Source 2025'!$H:$H,'Source 2025'!$B:$B,$A154,'Source 2025'!$A:$A,"Amount (NIS)")+SUMIFS('Source 2025'!$M:$M,'Source 2025'!$B:$B,$A154,'Source 2025'!$A:$A,"Amount (NIS)")+SUMIFS('Source 2025'!$N:$N,'Source 2025'!$B:$B,$A154,'Source 2025'!$A:$A,"Amount (NIS)")+SUMIFS('Source 2025'!$S:$S,'Source 2025'!$B:$B,$A154,'Source 2025'!$A:$A,"Amount (NIS)")+SUMIFS('Source 2025'!$U:$U,'Source 2025'!$B:$B,$A154,'Source 2025'!$A:$A,"Amount (NIS)")+SUMIFS('Source 2025'!$D:$D,'Source 2025'!$B:$B,$A154,'Source 2025'!$A:$A,"Amount (NIS)")+SUMIFS('Source 2025'!$E:$E,'Source 2025'!$B:$B,$A154,'Source 2025'!$A:$A,"Amount (NIS)")+SUMIFS('Source 2025'!$G:$G,'Source 2025'!$B:$B,$A154,'Source 2025'!$A:$A,"Amount (NIS)")</f>
        <v>0</v>
      </c>
      <c r="I154" s="9" t="n">
        <f aca="false">SUMIFS('Source 2026'!$F:$F,'Source 2026'!$B:$B,$A154,'Source 2026'!$A:$A,"Amount (NIS)")+SUMIFS('Source 2026'!$H:$H,'Source 2026'!$B:$B,$A154,'Source 2026'!$A:$A,"Amount (NIS)")+SUMIFS('Source 2026'!$M:$M,'Source 2026'!$B:$B,$A154,'Source 2026'!$A:$A,"Amount (NIS)")+SUMIFS('Source 2026'!$N:$N,'Source 2026'!$B:$B,$A154,'Source 2026'!$A:$A,"Amount (NIS)")+SUMIFS('Source 2026'!$S:$S,'Source 2026'!$B:$B,$A154,'Source 2026'!$A:$A,"Amount (NIS)")+SUMIFS('Source 2026'!$U:$U,'Source 2026'!$B:$B,$A154,'Source 2026'!$A:$A,"Amount (NIS)")+SUMIFS('Source 2026'!$D:$D,'Source 2026'!$B:$B,$A154,'Source 2026'!$A:$A,"Amount (NIS)")+SUMIFS('Source 2026'!$E:$E,'Source 2026'!$B:$B,$A154,'Source 2026'!$A:$A,"Amount (NIS)")+SUMIFS('Source 2026'!$G:$G,'Source 2026'!$B:$B,$A154,'Source 2026'!$A:$A,"Amount (NIS)")</f>
        <v>877.6</v>
      </c>
      <c r="J154" s="9" t="n">
        <f aca="false">I154*$J$5</f>
        <v>1108.54736842105</v>
      </c>
      <c r="K154" s="9" t="n">
        <f aca="false">J154-H154</f>
        <v>1108.54736842105</v>
      </c>
      <c r="L154" s="11" t="str">
        <f aca="false">IF(AND(H154=0,J154=0),0,IF(H154=0,"New",(J154-H154)/H154))</f>
        <v>New</v>
      </c>
    </row>
    <row r="155" customFormat="false" ht="15" hidden="false" customHeight="true" outlineLevel="0" collapsed="false">
      <c r="A155" s="8" t="s">
        <v>224</v>
      </c>
      <c r="B155" s="8" t="str">
        <f aca="false">IFERROR(INDEX('Source 2026'!$C:$C,MATCH($A155,'Source 2026'!$B:$B,0)),IFERROR(INDEX('Source 2025'!$C:$C,MATCH($A155,'Source 2025'!$B:$B,0)),""))</f>
        <v>S מגן שוק</v>
      </c>
      <c r="C155" s="9" t="n">
        <f aca="false">SUMIFS('Source 2025'!$F:$F,'Source 2025'!$B:$B,$A155,'Source 2025'!$A:$A,"Quantity (units)")+SUMIFS('Source 2025'!$H:$H,'Source 2025'!$B:$B,$A155,'Source 2025'!$A:$A,"Quantity (units)")+SUMIFS('Source 2025'!$M:$M,'Source 2025'!$B:$B,$A155,'Source 2025'!$A:$A,"Quantity (units)")+SUMIFS('Source 2025'!$N:$N,'Source 2025'!$B:$B,$A155,'Source 2025'!$A:$A,"Quantity (units)")+SUMIFS('Source 2025'!$S:$S,'Source 2025'!$B:$B,$A155,'Source 2025'!$A:$A,"Quantity (units)")+SUMIFS('Source 2025'!$U:$U,'Source 2025'!$B:$B,$A155,'Source 2025'!$A:$A,"Quantity (units)")+SUMIFS('Source 2025'!$D:$D,'Source 2025'!$B:$B,$A155,'Source 2025'!$A:$A,"Quantity (units)")+SUMIFS('Source 2025'!$E:$E,'Source 2025'!$B:$B,$A155,'Source 2025'!$A:$A,"Quantity (units)")+SUMIFS('Source 2025'!$G:$G,'Source 2025'!$B:$B,$A155,'Source 2025'!$A:$A,"Quantity (units)")</f>
        <v>8</v>
      </c>
      <c r="D155" s="9" t="n">
        <f aca="false">SUMIFS('Source 2026'!$F:$F,'Source 2026'!$B:$B,$A155,'Source 2026'!$A:$A,"Quantity (units)")+SUMIFS('Source 2026'!$H:$H,'Source 2026'!$B:$B,$A155,'Source 2026'!$A:$A,"Quantity (units)")+SUMIFS('Source 2026'!$M:$M,'Source 2026'!$B:$B,$A155,'Source 2026'!$A:$A,"Quantity (units)")+SUMIFS('Source 2026'!$N:$N,'Source 2026'!$B:$B,$A155,'Source 2026'!$A:$A,"Quantity (units)")+SUMIFS('Source 2026'!$S:$S,'Source 2026'!$B:$B,$A155,'Source 2026'!$A:$A,"Quantity (units)")+SUMIFS('Source 2026'!$U:$U,'Source 2026'!$B:$B,$A155,'Source 2026'!$A:$A,"Quantity (units)")+SUMIFS('Source 2026'!$D:$D,'Source 2026'!$B:$B,$A155,'Source 2026'!$A:$A,"Quantity (units)")+SUMIFS('Source 2026'!$E:$E,'Source 2026'!$B:$B,$A155,'Source 2026'!$A:$A,"Quantity (units)")+SUMIFS('Source 2026'!$G:$G,'Source 2026'!$B:$B,$A155,'Source 2026'!$A:$A,"Quantity (units)")</f>
        <v>0</v>
      </c>
      <c r="E155" s="9" t="n">
        <f aca="false">D155*$J$5</f>
        <v>0</v>
      </c>
      <c r="F155" s="9" t="n">
        <f aca="false">E155-C155</f>
        <v>-8</v>
      </c>
      <c r="G155" s="11" t="n">
        <f aca="false">IF(AND(C155=0,E155=0),0,IF(C155=0,"New",(E155-C155)/C155))</f>
        <v>-1</v>
      </c>
      <c r="H155" s="9" t="n">
        <f aca="false">SUMIFS('Source 2025'!$F:$F,'Source 2025'!$B:$B,$A155,'Source 2025'!$A:$A,"Amount (NIS)")+SUMIFS('Source 2025'!$H:$H,'Source 2025'!$B:$B,$A155,'Source 2025'!$A:$A,"Amount (NIS)")+SUMIFS('Source 2025'!$M:$M,'Source 2025'!$B:$B,$A155,'Source 2025'!$A:$A,"Amount (NIS)")+SUMIFS('Source 2025'!$N:$N,'Source 2025'!$B:$B,$A155,'Source 2025'!$A:$A,"Amount (NIS)")+SUMIFS('Source 2025'!$S:$S,'Source 2025'!$B:$B,$A155,'Source 2025'!$A:$A,"Amount (NIS)")+SUMIFS('Source 2025'!$U:$U,'Source 2025'!$B:$B,$A155,'Source 2025'!$A:$A,"Amount (NIS)")+SUMIFS('Source 2025'!$D:$D,'Source 2025'!$B:$B,$A155,'Source 2025'!$A:$A,"Amount (NIS)")+SUMIFS('Source 2025'!$E:$E,'Source 2025'!$B:$B,$A155,'Source 2025'!$A:$A,"Amount (NIS)")+SUMIFS('Source 2025'!$G:$G,'Source 2025'!$B:$B,$A155,'Source 2025'!$A:$A,"Amount (NIS)")</f>
        <v>804.6</v>
      </c>
      <c r="I155" s="9" t="n">
        <f aca="false">SUMIFS('Source 2026'!$F:$F,'Source 2026'!$B:$B,$A155,'Source 2026'!$A:$A,"Amount (NIS)")+SUMIFS('Source 2026'!$H:$H,'Source 2026'!$B:$B,$A155,'Source 2026'!$A:$A,"Amount (NIS)")+SUMIFS('Source 2026'!$M:$M,'Source 2026'!$B:$B,$A155,'Source 2026'!$A:$A,"Amount (NIS)")+SUMIFS('Source 2026'!$N:$N,'Source 2026'!$B:$B,$A155,'Source 2026'!$A:$A,"Amount (NIS)")+SUMIFS('Source 2026'!$S:$S,'Source 2026'!$B:$B,$A155,'Source 2026'!$A:$A,"Amount (NIS)")+SUMIFS('Source 2026'!$U:$U,'Source 2026'!$B:$B,$A155,'Source 2026'!$A:$A,"Amount (NIS)")+SUMIFS('Source 2026'!$D:$D,'Source 2026'!$B:$B,$A155,'Source 2026'!$A:$A,"Amount (NIS)")+SUMIFS('Source 2026'!$E:$E,'Source 2026'!$B:$B,$A155,'Source 2026'!$A:$A,"Amount (NIS)")+SUMIFS('Source 2026'!$G:$G,'Source 2026'!$B:$B,$A155,'Source 2026'!$A:$A,"Amount (NIS)")</f>
        <v>0</v>
      </c>
      <c r="J155" s="9" t="n">
        <f aca="false">I155*$J$5</f>
        <v>0</v>
      </c>
      <c r="K155" s="9" t="n">
        <f aca="false">J155-H155</f>
        <v>-804.6</v>
      </c>
      <c r="L155" s="11" t="n">
        <f aca="false">IF(AND(H155=0,J155=0),0,IF(H155=0,"New",(J155-H155)/H155))</f>
        <v>-1</v>
      </c>
    </row>
    <row r="156" customFormat="false" ht="15" hidden="false" customHeight="true" outlineLevel="0" collapsed="false">
      <c r="A156" s="8" t="s">
        <v>225</v>
      </c>
      <c r="B156" s="8" t="str">
        <f aca="false">IFERROR(INDEX('Source 2026'!$C:$C,MATCH($A156,'Source 2026'!$B:$B,0)),IFERROR(INDEX('Source 2025'!$C:$C,MATCH($A156,'Source 2025'!$B:$B,0)),""))</f>
        <v>ריפוד סיליק.לעקב תחתון</v>
      </c>
      <c r="C156" s="9" t="n">
        <f aca="false">SUMIFS('Source 2025'!$F:$F,'Source 2025'!$B:$B,$A156,'Source 2025'!$A:$A,"Quantity (units)")+SUMIFS('Source 2025'!$H:$H,'Source 2025'!$B:$B,$A156,'Source 2025'!$A:$A,"Quantity (units)")+SUMIFS('Source 2025'!$M:$M,'Source 2025'!$B:$B,$A156,'Source 2025'!$A:$A,"Quantity (units)")+SUMIFS('Source 2025'!$N:$N,'Source 2025'!$B:$B,$A156,'Source 2025'!$A:$A,"Quantity (units)")+SUMIFS('Source 2025'!$S:$S,'Source 2025'!$B:$B,$A156,'Source 2025'!$A:$A,"Quantity (units)")+SUMIFS('Source 2025'!$U:$U,'Source 2025'!$B:$B,$A156,'Source 2025'!$A:$A,"Quantity (units)")+SUMIFS('Source 2025'!$D:$D,'Source 2025'!$B:$B,$A156,'Source 2025'!$A:$A,"Quantity (units)")+SUMIFS('Source 2025'!$E:$E,'Source 2025'!$B:$B,$A156,'Source 2025'!$A:$A,"Quantity (units)")+SUMIFS('Source 2025'!$G:$G,'Source 2025'!$B:$B,$A156,'Source 2025'!$A:$A,"Quantity (units)")</f>
        <v>45</v>
      </c>
      <c r="D156" s="9" t="n">
        <f aca="false">SUMIFS('Source 2026'!$F:$F,'Source 2026'!$B:$B,$A156,'Source 2026'!$A:$A,"Quantity (units)")+SUMIFS('Source 2026'!$H:$H,'Source 2026'!$B:$B,$A156,'Source 2026'!$A:$A,"Quantity (units)")+SUMIFS('Source 2026'!$M:$M,'Source 2026'!$B:$B,$A156,'Source 2026'!$A:$A,"Quantity (units)")+SUMIFS('Source 2026'!$N:$N,'Source 2026'!$B:$B,$A156,'Source 2026'!$A:$A,"Quantity (units)")+SUMIFS('Source 2026'!$S:$S,'Source 2026'!$B:$B,$A156,'Source 2026'!$A:$A,"Quantity (units)")+SUMIFS('Source 2026'!$U:$U,'Source 2026'!$B:$B,$A156,'Source 2026'!$A:$A,"Quantity (units)")+SUMIFS('Source 2026'!$D:$D,'Source 2026'!$B:$B,$A156,'Source 2026'!$A:$A,"Quantity (units)")+SUMIFS('Source 2026'!$E:$E,'Source 2026'!$B:$B,$A156,'Source 2026'!$A:$A,"Quantity (units)")+SUMIFS('Source 2026'!$G:$G,'Source 2026'!$B:$B,$A156,'Source 2026'!$A:$A,"Quantity (units)")</f>
        <v>11</v>
      </c>
      <c r="E156" s="9" t="n">
        <f aca="false">D156*$J$5</f>
        <v>13.8947368421053</v>
      </c>
      <c r="F156" s="9" t="n">
        <f aca="false">E156-C156</f>
        <v>-31.1052631578947</v>
      </c>
      <c r="G156" s="11" t="n">
        <f aca="false">IF(AND(C156=0,E156=0),0,IF(C156=0,"New",(E156-C156)/C156))</f>
        <v>-0.691228070175439</v>
      </c>
      <c r="H156" s="9" t="n">
        <f aca="false">SUMIFS('Source 2025'!$F:$F,'Source 2025'!$B:$B,$A156,'Source 2025'!$A:$A,"Amount (NIS)")+SUMIFS('Source 2025'!$H:$H,'Source 2025'!$B:$B,$A156,'Source 2025'!$A:$A,"Amount (NIS)")+SUMIFS('Source 2025'!$M:$M,'Source 2025'!$B:$B,$A156,'Source 2025'!$A:$A,"Amount (NIS)")+SUMIFS('Source 2025'!$N:$N,'Source 2025'!$B:$B,$A156,'Source 2025'!$A:$A,"Amount (NIS)")+SUMIFS('Source 2025'!$S:$S,'Source 2025'!$B:$B,$A156,'Source 2025'!$A:$A,"Amount (NIS)")+SUMIFS('Source 2025'!$U:$U,'Source 2025'!$B:$B,$A156,'Source 2025'!$A:$A,"Amount (NIS)")+SUMIFS('Source 2025'!$D:$D,'Source 2025'!$B:$B,$A156,'Source 2025'!$A:$A,"Amount (NIS)")+SUMIFS('Source 2025'!$E:$E,'Source 2025'!$B:$B,$A156,'Source 2025'!$A:$A,"Amount (NIS)")+SUMIFS('Source 2025'!$G:$G,'Source 2025'!$B:$B,$A156,'Source 2025'!$A:$A,"Amount (NIS)")</f>
        <v>1008</v>
      </c>
      <c r="I156" s="9" t="n">
        <f aca="false">SUMIFS('Source 2026'!$F:$F,'Source 2026'!$B:$B,$A156,'Source 2026'!$A:$A,"Amount (NIS)")+SUMIFS('Source 2026'!$H:$H,'Source 2026'!$B:$B,$A156,'Source 2026'!$A:$A,"Amount (NIS)")+SUMIFS('Source 2026'!$M:$M,'Source 2026'!$B:$B,$A156,'Source 2026'!$A:$A,"Amount (NIS)")+SUMIFS('Source 2026'!$N:$N,'Source 2026'!$B:$B,$A156,'Source 2026'!$A:$A,"Amount (NIS)")+SUMIFS('Source 2026'!$S:$S,'Source 2026'!$B:$B,$A156,'Source 2026'!$A:$A,"Amount (NIS)")+SUMIFS('Source 2026'!$U:$U,'Source 2026'!$B:$B,$A156,'Source 2026'!$A:$A,"Amount (NIS)")+SUMIFS('Source 2026'!$D:$D,'Source 2026'!$B:$B,$A156,'Source 2026'!$A:$A,"Amount (NIS)")+SUMIFS('Source 2026'!$E:$E,'Source 2026'!$B:$B,$A156,'Source 2026'!$A:$A,"Amount (NIS)")+SUMIFS('Source 2026'!$G:$G,'Source 2026'!$B:$B,$A156,'Source 2026'!$A:$A,"Amount (NIS)")</f>
        <v>243.3</v>
      </c>
      <c r="J156" s="9" t="n">
        <f aca="false">I156*$J$5</f>
        <v>307.326315789474</v>
      </c>
      <c r="K156" s="9" t="n">
        <f aca="false">J156-H156</f>
        <v>-700.673684210526</v>
      </c>
      <c r="L156" s="11" t="n">
        <f aca="false">IF(AND(H156=0,J156=0),0,IF(H156=0,"New",(J156-H156)/H156))</f>
        <v>-0.695112781954887</v>
      </c>
    </row>
    <row r="157" customFormat="false" ht="15" hidden="false" customHeight="true" outlineLevel="0" collapsed="false">
      <c r="A157" s="8" t="s">
        <v>226</v>
      </c>
      <c r="B157" s="8" t="str">
        <f aca="false">IFERROR(INDEX('Source 2026'!$C:$C,MATCH($A157,'Source 2026'!$B:$B,0)),IFERROR(INDEX('Source 2025'!$C:$C,MATCH($A157,'Source 2025'!$B:$B,0)),""))</f>
        <v>S חגורה למנותחי בית החזה</v>
      </c>
      <c r="C157" s="9" t="n">
        <f aca="false">SUMIFS('Source 2025'!$F:$F,'Source 2025'!$B:$B,$A157,'Source 2025'!$A:$A,"Quantity (units)")+SUMIFS('Source 2025'!$H:$H,'Source 2025'!$B:$B,$A157,'Source 2025'!$A:$A,"Quantity (units)")+SUMIFS('Source 2025'!$M:$M,'Source 2025'!$B:$B,$A157,'Source 2025'!$A:$A,"Quantity (units)")+SUMIFS('Source 2025'!$N:$N,'Source 2025'!$B:$B,$A157,'Source 2025'!$A:$A,"Quantity (units)")+SUMIFS('Source 2025'!$S:$S,'Source 2025'!$B:$B,$A157,'Source 2025'!$A:$A,"Quantity (units)")+SUMIFS('Source 2025'!$U:$U,'Source 2025'!$B:$B,$A157,'Source 2025'!$A:$A,"Quantity (units)")+SUMIFS('Source 2025'!$D:$D,'Source 2025'!$B:$B,$A157,'Source 2025'!$A:$A,"Quantity (units)")+SUMIFS('Source 2025'!$E:$E,'Source 2025'!$B:$B,$A157,'Source 2025'!$A:$A,"Quantity (units)")+SUMIFS('Source 2025'!$G:$G,'Source 2025'!$B:$B,$A157,'Source 2025'!$A:$A,"Quantity (units)")</f>
        <v>29</v>
      </c>
      <c r="D157" s="9" t="n">
        <f aca="false">SUMIFS('Source 2026'!$F:$F,'Source 2026'!$B:$B,$A157,'Source 2026'!$A:$A,"Quantity (units)")+SUMIFS('Source 2026'!$H:$H,'Source 2026'!$B:$B,$A157,'Source 2026'!$A:$A,"Quantity (units)")+SUMIFS('Source 2026'!$M:$M,'Source 2026'!$B:$B,$A157,'Source 2026'!$A:$A,"Quantity (units)")+SUMIFS('Source 2026'!$N:$N,'Source 2026'!$B:$B,$A157,'Source 2026'!$A:$A,"Quantity (units)")+SUMIFS('Source 2026'!$S:$S,'Source 2026'!$B:$B,$A157,'Source 2026'!$A:$A,"Quantity (units)")+SUMIFS('Source 2026'!$U:$U,'Source 2026'!$B:$B,$A157,'Source 2026'!$A:$A,"Quantity (units)")+SUMIFS('Source 2026'!$D:$D,'Source 2026'!$B:$B,$A157,'Source 2026'!$A:$A,"Quantity (units)")+SUMIFS('Source 2026'!$E:$E,'Source 2026'!$B:$B,$A157,'Source 2026'!$A:$A,"Quantity (units)")+SUMIFS('Source 2026'!$G:$G,'Source 2026'!$B:$B,$A157,'Source 2026'!$A:$A,"Quantity (units)")</f>
        <v>22</v>
      </c>
      <c r="E157" s="9" t="n">
        <f aca="false">D157*$J$5</f>
        <v>27.7894736842105</v>
      </c>
      <c r="F157" s="9" t="n">
        <f aca="false">E157-C157</f>
        <v>-1.21052631578948</v>
      </c>
      <c r="G157" s="11" t="n">
        <f aca="false">IF(AND(C157=0,E157=0),0,IF(C157=0,"New",(E157-C157)/C157))</f>
        <v>-0.0417422867513613</v>
      </c>
      <c r="H157" s="9" t="n">
        <f aca="false">SUMIFS('Source 2025'!$F:$F,'Source 2025'!$B:$B,$A157,'Source 2025'!$A:$A,"Amount (NIS)")+SUMIFS('Source 2025'!$H:$H,'Source 2025'!$B:$B,$A157,'Source 2025'!$A:$A,"Amount (NIS)")+SUMIFS('Source 2025'!$M:$M,'Source 2025'!$B:$B,$A157,'Source 2025'!$A:$A,"Amount (NIS)")+SUMIFS('Source 2025'!$N:$N,'Source 2025'!$B:$B,$A157,'Source 2025'!$A:$A,"Amount (NIS)")+SUMIFS('Source 2025'!$S:$S,'Source 2025'!$B:$B,$A157,'Source 2025'!$A:$A,"Amount (NIS)")+SUMIFS('Source 2025'!$U:$U,'Source 2025'!$B:$B,$A157,'Source 2025'!$A:$A,"Amount (NIS)")+SUMIFS('Source 2025'!$D:$D,'Source 2025'!$B:$B,$A157,'Source 2025'!$A:$A,"Amount (NIS)")+SUMIFS('Source 2025'!$E:$E,'Source 2025'!$B:$B,$A157,'Source 2025'!$A:$A,"Amount (NIS)")+SUMIFS('Source 2025'!$G:$G,'Source 2025'!$B:$B,$A157,'Source 2025'!$A:$A,"Amount (NIS)")</f>
        <v>4171.9</v>
      </c>
      <c r="I157" s="9" t="n">
        <f aca="false">SUMIFS('Source 2026'!$F:$F,'Source 2026'!$B:$B,$A157,'Source 2026'!$A:$A,"Amount (NIS)")+SUMIFS('Source 2026'!$H:$H,'Source 2026'!$B:$B,$A157,'Source 2026'!$A:$A,"Amount (NIS)")+SUMIFS('Source 2026'!$M:$M,'Source 2026'!$B:$B,$A157,'Source 2026'!$A:$A,"Amount (NIS)")+SUMIFS('Source 2026'!$N:$N,'Source 2026'!$B:$B,$A157,'Source 2026'!$A:$A,"Amount (NIS)")+SUMIFS('Source 2026'!$S:$S,'Source 2026'!$B:$B,$A157,'Source 2026'!$A:$A,"Amount (NIS)")+SUMIFS('Source 2026'!$U:$U,'Source 2026'!$B:$B,$A157,'Source 2026'!$A:$A,"Amount (NIS)")+SUMIFS('Source 2026'!$D:$D,'Source 2026'!$B:$B,$A157,'Source 2026'!$A:$A,"Amount (NIS)")+SUMIFS('Source 2026'!$E:$E,'Source 2026'!$B:$B,$A157,'Source 2026'!$A:$A,"Amount (NIS)")+SUMIFS('Source 2026'!$G:$G,'Source 2026'!$B:$B,$A157,'Source 2026'!$A:$A,"Amount (NIS)")</f>
        <v>3442.9</v>
      </c>
      <c r="J157" s="9" t="n">
        <f aca="false">I157*$J$5</f>
        <v>4348.92631578947</v>
      </c>
      <c r="K157" s="9" t="n">
        <f aca="false">J157-H157</f>
        <v>177.026315789474</v>
      </c>
      <c r="L157" s="11" t="n">
        <f aca="false">IF(AND(H157=0,J157=0),0,IF(H157=0,"New",(J157-H157)/H157))</f>
        <v>0.0424330199164587</v>
      </c>
    </row>
    <row r="158" customFormat="false" ht="15" hidden="false" customHeight="true" outlineLevel="0" collapsed="false">
      <c r="A158" s="8" t="s">
        <v>227</v>
      </c>
      <c r="B158" s="8" t="str">
        <f aca="false">IFERROR(INDEX('Source 2026'!$C:$C,MATCH($A158,'Source 2026'!$B:$B,0)),IFERROR(INDEX('Source 2025'!$C:$C,MATCH($A158,'Source 2025'!$B:$B,0)),""))</f>
        <v>להסרת עור קשה</v>
      </c>
      <c r="C158" s="9" t="n">
        <f aca="false">SUMIFS('Source 2025'!$F:$F,'Source 2025'!$B:$B,$A158,'Source 2025'!$A:$A,"Quantity (units)")+SUMIFS('Source 2025'!$H:$H,'Source 2025'!$B:$B,$A158,'Source 2025'!$A:$A,"Quantity (units)")+SUMIFS('Source 2025'!$M:$M,'Source 2025'!$B:$B,$A158,'Source 2025'!$A:$A,"Quantity (units)")+SUMIFS('Source 2025'!$N:$N,'Source 2025'!$B:$B,$A158,'Source 2025'!$A:$A,"Quantity (units)")+SUMIFS('Source 2025'!$S:$S,'Source 2025'!$B:$B,$A158,'Source 2025'!$A:$A,"Quantity (units)")+SUMIFS('Source 2025'!$U:$U,'Source 2025'!$B:$B,$A158,'Source 2025'!$A:$A,"Quantity (units)")+SUMIFS('Source 2025'!$D:$D,'Source 2025'!$B:$B,$A158,'Source 2025'!$A:$A,"Quantity (units)")+SUMIFS('Source 2025'!$E:$E,'Source 2025'!$B:$B,$A158,'Source 2025'!$A:$A,"Quantity (units)")+SUMIFS('Source 2025'!$G:$G,'Source 2025'!$B:$B,$A158,'Source 2025'!$A:$A,"Quantity (units)")</f>
        <v>49</v>
      </c>
      <c r="D158" s="9" t="n">
        <f aca="false">SUMIFS('Source 2026'!$F:$F,'Source 2026'!$B:$B,$A158,'Source 2026'!$A:$A,"Quantity (units)")+SUMIFS('Source 2026'!$H:$H,'Source 2026'!$B:$B,$A158,'Source 2026'!$A:$A,"Quantity (units)")+SUMIFS('Source 2026'!$M:$M,'Source 2026'!$B:$B,$A158,'Source 2026'!$A:$A,"Quantity (units)")+SUMIFS('Source 2026'!$N:$N,'Source 2026'!$B:$B,$A158,'Source 2026'!$A:$A,"Quantity (units)")+SUMIFS('Source 2026'!$S:$S,'Source 2026'!$B:$B,$A158,'Source 2026'!$A:$A,"Quantity (units)")+SUMIFS('Source 2026'!$U:$U,'Source 2026'!$B:$B,$A158,'Source 2026'!$A:$A,"Quantity (units)")+SUMIFS('Source 2026'!$D:$D,'Source 2026'!$B:$B,$A158,'Source 2026'!$A:$A,"Quantity (units)")+SUMIFS('Source 2026'!$E:$E,'Source 2026'!$B:$B,$A158,'Source 2026'!$A:$A,"Quantity (units)")+SUMIFS('Source 2026'!$G:$G,'Source 2026'!$B:$B,$A158,'Source 2026'!$A:$A,"Quantity (units)")</f>
        <v>73</v>
      </c>
      <c r="E158" s="9" t="n">
        <f aca="false">D158*$J$5</f>
        <v>92.2105263157895</v>
      </c>
      <c r="F158" s="9" t="n">
        <f aca="false">E158-C158</f>
        <v>43.2105263157895</v>
      </c>
      <c r="G158" s="11" t="n">
        <f aca="false">IF(AND(C158=0,E158=0),0,IF(C158=0,"New",(E158-C158)/C158))</f>
        <v>0.881847475832438</v>
      </c>
      <c r="H158" s="9" t="n">
        <f aca="false">SUMIFS('Source 2025'!$F:$F,'Source 2025'!$B:$B,$A158,'Source 2025'!$A:$A,"Amount (NIS)")+SUMIFS('Source 2025'!$H:$H,'Source 2025'!$B:$B,$A158,'Source 2025'!$A:$A,"Amount (NIS)")+SUMIFS('Source 2025'!$M:$M,'Source 2025'!$B:$B,$A158,'Source 2025'!$A:$A,"Amount (NIS)")+SUMIFS('Source 2025'!$N:$N,'Source 2025'!$B:$B,$A158,'Source 2025'!$A:$A,"Amount (NIS)")+SUMIFS('Source 2025'!$S:$S,'Source 2025'!$B:$B,$A158,'Source 2025'!$A:$A,"Amount (NIS)")+SUMIFS('Source 2025'!$U:$U,'Source 2025'!$B:$B,$A158,'Source 2025'!$A:$A,"Amount (NIS)")+SUMIFS('Source 2025'!$D:$D,'Source 2025'!$B:$B,$A158,'Source 2025'!$A:$A,"Amount (NIS)")+SUMIFS('Source 2025'!$E:$E,'Source 2025'!$B:$B,$A158,'Source 2025'!$A:$A,"Amount (NIS)")+SUMIFS('Source 2025'!$G:$G,'Source 2025'!$B:$B,$A158,'Source 2025'!$A:$A,"Amount (NIS)")</f>
        <v>1383.8</v>
      </c>
      <c r="I158" s="9" t="n">
        <f aca="false">SUMIFS('Source 2026'!$F:$F,'Source 2026'!$B:$B,$A158,'Source 2026'!$A:$A,"Amount (NIS)")+SUMIFS('Source 2026'!$H:$H,'Source 2026'!$B:$B,$A158,'Source 2026'!$A:$A,"Amount (NIS)")+SUMIFS('Source 2026'!$M:$M,'Source 2026'!$B:$B,$A158,'Source 2026'!$A:$A,"Amount (NIS)")+SUMIFS('Source 2026'!$N:$N,'Source 2026'!$B:$B,$A158,'Source 2026'!$A:$A,"Amount (NIS)")+SUMIFS('Source 2026'!$S:$S,'Source 2026'!$B:$B,$A158,'Source 2026'!$A:$A,"Amount (NIS)")+SUMIFS('Source 2026'!$U:$U,'Source 2026'!$B:$B,$A158,'Source 2026'!$A:$A,"Amount (NIS)")+SUMIFS('Source 2026'!$D:$D,'Source 2026'!$B:$B,$A158,'Source 2026'!$A:$A,"Amount (NIS)")+SUMIFS('Source 2026'!$E:$E,'Source 2026'!$B:$B,$A158,'Source 2026'!$A:$A,"Amount (NIS)")+SUMIFS('Source 2026'!$G:$G,'Source 2026'!$B:$B,$A158,'Source 2026'!$A:$A,"Amount (NIS)")</f>
        <v>2097.1</v>
      </c>
      <c r="J158" s="9" t="n">
        <f aca="false">I158*$J$5</f>
        <v>2648.96842105263</v>
      </c>
      <c r="K158" s="9" t="n">
        <f aca="false">J158-H158</f>
        <v>1265.16842105263</v>
      </c>
      <c r="L158" s="11" t="n">
        <f aca="false">IF(AND(H158=0,J158=0),0,IF(H158=0,"New",(J158-H158)/H158))</f>
        <v>0.914271152661245</v>
      </c>
    </row>
    <row r="159" customFormat="false" ht="15" hidden="false" customHeight="true" outlineLevel="0" collapsed="false">
      <c r="A159" s="8" t="s">
        <v>228</v>
      </c>
      <c r="B159" s="8" t="str">
        <f aca="false">IFERROR(INDEX('Source 2026'!$C:$C,MATCH($A159,'Source 2026'!$B:$B,0)),IFERROR(INDEX('Source 2025'!$C:$C,MATCH($A159,'Source 2025'!$B:$B,0)),""))</f>
        <v>סכינים למקצוע</v>
      </c>
      <c r="C159" s="9" t="n">
        <f aca="false">SUMIFS('Source 2025'!$F:$F,'Source 2025'!$B:$B,$A159,'Source 2025'!$A:$A,"Quantity (units)")+SUMIFS('Source 2025'!$H:$H,'Source 2025'!$B:$B,$A159,'Source 2025'!$A:$A,"Quantity (units)")+SUMIFS('Source 2025'!$M:$M,'Source 2025'!$B:$B,$A159,'Source 2025'!$A:$A,"Quantity (units)")+SUMIFS('Source 2025'!$N:$N,'Source 2025'!$B:$B,$A159,'Source 2025'!$A:$A,"Quantity (units)")+SUMIFS('Source 2025'!$S:$S,'Source 2025'!$B:$B,$A159,'Source 2025'!$A:$A,"Quantity (units)")+SUMIFS('Source 2025'!$U:$U,'Source 2025'!$B:$B,$A159,'Source 2025'!$A:$A,"Quantity (units)")+SUMIFS('Source 2025'!$D:$D,'Source 2025'!$B:$B,$A159,'Source 2025'!$A:$A,"Quantity (units)")+SUMIFS('Source 2025'!$E:$E,'Source 2025'!$B:$B,$A159,'Source 2025'!$A:$A,"Quantity (units)")+SUMIFS('Source 2025'!$G:$G,'Source 2025'!$B:$B,$A159,'Source 2025'!$A:$A,"Quantity (units)")</f>
        <v>44</v>
      </c>
      <c r="D159" s="9" t="n">
        <f aca="false">SUMIFS('Source 2026'!$F:$F,'Source 2026'!$B:$B,$A159,'Source 2026'!$A:$A,"Quantity (units)")+SUMIFS('Source 2026'!$H:$H,'Source 2026'!$B:$B,$A159,'Source 2026'!$A:$A,"Quantity (units)")+SUMIFS('Source 2026'!$M:$M,'Source 2026'!$B:$B,$A159,'Source 2026'!$A:$A,"Quantity (units)")+SUMIFS('Source 2026'!$N:$N,'Source 2026'!$B:$B,$A159,'Source 2026'!$A:$A,"Quantity (units)")+SUMIFS('Source 2026'!$S:$S,'Source 2026'!$B:$B,$A159,'Source 2026'!$A:$A,"Quantity (units)")+SUMIFS('Source 2026'!$U:$U,'Source 2026'!$B:$B,$A159,'Source 2026'!$A:$A,"Quantity (units)")+SUMIFS('Source 2026'!$D:$D,'Source 2026'!$B:$B,$A159,'Source 2026'!$A:$A,"Quantity (units)")+SUMIFS('Source 2026'!$E:$E,'Source 2026'!$B:$B,$A159,'Source 2026'!$A:$A,"Quantity (units)")+SUMIFS('Source 2026'!$G:$G,'Source 2026'!$B:$B,$A159,'Source 2026'!$A:$A,"Quantity (units)")</f>
        <v>119</v>
      </c>
      <c r="E159" s="9" t="n">
        <f aca="false">D159*$J$5</f>
        <v>150.315789473684</v>
      </c>
      <c r="F159" s="9" t="n">
        <f aca="false">E159-C159</f>
        <v>106.315789473684</v>
      </c>
      <c r="G159" s="11" t="n">
        <f aca="false">IF(AND(C159=0,E159=0),0,IF(C159=0,"New",(E159-C159)/C159))</f>
        <v>2.41626794258373</v>
      </c>
      <c r="H159" s="9" t="n">
        <f aca="false">SUMIFS('Source 2025'!$F:$F,'Source 2025'!$B:$B,$A159,'Source 2025'!$A:$A,"Amount (NIS)")+SUMIFS('Source 2025'!$H:$H,'Source 2025'!$B:$B,$A159,'Source 2025'!$A:$A,"Amount (NIS)")+SUMIFS('Source 2025'!$M:$M,'Source 2025'!$B:$B,$A159,'Source 2025'!$A:$A,"Amount (NIS)")+SUMIFS('Source 2025'!$N:$N,'Source 2025'!$B:$B,$A159,'Source 2025'!$A:$A,"Amount (NIS)")+SUMIFS('Source 2025'!$S:$S,'Source 2025'!$B:$B,$A159,'Source 2025'!$A:$A,"Amount (NIS)")+SUMIFS('Source 2025'!$U:$U,'Source 2025'!$B:$B,$A159,'Source 2025'!$A:$A,"Amount (NIS)")+SUMIFS('Source 2025'!$D:$D,'Source 2025'!$B:$B,$A159,'Source 2025'!$A:$A,"Amount (NIS)")+SUMIFS('Source 2025'!$E:$E,'Source 2025'!$B:$B,$A159,'Source 2025'!$A:$A,"Amount (NIS)")+SUMIFS('Source 2025'!$G:$G,'Source 2025'!$B:$B,$A159,'Source 2025'!$A:$A,"Amount (NIS)")</f>
        <v>419.3</v>
      </c>
      <c r="I159" s="9" t="n">
        <f aca="false">SUMIFS('Source 2026'!$F:$F,'Source 2026'!$B:$B,$A159,'Source 2026'!$A:$A,"Amount (NIS)")+SUMIFS('Source 2026'!$H:$H,'Source 2026'!$B:$B,$A159,'Source 2026'!$A:$A,"Amount (NIS)")+SUMIFS('Source 2026'!$M:$M,'Source 2026'!$B:$B,$A159,'Source 2026'!$A:$A,"Amount (NIS)")+SUMIFS('Source 2026'!$N:$N,'Source 2026'!$B:$B,$A159,'Source 2026'!$A:$A,"Amount (NIS)")+SUMIFS('Source 2026'!$S:$S,'Source 2026'!$B:$B,$A159,'Source 2026'!$A:$A,"Amount (NIS)")+SUMIFS('Source 2026'!$U:$U,'Source 2026'!$B:$B,$A159,'Source 2026'!$A:$A,"Amount (NIS)")+SUMIFS('Source 2026'!$D:$D,'Source 2026'!$B:$B,$A159,'Source 2026'!$A:$A,"Amount (NIS)")+SUMIFS('Source 2026'!$E:$E,'Source 2026'!$B:$B,$A159,'Source 2026'!$A:$A,"Amount (NIS)")+SUMIFS('Source 2026'!$G:$G,'Source 2026'!$B:$B,$A159,'Source 2026'!$A:$A,"Amount (NIS)")</f>
        <v>1128.9</v>
      </c>
      <c r="J159" s="9" t="n">
        <f aca="false">I159*$J$5</f>
        <v>1425.97894736842</v>
      </c>
      <c r="K159" s="9" t="n">
        <f aca="false">J159-H159</f>
        <v>1006.67894736842</v>
      </c>
      <c r="L159" s="11" t="n">
        <f aca="false">IF(AND(H159=0,J159=0),0,IF(H159=0,"New",(J159-H159)/H159))</f>
        <v>2.40085606336375</v>
      </c>
    </row>
    <row r="160" customFormat="false" ht="15" hidden="false" customHeight="true" outlineLevel="0" collapsed="false">
      <c r="A160" s="8" t="s">
        <v>229</v>
      </c>
      <c r="B160" s="8" t="str">
        <f aca="false">IFERROR(INDEX('Source 2026'!$C:$C,MATCH($A160,'Source 2026'!$B:$B,0)),IFERROR(INDEX('Source 2025'!$C:$C,MATCH($A160,'Source 2025'!$B:$B,0)),""))</f>
        <v>מגן קרסול נושם</v>
      </c>
      <c r="C160" s="9" t="n">
        <f aca="false">SUMIFS('Source 2025'!$F:$F,'Source 2025'!$B:$B,$A160,'Source 2025'!$A:$A,"Quantity (units)")+SUMIFS('Source 2025'!$H:$H,'Source 2025'!$B:$B,$A160,'Source 2025'!$A:$A,"Quantity (units)")+SUMIFS('Source 2025'!$M:$M,'Source 2025'!$B:$B,$A160,'Source 2025'!$A:$A,"Quantity (units)")+SUMIFS('Source 2025'!$N:$N,'Source 2025'!$B:$B,$A160,'Source 2025'!$A:$A,"Quantity (units)")+SUMIFS('Source 2025'!$S:$S,'Source 2025'!$B:$B,$A160,'Source 2025'!$A:$A,"Quantity (units)")+SUMIFS('Source 2025'!$U:$U,'Source 2025'!$B:$B,$A160,'Source 2025'!$A:$A,"Quantity (units)")+SUMIFS('Source 2025'!$D:$D,'Source 2025'!$B:$B,$A160,'Source 2025'!$A:$A,"Quantity (units)")+SUMIFS('Source 2025'!$E:$E,'Source 2025'!$B:$B,$A160,'Source 2025'!$A:$A,"Quantity (units)")+SUMIFS('Source 2025'!$G:$G,'Source 2025'!$B:$B,$A160,'Source 2025'!$A:$A,"Quantity (units)")</f>
        <v>374</v>
      </c>
      <c r="D160" s="9" t="n">
        <f aca="false">SUMIFS('Source 2026'!$F:$F,'Source 2026'!$B:$B,$A160,'Source 2026'!$A:$A,"Quantity (units)")+SUMIFS('Source 2026'!$H:$H,'Source 2026'!$B:$B,$A160,'Source 2026'!$A:$A,"Quantity (units)")+SUMIFS('Source 2026'!$M:$M,'Source 2026'!$B:$B,$A160,'Source 2026'!$A:$A,"Quantity (units)")+SUMIFS('Source 2026'!$N:$N,'Source 2026'!$B:$B,$A160,'Source 2026'!$A:$A,"Quantity (units)")+SUMIFS('Source 2026'!$S:$S,'Source 2026'!$B:$B,$A160,'Source 2026'!$A:$A,"Quantity (units)")+SUMIFS('Source 2026'!$U:$U,'Source 2026'!$B:$B,$A160,'Source 2026'!$A:$A,"Quantity (units)")+SUMIFS('Source 2026'!$D:$D,'Source 2026'!$B:$B,$A160,'Source 2026'!$A:$A,"Quantity (units)")+SUMIFS('Source 2026'!$E:$E,'Source 2026'!$B:$B,$A160,'Source 2026'!$A:$A,"Quantity (units)")+SUMIFS('Source 2026'!$G:$G,'Source 2026'!$B:$B,$A160,'Source 2026'!$A:$A,"Quantity (units)")</f>
        <v>335</v>
      </c>
      <c r="E160" s="9" t="n">
        <f aca="false">D160*$J$5</f>
        <v>423.157894736842</v>
      </c>
      <c r="F160" s="9" t="n">
        <f aca="false">E160-C160</f>
        <v>49.1578947368421</v>
      </c>
      <c r="G160" s="11" t="n">
        <f aca="false">IF(AND(C160=0,E160=0),0,IF(C160=0,"New",(E160-C160)/C160))</f>
        <v>0.131438221221503</v>
      </c>
      <c r="H160" s="9" t="n">
        <f aca="false">SUMIFS('Source 2025'!$F:$F,'Source 2025'!$B:$B,$A160,'Source 2025'!$A:$A,"Amount (NIS)")+SUMIFS('Source 2025'!$H:$H,'Source 2025'!$B:$B,$A160,'Source 2025'!$A:$A,"Amount (NIS)")+SUMIFS('Source 2025'!$M:$M,'Source 2025'!$B:$B,$A160,'Source 2025'!$A:$A,"Amount (NIS)")+SUMIFS('Source 2025'!$N:$N,'Source 2025'!$B:$B,$A160,'Source 2025'!$A:$A,"Amount (NIS)")+SUMIFS('Source 2025'!$S:$S,'Source 2025'!$B:$B,$A160,'Source 2025'!$A:$A,"Amount (NIS)")+SUMIFS('Source 2025'!$U:$U,'Source 2025'!$B:$B,$A160,'Source 2025'!$A:$A,"Amount (NIS)")+SUMIFS('Source 2025'!$D:$D,'Source 2025'!$B:$B,$A160,'Source 2025'!$A:$A,"Amount (NIS)")+SUMIFS('Source 2025'!$E:$E,'Source 2025'!$B:$B,$A160,'Source 2025'!$A:$A,"Amount (NIS)")+SUMIFS('Source 2025'!$G:$G,'Source 2025'!$B:$B,$A160,'Source 2025'!$A:$A,"Amount (NIS)")</f>
        <v>11800.7</v>
      </c>
      <c r="I160" s="9" t="n">
        <f aca="false">SUMIFS('Source 2026'!$F:$F,'Source 2026'!$B:$B,$A160,'Source 2026'!$A:$A,"Amount (NIS)")+SUMIFS('Source 2026'!$H:$H,'Source 2026'!$B:$B,$A160,'Source 2026'!$A:$A,"Amount (NIS)")+SUMIFS('Source 2026'!$M:$M,'Source 2026'!$B:$B,$A160,'Source 2026'!$A:$A,"Amount (NIS)")+SUMIFS('Source 2026'!$N:$N,'Source 2026'!$B:$B,$A160,'Source 2026'!$A:$A,"Amount (NIS)")+SUMIFS('Source 2026'!$S:$S,'Source 2026'!$B:$B,$A160,'Source 2026'!$A:$A,"Amount (NIS)")+SUMIFS('Source 2026'!$U:$U,'Source 2026'!$B:$B,$A160,'Source 2026'!$A:$A,"Amount (NIS)")+SUMIFS('Source 2026'!$D:$D,'Source 2026'!$B:$B,$A160,'Source 2026'!$A:$A,"Amount (NIS)")+SUMIFS('Source 2026'!$E:$E,'Source 2026'!$B:$B,$A160,'Source 2026'!$A:$A,"Amount (NIS)")+SUMIFS('Source 2026'!$G:$G,'Source 2026'!$B:$B,$A160,'Source 2026'!$A:$A,"Amount (NIS)")</f>
        <v>11099</v>
      </c>
      <c r="J160" s="9" t="n">
        <f aca="false">I160*$J$5</f>
        <v>14019.7894736842</v>
      </c>
      <c r="K160" s="9" t="n">
        <f aca="false">J160-H160</f>
        <v>2219.08947368421</v>
      </c>
      <c r="L160" s="11" t="n">
        <f aca="false">IF(AND(H160=0,J160=0),0,IF(H160=0,"New",(J160-H160)/H160))</f>
        <v>0.188047274626438</v>
      </c>
    </row>
    <row r="161" customFormat="false" ht="15" hidden="false" customHeight="true" outlineLevel="0" collapsed="false">
      <c r="A161" s="8" t="s">
        <v>230</v>
      </c>
      <c r="B161" s="8" t="str">
        <f aca="false">IFERROR(INDEX('Source 2026'!$C:$C,MATCH($A161,'Source 2026'!$B:$B,0)),IFERROR(INDEX('Source 2025'!$C:$C,MATCH($A161,'Source 2025'!$B:$B,0)),""))</f>
        <v>נגד פטרת הציפורן</v>
      </c>
      <c r="C161" s="9" t="n">
        <f aca="false">SUMIFS('Source 2025'!$F:$F,'Source 2025'!$B:$B,$A161,'Source 2025'!$A:$A,"Quantity (units)")+SUMIFS('Source 2025'!$H:$H,'Source 2025'!$B:$B,$A161,'Source 2025'!$A:$A,"Quantity (units)")+SUMIFS('Source 2025'!$M:$M,'Source 2025'!$B:$B,$A161,'Source 2025'!$A:$A,"Quantity (units)")+SUMIFS('Source 2025'!$N:$N,'Source 2025'!$B:$B,$A161,'Source 2025'!$A:$A,"Quantity (units)")+SUMIFS('Source 2025'!$S:$S,'Source 2025'!$B:$B,$A161,'Source 2025'!$A:$A,"Quantity (units)")+SUMIFS('Source 2025'!$U:$U,'Source 2025'!$B:$B,$A161,'Source 2025'!$A:$A,"Quantity (units)")+SUMIFS('Source 2025'!$D:$D,'Source 2025'!$B:$B,$A161,'Source 2025'!$A:$A,"Quantity (units)")+SUMIFS('Source 2025'!$E:$E,'Source 2025'!$B:$B,$A161,'Source 2025'!$A:$A,"Quantity (units)")+SUMIFS('Source 2025'!$G:$G,'Source 2025'!$B:$B,$A161,'Source 2025'!$A:$A,"Quantity (units)")</f>
        <v>-21</v>
      </c>
      <c r="D161" s="9" t="n">
        <f aca="false">SUMIFS('Source 2026'!$F:$F,'Source 2026'!$B:$B,$A161,'Source 2026'!$A:$A,"Quantity (units)")+SUMIFS('Source 2026'!$H:$H,'Source 2026'!$B:$B,$A161,'Source 2026'!$A:$A,"Quantity (units)")+SUMIFS('Source 2026'!$M:$M,'Source 2026'!$B:$B,$A161,'Source 2026'!$A:$A,"Quantity (units)")+SUMIFS('Source 2026'!$N:$N,'Source 2026'!$B:$B,$A161,'Source 2026'!$A:$A,"Quantity (units)")+SUMIFS('Source 2026'!$S:$S,'Source 2026'!$B:$B,$A161,'Source 2026'!$A:$A,"Quantity (units)")+SUMIFS('Source 2026'!$U:$U,'Source 2026'!$B:$B,$A161,'Source 2026'!$A:$A,"Quantity (units)")+SUMIFS('Source 2026'!$D:$D,'Source 2026'!$B:$B,$A161,'Source 2026'!$A:$A,"Quantity (units)")+SUMIFS('Source 2026'!$E:$E,'Source 2026'!$B:$B,$A161,'Source 2026'!$A:$A,"Quantity (units)")+SUMIFS('Source 2026'!$G:$G,'Source 2026'!$B:$B,$A161,'Source 2026'!$A:$A,"Quantity (units)")</f>
        <v>-4</v>
      </c>
      <c r="E161" s="9" t="n">
        <f aca="false">D161*$J$5</f>
        <v>-5.05263157894737</v>
      </c>
      <c r="F161" s="9" t="n">
        <f aca="false">E161-C161</f>
        <v>15.9473684210526</v>
      </c>
      <c r="G161" s="11" t="n">
        <f aca="false">IF(AND(C161=0,E161=0),0,IF(C161=0,"New",(E161-C161)/C161))</f>
        <v>-0.759398496240602</v>
      </c>
      <c r="H161" s="9" t="n">
        <f aca="false">SUMIFS('Source 2025'!$F:$F,'Source 2025'!$B:$B,$A161,'Source 2025'!$A:$A,"Amount (NIS)")+SUMIFS('Source 2025'!$H:$H,'Source 2025'!$B:$B,$A161,'Source 2025'!$A:$A,"Amount (NIS)")+SUMIFS('Source 2025'!$M:$M,'Source 2025'!$B:$B,$A161,'Source 2025'!$A:$A,"Amount (NIS)")+SUMIFS('Source 2025'!$N:$N,'Source 2025'!$B:$B,$A161,'Source 2025'!$A:$A,"Amount (NIS)")+SUMIFS('Source 2025'!$S:$S,'Source 2025'!$B:$B,$A161,'Source 2025'!$A:$A,"Amount (NIS)")+SUMIFS('Source 2025'!$U:$U,'Source 2025'!$B:$B,$A161,'Source 2025'!$A:$A,"Amount (NIS)")+SUMIFS('Source 2025'!$D:$D,'Source 2025'!$B:$B,$A161,'Source 2025'!$A:$A,"Amount (NIS)")+SUMIFS('Source 2025'!$E:$E,'Source 2025'!$B:$B,$A161,'Source 2025'!$A:$A,"Amount (NIS)")+SUMIFS('Source 2025'!$G:$G,'Source 2025'!$B:$B,$A161,'Source 2025'!$A:$A,"Amount (NIS)")</f>
        <v>-810.8</v>
      </c>
      <c r="I161" s="9" t="n">
        <f aca="false">SUMIFS('Source 2026'!$F:$F,'Source 2026'!$B:$B,$A161,'Source 2026'!$A:$A,"Amount (NIS)")+SUMIFS('Source 2026'!$H:$H,'Source 2026'!$B:$B,$A161,'Source 2026'!$A:$A,"Amount (NIS)")+SUMIFS('Source 2026'!$M:$M,'Source 2026'!$B:$B,$A161,'Source 2026'!$A:$A,"Amount (NIS)")+SUMIFS('Source 2026'!$N:$N,'Source 2026'!$B:$B,$A161,'Source 2026'!$A:$A,"Amount (NIS)")+SUMIFS('Source 2026'!$S:$S,'Source 2026'!$B:$B,$A161,'Source 2026'!$A:$A,"Amount (NIS)")+SUMIFS('Source 2026'!$U:$U,'Source 2026'!$B:$B,$A161,'Source 2026'!$A:$A,"Amount (NIS)")+SUMIFS('Source 2026'!$D:$D,'Source 2026'!$B:$B,$A161,'Source 2026'!$A:$A,"Amount (NIS)")+SUMIFS('Source 2026'!$E:$E,'Source 2026'!$B:$B,$A161,'Source 2026'!$A:$A,"Amount (NIS)")+SUMIFS('Source 2026'!$G:$G,'Source 2026'!$B:$B,$A161,'Source 2026'!$A:$A,"Amount (NIS)")</f>
        <v>-113.3</v>
      </c>
      <c r="J161" s="9" t="n">
        <f aca="false">I161*$J$5</f>
        <v>-143.115789473684</v>
      </c>
      <c r="K161" s="9" t="n">
        <f aca="false">J161-H161</f>
        <v>667.684210526316</v>
      </c>
      <c r="L161" s="11" t="n">
        <f aca="false">IF(AND(H161=0,J161=0),0,IF(H161=0,"New",(J161-H161)/H161))</f>
        <v>-0.82348817282476</v>
      </c>
    </row>
    <row r="162" customFormat="false" ht="15" hidden="false" customHeight="true" outlineLevel="0" collapsed="false">
      <c r="A162" s="8" t="s">
        <v>231</v>
      </c>
      <c r="B162" s="8" t="str">
        <f aca="false">IFERROR(INDEX('Source 2026'!$C:$C,MATCH($A162,'Source 2026'!$B:$B,0)),IFERROR(INDEX('Source 2025'!$C:$C,MATCH($A162,'Source 2025'!$B:$B,0)),""))</f>
        <v>חגורת גב אפורה</v>
      </c>
      <c r="C162" s="9" t="n">
        <f aca="false">SUMIFS('Source 2025'!$F:$F,'Source 2025'!$B:$B,$A162,'Source 2025'!$A:$A,"Quantity (units)")+SUMIFS('Source 2025'!$H:$H,'Source 2025'!$B:$B,$A162,'Source 2025'!$A:$A,"Quantity (units)")+SUMIFS('Source 2025'!$M:$M,'Source 2025'!$B:$B,$A162,'Source 2025'!$A:$A,"Quantity (units)")+SUMIFS('Source 2025'!$N:$N,'Source 2025'!$B:$B,$A162,'Source 2025'!$A:$A,"Quantity (units)")+SUMIFS('Source 2025'!$S:$S,'Source 2025'!$B:$B,$A162,'Source 2025'!$A:$A,"Quantity (units)")+SUMIFS('Source 2025'!$U:$U,'Source 2025'!$B:$B,$A162,'Source 2025'!$A:$A,"Quantity (units)")+SUMIFS('Source 2025'!$D:$D,'Source 2025'!$B:$B,$A162,'Source 2025'!$A:$A,"Quantity (units)")+SUMIFS('Source 2025'!$E:$E,'Source 2025'!$B:$B,$A162,'Source 2025'!$A:$A,"Quantity (units)")+SUMIFS('Source 2025'!$G:$G,'Source 2025'!$B:$B,$A162,'Source 2025'!$A:$A,"Quantity (units)")</f>
        <v>50</v>
      </c>
      <c r="D162" s="9" t="n">
        <f aca="false">SUMIFS('Source 2026'!$F:$F,'Source 2026'!$B:$B,$A162,'Source 2026'!$A:$A,"Quantity (units)")+SUMIFS('Source 2026'!$H:$H,'Source 2026'!$B:$B,$A162,'Source 2026'!$A:$A,"Quantity (units)")+SUMIFS('Source 2026'!$M:$M,'Source 2026'!$B:$B,$A162,'Source 2026'!$A:$A,"Quantity (units)")+SUMIFS('Source 2026'!$N:$N,'Source 2026'!$B:$B,$A162,'Source 2026'!$A:$A,"Quantity (units)")+SUMIFS('Source 2026'!$S:$S,'Source 2026'!$B:$B,$A162,'Source 2026'!$A:$A,"Quantity (units)")+SUMIFS('Source 2026'!$U:$U,'Source 2026'!$B:$B,$A162,'Source 2026'!$A:$A,"Quantity (units)")+SUMIFS('Source 2026'!$D:$D,'Source 2026'!$B:$B,$A162,'Source 2026'!$A:$A,"Quantity (units)")+SUMIFS('Source 2026'!$E:$E,'Source 2026'!$B:$B,$A162,'Source 2026'!$A:$A,"Quantity (units)")+SUMIFS('Source 2026'!$G:$G,'Source 2026'!$B:$B,$A162,'Source 2026'!$A:$A,"Quantity (units)")</f>
        <v>43</v>
      </c>
      <c r="E162" s="9" t="n">
        <f aca="false">D162*$J$5</f>
        <v>54.3157894736842</v>
      </c>
      <c r="F162" s="9" t="n">
        <f aca="false">E162-C162</f>
        <v>4.31578947368421</v>
      </c>
      <c r="G162" s="11" t="n">
        <f aca="false">IF(AND(C162=0,E162=0),0,IF(C162=0,"New",(E162-C162)/C162))</f>
        <v>0.0863157894736841</v>
      </c>
      <c r="H162" s="9" t="n">
        <f aca="false">SUMIFS('Source 2025'!$F:$F,'Source 2025'!$B:$B,$A162,'Source 2025'!$A:$A,"Amount (NIS)")+SUMIFS('Source 2025'!$H:$H,'Source 2025'!$B:$B,$A162,'Source 2025'!$A:$A,"Amount (NIS)")+SUMIFS('Source 2025'!$M:$M,'Source 2025'!$B:$B,$A162,'Source 2025'!$A:$A,"Amount (NIS)")+SUMIFS('Source 2025'!$N:$N,'Source 2025'!$B:$B,$A162,'Source 2025'!$A:$A,"Amount (NIS)")+SUMIFS('Source 2025'!$S:$S,'Source 2025'!$B:$B,$A162,'Source 2025'!$A:$A,"Amount (NIS)")+SUMIFS('Source 2025'!$U:$U,'Source 2025'!$B:$B,$A162,'Source 2025'!$A:$A,"Amount (NIS)")+SUMIFS('Source 2025'!$D:$D,'Source 2025'!$B:$B,$A162,'Source 2025'!$A:$A,"Amount (NIS)")+SUMIFS('Source 2025'!$E:$E,'Source 2025'!$B:$B,$A162,'Source 2025'!$A:$A,"Amount (NIS)")+SUMIFS('Source 2025'!$G:$G,'Source 2025'!$B:$B,$A162,'Source 2025'!$A:$A,"Amount (NIS)")</f>
        <v>5649.4</v>
      </c>
      <c r="I162" s="9" t="n">
        <f aca="false">SUMIFS('Source 2026'!$F:$F,'Source 2026'!$B:$B,$A162,'Source 2026'!$A:$A,"Amount (NIS)")+SUMIFS('Source 2026'!$H:$H,'Source 2026'!$B:$B,$A162,'Source 2026'!$A:$A,"Amount (NIS)")+SUMIFS('Source 2026'!$M:$M,'Source 2026'!$B:$B,$A162,'Source 2026'!$A:$A,"Amount (NIS)")+SUMIFS('Source 2026'!$N:$N,'Source 2026'!$B:$B,$A162,'Source 2026'!$A:$A,"Amount (NIS)")+SUMIFS('Source 2026'!$S:$S,'Source 2026'!$B:$B,$A162,'Source 2026'!$A:$A,"Amount (NIS)")+SUMIFS('Source 2026'!$U:$U,'Source 2026'!$B:$B,$A162,'Source 2026'!$A:$A,"Amount (NIS)")+SUMIFS('Source 2026'!$D:$D,'Source 2026'!$B:$B,$A162,'Source 2026'!$A:$A,"Amount (NIS)")+SUMIFS('Source 2026'!$E:$E,'Source 2026'!$B:$B,$A162,'Source 2026'!$A:$A,"Amount (NIS)")+SUMIFS('Source 2026'!$G:$G,'Source 2026'!$B:$B,$A162,'Source 2026'!$A:$A,"Amount (NIS)")</f>
        <v>4953.8</v>
      </c>
      <c r="J162" s="9" t="n">
        <f aca="false">I162*$J$5</f>
        <v>6257.43157894737</v>
      </c>
      <c r="K162" s="9" t="n">
        <f aca="false">J162-H162</f>
        <v>608.031578947369</v>
      </c>
      <c r="L162" s="11" t="n">
        <f aca="false">IF(AND(H162=0,J162=0),0,IF(H162=0,"New",(J162-H162)/H162))</f>
        <v>0.107627638146948</v>
      </c>
    </row>
    <row r="163" customFormat="false" ht="15" hidden="false" customHeight="true" outlineLevel="0" collapsed="false">
      <c r="A163" s="8" t="s">
        <v>232</v>
      </c>
      <c r="B163" s="8" t="str">
        <f aca="false">IFERROR(INDEX('Source 2026'!$C:$C,MATCH($A163,'Source 2026'!$B:$B,0)),IFERROR(INDEX('Source 2025'!$C:$C,MATCH($A163,'Source 2025'!$B:$B,0)),""))</f>
        <v>0 חגורה למנותחי בית חזה</v>
      </c>
      <c r="C163" s="9" t="n">
        <f aca="false">SUMIFS('Source 2025'!$F:$F,'Source 2025'!$B:$B,$A163,'Source 2025'!$A:$A,"Quantity (units)")+SUMIFS('Source 2025'!$H:$H,'Source 2025'!$B:$B,$A163,'Source 2025'!$A:$A,"Quantity (units)")+SUMIFS('Source 2025'!$M:$M,'Source 2025'!$B:$B,$A163,'Source 2025'!$A:$A,"Quantity (units)")+SUMIFS('Source 2025'!$N:$N,'Source 2025'!$B:$B,$A163,'Source 2025'!$A:$A,"Quantity (units)")+SUMIFS('Source 2025'!$S:$S,'Source 2025'!$B:$B,$A163,'Source 2025'!$A:$A,"Quantity (units)")+SUMIFS('Source 2025'!$U:$U,'Source 2025'!$B:$B,$A163,'Source 2025'!$A:$A,"Quantity (units)")+SUMIFS('Source 2025'!$D:$D,'Source 2025'!$B:$B,$A163,'Source 2025'!$A:$A,"Quantity (units)")+SUMIFS('Source 2025'!$E:$E,'Source 2025'!$B:$B,$A163,'Source 2025'!$A:$A,"Quantity (units)")+SUMIFS('Source 2025'!$G:$G,'Source 2025'!$B:$B,$A163,'Source 2025'!$A:$A,"Quantity (units)")</f>
        <v>6</v>
      </c>
      <c r="D163" s="9" t="n">
        <f aca="false">SUMIFS('Source 2026'!$F:$F,'Source 2026'!$B:$B,$A163,'Source 2026'!$A:$A,"Quantity (units)")+SUMIFS('Source 2026'!$H:$H,'Source 2026'!$B:$B,$A163,'Source 2026'!$A:$A,"Quantity (units)")+SUMIFS('Source 2026'!$M:$M,'Source 2026'!$B:$B,$A163,'Source 2026'!$A:$A,"Quantity (units)")+SUMIFS('Source 2026'!$N:$N,'Source 2026'!$B:$B,$A163,'Source 2026'!$A:$A,"Quantity (units)")+SUMIFS('Source 2026'!$S:$S,'Source 2026'!$B:$B,$A163,'Source 2026'!$A:$A,"Quantity (units)")+SUMIFS('Source 2026'!$U:$U,'Source 2026'!$B:$B,$A163,'Source 2026'!$A:$A,"Quantity (units)")+SUMIFS('Source 2026'!$D:$D,'Source 2026'!$B:$B,$A163,'Source 2026'!$A:$A,"Quantity (units)")+SUMIFS('Source 2026'!$E:$E,'Source 2026'!$B:$B,$A163,'Source 2026'!$A:$A,"Quantity (units)")+SUMIFS('Source 2026'!$G:$G,'Source 2026'!$B:$B,$A163,'Source 2026'!$A:$A,"Quantity (units)")</f>
        <v>3</v>
      </c>
      <c r="E163" s="9" t="n">
        <f aca="false">D163*$J$5</f>
        <v>3.78947368421053</v>
      </c>
      <c r="F163" s="9" t="n">
        <f aca="false">E163-C163</f>
        <v>-2.21052631578947</v>
      </c>
      <c r="G163" s="11" t="n">
        <f aca="false">IF(AND(C163=0,E163=0),0,IF(C163=0,"New",(E163-C163)/C163))</f>
        <v>-0.368421052631579</v>
      </c>
      <c r="H163" s="9" t="n">
        <f aca="false">SUMIFS('Source 2025'!$F:$F,'Source 2025'!$B:$B,$A163,'Source 2025'!$A:$A,"Amount (NIS)")+SUMIFS('Source 2025'!$H:$H,'Source 2025'!$B:$B,$A163,'Source 2025'!$A:$A,"Amount (NIS)")+SUMIFS('Source 2025'!$M:$M,'Source 2025'!$B:$B,$A163,'Source 2025'!$A:$A,"Amount (NIS)")+SUMIFS('Source 2025'!$N:$N,'Source 2025'!$B:$B,$A163,'Source 2025'!$A:$A,"Amount (NIS)")+SUMIFS('Source 2025'!$S:$S,'Source 2025'!$B:$B,$A163,'Source 2025'!$A:$A,"Amount (NIS)")+SUMIFS('Source 2025'!$U:$U,'Source 2025'!$B:$B,$A163,'Source 2025'!$A:$A,"Amount (NIS)")+SUMIFS('Source 2025'!$D:$D,'Source 2025'!$B:$B,$A163,'Source 2025'!$A:$A,"Amount (NIS)")+SUMIFS('Source 2025'!$E:$E,'Source 2025'!$B:$B,$A163,'Source 2025'!$A:$A,"Amount (NIS)")+SUMIFS('Source 2025'!$G:$G,'Source 2025'!$B:$B,$A163,'Source 2025'!$A:$A,"Amount (NIS)")</f>
        <v>1467.5</v>
      </c>
      <c r="I163" s="9" t="n">
        <f aca="false">SUMIFS('Source 2026'!$F:$F,'Source 2026'!$B:$B,$A163,'Source 2026'!$A:$A,"Amount (NIS)")+SUMIFS('Source 2026'!$H:$H,'Source 2026'!$B:$B,$A163,'Source 2026'!$A:$A,"Amount (NIS)")+SUMIFS('Source 2026'!$M:$M,'Source 2026'!$B:$B,$A163,'Source 2026'!$A:$A,"Amount (NIS)")+SUMIFS('Source 2026'!$N:$N,'Source 2026'!$B:$B,$A163,'Source 2026'!$A:$A,"Amount (NIS)")+SUMIFS('Source 2026'!$S:$S,'Source 2026'!$B:$B,$A163,'Source 2026'!$A:$A,"Amount (NIS)")+SUMIFS('Source 2026'!$U:$U,'Source 2026'!$B:$B,$A163,'Source 2026'!$A:$A,"Amount (NIS)")+SUMIFS('Source 2026'!$D:$D,'Source 2026'!$B:$B,$A163,'Source 2026'!$A:$A,"Amount (NIS)")+SUMIFS('Source 2026'!$E:$E,'Source 2026'!$B:$B,$A163,'Source 2026'!$A:$A,"Amount (NIS)")+SUMIFS('Source 2026'!$G:$G,'Source 2026'!$B:$B,$A163,'Source 2026'!$A:$A,"Amount (NIS)")</f>
        <v>774.8</v>
      </c>
      <c r="J163" s="9" t="n">
        <f aca="false">I163*$J$5</f>
        <v>978.694736842105</v>
      </c>
      <c r="K163" s="9" t="n">
        <f aca="false">J163-H163</f>
        <v>-488.805263157895</v>
      </c>
      <c r="L163" s="11" t="n">
        <f aca="false">IF(AND(H163=0,J163=0),0,IF(H163=0,"New",(J163-H163)/H163))</f>
        <v>-0.3330870617771</v>
      </c>
    </row>
    <row r="164" customFormat="false" ht="15" hidden="false" customHeight="true" outlineLevel="0" collapsed="false">
      <c r="A164" s="8" t="s">
        <v>233</v>
      </c>
      <c r="B164" s="8" t="str">
        <f aca="false">IFERROR(INDEX('Source 2026'!$C:$C,MATCH($A164,'Source 2026'!$B:$B,0)),IFERROR(INDEX('Source 2025'!$C:$C,MATCH($A164,'Source 2025'!$B:$B,0)),""))</f>
        <v>S ח.הריון מכנס למניעת כאבים</v>
      </c>
      <c r="C164" s="9" t="n">
        <f aca="false">SUMIFS('Source 2025'!$F:$F,'Source 2025'!$B:$B,$A164,'Source 2025'!$A:$A,"Quantity (units)")+SUMIFS('Source 2025'!$H:$H,'Source 2025'!$B:$B,$A164,'Source 2025'!$A:$A,"Quantity (units)")+SUMIFS('Source 2025'!$M:$M,'Source 2025'!$B:$B,$A164,'Source 2025'!$A:$A,"Quantity (units)")+SUMIFS('Source 2025'!$N:$N,'Source 2025'!$B:$B,$A164,'Source 2025'!$A:$A,"Quantity (units)")+SUMIFS('Source 2025'!$S:$S,'Source 2025'!$B:$B,$A164,'Source 2025'!$A:$A,"Quantity (units)")+SUMIFS('Source 2025'!$U:$U,'Source 2025'!$B:$B,$A164,'Source 2025'!$A:$A,"Quantity (units)")+SUMIFS('Source 2025'!$D:$D,'Source 2025'!$B:$B,$A164,'Source 2025'!$A:$A,"Quantity (units)")+SUMIFS('Source 2025'!$E:$E,'Source 2025'!$B:$B,$A164,'Source 2025'!$A:$A,"Quantity (units)")+SUMIFS('Source 2025'!$G:$G,'Source 2025'!$B:$B,$A164,'Source 2025'!$A:$A,"Quantity (units)")</f>
        <v>-1</v>
      </c>
      <c r="D164" s="9" t="n">
        <f aca="false">SUMIFS('Source 2026'!$F:$F,'Source 2026'!$B:$B,$A164,'Source 2026'!$A:$A,"Quantity (units)")+SUMIFS('Source 2026'!$H:$H,'Source 2026'!$B:$B,$A164,'Source 2026'!$A:$A,"Quantity (units)")+SUMIFS('Source 2026'!$M:$M,'Source 2026'!$B:$B,$A164,'Source 2026'!$A:$A,"Quantity (units)")+SUMIFS('Source 2026'!$N:$N,'Source 2026'!$B:$B,$A164,'Source 2026'!$A:$A,"Quantity (units)")+SUMIFS('Source 2026'!$S:$S,'Source 2026'!$B:$B,$A164,'Source 2026'!$A:$A,"Quantity (units)")+SUMIFS('Source 2026'!$U:$U,'Source 2026'!$B:$B,$A164,'Source 2026'!$A:$A,"Quantity (units)")+SUMIFS('Source 2026'!$D:$D,'Source 2026'!$B:$B,$A164,'Source 2026'!$A:$A,"Quantity (units)")+SUMIFS('Source 2026'!$E:$E,'Source 2026'!$B:$B,$A164,'Source 2026'!$A:$A,"Quantity (units)")+SUMIFS('Source 2026'!$G:$G,'Source 2026'!$B:$B,$A164,'Source 2026'!$A:$A,"Quantity (units)")</f>
        <v>-4</v>
      </c>
      <c r="E164" s="9" t="n">
        <f aca="false">D164*$J$5</f>
        <v>-5.05263157894737</v>
      </c>
      <c r="F164" s="9" t="n">
        <f aca="false">E164-C164</f>
        <v>-4.05263157894737</v>
      </c>
      <c r="G164" s="11" t="n">
        <f aca="false">IF(AND(C164=0,E164=0),0,IF(C164=0,"New",(E164-C164)/C164))</f>
        <v>4.05263157894737</v>
      </c>
      <c r="H164" s="9" t="n">
        <f aca="false">SUMIFS('Source 2025'!$F:$F,'Source 2025'!$B:$B,$A164,'Source 2025'!$A:$A,"Amount (NIS)")+SUMIFS('Source 2025'!$H:$H,'Source 2025'!$B:$B,$A164,'Source 2025'!$A:$A,"Amount (NIS)")+SUMIFS('Source 2025'!$M:$M,'Source 2025'!$B:$B,$A164,'Source 2025'!$A:$A,"Amount (NIS)")+SUMIFS('Source 2025'!$N:$N,'Source 2025'!$B:$B,$A164,'Source 2025'!$A:$A,"Amount (NIS)")+SUMIFS('Source 2025'!$S:$S,'Source 2025'!$B:$B,$A164,'Source 2025'!$A:$A,"Amount (NIS)")+SUMIFS('Source 2025'!$U:$U,'Source 2025'!$B:$B,$A164,'Source 2025'!$A:$A,"Amount (NIS)")+SUMIFS('Source 2025'!$D:$D,'Source 2025'!$B:$B,$A164,'Source 2025'!$A:$A,"Amount (NIS)")+SUMIFS('Source 2025'!$E:$E,'Source 2025'!$B:$B,$A164,'Source 2025'!$A:$A,"Amount (NIS)")+SUMIFS('Source 2025'!$G:$G,'Source 2025'!$B:$B,$A164,'Source 2025'!$A:$A,"Amount (NIS)")</f>
        <v>-307.2</v>
      </c>
      <c r="I164" s="9" t="n">
        <f aca="false">SUMIFS('Source 2026'!$F:$F,'Source 2026'!$B:$B,$A164,'Source 2026'!$A:$A,"Amount (NIS)")+SUMIFS('Source 2026'!$H:$H,'Source 2026'!$B:$B,$A164,'Source 2026'!$A:$A,"Amount (NIS)")+SUMIFS('Source 2026'!$M:$M,'Source 2026'!$B:$B,$A164,'Source 2026'!$A:$A,"Amount (NIS)")+SUMIFS('Source 2026'!$N:$N,'Source 2026'!$B:$B,$A164,'Source 2026'!$A:$A,"Amount (NIS)")+SUMIFS('Source 2026'!$S:$S,'Source 2026'!$B:$B,$A164,'Source 2026'!$A:$A,"Amount (NIS)")+SUMIFS('Source 2026'!$U:$U,'Source 2026'!$B:$B,$A164,'Source 2026'!$A:$A,"Amount (NIS)")+SUMIFS('Source 2026'!$D:$D,'Source 2026'!$B:$B,$A164,'Source 2026'!$A:$A,"Amount (NIS)")+SUMIFS('Source 2026'!$E:$E,'Source 2026'!$B:$B,$A164,'Source 2026'!$A:$A,"Amount (NIS)")+SUMIFS('Source 2026'!$G:$G,'Source 2026'!$B:$B,$A164,'Source 2026'!$A:$A,"Amount (NIS)")</f>
        <v>-990</v>
      </c>
      <c r="J164" s="9" t="n">
        <f aca="false">I164*$J$5</f>
        <v>-1250.52631578947</v>
      </c>
      <c r="K164" s="9" t="n">
        <f aca="false">J164-H164</f>
        <v>-943.326315789474</v>
      </c>
      <c r="L164" s="11" t="n">
        <f aca="false">IF(AND(H164=0,J164=0),0,IF(H164=0,"New",(J164-H164)/H164))</f>
        <v>3.07072368421053</v>
      </c>
    </row>
    <row r="165" customFormat="false" ht="15" hidden="false" customHeight="true" outlineLevel="0" collapsed="false">
      <c r="A165" s="8" t="s">
        <v>234</v>
      </c>
      <c r="B165" s="8" t="str">
        <f aca="false">IFERROR(INDEX('Source 2026'!$C:$C,MATCH($A165,'Source 2026'!$B:$B,0)),IFERROR(INDEX('Source 2025'!$C:$C,MATCH($A165,'Source 2025'!$B:$B,0)),""))</f>
        <v>S  חגורת גב פוג'יאמה</v>
      </c>
      <c r="C165" s="9" t="n">
        <f aca="false">SUMIFS('Source 2025'!$F:$F,'Source 2025'!$B:$B,$A165,'Source 2025'!$A:$A,"Quantity (units)")+SUMIFS('Source 2025'!$H:$H,'Source 2025'!$B:$B,$A165,'Source 2025'!$A:$A,"Quantity (units)")+SUMIFS('Source 2025'!$M:$M,'Source 2025'!$B:$B,$A165,'Source 2025'!$A:$A,"Quantity (units)")+SUMIFS('Source 2025'!$N:$N,'Source 2025'!$B:$B,$A165,'Source 2025'!$A:$A,"Quantity (units)")+SUMIFS('Source 2025'!$S:$S,'Source 2025'!$B:$B,$A165,'Source 2025'!$A:$A,"Quantity (units)")+SUMIFS('Source 2025'!$U:$U,'Source 2025'!$B:$B,$A165,'Source 2025'!$A:$A,"Quantity (units)")+SUMIFS('Source 2025'!$D:$D,'Source 2025'!$B:$B,$A165,'Source 2025'!$A:$A,"Quantity (units)")+SUMIFS('Source 2025'!$E:$E,'Source 2025'!$B:$B,$A165,'Source 2025'!$A:$A,"Quantity (units)")+SUMIFS('Source 2025'!$G:$G,'Source 2025'!$B:$B,$A165,'Source 2025'!$A:$A,"Quantity (units)")</f>
        <v>26</v>
      </c>
      <c r="D165" s="9" t="n">
        <f aca="false">SUMIFS('Source 2026'!$F:$F,'Source 2026'!$B:$B,$A165,'Source 2026'!$A:$A,"Quantity (units)")+SUMIFS('Source 2026'!$H:$H,'Source 2026'!$B:$B,$A165,'Source 2026'!$A:$A,"Quantity (units)")+SUMIFS('Source 2026'!$M:$M,'Source 2026'!$B:$B,$A165,'Source 2026'!$A:$A,"Quantity (units)")+SUMIFS('Source 2026'!$N:$N,'Source 2026'!$B:$B,$A165,'Source 2026'!$A:$A,"Quantity (units)")+SUMIFS('Source 2026'!$S:$S,'Source 2026'!$B:$B,$A165,'Source 2026'!$A:$A,"Quantity (units)")+SUMIFS('Source 2026'!$U:$U,'Source 2026'!$B:$B,$A165,'Source 2026'!$A:$A,"Quantity (units)")+SUMIFS('Source 2026'!$D:$D,'Source 2026'!$B:$B,$A165,'Source 2026'!$A:$A,"Quantity (units)")+SUMIFS('Source 2026'!$E:$E,'Source 2026'!$B:$B,$A165,'Source 2026'!$A:$A,"Quantity (units)")+SUMIFS('Source 2026'!$G:$G,'Source 2026'!$B:$B,$A165,'Source 2026'!$A:$A,"Quantity (units)")</f>
        <v>19</v>
      </c>
      <c r="E165" s="9" t="n">
        <f aca="false">D165*$J$5</f>
        <v>24</v>
      </c>
      <c r="F165" s="9" t="n">
        <f aca="false">E165-C165</f>
        <v>-2</v>
      </c>
      <c r="G165" s="11" t="n">
        <f aca="false">IF(AND(C165=0,E165=0),0,IF(C165=0,"New",(E165-C165)/C165))</f>
        <v>-0.0769230769230769</v>
      </c>
      <c r="H165" s="9" t="n">
        <f aca="false">SUMIFS('Source 2025'!$F:$F,'Source 2025'!$B:$B,$A165,'Source 2025'!$A:$A,"Amount (NIS)")+SUMIFS('Source 2025'!$H:$H,'Source 2025'!$B:$B,$A165,'Source 2025'!$A:$A,"Amount (NIS)")+SUMIFS('Source 2025'!$M:$M,'Source 2025'!$B:$B,$A165,'Source 2025'!$A:$A,"Amount (NIS)")+SUMIFS('Source 2025'!$N:$N,'Source 2025'!$B:$B,$A165,'Source 2025'!$A:$A,"Amount (NIS)")+SUMIFS('Source 2025'!$S:$S,'Source 2025'!$B:$B,$A165,'Source 2025'!$A:$A,"Amount (NIS)")+SUMIFS('Source 2025'!$U:$U,'Source 2025'!$B:$B,$A165,'Source 2025'!$A:$A,"Amount (NIS)")+SUMIFS('Source 2025'!$D:$D,'Source 2025'!$B:$B,$A165,'Source 2025'!$A:$A,"Amount (NIS)")+SUMIFS('Source 2025'!$E:$E,'Source 2025'!$B:$B,$A165,'Source 2025'!$A:$A,"Amount (NIS)")+SUMIFS('Source 2025'!$G:$G,'Source 2025'!$B:$B,$A165,'Source 2025'!$A:$A,"Amount (NIS)")</f>
        <v>2418.8</v>
      </c>
      <c r="I165" s="9" t="n">
        <f aca="false">SUMIFS('Source 2026'!$F:$F,'Source 2026'!$B:$B,$A165,'Source 2026'!$A:$A,"Amount (NIS)")+SUMIFS('Source 2026'!$H:$H,'Source 2026'!$B:$B,$A165,'Source 2026'!$A:$A,"Amount (NIS)")+SUMIFS('Source 2026'!$M:$M,'Source 2026'!$B:$B,$A165,'Source 2026'!$A:$A,"Amount (NIS)")+SUMIFS('Source 2026'!$N:$N,'Source 2026'!$B:$B,$A165,'Source 2026'!$A:$A,"Amount (NIS)")+SUMIFS('Source 2026'!$S:$S,'Source 2026'!$B:$B,$A165,'Source 2026'!$A:$A,"Amount (NIS)")+SUMIFS('Source 2026'!$U:$U,'Source 2026'!$B:$B,$A165,'Source 2026'!$A:$A,"Amount (NIS)")+SUMIFS('Source 2026'!$D:$D,'Source 2026'!$B:$B,$A165,'Source 2026'!$A:$A,"Amount (NIS)")+SUMIFS('Source 2026'!$E:$E,'Source 2026'!$B:$B,$A165,'Source 2026'!$A:$A,"Amount (NIS)")+SUMIFS('Source 2026'!$G:$G,'Source 2026'!$B:$B,$A165,'Source 2026'!$A:$A,"Amount (NIS)")</f>
        <v>1760.4</v>
      </c>
      <c r="J165" s="9" t="n">
        <f aca="false">I165*$J$5</f>
        <v>2223.66315789474</v>
      </c>
      <c r="K165" s="9" t="n">
        <f aca="false">J165-H165</f>
        <v>-195.136842105263</v>
      </c>
      <c r="L165" s="11" t="n">
        <f aca="false">IF(AND(H165=0,J165=0),0,IF(H165=0,"New",(J165-H165)/H165))</f>
        <v>-0.0806750628845971</v>
      </c>
    </row>
    <row r="166" customFormat="false" ht="15" hidden="false" customHeight="true" outlineLevel="0" collapsed="false">
      <c r="A166" s="8" t="s">
        <v>235</v>
      </c>
      <c r="B166" s="8" t="str">
        <f aca="false">IFERROR(INDEX('Source 2026'!$C:$C,MATCH($A166,'Source 2026'!$B:$B,0)),IFERROR(INDEX('Source 2025'!$C:$C,MATCH($A166,'Source 2025'!$B:$B,0)),""))</f>
        <v>344-אבן טבעית להסרת עור קשה</v>
      </c>
      <c r="C166" s="9" t="n">
        <f aca="false">SUMIFS('Source 2025'!$F:$F,'Source 2025'!$B:$B,$A166,'Source 2025'!$A:$A,"Quantity (units)")+SUMIFS('Source 2025'!$H:$H,'Source 2025'!$B:$B,$A166,'Source 2025'!$A:$A,"Quantity (units)")+SUMIFS('Source 2025'!$M:$M,'Source 2025'!$B:$B,$A166,'Source 2025'!$A:$A,"Quantity (units)")+SUMIFS('Source 2025'!$N:$N,'Source 2025'!$B:$B,$A166,'Source 2025'!$A:$A,"Quantity (units)")+SUMIFS('Source 2025'!$S:$S,'Source 2025'!$B:$B,$A166,'Source 2025'!$A:$A,"Quantity (units)")+SUMIFS('Source 2025'!$U:$U,'Source 2025'!$B:$B,$A166,'Source 2025'!$A:$A,"Quantity (units)")+SUMIFS('Source 2025'!$D:$D,'Source 2025'!$B:$B,$A166,'Source 2025'!$A:$A,"Quantity (units)")+SUMIFS('Source 2025'!$E:$E,'Source 2025'!$B:$B,$A166,'Source 2025'!$A:$A,"Quantity (units)")+SUMIFS('Source 2025'!$G:$G,'Source 2025'!$B:$B,$A166,'Source 2025'!$A:$A,"Quantity (units)")</f>
        <v>261</v>
      </c>
      <c r="D166" s="9" t="n">
        <f aca="false">SUMIFS('Source 2026'!$F:$F,'Source 2026'!$B:$B,$A166,'Source 2026'!$A:$A,"Quantity (units)")+SUMIFS('Source 2026'!$H:$H,'Source 2026'!$B:$B,$A166,'Source 2026'!$A:$A,"Quantity (units)")+SUMIFS('Source 2026'!$M:$M,'Source 2026'!$B:$B,$A166,'Source 2026'!$A:$A,"Quantity (units)")+SUMIFS('Source 2026'!$N:$N,'Source 2026'!$B:$B,$A166,'Source 2026'!$A:$A,"Quantity (units)")+SUMIFS('Source 2026'!$S:$S,'Source 2026'!$B:$B,$A166,'Source 2026'!$A:$A,"Quantity (units)")+SUMIFS('Source 2026'!$U:$U,'Source 2026'!$B:$B,$A166,'Source 2026'!$A:$A,"Quantity (units)")+SUMIFS('Source 2026'!$D:$D,'Source 2026'!$B:$B,$A166,'Source 2026'!$A:$A,"Quantity (units)")+SUMIFS('Source 2026'!$E:$E,'Source 2026'!$B:$B,$A166,'Source 2026'!$A:$A,"Quantity (units)")+SUMIFS('Source 2026'!$G:$G,'Source 2026'!$B:$B,$A166,'Source 2026'!$A:$A,"Quantity (units)")</f>
        <v>184</v>
      </c>
      <c r="E166" s="9" t="n">
        <f aca="false">D166*$J$5</f>
        <v>232.421052631579</v>
      </c>
      <c r="F166" s="9" t="n">
        <f aca="false">E166-C166</f>
        <v>-28.5789473684211</v>
      </c>
      <c r="G166" s="11" t="n">
        <f aca="false">IF(AND(C166=0,E166=0),0,IF(C166=0,"New",(E166-C166)/C166))</f>
        <v>-0.109497882637629</v>
      </c>
      <c r="H166" s="9" t="n">
        <f aca="false">SUMIFS('Source 2025'!$F:$F,'Source 2025'!$B:$B,$A166,'Source 2025'!$A:$A,"Amount (NIS)")+SUMIFS('Source 2025'!$H:$H,'Source 2025'!$B:$B,$A166,'Source 2025'!$A:$A,"Amount (NIS)")+SUMIFS('Source 2025'!$M:$M,'Source 2025'!$B:$B,$A166,'Source 2025'!$A:$A,"Amount (NIS)")+SUMIFS('Source 2025'!$N:$N,'Source 2025'!$B:$B,$A166,'Source 2025'!$A:$A,"Amount (NIS)")+SUMIFS('Source 2025'!$S:$S,'Source 2025'!$B:$B,$A166,'Source 2025'!$A:$A,"Amount (NIS)")+SUMIFS('Source 2025'!$U:$U,'Source 2025'!$B:$B,$A166,'Source 2025'!$A:$A,"Amount (NIS)")+SUMIFS('Source 2025'!$D:$D,'Source 2025'!$B:$B,$A166,'Source 2025'!$A:$A,"Amount (NIS)")+SUMIFS('Source 2025'!$E:$E,'Source 2025'!$B:$B,$A166,'Source 2025'!$A:$A,"Amount (NIS)")+SUMIFS('Source 2025'!$G:$G,'Source 2025'!$B:$B,$A166,'Source 2025'!$A:$A,"Amount (NIS)")</f>
        <v>2230.9</v>
      </c>
      <c r="I166" s="9" t="n">
        <f aca="false">SUMIFS('Source 2026'!$F:$F,'Source 2026'!$B:$B,$A166,'Source 2026'!$A:$A,"Amount (NIS)")+SUMIFS('Source 2026'!$H:$H,'Source 2026'!$B:$B,$A166,'Source 2026'!$A:$A,"Amount (NIS)")+SUMIFS('Source 2026'!$M:$M,'Source 2026'!$B:$B,$A166,'Source 2026'!$A:$A,"Amount (NIS)")+SUMIFS('Source 2026'!$N:$N,'Source 2026'!$B:$B,$A166,'Source 2026'!$A:$A,"Amount (NIS)")+SUMIFS('Source 2026'!$S:$S,'Source 2026'!$B:$B,$A166,'Source 2026'!$A:$A,"Amount (NIS)")+SUMIFS('Source 2026'!$U:$U,'Source 2026'!$B:$B,$A166,'Source 2026'!$A:$A,"Amount (NIS)")+SUMIFS('Source 2026'!$D:$D,'Source 2026'!$B:$B,$A166,'Source 2026'!$A:$A,"Amount (NIS)")+SUMIFS('Source 2026'!$E:$E,'Source 2026'!$B:$B,$A166,'Source 2026'!$A:$A,"Amount (NIS)")+SUMIFS('Source 2026'!$G:$G,'Source 2026'!$B:$B,$A166,'Source 2026'!$A:$A,"Amount (NIS)")</f>
        <v>1578.6</v>
      </c>
      <c r="J166" s="9" t="n">
        <f aca="false">I166*$J$5</f>
        <v>1994.02105263158</v>
      </c>
      <c r="K166" s="9" t="n">
        <f aca="false">J166-H166</f>
        <v>-236.878947368421</v>
      </c>
      <c r="L166" s="11" t="n">
        <f aca="false">IF(AND(H166=0,J166=0),0,IF(H166=0,"New",(J166-H166)/H166))</f>
        <v>-0.106180889940572</v>
      </c>
    </row>
    <row r="167" customFormat="false" ht="15" hidden="false" customHeight="true" outlineLevel="0" collapsed="false">
      <c r="A167" s="8" t="s">
        <v>236</v>
      </c>
      <c r="B167" s="8" t="str">
        <f aca="false">IFERROR(INDEX('Source 2026'!$C:$C,MATCH($A167,'Source 2026'!$B:$B,0)),IFERROR(INDEX('Source 2025'!$C:$C,MATCH($A167,'Source 2025'!$B:$B,0)),""))</f>
        <v>רפ.אורטופדית ספורט זוג35</v>
      </c>
      <c r="C167" s="9" t="n">
        <f aca="false">SUMIFS('Source 2025'!$F:$F,'Source 2025'!$B:$B,$A167,'Source 2025'!$A:$A,"Quantity (units)")+SUMIFS('Source 2025'!$H:$H,'Source 2025'!$B:$B,$A167,'Source 2025'!$A:$A,"Quantity (units)")+SUMIFS('Source 2025'!$M:$M,'Source 2025'!$B:$B,$A167,'Source 2025'!$A:$A,"Quantity (units)")+SUMIFS('Source 2025'!$N:$N,'Source 2025'!$B:$B,$A167,'Source 2025'!$A:$A,"Quantity (units)")+SUMIFS('Source 2025'!$S:$S,'Source 2025'!$B:$B,$A167,'Source 2025'!$A:$A,"Quantity (units)")+SUMIFS('Source 2025'!$U:$U,'Source 2025'!$B:$B,$A167,'Source 2025'!$A:$A,"Quantity (units)")+SUMIFS('Source 2025'!$D:$D,'Source 2025'!$B:$B,$A167,'Source 2025'!$A:$A,"Quantity (units)")+SUMIFS('Source 2025'!$E:$E,'Source 2025'!$B:$B,$A167,'Source 2025'!$A:$A,"Quantity (units)")+SUMIFS('Source 2025'!$G:$G,'Source 2025'!$B:$B,$A167,'Source 2025'!$A:$A,"Quantity (units)")</f>
        <v>16</v>
      </c>
      <c r="D167" s="9" t="n">
        <f aca="false">SUMIFS('Source 2026'!$F:$F,'Source 2026'!$B:$B,$A167,'Source 2026'!$A:$A,"Quantity (units)")+SUMIFS('Source 2026'!$H:$H,'Source 2026'!$B:$B,$A167,'Source 2026'!$A:$A,"Quantity (units)")+SUMIFS('Source 2026'!$M:$M,'Source 2026'!$B:$B,$A167,'Source 2026'!$A:$A,"Quantity (units)")+SUMIFS('Source 2026'!$N:$N,'Source 2026'!$B:$B,$A167,'Source 2026'!$A:$A,"Quantity (units)")+SUMIFS('Source 2026'!$S:$S,'Source 2026'!$B:$B,$A167,'Source 2026'!$A:$A,"Quantity (units)")+SUMIFS('Source 2026'!$U:$U,'Source 2026'!$B:$B,$A167,'Source 2026'!$A:$A,"Quantity (units)")+SUMIFS('Source 2026'!$D:$D,'Source 2026'!$B:$B,$A167,'Source 2026'!$A:$A,"Quantity (units)")+SUMIFS('Source 2026'!$E:$E,'Source 2026'!$B:$B,$A167,'Source 2026'!$A:$A,"Quantity (units)")+SUMIFS('Source 2026'!$G:$G,'Source 2026'!$B:$B,$A167,'Source 2026'!$A:$A,"Quantity (units)")</f>
        <v>-2</v>
      </c>
      <c r="E167" s="9" t="n">
        <f aca="false">D167*$J$5</f>
        <v>-2.52631578947368</v>
      </c>
      <c r="F167" s="9" t="n">
        <f aca="false">E167-C167</f>
        <v>-18.5263157894737</v>
      </c>
      <c r="G167" s="11" t="n">
        <f aca="false">IF(AND(C167=0,E167=0),0,IF(C167=0,"New",(E167-C167)/C167))</f>
        <v>-1.15789473684211</v>
      </c>
      <c r="H167" s="9" t="n">
        <f aca="false">SUMIFS('Source 2025'!$F:$F,'Source 2025'!$B:$B,$A167,'Source 2025'!$A:$A,"Amount (NIS)")+SUMIFS('Source 2025'!$H:$H,'Source 2025'!$B:$B,$A167,'Source 2025'!$A:$A,"Amount (NIS)")+SUMIFS('Source 2025'!$M:$M,'Source 2025'!$B:$B,$A167,'Source 2025'!$A:$A,"Amount (NIS)")+SUMIFS('Source 2025'!$N:$N,'Source 2025'!$B:$B,$A167,'Source 2025'!$A:$A,"Amount (NIS)")+SUMIFS('Source 2025'!$S:$S,'Source 2025'!$B:$B,$A167,'Source 2025'!$A:$A,"Amount (NIS)")+SUMIFS('Source 2025'!$U:$U,'Source 2025'!$B:$B,$A167,'Source 2025'!$A:$A,"Amount (NIS)")+SUMIFS('Source 2025'!$D:$D,'Source 2025'!$B:$B,$A167,'Source 2025'!$A:$A,"Amount (NIS)")+SUMIFS('Source 2025'!$E:$E,'Source 2025'!$B:$B,$A167,'Source 2025'!$A:$A,"Amount (NIS)")+SUMIFS('Source 2025'!$G:$G,'Source 2025'!$B:$B,$A167,'Source 2025'!$A:$A,"Amount (NIS)")</f>
        <v>580.6</v>
      </c>
      <c r="I167" s="9" t="n">
        <f aca="false">SUMIFS('Source 2026'!$F:$F,'Source 2026'!$B:$B,$A167,'Source 2026'!$A:$A,"Amount (NIS)")+SUMIFS('Source 2026'!$H:$H,'Source 2026'!$B:$B,$A167,'Source 2026'!$A:$A,"Amount (NIS)")+SUMIFS('Source 2026'!$M:$M,'Source 2026'!$B:$B,$A167,'Source 2026'!$A:$A,"Amount (NIS)")+SUMIFS('Source 2026'!$N:$N,'Source 2026'!$B:$B,$A167,'Source 2026'!$A:$A,"Amount (NIS)")+SUMIFS('Source 2026'!$S:$S,'Source 2026'!$B:$B,$A167,'Source 2026'!$A:$A,"Amount (NIS)")+SUMIFS('Source 2026'!$U:$U,'Source 2026'!$B:$B,$A167,'Source 2026'!$A:$A,"Amount (NIS)")+SUMIFS('Source 2026'!$D:$D,'Source 2026'!$B:$B,$A167,'Source 2026'!$A:$A,"Amount (NIS)")+SUMIFS('Source 2026'!$E:$E,'Source 2026'!$B:$B,$A167,'Source 2026'!$A:$A,"Amount (NIS)")+SUMIFS('Source 2026'!$G:$G,'Source 2026'!$B:$B,$A167,'Source 2026'!$A:$A,"Amount (NIS)")</f>
        <v>-69.3</v>
      </c>
      <c r="J167" s="9" t="n">
        <f aca="false">I167*$J$5</f>
        <v>-87.5368421052632</v>
      </c>
      <c r="K167" s="9" t="n">
        <f aca="false">J167-H167</f>
        <v>-668.136842105263</v>
      </c>
      <c r="L167" s="11" t="n">
        <f aca="false">IF(AND(H167=0,J167=0),0,IF(H167=0,"New",(J167-H167)/H167))</f>
        <v>-1.15076962126294</v>
      </c>
    </row>
    <row r="168" customFormat="false" ht="15" hidden="false" customHeight="true" outlineLevel="0" collapsed="false">
      <c r="A168" s="8" t="s">
        <v>237</v>
      </c>
      <c r="B168" s="8" t="str">
        <f aca="false">IFERROR(INDEX('Source 2026'!$C:$C,MATCH($A168,'Source 2026'!$B:$B,0)),IFERROR(INDEX('Source 2025'!$C:$C,MATCH($A168,'Source 2025'!$B:$B,0)),""))</f>
        <v>רפידת מגבת כותנה-זוג</v>
      </c>
      <c r="C168" s="9" t="n">
        <f aca="false">SUMIFS('Source 2025'!$F:$F,'Source 2025'!$B:$B,$A168,'Source 2025'!$A:$A,"Quantity (units)")+SUMIFS('Source 2025'!$H:$H,'Source 2025'!$B:$B,$A168,'Source 2025'!$A:$A,"Quantity (units)")+SUMIFS('Source 2025'!$M:$M,'Source 2025'!$B:$B,$A168,'Source 2025'!$A:$A,"Quantity (units)")+SUMIFS('Source 2025'!$N:$N,'Source 2025'!$B:$B,$A168,'Source 2025'!$A:$A,"Quantity (units)")+SUMIFS('Source 2025'!$S:$S,'Source 2025'!$B:$B,$A168,'Source 2025'!$A:$A,"Quantity (units)")+SUMIFS('Source 2025'!$U:$U,'Source 2025'!$B:$B,$A168,'Source 2025'!$A:$A,"Quantity (units)")+SUMIFS('Source 2025'!$D:$D,'Source 2025'!$B:$B,$A168,'Source 2025'!$A:$A,"Quantity (units)")+SUMIFS('Source 2025'!$E:$E,'Source 2025'!$B:$B,$A168,'Source 2025'!$A:$A,"Quantity (units)")+SUMIFS('Source 2025'!$G:$G,'Source 2025'!$B:$B,$A168,'Source 2025'!$A:$A,"Quantity (units)")</f>
        <v>148</v>
      </c>
      <c r="D168" s="9" t="n">
        <f aca="false">SUMIFS('Source 2026'!$F:$F,'Source 2026'!$B:$B,$A168,'Source 2026'!$A:$A,"Quantity (units)")+SUMIFS('Source 2026'!$H:$H,'Source 2026'!$B:$B,$A168,'Source 2026'!$A:$A,"Quantity (units)")+SUMIFS('Source 2026'!$M:$M,'Source 2026'!$B:$B,$A168,'Source 2026'!$A:$A,"Quantity (units)")+SUMIFS('Source 2026'!$N:$N,'Source 2026'!$B:$B,$A168,'Source 2026'!$A:$A,"Quantity (units)")+SUMIFS('Source 2026'!$S:$S,'Source 2026'!$B:$B,$A168,'Source 2026'!$A:$A,"Quantity (units)")+SUMIFS('Source 2026'!$U:$U,'Source 2026'!$B:$B,$A168,'Source 2026'!$A:$A,"Quantity (units)")+SUMIFS('Source 2026'!$D:$D,'Source 2026'!$B:$B,$A168,'Source 2026'!$A:$A,"Quantity (units)")+SUMIFS('Source 2026'!$E:$E,'Source 2026'!$B:$B,$A168,'Source 2026'!$A:$A,"Quantity (units)")+SUMIFS('Source 2026'!$G:$G,'Source 2026'!$B:$B,$A168,'Source 2026'!$A:$A,"Quantity (units)")</f>
        <v>89</v>
      </c>
      <c r="E168" s="9" t="n">
        <f aca="false">D168*$J$5</f>
        <v>112.421052631579</v>
      </c>
      <c r="F168" s="9" t="n">
        <f aca="false">E168-C168</f>
        <v>-35.5789473684211</v>
      </c>
      <c r="G168" s="11" t="n">
        <f aca="false">IF(AND(C168=0,E168=0),0,IF(C168=0,"New",(E168-C168)/C168))</f>
        <v>-0.240398293029872</v>
      </c>
      <c r="H168" s="9" t="n">
        <f aca="false">SUMIFS('Source 2025'!$F:$F,'Source 2025'!$B:$B,$A168,'Source 2025'!$A:$A,"Amount (NIS)")+SUMIFS('Source 2025'!$H:$H,'Source 2025'!$B:$B,$A168,'Source 2025'!$A:$A,"Amount (NIS)")+SUMIFS('Source 2025'!$M:$M,'Source 2025'!$B:$B,$A168,'Source 2025'!$A:$A,"Amount (NIS)")+SUMIFS('Source 2025'!$N:$N,'Source 2025'!$B:$B,$A168,'Source 2025'!$A:$A,"Amount (NIS)")+SUMIFS('Source 2025'!$S:$S,'Source 2025'!$B:$B,$A168,'Source 2025'!$A:$A,"Amount (NIS)")+SUMIFS('Source 2025'!$U:$U,'Source 2025'!$B:$B,$A168,'Source 2025'!$A:$A,"Amount (NIS)")+SUMIFS('Source 2025'!$D:$D,'Source 2025'!$B:$B,$A168,'Source 2025'!$A:$A,"Amount (NIS)")+SUMIFS('Source 2025'!$E:$E,'Source 2025'!$B:$B,$A168,'Source 2025'!$A:$A,"Amount (NIS)")+SUMIFS('Source 2025'!$G:$G,'Source 2025'!$B:$B,$A168,'Source 2025'!$A:$A,"Amount (NIS)")</f>
        <v>1619.1</v>
      </c>
      <c r="I168" s="9" t="n">
        <f aca="false">SUMIFS('Source 2026'!$F:$F,'Source 2026'!$B:$B,$A168,'Source 2026'!$A:$A,"Amount (NIS)")+SUMIFS('Source 2026'!$H:$H,'Source 2026'!$B:$B,$A168,'Source 2026'!$A:$A,"Amount (NIS)")+SUMIFS('Source 2026'!$M:$M,'Source 2026'!$B:$B,$A168,'Source 2026'!$A:$A,"Amount (NIS)")+SUMIFS('Source 2026'!$N:$N,'Source 2026'!$B:$B,$A168,'Source 2026'!$A:$A,"Amount (NIS)")+SUMIFS('Source 2026'!$S:$S,'Source 2026'!$B:$B,$A168,'Source 2026'!$A:$A,"Amount (NIS)")+SUMIFS('Source 2026'!$U:$U,'Source 2026'!$B:$B,$A168,'Source 2026'!$A:$A,"Amount (NIS)")+SUMIFS('Source 2026'!$D:$D,'Source 2026'!$B:$B,$A168,'Source 2026'!$A:$A,"Amount (NIS)")+SUMIFS('Source 2026'!$E:$E,'Source 2026'!$B:$B,$A168,'Source 2026'!$A:$A,"Amount (NIS)")+SUMIFS('Source 2026'!$G:$G,'Source 2026'!$B:$B,$A168,'Source 2026'!$A:$A,"Amount (NIS)")</f>
        <v>971.3</v>
      </c>
      <c r="J168" s="9" t="n">
        <f aca="false">I168*$J$5</f>
        <v>1226.90526315789</v>
      </c>
      <c r="K168" s="9" t="n">
        <f aca="false">J168-H168</f>
        <v>-392.194736842106</v>
      </c>
      <c r="L168" s="11" t="n">
        <f aca="false">IF(AND(H168=0,J168=0),0,IF(H168=0,"New",(J168-H168)/H168))</f>
        <v>-0.242230088840779</v>
      </c>
    </row>
    <row r="169" customFormat="false" ht="15" hidden="false" customHeight="true" outlineLevel="0" collapsed="false">
      <c r="A169" s="8" t="s">
        <v>238</v>
      </c>
      <c r="B169" s="8" t="str">
        <f aca="false">IFERROR(INDEX('Source 2026'!$C:$C,MATCH($A169,'Source 2026'!$B:$B,0)),IFERROR(INDEX('Source 2025'!$C:$C,MATCH($A169,'Source 2025'!$B:$B,0)),""))</f>
        <v>רצועה לפיקה</v>
      </c>
      <c r="C169" s="9" t="n">
        <f aca="false">SUMIFS('Source 2025'!$F:$F,'Source 2025'!$B:$B,$A169,'Source 2025'!$A:$A,"Quantity (units)")+SUMIFS('Source 2025'!$H:$H,'Source 2025'!$B:$B,$A169,'Source 2025'!$A:$A,"Quantity (units)")+SUMIFS('Source 2025'!$M:$M,'Source 2025'!$B:$B,$A169,'Source 2025'!$A:$A,"Quantity (units)")+SUMIFS('Source 2025'!$N:$N,'Source 2025'!$B:$B,$A169,'Source 2025'!$A:$A,"Quantity (units)")+SUMIFS('Source 2025'!$S:$S,'Source 2025'!$B:$B,$A169,'Source 2025'!$A:$A,"Quantity (units)")+SUMIFS('Source 2025'!$U:$U,'Source 2025'!$B:$B,$A169,'Source 2025'!$A:$A,"Quantity (units)")+SUMIFS('Source 2025'!$D:$D,'Source 2025'!$B:$B,$A169,'Source 2025'!$A:$A,"Quantity (units)")+SUMIFS('Source 2025'!$E:$E,'Source 2025'!$B:$B,$A169,'Source 2025'!$A:$A,"Quantity (units)")+SUMIFS('Source 2025'!$G:$G,'Source 2025'!$B:$B,$A169,'Source 2025'!$A:$A,"Quantity (units)")</f>
        <v>0</v>
      </c>
      <c r="D169" s="9" t="n">
        <f aca="false">SUMIFS('Source 2026'!$F:$F,'Source 2026'!$B:$B,$A169,'Source 2026'!$A:$A,"Quantity (units)")+SUMIFS('Source 2026'!$H:$H,'Source 2026'!$B:$B,$A169,'Source 2026'!$A:$A,"Quantity (units)")+SUMIFS('Source 2026'!$M:$M,'Source 2026'!$B:$B,$A169,'Source 2026'!$A:$A,"Quantity (units)")+SUMIFS('Source 2026'!$N:$N,'Source 2026'!$B:$B,$A169,'Source 2026'!$A:$A,"Quantity (units)")+SUMIFS('Source 2026'!$S:$S,'Source 2026'!$B:$B,$A169,'Source 2026'!$A:$A,"Quantity (units)")+SUMIFS('Source 2026'!$U:$U,'Source 2026'!$B:$B,$A169,'Source 2026'!$A:$A,"Quantity (units)")+SUMIFS('Source 2026'!$D:$D,'Source 2026'!$B:$B,$A169,'Source 2026'!$A:$A,"Quantity (units)")+SUMIFS('Source 2026'!$E:$E,'Source 2026'!$B:$B,$A169,'Source 2026'!$A:$A,"Quantity (units)")+SUMIFS('Source 2026'!$G:$G,'Source 2026'!$B:$B,$A169,'Source 2026'!$A:$A,"Quantity (units)")</f>
        <v>8</v>
      </c>
      <c r="E169" s="9" t="n">
        <f aca="false">D169*$J$5</f>
        <v>10.1052631578947</v>
      </c>
      <c r="F169" s="9" t="n">
        <f aca="false">E169-C169</f>
        <v>10.1052631578947</v>
      </c>
      <c r="G169" s="11" t="str">
        <f aca="false">IF(AND(C169=0,E169=0),0,IF(C169=0,"New",(E169-C169)/C169))</f>
        <v>New</v>
      </c>
      <c r="H169" s="9" t="n">
        <f aca="false">SUMIFS('Source 2025'!$F:$F,'Source 2025'!$B:$B,$A169,'Source 2025'!$A:$A,"Amount (NIS)")+SUMIFS('Source 2025'!$H:$H,'Source 2025'!$B:$B,$A169,'Source 2025'!$A:$A,"Amount (NIS)")+SUMIFS('Source 2025'!$M:$M,'Source 2025'!$B:$B,$A169,'Source 2025'!$A:$A,"Amount (NIS)")+SUMIFS('Source 2025'!$N:$N,'Source 2025'!$B:$B,$A169,'Source 2025'!$A:$A,"Amount (NIS)")+SUMIFS('Source 2025'!$S:$S,'Source 2025'!$B:$B,$A169,'Source 2025'!$A:$A,"Amount (NIS)")+SUMIFS('Source 2025'!$U:$U,'Source 2025'!$B:$B,$A169,'Source 2025'!$A:$A,"Amount (NIS)")+SUMIFS('Source 2025'!$D:$D,'Source 2025'!$B:$B,$A169,'Source 2025'!$A:$A,"Amount (NIS)")+SUMIFS('Source 2025'!$E:$E,'Source 2025'!$B:$B,$A169,'Source 2025'!$A:$A,"Amount (NIS)")+SUMIFS('Source 2025'!$G:$G,'Source 2025'!$B:$B,$A169,'Source 2025'!$A:$A,"Amount (NIS)")</f>
        <v>0</v>
      </c>
      <c r="I169" s="9" t="n">
        <f aca="false">SUMIFS('Source 2026'!$F:$F,'Source 2026'!$B:$B,$A169,'Source 2026'!$A:$A,"Amount (NIS)")+SUMIFS('Source 2026'!$H:$H,'Source 2026'!$B:$B,$A169,'Source 2026'!$A:$A,"Amount (NIS)")+SUMIFS('Source 2026'!$M:$M,'Source 2026'!$B:$B,$A169,'Source 2026'!$A:$A,"Amount (NIS)")+SUMIFS('Source 2026'!$N:$N,'Source 2026'!$B:$B,$A169,'Source 2026'!$A:$A,"Amount (NIS)")+SUMIFS('Source 2026'!$S:$S,'Source 2026'!$B:$B,$A169,'Source 2026'!$A:$A,"Amount (NIS)")+SUMIFS('Source 2026'!$U:$U,'Source 2026'!$B:$B,$A169,'Source 2026'!$A:$A,"Amount (NIS)")+SUMIFS('Source 2026'!$D:$D,'Source 2026'!$B:$B,$A169,'Source 2026'!$A:$A,"Amount (NIS)")+SUMIFS('Source 2026'!$E:$E,'Source 2026'!$B:$B,$A169,'Source 2026'!$A:$A,"Amount (NIS)")+SUMIFS('Source 2026'!$G:$G,'Source 2026'!$B:$B,$A169,'Source 2026'!$A:$A,"Amount (NIS)")</f>
        <v>646.3</v>
      </c>
      <c r="J169" s="9" t="n">
        <f aca="false">I169*$J$5</f>
        <v>816.378947368421</v>
      </c>
      <c r="K169" s="9" t="n">
        <f aca="false">J169-H169</f>
        <v>816.378947368421</v>
      </c>
      <c r="L169" s="11" t="str">
        <f aca="false">IF(AND(H169=0,J169=0),0,IF(H169=0,"New",(J169-H169)/H169))</f>
        <v>New</v>
      </c>
    </row>
    <row r="170" customFormat="false" ht="15" hidden="false" customHeight="true" outlineLevel="0" collapsed="false">
      <c r="A170" s="8" t="s">
        <v>239</v>
      </c>
      <c r="B170" s="8" t="str">
        <f aca="false">IFERROR(INDEX('Source 2026'!$C:$C,MATCH($A170,'Source 2026'!$B:$B,0)),IFERROR(INDEX('Source 2025'!$C:$C,MATCH($A170,'Source 2025'!$B:$B,0)),""))</f>
        <v>S מגן קרסול ימין</v>
      </c>
      <c r="C170" s="9" t="n">
        <f aca="false">SUMIFS('Source 2025'!$F:$F,'Source 2025'!$B:$B,$A170,'Source 2025'!$A:$A,"Quantity (units)")+SUMIFS('Source 2025'!$H:$H,'Source 2025'!$B:$B,$A170,'Source 2025'!$A:$A,"Quantity (units)")+SUMIFS('Source 2025'!$M:$M,'Source 2025'!$B:$B,$A170,'Source 2025'!$A:$A,"Quantity (units)")+SUMIFS('Source 2025'!$N:$N,'Source 2025'!$B:$B,$A170,'Source 2025'!$A:$A,"Quantity (units)")+SUMIFS('Source 2025'!$S:$S,'Source 2025'!$B:$B,$A170,'Source 2025'!$A:$A,"Quantity (units)")+SUMIFS('Source 2025'!$U:$U,'Source 2025'!$B:$B,$A170,'Source 2025'!$A:$A,"Quantity (units)")+SUMIFS('Source 2025'!$D:$D,'Source 2025'!$B:$B,$A170,'Source 2025'!$A:$A,"Quantity (units)")+SUMIFS('Source 2025'!$E:$E,'Source 2025'!$B:$B,$A170,'Source 2025'!$A:$A,"Quantity (units)")+SUMIFS('Source 2025'!$G:$G,'Source 2025'!$B:$B,$A170,'Source 2025'!$A:$A,"Quantity (units)")</f>
        <v>17</v>
      </c>
      <c r="D170" s="9" t="n">
        <f aca="false">SUMIFS('Source 2026'!$F:$F,'Source 2026'!$B:$B,$A170,'Source 2026'!$A:$A,"Quantity (units)")+SUMIFS('Source 2026'!$H:$H,'Source 2026'!$B:$B,$A170,'Source 2026'!$A:$A,"Quantity (units)")+SUMIFS('Source 2026'!$M:$M,'Source 2026'!$B:$B,$A170,'Source 2026'!$A:$A,"Quantity (units)")+SUMIFS('Source 2026'!$N:$N,'Source 2026'!$B:$B,$A170,'Source 2026'!$A:$A,"Quantity (units)")+SUMIFS('Source 2026'!$S:$S,'Source 2026'!$B:$B,$A170,'Source 2026'!$A:$A,"Quantity (units)")+SUMIFS('Source 2026'!$U:$U,'Source 2026'!$B:$B,$A170,'Source 2026'!$A:$A,"Quantity (units)")+SUMIFS('Source 2026'!$D:$D,'Source 2026'!$B:$B,$A170,'Source 2026'!$A:$A,"Quantity (units)")+SUMIFS('Source 2026'!$E:$E,'Source 2026'!$B:$B,$A170,'Source 2026'!$A:$A,"Quantity (units)")+SUMIFS('Source 2026'!$G:$G,'Source 2026'!$B:$B,$A170,'Source 2026'!$A:$A,"Quantity (units)")</f>
        <v>22</v>
      </c>
      <c r="E170" s="9" t="n">
        <f aca="false">D170*$J$5</f>
        <v>27.7894736842105</v>
      </c>
      <c r="F170" s="9" t="n">
        <f aca="false">E170-C170</f>
        <v>10.7894736842105</v>
      </c>
      <c r="G170" s="11" t="n">
        <f aca="false">IF(AND(C170=0,E170=0),0,IF(C170=0,"New",(E170-C170)/C170))</f>
        <v>0.634674922600619</v>
      </c>
      <c r="H170" s="9" t="n">
        <f aca="false">SUMIFS('Source 2025'!$F:$F,'Source 2025'!$B:$B,$A170,'Source 2025'!$A:$A,"Amount (NIS)")+SUMIFS('Source 2025'!$H:$H,'Source 2025'!$B:$B,$A170,'Source 2025'!$A:$A,"Amount (NIS)")+SUMIFS('Source 2025'!$M:$M,'Source 2025'!$B:$B,$A170,'Source 2025'!$A:$A,"Amount (NIS)")+SUMIFS('Source 2025'!$N:$N,'Source 2025'!$B:$B,$A170,'Source 2025'!$A:$A,"Amount (NIS)")+SUMIFS('Source 2025'!$S:$S,'Source 2025'!$B:$B,$A170,'Source 2025'!$A:$A,"Amount (NIS)")+SUMIFS('Source 2025'!$U:$U,'Source 2025'!$B:$B,$A170,'Source 2025'!$A:$A,"Amount (NIS)")+SUMIFS('Source 2025'!$D:$D,'Source 2025'!$B:$B,$A170,'Source 2025'!$A:$A,"Amount (NIS)")+SUMIFS('Source 2025'!$E:$E,'Source 2025'!$B:$B,$A170,'Source 2025'!$A:$A,"Amount (NIS)")+SUMIFS('Source 2025'!$G:$G,'Source 2025'!$B:$B,$A170,'Source 2025'!$A:$A,"Amount (NIS)")</f>
        <v>1343.2</v>
      </c>
      <c r="I170" s="9" t="n">
        <f aca="false">SUMIFS('Source 2026'!$F:$F,'Source 2026'!$B:$B,$A170,'Source 2026'!$A:$A,"Amount (NIS)")+SUMIFS('Source 2026'!$H:$H,'Source 2026'!$B:$B,$A170,'Source 2026'!$A:$A,"Amount (NIS)")+SUMIFS('Source 2026'!$M:$M,'Source 2026'!$B:$B,$A170,'Source 2026'!$A:$A,"Amount (NIS)")+SUMIFS('Source 2026'!$N:$N,'Source 2026'!$B:$B,$A170,'Source 2026'!$A:$A,"Amount (NIS)")+SUMIFS('Source 2026'!$S:$S,'Source 2026'!$B:$B,$A170,'Source 2026'!$A:$A,"Amount (NIS)")+SUMIFS('Source 2026'!$U:$U,'Source 2026'!$B:$B,$A170,'Source 2026'!$A:$A,"Amount (NIS)")+SUMIFS('Source 2026'!$D:$D,'Source 2026'!$B:$B,$A170,'Source 2026'!$A:$A,"Amount (NIS)")+SUMIFS('Source 2026'!$E:$E,'Source 2026'!$B:$B,$A170,'Source 2026'!$A:$A,"Amount (NIS)")+SUMIFS('Source 2026'!$G:$G,'Source 2026'!$B:$B,$A170,'Source 2026'!$A:$A,"Amount (NIS)")</f>
        <v>1985.8</v>
      </c>
      <c r="J170" s="9" t="n">
        <f aca="false">I170*$J$5</f>
        <v>2508.37894736842</v>
      </c>
      <c r="K170" s="9" t="n">
        <f aca="false">J170-H170</f>
        <v>1165.17894736842</v>
      </c>
      <c r="L170" s="11" t="n">
        <f aca="false">IF(AND(H170=0,J170=0),0,IF(H170=0,"New",(J170-H170)/H170))</f>
        <v>0.867464969750165</v>
      </c>
    </row>
    <row r="171" customFormat="false" ht="15" hidden="false" customHeight="true" outlineLevel="0" collapsed="false">
      <c r="A171" s="8" t="s">
        <v>240</v>
      </c>
      <c r="B171" s="8" t="str">
        <f aca="false">IFERROR(INDEX('Source 2026'!$C:$C,MATCH($A171,'Source 2026'!$B:$B,0)),IFERROR(INDEX('Source 2025'!$C:$C,MATCH($A171,'Source 2025'!$B:$B,0)),""))</f>
        <v>מגן קרסול+כרית סילקון</v>
      </c>
      <c r="C171" s="9" t="n">
        <f aca="false">SUMIFS('Source 2025'!$F:$F,'Source 2025'!$B:$B,$A171,'Source 2025'!$A:$A,"Quantity (units)")+SUMIFS('Source 2025'!$H:$H,'Source 2025'!$B:$B,$A171,'Source 2025'!$A:$A,"Quantity (units)")+SUMIFS('Source 2025'!$M:$M,'Source 2025'!$B:$B,$A171,'Source 2025'!$A:$A,"Quantity (units)")+SUMIFS('Source 2025'!$N:$N,'Source 2025'!$B:$B,$A171,'Source 2025'!$A:$A,"Quantity (units)")+SUMIFS('Source 2025'!$S:$S,'Source 2025'!$B:$B,$A171,'Source 2025'!$A:$A,"Quantity (units)")+SUMIFS('Source 2025'!$U:$U,'Source 2025'!$B:$B,$A171,'Source 2025'!$A:$A,"Quantity (units)")+SUMIFS('Source 2025'!$D:$D,'Source 2025'!$B:$B,$A171,'Source 2025'!$A:$A,"Quantity (units)")+SUMIFS('Source 2025'!$E:$E,'Source 2025'!$B:$B,$A171,'Source 2025'!$A:$A,"Quantity (units)")+SUMIFS('Source 2025'!$G:$G,'Source 2025'!$B:$B,$A171,'Source 2025'!$A:$A,"Quantity (units)")</f>
        <v>0</v>
      </c>
      <c r="D171" s="9" t="n">
        <f aca="false">SUMIFS('Source 2026'!$F:$F,'Source 2026'!$B:$B,$A171,'Source 2026'!$A:$A,"Quantity (units)")+SUMIFS('Source 2026'!$H:$H,'Source 2026'!$B:$B,$A171,'Source 2026'!$A:$A,"Quantity (units)")+SUMIFS('Source 2026'!$M:$M,'Source 2026'!$B:$B,$A171,'Source 2026'!$A:$A,"Quantity (units)")+SUMIFS('Source 2026'!$N:$N,'Source 2026'!$B:$B,$A171,'Source 2026'!$A:$A,"Quantity (units)")+SUMIFS('Source 2026'!$S:$S,'Source 2026'!$B:$B,$A171,'Source 2026'!$A:$A,"Quantity (units)")+SUMIFS('Source 2026'!$U:$U,'Source 2026'!$B:$B,$A171,'Source 2026'!$A:$A,"Quantity (units)")+SUMIFS('Source 2026'!$D:$D,'Source 2026'!$B:$B,$A171,'Source 2026'!$A:$A,"Quantity (units)")+SUMIFS('Source 2026'!$E:$E,'Source 2026'!$B:$B,$A171,'Source 2026'!$A:$A,"Quantity (units)")+SUMIFS('Source 2026'!$G:$G,'Source 2026'!$B:$B,$A171,'Source 2026'!$A:$A,"Quantity (units)")</f>
        <v>5</v>
      </c>
      <c r="E171" s="9" t="n">
        <f aca="false">D171*$J$5</f>
        <v>6.31578947368421</v>
      </c>
      <c r="F171" s="9" t="n">
        <f aca="false">E171-C171</f>
        <v>6.31578947368421</v>
      </c>
      <c r="G171" s="11" t="str">
        <f aca="false">IF(AND(C171=0,E171=0),0,IF(C171=0,"New",(E171-C171)/C171))</f>
        <v>New</v>
      </c>
      <c r="H171" s="9" t="n">
        <f aca="false">SUMIFS('Source 2025'!$F:$F,'Source 2025'!$B:$B,$A171,'Source 2025'!$A:$A,"Amount (NIS)")+SUMIFS('Source 2025'!$H:$H,'Source 2025'!$B:$B,$A171,'Source 2025'!$A:$A,"Amount (NIS)")+SUMIFS('Source 2025'!$M:$M,'Source 2025'!$B:$B,$A171,'Source 2025'!$A:$A,"Amount (NIS)")+SUMIFS('Source 2025'!$N:$N,'Source 2025'!$B:$B,$A171,'Source 2025'!$A:$A,"Amount (NIS)")+SUMIFS('Source 2025'!$S:$S,'Source 2025'!$B:$B,$A171,'Source 2025'!$A:$A,"Amount (NIS)")+SUMIFS('Source 2025'!$U:$U,'Source 2025'!$B:$B,$A171,'Source 2025'!$A:$A,"Amount (NIS)")+SUMIFS('Source 2025'!$D:$D,'Source 2025'!$B:$B,$A171,'Source 2025'!$A:$A,"Amount (NIS)")+SUMIFS('Source 2025'!$E:$E,'Source 2025'!$B:$B,$A171,'Source 2025'!$A:$A,"Amount (NIS)")+SUMIFS('Source 2025'!$G:$G,'Source 2025'!$B:$B,$A171,'Source 2025'!$A:$A,"Amount (NIS)")</f>
        <v>0</v>
      </c>
      <c r="I171" s="9" t="n">
        <f aca="false">SUMIFS('Source 2026'!$F:$F,'Source 2026'!$B:$B,$A171,'Source 2026'!$A:$A,"Amount (NIS)")+SUMIFS('Source 2026'!$H:$H,'Source 2026'!$B:$B,$A171,'Source 2026'!$A:$A,"Amount (NIS)")+SUMIFS('Source 2026'!$M:$M,'Source 2026'!$B:$B,$A171,'Source 2026'!$A:$A,"Amount (NIS)")+SUMIFS('Source 2026'!$N:$N,'Source 2026'!$B:$B,$A171,'Source 2026'!$A:$A,"Amount (NIS)")+SUMIFS('Source 2026'!$S:$S,'Source 2026'!$B:$B,$A171,'Source 2026'!$A:$A,"Amount (NIS)")+SUMIFS('Source 2026'!$U:$U,'Source 2026'!$B:$B,$A171,'Source 2026'!$A:$A,"Amount (NIS)")+SUMIFS('Source 2026'!$D:$D,'Source 2026'!$B:$B,$A171,'Source 2026'!$A:$A,"Amount (NIS)")+SUMIFS('Source 2026'!$E:$E,'Source 2026'!$B:$B,$A171,'Source 2026'!$A:$A,"Amount (NIS)")+SUMIFS('Source 2026'!$G:$G,'Source 2026'!$B:$B,$A171,'Source 2026'!$A:$A,"Amount (NIS)")</f>
        <v>639.6</v>
      </c>
      <c r="J171" s="9" t="n">
        <f aca="false">I171*$J$5</f>
        <v>807.915789473684</v>
      </c>
      <c r="K171" s="9" t="n">
        <f aca="false">J171-H171</f>
        <v>807.915789473684</v>
      </c>
      <c r="L171" s="11" t="str">
        <f aca="false">IF(AND(H171=0,J171=0),0,IF(H171=0,"New",(J171-H171)/H171))</f>
        <v>New</v>
      </c>
    </row>
    <row r="172" customFormat="false" ht="15" hidden="false" customHeight="true" outlineLevel="0" collapsed="false">
      <c r="A172" s="8" t="s">
        <v>241</v>
      </c>
      <c r="B172" s="8" t="str">
        <f aca="false">IFERROR(INDEX('Source 2026'!$C:$C,MATCH($A172,'Source 2026'!$B:$B,0)),IFERROR(INDEX('Source 2025'!$C:$C,MATCH($A172,'Source 2025'!$B:$B,0)),""))</f>
        <v>קרם רגליים שיקומי</v>
      </c>
      <c r="C172" s="9" t="n">
        <f aca="false">SUMIFS('Source 2025'!$F:$F,'Source 2025'!$B:$B,$A172,'Source 2025'!$A:$A,"Quantity (units)")+SUMIFS('Source 2025'!$H:$H,'Source 2025'!$B:$B,$A172,'Source 2025'!$A:$A,"Quantity (units)")+SUMIFS('Source 2025'!$M:$M,'Source 2025'!$B:$B,$A172,'Source 2025'!$A:$A,"Quantity (units)")+SUMIFS('Source 2025'!$N:$N,'Source 2025'!$B:$B,$A172,'Source 2025'!$A:$A,"Quantity (units)")+SUMIFS('Source 2025'!$S:$S,'Source 2025'!$B:$B,$A172,'Source 2025'!$A:$A,"Quantity (units)")+SUMIFS('Source 2025'!$U:$U,'Source 2025'!$B:$B,$A172,'Source 2025'!$A:$A,"Quantity (units)")+SUMIFS('Source 2025'!$D:$D,'Source 2025'!$B:$B,$A172,'Source 2025'!$A:$A,"Quantity (units)")+SUMIFS('Source 2025'!$E:$E,'Source 2025'!$B:$B,$A172,'Source 2025'!$A:$A,"Quantity (units)")+SUMIFS('Source 2025'!$G:$G,'Source 2025'!$B:$B,$A172,'Source 2025'!$A:$A,"Quantity (units)")</f>
        <v>-17</v>
      </c>
      <c r="D172" s="9" t="n">
        <f aca="false">SUMIFS('Source 2026'!$F:$F,'Source 2026'!$B:$B,$A172,'Source 2026'!$A:$A,"Quantity (units)")+SUMIFS('Source 2026'!$H:$H,'Source 2026'!$B:$B,$A172,'Source 2026'!$A:$A,"Quantity (units)")+SUMIFS('Source 2026'!$M:$M,'Source 2026'!$B:$B,$A172,'Source 2026'!$A:$A,"Quantity (units)")+SUMIFS('Source 2026'!$N:$N,'Source 2026'!$B:$B,$A172,'Source 2026'!$A:$A,"Quantity (units)")+SUMIFS('Source 2026'!$S:$S,'Source 2026'!$B:$B,$A172,'Source 2026'!$A:$A,"Quantity (units)")+SUMIFS('Source 2026'!$U:$U,'Source 2026'!$B:$B,$A172,'Source 2026'!$A:$A,"Quantity (units)")+SUMIFS('Source 2026'!$D:$D,'Source 2026'!$B:$B,$A172,'Source 2026'!$A:$A,"Quantity (units)")+SUMIFS('Source 2026'!$E:$E,'Source 2026'!$B:$B,$A172,'Source 2026'!$A:$A,"Quantity (units)")+SUMIFS('Source 2026'!$G:$G,'Source 2026'!$B:$B,$A172,'Source 2026'!$A:$A,"Quantity (units)")</f>
        <v>-4</v>
      </c>
      <c r="E172" s="9" t="n">
        <f aca="false">D172*$J$5</f>
        <v>-5.05263157894737</v>
      </c>
      <c r="F172" s="9" t="n">
        <f aca="false">E172-C172</f>
        <v>11.9473684210526</v>
      </c>
      <c r="G172" s="11" t="n">
        <f aca="false">IF(AND(C172=0,E172=0),0,IF(C172=0,"New",(E172-C172)/C172))</f>
        <v>-0.702786377708978</v>
      </c>
      <c r="H172" s="9" t="n">
        <f aca="false">SUMIFS('Source 2025'!$F:$F,'Source 2025'!$B:$B,$A172,'Source 2025'!$A:$A,"Amount (NIS)")+SUMIFS('Source 2025'!$H:$H,'Source 2025'!$B:$B,$A172,'Source 2025'!$A:$A,"Amount (NIS)")+SUMIFS('Source 2025'!$M:$M,'Source 2025'!$B:$B,$A172,'Source 2025'!$A:$A,"Amount (NIS)")+SUMIFS('Source 2025'!$N:$N,'Source 2025'!$B:$B,$A172,'Source 2025'!$A:$A,"Amount (NIS)")+SUMIFS('Source 2025'!$S:$S,'Source 2025'!$B:$B,$A172,'Source 2025'!$A:$A,"Amount (NIS)")+SUMIFS('Source 2025'!$U:$U,'Source 2025'!$B:$B,$A172,'Source 2025'!$A:$A,"Amount (NIS)")+SUMIFS('Source 2025'!$D:$D,'Source 2025'!$B:$B,$A172,'Source 2025'!$A:$A,"Amount (NIS)")+SUMIFS('Source 2025'!$E:$E,'Source 2025'!$B:$B,$A172,'Source 2025'!$A:$A,"Amount (NIS)")+SUMIFS('Source 2025'!$G:$G,'Source 2025'!$B:$B,$A172,'Source 2025'!$A:$A,"Amount (NIS)")</f>
        <v>-768.2</v>
      </c>
      <c r="I172" s="9" t="n">
        <f aca="false">SUMIFS('Source 2026'!$F:$F,'Source 2026'!$B:$B,$A172,'Source 2026'!$A:$A,"Amount (NIS)")+SUMIFS('Source 2026'!$H:$H,'Source 2026'!$B:$B,$A172,'Source 2026'!$A:$A,"Amount (NIS)")+SUMIFS('Source 2026'!$M:$M,'Source 2026'!$B:$B,$A172,'Source 2026'!$A:$A,"Amount (NIS)")+SUMIFS('Source 2026'!$N:$N,'Source 2026'!$B:$B,$A172,'Source 2026'!$A:$A,"Amount (NIS)")+SUMIFS('Source 2026'!$S:$S,'Source 2026'!$B:$B,$A172,'Source 2026'!$A:$A,"Amount (NIS)")+SUMIFS('Source 2026'!$U:$U,'Source 2026'!$B:$B,$A172,'Source 2026'!$A:$A,"Amount (NIS)")+SUMIFS('Source 2026'!$D:$D,'Source 2026'!$B:$B,$A172,'Source 2026'!$A:$A,"Amount (NIS)")+SUMIFS('Source 2026'!$E:$E,'Source 2026'!$B:$B,$A172,'Source 2026'!$A:$A,"Amount (NIS)")+SUMIFS('Source 2026'!$G:$G,'Source 2026'!$B:$B,$A172,'Source 2026'!$A:$A,"Amount (NIS)")</f>
        <v>-132.5</v>
      </c>
      <c r="J172" s="9" t="n">
        <f aca="false">I172*$J$5</f>
        <v>-167.368421052632</v>
      </c>
      <c r="K172" s="9" t="n">
        <f aca="false">J172-H172</f>
        <v>600.831578947369</v>
      </c>
      <c r="L172" s="11" t="n">
        <f aca="false">IF(AND(H172=0,J172=0),0,IF(H172=0,"New",(J172-H172)/H172))</f>
        <v>-0.782129105633127</v>
      </c>
    </row>
    <row r="173" customFormat="false" ht="15" hidden="false" customHeight="true" outlineLevel="0" collapsed="false">
      <c r="A173" s="8" t="s">
        <v>242</v>
      </c>
      <c r="B173" s="8" t="str">
        <f aca="false">IFERROR(INDEX('Source 2026'!$C:$C,MATCH($A173,'Source 2026'!$B:$B,0)),IFERROR(INDEX('Source 2025'!$C:$C,MATCH($A173,'Source 2025'!$B:$B,0)),""))</f>
        <v>S ""חגורת גב ""לומבו</v>
      </c>
      <c r="C173" s="9" t="n">
        <f aca="false">SUMIFS('Source 2025'!$F:$F,'Source 2025'!$B:$B,$A173,'Source 2025'!$A:$A,"Quantity (units)")+SUMIFS('Source 2025'!$H:$H,'Source 2025'!$B:$B,$A173,'Source 2025'!$A:$A,"Quantity (units)")+SUMIFS('Source 2025'!$M:$M,'Source 2025'!$B:$B,$A173,'Source 2025'!$A:$A,"Quantity (units)")+SUMIFS('Source 2025'!$N:$N,'Source 2025'!$B:$B,$A173,'Source 2025'!$A:$A,"Quantity (units)")+SUMIFS('Source 2025'!$S:$S,'Source 2025'!$B:$B,$A173,'Source 2025'!$A:$A,"Quantity (units)")+SUMIFS('Source 2025'!$U:$U,'Source 2025'!$B:$B,$A173,'Source 2025'!$A:$A,"Quantity (units)")+SUMIFS('Source 2025'!$D:$D,'Source 2025'!$B:$B,$A173,'Source 2025'!$A:$A,"Quantity (units)")+SUMIFS('Source 2025'!$E:$E,'Source 2025'!$B:$B,$A173,'Source 2025'!$A:$A,"Quantity (units)")+SUMIFS('Source 2025'!$G:$G,'Source 2025'!$B:$B,$A173,'Source 2025'!$A:$A,"Quantity (units)")</f>
        <v>44</v>
      </c>
      <c r="D173" s="9" t="n">
        <f aca="false">SUMIFS('Source 2026'!$F:$F,'Source 2026'!$B:$B,$A173,'Source 2026'!$A:$A,"Quantity (units)")+SUMIFS('Source 2026'!$H:$H,'Source 2026'!$B:$B,$A173,'Source 2026'!$A:$A,"Quantity (units)")+SUMIFS('Source 2026'!$M:$M,'Source 2026'!$B:$B,$A173,'Source 2026'!$A:$A,"Quantity (units)")+SUMIFS('Source 2026'!$N:$N,'Source 2026'!$B:$B,$A173,'Source 2026'!$A:$A,"Quantity (units)")+SUMIFS('Source 2026'!$S:$S,'Source 2026'!$B:$B,$A173,'Source 2026'!$A:$A,"Quantity (units)")+SUMIFS('Source 2026'!$U:$U,'Source 2026'!$B:$B,$A173,'Source 2026'!$A:$A,"Quantity (units)")+SUMIFS('Source 2026'!$D:$D,'Source 2026'!$B:$B,$A173,'Source 2026'!$A:$A,"Quantity (units)")+SUMIFS('Source 2026'!$E:$E,'Source 2026'!$B:$B,$A173,'Source 2026'!$A:$A,"Quantity (units)")+SUMIFS('Source 2026'!$G:$G,'Source 2026'!$B:$B,$A173,'Source 2026'!$A:$A,"Quantity (units)")</f>
        <v>39</v>
      </c>
      <c r="E173" s="9" t="n">
        <f aca="false">D173*$J$5</f>
        <v>49.2631578947368</v>
      </c>
      <c r="F173" s="9" t="n">
        <f aca="false">E173-C173</f>
        <v>5.26315789473684</v>
      </c>
      <c r="G173" s="11" t="n">
        <f aca="false">IF(AND(C173=0,E173=0),0,IF(C173=0,"New",(E173-C173)/C173))</f>
        <v>0.119617224880383</v>
      </c>
      <c r="H173" s="9" t="n">
        <f aca="false">SUMIFS('Source 2025'!$F:$F,'Source 2025'!$B:$B,$A173,'Source 2025'!$A:$A,"Amount (NIS)")+SUMIFS('Source 2025'!$H:$H,'Source 2025'!$B:$B,$A173,'Source 2025'!$A:$A,"Amount (NIS)")+SUMIFS('Source 2025'!$M:$M,'Source 2025'!$B:$B,$A173,'Source 2025'!$A:$A,"Amount (NIS)")+SUMIFS('Source 2025'!$N:$N,'Source 2025'!$B:$B,$A173,'Source 2025'!$A:$A,"Amount (NIS)")+SUMIFS('Source 2025'!$S:$S,'Source 2025'!$B:$B,$A173,'Source 2025'!$A:$A,"Amount (NIS)")+SUMIFS('Source 2025'!$U:$U,'Source 2025'!$B:$B,$A173,'Source 2025'!$A:$A,"Amount (NIS)")+SUMIFS('Source 2025'!$D:$D,'Source 2025'!$B:$B,$A173,'Source 2025'!$A:$A,"Amount (NIS)")+SUMIFS('Source 2025'!$E:$E,'Source 2025'!$B:$B,$A173,'Source 2025'!$A:$A,"Amount (NIS)")+SUMIFS('Source 2025'!$G:$G,'Source 2025'!$B:$B,$A173,'Source 2025'!$A:$A,"Amount (NIS)")</f>
        <v>6380.7</v>
      </c>
      <c r="I173" s="9" t="n">
        <f aca="false">SUMIFS('Source 2026'!$F:$F,'Source 2026'!$B:$B,$A173,'Source 2026'!$A:$A,"Amount (NIS)")+SUMIFS('Source 2026'!$H:$H,'Source 2026'!$B:$B,$A173,'Source 2026'!$A:$A,"Amount (NIS)")+SUMIFS('Source 2026'!$M:$M,'Source 2026'!$B:$B,$A173,'Source 2026'!$A:$A,"Amount (NIS)")+SUMIFS('Source 2026'!$N:$N,'Source 2026'!$B:$B,$A173,'Source 2026'!$A:$A,"Amount (NIS)")+SUMIFS('Source 2026'!$S:$S,'Source 2026'!$B:$B,$A173,'Source 2026'!$A:$A,"Amount (NIS)")+SUMIFS('Source 2026'!$U:$U,'Source 2026'!$B:$B,$A173,'Source 2026'!$A:$A,"Amount (NIS)")+SUMIFS('Source 2026'!$D:$D,'Source 2026'!$B:$B,$A173,'Source 2026'!$A:$A,"Amount (NIS)")+SUMIFS('Source 2026'!$E:$E,'Source 2026'!$B:$B,$A173,'Source 2026'!$A:$A,"Amount (NIS)")+SUMIFS('Source 2026'!$G:$G,'Source 2026'!$B:$B,$A173,'Source 2026'!$A:$A,"Amount (NIS)")</f>
        <v>5746.6</v>
      </c>
      <c r="J173" s="9" t="n">
        <f aca="false">I173*$J$5</f>
        <v>7258.86315789474</v>
      </c>
      <c r="K173" s="9" t="n">
        <f aca="false">J173-H173</f>
        <v>878.163157894736</v>
      </c>
      <c r="L173" s="11" t="n">
        <f aca="false">IF(AND(H173=0,J173=0),0,IF(H173=0,"New",(J173-H173)/H173))</f>
        <v>0.137628027942818</v>
      </c>
    </row>
    <row r="174" customFormat="false" ht="15" hidden="false" customHeight="true" outlineLevel="0" collapsed="false">
      <c r="A174" s="8" t="s">
        <v>243</v>
      </c>
      <c r="B174" s="8" t="str">
        <f aca="false">IFERROR(INDEX('Source 2026'!$C:$C,MATCH($A174,'Source 2026'!$B:$B,0)),IFERROR(INDEX('Source 2025'!$C:$C,MATCH($A174,'Source 2025'!$B:$B,0)),""))</f>
        <v>כפפות אגודל לחץ</v>
      </c>
      <c r="C174" s="9" t="n">
        <f aca="false">SUMIFS('Source 2025'!$F:$F,'Source 2025'!$B:$B,$A174,'Source 2025'!$A:$A,"Quantity (units)")+SUMIFS('Source 2025'!$H:$H,'Source 2025'!$B:$B,$A174,'Source 2025'!$A:$A,"Quantity (units)")+SUMIFS('Source 2025'!$M:$M,'Source 2025'!$B:$B,$A174,'Source 2025'!$A:$A,"Quantity (units)")+SUMIFS('Source 2025'!$N:$N,'Source 2025'!$B:$B,$A174,'Source 2025'!$A:$A,"Quantity (units)")+SUMIFS('Source 2025'!$S:$S,'Source 2025'!$B:$B,$A174,'Source 2025'!$A:$A,"Quantity (units)")+SUMIFS('Source 2025'!$U:$U,'Source 2025'!$B:$B,$A174,'Source 2025'!$A:$A,"Quantity (units)")+SUMIFS('Source 2025'!$D:$D,'Source 2025'!$B:$B,$A174,'Source 2025'!$A:$A,"Quantity (units)")+SUMIFS('Source 2025'!$E:$E,'Source 2025'!$B:$B,$A174,'Source 2025'!$A:$A,"Quantity (units)")+SUMIFS('Source 2025'!$G:$G,'Source 2025'!$B:$B,$A174,'Source 2025'!$A:$A,"Quantity (units)")</f>
        <v>44</v>
      </c>
      <c r="D174" s="9" t="n">
        <f aca="false">SUMIFS('Source 2026'!$F:$F,'Source 2026'!$B:$B,$A174,'Source 2026'!$A:$A,"Quantity (units)")+SUMIFS('Source 2026'!$H:$H,'Source 2026'!$B:$B,$A174,'Source 2026'!$A:$A,"Quantity (units)")+SUMIFS('Source 2026'!$M:$M,'Source 2026'!$B:$B,$A174,'Source 2026'!$A:$A,"Quantity (units)")+SUMIFS('Source 2026'!$N:$N,'Source 2026'!$B:$B,$A174,'Source 2026'!$A:$A,"Quantity (units)")+SUMIFS('Source 2026'!$S:$S,'Source 2026'!$B:$B,$A174,'Source 2026'!$A:$A,"Quantity (units)")+SUMIFS('Source 2026'!$U:$U,'Source 2026'!$B:$B,$A174,'Source 2026'!$A:$A,"Quantity (units)")+SUMIFS('Source 2026'!$D:$D,'Source 2026'!$B:$B,$A174,'Source 2026'!$A:$A,"Quantity (units)")+SUMIFS('Source 2026'!$E:$E,'Source 2026'!$B:$B,$A174,'Source 2026'!$A:$A,"Quantity (units)")+SUMIFS('Source 2026'!$G:$G,'Source 2026'!$B:$B,$A174,'Source 2026'!$A:$A,"Quantity (units)")</f>
        <v>27</v>
      </c>
      <c r="E174" s="9" t="n">
        <f aca="false">D174*$J$5</f>
        <v>34.1052631578947</v>
      </c>
      <c r="F174" s="9" t="n">
        <f aca="false">E174-C174</f>
        <v>-9.89473684210527</v>
      </c>
      <c r="G174" s="11" t="n">
        <f aca="false">IF(AND(C174=0,E174=0),0,IF(C174=0,"New",(E174-C174)/C174))</f>
        <v>-0.22488038277512</v>
      </c>
      <c r="H174" s="9" t="n">
        <f aca="false">SUMIFS('Source 2025'!$F:$F,'Source 2025'!$B:$B,$A174,'Source 2025'!$A:$A,"Amount (NIS)")+SUMIFS('Source 2025'!$H:$H,'Source 2025'!$B:$B,$A174,'Source 2025'!$A:$A,"Amount (NIS)")+SUMIFS('Source 2025'!$M:$M,'Source 2025'!$B:$B,$A174,'Source 2025'!$A:$A,"Amount (NIS)")+SUMIFS('Source 2025'!$N:$N,'Source 2025'!$B:$B,$A174,'Source 2025'!$A:$A,"Amount (NIS)")+SUMIFS('Source 2025'!$S:$S,'Source 2025'!$B:$B,$A174,'Source 2025'!$A:$A,"Amount (NIS)")+SUMIFS('Source 2025'!$U:$U,'Source 2025'!$B:$B,$A174,'Source 2025'!$A:$A,"Amount (NIS)")+SUMIFS('Source 2025'!$D:$D,'Source 2025'!$B:$B,$A174,'Source 2025'!$A:$A,"Amount (NIS)")+SUMIFS('Source 2025'!$E:$E,'Source 2025'!$B:$B,$A174,'Source 2025'!$A:$A,"Amount (NIS)")+SUMIFS('Source 2025'!$G:$G,'Source 2025'!$B:$B,$A174,'Source 2025'!$A:$A,"Amount (NIS)")</f>
        <v>1685.9</v>
      </c>
      <c r="I174" s="9" t="n">
        <f aca="false">SUMIFS('Source 2026'!$F:$F,'Source 2026'!$B:$B,$A174,'Source 2026'!$A:$A,"Amount (NIS)")+SUMIFS('Source 2026'!$H:$H,'Source 2026'!$B:$B,$A174,'Source 2026'!$A:$A,"Amount (NIS)")+SUMIFS('Source 2026'!$M:$M,'Source 2026'!$B:$B,$A174,'Source 2026'!$A:$A,"Amount (NIS)")+SUMIFS('Source 2026'!$N:$N,'Source 2026'!$B:$B,$A174,'Source 2026'!$A:$A,"Amount (NIS)")+SUMIFS('Source 2026'!$S:$S,'Source 2026'!$B:$B,$A174,'Source 2026'!$A:$A,"Amount (NIS)")+SUMIFS('Source 2026'!$U:$U,'Source 2026'!$B:$B,$A174,'Source 2026'!$A:$A,"Amount (NIS)")+SUMIFS('Source 2026'!$D:$D,'Source 2026'!$B:$B,$A174,'Source 2026'!$A:$A,"Amount (NIS)")+SUMIFS('Source 2026'!$E:$E,'Source 2026'!$B:$B,$A174,'Source 2026'!$A:$A,"Amount (NIS)")+SUMIFS('Source 2026'!$G:$G,'Source 2026'!$B:$B,$A174,'Source 2026'!$A:$A,"Amount (NIS)")</f>
        <v>1063.8</v>
      </c>
      <c r="J174" s="9" t="n">
        <f aca="false">I174*$J$5</f>
        <v>1343.74736842105</v>
      </c>
      <c r="K174" s="9" t="n">
        <f aca="false">J174-H174</f>
        <v>-342.152631578948</v>
      </c>
      <c r="L174" s="11" t="n">
        <f aca="false">IF(AND(H174=0,J174=0),0,IF(H174=0,"New",(J174-H174)/H174))</f>
        <v>-0.202949541241442</v>
      </c>
    </row>
    <row r="175" customFormat="false" ht="15" hidden="false" customHeight="true" outlineLevel="0" collapsed="false">
      <c r="A175" s="8" t="s">
        <v>244</v>
      </c>
      <c r="B175" s="8" t="str">
        <f aca="false">IFERROR(INDEX('Source 2026'!$C:$C,MATCH($A175,'Source 2026'!$B:$B,0)),IFERROR(INDEX('Source 2025'!$C:$C,MATCH($A175,'Source 2025'!$B:$B,0)),""))</f>
        <v>0 כרית חום וקור</v>
      </c>
      <c r="C175" s="9" t="n">
        <f aca="false">SUMIFS('Source 2025'!$F:$F,'Source 2025'!$B:$B,$A175,'Source 2025'!$A:$A,"Quantity (units)")+SUMIFS('Source 2025'!$H:$H,'Source 2025'!$B:$B,$A175,'Source 2025'!$A:$A,"Quantity (units)")+SUMIFS('Source 2025'!$M:$M,'Source 2025'!$B:$B,$A175,'Source 2025'!$A:$A,"Quantity (units)")+SUMIFS('Source 2025'!$N:$N,'Source 2025'!$B:$B,$A175,'Source 2025'!$A:$A,"Quantity (units)")+SUMIFS('Source 2025'!$S:$S,'Source 2025'!$B:$B,$A175,'Source 2025'!$A:$A,"Quantity (units)")+SUMIFS('Source 2025'!$U:$U,'Source 2025'!$B:$B,$A175,'Source 2025'!$A:$A,"Quantity (units)")+SUMIFS('Source 2025'!$D:$D,'Source 2025'!$B:$B,$A175,'Source 2025'!$A:$A,"Quantity (units)")+SUMIFS('Source 2025'!$E:$E,'Source 2025'!$B:$B,$A175,'Source 2025'!$A:$A,"Quantity (units)")+SUMIFS('Source 2025'!$G:$G,'Source 2025'!$B:$B,$A175,'Source 2025'!$A:$A,"Quantity (units)")</f>
        <v>49</v>
      </c>
      <c r="D175" s="9" t="n">
        <f aca="false">SUMIFS('Source 2026'!$F:$F,'Source 2026'!$B:$B,$A175,'Source 2026'!$A:$A,"Quantity (units)")+SUMIFS('Source 2026'!$H:$H,'Source 2026'!$B:$B,$A175,'Source 2026'!$A:$A,"Quantity (units)")+SUMIFS('Source 2026'!$M:$M,'Source 2026'!$B:$B,$A175,'Source 2026'!$A:$A,"Quantity (units)")+SUMIFS('Source 2026'!$N:$N,'Source 2026'!$B:$B,$A175,'Source 2026'!$A:$A,"Quantity (units)")+SUMIFS('Source 2026'!$S:$S,'Source 2026'!$B:$B,$A175,'Source 2026'!$A:$A,"Quantity (units)")+SUMIFS('Source 2026'!$U:$U,'Source 2026'!$B:$B,$A175,'Source 2026'!$A:$A,"Quantity (units)")+SUMIFS('Source 2026'!$D:$D,'Source 2026'!$B:$B,$A175,'Source 2026'!$A:$A,"Quantity (units)")+SUMIFS('Source 2026'!$E:$E,'Source 2026'!$B:$B,$A175,'Source 2026'!$A:$A,"Quantity (units)")+SUMIFS('Source 2026'!$G:$G,'Source 2026'!$B:$B,$A175,'Source 2026'!$A:$A,"Quantity (units)")</f>
        <v>36</v>
      </c>
      <c r="E175" s="9" t="n">
        <f aca="false">D175*$J$5</f>
        <v>45.4736842105263</v>
      </c>
      <c r="F175" s="9" t="n">
        <f aca="false">E175-C175</f>
        <v>-3.52631578947369</v>
      </c>
      <c r="G175" s="11" t="n">
        <f aca="false">IF(AND(C175=0,E175=0),0,IF(C175=0,"New",(E175-C175)/C175))</f>
        <v>-0.0719656283566058</v>
      </c>
      <c r="H175" s="9" t="n">
        <f aca="false">SUMIFS('Source 2025'!$F:$F,'Source 2025'!$B:$B,$A175,'Source 2025'!$A:$A,"Amount (NIS)")+SUMIFS('Source 2025'!$H:$H,'Source 2025'!$B:$B,$A175,'Source 2025'!$A:$A,"Amount (NIS)")+SUMIFS('Source 2025'!$M:$M,'Source 2025'!$B:$B,$A175,'Source 2025'!$A:$A,"Amount (NIS)")+SUMIFS('Source 2025'!$N:$N,'Source 2025'!$B:$B,$A175,'Source 2025'!$A:$A,"Amount (NIS)")+SUMIFS('Source 2025'!$S:$S,'Source 2025'!$B:$B,$A175,'Source 2025'!$A:$A,"Amount (NIS)")+SUMIFS('Source 2025'!$U:$U,'Source 2025'!$B:$B,$A175,'Source 2025'!$A:$A,"Amount (NIS)")+SUMIFS('Source 2025'!$D:$D,'Source 2025'!$B:$B,$A175,'Source 2025'!$A:$A,"Amount (NIS)")+SUMIFS('Source 2025'!$E:$E,'Source 2025'!$B:$B,$A175,'Source 2025'!$A:$A,"Amount (NIS)")+SUMIFS('Source 2025'!$G:$G,'Source 2025'!$B:$B,$A175,'Source 2025'!$A:$A,"Amount (NIS)")</f>
        <v>2276.2</v>
      </c>
      <c r="I175" s="9" t="n">
        <f aca="false">SUMIFS('Source 2026'!$F:$F,'Source 2026'!$B:$B,$A175,'Source 2026'!$A:$A,"Amount (NIS)")+SUMIFS('Source 2026'!$H:$H,'Source 2026'!$B:$B,$A175,'Source 2026'!$A:$A,"Amount (NIS)")+SUMIFS('Source 2026'!$M:$M,'Source 2026'!$B:$B,$A175,'Source 2026'!$A:$A,"Amount (NIS)")+SUMIFS('Source 2026'!$N:$N,'Source 2026'!$B:$B,$A175,'Source 2026'!$A:$A,"Amount (NIS)")+SUMIFS('Source 2026'!$S:$S,'Source 2026'!$B:$B,$A175,'Source 2026'!$A:$A,"Amount (NIS)")+SUMIFS('Source 2026'!$U:$U,'Source 2026'!$B:$B,$A175,'Source 2026'!$A:$A,"Amount (NIS)")+SUMIFS('Source 2026'!$D:$D,'Source 2026'!$B:$B,$A175,'Source 2026'!$A:$A,"Amount (NIS)")+SUMIFS('Source 2026'!$E:$E,'Source 2026'!$B:$B,$A175,'Source 2026'!$A:$A,"Amount (NIS)")+SUMIFS('Source 2026'!$G:$G,'Source 2026'!$B:$B,$A175,'Source 2026'!$A:$A,"Amount (NIS)")</f>
        <v>1677.4</v>
      </c>
      <c r="J175" s="9" t="n">
        <f aca="false">I175*$J$5</f>
        <v>2118.82105263158</v>
      </c>
      <c r="K175" s="9" t="n">
        <f aca="false">J175-H175</f>
        <v>-157.378947368421</v>
      </c>
      <c r="L175" s="11" t="n">
        <f aca="false">IF(AND(H175=0,J175=0),0,IF(H175=0,"New",(J175-H175)/H175))</f>
        <v>-0.0691410892577195</v>
      </c>
    </row>
    <row r="176" customFormat="false" ht="15" hidden="false" customHeight="true" outlineLevel="0" collapsed="false">
      <c r="A176" s="8" t="s">
        <v>245</v>
      </c>
      <c r="B176" s="8" t="str">
        <f aca="false">IFERROR(INDEX('Source 2026'!$C:$C,MATCH($A176,'Source 2026'!$B:$B,0)),IFERROR(INDEX('Source 2025'!$C:$C,MATCH($A176,'Source 2025'!$B:$B,0)),""))</f>
        <v>כפפות לחץ</v>
      </c>
      <c r="C176" s="9" t="n">
        <f aca="false">SUMIFS('Source 2025'!$F:$F,'Source 2025'!$B:$B,$A176,'Source 2025'!$A:$A,"Quantity (units)")+SUMIFS('Source 2025'!$H:$H,'Source 2025'!$B:$B,$A176,'Source 2025'!$A:$A,"Quantity (units)")+SUMIFS('Source 2025'!$M:$M,'Source 2025'!$B:$B,$A176,'Source 2025'!$A:$A,"Quantity (units)")+SUMIFS('Source 2025'!$N:$N,'Source 2025'!$B:$B,$A176,'Source 2025'!$A:$A,"Quantity (units)")+SUMIFS('Source 2025'!$S:$S,'Source 2025'!$B:$B,$A176,'Source 2025'!$A:$A,"Quantity (units)")+SUMIFS('Source 2025'!$U:$U,'Source 2025'!$B:$B,$A176,'Source 2025'!$A:$A,"Quantity (units)")+SUMIFS('Source 2025'!$D:$D,'Source 2025'!$B:$B,$A176,'Source 2025'!$A:$A,"Quantity (units)")+SUMIFS('Source 2025'!$E:$E,'Source 2025'!$B:$B,$A176,'Source 2025'!$A:$A,"Quantity (units)")+SUMIFS('Source 2025'!$G:$G,'Source 2025'!$B:$B,$A176,'Source 2025'!$A:$A,"Quantity (units)")</f>
        <v>32</v>
      </c>
      <c r="D176" s="9" t="n">
        <f aca="false">SUMIFS('Source 2026'!$F:$F,'Source 2026'!$B:$B,$A176,'Source 2026'!$A:$A,"Quantity (units)")+SUMIFS('Source 2026'!$H:$H,'Source 2026'!$B:$B,$A176,'Source 2026'!$A:$A,"Quantity (units)")+SUMIFS('Source 2026'!$M:$M,'Source 2026'!$B:$B,$A176,'Source 2026'!$A:$A,"Quantity (units)")+SUMIFS('Source 2026'!$N:$N,'Source 2026'!$B:$B,$A176,'Source 2026'!$A:$A,"Quantity (units)")+SUMIFS('Source 2026'!$S:$S,'Source 2026'!$B:$B,$A176,'Source 2026'!$A:$A,"Quantity (units)")+SUMIFS('Source 2026'!$U:$U,'Source 2026'!$B:$B,$A176,'Source 2026'!$A:$A,"Quantity (units)")+SUMIFS('Source 2026'!$D:$D,'Source 2026'!$B:$B,$A176,'Source 2026'!$A:$A,"Quantity (units)")+SUMIFS('Source 2026'!$E:$E,'Source 2026'!$B:$B,$A176,'Source 2026'!$A:$A,"Quantity (units)")+SUMIFS('Source 2026'!$G:$G,'Source 2026'!$B:$B,$A176,'Source 2026'!$A:$A,"Quantity (units)")</f>
        <v>16</v>
      </c>
      <c r="E176" s="9" t="n">
        <f aca="false">D176*$J$5</f>
        <v>20.2105263157895</v>
      </c>
      <c r="F176" s="9" t="n">
        <f aca="false">E176-C176</f>
        <v>-11.7894736842105</v>
      </c>
      <c r="G176" s="11" t="n">
        <f aca="false">IF(AND(C176=0,E176=0),0,IF(C176=0,"New",(E176-C176)/C176))</f>
        <v>-0.368421052631579</v>
      </c>
      <c r="H176" s="9" t="n">
        <f aca="false">SUMIFS('Source 2025'!$F:$F,'Source 2025'!$B:$B,$A176,'Source 2025'!$A:$A,"Amount (NIS)")+SUMIFS('Source 2025'!$H:$H,'Source 2025'!$B:$B,$A176,'Source 2025'!$A:$A,"Amount (NIS)")+SUMIFS('Source 2025'!$M:$M,'Source 2025'!$B:$B,$A176,'Source 2025'!$A:$A,"Amount (NIS)")+SUMIFS('Source 2025'!$N:$N,'Source 2025'!$B:$B,$A176,'Source 2025'!$A:$A,"Amount (NIS)")+SUMIFS('Source 2025'!$S:$S,'Source 2025'!$B:$B,$A176,'Source 2025'!$A:$A,"Amount (NIS)")+SUMIFS('Source 2025'!$U:$U,'Source 2025'!$B:$B,$A176,'Source 2025'!$A:$A,"Amount (NIS)")+SUMIFS('Source 2025'!$D:$D,'Source 2025'!$B:$B,$A176,'Source 2025'!$A:$A,"Amount (NIS)")+SUMIFS('Source 2025'!$E:$E,'Source 2025'!$B:$B,$A176,'Source 2025'!$A:$A,"Amount (NIS)")+SUMIFS('Source 2025'!$G:$G,'Source 2025'!$B:$B,$A176,'Source 2025'!$A:$A,"Amount (NIS)")</f>
        <v>1162.2</v>
      </c>
      <c r="I176" s="9" t="n">
        <f aca="false">SUMIFS('Source 2026'!$F:$F,'Source 2026'!$B:$B,$A176,'Source 2026'!$A:$A,"Amount (NIS)")+SUMIFS('Source 2026'!$H:$H,'Source 2026'!$B:$B,$A176,'Source 2026'!$A:$A,"Amount (NIS)")+SUMIFS('Source 2026'!$M:$M,'Source 2026'!$B:$B,$A176,'Source 2026'!$A:$A,"Amount (NIS)")+SUMIFS('Source 2026'!$N:$N,'Source 2026'!$B:$B,$A176,'Source 2026'!$A:$A,"Amount (NIS)")+SUMIFS('Source 2026'!$S:$S,'Source 2026'!$B:$B,$A176,'Source 2026'!$A:$A,"Amount (NIS)")+SUMIFS('Source 2026'!$U:$U,'Source 2026'!$B:$B,$A176,'Source 2026'!$A:$A,"Amount (NIS)")+SUMIFS('Source 2026'!$D:$D,'Source 2026'!$B:$B,$A176,'Source 2026'!$A:$A,"Amount (NIS)")+SUMIFS('Source 2026'!$E:$E,'Source 2026'!$B:$B,$A176,'Source 2026'!$A:$A,"Amount (NIS)")+SUMIFS('Source 2026'!$G:$G,'Source 2026'!$B:$B,$A176,'Source 2026'!$A:$A,"Amount (NIS)")</f>
        <v>591.7</v>
      </c>
      <c r="J176" s="9" t="n">
        <f aca="false">I176*$J$5</f>
        <v>747.41052631579</v>
      </c>
      <c r="K176" s="9" t="n">
        <f aca="false">J176-H176</f>
        <v>-414.789473684211</v>
      </c>
      <c r="L176" s="11" t="n">
        <f aca="false">IF(AND(H176=0,J176=0),0,IF(H176=0,"New",(J176-H176)/H176))</f>
        <v>-0.356900252696791</v>
      </c>
    </row>
    <row r="177" customFormat="false" ht="15" hidden="false" customHeight="true" outlineLevel="0" collapsed="false">
      <c r="A177" s="8" t="s">
        <v>246</v>
      </c>
      <c r="B177" s="8" t="str">
        <f aca="false">IFERROR(INDEX('Source 2026'!$C:$C,MATCH($A177,'Source 2026'!$B:$B,0)),IFERROR(INDEX('Source 2025'!$C:$C,MATCH($A177,'Source 2025'!$B:$B,0)),""))</f>
        <v>0 רפידת לילדים אנטי ריח</v>
      </c>
      <c r="C177" s="9" t="n">
        <f aca="false">SUMIFS('Source 2025'!$F:$F,'Source 2025'!$B:$B,$A177,'Source 2025'!$A:$A,"Quantity (units)")+SUMIFS('Source 2025'!$H:$H,'Source 2025'!$B:$B,$A177,'Source 2025'!$A:$A,"Quantity (units)")+SUMIFS('Source 2025'!$M:$M,'Source 2025'!$B:$B,$A177,'Source 2025'!$A:$A,"Quantity (units)")+SUMIFS('Source 2025'!$N:$N,'Source 2025'!$B:$B,$A177,'Source 2025'!$A:$A,"Quantity (units)")+SUMIFS('Source 2025'!$S:$S,'Source 2025'!$B:$B,$A177,'Source 2025'!$A:$A,"Quantity (units)")+SUMIFS('Source 2025'!$U:$U,'Source 2025'!$B:$B,$A177,'Source 2025'!$A:$A,"Quantity (units)")+SUMIFS('Source 2025'!$D:$D,'Source 2025'!$B:$B,$A177,'Source 2025'!$A:$A,"Quantity (units)")+SUMIFS('Source 2025'!$E:$E,'Source 2025'!$B:$B,$A177,'Source 2025'!$A:$A,"Quantity (units)")+SUMIFS('Source 2025'!$G:$G,'Source 2025'!$B:$B,$A177,'Source 2025'!$A:$A,"Quantity (units)")</f>
        <v>58</v>
      </c>
      <c r="D177" s="9" t="n">
        <f aca="false">SUMIFS('Source 2026'!$F:$F,'Source 2026'!$B:$B,$A177,'Source 2026'!$A:$A,"Quantity (units)")+SUMIFS('Source 2026'!$H:$H,'Source 2026'!$B:$B,$A177,'Source 2026'!$A:$A,"Quantity (units)")+SUMIFS('Source 2026'!$M:$M,'Source 2026'!$B:$B,$A177,'Source 2026'!$A:$A,"Quantity (units)")+SUMIFS('Source 2026'!$N:$N,'Source 2026'!$B:$B,$A177,'Source 2026'!$A:$A,"Quantity (units)")+SUMIFS('Source 2026'!$S:$S,'Source 2026'!$B:$B,$A177,'Source 2026'!$A:$A,"Quantity (units)")+SUMIFS('Source 2026'!$U:$U,'Source 2026'!$B:$B,$A177,'Source 2026'!$A:$A,"Quantity (units)")+SUMIFS('Source 2026'!$D:$D,'Source 2026'!$B:$B,$A177,'Source 2026'!$A:$A,"Quantity (units)")+SUMIFS('Source 2026'!$E:$E,'Source 2026'!$B:$B,$A177,'Source 2026'!$A:$A,"Quantity (units)")+SUMIFS('Source 2026'!$G:$G,'Source 2026'!$B:$B,$A177,'Source 2026'!$A:$A,"Quantity (units)")</f>
        <v>9</v>
      </c>
      <c r="E177" s="9" t="n">
        <f aca="false">D177*$J$5</f>
        <v>11.3684210526316</v>
      </c>
      <c r="F177" s="9" t="n">
        <f aca="false">E177-C177</f>
        <v>-46.6315789473684</v>
      </c>
      <c r="G177" s="11" t="n">
        <f aca="false">IF(AND(C177=0,E177=0),0,IF(C177=0,"New",(E177-C177)/C177))</f>
        <v>-0.803992740471869</v>
      </c>
      <c r="H177" s="9" t="n">
        <f aca="false">SUMIFS('Source 2025'!$F:$F,'Source 2025'!$B:$B,$A177,'Source 2025'!$A:$A,"Amount (NIS)")+SUMIFS('Source 2025'!$H:$H,'Source 2025'!$B:$B,$A177,'Source 2025'!$A:$A,"Amount (NIS)")+SUMIFS('Source 2025'!$M:$M,'Source 2025'!$B:$B,$A177,'Source 2025'!$A:$A,"Amount (NIS)")+SUMIFS('Source 2025'!$N:$N,'Source 2025'!$B:$B,$A177,'Source 2025'!$A:$A,"Amount (NIS)")+SUMIFS('Source 2025'!$S:$S,'Source 2025'!$B:$B,$A177,'Source 2025'!$A:$A,"Amount (NIS)")+SUMIFS('Source 2025'!$U:$U,'Source 2025'!$B:$B,$A177,'Source 2025'!$A:$A,"Amount (NIS)")+SUMIFS('Source 2025'!$D:$D,'Source 2025'!$B:$B,$A177,'Source 2025'!$A:$A,"Amount (NIS)")+SUMIFS('Source 2025'!$E:$E,'Source 2025'!$B:$B,$A177,'Source 2025'!$A:$A,"Amount (NIS)")+SUMIFS('Source 2025'!$G:$G,'Source 2025'!$B:$B,$A177,'Source 2025'!$A:$A,"Amount (NIS)")</f>
        <v>678.9</v>
      </c>
      <c r="I177" s="9" t="n">
        <f aca="false">SUMIFS('Source 2026'!$F:$F,'Source 2026'!$B:$B,$A177,'Source 2026'!$A:$A,"Amount (NIS)")+SUMIFS('Source 2026'!$H:$H,'Source 2026'!$B:$B,$A177,'Source 2026'!$A:$A,"Amount (NIS)")+SUMIFS('Source 2026'!$M:$M,'Source 2026'!$B:$B,$A177,'Source 2026'!$A:$A,"Amount (NIS)")+SUMIFS('Source 2026'!$N:$N,'Source 2026'!$B:$B,$A177,'Source 2026'!$A:$A,"Amount (NIS)")+SUMIFS('Source 2026'!$S:$S,'Source 2026'!$B:$B,$A177,'Source 2026'!$A:$A,"Amount (NIS)")+SUMIFS('Source 2026'!$U:$U,'Source 2026'!$B:$B,$A177,'Source 2026'!$A:$A,"Amount (NIS)")+SUMIFS('Source 2026'!$D:$D,'Source 2026'!$B:$B,$A177,'Source 2026'!$A:$A,"Amount (NIS)")+SUMIFS('Source 2026'!$E:$E,'Source 2026'!$B:$B,$A177,'Source 2026'!$A:$A,"Amount (NIS)")+SUMIFS('Source 2026'!$G:$G,'Source 2026'!$B:$B,$A177,'Source 2026'!$A:$A,"Amount (NIS)")</f>
        <v>112.5</v>
      </c>
      <c r="J177" s="9" t="n">
        <f aca="false">I177*$J$5</f>
        <v>142.105263157895</v>
      </c>
      <c r="K177" s="9" t="n">
        <f aca="false">J177-H177</f>
        <v>-536.794736842105</v>
      </c>
      <c r="L177" s="11" t="n">
        <f aca="false">IF(AND(H177=0,J177=0),0,IF(H177=0,"New",(J177-H177)/H177))</f>
        <v>-0.790683070911924</v>
      </c>
    </row>
    <row r="178" customFormat="false" ht="15" hidden="false" customHeight="true" outlineLevel="0" collapsed="false">
      <c r="A178" s="8" t="s">
        <v>247</v>
      </c>
      <c r="B178" s="8" t="str">
        <f aca="false">IFERROR(INDEX('Source 2026'!$C:$C,MATCH($A178,'Source 2026'!$B:$B,0)),IFERROR(INDEX('Source 2025'!$C:$C,MATCH($A178,'Source 2025'!$B:$B,0)),""))</f>
        <v>כפפות אגודל לחץ</v>
      </c>
      <c r="C178" s="9" t="n">
        <f aca="false">SUMIFS('Source 2025'!$F:$F,'Source 2025'!$B:$B,$A178,'Source 2025'!$A:$A,"Quantity (units)")+SUMIFS('Source 2025'!$H:$H,'Source 2025'!$B:$B,$A178,'Source 2025'!$A:$A,"Quantity (units)")+SUMIFS('Source 2025'!$M:$M,'Source 2025'!$B:$B,$A178,'Source 2025'!$A:$A,"Quantity (units)")+SUMIFS('Source 2025'!$N:$N,'Source 2025'!$B:$B,$A178,'Source 2025'!$A:$A,"Quantity (units)")+SUMIFS('Source 2025'!$S:$S,'Source 2025'!$B:$B,$A178,'Source 2025'!$A:$A,"Quantity (units)")+SUMIFS('Source 2025'!$U:$U,'Source 2025'!$B:$B,$A178,'Source 2025'!$A:$A,"Quantity (units)")+SUMIFS('Source 2025'!$D:$D,'Source 2025'!$B:$B,$A178,'Source 2025'!$A:$A,"Quantity (units)")+SUMIFS('Source 2025'!$E:$E,'Source 2025'!$B:$B,$A178,'Source 2025'!$A:$A,"Quantity (units)")+SUMIFS('Source 2025'!$G:$G,'Source 2025'!$B:$B,$A178,'Source 2025'!$A:$A,"Quantity (units)")</f>
        <v>28</v>
      </c>
      <c r="D178" s="9" t="n">
        <f aca="false">SUMIFS('Source 2026'!$F:$F,'Source 2026'!$B:$B,$A178,'Source 2026'!$A:$A,"Quantity (units)")+SUMIFS('Source 2026'!$H:$H,'Source 2026'!$B:$B,$A178,'Source 2026'!$A:$A,"Quantity (units)")+SUMIFS('Source 2026'!$M:$M,'Source 2026'!$B:$B,$A178,'Source 2026'!$A:$A,"Quantity (units)")+SUMIFS('Source 2026'!$N:$N,'Source 2026'!$B:$B,$A178,'Source 2026'!$A:$A,"Quantity (units)")+SUMIFS('Source 2026'!$S:$S,'Source 2026'!$B:$B,$A178,'Source 2026'!$A:$A,"Quantity (units)")+SUMIFS('Source 2026'!$U:$U,'Source 2026'!$B:$B,$A178,'Source 2026'!$A:$A,"Quantity (units)")+SUMIFS('Source 2026'!$D:$D,'Source 2026'!$B:$B,$A178,'Source 2026'!$A:$A,"Quantity (units)")+SUMIFS('Source 2026'!$E:$E,'Source 2026'!$B:$B,$A178,'Source 2026'!$A:$A,"Quantity (units)")+SUMIFS('Source 2026'!$G:$G,'Source 2026'!$B:$B,$A178,'Source 2026'!$A:$A,"Quantity (units)")</f>
        <v>13</v>
      </c>
      <c r="E178" s="9" t="n">
        <f aca="false">D178*$J$5</f>
        <v>16.4210526315789</v>
      </c>
      <c r="F178" s="9" t="n">
        <f aca="false">E178-C178</f>
        <v>-11.5789473684211</v>
      </c>
      <c r="G178" s="11" t="n">
        <f aca="false">IF(AND(C178=0,E178=0),0,IF(C178=0,"New",(E178-C178)/C178))</f>
        <v>-0.413533834586466</v>
      </c>
      <c r="H178" s="9" t="n">
        <f aca="false">SUMIFS('Source 2025'!$F:$F,'Source 2025'!$B:$B,$A178,'Source 2025'!$A:$A,"Amount (NIS)")+SUMIFS('Source 2025'!$H:$H,'Source 2025'!$B:$B,$A178,'Source 2025'!$A:$A,"Amount (NIS)")+SUMIFS('Source 2025'!$M:$M,'Source 2025'!$B:$B,$A178,'Source 2025'!$A:$A,"Amount (NIS)")+SUMIFS('Source 2025'!$N:$N,'Source 2025'!$B:$B,$A178,'Source 2025'!$A:$A,"Amount (NIS)")+SUMIFS('Source 2025'!$S:$S,'Source 2025'!$B:$B,$A178,'Source 2025'!$A:$A,"Amount (NIS)")+SUMIFS('Source 2025'!$U:$U,'Source 2025'!$B:$B,$A178,'Source 2025'!$A:$A,"Amount (NIS)")+SUMIFS('Source 2025'!$D:$D,'Source 2025'!$B:$B,$A178,'Source 2025'!$A:$A,"Amount (NIS)")+SUMIFS('Source 2025'!$E:$E,'Source 2025'!$B:$B,$A178,'Source 2025'!$A:$A,"Amount (NIS)")+SUMIFS('Source 2025'!$G:$G,'Source 2025'!$B:$B,$A178,'Source 2025'!$A:$A,"Amount (NIS)")</f>
        <v>1071.9</v>
      </c>
      <c r="I178" s="9" t="n">
        <f aca="false">SUMIFS('Source 2026'!$F:$F,'Source 2026'!$B:$B,$A178,'Source 2026'!$A:$A,"Amount (NIS)")+SUMIFS('Source 2026'!$H:$H,'Source 2026'!$B:$B,$A178,'Source 2026'!$A:$A,"Amount (NIS)")+SUMIFS('Source 2026'!$M:$M,'Source 2026'!$B:$B,$A178,'Source 2026'!$A:$A,"Amount (NIS)")+SUMIFS('Source 2026'!$N:$N,'Source 2026'!$B:$B,$A178,'Source 2026'!$A:$A,"Amount (NIS)")+SUMIFS('Source 2026'!$S:$S,'Source 2026'!$B:$B,$A178,'Source 2026'!$A:$A,"Amount (NIS)")+SUMIFS('Source 2026'!$U:$U,'Source 2026'!$B:$B,$A178,'Source 2026'!$A:$A,"Amount (NIS)")+SUMIFS('Source 2026'!$D:$D,'Source 2026'!$B:$B,$A178,'Source 2026'!$A:$A,"Amount (NIS)")+SUMIFS('Source 2026'!$E:$E,'Source 2026'!$B:$B,$A178,'Source 2026'!$A:$A,"Amount (NIS)")+SUMIFS('Source 2026'!$G:$G,'Source 2026'!$B:$B,$A178,'Source 2026'!$A:$A,"Amount (NIS)")</f>
        <v>512</v>
      </c>
      <c r="J178" s="9" t="n">
        <f aca="false">I178*$J$5</f>
        <v>646.736842105263</v>
      </c>
      <c r="K178" s="9" t="n">
        <f aca="false">J178-H178</f>
        <v>-425.163157894737</v>
      </c>
      <c r="L178" s="11" t="n">
        <f aca="false">IF(AND(H178=0,J178=0),0,IF(H178=0,"New",(J178-H178)/H178))</f>
        <v>-0.39664442382194</v>
      </c>
    </row>
    <row r="179" customFormat="false" ht="15" hidden="false" customHeight="true" outlineLevel="0" collapsed="false">
      <c r="A179" s="8" t="s">
        <v>248</v>
      </c>
      <c r="B179" s="8" t="str">
        <f aca="false">IFERROR(INDEX('Source 2026'!$C:$C,MATCH($A179,'Source 2026'!$B:$B,0)),IFERROR(INDEX('Source 2025'!$C:$C,MATCH($A179,'Source 2025'!$B:$B,0)),""))</f>
        <v>טייפ חבישה לספורט</v>
      </c>
      <c r="C179" s="9" t="n">
        <f aca="false">SUMIFS('Source 2025'!$F:$F,'Source 2025'!$B:$B,$A179,'Source 2025'!$A:$A,"Quantity (units)")+SUMIFS('Source 2025'!$H:$H,'Source 2025'!$B:$B,$A179,'Source 2025'!$A:$A,"Quantity (units)")+SUMIFS('Source 2025'!$M:$M,'Source 2025'!$B:$B,$A179,'Source 2025'!$A:$A,"Quantity (units)")+SUMIFS('Source 2025'!$N:$N,'Source 2025'!$B:$B,$A179,'Source 2025'!$A:$A,"Quantity (units)")+SUMIFS('Source 2025'!$S:$S,'Source 2025'!$B:$B,$A179,'Source 2025'!$A:$A,"Quantity (units)")+SUMIFS('Source 2025'!$U:$U,'Source 2025'!$B:$B,$A179,'Source 2025'!$A:$A,"Quantity (units)")+SUMIFS('Source 2025'!$D:$D,'Source 2025'!$B:$B,$A179,'Source 2025'!$A:$A,"Quantity (units)")+SUMIFS('Source 2025'!$E:$E,'Source 2025'!$B:$B,$A179,'Source 2025'!$A:$A,"Quantity (units)")+SUMIFS('Source 2025'!$G:$G,'Source 2025'!$B:$B,$A179,'Source 2025'!$A:$A,"Quantity (units)")</f>
        <v>26</v>
      </c>
      <c r="D179" s="9" t="n">
        <f aca="false">SUMIFS('Source 2026'!$F:$F,'Source 2026'!$B:$B,$A179,'Source 2026'!$A:$A,"Quantity (units)")+SUMIFS('Source 2026'!$H:$H,'Source 2026'!$B:$B,$A179,'Source 2026'!$A:$A,"Quantity (units)")+SUMIFS('Source 2026'!$M:$M,'Source 2026'!$B:$B,$A179,'Source 2026'!$A:$A,"Quantity (units)")+SUMIFS('Source 2026'!$N:$N,'Source 2026'!$B:$B,$A179,'Source 2026'!$A:$A,"Quantity (units)")+SUMIFS('Source 2026'!$S:$S,'Source 2026'!$B:$B,$A179,'Source 2026'!$A:$A,"Quantity (units)")+SUMIFS('Source 2026'!$U:$U,'Source 2026'!$B:$B,$A179,'Source 2026'!$A:$A,"Quantity (units)")+SUMIFS('Source 2026'!$D:$D,'Source 2026'!$B:$B,$A179,'Source 2026'!$A:$A,"Quantity (units)")+SUMIFS('Source 2026'!$E:$E,'Source 2026'!$B:$B,$A179,'Source 2026'!$A:$A,"Quantity (units)")+SUMIFS('Source 2026'!$G:$G,'Source 2026'!$B:$B,$A179,'Source 2026'!$A:$A,"Quantity (units)")</f>
        <v>56</v>
      </c>
      <c r="E179" s="9" t="n">
        <f aca="false">D179*$J$5</f>
        <v>70.7368421052632</v>
      </c>
      <c r="F179" s="9" t="n">
        <f aca="false">E179-C179</f>
        <v>44.7368421052632</v>
      </c>
      <c r="G179" s="11" t="n">
        <f aca="false">IF(AND(C179=0,E179=0),0,IF(C179=0,"New",(E179-C179)/C179))</f>
        <v>1.72064777327935</v>
      </c>
      <c r="H179" s="9" t="n">
        <f aca="false">SUMIFS('Source 2025'!$F:$F,'Source 2025'!$B:$B,$A179,'Source 2025'!$A:$A,"Amount (NIS)")+SUMIFS('Source 2025'!$H:$H,'Source 2025'!$B:$B,$A179,'Source 2025'!$A:$A,"Amount (NIS)")+SUMIFS('Source 2025'!$M:$M,'Source 2025'!$B:$B,$A179,'Source 2025'!$A:$A,"Amount (NIS)")+SUMIFS('Source 2025'!$N:$N,'Source 2025'!$B:$B,$A179,'Source 2025'!$A:$A,"Amount (NIS)")+SUMIFS('Source 2025'!$S:$S,'Source 2025'!$B:$B,$A179,'Source 2025'!$A:$A,"Amount (NIS)")+SUMIFS('Source 2025'!$U:$U,'Source 2025'!$B:$B,$A179,'Source 2025'!$A:$A,"Amount (NIS)")+SUMIFS('Source 2025'!$D:$D,'Source 2025'!$B:$B,$A179,'Source 2025'!$A:$A,"Amount (NIS)")+SUMIFS('Source 2025'!$E:$E,'Source 2025'!$B:$B,$A179,'Source 2025'!$A:$A,"Amount (NIS)")+SUMIFS('Source 2025'!$G:$G,'Source 2025'!$B:$B,$A179,'Source 2025'!$A:$A,"Amount (NIS)")</f>
        <v>417.2</v>
      </c>
      <c r="I179" s="9" t="n">
        <f aca="false">SUMIFS('Source 2026'!$F:$F,'Source 2026'!$B:$B,$A179,'Source 2026'!$A:$A,"Amount (NIS)")+SUMIFS('Source 2026'!$H:$H,'Source 2026'!$B:$B,$A179,'Source 2026'!$A:$A,"Amount (NIS)")+SUMIFS('Source 2026'!$M:$M,'Source 2026'!$B:$B,$A179,'Source 2026'!$A:$A,"Amount (NIS)")+SUMIFS('Source 2026'!$N:$N,'Source 2026'!$B:$B,$A179,'Source 2026'!$A:$A,"Amount (NIS)")+SUMIFS('Source 2026'!$S:$S,'Source 2026'!$B:$B,$A179,'Source 2026'!$A:$A,"Amount (NIS)")+SUMIFS('Source 2026'!$U:$U,'Source 2026'!$B:$B,$A179,'Source 2026'!$A:$A,"Amount (NIS)")+SUMIFS('Source 2026'!$D:$D,'Source 2026'!$B:$B,$A179,'Source 2026'!$A:$A,"Amount (NIS)")+SUMIFS('Source 2026'!$E:$E,'Source 2026'!$B:$B,$A179,'Source 2026'!$A:$A,"Amount (NIS)")+SUMIFS('Source 2026'!$G:$G,'Source 2026'!$B:$B,$A179,'Source 2026'!$A:$A,"Amount (NIS)")</f>
        <v>966.2</v>
      </c>
      <c r="J179" s="9" t="n">
        <f aca="false">I179*$J$5</f>
        <v>1220.46315789474</v>
      </c>
      <c r="K179" s="9" t="n">
        <f aca="false">J179-H179</f>
        <v>803.263157894737</v>
      </c>
      <c r="L179" s="11" t="n">
        <f aca="false">IF(AND(H179=0,J179=0),0,IF(H179=0,"New",(J179-H179)/H179))</f>
        <v>1.92536710904779</v>
      </c>
    </row>
    <row r="180" customFormat="false" ht="15" hidden="false" customHeight="true" outlineLevel="0" collapsed="false">
      <c r="A180" s="8" t="s">
        <v>249</v>
      </c>
      <c r="B180" s="8" t="str">
        <f aca="false">IFERROR(INDEX('Source 2026'!$C:$C,MATCH($A180,'Source 2026'!$B:$B,0)),IFERROR(INDEX('Source 2025'!$C:$C,MATCH($A180,'Source 2025'!$B:$B,0)),""))</f>
        <v>מפריד הלוקס</v>
      </c>
      <c r="C180" s="9" t="n">
        <f aca="false">SUMIFS('Source 2025'!$F:$F,'Source 2025'!$B:$B,$A180,'Source 2025'!$A:$A,"Quantity (units)")+SUMIFS('Source 2025'!$H:$H,'Source 2025'!$B:$B,$A180,'Source 2025'!$A:$A,"Quantity (units)")+SUMIFS('Source 2025'!$M:$M,'Source 2025'!$B:$B,$A180,'Source 2025'!$A:$A,"Quantity (units)")+SUMIFS('Source 2025'!$N:$N,'Source 2025'!$B:$B,$A180,'Source 2025'!$A:$A,"Quantity (units)")+SUMIFS('Source 2025'!$S:$S,'Source 2025'!$B:$B,$A180,'Source 2025'!$A:$A,"Quantity (units)")+SUMIFS('Source 2025'!$U:$U,'Source 2025'!$B:$B,$A180,'Source 2025'!$A:$A,"Quantity (units)")+SUMIFS('Source 2025'!$D:$D,'Source 2025'!$B:$B,$A180,'Source 2025'!$A:$A,"Quantity (units)")+SUMIFS('Source 2025'!$E:$E,'Source 2025'!$B:$B,$A180,'Source 2025'!$A:$A,"Quantity (units)")+SUMIFS('Source 2025'!$G:$G,'Source 2025'!$B:$B,$A180,'Source 2025'!$A:$A,"Quantity (units)")</f>
        <v>14</v>
      </c>
      <c r="D180" s="9" t="n">
        <f aca="false">SUMIFS('Source 2026'!$F:$F,'Source 2026'!$B:$B,$A180,'Source 2026'!$A:$A,"Quantity (units)")+SUMIFS('Source 2026'!$H:$H,'Source 2026'!$B:$B,$A180,'Source 2026'!$A:$A,"Quantity (units)")+SUMIFS('Source 2026'!$M:$M,'Source 2026'!$B:$B,$A180,'Source 2026'!$A:$A,"Quantity (units)")+SUMIFS('Source 2026'!$N:$N,'Source 2026'!$B:$B,$A180,'Source 2026'!$A:$A,"Quantity (units)")+SUMIFS('Source 2026'!$S:$S,'Source 2026'!$B:$B,$A180,'Source 2026'!$A:$A,"Quantity (units)")+SUMIFS('Source 2026'!$U:$U,'Source 2026'!$B:$B,$A180,'Source 2026'!$A:$A,"Quantity (units)")+SUMIFS('Source 2026'!$D:$D,'Source 2026'!$B:$B,$A180,'Source 2026'!$A:$A,"Quantity (units)")+SUMIFS('Source 2026'!$E:$E,'Source 2026'!$B:$B,$A180,'Source 2026'!$A:$A,"Quantity (units)")+SUMIFS('Source 2026'!$G:$G,'Source 2026'!$B:$B,$A180,'Source 2026'!$A:$A,"Quantity (units)")</f>
        <v>20</v>
      </c>
      <c r="E180" s="9" t="n">
        <f aca="false">D180*$J$5</f>
        <v>25.2631578947368</v>
      </c>
      <c r="F180" s="9" t="n">
        <f aca="false">E180-C180</f>
        <v>11.2631578947368</v>
      </c>
      <c r="G180" s="11" t="n">
        <f aca="false">IF(AND(C180=0,E180=0),0,IF(C180=0,"New",(E180-C180)/C180))</f>
        <v>0.804511278195489</v>
      </c>
      <c r="H180" s="9" t="n">
        <f aca="false">SUMIFS('Source 2025'!$F:$F,'Source 2025'!$B:$B,$A180,'Source 2025'!$A:$A,"Amount (NIS)")+SUMIFS('Source 2025'!$H:$H,'Source 2025'!$B:$B,$A180,'Source 2025'!$A:$A,"Amount (NIS)")+SUMIFS('Source 2025'!$M:$M,'Source 2025'!$B:$B,$A180,'Source 2025'!$A:$A,"Amount (NIS)")+SUMIFS('Source 2025'!$N:$N,'Source 2025'!$B:$B,$A180,'Source 2025'!$A:$A,"Amount (NIS)")+SUMIFS('Source 2025'!$S:$S,'Source 2025'!$B:$B,$A180,'Source 2025'!$A:$A,"Amount (NIS)")+SUMIFS('Source 2025'!$U:$U,'Source 2025'!$B:$B,$A180,'Source 2025'!$A:$A,"Amount (NIS)")+SUMIFS('Source 2025'!$D:$D,'Source 2025'!$B:$B,$A180,'Source 2025'!$A:$A,"Amount (NIS)")+SUMIFS('Source 2025'!$E:$E,'Source 2025'!$B:$B,$A180,'Source 2025'!$A:$A,"Amount (NIS)")+SUMIFS('Source 2025'!$G:$G,'Source 2025'!$B:$B,$A180,'Source 2025'!$A:$A,"Amount (NIS)")</f>
        <v>714.2</v>
      </c>
      <c r="I180" s="9" t="n">
        <f aca="false">SUMIFS('Source 2026'!$F:$F,'Source 2026'!$B:$B,$A180,'Source 2026'!$A:$A,"Amount (NIS)")+SUMIFS('Source 2026'!$H:$H,'Source 2026'!$B:$B,$A180,'Source 2026'!$A:$A,"Amount (NIS)")+SUMIFS('Source 2026'!$M:$M,'Source 2026'!$B:$B,$A180,'Source 2026'!$A:$A,"Amount (NIS)")+SUMIFS('Source 2026'!$N:$N,'Source 2026'!$B:$B,$A180,'Source 2026'!$A:$A,"Amount (NIS)")+SUMIFS('Source 2026'!$S:$S,'Source 2026'!$B:$B,$A180,'Source 2026'!$A:$A,"Amount (NIS)")+SUMIFS('Source 2026'!$U:$U,'Source 2026'!$B:$B,$A180,'Source 2026'!$A:$A,"Amount (NIS)")+SUMIFS('Source 2026'!$D:$D,'Source 2026'!$B:$B,$A180,'Source 2026'!$A:$A,"Amount (NIS)")+SUMIFS('Source 2026'!$E:$E,'Source 2026'!$B:$B,$A180,'Source 2026'!$A:$A,"Amount (NIS)")+SUMIFS('Source 2026'!$G:$G,'Source 2026'!$B:$B,$A180,'Source 2026'!$A:$A,"Amount (NIS)")</f>
        <v>1261.5</v>
      </c>
      <c r="J180" s="9" t="n">
        <f aca="false">I180*$J$5</f>
        <v>1593.47368421053</v>
      </c>
      <c r="K180" s="9" t="n">
        <f aca="false">J180-H180</f>
        <v>879.273684210526</v>
      </c>
      <c r="L180" s="11" t="n">
        <f aca="false">IF(AND(H180=0,J180=0),0,IF(H180=0,"New",(J180-H180)/H180))</f>
        <v>1.23113089360197</v>
      </c>
    </row>
    <row r="181" customFormat="false" ht="15" hidden="false" customHeight="true" outlineLevel="0" collapsed="false">
      <c r="A181" s="8" t="s">
        <v>250</v>
      </c>
      <c r="B181" s="8" t="str">
        <f aca="false">IFERROR(INDEX('Source 2026'!$C:$C,MATCH($A181,'Source 2026'!$B:$B,0)),IFERROR(INDEX('Source 2025'!$C:$C,MATCH($A181,'Source 2025'!$B:$B,0)),""))</f>
        <v>סד ליישור אצבע</v>
      </c>
      <c r="C181" s="9" t="n">
        <f aca="false">SUMIFS('Source 2025'!$F:$F,'Source 2025'!$B:$B,$A181,'Source 2025'!$A:$A,"Quantity (units)")+SUMIFS('Source 2025'!$H:$H,'Source 2025'!$B:$B,$A181,'Source 2025'!$A:$A,"Quantity (units)")+SUMIFS('Source 2025'!$M:$M,'Source 2025'!$B:$B,$A181,'Source 2025'!$A:$A,"Quantity (units)")+SUMIFS('Source 2025'!$N:$N,'Source 2025'!$B:$B,$A181,'Source 2025'!$A:$A,"Quantity (units)")+SUMIFS('Source 2025'!$S:$S,'Source 2025'!$B:$B,$A181,'Source 2025'!$A:$A,"Quantity (units)")+SUMIFS('Source 2025'!$U:$U,'Source 2025'!$B:$B,$A181,'Source 2025'!$A:$A,"Quantity (units)")+SUMIFS('Source 2025'!$D:$D,'Source 2025'!$B:$B,$A181,'Source 2025'!$A:$A,"Quantity (units)")+SUMIFS('Source 2025'!$E:$E,'Source 2025'!$B:$B,$A181,'Source 2025'!$A:$A,"Quantity (units)")+SUMIFS('Source 2025'!$G:$G,'Source 2025'!$B:$B,$A181,'Source 2025'!$A:$A,"Quantity (units)")</f>
        <v>390</v>
      </c>
      <c r="D181" s="9" t="n">
        <f aca="false">SUMIFS('Source 2026'!$F:$F,'Source 2026'!$B:$B,$A181,'Source 2026'!$A:$A,"Quantity (units)")+SUMIFS('Source 2026'!$H:$H,'Source 2026'!$B:$B,$A181,'Source 2026'!$A:$A,"Quantity (units)")+SUMIFS('Source 2026'!$M:$M,'Source 2026'!$B:$B,$A181,'Source 2026'!$A:$A,"Quantity (units)")+SUMIFS('Source 2026'!$N:$N,'Source 2026'!$B:$B,$A181,'Source 2026'!$A:$A,"Quantity (units)")+SUMIFS('Source 2026'!$S:$S,'Source 2026'!$B:$B,$A181,'Source 2026'!$A:$A,"Quantity (units)")+SUMIFS('Source 2026'!$U:$U,'Source 2026'!$B:$B,$A181,'Source 2026'!$A:$A,"Quantity (units)")+SUMIFS('Source 2026'!$D:$D,'Source 2026'!$B:$B,$A181,'Source 2026'!$A:$A,"Quantity (units)")+SUMIFS('Source 2026'!$E:$E,'Source 2026'!$B:$B,$A181,'Source 2026'!$A:$A,"Quantity (units)")+SUMIFS('Source 2026'!$G:$G,'Source 2026'!$B:$B,$A181,'Source 2026'!$A:$A,"Quantity (units)")</f>
        <v>352</v>
      </c>
      <c r="E181" s="9" t="n">
        <f aca="false">D181*$J$5</f>
        <v>444.631578947368</v>
      </c>
      <c r="F181" s="9" t="n">
        <f aca="false">E181-C181</f>
        <v>54.6315789473684</v>
      </c>
      <c r="G181" s="11" t="n">
        <f aca="false">IF(AND(C181=0,E181=0),0,IF(C181=0,"New",(E181-C181)/C181))</f>
        <v>0.140080971659919</v>
      </c>
      <c r="H181" s="9" t="n">
        <f aca="false">SUMIFS('Source 2025'!$F:$F,'Source 2025'!$B:$B,$A181,'Source 2025'!$A:$A,"Amount (NIS)")+SUMIFS('Source 2025'!$H:$H,'Source 2025'!$B:$B,$A181,'Source 2025'!$A:$A,"Amount (NIS)")+SUMIFS('Source 2025'!$M:$M,'Source 2025'!$B:$B,$A181,'Source 2025'!$A:$A,"Amount (NIS)")+SUMIFS('Source 2025'!$N:$N,'Source 2025'!$B:$B,$A181,'Source 2025'!$A:$A,"Amount (NIS)")+SUMIFS('Source 2025'!$S:$S,'Source 2025'!$B:$B,$A181,'Source 2025'!$A:$A,"Amount (NIS)")+SUMIFS('Source 2025'!$U:$U,'Source 2025'!$B:$B,$A181,'Source 2025'!$A:$A,"Amount (NIS)")+SUMIFS('Source 2025'!$D:$D,'Source 2025'!$B:$B,$A181,'Source 2025'!$A:$A,"Amount (NIS)")+SUMIFS('Source 2025'!$E:$E,'Source 2025'!$B:$B,$A181,'Source 2025'!$A:$A,"Amount (NIS)")+SUMIFS('Source 2025'!$G:$G,'Source 2025'!$B:$B,$A181,'Source 2025'!$A:$A,"Amount (NIS)")</f>
        <v>7446.8</v>
      </c>
      <c r="I181" s="9" t="n">
        <f aca="false">SUMIFS('Source 2026'!$F:$F,'Source 2026'!$B:$B,$A181,'Source 2026'!$A:$A,"Amount (NIS)")+SUMIFS('Source 2026'!$H:$H,'Source 2026'!$B:$B,$A181,'Source 2026'!$A:$A,"Amount (NIS)")+SUMIFS('Source 2026'!$M:$M,'Source 2026'!$B:$B,$A181,'Source 2026'!$A:$A,"Amount (NIS)")+SUMIFS('Source 2026'!$N:$N,'Source 2026'!$B:$B,$A181,'Source 2026'!$A:$A,"Amount (NIS)")+SUMIFS('Source 2026'!$S:$S,'Source 2026'!$B:$B,$A181,'Source 2026'!$A:$A,"Amount (NIS)")+SUMIFS('Source 2026'!$U:$U,'Source 2026'!$B:$B,$A181,'Source 2026'!$A:$A,"Amount (NIS)")+SUMIFS('Source 2026'!$D:$D,'Source 2026'!$B:$B,$A181,'Source 2026'!$A:$A,"Amount (NIS)")+SUMIFS('Source 2026'!$E:$E,'Source 2026'!$B:$B,$A181,'Source 2026'!$A:$A,"Amount (NIS)")+SUMIFS('Source 2026'!$G:$G,'Source 2026'!$B:$B,$A181,'Source 2026'!$A:$A,"Amount (NIS)")</f>
        <v>6911.7</v>
      </c>
      <c r="J181" s="9" t="n">
        <f aca="false">I181*$J$5</f>
        <v>8730.56842105263</v>
      </c>
      <c r="K181" s="9" t="n">
        <f aca="false">J181-H181</f>
        <v>1283.76842105263</v>
      </c>
      <c r="L181" s="11" t="n">
        <f aca="false">IF(AND(H181=0,J181=0),0,IF(H181=0,"New",(J181-H181)/H181))</f>
        <v>0.172391956417875</v>
      </c>
    </row>
    <row r="182" customFormat="false" ht="15" hidden="false" customHeight="true" outlineLevel="0" collapsed="false">
      <c r="A182" s="8" t="s">
        <v>251</v>
      </c>
      <c r="B182" s="8" t="str">
        <f aca="false">IFERROR(INDEX('Source 2026'!$C:$C,MATCH($A182,'Source 2026'!$B:$B,0)),IFERROR(INDEX('Source 2025'!$C:$C,MATCH($A182,'Source 2025'!$B:$B,0)),""))</f>
        <v>45 M מגן ברך רגיל</v>
      </c>
      <c r="C182" s="9" t="n">
        <f aca="false">SUMIFS('Source 2025'!$F:$F,'Source 2025'!$B:$B,$A182,'Source 2025'!$A:$A,"Quantity (units)")+SUMIFS('Source 2025'!$H:$H,'Source 2025'!$B:$B,$A182,'Source 2025'!$A:$A,"Quantity (units)")+SUMIFS('Source 2025'!$M:$M,'Source 2025'!$B:$B,$A182,'Source 2025'!$A:$A,"Quantity (units)")+SUMIFS('Source 2025'!$N:$N,'Source 2025'!$B:$B,$A182,'Source 2025'!$A:$A,"Quantity (units)")+SUMIFS('Source 2025'!$S:$S,'Source 2025'!$B:$B,$A182,'Source 2025'!$A:$A,"Quantity (units)")+SUMIFS('Source 2025'!$U:$U,'Source 2025'!$B:$B,$A182,'Source 2025'!$A:$A,"Quantity (units)")+SUMIFS('Source 2025'!$D:$D,'Source 2025'!$B:$B,$A182,'Source 2025'!$A:$A,"Quantity (units)")+SUMIFS('Source 2025'!$E:$E,'Source 2025'!$B:$B,$A182,'Source 2025'!$A:$A,"Quantity (units)")+SUMIFS('Source 2025'!$G:$G,'Source 2025'!$B:$B,$A182,'Source 2025'!$A:$A,"Quantity (units)")</f>
        <v>10</v>
      </c>
      <c r="D182" s="9" t="n">
        <f aca="false">SUMIFS('Source 2026'!$F:$F,'Source 2026'!$B:$B,$A182,'Source 2026'!$A:$A,"Quantity (units)")+SUMIFS('Source 2026'!$H:$H,'Source 2026'!$B:$B,$A182,'Source 2026'!$A:$A,"Quantity (units)")+SUMIFS('Source 2026'!$M:$M,'Source 2026'!$B:$B,$A182,'Source 2026'!$A:$A,"Quantity (units)")+SUMIFS('Source 2026'!$N:$N,'Source 2026'!$B:$B,$A182,'Source 2026'!$A:$A,"Quantity (units)")+SUMIFS('Source 2026'!$S:$S,'Source 2026'!$B:$B,$A182,'Source 2026'!$A:$A,"Quantity (units)")+SUMIFS('Source 2026'!$U:$U,'Source 2026'!$B:$B,$A182,'Source 2026'!$A:$A,"Quantity (units)")+SUMIFS('Source 2026'!$D:$D,'Source 2026'!$B:$B,$A182,'Source 2026'!$A:$A,"Quantity (units)")+SUMIFS('Source 2026'!$E:$E,'Source 2026'!$B:$B,$A182,'Source 2026'!$A:$A,"Quantity (units)")+SUMIFS('Source 2026'!$G:$G,'Source 2026'!$B:$B,$A182,'Source 2026'!$A:$A,"Quantity (units)")</f>
        <v>5</v>
      </c>
      <c r="E182" s="9" t="n">
        <f aca="false">D182*$J$5</f>
        <v>6.31578947368421</v>
      </c>
      <c r="F182" s="9" t="n">
        <f aca="false">E182-C182</f>
        <v>-3.68421052631579</v>
      </c>
      <c r="G182" s="11" t="n">
        <f aca="false">IF(AND(C182=0,E182=0),0,IF(C182=0,"New",(E182-C182)/C182))</f>
        <v>-0.368421052631579</v>
      </c>
      <c r="H182" s="9" t="n">
        <f aca="false">SUMIFS('Source 2025'!$F:$F,'Source 2025'!$B:$B,$A182,'Source 2025'!$A:$A,"Amount (NIS)")+SUMIFS('Source 2025'!$H:$H,'Source 2025'!$B:$B,$A182,'Source 2025'!$A:$A,"Amount (NIS)")+SUMIFS('Source 2025'!$M:$M,'Source 2025'!$B:$B,$A182,'Source 2025'!$A:$A,"Amount (NIS)")+SUMIFS('Source 2025'!$N:$N,'Source 2025'!$B:$B,$A182,'Source 2025'!$A:$A,"Amount (NIS)")+SUMIFS('Source 2025'!$S:$S,'Source 2025'!$B:$B,$A182,'Source 2025'!$A:$A,"Amount (NIS)")+SUMIFS('Source 2025'!$U:$U,'Source 2025'!$B:$B,$A182,'Source 2025'!$A:$A,"Amount (NIS)")+SUMIFS('Source 2025'!$D:$D,'Source 2025'!$B:$B,$A182,'Source 2025'!$A:$A,"Amount (NIS)")+SUMIFS('Source 2025'!$E:$E,'Source 2025'!$B:$B,$A182,'Source 2025'!$A:$A,"Amount (NIS)")+SUMIFS('Source 2025'!$G:$G,'Source 2025'!$B:$B,$A182,'Source 2025'!$A:$A,"Amount (NIS)")</f>
        <v>1047.1</v>
      </c>
      <c r="I182" s="9" t="n">
        <f aca="false">SUMIFS('Source 2026'!$F:$F,'Source 2026'!$B:$B,$A182,'Source 2026'!$A:$A,"Amount (NIS)")+SUMIFS('Source 2026'!$H:$H,'Source 2026'!$B:$B,$A182,'Source 2026'!$A:$A,"Amount (NIS)")+SUMIFS('Source 2026'!$M:$M,'Source 2026'!$B:$B,$A182,'Source 2026'!$A:$A,"Amount (NIS)")+SUMIFS('Source 2026'!$N:$N,'Source 2026'!$B:$B,$A182,'Source 2026'!$A:$A,"Amount (NIS)")+SUMIFS('Source 2026'!$S:$S,'Source 2026'!$B:$B,$A182,'Source 2026'!$A:$A,"Amount (NIS)")+SUMIFS('Source 2026'!$U:$U,'Source 2026'!$B:$B,$A182,'Source 2026'!$A:$A,"Amount (NIS)")+SUMIFS('Source 2026'!$D:$D,'Source 2026'!$B:$B,$A182,'Source 2026'!$A:$A,"Amount (NIS)")+SUMIFS('Source 2026'!$E:$E,'Source 2026'!$B:$B,$A182,'Source 2026'!$A:$A,"Amount (NIS)")+SUMIFS('Source 2026'!$G:$G,'Source 2026'!$B:$B,$A182,'Source 2026'!$A:$A,"Amount (NIS)")</f>
        <v>527</v>
      </c>
      <c r="J182" s="9" t="n">
        <f aca="false">I182*$J$5</f>
        <v>665.684210526316</v>
      </c>
      <c r="K182" s="9" t="n">
        <f aca="false">J182-H182</f>
        <v>-381.415789473684</v>
      </c>
      <c r="L182" s="11" t="n">
        <f aca="false">IF(AND(H182=0,J182=0),0,IF(H182=0,"New",(J182-H182)/H182))</f>
        <v>-0.364259182001417</v>
      </c>
    </row>
    <row r="183" customFormat="false" ht="15" hidden="false" customHeight="true" outlineLevel="0" collapsed="false">
      <c r="A183" s="8" t="s">
        <v>252</v>
      </c>
      <c r="B183" s="8" t="str">
        <f aca="false">IFERROR(INDEX('Source 2026'!$C:$C,MATCH($A183,'Source 2026'!$B:$B,0)),IFERROR(INDEX('Source 2025'!$C:$C,MATCH($A183,'Source 2025'!$B:$B,0)),""))</f>
        <v>כפפות לחץ</v>
      </c>
      <c r="C183" s="9" t="n">
        <f aca="false">SUMIFS('Source 2025'!$F:$F,'Source 2025'!$B:$B,$A183,'Source 2025'!$A:$A,"Quantity (units)")+SUMIFS('Source 2025'!$H:$H,'Source 2025'!$B:$B,$A183,'Source 2025'!$A:$A,"Quantity (units)")+SUMIFS('Source 2025'!$M:$M,'Source 2025'!$B:$B,$A183,'Source 2025'!$A:$A,"Quantity (units)")+SUMIFS('Source 2025'!$N:$N,'Source 2025'!$B:$B,$A183,'Source 2025'!$A:$A,"Quantity (units)")+SUMIFS('Source 2025'!$S:$S,'Source 2025'!$B:$B,$A183,'Source 2025'!$A:$A,"Quantity (units)")+SUMIFS('Source 2025'!$U:$U,'Source 2025'!$B:$B,$A183,'Source 2025'!$A:$A,"Quantity (units)")+SUMIFS('Source 2025'!$D:$D,'Source 2025'!$B:$B,$A183,'Source 2025'!$A:$A,"Quantity (units)")+SUMIFS('Source 2025'!$E:$E,'Source 2025'!$B:$B,$A183,'Source 2025'!$A:$A,"Quantity (units)")+SUMIFS('Source 2025'!$G:$G,'Source 2025'!$B:$B,$A183,'Source 2025'!$A:$A,"Quantity (units)")</f>
        <v>26</v>
      </c>
      <c r="D183" s="9" t="n">
        <f aca="false">SUMIFS('Source 2026'!$F:$F,'Source 2026'!$B:$B,$A183,'Source 2026'!$A:$A,"Quantity (units)")+SUMIFS('Source 2026'!$H:$H,'Source 2026'!$B:$B,$A183,'Source 2026'!$A:$A,"Quantity (units)")+SUMIFS('Source 2026'!$M:$M,'Source 2026'!$B:$B,$A183,'Source 2026'!$A:$A,"Quantity (units)")+SUMIFS('Source 2026'!$N:$N,'Source 2026'!$B:$B,$A183,'Source 2026'!$A:$A,"Quantity (units)")+SUMIFS('Source 2026'!$S:$S,'Source 2026'!$B:$B,$A183,'Source 2026'!$A:$A,"Quantity (units)")+SUMIFS('Source 2026'!$U:$U,'Source 2026'!$B:$B,$A183,'Source 2026'!$A:$A,"Quantity (units)")+SUMIFS('Source 2026'!$D:$D,'Source 2026'!$B:$B,$A183,'Source 2026'!$A:$A,"Quantity (units)")+SUMIFS('Source 2026'!$E:$E,'Source 2026'!$B:$B,$A183,'Source 2026'!$A:$A,"Quantity (units)")+SUMIFS('Source 2026'!$G:$G,'Source 2026'!$B:$B,$A183,'Source 2026'!$A:$A,"Quantity (units)")</f>
        <v>11</v>
      </c>
      <c r="E183" s="9" t="n">
        <f aca="false">D183*$J$5</f>
        <v>13.8947368421053</v>
      </c>
      <c r="F183" s="9" t="n">
        <f aca="false">E183-C183</f>
        <v>-12.1052631578947</v>
      </c>
      <c r="G183" s="11" t="n">
        <f aca="false">IF(AND(C183=0,E183=0),0,IF(C183=0,"New",(E183-C183)/C183))</f>
        <v>-0.465587044534413</v>
      </c>
      <c r="H183" s="9" t="n">
        <f aca="false">SUMIFS('Source 2025'!$F:$F,'Source 2025'!$B:$B,$A183,'Source 2025'!$A:$A,"Amount (NIS)")+SUMIFS('Source 2025'!$H:$H,'Source 2025'!$B:$B,$A183,'Source 2025'!$A:$A,"Amount (NIS)")+SUMIFS('Source 2025'!$M:$M,'Source 2025'!$B:$B,$A183,'Source 2025'!$A:$A,"Amount (NIS)")+SUMIFS('Source 2025'!$N:$N,'Source 2025'!$B:$B,$A183,'Source 2025'!$A:$A,"Amount (NIS)")+SUMIFS('Source 2025'!$S:$S,'Source 2025'!$B:$B,$A183,'Source 2025'!$A:$A,"Amount (NIS)")+SUMIFS('Source 2025'!$U:$U,'Source 2025'!$B:$B,$A183,'Source 2025'!$A:$A,"Amount (NIS)")+SUMIFS('Source 2025'!$D:$D,'Source 2025'!$B:$B,$A183,'Source 2025'!$A:$A,"Amount (NIS)")+SUMIFS('Source 2025'!$E:$E,'Source 2025'!$B:$B,$A183,'Source 2025'!$A:$A,"Amount (NIS)")+SUMIFS('Source 2025'!$G:$G,'Source 2025'!$B:$B,$A183,'Source 2025'!$A:$A,"Amount (NIS)")</f>
        <v>922.3</v>
      </c>
      <c r="I183" s="9" t="n">
        <f aca="false">SUMIFS('Source 2026'!$F:$F,'Source 2026'!$B:$B,$A183,'Source 2026'!$A:$A,"Amount (NIS)")+SUMIFS('Source 2026'!$H:$H,'Source 2026'!$B:$B,$A183,'Source 2026'!$A:$A,"Amount (NIS)")+SUMIFS('Source 2026'!$M:$M,'Source 2026'!$B:$B,$A183,'Source 2026'!$A:$A,"Amount (NIS)")+SUMIFS('Source 2026'!$N:$N,'Source 2026'!$B:$B,$A183,'Source 2026'!$A:$A,"Amount (NIS)")+SUMIFS('Source 2026'!$S:$S,'Source 2026'!$B:$B,$A183,'Source 2026'!$A:$A,"Amount (NIS)")+SUMIFS('Source 2026'!$U:$U,'Source 2026'!$B:$B,$A183,'Source 2026'!$A:$A,"Amount (NIS)")+SUMIFS('Source 2026'!$D:$D,'Source 2026'!$B:$B,$A183,'Source 2026'!$A:$A,"Amount (NIS)")+SUMIFS('Source 2026'!$E:$E,'Source 2026'!$B:$B,$A183,'Source 2026'!$A:$A,"Amount (NIS)")+SUMIFS('Source 2026'!$G:$G,'Source 2026'!$B:$B,$A183,'Source 2026'!$A:$A,"Amount (NIS)")</f>
        <v>407</v>
      </c>
      <c r="J183" s="9" t="n">
        <f aca="false">I183*$J$5</f>
        <v>514.105263157895</v>
      </c>
      <c r="K183" s="9" t="n">
        <f aca="false">J183-H183</f>
        <v>-408.194736842105</v>
      </c>
      <c r="L183" s="11" t="n">
        <f aca="false">IF(AND(H183=0,J183=0),0,IF(H183=0,"New",(J183-H183)/H183))</f>
        <v>-0.442583472668443</v>
      </c>
    </row>
    <row r="184" customFormat="false" ht="15" hidden="false" customHeight="true" outlineLevel="0" collapsed="false">
      <c r="A184" s="8" t="s">
        <v>253</v>
      </c>
      <c r="B184" s="8" t="str">
        <f aca="false">IFERROR(INDEX('Source 2026'!$C:$C,MATCH($A184,'Source 2026'!$B:$B,0)),IFERROR(INDEX('Source 2025'!$C:$C,MATCH($A184,'Source 2025'!$B:$B,0)),""))</f>
        <v>כפפות לחץ</v>
      </c>
      <c r="C184" s="9" t="n">
        <f aca="false">SUMIFS('Source 2025'!$F:$F,'Source 2025'!$B:$B,$A184,'Source 2025'!$A:$A,"Quantity (units)")+SUMIFS('Source 2025'!$H:$H,'Source 2025'!$B:$B,$A184,'Source 2025'!$A:$A,"Quantity (units)")+SUMIFS('Source 2025'!$M:$M,'Source 2025'!$B:$B,$A184,'Source 2025'!$A:$A,"Quantity (units)")+SUMIFS('Source 2025'!$N:$N,'Source 2025'!$B:$B,$A184,'Source 2025'!$A:$A,"Quantity (units)")+SUMIFS('Source 2025'!$S:$S,'Source 2025'!$B:$B,$A184,'Source 2025'!$A:$A,"Quantity (units)")+SUMIFS('Source 2025'!$U:$U,'Source 2025'!$B:$B,$A184,'Source 2025'!$A:$A,"Quantity (units)")+SUMIFS('Source 2025'!$D:$D,'Source 2025'!$B:$B,$A184,'Source 2025'!$A:$A,"Quantity (units)")+SUMIFS('Source 2025'!$E:$E,'Source 2025'!$B:$B,$A184,'Source 2025'!$A:$A,"Quantity (units)")+SUMIFS('Source 2025'!$G:$G,'Source 2025'!$B:$B,$A184,'Source 2025'!$A:$A,"Quantity (units)")</f>
        <v>24</v>
      </c>
      <c r="D184" s="9" t="n">
        <f aca="false">SUMIFS('Source 2026'!$F:$F,'Source 2026'!$B:$B,$A184,'Source 2026'!$A:$A,"Quantity (units)")+SUMIFS('Source 2026'!$H:$H,'Source 2026'!$B:$B,$A184,'Source 2026'!$A:$A,"Quantity (units)")+SUMIFS('Source 2026'!$M:$M,'Source 2026'!$B:$B,$A184,'Source 2026'!$A:$A,"Quantity (units)")+SUMIFS('Source 2026'!$N:$N,'Source 2026'!$B:$B,$A184,'Source 2026'!$A:$A,"Quantity (units)")+SUMIFS('Source 2026'!$S:$S,'Source 2026'!$B:$B,$A184,'Source 2026'!$A:$A,"Quantity (units)")+SUMIFS('Source 2026'!$U:$U,'Source 2026'!$B:$B,$A184,'Source 2026'!$A:$A,"Quantity (units)")+SUMIFS('Source 2026'!$D:$D,'Source 2026'!$B:$B,$A184,'Source 2026'!$A:$A,"Quantity (units)")+SUMIFS('Source 2026'!$E:$E,'Source 2026'!$B:$B,$A184,'Source 2026'!$A:$A,"Quantity (units)")+SUMIFS('Source 2026'!$G:$G,'Source 2026'!$B:$B,$A184,'Source 2026'!$A:$A,"Quantity (units)")</f>
        <v>10</v>
      </c>
      <c r="E184" s="9" t="n">
        <f aca="false">D184*$J$5</f>
        <v>12.6315789473684</v>
      </c>
      <c r="F184" s="9" t="n">
        <f aca="false">E184-C184</f>
        <v>-11.3684210526316</v>
      </c>
      <c r="G184" s="11" t="n">
        <f aca="false">IF(AND(C184=0,E184=0),0,IF(C184=0,"New",(E184-C184)/C184))</f>
        <v>-0.473684210526316</v>
      </c>
      <c r="H184" s="9" t="n">
        <f aca="false">SUMIFS('Source 2025'!$F:$F,'Source 2025'!$B:$B,$A184,'Source 2025'!$A:$A,"Amount (NIS)")+SUMIFS('Source 2025'!$H:$H,'Source 2025'!$B:$B,$A184,'Source 2025'!$A:$A,"Amount (NIS)")+SUMIFS('Source 2025'!$M:$M,'Source 2025'!$B:$B,$A184,'Source 2025'!$A:$A,"Amount (NIS)")+SUMIFS('Source 2025'!$N:$N,'Source 2025'!$B:$B,$A184,'Source 2025'!$A:$A,"Amount (NIS)")+SUMIFS('Source 2025'!$S:$S,'Source 2025'!$B:$B,$A184,'Source 2025'!$A:$A,"Amount (NIS)")+SUMIFS('Source 2025'!$U:$U,'Source 2025'!$B:$B,$A184,'Source 2025'!$A:$A,"Amount (NIS)")+SUMIFS('Source 2025'!$D:$D,'Source 2025'!$B:$B,$A184,'Source 2025'!$A:$A,"Amount (NIS)")+SUMIFS('Source 2025'!$E:$E,'Source 2025'!$B:$B,$A184,'Source 2025'!$A:$A,"Amount (NIS)")+SUMIFS('Source 2025'!$G:$G,'Source 2025'!$B:$B,$A184,'Source 2025'!$A:$A,"Amount (NIS)")</f>
        <v>857.1</v>
      </c>
      <c r="I184" s="9" t="n">
        <f aca="false">SUMIFS('Source 2026'!$F:$F,'Source 2026'!$B:$B,$A184,'Source 2026'!$A:$A,"Amount (NIS)")+SUMIFS('Source 2026'!$H:$H,'Source 2026'!$B:$B,$A184,'Source 2026'!$A:$A,"Amount (NIS)")+SUMIFS('Source 2026'!$M:$M,'Source 2026'!$B:$B,$A184,'Source 2026'!$A:$A,"Amount (NIS)")+SUMIFS('Source 2026'!$N:$N,'Source 2026'!$B:$B,$A184,'Source 2026'!$A:$A,"Amount (NIS)")+SUMIFS('Source 2026'!$S:$S,'Source 2026'!$B:$B,$A184,'Source 2026'!$A:$A,"Amount (NIS)")+SUMIFS('Source 2026'!$U:$U,'Source 2026'!$B:$B,$A184,'Source 2026'!$A:$A,"Amount (NIS)")+SUMIFS('Source 2026'!$D:$D,'Source 2026'!$B:$B,$A184,'Source 2026'!$A:$A,"Amount (NIS)")+SUMIFS('Source 2026'!$E:$E,'Source 2026'!$B:$B,$A184,'Source 2026'!$A:$A,"Amount (NIS)")+SUMIFS('Source 2026'!$G:$G,'Source 2026'!$B:$B,$A184,'Source 2026'!$A:$A,"Amount (NIS)")</f>
        <v>359.6</v>
      </c>
      <c r="J184" s="9" t="n">
        <f aca="false">I184*$J$5</f>
        <v>454.231578947368</v>
      </c>
      <c r="K184" s="9" t="n">
        <f aca="false">J184-H184</f>
        <v>-402.868421052632</v>
      </c>
      <c r="L184" s="11" t="n">
        <f aca="false">IF(AND(H184=0,J184=0),0,IF(H184=0,"New",(J184-H184)/H184))</f>
        <v>-0.470036659727723</v>
      </c>
    </row>
    <row r="185" customFormat="false" ht="15" hidden="false" customHeight="true" outlineLevel="0" collapsed="false">
      <c r="A185" s="8" t="s">
        <v>254</v>
      </c>
      <c r="B185" s="8" t="str">
        <f aca="false">IFERROR(INDEX('Source 2026'!$C:$C,MATCH($A185,'Source 2026'!$B:$B,0)),IFERROR(INDEX('Source 2025'!$C:$C,MATCH($A185,'Source 2025'!$B:$B,0)),""))</f>
        <v>S-M STRAP4U</v>
      </c>
      <c r="C185" s="9" t="n">
        <f aca="false">SUMIFS('Source 2025'!$F:$F,'Source 2025'!$B:$B,$A185,'Source 2025'!$A:$A,"Quantity (units)")+SUMIFS('Source 2025'!$H:$H,'Source 2025'!$B:$B,$A185,'Source 2025'!$A:$A,"Quantity (units)")+SUMIFS('Source 2025'!$M:$M,'Source 2025'!$B:$B,$A185,'Source 2025'!$A:$A,"Quantity (units)")+SUMIFS('Source 2025'!$N:$N,'Source 2025'!$B:$B,$A185,'Source 2025'!$A:$A,"Quantity (units)")+SUMIFS('Source 2025'!$S:$S,'Source 2025'!$B:$B,$A185,'Source 2025'!$A:$A,"Quantity (units)")+SUMIFS('Source 2025'!$U:$U,'Source 2025'!$B:$B,$A185,'Source 2025'!$A:$A,"Quantity (units)")+SUMIFS('Source 2025'!$D:$D,'Source 2025'!$B:$B,$A185,'Source 2025'!$A:$A,"Quantity (units)")+SUMIFS('Source 2025'!$E:$E,'Source 2025'!$B:$B,$A185,'Source 2025'!$A:$A,"Quantity (units)")+SUMIFS('Source 2025'!$G:$G,'Source 2025'!$B:$B,$A185,'Source 2025'!$A:$A,"Quantity (units)")</f>
        <v>-10</v>
      </c>
      <c r="D185" s="9" t="n">
        <f aca="false">SUMIFS('Source 2026'!$F:$F,'Source 2026'!$B:$B,$A185,'Source 2026'!$A:$A,"Quantity (units)")+SUMIFS('Source 2026'!$H:$H,'Source 2026'!$B:$B,$A185,'Source 2026'!$A:$A,"Quantity (units)")+SUMIFS('Source 2026'!$M:$M,'Source 2026'!$B:$B,$A185,'Source 2026'!$A:$A,"Quantity (units)")+SUMIFS('Source 2026'!$N:$N,'Source 2026'!$B:$B,$A185,'Source 2026'!$A:$A,"Quantity (units)")+SUMIFS('Source 2026'!$S:$S,'Source 2026'!$B:$B,$A185,'Source 2026'!$A:$A,"Quantity (units)")+SUMIFS('Source 2026'!$U:$U,'Source 2026'!$B:$B,$A185,'Source 2026'!$A:$A,"Quantity (units)")+SUMIFS('Source 2026'!$D:$D,'Source 2026'!$B:$B,$A185,'Source 2026'!$A:$A,"Quantity (units)")+SUMIFS('Source 2026'!$E:$E,'Source 2026'!$B:$B,$A185,'Source 2026'!$A:$A,"Quantity (units)")+SUMIFS('Source 2026'!$G:$G,'Source 2026'!$B:$B,$A185,'Source 2026'!$A:$A,"Quantity (units)")</f>
        <v>18</v>
      </c>
      <c r="E185" s="9" t="n">
        <f aca="false">D185*$J$5</f>
        <v>22.7368421052632</v>
      </c>
      <c r="F185" s="9" t="n">
        <f aca="false">E185-C185</f>
        <v>32.7368421052632</v>
      </c>
      <c r="G185" s="11" t="n">
        <f aca="false">IF(AND(C185=0,E185=0),0,IF(C185=0,"New",(E185-C185)/C185))</f>
        <v>-3.27368421052632</v>
      </c>
      <c r="H185" s="9" t="n">
        <f aca="false">SUMIFS('Source 2025'!$F:$F,'Source 2025'!$B:$B,$A185,'Source 2025'!$A:$A,"Amount (NIS)")+SUMIFS('Source 2025'!$H:$H,'Source 2025'!$B:$B,$A185,'Source 2025'!$A:$A,"Amount (NIS)")+SUMIFS('Source 2025'!$M:$M,'Source 2025'!$B:$B,$A185,'Source 2025'!$A:$A,"Amount (NIS)")+SUMIFS('Source 2025'!$N:$N,'Source 2025'!$B:$B,$A185,'Source 2025'!$A:$A,"Amount (NIS)")+SUMIFS('Source 2025'!$S:$S,'Source 2025'!$B:$B,$A185,'Source 2025'!$A:$A,"Amount (NIS)")+SUMIFS('Source 2025'!$U:$U,'Source 2025'!$B:$B,$A185,'Source 2025'!$A:$A,"Amount (NIS)")+SUMIFS('Source 2025'!$D:$D,'Source 2025'!$B:$B,$A185,'Source 2025'!$A:$A,"Amount (NIS)")+SUMIFS('Source 2025'!$E:$E,'Source 2025'!$B:$B,$A185,'Source 2025'!$A:$A,"Amount (NIS)")+SUMIFS('Source 2025'!$G:$G,'Source 2025'!$B:$B,$A185,'Source 2025'!$A:$A,"Amount (NIS)")</f>
        <v>-145.2</v>
      </c>
      <c r="I185" s="9" t="n">
        <f aca="false">SUMIFS('Source 2026'!$F:$F,'Source 2026'!$B:$B,$A185,'Source 2026'!$A:$A,"Amount (NIS)")+SUMIFS('Source 2026'!$H:$H,'Source 2026'!$B:$B,$A185,'Source 2026'!$A:$A,"Amount (NIS)")+SUMIFS('Source 2026'!$M:$M,'Source 2026'!$B:$B,$A185,'Source 2026'!$A:$A,"Amount (NIS)")+SUMIFS('Source 2026'!$N:$N,'Source 2026'!$B:$B,$A185,'Source 2026'!$A:$A,"Amount (NIS)")+SUMIFS('Source 2026'!$S:$S,'Source 2026'!$B:$B,$A185,'Source 2026'!$A:$A,"Amount (NIS)")+SUMIFS('Source 2026'!$U:$U,'Source 2026'!$B:$B,$A185,'Source 2026'!$A:$A,"Amount (NIS)")+SUMIFS('Source 2026'!$D:$D,'Source 2026'!$B:$B,$A185,'Source 2026'!$A:$A,"Amount (NIS)")+SUMIFS('Source 2026'!$E:$E,'Source 2026'!$B:$B,$A185,'Source 2026'!$A:$A,"Amount (NIS)")+SUMIFS('Source 2026'!$G:$G,'Source 2026'!$B:$B,$A185,'Source 2026'!$A:$A,"Amount (NIS)")</f>
        <v>345</v>
      </c>
      <c r="J185" s="9" t="n">
        <f aca="false">I185*$J$5</f>
        <v>435.789473684211</v>
      </c>
      <c r="K185" s="9" t="n">
        <f aca="false">J185-H185</f>
        <v>580.989473684211</v>
      </c>
      <c r="L185" s="11" t="n">
        <f aca="false">IF(AND(H185=0,J185=0),0,IF(H185=0,"New",(J185-H185)/H185))</f>
        <v>-4.00130491518051</v>
      </c>
    </row>
    <row r="186" customFormat="false" ht="15" hidden="false" customHeight="true" outlineLevel="0" collapsed="false">
      <c r="A186" s="8" t="s">
        <v>255</v>
      </c>
      <c r="B186" s="8" t="str">
        <f aca="false">IFERROR(INDEX('Source 2026'!$C:$C,MATCH($A186,'Source 2026'!$B:$B,0)),IFERROR(INDEX('Source 2025'!$C:$C,MATCH($A186,'Source 2025'!$B:$B,0)),""))</f>
        <v>XL מגן ברך רגיל</v>
      </c>
      <c r="C186" s="9" t="n">
        <f aca="false">SUMIFS('Source 2025'!$F:$F,'Source 2025'!$B:$B,$A186,'Source 2025'!$A:$A,"Quantity (units)")+SUMIFS('Source 2025'!$H:$H,'Source 2025'!$B:$B,$A186,'Source 2025'!$A:$A,"Quantity (units)")+SUMIFS('Source 2025'!$M:$M,'Source 2025'!$B:$B,$A186,'Source 2025'!$A:$A,"Quantity (units)")+SUMIFS('Source 2025'!$N:$N,'Source 2025'!$B:$B,$A186,'Source 2025'!$A:$A,"Quantity (units)")+SUMIFS('Source 2025'!$S:$S,'Source 2025'!$B:$B,$A186,'Source 2025'!$A:$A,"Quantity (units)")+SUMIFS('Source 2025'!$U:$U,'Source 2025'!$B:$B,$A186,'Source 2025'!$A:$A,"Quantity (units)")+SUMIFS('Source 2025'!$D:$D,'Source 2025'!$B:$B,$A186,'Source 2025'!$A:$A,"Quantity (units)")+SUMIFS('Source 2025'!$E:$E,'Source 2025'!$B:$B,$A186,'Source 2025'!$A:$A,"Quantity (units)")+SUMIFS('Source 2025'!$G:$G,'Source 2025'!$B:$B,$A186,'Source 2025'!$A:$A,"Quantity (units)")</f>
        <v>5</v>
      </c>
      <c r="D186" s="9" t="n">
        <f aca="false">SUMIFS('Source 2026'!$F:$F,'Source 2026'!$B:$B,$A186,'Source 2026'!$A:$A,"Quantity (units)")+SUMIFS('Source 2026'!$H:$H,'Source 2026'!$B:$B,$A186,'Source 2026'!$A:$A,"Quantity (units)")+SUMIFS('Source 2026'!$M:$M,'Source 2026'!$B:$B,$A186,'Source 2026'!$A:$A,"Quantity (units)")+SUMIFS('Source 2026'!$N:$N,'Source 2026'!$B:$B,$A186,'Source 2026'!$A:$A,"Quantity (units)")+SUMIFS('Source 2026'!$S:$S,'Source 2026'!$B:$B,$A186,'Source 2026'!$A:$A,"Quantity (units)")+SUMIFS('Source 2026'!$U:$U,'Source 2026'!$B:$B,$A186,'Source 2026'!$A:$A,"Quantity (units)")+SUMIFS('Source 2026'!$D:$D,'Source 2026'!$B:$B,$A186,'Source 2026'!$A:$A,"Quantity (units)")+SUMIFS('Source 2026'!$E:$E,'Source 2026'!$B:$B,$A186,'Source 2026'!$A:$A,"Quantity (units)")+SUMIFS('Source 2026'!$G:$G,'Source 2026'!$B:$B,$A186,'Source 2026'!$A:$A,"Quantity (units)")</f>
        <v>1</v>
      </c>
      <c r="E186" s="9" t="n">
        <f aca="false">D186*$J$5</f>
        <v>1.26315789473684</v>
      </c>
      <c r="F186" s="9" t="n">
        <f aca="false">E186-C186</f>
        <v>-3.73684210526316</v>
      </c>
      <c r="G186" s="11" t="n">
        <f aca="false">IF(AND(C186=0,E186=0),0,IF(C186=0,"New",(E186-C186)/C186))</f>
        <v>-0.747368421052632</v>
      </c>
      <c r="H186" s="9" t="n">
        <f aca="false">SUMIFS('Source 2025'!$F:$F,'Source 2025'!$B:$B,$A186,'Source 2025'!$A:$A,"Amount (NIS)")+SUMIFS('Source 2025'!$H:$H,'Source 2025'!$B:$B,$A186,'Source 2025'!$A:$A,"Amount (NIS)")+SUMIFS('Source 2025'!$M:$M,'Source 2025'!$B:$B,$A186,'Source 2025'!$A:$A,"Amount (NIS)")+SUMIFS('Source 2025'!$N:$N,'Source 2025'!$B:$B,$A186,'Source 2025'!$A:$A,"Amount (NIS)")+SUMIFS('Source 2025'!$S:$S,'Source 2025'!$B:$B,$A186,'Source 2025'!$A:$A,"Amount (NIS)")+SUMIFS('Source 2025'!$U:$U,'Source 2025'!$B:$B,$A186,'Source 2025'!$A:$A,"Amount (NIS)")+SUMIFS('Source 2025'!$D:$D,'Source 2025'!$B:$B,$A186,'Source 2025'!$A:$A,"Amount (NIS)")+SUMIFS('Source 2025'!$E:$E,'Source 2025'!$B:$B,$A186,'Source 2025'!$A:$A,"Amount (NIS)")+SUMIFS('Source 2025'!$G:$G,'Source 2025'!$B:$B,$A186,'Source 2025'!$A:$A,"Amount (NIS)")</f>
        <v>592.8</v>
      </c>
      <c r="I186" s="9" t="n">
        <f aca="false">SUMIFS('Source 2026'!$F:$F,'Source 2026'!$B:$B,$A186,'Source 2026'!$A:$A,"Amount (NIS)")+SUMIFS('Source 2026'!$H:$H,'Source 2026'!$B:$B,$A186,'Source 2026'!$A:$A,"Amount (NIS)")+SUMIFS('Source 2026'!$M:$M,'Source 2026'!$B:$B,$A186,'Source 2026'!$A:$A,"Amount (NIS)")+SUMIFS('Source 2026'!$N:$N,'Source 2026'!$B:$B,$A186,'Source 2026'!$A:$A,"Amount (NIS)")+SUMIFS('Source 2026'!$S:$S,'Source 2026'!$B:$B,$A186,'Source 2026'!$A:$A,"Amount (NIS)")+SUMIFS('Source 2026'!$U:$U,'Source 2026'!$B:$B,$A186,'Source 2026'!$A:$A,"Amount (NIS)")+SUMIFS('Source 2026'!$D:$D,'Source 2026'!$B:$B,$A186,'Source 2026'!$A:$A,"Amount (NIS)")+SUMIFS('Source 2026'!$E:$E,'Source 2026'!$B:$B,$A186,'Source 2026'!$A:$A,"Amount (NIS)")+SUMIFS('Source 2026'!$G:$G,'Source 2026'!$B:$B,$A186,'Source 2026'!$A:$A,"Amount (NIS)")</f>
        <v>118.6</v>
      </c>
      <c r="J186" s="9" t="n">
        <f aca="false">I186*$J$5</f>
        <v>149.810526315789</v>
      </c>
      <c r="K186" s="9" t="n">
        <f aca="false">J186-H186</f>
        <v>-442.989473684211</v>
      </c>
      <c r="L186" s="11" t="n">
        <f aca="false">IF(AND(H186=0,J186=0),0,IF(H186=0,"New",(J186-H186)/H186))</f>
        <v>-0.747283187726401</v>
      </c>
    </row>
    <row r="187" customFormat="false" ht="15" hidden="false" customHeight="true" outlineLevel="0" collapsed="false">
      <c r="A187" s="8" t="s">
        <v>256</v>
      </c>
      <c r="B187" s="8" t="str">
        <f aca="false">IFERROR(INDEX('Source 2026'!$C:$C,MATCH($A187,'Source 2026'!$B:$B,0)),IFERROR(INDEX('Source 2025'!$C:$C,MATCH($A187,'Source 2025'!$B:$B,0)),""))</f>
        <v>בננה לתמיכת אצבעות ז.כרית</v>
      </c>
      <c r="C187" s="9" t="n">
        <f aca="false">SUMIFS('Source 2025'!$F:$F,'Source 2025'!$B:$B,$A187,'Source 2025'!$A:$A,"Quantity (units)")+SUMIFS('Source 2025'!$H:$H,'Source 2025'!$B:$B,$A187,'Source 2025'!$A:$A,"Quantity (units)")+SUMIFS('Source 2025'!$M:$M,'Source 2025'!$B:$B,$A187,'Source 2025'!$A:$A,"Quantity (units)")+SUMIFS('Source 2025'!$N:$N,'Source 2025'!$B:$B,$A187,'Source 2025'!$A:$A,"Quantity (units)")+SUMIFS('Source 2025'!$S:$S,'Source 2025'!$B:$B,$A187,'Source 2025'!$A:$A,"Quantity (units)")+SUMIFS('Source 2025'!$U:$U,'Source 2025'!$B:$B,$A187,'Source 2025'!$A:$A,"Quantity (units)")+SUMIFS('Source 2025'!$D:$D,'Source 2025'!$B:$B,$A187,'Source 2025'!$A:$A,"Quantity (units)")+SUMIFS('Source 2025'!$E:$E,'Source 2025'!$B:$B,$A187,'Source 2025'!$A:$A,"Quantity (units)")+SUMIFS('Source 2025'!$G:$G,'Source 2025'!$B:$B,$A187,'Source 2025'!$A:$A,"Quantity (units)")</f>
        <v>124</v>
      </c>
      <c r="D187" s="9" t="n">
        <f aca="false">SUMIFS('Source 2026'!$F:$F,'Source 2026'!$B:$B,$A187,'Source 2026'!$A:$A,"Quantity (units)")+SUMIFS('Source 2026'!$H:$H,'Source 2026'!$B:$B,$A187,'Source 2026'!$A:$A,"Quantity (units)")+SUMIFS('Source 2026'!$M:$M,'Source 2026'!$B:$B,$A187,'Source 2026'!$A:$A,"Quantity (units)")+SUMIFS('Source 2026'!$N:$N,'Source 2026'!$B:$B,$A187,'Source 2026'!$A:$A,"Quantity (units)")+SUMIFS('Source 2026'!$S:$S,'Source 2026'!$B:$B,$A187,'Source 2026'!$A:$A,"Quantity (units)")+SUMIFS('Source 2026'!$U:$U,'Source 2026'!$B:$B,$A187,'Source 2026'!$A:$A,"Quantity (units)")+SUMIFS('Source 2026'!$D:$D,'Source 2026'!$B:$B,$A187,'Source 2026'!$A:$A,"Quantity (units)")+SUMIFS('Source 2026'!$E:$E,'Source 2026'!$B:$B,$A187,'Source 2026'!$A:$A,"Quantity (units)")+SUMIFS('Source 2026'!$G:$G,'Source 2026'!$B:$B,$A187,'Source 2026'!$A:$A,"Quantity (units)")</f>
        <v>105</v>
      </c>
      <c r="E187" s="9" t="n">
        <f aca="false">D187*$J$5</f>
        <v>132.631578947368</v>
      </c>
      <c r="F187" s="9" t="n">
        <f aca="false">E187-C187</f>
        <v>8.63157894736841</v>
      </c>
      <c r="G187" s="11" t="n">
        <f aca="false">IF(AND(C187=0,E187=0),0,IF(C187=0,"New",(E187-C187)/C187))</f>
        <v>0.0696095076400678</v>
      </c>
      <c r="H187" s="9" t="n">
        <f aca="false">SUMIFS('Source 2025'!$F:$F,'Source 2025'!$B:$B,$A187,'Source 2025'!$A:$A,"Amount (NIS)")+SUMIFS('Source 2025'!$H:$H,'Source 2025'!$B:$B,$A187,'Source 2025'!$A:$A,"Amount (NIS)")+SUMIFS('Source 2025'!$M:$M,'Source 2025'!$B:$B,$A187,'Source 2025'!$A:$A,"Amount (NIS)")+SUMIFS('Source 2025'!$N:$N,'Source 2025'!$B:$B,$A187,'Source 2025'!$A:$A,"Amount (NIS)")+SUMIFS('Source 2025'!$S:$S,'Source 2025'!$B:$B,$A187,'Source 2025'!$A:$A,"Amount (NIS)")+SUMIFS('Source 2025'!$U:$U,'Source 2025'!$B:$B,$A187,'Source 2025'!$A:$A,"Amount (NIS)")+SUMIFS('Source 2025'!$D:$D,'Source 2025'!$B:$B,$A187,'Source 2025'!$A:$A,"Amount (NIS)")+SUMIFS('Source 2025'!$E:$E,'Source 2025'!$B:$B,$A187,'Source 2025'!$A:$A,"Amount (NIS)")+SUMIFS('Source 2025'!$G:$G,'Source 2025'!$B:$B,$A187,'Source 2025'!$A:$A,"Amount (NIS)")</f>
        <v>3220.9</v>
      </c>
      <c r="I187" s="9" t="n">
        <f aca="false">SUMIFS('Source 2026'!$F:$F,'Source 2026'!$B:$B,$A187,'Source 2026'!$A:$A,"Amount (NIS)")+SUMIFS('Source 2026'!$H:$H,'Source 2026'!$B:$B,$A187,'Source 2026'!$A:$A,"Amount (NIS)")+SUMIFS('Source 2026'!$M:$M,'Source 2026'!$B:$B,$A187,'Source 2026'!$A:$A,"Amount (NIS)")+SUMIFS('Source 2026'!$N:$N,'Source 2026'!$B:$B,$A187,'Source 2026'!$A:$A,"Amount (NIS)")+SUMIFS('Source 2026'!$S:$S,'Source 2026'!$B:$B,$A187,'Source 2026'!$A:$A,"Amount (NIS)")+SUMIFS('Source 2026'!$U:$U,'Source 2026'!$B:$B,$A187,'Source 2026'!$A:$A,"Amount (NIS)")+SUMIFS('Source 2026'!$D:$D,'Source 2026'!$B:$B,$A187,'Source 2026'!$A:$A,"Amount (NIS)")+SUMIFS('Source 2026'!$E:$E,'Source 2026'!$B:$B,$A187,'Source 2026'!$A:$A,"Amount (NIS)")+SUMIFS('Source 2026'!$G:$G,'Source 2026'!$B:$B,$A187,'Source 2026'!$A:$A,"Amount (NIS)")</f>
        <v>2749.1</v>
      </c>
      <c r="J187" s="9" t="n">
        <f aca="false">I187*$J$5</f>
        <v>3472.54736842105</v>
      </c>
      <c r="K187" s="9" t="n">
        <f aca="false">J187-H187</f>
        <v>251.647368421052</v>
      </c>
      <c r="L187" s="11" t="n">
        <f aca="false">IF(AND(H187=0,J187=0),0,IF(H187=0,"New",(J187-H187)/H187))</f>
        <v>0.0781295192092435</v>
      </c>
    </row>
    <row r="188" customFormat="false" ht="15" hidden="false" customHeight="true" outlineLevel="0" collapsed="false">
      <c r="A188" s="8" t="s">
        <v>257</v>
      </c>
      <c r="B188" s="8" t="str">
        <f aca="false">IFERROR(INDEX('Source 2026'!$C:$C,MATCH($A188,'Source 2026'!$B:$B,0)),IFERROR(INDEX('Source 2025'!$C:$C,MATCH($A188,'Source 2025'!$B:$B,0)),""))</f>
        <v>L שמאל CTS כפפות</v>
      </c>
      <c r="C188" s="9" t="n">
        <f aca="false">SUMIFS('Source 2025'!$F:$F,'Source 2025'!$B:$B,$A188,'Source 2025'!$A:$A,"Quantity (units)")+SUMIFS('Source 2025'!$H:$H,'Source 2025'!$B:$B,$A188,'Source 2025'!$A:$A,"Quantity (units)")+SUMIFS('Source 2025'!$M:$M,'Source 2025'!$B:$B,$A188,'Source 2025'!$A:$A,"Quantity (units)")+SUMIFS('Source 2025'!$N:$N,'Source 2025'!$B:$B,$A188,'Source 2025'!$A:$A,"Quantity (units)")+SUMIFS('Source 2025'!$S:$S,'Source 2025'!$B:$B,$A188,'Source 2025'!$A:$A,"Quantity (units)")+SUMIFS('Source 2025'!$U:$U,'Source 2025'!$B:$B,$A188,'Source 2025'!$A:$A,"Quantity (units)")+SUMIFS('Source 2025'!$D:$D,'Source 2025'!$B:$B,$A188,'Source 2025'!$A:$A,"Quantity (units)")+SUMIFS('Source 2025'!$E:$E,'Source 2025'!$B:$B,$A188,'Source 2025'!$A:$A,"Quantity (units)")+SUMIFS('Source 2025'!$G:$G,'Source 2025'!$B:$B,$A188,'Source 2025'!$A:$A,"Quantity (units)")</f>
        <v>0</v>
      </c>
      <c r="D188" s="9" t="n">
        <f aca="false">SUMIFS('Source 2026'!$F:$F,'Source 2026'!$B:$B,$A188,'Source 2026'!$A:$A,"Quantity (units)")+SUMIFS('Source 2026'!$H:$H,'Source 2026'!$B:$B,$A188,'Source 2026'!$A:$A,"Quantity (units)")+SUMIFS('Source 2026'!$M:$M,'Source 2026'!$B:$B,$A188,'Source 2026'!$A:$A,"Quantity (units)")+SUMIFS('Source 2026'!$N:$N,'Source 2026'!$B:$B,$A188,'Source 2026'!$A:$A,"Quantity (units)")+SUMIFS('Source 2026'!$S:$S,'Source 2026'!$B:$B,$A188,'Source 2026'!$A:$A,"Quantity (units)")+SUMIFS('Source 2026'!$U:$U,'Source 2026'!$B:$B,$A188,'Source 2026'!$A:$A,"Quantity (units)")+SUMIFS('Source 2026'!$D:$D,'Source 2026'!$B:$B,$A188,'Source 2026'!$A:$A,"Quantity (units)")+SUMIFS('Source 2026'!$E:$E,'Source 2026'!$B:$B,$A188,'Source 2026'!$A:$A,"Quantity (units)")+SUMIFS('Source 2026'!$G:$G,'Source 2026'!$B:$B,$A188,'Source 2026'!$A:$A,"Quantity (units)")</f>
        <v>4</v>
      </c>
      <c r="E188" s="9" t="n">
        <f aca="false">D188*$J$5</f>
        <v>5.05263157894737</v>
      </c>
      <c r="F188" s="9" t="n">
        <f aca="false">E188-C188</f>
        <v>5.05263157894737</v>
      </c>
      <c r="G188" s="11" t="str">
        <f aca="false">IF(AND(C188=0,E188=0),0,IF(C188=0,"New",(E188-C188)/C188))</f>
        <v>New</v>
      </c>
      <c r="H188" s="9" t="n">
        <f aca="false">SUMIFS('Source 2025'!$F:$F,'Source 2025'!$B:$B,$A188,'Source 2025'!$A:$A,"Amount (NIS)")+SUMIFS('Source 2025'!$H:$H,'Source 2025'!$B:$B,$A188,'Source 2025'!$A:$A,"Amount (NIS)")+SUMIFS('Source 2025'!$M:$M,'Source 2025'!$B:$B,$A188,'Source 2025'!$A:$A,"Amount (NIS)")+SUMIFS('Source 2025'!$N:$N,'Source 2025'!$B:$B,$A188,'Source 2025'!$A:$A,"Amount (NIS)")+SUMIFS('Source 2025'!$S:$S,'Source 2025'!$B:$B,$A188,'Source 2025'!$A:$A,"Amount (NIS)")+SUMIFS('Source 2025'!$U:$U,'Source 2025'!$B:$B,$A188,'Source 2025'!$A:$A,"Amount (NIS)")+SUMIFS('Source 2025'!$D:$D,'Source 2025'!$B:$B,$A188,'Source 2025'!$A:$A,"Amount (NIS)")+SUMIFS('Source 2025'!$E:$E,'Source 2025'!$B:$B,$A188,'Source 2025'!$A:$A,"Amount (NIS)")+SUMIFS('Source 2025'!$G:$G,'Source 2025'!$B:$B,$A188,'Source 2025'!$A:$A,"Amount (NIS)")</f>
        <v>0</v>
      </c>
      <c r="I188" s="9" t="n">
        <f aca="false">SUMIFS('Source 2026'!$F:$F,'Source 2026'!$B:$B,$A188,'Source 2026'!$A:$A,"Amount (NIS)")+SUMIFS('Source 2026'!$H:$H,'Source 2026'!$B:$B,$A188,'Source 2026'!$A:$A,"Amount (NIS)")+SUMIFS('Source 2026'!$M:$M,'Source 2026'!$B:$B,$A188,'Source 2026'!$A:$A,"Amount (NIS)")+SUMIFS('Source 2026'!$N:$N,'Source 2026'!$B:$B,$A188,'Source 2026'!$A:$A,"Amount (NIS)")+SUMIFS('Source 2026'!$S:$S,'Source 2026'!$B:$B,$A188,'Source 2026'!$A:$A,"Amount (NIS)")+SUMIFS('Source 2026'!$U:$U,'Source 2026'!$B:$B,$A188,'Source 2026'!$A:$A,"Amount (NIS)")+SUMIFS('Source 2026'!$D:$D,'Source 2026'!$B:$B,$A188,'Source 2026'!$A:$A,"Amount (NIS)")+SUMIFS('Source 2026'!$E:$E,'Source 2026'!$B:$B,$A188,'Source 2026'!$A:$A,"Amount (NIS)")+SUMIFS('Source 2026'!$G:$G,'Source 2026'!$B:$B,$A188,'Source 2026'!$A:$A,"Amount (NIS)")</f>
        <v>468.5</v>
      </c>
      <c r="J188" s="9" t="n">
        <f aca="false">I188*$J$5</f>
        <v>591.789473684211</v>
      </c>
      <c r="K188" s="9" t="n">
        <f aca="false">J188-H188</f>
        <v>591.789473684211</v>
      </c>
      <c r="L188" s="11" t="str">
        <f aca="false">IF(AND(H188=0,J188=0),0,IF(H188=0,"New",(J188-H188)/H188))</f>
        <v>New</v>
      </c>
    </row>
    <row r="189" customFormat="false" ht="15" hidden="false" customHeight="true" outlineLevel="0" collapsed="false">
      <c r="A189" s="8" t="s">
        <v>258</v>
      </c>
      <c r="B189" s="8" t="str">
        <f aca="false">IFERROR(INDEX('Source 2026'!$C:$C,MATCH($A189,'Source 2026'!$B:$B,0)),IFERROR(INDEX('Source 2025'!$C:$C,MATCH($A189,'Source 2025'!$B:$B,0)),""))</f>
        <v>S מגן מרפק</v>
      </c>
      <c r="C189" s="9" t="n">
        <f aca="false">SUMIFS('Source 2025'!$F:$F,'Source 2025'!$B:$B,$A189,'Source 2025'!$A:$A,"Quantity (units)")+SUMIFS('Source 2025'!$H:$H,'Source 2025'!$B:$B,$A189,'Source 2025'!$A:$A,"Quantity (units)")+SUMIFS('Source 2025'!$M:$M,'Source 2025'!$B:$B,$A189,'Source 2025'!$A:$A,"Quantity (units)")+SUMIFS('Source 2025'!$N:$N,'Source 2025'!$B:$B,$A189,'Source 2025'!$A:$A,"Quantity (units)")+SUMIFS('Source 2025'!$S:$S,'Source 2025'!$B:$B,$A189,'Source 2025'!$A:$A,"Quantity (units)")+SUMIFS('Source 2025'!$U:$U,'Source 2025'!$B:$B,$A189,'Source 2025'!$A:$A,"Quantity (units)")+SUMIFS('Source 2025'!$D:$D,'Source 2025'!$B:$B,$A189,'Source 2025'!$A:$A,"Quantity (units)")+SUMIFS('Source 2025'!$E:$E,'Source 2025'!$B:$B,$A189,'Source 2025'!$A:$A,"Quantity (units)")+SUMIFS('Source 2025'!$G:$G,'Source 2025'!$B:$B,$A189,'Source 2025'!$A:$A,"Quantity (units)")</f>
        <v>18</v>
      </c>
      <c r="D189" s="9" t="n">
        <f aca="false">SUMIFS('Source 2026'!$F:$F,'Source 2026'!$B:$B,$A189,'Source 2026'!$A:$A,"Quantity (units)")+SUMIFS('Source 2026'!$H:$H,'Source 2026'!$B:$B,$A189,'Source 2026'!$A:$A,"Quantity (units)")+SUMIFS('Source 2026'!$M:$M,'Source 2026'!$B:$B,$A189,'Source 2026'!$A:$A,"Quantity (units)")+SUMIFS('Source 2026'!$N:$N,'Source 2026'!$B:$B,$A189,'Source 2026'!$A:$A,"Quantity (units)")+SUMIFS('Source 2026'!$S:$S,'Source 2026'!$B:$B,$A189,'Source 2026'!$A:$A,"Quantity (units)")+SUMIFS('Source 2026'!$U:$U,'Source 2026'!$B:$B,$A189,'Source 2026'!$A:$A,"Quantity (units)")+SUMIFS('Source 2026'!$D:$D,'Source 2026'!$B:$B,$A189,'Source 2026'!$A:$A,"Quantity (units)")+SUMIFS('Source 2026'!$E:$E,'Source 2026'!$B:$B,$A189,'Source 2026'!$A:$A,"Quantity (units)")+SUMIFS('Source 2026'!$G:$G,'Source 2026'!$B:$B,$A189,'Source 2026'!$A:$A,"Quantity (units)")</f>
        <v>20</v>
      </c>
      <c r="E189" s="9" t="n">
        <f aca="false">D189*$J$5</f>
        <v>25.2631578947368</v>
      </c>
      <c r="F189" s="9" t="n">
        <f aca="false">E189-C189</f>
        <v>7.26315789473684</v>
      </c>
      <c r="G189" s="11" t="n">
        <f aca="false">IF(AND(C189=0,E189=0),0,IF(C189=0,"New",(E189-C189)/C189))</f>
        <v>0.403508771929825</v>
      </c>
      <c r="H189" s="9" t="n">
        <f aca="false">SUMIFS('Source 2025'!$F:$F,'Source 2025'!$B:$B,$A189,'Source 2025'!$A:$A,"Amount (NIS)")+SUMIFS('Source 2025'!$H:$H,'Source 2025'!$B:$B,$A189,'Source 2025'!$A:$A,"Amount (NIS)")+SUMIFS('Source 2025'!$M:$M,'Source 2025'!$B:$B,$A189,'Source 2025'!$A:$A,"Amount (NIS)")+SUMIFS('Source 2025'!$N:$N,'Source 2025'!$B:$B,$A189,'Source 2025'!$A:$A,"Amount (NIS)")+SUMIFS('Source 2025'!$S:$S,'Source 2025'!$B:$B,$A189,'Source 2025'!$A:$A,"Amount (NIS)")+SUMIFS('Source 2025'!$U:$U,'Source 2025'!$B:$B,$A189,'Source 2025'!$A:$A,"Amount (NIS)")+SUMIFS('Source 2025'!$D:$D,'Source 2025'!$B:$B,$A189,'Source 2025'!$A:$A,"Amount (NIS)")+SUMIFS('Source 2025'!$E:$E,'Source 2025'!$B:$B,$A189,'Source 2025'!$A:$A,"Amount (NIS)")+SUMIFS('Source 2025'!$G:$G,'Source 2025'!$B:$B,$A189,'Source 2025'!$A:$A,"Amount (NIS)")</f>
        <v>1433.9</v>
      </c>
      <c r="I189" s="9" t="n">
        <f aca="false">SUMIFS('Source 2026'!$F:$F,'Source 2026'!$B:$B,$A189,'Source 2026'!$A:$A,"Amount (NIS)")+SUMIFS('Source 2026'!$H:$H,'Source 2026'!$B:$B,$A189,'Source 2026'!$A:$A,"Amount (NIS)")+SUMIFS('Source 2026'!$M:$M,'Source 2026'!$B:$B,$A189,'Source 2026'!$A:$A,"Amount (NIS)")+SUMIFS('Source 2026'!$N:$N,'Source 2026'!$B:$B,$A189,'Source 2026'!$A:$A,"Amount (NIS)")+SUMIFS('Source 2026'!$S:$S,'Source 2026'!$B:$B,$A189,'Source 2026'!$A:$A,"Amount (NIS)")+SUMIFS('Source 2026'!$U:$U,'Source 2026'!$B:$B,$A189,'Source 2026'!$A:$A,"Amount (NIS)")+SUMIFS('Source 2026'!$D:$D,'Source 2026'!$B:$B,$A189,'Source 2026'!$A:$A,"Amount (NIS)")+SUMIFS('Source 2026'!$E:$E,'Source 2026'!$B:$B,$A189,'Source 2026'!$A:$A,"Amount (NIS)")+SUMIFS('Source 2026'!$G:$G,'Source 2026'!$B:$B,$A189,'Source 2026'!$A:$A,"Amount (NIS)")</f>
        <v>1879.6</v>
      </c>
      <c r="J189" s="9" t="n">
        <f aca="false">I189*$J$5</f>
        <v>2374.23157894737</v>
      </c>
      <c r="K189" s="9" t="n">
        <f aca="false">J189-H189</f>
        <v>940.331578947368</v>
      </c>
      <c r="L189" s="11" t="n">
        <f aca="false">IF(AND(H189=0,J189=0),0,IF(H189=0,"New",(J189-H189)/H189))</f>
        <v>0.655786023395891</v>
      </c>
    </row>
    <row r="190" customFormat="false" ht="15" hidden="false" customHeight="true" outlineLevel="0" collapsed="false">
      <c r="A190" s="8" t="s">
        <v>259</v>
      </c>
      <c r="B190" s="8" t="str">
        <f aca="false">IFERROR(INDEX('Source 2026'!$C:$C,MATCH($A190,'Source 2026'!$B:$B,0)),IFERROR(INDEX('Source 2025'!$C:$C,MATCH($A190,'Source 2025'!$B:$B,0)),""))</f>
        <v>סיליק.לכרית כף הרגל373</v>
      </c>
      <c r="C190" s="9" t="n">
        <f aca="false">SUMIFS('Source 2025'!$F:$F,'Source 2025'!$B:$B,$A190,'Source 2025'!$A:$A,"Quantity (units)")+SUMIFS('Source 2025'!$H:$H,'Source 2025'!$B:$B,$A190,'Source 2025'!$A:$A,"Quantity (units)")+SUMIFS('Source 2025'!$M:$M,'Source 2025'!$B:$B,$A190,'Source 2025'!$A:$A,"Quantity (units)")+SUMIFS('Source 2025'!$N:$N,'Source 2025'!$B:$B,$A190,'Source 2025'!$A:$A,"Quantity (units)")+SUMIFS('Source 2025'!$S:$S,'Source 2025'!$B:$B,$A190,'Source 2025'!$A:$A,"Quantity (units)")+SUMIFS('Source 2025'!$U:$U,'Source 2025'!$B:$B,$A190,'Source 2025'!$A:$A,"Quantity (units)")+SUMIFS('Source 2025'!$D:$D,'Source 2025'!$B:$B,$A190,'Source 2025'!$A:$A,"Quantity (units)")+SUMIFS('Source 2025'!$E:$E,'Source 2025'!$B:$B,$A190,'Source 2025'!$A:$A,"Quantity (units)")+SUMIFS('Source 2025'!$G:$G,'Source 2025'!$B:$B,$A190,'Source 2025'!$A:$A,"Quantity (units)")</f>
        <v>54</v>
      </c>
      <c r="D190" s="9" t="n">
        <f aca="false">SUMIFS('Source 2026'!$F:$F,'Source 2026'!$B:$B,$A190,'Source 2026'!$A:$A,"Quantity (units)")+SUMIFS('Source 2026'!$H:$H,'Source 2026'!$B:$B,$A190,'Source 2026'!$A:$A,"Quantity (units)")+SUMIFS('Source 2026'!$M:$M,'Source 2026'!$B:$B,$A190,'Source 2026'!$A:$A,"Quantity (units)")+SUMIFS('Source 2026'!$N:$N,'Source 2026'!$B:$B,$A190,'Source 2026'!$A:$A,"Quantity (units)")+SUMIFS('Source 2026'!$S:$S,'Source 2026'!$B:$B,$A190,'Source 2026'!$A:$A,"Quantity (units)")+SUMIFS('Source 2026'!$U:$U,'Source 2026'!$B:$B,$A190,'Source 2026'!$A:$A,"Quantity (units)")+SUMIFS('Source 2026'!$D:$D,'Source 2026'!$B:$B,$A190,'Source 2026'!$A:$A,"Quantity (units)")+SUMIFS('Source 2026'!$E:$E,'Source 2026'!$B:$B,$A190,'Source 2026'!$A:$A,"Quantity (units)")+SUMIFS('Source 2026'!$G:$G,'Source 2026'!$B:$B,$A190,'Source 2026'!$A:$A,"Quantity (units)")</f>
        <v>32</v>
      </c>
      <c r="E190" s="9" t="n">
        <f aca="false">D190*$J$5</f>
        <v>40.4210526315789</v>
      </c>
      <c r="F190" s="9" t="n">
        <f aca="false">E190-C190</f>
        <v>-13.5789473684211</v>
      </c>
      <c r="G190" s="11" t="n">
        <f aca="false">IF(AND(C190=0,E190=0),0,IF(C190=0,"New",(E190-C190)/C190))</f>
        <v>-0.251461988304094</v>
      </c>
      <c r="H190" s="9" t="n">
        <f aca="false">SUMIFS('Source 2025'!$F:$F,'Source 2025'!$B:$B,$A190,'Source 2025'!$A:$A,"Amount (NIS)")+SUMIFS('Source 2025'!$H:$H,'Source 2025'!$B:$B,$A190,'Source 2025'!$A:$A,"Amount (NIS)")+SUMIFS('Source 2025'!$M:$M,'Source 2025'!$B:$B,$A190,'Source 2025'!$A:$A,"Amount (NIS)")+SUMIFS('Source 2025'!$N:$N,'Source 2025'!$B:$B,$A190,'Source 2025'!$A:$A,"Amount (NIS)")+SUMIFS('Source 2025'!$S:$S,'Source 2025'!$B:$B,$A190,'Source 2025'!$A:$A,"Amount (NIS)")+SUMIFS('Source 2025'!$U:$U,'Source 2025'!$B:$B,$A190,'Source 2025'!$A:$A,"Amount (NIS)")+SUMIFS('Source 2025'!$D:$D,'Source 2025'!$B:$B,$A190,'Source 2025'!$A:$A,"Amount (NIS)")+SUMIFS('Source 2025'!$E:$E,'Source 2025'!$B:$B,$A190,'Source 2025'!$A:$A,"Amount (NIS)")+SUMIFS('Source 2025'!$G:$G,'Source 2025'!$B:$B,$A190,'Source 2025'!$A:$A,"Amount (NIS)")</f>
        <v>1072.9</v>
      </c>
      <c r="I190" s="9" t="n">
        <f aca="false">SUMIFS('Source 2026'!$F:$F,'Source 2026'!$B:$B,$A190,'Source 2026'!$A:$A,"Amount (NIS)")+SUMIFS('Source 2026'!$H:$H,'Source 2026'!$B:$B,$A190,'Source 2026'!$A:$A,"Amount (NIS)")+SUMIFS('Source 2026'!$M:$M,'Source 2026'!$B:$B,$A190,'Source 2026'!$A:$A,"Amount (NIS)")+SUMIFS('Source 2026'!$N:$N,'Source 2026'!$B:$B,$A190,'Source 2026'!$A:$A,"Amount (NIS)")+SUMIFS('Source 2026'!$S:$S,'Source 2026'!$B:$B,$A190,'Source 2026'!$A:$A,"Amount (NIS)")+SUMIFS('Source 2026'!$U:$U,'Source 2026'!$B:$B,$A190,'Source 2026'!$A:$A,"Amount (NIS)")+SUMIFS('Source 2026'!$D:$D,'Source 2026'!$B:$B,$A190,'Source 2026'!$A:$A,"Amount (NIS)")+SUMIFS('Source 2026'!$E:$E,'Source 2026'!$B:$B,$A190,'Source 2026'!$A:$A,"Amount (NIS)")+SUMIFS('Source 2026'!$G:$G,'Source 2026'!$B:$B,$A190,'Source 2026'!$A:$A,"Amount (NIS)")</f>
        <v>657.5</v>
      </c>
      <c r="J190" s="9" t="n">
        <f aca="false">I190*$J$5</f>
        <v>830.526315789474</v>
      </c>
      <c r="K190" s="9" t="n">
        <f aca="false">J190-H190</f>
        <v>-242.373684210526</v>
      </c>
      <c r="L190" s="11" t="n">
        <f aca="false">IF(AND(H190=0,J190=0),0,IF(H190=0,"New",(J190-H190)/H190))</f>
        <v>-0.225905195461391</v>
      </c>
    </row>
    <row r="191" customFormat="false" ht="15" hidden="false" customHeight="true" outlineLevel="0" collapsed="false">
      <c r="A191" s="8" t="s">
        <v>260</v>
      </c>
      <c r="B191" s="8" t="str">
        <f aca="false">IFERROR(INDEX('Source 2026'!$C:$C,MATCH($A191,'Source 2026'!$B:$B,0)),IFERROR(INDEX('Source 2025'!$C:$C,MATCH($A191,'Source 2025'!$B:$B,0)),""))</f>
        <v>L חגורת צלעות לגבר</v>
      </c>
      <c r="C191" s="9" t="n">
        <f aca="false">SUMIFS('Source 2025'!$F:$F,'Source 2025'!$B:$B,$A191,'Source 2025'!$A:$A,"Quantity (units)")+SUMIFS('Source 2025'!$H:$H,'Source 2025'!$B:$B,$A191,'Source 2025'!$A:$A,"Quantity (units)")+SUMIFS('Source 2025'!$M:$M,'Source 2025'!$B:$B,$A191,'Source 2025'!$A:$A,"Quantity (units)")+SUMIFS('Source 2025'!$N:$N,'Source 2025'!$B:$B,$A191,'Source 2025'!$A:$A,"Quantity (units)")+SUMIFS('Source 2025'!$S:$S,'Source 2025'!$B:$B,$A191,'Source 2025'!$A:$A,"Quantity (units)")+SUMIFS('Source 2025'!$U:$U,'Source 2025'!$B:$B,$A191,'Source 2025'!$A:$A,"Quantity (units)")+SUMIFS('Source 2025'!$D:$D,'Source 2025'!$B:$B,$A191,'Source 2025'!$A:$A,"Quantity (units)")+SUMIFS('Source 2025'!$E:$E,'Source 2025'!$B:$B,$A191,'Source 2025'!$A:$A,"Quantity (units)")+SUMIFS('Source 2025'!$G:$G,'Source 2025'!$B:$B,$A191,'Source 2025'!$A:$A,"Quantity (units)")</f>
        <v>3</v>
      </c>
      <c r="D191" s="9" t="n">
        <f aca="false">SUMIFS('Source 2026'!$F:$F,'Source 2026'!$B:$B,$A191,'Source 2026'!$A:$A,"Quantity (units)")+SUMIFS('Source 2026'!$H:$H,'Source 2026'!$B:$B,$A191,'Source 2026'!$A:$A,"Quantity (units)")+SUMIFS('Source 2026'!$M:$M,'Source 2026'!$B:$B,$A191,'Source 2026'!$A:$A,"Quantity (units)")+SUMIFS('Source 2026'!$N:$N,'Source 2026'!$B:$B,$A191,'Source 2026'!$A:$A,"Quantity (units)")+SUMIFS('Source 2026'!$S:$S,'Source 2026'!$B:$B,$A191,'Source 2026'!$A:$A,"Quantity (units)")+SUMIFS('Source 2026'!$U:$U,'Source 2026'!$B:$B,$A191,'Source 2026'!$A:$A,"Quantity (units)")+SUMIFS('Source 2026'!$D:$D,'Source 2026'!$B:$B,$A191,'Source 2026'!$A:$A,"Quantity (units)")+SUMIFS('Source 2026'!$E:$E,'Source 2026'!$B:$B,$A191,'Source 2026'!$A:$A,"Quantity (units)")+SUMIFS('Source 2026'!$G:$G,'Source 2026'!$B:$B,$A191,'Source 2026'!$A:$A,"Quantity (units)")</f>
        <v>0</v>
      </c>
      <c r="E191" s="9" t="n">
        <f aca="false">D191*$J$5</f>
        <v>0</v>
      </c>
      <c r="F191" s="9" t="n">
        <f aca="false">E191-C191</f>
        <v>-3</v>
      </c>
      <c r="G191" s="11" t="n">
        <f aca="false">IF(AND(C191=0,E191=0),0,IF(C191=0,"New",(E191-C191)/C191))</f>
        <v>-1</v>
      </c>
      <c r="H191" s="9" t="n">
        <f aca="false">SUMIFS('Source 2025'!$F:$F,'Source 2025'!$B:$B,$A191,'Source 2025'!$A:$A,"Amount (NIS)")+SUMIFS('Source 2025'!$H:$H,'Source 2025'!$B:$B,$A191,'Source 2025'!$A:$A,"Amount (NIS)")+SUMIFS('Source 2025'!$M:$M,'Source 2025'!$B:$B,$A191,'Source 2025'!$A:$A,"Amount (NIS)")+SUMIFS('Source 2025'!$N:$N,'Source 2025'!$B:$B,$A191,'Source 2025'!$A:$A,"Amount (NIS)")+SUMIFS('Source 2025'!$S:$S,'Source 2025'!$B:$B,$A191,'Source 2025'!$A:$A,"Amount (NIS)")+SUMIFS('Source 2025'!$U:$U,'Source 2025'!$B:$B,$A191,'Source 2025'!$A:$A,"Amount (NIS)")+SUMIFS('Source 2025'!$D:$D,'Source 2025'!$B:$B,$A191,'Source 2025'!$A:$A,"Amount (NIS)")+SUMIFS('Source 2025'!$E:$E,'Source 2025'!$B:$B,$A191,'Source 2025'!$A:$A,"Amount (NIS)")+SUMIFS('Source 2025'!$G:$G,'Source 2025'!$B:$B,$A191,'Source 2025'!$A:$A,"Amount (NIS)")</f>
        <v>413.5</v>
      </c>
      <c r="I191" s="9" t="n">
        <f aca="false">SUMIFS('Source 2026'!$F:$F,'Source 2026'!$B:$B,$A191,'Source 2026'!$A:$A,"Amount (NIS)")+SUMIFS('Source 2026'!$H:$H,'Source 2026'!$B:$B,$A191,'Source 2026'!$A:$A,"Amount (NIS)")+SUMIFS('Source 2026'!$M:$M,'Source 2026'!$B:$B,$A191,'Source 2026'!$A:$A,"Amount (NIS)")+SUMIFS('Source 2026'!$N:$N,'Source 2026'!$B:$B,$A191,'Source 2026'!$A:$A,"Amount (NIS)")+SUMIFS('Source 2026'!$S:$S,'Source 2026'!$B:$B,$A191,'Source 2026'!$A:$A,"Amount (NIS)")+SUMIFS('Source 2026'!$U:$U,'Source 2026'!$B:$B,$A191,'Source 2026'!$A:$A,"Amount (NIS)")+SUMIFS('Source 2026'!$D:$D,'Source 2026'!$B:$B,$A191,'Source 2026'!$A:$A,"Amount (NIS)")+SUMIFS('Source 2026'!$E:$E,'Source 2026'!$B:$B,$A191,'Source 2026'!$A:$A,"Amount (NIS)")+SUMIFS('Source 2026'!$G:$G,'Source 2026'!$B:$B,$A191,'Source 2026'!$A:$A,"Amount (NIS)")</f>
        <v>0</v>
      </c>
      <c r="J191" s="9" t="n">
        <f aca="false">I191*$J$5</f>
        <v>0</v>
      </c>
      <c r="K191" s="9" t="n">
        <f aca="false">J191-H191</f>
        <v>-413.5</v>
      </c>
      <c r="L191" s="11" t="n">
        <f aca="false">IF(AND(H191=0,J191=0),0,IF(H191=0,"New",(J191-H191)/H191))</f>
        <v>-1</v>
      </c>
    </row>
    <row r="192" customFormat="false" ht="15" hidden="false" customHeight="true" outlineLevel="0" collapsed="false">
      <c r="A192" s="8" t="s">
        <v>261</v>
      </c>
      <c r="B192" s="8" t="str">
        <f aca="false">IFERROR(INDEX('Source 2026'!$C:$C,MATCH($A192,'Source 2026'!$B:$B,0)),IFERROR(INDEX('Source 2025'!$C:$C,MATCH($A192,'Source 2025'!$B:$B,0)),""))</f>
        <v>כפפות אגודל לחץ</v>
      </c>
      <c r="C192" s="9" t="n">
        <f aca="false">SUMIFS('Source 2025'!$F:$F,'Source 2025'!$B:$B,$A192,'Source 2025'!$A:$A,"Quantity (units)")+SUMIFS('Source 2025'!$H:$H,'Source 2025'!$B:$B,$A192,'Source 2025'!$A:$A,"Quantity (units)")+SUMIFS('Source 2025'!$M:$M,'Source 2025'!$B:$B,$A192,'Source 2025'!$A:$A,"Quantity (units)")+SUMIFS('Source 2025'!$N:$N,'Source 2025'!$B:$B,$A192,'Source 2025'!$A:$A,"Quantity (units)")+SUMIFS('Source 2025'!$S:$S,'Source 2025'!$B:$B,$A192,'Source 2025'!$A:$A,"Quantity (units)")+SUMIFS('Source 2025'!$U:$U,'Source 2025'!$B:$B,$A192,'Source 2025'!$A:$A,"Quantity (units)")+SUMIFS('Source 2025'!$D:$D,'Source 2025'!$B:$B,$A192,'Source 2025'!$A:$A,"Quantity (units)")+SUMIFS('Source 2025'!$E:$E,'Source 2025'!$B:$B,$A192,'Source 2025'!$A:$A,"Quantity (units)")+SUMIFS('Source 2025'!$G:$G,'Source 2025'!$B:$B,$A192,'Source 2025'!$A:$A,"Quantity (units)")</f>
        <v>16</v>
      </c>
      <c r="D192" s="9" t="n">
        <f aca="false">SUMIFS('Source 2026'!$F:$F,'Source 2026'!$B:$B,$A192,'Source 2026'!$A:$A,"Quantity (units)")+SUMIFS('Source 2026'!$H:$H,'Source 2026'!$B:$B,$A192,'Source 2026'!$A:$A,"Quantity (units)")+SUMIFS('Source 2026'!$M:$M,'Source 2026'!$B:$B,$A192,'Source 2026'!$A:$A,"Quantity (units)")+SUMIFS('Source 2026'!$N:$N,'Source 2026'!$B:$B,$A192,'Source 2026'!$A:$A,"Quantity (units)")+SUMIFS('Source 2026'!$S:$S,'Source 2026'!$B:$B,$A192,'Source 2026'!$A:$A,"Quantity (units)")+SUMIFS('Source 2026'!$U:$U,'Source 2026'!$B:$B,$A192,'Source 2026'!$A:$A,"Quantity (units)")+SUMIFS('Source 2026'!$D:$D,'Source 2026'!$B:$B,$A192,'Source 2026'!$A:$A,"Quantity (units)")+SUMIFS('Source 2026'!$E:$E,'Source 2026'!$B:$B,$A192,'Source 2026'!$A:$A,"Quantity (units)")+SUMIFS('Source 2026'!$G:$G,'Source 2026'!$B:$B,$A192,'Source 2026'!$A:$A,"Quantity (units)")</f>
        <v>5</v>
      </c>
      <c r="E192" s="9" t="n">
        <f aca="false">D192*$J$5</f>
        <v>6.31578947368421</v>
      </c>
      <c r="F192" s="9" t="n">
        <f aca="false">E192-C192</f>
        <v>-9.68421052631579</v>
      </c>
      <c r="G192" s="11" t="n">
        <f aca="false">IF(AND(C192=0,E192=0),0,IF(C192=0,"New",(E192-C192)/C192))</f>
        <v>-0.605263157894737</v>
      </c>
      <c r="H192" s="9" t="n">
        <f aca="false">SUMIFS('Source 2025'!$F:$F,'Source 2025'!$B:$B,$A192,'Source 2025'!$A:$A,"Amount (NIS)")+SUMIFS('Source 2025'!$H:$H,'Source 2025'!$B:$B,$A192,'Source 2025'!$A:$A,"Amount (NIS)")+SUMIFS('Source 2025'!$M:$M,'Source 2025'!$B:$B,$A192,'Source 2025'!$A:$A,"Amount (NIS)")+SUMIFS('Source 2025'!$N:$N,'Source 2025'!$B:$B,$A192,'Source 2025'!$A:$A,"Amount (NIS)")+SUMIFS('Source 2025'!$S:$S,'Source 2025'!$B:$B,$A192,'Source 2025'!$A:$A,"Amount (NIS)")+SUMIFS('Source 2025'!$U:$U,'Source 2025'!$B:$B,$A192,'Source 2025'!$A:$A,"Amount (NIS)")+SUMIFS('Source 2025'!$D:$D,'Source 2025'!$B:$B,$A192,'Source 2025'!$A:$A,"Amount (NIS)")+SUMIFS('Source 2025'!$E:$E,'Source 2025'!$B:$B,$A192,'Source 2025'!$A:$A,"Amount (NIS)")+SUMIFS('Source 2025'!$G:$G,'Source 2025'!$B:$B,$A192,'Source 2025'!$A:$A,"Amount (NIS)")</f>
        <v>609.4</v>
      </c>
      <c r="I192" s="9" t="n">
        <f aca="false">SUMIFS('Source 2026'!$F:$F,'Source 2026'!$B:$B,$A192,'Source 2026'!$A:$A,"Amount (NIS)")+SUMIFS('Source 2026'!$H:$H,'Source 2026'!$B:$B,$A192,'Source 2026'!$A:$A,"Amount (NIS)")+SUMIFS('Source 2026'!$M:$M,'Source 2026'!$B:$B,$A192,'Source 2026'!$A:$A,"Amount (NIS)")+SUMIFS('Source 2026'!$N:$N,'Source 2026'!$B:$B,$A192,'Source 2026'!$A:$A,"Amount (NIS)")+SUMIFS('Source 2026'!$S:$S,'Source 2026'!$B:$B,$A192,'Source 2026'!$A:$A,"Amount (NIS)")+SUMIFS('Source 2026'!$U:$U,'Source 2026'!$B:$B,$A192,'Source 2026'!$A:$A,"Amount (NIS)")+SUMIFS('Source 2026'!$D:$D,'Source 2026'!$B:$B,$A192,'Source 2026'!$A:$A,"Amount (NIS)")+SUMIFS('Source 2026'!$E:$E,'Source 2026'!$B:$B,$A192,'Source 2026'!$A:$A,"Amount (NIS)")+SUMIFS('Source 2026'!$G:$G,'Source 2026'!$B:$B,$A192,'Source 2026'!$A:$A,"Amount (NIS)")</f>
        <v>199</v>
      </c>
      <c r="J192" s="9" t="n">
        <f aca="false">I192*$J$5</f>
        <v>251.368421052632</v>
      </c>
      <c r="K192" s="9" t="n">
        <f aca="false">J192-H192</f>
        <v>-358.031578947368</v>
      </c>
      <c r="L192" s="11" t="n">
        <f aca="false">IF(AND(H192=0,J192=0),0,IF(H192=0,"New",(J192-H192)/H192))</f>
        <v>-0.587514898174218</v>
      </c>
    </row>
    <row r="193" customFormat="false" ht="15" hidden="false" customHeight="true" outlineLevel="0" collapsed="false">
      <c r="A193" s="8" t="s">
        <v>262</v>
      </c>
      <c r="B193" s="8" t="str">
        <f aca="false">IFERROR(INDEX('Source 2026'!$C:$C,MATCH($A193,'Source 2026'!$B:$B,0)),IFERROR(INDEX('Source 2025'!$C:$C,MATCH($A193,'Source 2025'!$B:$B,0)),""))</f>
        <v>L סד לאגודל כפפה</v>
      </c>
      <c r="C193" s="9" t="n">
        <f aca="false">SUMIFS('Source 2025'!$F:$F,'Source 2025'!$B:$B,$A193,'Source 2025'!$A:$A,"Quantity (units)")+SUMIFS('Source 2025'!$H:$H,'Source 2025'!$B:$B,$A193,'Source 2025'!$A:$A,"Quantity (units)")+SUMIFS('Source 2025'!$M:$M,'Source 2025'!$B:$B,$A193,'Source 2025'!$A:$A,"Quantity (units)")+SUMIFS('Source 2025'!$N:$N,'Source 2025'!$B:$B,$A193,'Source 2025'!$A:$A,"Quantity (units)")+SUMIFS('Source 2025'!$S:$S,'Source 2025'!$B:$B,$A193,'Source 2025'!$A:$A,"Quantity (units)")+SUMIFS('Source 2025'!$U:$U,'Source 2025'!$B:$B,$A193,'Source 2025'!$A:$A,"Quantity (units)")+SUMIFS('Source 2025'!$D:$D,'Source 2025'!$B:$B,$A193,'Source 2025'!$A:$A,"Quantity (units)")+SUMIFS('Source 2025'!$E:$E,'Source 2025'!$B:$B,$A193,'Source 2025'!$A:$A,"Quantity (units)")+SUMIFS('Source 2025'!$G:$G,'Source 2025'!$B:$B,$A193,'Source 2025'!$A:$A,"Quantity (units)")</f>
        <v>12</v>
      </c>
      <c r="D193" s="9" t="n">
        <f aca="false">SUMIFS('Source 2026'!$F:$F,'Source 2026'!$B:$B,$A193,'Source 2026'!$A:$A,"Quantity (units)")+SUMIFS('Source 2026'!$H:$H,'Source 2026'!$B:$B,$A193,'Source 2026'!$A:$A,"Quantity (units)")+SUMIFS('Source 2026'!$M:$M,'Source 2026'!$B:$B,$A193,'Source 2026'!$A:$A,"Quantity (units)")+SUMIFS('Source 2026'!$N:$N,'Source 2026'!$B:$B,$A193,'Source 2026'!$A:$A,"Quantity (units)")+SUMIFS('Source 2026'!$S:$S,'Source 2026'!$B:$B,$A193,'Source 2026'!$A:$A,"Quantity (units)")+SUMIFS('Source 2026'!$U:$U,'Source 2026'!$B:$B,$A193,'Source 2026'!$A:$A,"Quantity (units)")+SUMIFS('Source 2026'!$D:$D,'Source 2026'!$B:$B,$A193,'Source 2026'!$A:$A,"Quantity (units)")+SUMIFS('Source 2026'!$E:$E,'Source 2026'!$B:$B,$A193,'Source 2026'!$A:$A,"Quantity (units)")+SUMIFS('Source 2026'!$G:$G,'Source 2026'!$B:$B,$A193,'Source 2026'!$A:$A,"Quantity (units)")</f>
        <v>6</v>
      </c>
      <c r="E193" s="9" t="n">
        <f aca="false">D193*$J$5</f>
        <v>7.57894736842105</v>
      </c>
      <c r="F193" s="9" t="n">
        <f aca="false">E193-C193</f>
        <v>-4.42105263157895</v>
      </c>
      <c r="G193" s="11" t="n">
        <f aca="false">IF(AND(C193=0,E193=0),0,IF(C193=0,"New",(E193-C193)/C193))</f>
        <v>-0.368421052631579</v>
      </c>
      <c r="H193" s="9" t="n">
        <f aca="false">SUMIFS('Source 2025'!$F:$F,'Source 2025'!$B:$B,$A193,'Source 2025'!$A:$A,"Amount (NIS)")+SUMIFS('Source 2025'!$H:$H,'Source 2025'!$B:$B,$A193,'Source 2025'!$A:$A,"Amount (NIS)")+SUMIFS('Source 2025'!$M:$M,'Source 2025'!$B:$B,$A193,'Source 2025'!$A:$A,"Amount (NIS)")+SUMIFS('Source 2025'!$N:$N,'Source 2025'!$B:$B,$A193,'Source 2025'!$A:$A,"Amount (NIS)")+SUMIFS('Source 2025'!$S:$S,'Source 2025'!$B:$B,$A193,'Source 2025'!$A:$A,"Amount (NIS)")+SUMIFS('Source 2025'!$U:$U,'Source 2025'!$B:$B,$A193,'Source 2025'!$A:$A,"Amount (NIS)")+SUMIFS('Source 2025'!$D:$D,'Source 2025'!$B:$B,$A193,'Source 2025'!$A:$A,"Amount (NIS)")+SUMIFS('Source 2025'!$E:$E,'Source 2025'!$B:$B,$A193,'Source 2025'!$A:$A,"Amount (NIS)")+SUMIFS('Source 2025'!$G:$G,'Source 2025'!$B:$B,$A193,'Source 2025'!$A:$A,"Amount (NIS)")</f>
        <v>826.7</v>
      </c>
      <c r="I193" s="9" t="n">
        <f aca="false">SUMIFS('Source 2026'!$F:$F,'Source 2026'!$B:$B,$A193,'Source 2026'!$A:$A,"Amount (NIS)")+SUMIFS('Source 2026'!$H:$H,'Source 2026'!$B:$B,$A193,'Source 2026'!$A:$A,"Amount (NIS)")+SUMIFS('Source 2026'!$M:$M,'Source 2026'!$B:$B,$A193,'Source 2026'!$A:$A,"Amount (NIS)")+SUMIFS('Source 2026'!$N:$N,'Source 2026'!$B:$B,$A193,'Source 2026'!$A:$A,"Amount (NIS)")+SUMIFS('Source 2026'!$S:$S,'Source 2026'!$B:$B,$A193,'Source 2026'!$A:$A,"Amount (NIS)")+SUMIFS('Source 2026'!$U:$U,'Source 2026'!$B:$B,$A193,'Source 2026'!$A:$A,"Amount (NIS)")+SUMIFS('Source 2026'!$D:$D,'Source 2026'!$B:$B,$A193,'Source 2026'!$A:$A,"Amount (NIS)")+SUMIFS('Source 2026'!$E:$E,'Source 2026'!$B:$B,$A193,'Source 2026'!$A:$A,"Amount (NIS)")+SUMIFS('Source 2026'!$G:$G,'Source 2026'!$B:$B,$A193,'Source 2026'!$A:$A,"Amount (NIS)")</f>
        <v>425.2</v>
      </c>
      <c r="J193" s="9" t="n">
        <f aca="false">I193*$J$5</f>
        <v>537.094736842105</v>
      </c>
      <c r="K193" s="9" t="n">
        <f aca="false">J193-H193</f>
        <v>-289.605263157895</v>
      </c>
      <c r="L193" s="11" t="n">
        <f aca="false">IF(AND(H193=0,J193=0),0,IF(H193=0,"New",(J193-H193)/H193))</f>
        <v>-0.350314821770769</v>
      </c>
    </row>
    <row r="194" customFormat="false" ht="15" hidden="false" customHeight="true" outlineLevel="0" collapsed="false">
      <c r="A194" s="8" t="s">
        <v>263</v>
      </c>
      <c r="B194" s="8" t="str">
        <f aca="false">IFERROR(INDEX('Source 2026'!$C:$C,MATCH($A194,'Source 2026'!$B:$B,0)),IFERROR(INDEX('Source 2025'!$C:$C,MATCH($A194,'Source 2025'!$B:$B,0)),""))</f>
        <v>גרבי כסף לסכרת מידה</v>
      </c>
      <c r="C194" s="9" t="n">
        <f aca="false">SUMIFS('Source 2025'!$F:$F,'Source 2025'!$B:$B,$A194,'Source 2025'!$A:$A,"Quantity (units)")+SUMIFS('Source 2025'!$H:$H,'Source 2025'!$B:$B,$A194,'Source 2025'!$A:$A,"Quantity (units)")+SUMIFS('Source 2025'!$M:$M,'Source 2025'!$B:$B,$A194,'Source 2025'!$A:$A,"Quantity (units)")+SUMIFS('Source 2025'!$N:$N,'Source 2025'!$B:$B,$A194,'Source 2025'!$A:$A,"Quantity (units)")+SUMIFS('Source 2025'!$S:$S,'Source 2025'!$B:$B,$A194,'Source 2025'!$A:$A,"Quantity (units)")+SUMIFS('Source 2025'!$U:$U,'Source 2025'!$B:$B,$A194,'Source 2025'!$A:$A,"Quantity (units)")+SUMIFS('Source 2025'!$D:$D,'Source 2025'!$B:$B,$A194,'Source 2025'!$A:$A,"Quantity (units)")+SUMIFS('Source 2025'!$E:$E,'Source 2025'!$B:$B,$A194,'Source 2025'!$A:$A,"Quantity (units)")+SUMIFS('Source 2025'!$G:$G,'Source 2025'!$B:$B,$A194,'Source 2025'!$A:$A,"Quantity (units)")</f>
        <v>12</v>
      </c>
      <c r="D194" s="9" t="n">
        <f aca="false">SUMIFS('Source 2026'!$F:$F,'Source 2026'!$B:$B,$A194,'Source 2026'!$A:$A,"Quantity (units)")+SUMIFS('Source 2026'!$H:$H,'Source 2026'!$B:$B,$A194,'Source 2026'!$A:$A,"Quantity (units)")+SUMIFS('Source 2026'!$M:$M,'Source 2026'!$B:$B,$A194,'Source 2026'!$A:$A,"Quantity (units)")+SUMIFS('Source 2026'!$N:$N,'Source 2026'!$B:$B,$A194,'Source 2026'!$A:$A,"Quantity (units)")+SUMIFS('Source 2026'!$S:$S,'Source 2026'!$B:$B,$A194,'Source 2026'!$A:$A,"Quantity (units)")+SUMIFS('Source 2026'!$U:$U,'Source 2026'!$B:$B,$A194,'Source 2026'!$A:$A,"Quantity (units)")+SUMIFS('Source 2026'!$D:$D,'Source 2026'!$B:$B,$A194,'Source 2026'!$A:$A,"Quantity (units)")+SUMIFS('Source 2026'!$E:$E,'Source 2026'!$B:$B,$A194,'Source 2026'!$A:$A,"Quantity (units)")+SUMIFS('Source 2026'!$G:$G,'Source 2026'!$B:$B,$A194,'Source 2026'!$A:$A,"Quantity (units)")</f>
        <v>0</v>
      </c>
      <c r="E194" s="9" t="n">
        <f aca="false">D194*$J$5</f>
        <v>0</v>
      </c>
      <c r="F194" s="9" t="n">
        <f aca="false">E194-C194</f>
        <v>-12</v>
      </c>
      <c r="G194" s="11" t="n">
        <f aca="false">IF(AND(C194=0,E194=0),0,IF(C194=0,"New",(E194-C194)/C194))</f>
        <v>-1</v>
      </c>
      <c r="H194" s="9" t="n">
        <f aca="false">SUMIFS('Source 2025'!$F:$F,'Source 2025'!$B:$B,$A194,'Source 2025'!$A:$A,"Amount (NIS)")+SUMIFS('Source 2025'!$H:$H,'Source 2025'!$B:$B,$A194,'Source 2025'!$A:$A,"Amount (NIS)")+SUMIFS('Source 2025'!$M:$M,'Source 2025'!$B:$B,$A194,'Source 2025'!$A:$A,"Amount (NIS)")+SUMIFS('Source 2025'!$N:$N,'Source 2025'!$B:$B,$A194,'Source 2025'!$A:$A,"Amount (NIS)")+SUMIFS('Source 2025'!$S:$S,'Source 2025'!$B:$B,$A194,'Source 2025'!$A:$A,"Amount (NIS)")+SUMIFS('Source 2025'!$U:$U,'Source 2025'!$B:$B,$A194,'Source 2025'!$A:$A,"Amount (NIS)")+SUMIFS('Source 2025'!$D:$D,'Source 2025'!$B:$B,$A194,'Source 2025'!$A:$A,"Amount (NIS)")+SUMIFS('Source 2025'!$E:$E,'Source 2025'!$B:$B,$A194,'Source 2025'!$A:$A,"Amount (NIS)")+SUMIFS('Source 2025'!$G:$G,'Source 2025'!$B:$B,$A194,'Source 2025'!$A:$A,"Amount (NIS)")</f>
        <v>384.1</v>
      </c>
      <c r="I194" s="9" t="n">
        <f aca="false">SUMIFS('Source 2026'!$F:$F,'Source 2026'!$B:$B,$A194,'Source 2026'!$A:$A,"Amount (NIS)")+SUMIFS('Source 2026'!$H:$H,'Source 2026'!$B:$B,$A194,'Source 2026'!$A:$A,"Amount (NIS)")+SUMIFS('Source 2026'!$M:$M,'Source 2026'!$B:$B,$A194,'Source 2026'!$A:$A,"Amount (NIS)")+SUMIFS('Source 2026'!$N:$N,'Source 2026'!$B:$B,$A194,'Source 2026'!$A:$A,"Amount (NIS)")+SUMIFS('Source 2026'!$S:$S,'Source 2026'!$B:$B,$A194,'Source 2026'!$A:$A,"Amount (NIS)")+SUMIFS('Source 2026'!$U:$U,'Source 2026'!$B:$B,$A194,'Source 2026'!$A:$A,"Amount (NIS)")+SUMIFS('Source 2026'!$D:$D,'Source 2026'!$B:$B,$A194,'Source 2026'!$A:$A,"Amount (NIS)")+SUMIFS('Source 2026'!$E:$E,'Source 2026'!$B:$B,$A194,'Source 2026'!$A:$A,"Amount (NIS)")+SUMIFS('Source 2026'!$G:$G,'Source 2026'!$B:$B,$A194,'Source 2026'!$A:$A,"Amount (NIS)")</f>
        <v>0</v>
      </c>
      <c r="J194" s="9" t="n">
        <f aca="false">I194*$J$5</f>
        <v>0</v>
      </c>
      <c r="K194" s="9" t="n">
        <f aca="false">J194-H194</f>
        <v>-384.1</v>
      </c>
      <c r="L194" s="11" t="n">
        <f aca="false">IF(AND(H194=0,J194=0),0,IF(H194=0,"New",(J194-H194)/H194))</f>
        <v>-1</v>
      </c>
    </row>
    <row r="195" customFormat="false" ht="15" hidden="false" customHeight="true" outlineLevel="0" collapsed="false">
      <c r="A195" s="8" t="s">
        <v>264</v>
      </c>
      <c r="B195" s="8" t="str">
        <f aca="false">IFERROR(INDEX('Source 2026'!$C:$C,MATCH($A195,'Source 2026'!$B:$B,0)),IFERROR(INDEX('Source 2025'!$C:$C,MATCH($A195,'Source 2025'!$B:$B,0)),""))</f>
        <v>S חגורת שבר דו צדדי</v>
      </c>
      <c r="C195" s="9" t="n">
        <f aca="false">SUMIFS('Source 2025'!$F:$F,'Source 2025'!$B:$B,$A195,'Source 2025'!$A:$A,"Quantity (units)")+SUMIFS('Source 2025'!$H:$H,'Source 2025'!$B:$B,$A195,'Source 2025'!$A:$A,"Quantity (units)")+SUMIFS('Source 2025'!$M:$M,'Source 2025'!$B:$B,$A195,'Source 2025'!$A:$A,"Quantity (units)")+SUMIFS('Source 2025'!$N:$N,'Source 2025'!$B:$B,$A195,'Source 2025'!$A:$A,"Quantity (units)")+SUMIFS('Source 2025'!$S:$S,'Source 2025'!$B:$B,$A195,'Source 2025'!$A:$A,"Quantity (units)")+SUMIFS('Source 2025'!$U:$U,'Source 2025'!$B:$B,$A195,'Source 2025'!$A:$A,"Quantity (units)")+SUMIFS('Source 2025'!$D:$D,'Source 2025'!$B:$B,$A195,'Source 2025'!$A:$A,"Quantity (units)")+SUMIFS('Source 2025'!$E:$E,'Source 2025'!$B:$B,$A195,'Source 2025'!$A:$A,"Quantity (units)")+SUMIFS('Source 2025'!$G:$G,'Source 2025'!$B:$B,$A195,'Source 2025'!$A:$A,"Quantity (units)")</f>
        <v>6</v>
      </c>
      <c r="D195" s="9" t="n">
        <f aca="false">SUMIFS('Source 2026'!$F:$F,'Source 2026'!$B:$B,$A195,'Source 2026'!$A:$A,"Quantity (units)")+SUMIFS('Source 2026'!$H:$H,'Source 2026'!$B:$B,$A195,'Source 2026'!$A:$A,"Quantity (units)")+SUMIFS('Source 2026'!$M:$M,'Source 2026'!$B:$B,$A195,'Source 2026'!$A:$A,"Quantity (units)")+SUMIFS('Source 2026'!$N:$N,'Source 2026'!$B:$B,$A195,'Source 2026'!$A:$A,"Quantity (units)")+SUMIFS('Source 2026'!$S:$S,'Source 2026'!$B:$B,$A195,'Source 2026'!$A:$A,"Quantity (units)")+SUMIFS('Source 2026'!$U:$U,'Source 2026'!$B:$B,$A195,'Source 2026'!$A:$A,"Quantity (units)")+SUMIFS('Source 2026'!$D:$D,'Source 2026'!$B:$B,$A195,'Source 2026'!$A:$A,"Quantity (units)")+SUMIFS('Source 2026'!$E:$E,'Source 2026'!$B:$B,$A195,'Source 2026'!$A:$A,"Quantity (units)")+SUMIFS('Source 2026'!$G:$G,'Source 2026'!$B:$B,$A195,'Source 2026'!$A:$A,"Quantity (units)")</f>
        <v>5</v>
      </c>
      <c r="E195" s="9" t="n">
        <f aca="false">D195*$J$5</f>
        <v>6.31578947368421</v>
      </c>
      <c r="F195" s="9" t="n">
        <f aca="false">E195-C195</f>
        <v>0.315789473684211</v>
      </c>
      <c r="G195" s="11" t="n">
        <f aca="false">IF(AND(C195=0,E195=0),0,IF(C195=0,"New",(E195-C195)/C195))</f>
        <v>0.0526315789473684</v>
      </c>
      <c r="H195" s="9" t="n">
        <f aca="false">SUMIFS('Source 2025'!$F:$F,'Source 2025'!$B:$B,$A195,'Source 2025'!$A:$A,"Amount (NIS)")+SUMIFS('Source 2025'!$H:$H,'Source 2025'!$B:$B,$A195,'Source 2025'!$A:$A,"Amount (NIS)")+SUMIFS('Source 2025'!$M:$M,'Source 2025'!$B:$B,$A195,'Source 2025'!$A:$A,"Amount (NIS)")+SUMIFS('Source 2025'!$N:$N,'Source 2025'!$B:$B,$A195,'Source 2025'!$A:$A,"Amount (NIS)")+SUMIFS('Source 2025'!$S:$S,'Source 2025'!$B:$B,$A195,'Source 2025'!$A:$A,"Amount (NIS)")+SUMIFS('Source 2025'!$U:$U,'Source 2025'!$B:$B,$A195,'Source 2025'!$A:$A,"Amount (NIS)")+SUMIFS('Source 2025'!$D:$D,'Source 2025'!$B:$B,$A195,'Source 2025'!$A:$A,"Amount (NIS)")+SUMIFS('Source 2025'!$E:$E,'Source 2025'!$B:$B,$A195,'Source 2025'!$A:$A,"Amount (NIS)")+SUMIFS('Source 2025'!$G:$G,'Source 2025'!$B:$B,$A195,'Source 2025'!$A:$A,"Amount (NIS)")</f>
        <v>1884</v>
      </c>
      <c r="I195" s="9" t="n">
        <f aca="false">SUMIFS('Source 2026'!$F:$F,'Source 2026'!$B:$B,$A195,'Source 2026'!$A:$A,"Amount (NIS)")+SUMIFS('Source 2026'!$H:$H,'Source 2026'!$B:$B,$A195,'Source 2026'!$A:$A,"Amount (NIS)")+SUMIFS('Source 2026'!$M:$M,'Source 2026'!$B:$B,$A195,'Source 2026'!$A:$A,"Amount (NIS)")+SUMIFS('Source 2026'!$N:$N,'Source 2026'!$B:$B,$A195,'Source 2026'!$A:$A,"Amount (NIS)")+SUMIFS('Source 2026'!$S:$S,'Source 2026'!$B:$B,$A195,'Source 2026'!$A:$A,"Amount (NIS)")+SUMIFS('Source 2026'!$U:$U,'Source 2026'!$B:$B,$A195,'Source 2026'!$A:$A,"Amount (NIS)")+SUMIFS('Source 2026'!$D:$D,'Source 2026'!$B:$B,$A195,'Source 2026'!$A:$A,"Amount (NIS)")+SUMIFS('Source 2026'!$E:$E,'Source 2026'!$B:$B,$A195,'Source 2026'!$A:$A,"Amount (NIS)")+SUMIFS('Source 2026'!$G:$G,'Source 2026'!$B:$B,$A195,'Source 2026'!$A:$A,"Amount (NIS)")</f>
        <v>1509.3</v>
      </c>
      <c r="J195" s="9" t="n">
        <f aca="false">I195*$J$5</f>
        <v>1906.48421052632</v>
      </c>
      <c r="K195" s="9" t="n">
        <f aca="false">J195-H195</f>
        <v>22.484210526316</v>
      </c>
      <c r="L195" s="11" t="n">
        <f aca="false">IF(AND(H195=0,J195=0),0,IF(H195=0,"New",(J195-H195)/H195))</f>
        <v>0.0119342943345626</v>
      </c>
    </row>
    <row r="196" customFormat="false" ht="15" hidden="false" customHeight="true" outlineLevel="0" collapsed="false">
      <c r="A196" s="8" t="s">
        <v>265</v>
      </c>
      <c r="B196" s="8" t="str">
        <f aca="false">IFERROR(INDEX('Source 2026'!$C:$C,MATCH($A196,'Source 2026'!$B:$B,0)),IFERROR(INDEX('Source 2025'!$C:$C,MATCH($A196,'Source 2025'!$B:$B,0)),""))</f>
        <v>XLסד ליד שמאל</v>
      </c>
      <c r="C196" s="9" t="n">
        <f aca="false">SUMIFS('Source 2025'!$F:$F,'Source 2025'!$B:$B,$A196,'Source 2025'!$A:$A,"Quantity (units)")+SUMIFS('Source 2025'!$H:$H,'Source 2025'!$B:$B,$A196,'Source 2025'!$A:$A,"Quantity (units)")+SUMIFS('Source 2025'!$M:$M,'Source 2025'!$B:$B,$A196,'Source 2025'!$A:$A,"Quantity (units)")+SUMIFS('Source 2025'!$N:$N,'Source 2025'!$B:$B,$A196,'Source 2025'!$A:$A,"Quantity (units)")+SUMIFS('Source 2025'!$S:$S,'Source 2025'!$B:$B,$A196,'Source 2025'!$A:$A,"Quantity (units)")+SUMIFS('Source 2025'!$U:$U,'Source 2025'!$B:$B,$A196,'Source 2025'!$A:$A,"Quantity (units)")+SUMIFS('Source 2025'!$D:$D,'Source 2025'!$B:$B,$A196,'Source 2025'!$A:$A,"Quantity (units)")+SUMIFS('Source 2025'!$E:$E,'Source 2025'!$B:$B,$A196,'Source 2025'!$A:$A,"Quantity (units)")+SUMIFS('Source 2025'!$G:$G,'Source 2025'!$B:$B,$A196,'Source 2025'!$A:$A,"Quantity (units)")</f>
        <v>2</v>
      </c>
      <c r="D196" s="9" t="n">
        <f aca="false">SUMIFS('Source 2026'!$F:$F,'Source 2026'!$B:$B,$A196,'Source 2026'!$A:$A,"Quantity (units)")+SUMIFS('Source 2026'!$H:$H,'Source 2026'!$B:$B,$A196,'Source 2026'!$A:$A,"Quantity (units)")+SUMIFS('Source 2026'!$M:$M,'Source 2026'!$B:$B,$A196,'Source 2026'!$A:$A,"Quantity (units)")+SUMIFS('Source 2026'!$N:$N,'Source 2026'!$B:$B,$A196,'Source 2026'!$A:$A,"Quantity (units)")+SUMIFS('Source 2026'!$S:$S,'Source 2026'!$B:$B,$A196,'Source 2026'!$A:$A,"Quantity (units)")+SUMIFS('Source 2026'!$U:$U,'Source 2026'!$B:$B,$A196,'Source 2026'!$A:$A,"Quantity (units)")+SUMIFS('Source 2026'!$D:$D,'Source 2026'!$B:$B,$A196,'Source 2026'!$A:$A,"Quantity (units)")+SUMIFS('Source 2026'!$E:$E,'Source 2026'!$B:$B,$A196,'Source 2026'!$A:$A,"Quantity (units)")+SUMIFS('Source 2026'!$G:$G,'Source 2026'!$B:$B,$A196,'Source 2026'!$A:$A,"Quantity (units)")</f>
        <v>-2</v>
      </c>
      <c r="E196" s="9" t="n">
        <f aca="false">D196*$J$5</f>
        <v>-2.52631578947368</v>
      </c>
      <c r="F196" s="9" t="n">
        <f aca="false">E196-C196</f>
        <v>-4.52631578947368</v>
      </c>
      <c r="G196" s="11" t="n">
        <f aca="false">IF(AND(C196=0,E196=0),0,IF(C196=0,"New",(E196-C196)/C196))</f>
        <v>-2.26315789473684</v>
      </c>
      <c r="H196" s="9" t="n">
        <f aca="false">SUMIFS('Source 2025'!$F:$F,'Source 2025'!$B:$B,$A196,'Source 2025'!$A:$A,"Amount (NIS)")+SUMIFS('Source 2025'!$H:$H,'Source 2025'!$B:$B,$A196,'Source 2025'!$A:$A,"Amount (NIS)")+SUMIFS('Source 2025'!$M:$M,'Source 2025'!$B:$B,$A196,'Source 2025'!$A:$A,"Amount (NIS)")+SUMIFS('Source 2025'!$N:$N,'Source 2025'!$B:$B,$A196,'Source 2025'!$A:$A,"Amount (NIS)")+SUMIFS('Source 2025'!$S:$S,'Source 2025'!$B:$B,$A196,'Source 2025'!$A:$A,"Amount (NIS)")+SUMIFS('Source 2025'!$U:$U,'Source 2025'!$B:$B,$A196,'Source 2025'!$A:$A,"Amount (NIS)")+SUMIFS('Source 2025'!$D:$D,'Source 2025'!$B:$B,$A196,'Source 2025'!$A:$A,"Amount (NIS)")+SUMIFS('Source 2025'!$E:$E,'Source 2025'!$B:$B,$A196,'Source 2025'!$A:$A,"Amount (NIS)")+SUMIFS('Source 2025'!$G:$G,'Source 2025'!$B:$B,$A196,'Source 2025'!$A:$A,"Amount (NIS)")</f>
        <v>180.2</v>
      </c>
      <c r="I196" s="9" t="n">
        <f aca="false">SUMIFS('Source 2026'!$F:$F,'Source 2026'!$B:$B,$A196,'Source 2026'!$A:$A,"Amount (NIS)")+SUMIFS('Source 2026'!$H:$H,'Source 2026'!$B:$B,$A196,'Source 2026'!$A:$A,"Amount (NIS)")+SUMIFS('Source 2026'!$M:$M,'Source 2026'!$B:$B,$A196,'Source 2026'!$A:$A,"Amount (NIS)")+SUMIFS('Source 2026'!$N:$N,'Source 2026'!$B:$B,$A196,'Source 2026'!$A:$A,"Amount (NIS)")+SUMIFS('Source 2026'!$S:$S,'Source 2026'!$B:$B,$A196,'Source 2026'!$A:$A,"Amount (NIS)")+SUMIFS('Source 2026'!$U:$U,'Source 2026'!$B:$B,$A196,'Source 2026'!$A:$A,"Amount (NIS)")+SUMIFS('Source 2026'!$D:$D,'Source 2026'!$B:$B,$A196,'Source 2026'!$A:$A,"Amount (NIS)")+SUMIFS('Source 2026'!$E:$E,'Source 2026'!$B:$B,$A196,'Source 2026'!$A:$A,"Amount (NIS)")+SUMIFS('Source 2026'!$G:$G,'Source 2026'!$B:$B,$A196,'Source 2026'!$A:$A,"Amount (NIS)")</f>
        <v>-194</v>
      </c>
      <c r="J196" s="9" t="n">
        <f aca="false">I196*$J$5</f>
        <v>-245.052631578947</v>
      </c>
      <c r="K196" s="9" t="n">
        <f aca="false">J196-H196</f>
        <v>-425.252631578947</v>
      </c>
      <c r="L196" s="11" t="n">
        <f aca="false">IF(AND(H196=0,J196=0),0,IF(H196=0,"New",(J196-H196)/H196))</f>
        <v>-2.35989251708628</v>
      </c>
    </row>
    <row r="197" customFormat="false" ht="15" hidden="false" customHeight="true" outlineLevel="0" collapsed="false">
      <c r="A197" s="8" t="s">
        <v>266</v>
      </c>
      <c r="B197" s="8" t="str">
        <f aca="false">IFERROR(INDEX('Source 2026'!$C:$C,MATCH($A197,'Source 2026'!$B:$B,0)),IFERROR(INDEX('Source 2025'!$C:$C,MATCH($A197,'Source 2025'!$B:$B,0)),""))</f>
        <v>Sחגורה למנותחי בטן</v>
      </c>
      <c r="C197" s="9" t="n">
        <f aca="false">SUMIFS('Source 2025'!$F:$F,'Source 2025'!$B:$B,$A197,'Source 2025'!$A:$A,"Quantity (units)")+SUMIFS('Source 2025'!$H:$H,'Source 2025'!$B:$B,$A197,'Source 2025'!$A:$A,"Quantity (units)")+SUMIFS('Source 2025'!$M:$M,'Source 2025'!$B:$B,$A197,'Source 2025'!$A:$A,"Quantity (units)")+SUMIFS('Source 2025'!$N:$N,'Source 2025'!$B:$B,$A197,'Source 2025'!$A:$A,"Quantity (units)")+SUMIFS('Source 2025'!$S:$S,'Source 2025'!$B:$B,$A197,'Source 2025'!$A:$A,"Quantity (units)")+SUMIFS('Source 2025'!$U:$U,'Source 2025'!$B:$B,$A197,'Source 2025'!$A:$A,"Quantity (units)")+SUMIFS('Source 2025'!$D:$D,'Source 2025'!$B:$B,$A197,'Source 2025'!$A:$A,"Quantity (units)")+SUMIFS('Source 2025'!$E:$E,'Source 2025'!$B:$B,$A197,'Source 2025'!$A:$A,"Quantity (units)")+SUMIFS('Source 2025'!$G:$G,'Source 2025'!$B:$B,$A197,'Source 2025'!$A:$A,"Quantity (units)")</f>
        <v>5</v>
      </c>
      <c r="D197" s="9" t="n">
        <f aca="false">SUMIFS('Source 2026'!$F:$F,'Source 2026'!$B:$B,$A197,'Source 2026'!$A:$A,"Quantity (units)")+SUMIFS('Source 2026'!$H:$H,'Source 2026'!$B:$B,$A197,'Source 2026'!$A:$A,"Quantity (units)")+SUMIFS('Source 2026'!$M:$M,'Source 2026'!$B:$B,$A197,'Source 2026'!$A:$A,"Quantity (units)")+SUMIFS('Source 2026'!$N:$N,'Source 2026'!$B:$B,$A197,'Source 2026'!$A:$A,"Quantity (units)")+SUMIFS('Source 2026'!$S:$S,'Source 2026'!$B:$B,$A197,'Source 2026'!$A:$A,"Quantity (units)")+SUMIFS('Source 2026'!$U:$U,'Source 2026'!$B:$B,$A197,'Source 2026'!$A:$A,"Quantity (units)")+SUMIFS('Source 2026'!$D:$D,'Source 2026'!$B:$B,$A197,'Source 2026'!$A:$A,"Quantity (units)")+SUMIFS('Source 2026'!$E:$E,'Source 2026'!$B:$B,$A197,'Source 2026'!$A:$A,"Quantity (units)")+SUMIFS('Source 2026'!$G:$G,'Source 2026'!$B:$B,$A197,'Source 2026'!$A:$A,"Quantity (units)")</f>
        <v>2</v>
      </c>
      <c r="E197" s="9" t="n">
        <f aca="false">D197*$J$5</f>
        <v>2.52631578947368</v>
      </c>
      <c r="F197" s="9" t="n">
        <f aca="false">E197-C197</f>
        <v>-2.47368421052632</v>
      </c>
      <c r="G197" s="11" t="n">
        <f aca="false">IF(AND(C197=0,E197=0),0,IF(C197=0,"New",(E197-C197)/C197))</f>
        <v>-0.494736842105263</v>
      </c>
      <c r="H197" s="9" t="n">
        <f aca="false">SUMIFS('Source 2025'!$F:$F,'Source 2025'!$B:$B,$A197,'Source 2025'!$A:$A,"Amount (NIS)")+SUMIFS('Source 2025'!$H:$H,'Source 2025'!$B:$B,$A197,'Source 2025'!$A:$A,"Amount (NIS)")+SUMIFS('Source 2025'!$M:$M,'Source 2025'!$B:$B,$A197,'Source 2025'!$A:$A,"Amount (NIS)")+SUMIFS('Source 2025'!$N:$N,'Source 2025'!$B:$B,$A197,'Source 2025'!$A:$A,"Amount (NIS)")+SUMIFS('Source 2025'!$S:$S,'Source 2025'!$B:$B,$A197,'Source 2025'!$A:$A,"Amount (NIS)")+SUMIFS('Source 2025'!$U:$U,'Source 2025'!$B:$B,$A197,'Source 2025'!$A:$A,"Amount (NIS)")+SUMIFS('Source 2025'!$D:$D,'Source 2025'!$B:$B,$A197,'Source 2025'!$A:$A,"Amount (NIS)")+SUMIFS('Source 2025'!$E:$E,'Source 2025'!$B:$B,$A197,'Source 2025'!$A:$A,"Amount (NIS)")+SUMIFS('Source 2025'!$G:$G,'Source 2025'!$B:$B,$A197,'Source 2025'!$A:$A,"Amount (NIS)")</f>
        <v>645.7</v>
      </c>
      <c r="I197" s="9" t="n">
        <f aca="false">SUMIFS('Source 2026'!$F:$F,'Source 2026'!$B:$B,$A197,'Source 2026'!$A:$A,"Amount (NIS)")+SUMIFS('Source 2026'!$H:$H,'Source 2026'!$B:$B,$A197,'Source 2026'!$A:$A,"Amount (NIS)")+SUMIFS('Source 2026'!$M:$M,'Source 2026'!$B:$B,$A197,'Source 2026'!$A:$A,"Amount (NIS)")+SUMIFS('Source 2026'!$N:$N,'Source 2026'!$B:$B,$A197,'Source 2026'!$A:$A,"Amount (NIS)")+SUMIFS('Source 2026'!$S:$S,'Source 2026'!$B:$B,$A197,'Source 2026'!$A:$A,"Amount (NIS)")+SUMIFS('Source 2026'!$U:$U,'Source 2026'!$B:$B,$A197,'Source 2026'!$A:$A,"Amount (NIS)")+SUMIFS('Source 2026'!$D:$D,'Source 2026'!$B:$B,$A197,'Source 2026'!$A:$A,"Amount (NIS)")+SUMIFS('Source 2026'!$E:$E,'Source 2026'!$B:$B,$A197,'Source 2026'!$A:$A,"Amount (NIS)")+SUMIFS('Source 2026'!$G:$G,'Source 2026'!$B:$B,$A197,'Source 2026'!$A:$A,"Amount (NIS)")</f>
        <v>271.8</v>
      </c>
      <c r="J197" s="9" t="n">
        <f aca="false">I197*$J$5</f>
        <v>343.326315789474</v>
      </c>
      <c r="K197" s="9" t="n">
        <f aca="false">J197-H197</f>
        <v>-302.373684210526</v>
      </c>
      <c r="L197" s="11" t="n">
        <f aca="false">IF(AND(H197=0,J197=0),0,IF(H197=0,"New",(J197-H197)/H197))</f>
        <v>-0.46828818988776</v>
      </c>
    </row>
    <row r="198" customFormat="false" ht="15" hidden="false" customHeight="true" outlineLevel="0" collapsed="false">
      <c r="A198" s="8" t="s">
        <v>267</v>
      </c>
      <c r="B198" s="8" t="str">
        <f aca="false">IFERROR(INDEX('Source 2026'!$C:$C,MATCH($A198,'Source 2026'!$B:$B,0)),IFERROR(INDEX('Source 2025'!$C:$C,MATCH($A198,'Source 2025'!$B:$B,0)),""))</f>
        <v>S חגורה אחרי ניתוח</v>
      </c>
      <c r="C198" s="9" t="n">
        <f aca="false">SUMIFS('Source 2025'!$F:$F,'Source 2025'!$B:$B,$A198,'Source 2025'!$A:$A,"Quantity (units)")+SUMIFS('Source 2025'!$H:$H,'Source 2025'!$B:$B,$A198,'Source 2025'!$A:$A,"Quantity (units)")+SUMIFS('Source 2025'!$M:$M,'Source 2025'!$B:$B,$A198,'Source 2025'!$A:$A,"Quantity (units)")+SUMIFS('Source 2025'!$N:$N,'Source 2025'!$B:$B,$A198,'Source 2025'!$A:$A,"Quantity (units)")+SUMIFS('Source 2025'!$S:$S,'Source 2025'!$B:$B,$A198,'Source 2025'!$A:$A,"Quantity (units)")+SUMIFS('Source 2025'!$U:$U,'Source 2025'!$B:$B,$A198,'Source 2025'!$A:$A,"Quantity (units)")+SUMIFS('Source 2025'!$D:$D,'Source 2025'!$B:$B,$A198,'Source 2025'!$A:$A,"Quantity (units)")+SUMIFS('Source 2025'!$E:$E,'Source 2025'!$B:$B,$A198,'Source 2025'!$A:$A,"Quantity (units)")+SUMIFS('Source 2025'!$G:$G,'Source 2025'!$B:$B,$A198,'Source 2025'!$A:$A,"Quantity (units)")</f>
        <v>2</v>
      </c>
      <c r="D198" s="9" t="n">
        <f aca="false">SUMIFS('Source 2026'!$F:$F,'Source 2026'!$B:$B,$A198,'Source 2026'!$A:$A,"Quantity (units)")+SUMIFS('Source 2026'!$H:$H,'Source 2026'!$B:$B,$A198,'Source 2026'!$A:$A,"Quantity (units)")+SUMIFS('Source 2026'!$M:$M,'Source 2026'!$B:$B,$A198,'Source 2026'!$A:$A,"Quantity (units)")+SUMIFS('Source 2026'!$N:$N,'Source 2026'!$B:$B,$A198,'Source 2026'!$A:$A,"Quantity (units)")+SUMIFS('Source 2026'!$S:$S,'Source 2026'!$B:$B,$A198,'Source 2026'!$A:$A,"Quantity (units)")+SUMIFS('Source 2026'!$U:$U,'Source 2026'!$B:$B,$A198,'Source 2026'!$A:$A,"Quantity (units)")+SUMIFS('Source 2026'!$D:$D,'Source 2026'!$B:$B,$A198,'Source 2026'!$A:$A,"Quantity (units)")+SUMIFS('Source 2026'!$E:$E,'Source 2026'!$B:$B,$A198,'Source 2026'!$A:$A,"Quantity (units)")+SUMIFS('Source 2026'!$G:$G,'Source 2026'!$B:$B,$A198,'Source 2026'!$A:$A,"Quantity (units)")</f>
        <v>4</v>
      </c>
      <c r="E198" s="9" t="n">
        <f aca="false">D198*$J$5</f>
        <v>5.05263157894737</v>
      </c>
      <c r="F198" s="9" t="n">
        <f aca="false">E198-C198</f>
        <v>3.05263157894737</v>
      </c>
      <c r="G198" s="11" t="n">
        <f aca="false">IF(AND(C198=0,E198=0),0,IF(C198=0,"New",(E198-C198)/C198))</f>
        <v>1.52631578947368</v>
      </c>
      <c r="H198" s="9" t="n">
        <f aca="false">SUMIFS('Source 2025'!$F:$F,'Source 2025'!$B:$B,$A198,'Source 2025'!$A:$A,"Amount (NIS)")+SUMIFS('Source 2025'!$H:$H,'Source 2025'!$B:$B,$A198,'Source 2025'!$A:$A,"Amount (NIS)")+SUMIFS('Source 2025'!$M:$M,'Source 2025'!$B:$B,$A198,'Source 2025'!$A:$A,"Amount (NIS)")+SUMIFS('Source 2025'!$N:$N,'Source 2025'!$B:$B,$A198,'Source 2025'!$A:$A,"Amount (NIS)")+SUMIFS('Source 2025'!$S:$S,'Source 2025'!$B:$B,$A198,'Source 2025'!$A:$A,"Amount (NIS)")+SUMIFS('Source 2025'!$U:$U,'Source 2025'!$B:$B,$A198,'Source 2025'!$A:$A,"Amount (NIS)")+SUMIFS('Source 2025'!$D:$D,'Source 2025'!$B:$B,$A198,'Source 2025'!$A:$A,"Amount (NIS)")+SUMIFS('Source 2025'!$E:$E,'Source 2025'!$B:$B,$A198,'Source 2025'!$A:$A,"Amount (NIS)")+SUMIFS('Source 2025'!$G:$G,'Source 2025'!$B:$B,$A198,'Source 2025'!$A:$A,"Amount (NIS)")</f>
        <v>310.5</v>
      </c>
      <c r="I198" s="9" t="n">
        <f aca="false">SUMIFS('Source 2026'!$F:$F,'Source 2026'!$B:$B,$A198,'Source 2026'!$A:$A,"Amount (NIS)")+SUMIFS('Source 2026'!$H:$H,'Source 2026'!$B:$B,$A198,'Source 2026'!$A:$A,"Amount (NIS)")+SUMIFS('Source 2026'!$M:$M,'Source 2026'!$B:$B,$A198,'Source 2026'!$A:$A,"Amount (NIS)")+SUMIFS('Source 2026'!$N:$N,'Source 2026'!$B:$B,$A198,'Source 2026'!$A:$A,"Amount (NIS)")+SUMIFS('Source 2026'!$S:$S,'Source 2026'!$B:$B,$A198,'Source 2026'!$A:$A,"Amount (NIS)")+SUMIFS('Source 2026'!$U:$U,'Source 2026'!$B:$B,$A198,'Source 2026'!$A:$A,"Amount (NIS)")+SUMIFS('Source 2026'!$D:$D,'Source 2026'!$B:$B,$A198,'Source 2026'!$A:$A,"Amount (NIS)")+SUMIFS('Source 2026'!$E:$E,'Source 2026'!$B:$B,$A198,'Source 2026'!$A:$A,"Amount (NIS)")+SUMIFS('Source 2026'!$G:$G,'Source 2026'!$B:$B,$A198,'Source 2026'!$A:$A,"Amount (NIS)")</f>
        <v>665.5</v>
      </c>
      <c r="J198" s="9" t="n">
        <f aca="false">I198*$J$5</f>
        <v>840.631578947368</v>
      </c>
      <c r="K198" s="9" t="n">
        <f aca="false">J198-H198</f>
        <v>530.131578947368</v>
      </c>
      <c r="L198" s="11" t="n">
        <f aca="false">IF(AND(H198=0,J198=0),0,IF(H198=0,"New",(J198-H198)/H198))</f>
        <v>1.70734808034579</v>
      </c>
    </row>
    <row r="199" customFormat="false" ht="15" hidden="false" customHeight="true" outlineLevel="0" collapsed="false">
      <c r="A199" s="8" t="s">
        <v>268</v>
      </c>
      <c r="B199" s="8" t="str">
        <f aca="false">IFERROR(INDEX('Source 2026'!$C:$C,MATCH($A199,'Source 2026'!$B:$B,0)),IFERROR(INDEX('Source 2025'!$C:$C,MATCH($A199,'Source 2025'!$B:$B,0)),""))</f>
        <v>מ.קרסול+עכב סגור+רצועות</v>
      </c>
      <c r="C199" s="9" t="n">
        <f aca="false">SUMIFS('Source 2025'!$F:$F,'Source 2025'!$B:$B,$A199,'Source 2025'!$A:$A,"Quantity (units)")+SUMIFS('Source 2025'!$H:$H,'Source 2025'!$B:$B,$A199,'Source 2025'!$A:$A,"Quantity (units)")+SUMIFS('Source 2025'!$M:$M,'Source 2025'!$B:$B,$A199,'Source 2025'!$A:$A,"Quantity (units)")+SUMIFS('Source 2025'!$N:$N,'Source 2025'!$B:$B,$A199,'Source 2025'!$A:$A,"Quantity (units)")+SUMIFS('Source 2025'!$S:$S,'Source 2025'!$B:$B,$A199,'Source 2025'!$A:$A,"Quantity (units)")+SUMIFS('Source 2025'!$U:$U,'Source 2025'!$B:$B,$A199,'Source 2025'!$A:$A,"Quantity (units)")+SUMIFS('Source 2025'!$D:$D,'Source 2025'!$B:$B,$A199,'Source 2025'!$A:$A,"Quantity (units)")+SUMIFS('Source 2025'!$E:$E,'Source 2025'!$B:$B,$A199,'Source 2025'!$A:$A,"Quantity (units)")+SUMIFS('Source 2025'!$G:$G,'Source 2025'!$B:$B,$A199,'Source 2025'!$A:$A,"Quantity (units)")</f>
        <v>5</v>
      </c>
      <c r="D199" s="9" t="n">
        <f aca="false">SUMIFS('Source 2026'!$F:$F,'Source 2026'!$B:$B,$A199,'Source 2026'!$A:$A,"Quantity (units)")+SUMIFS('Source 2026'!$H:$H,'Source 2026'!$B:$B,$A199,'Source 2026'!$A:$A,"Quantity (units)")+SUMIFS('Source 2026'!$M:$M,'Source 2026'!$B:$B,$A199,'Source 2026'!$A:$A,"Quantity (units)")+SUMIFS('Source 2026'!$N:$N,'Source 2026'!$B:$B,$A199,'Source 2026'!$A:$A,"Quantity (units)")+SUMIFS('Source 2026'!$S:$S,'Source 2026'!$B:$B,$A199,'Source 2026'!$A:$A,"Quantity (units)")+SUMIFS('Source 2026'!$U:$U,'Source 2026'!$B:$B,$A199,'Source 2026'!$A:$A,"Quantity (units)")+SUMIFS('Source 2026'!$D:$D,'Source 2026'!$B:$B,$A199,'Source 2026'!$A:$A,"Quantity (units)")+SUMIFS('Source 2026'!$E:$E,'Source 2026'!$B:$B,$A199,'Source 2026'!$A:$A,"Quantity (units)")+SUMIFS('Source 2026'!$G:$G,'Source 2026'!$B:$B,$A199,'Source 2026'!$A:$A,"Quantity (units)")</f>
        <v>0</v>
      </c>
      <c r="E199" s="9" t="n">
        <f aca="false">D199*$J$5</f>
        <v>0</v>
      </c>
      <c r="F199" s="9" t="n">
        <f aca="false">E199-C199</f>
        <v>-5</v>
      </c>
      <c r="G199" s="11" t="n">
        <f aca="false">IF(AND(C199=0,E199=0),0,IF(C199=0,"New",(E199-C199)/C199))</f>
        <v>-1</v>
      </c>
      <c r="H199" s="9" t="n">
        <f aca="false">SUMIFS('Source 2025'!$F:$F,'Source 2025'!$B:$B,$A199,'Source 2025'!$A:$A,"Amount (NIS)")+SUMIFS('Source 2025'!$H:$H,'Source 2025'!$B:$B,$A199,'Source 2025'!$A:$A,"Amount (NIS)")+SUMIFS('Source 2025'!$M:$M,'Source 2025'!$B:$B,$A199,'Source 2025'!$A:$A,"Amount (NIS)")+SUMIFS('Source 2025'!$N:$N,'Source 2025'!$B:$B,$A199,'Source 2025'!$A:$A,"Amount (NIS)")+SUMIFS('Source 2025'!$S:$S,'Source 2025'!$B:$B,$A199,'Source 2025'!$A:$A,"Amount (NIS)")+SUMIFS('Source 2025'!$U:$U,'Source 2025'!$B:$B,$A199,'Source 2025'!$A:$A,"Amount (NIS)")+SUMIFS('Source 2025'!$D:$D,'Source 2025'!$B:$B,$A199,'Source 2025'!$A:$A,"Amount (NIS)")+SUMIFS('Source 2025'!$E:$E,'Source 2025'!$B:$B,$A199,'Source 2025'!$A:$A,"Amount (NIS)")+SUMIFS('Source 2025'!$G:$G,'Source 2025'!$B:$B,$A199,'Source 2025'!$A:$A,"Amount (NIS)")</f>
        <v>346.6</v>
      </c>
      <c r="I199" s="9" t="n">
        <f aca="false">SUMIFS('Source 2026'!$F:$F,'Source 2026'!$B:$B,$A199,'Source 2026'!$A:$A,"Amount (NIS)")+SUMIFS('Source 2026'!$H:$H,'Source 2026'!$B:$B,$A199,'Source 2026'!$A:$A,"Amount (NIS)")+SUMIFS('Source 2026'!$M:$M,'Source 2026'!$B:$B,$A199,'Source 2026'!$A:$A,"Amount (NIS)")+SUMIFS('Source 2026'!$N:$N,'Source 2026'!$B:$B,$A199,'Source 2026'!$A:$A,"Amount (NIS)")+SUMIFS('Source 2026'!$S:$S,'Source 2026'!$B:$B,$A199,'Source 2026'!$A:$A,"Amount (NIS)")+SUMIFS('Source 2026'!$U:$U,'Source 2026'!$B:$B,$A199,'Source 2026'!$A:$A,"Amount (NIS)")+SUMIFS('Source 2026'!$D:$D,'Source 2026'!$B:$B,$A199,'Source 2026'!$A:$A,"Amount (NIS)")+SUMIFS('Source 2026'!$E:$E,'Source 2026'!$B:$B,$A199,'Source 2026'!$A:$A,"Amount (NIS)")+SUMIFS('Source 2026'!$G:$G,'Source 2026'!$B:$B,$A199,'Source 2026'!$A:$A,"Amount (NIS)")</f>
        <v>0</v>
      </c>
      <c r="J199" s="9" t="n">
        <f aca="false">I199*$J$5</f>
        <v>0</v>
      </c>
      <c r="K199" s="9" t="n">
        <f aca="false">J199-H199</f>
        <v>-346.6</v>
      </c>
      <c r="L199" s="11" t="n">
        <f aca="false">IF(AND(H199=0,J199=0),0,IF(H199=0,"New",(J199-H199)/H199))</f>
        <v>-1</v>
      </c>
    </row>
    <row r="200" customFormat="false" ht="15" hidden="false" customHeight="true" outlineLevel="0" collapsed="false">
      <c r="A200" s="8" t="s">
        <v>269</v>
      </c>
      <c r="B200" s="8" t="str">
        <f aca="false">IFERROR(INDEX('Source 2026'!$C:$C,MATCH($A200,'Source 2026'!$B:$B,0)),IFERROR(INDEX('Source 2025'!$C:$C,MATCH($A200,'Source 2025'!$B:$B,0)),""))</f>
        <v>טייפ חבישה לספורט</v>
      </c>
      <c r="C200" s="9" t="n">
        <f aca="false">SUMIFS('Source 2025'!$F:$F,'Source 2025'!$B:$B,$A200,'Source 2025'!$A:$A,"Quantity (units)")+SUMIFS('Source 2025'!$H:$H,'Source 2025'!$B:$B,$A200,'Source 2025'!$A:$A,"Quantity (units)")+SUMIFS('Source 2025'!$M:$M,'Source 2025'!$B:$B,$A200,'Source 2025'!$A:$A,"Quantity (units)")+SUMIFS('Source 2025'!$N:$N,'Source 2025'!$B:$B,$A200,'Source 2025'!$A:$A,"Quantity (units)")+SUMIFS('Source 2025'!$S:$S,'Source 2025'!$B:$B,$A200,'Source 2025'!$A:$A,"Quantity (units)")+SUMIFS('Source 2025'!$U:$U,'Source 2025'!$B:$B,$A200,'Source 2025'!$A:$A,"Quantity (units)")+SUMIFS('Source 2025'!$D:$D,'Source 2025'!$B:$B,$A200,'Source 2025'!$A:$A,"Quantity (units)")+SUMIFS('Source 2025'!$E:$E,'Source 2025'!$B:$B,$A200,'Source 2025'!$A:$A,"Quantity (units)")+SUMIFS('Source 2025'!$G:$G,'Source 2025'!$B:$B,$A200,'Source 2025'!$A:$A,"Quantity (units)")</f>
        <v>7</v>
      </c>
      <c r="D200" s="9" t="n">
        <f aca="false">SUMIFS('Source 2026'!$F:$F,'Source 2026'!$B:$B,$A200,'Source 2026'!$A:$A,"Quantity (units)")+SUMIFS('Source 2026'!$H:$H,'Source 2026'!$B:$B,$A200,'Source 2026'!$A:$A,"Quantity (units)")+SUMIFS('Source 2026'!$M:$M,'Source 2026'!$B:$B,$A200,'Source 2026'!$A:$A,"Quantity (units)")+SUMIFS('Source 2026'!$N:$N,'Source 2026'!$B:$B,$A200,'Source 2026'!$A:$A,"Quantity (units)")+SUMIFS('Source 2026'!$S:$S,'Source 2026'!$B:$B,$A200,'Source 2026'!$A:$A,"Quantity (units)")+SUMIFS('Source 2026'!$U:$U,'Source 2026'!$B:$B,$A200,'Source 2026'!$A:$A,"Quantity (units)")+SUMIFS('Source 2026'!$D:$D,'Source 2026'!$B:$B,$A200,'Source 2026'!$A:$A,"Quantity (units)")+SUMIFS('Source 2026'!$E:$E,'Source 2026'!$B:$B,$A200,'Source 2026'!$A:$A,"Quantity (units)")+SUMIFS('Source 2026'!$G:$G,'Source 2026'!$B:$B,$A200,'Source 2026'!$A:$A,"Quantity (units)")</f>
        <v>26</v>
      </c>
      <c r="E200" s="9" t="n">
        <f aca="false">D200*$J$5</f>
        <v>32.8421052631579</v>
      </c>
      <c r="F200" s="9" t="n">
        <f aca="false">E200-C200</f>
        <v>25.8421052631579</v>
      </c>
      <c r="G200" s="11" t="n">
        <f aca="false">IF(AND(C200=0,E200=0),0,IF(C200=0,"New",(E200-C200)/C200))</f>
        <v>3.69172932330827</v>
      </c>
      <c r="H200" s="9" t="n">
        <f aca="false">SUMIFS('Source 2025'!$F:$F,'Source 2025'!$B:$B,$A200,'Source 2025'!$A:$A,"Amount (NIS)")+SUMIFS('Source 2025'!$H:$H,'Source 2025'!$B:$B,$A200,'Source 2025'!$A:$A,"Amount (NIS)")+SUMIFS('Source 2025'!$M:$M,'Source 2025'!$B:$B,$A200,'Source 2025'!$A:$A,"Amount (NIS)")+SUMIFS('Source 2025'!$N:$N,'Source 2025'!$B:$B,$A200,'Source 2025'!$A:$A,"Amount (NIS)")+SUMIFS('Source 2025'!$S:$S,'Source 2025'!$B:$B,$A200,'Source 2025'!$A:$A,"Amount (NIS)")+SUMIFS('Source 2025'!$U:$U,'Source 2025'!$B:$B,$A200,'Source 2025'!$A:$A,"Amount (NIS)")+SUMIFS('Source 2025'!$D:$D,'Source 2025'!$B:$B,$A200,'Source 2025'!$A:$A,"Amount (NIS)")+SUMIFS('Source 2025'!$E:$E,'Source 2025'!$B:$B,$A200,'Source 2025'!$A:$A,"Amount (NIS)")+SUMIFS('Source 2025'!$G:$G,'Source 2025'!$B:$B,$A200,'Source 2025'!$A:$A,"Amount (NIS)")</f>
        <v>118.8</v>
      </c>
      <c r="I200" s="9" t="n">
        <f aca="false">SUMIFS('Source 2026'!$F:$F,'Source 2026'!$B:$B,$A200,'Source 2026'!$A:$A,"Amount (NIS)")+SUMIFS('Source 2026'!$H:$H,'Source 2026'!$B:$B,$A200,'Source 2026'!$A:$A,"Amount (NIS)")+SUMIFS('Source 2026'!$M:$M,'Source 2026'!$B:$B,$A200,'Source 2026'!$A:$A,"Amount (NIS)")+SUMIFS('Source 2026'!$N:$N,'Source 2026'!$B:$B,$A200,'Source 2026'!$A:$A,"Amount (NIS)")+SUMIFS('Source 2026'!$S:$S,'Source 2026'!$B:$B,$A200,'Source 2026'!$A:$A,"Amount (NIS)")+SUMIFS('Source 2026'!$U:$U,'Source 2026'!$B:$B,$A200,'Source 2026'!$A:$A,"Amount (NIS)")+SUMIFS('Source 2026'!$D:$D,'Source 2026'!$B:$B,$A200,'Source 2026'!$A:$A,"Amount (NIS)")+SUMIFS('Source 2026'!$E:$E,'Source 2026'!$B:$B,$A200,'Source 2026'!$A:$A,"Amount (NIS)")+SUMIFS('Source 2026'!$G:$G,'Source 2026'!$B:$B,$A200,'Source 2026'!$A:$A,"Amount (NIS)")</f>
        <v>449.7</v>
      </c>
      <c r="J200" s="9" t="n">
        <f aca="false">I200*$J$5</f>
        <v>568.042105263158</v>
      </c>
      <c r="K200" s="9" t="n">
        <f aca="false">J200-H200</f>
        <v>449.242105263158</v>
      </c>
      <c r="L200" s="11" t="n">
        <f aca="false">IF(AND(H200=0,J200=0),0,IF(H200=0,"New",(J200-H200)/H200))</f>
        <v>3.78149920255183</v>
      </c>
    </row>
    <row r="201" customFormat="false" ht="15" hidden="false" customHeight="true" outlineLevel="0" collapsed="false">
      <c r="A201" s="8" t="s">
        <v>270</v>
      </c>
      <c r="B201" s="8" t="str">
        <f aca="false">IFERROR(INDEX('Source 2026'!$C:$C,MATCH($A201,'Source 2026'!$B:$B,0)),IFERROR(INDEX('Source 2025'!$C:$C,MATCH($A201,'Source 2025'!$B:$B,0)),""))</f>
        <v>S מקבע כתף ויד</v>
      </c>
      <c r="C201" s="9" t="n">
        <f aca="false">SUMIFS('Source 2025'!$F:$F,'Source 2025'!$B:$B,$A201,'Source 2025'!$A:$A,"Quantity (units)")+SUMIFS('Source 2025'!$H:$H,'Source 2025'!$B:$B,$A201,'Source 2025'!$A:$A,"Quantity (units)")+SUMIFS('Source 2025'!$M:$M,'Source 2025'!$B:$B,$A201,'Source 2025'!$A:$A,"Quantity (units)")+SUMIFS('Source 2025'!$N:$N,'Source 2025'!$B:$B,$A201,'Source 2025'!$A:$A,"Quantity (units)")+SUMIFS('Source 2025'!$S:$S,'Source 2025'!$B:$B,$A201,'Source 2025'!$A:$A,"Quantity (units)")+SUMIFS('Source 2025'!$U:$U,'Source 2025'!$B:$B,$A201,'Source 2025'!$A:$A,"Quantity (units)")+SUMIFS('Source 2025'!$D:$D,'Source 2025'!$B:$B,$A201,'Source 2025'!$A:$A,"Quantity (units)")+SUMIFS('Source 2025'!$E:$E,'Source 2025'!$B:$B,$A201,'Source 2025'!$A:$A,"Quantity (units)")+SUMIFS('Source 2025'!$G:$G,'Source 2025'!$B:$B,$A201,'Source 2025'!$A:$A,"Quantity (units)")</f>
        <v>66</v>
      </c>
      <c r="D201" s="9" t="n">
        <f aca="false">SUMIFS('Source 2026'!$F:$F,'Source 2026'!$B:$B,$A201,'Source 2026'!$A:$A,"Quantity (units)")+SUMIFS('Source 2026'!$H:$H,'Source 2026'!$B:$B,$A201,'Source 2026'!$A:$A,"Quantity (units)")+SUMIFS('Source 2026'!$M:$M,'Source 2026'!$B:$B,$A201,'Source 2026'!$A:$A,"Quantity (units)")+SUMIFS('Source 2026'!$N:$N,'Source 2026'!$B:$B,$A201,'Source 2026'!$A:$A,"Quantity (units)")+SUMIFS('Source 2026'!$S:$S,'Source 2026'!$B:$B,$A201,'Source 2026'!$A:$A,"Quantity (units)")+SUMIFS('Source 2026'!$U:$U,'Source 2026'!$B:$B,$A201,'Source 2026'!$A:$A,"Quantity (units)")+SUMIFS('Source 2026'!$D:$D,'Source 2026'!$B:$B,$A201,'Source 2026'!$A:$A,"Quantity (units)")+SUMIFS('Source 2026'!$E:$E,'Source 2026'!$B:$B,$A201,'Source 2026'!$A:$A,"Quantity (units)")+SUMIFS('Source 2026'!$G:$G,'Source 2026'!$B:$B,$A201,'Source 2026'!$A:$A,"Quantity (units)")</f>
        <v>63</v>
      </c>
      <c r="E201" s="9" t="n">
        <f aca="false">D201*$J$5</f>
        <v>79.5789473684211</v>
      </c>
      <c r="F201" s="9" t="n">
        <f aca="false">E201-C201</f>
        <v>13.5789473684211</v>
      </c>
      <c r="G201" s="11" t="n">
        <f aca="false">IF(AND(C201=0,E201=0),0,IF(C201=0,"New",(E201-C201)/C201))</f>
        <v>0.205741626794258</v>
      </c>
      <c r="H201" s="9" t="n">
        <f aca="false">SUMIFS('Source 2025'!$F:$F,'Source 2025'!$B:$B,$A201,'Source 2025'!$A:$A,"Amount (NIS)")+SUMIFS('Source 2025'!$H:$H,'Source 2025'!$B:$B,$A201,'Source 2025'!$A:$A,"Amount (NIS)")+SUMIFS('Source 2025'!$M:$M,'Source 2025'!$B:$B,$A201,'Source 2025'!$A:$A,"Amount (NIS)")+SUMIFS('Source 2025'!$N:$N,'Source 2025'!$B:$B,$A201,'Source 2025'!$A:$A,"Amount (NIS)")+SUMIFS('Source 2025'!$S:$S,'Source 2025'!$B:$B,$A201,'Source 2025'!$A:$A,"Amount (NIS)")+SUMIFS('Source 2025'!$U:$U,'Source 2025'!$B:$B,$A201,'Source 2025'!$A:$A,"Amount (NIS)")+SUMIFS('Source 2025'!$D:$D,'Source 2025'!$B:$B,$A201,'Source 2025'!$A:$A,"Amount (NIS)")+SUMIFS('Source 2025'!$E:$E,'Source 2025'!$B:$B,$A201,'Source 2025'!$A:$A,"Amount (NIS)")+SUMIFS('Source 2025'!$G:$G,'Source 2025'!$B:$B,$A201,'Source 2025'!$A:$A,"Amount (NIS)")</f>
        <v>12899.3</v>
      </c>
      <c r="I201" s="9" t="n">
        <f aca="false">SUMIFS('Source 2026'!$F:$F,'Source 2026'!$B:$B,$A201,'Source 2026'!$A:$A,"Amount (NIS)")+SUMIFS('Source 2026'!$H:$H,'Source 2026'!$B:$B,$A201,'Source 2026'!$A:$A,"Amount (NIS)")+SUMIFS('Source 2026'!$M:$M,'Source 2026'!$B:$B,$A201,'Source 2026'!$A:$A,"Amount (NIS)")+SUMIFS('Source 2026'!$N:$N,'Source 2026'!$B:$B,$A201,'Source 2026'!$A:$A,"Amount (NIS)")+SUMIFS('Source 2026'!$S:$S,'Source 2026'!$B:$B,$A201,'Source 2026'!$A:$A,"Amount (NIS)")+SUMIFS('Source 2026'!$U:$U,'Source 2026'!$B:$B,$A201,'Source 2026'!$A:$A,"Amount (NIS)")+SUMIFS('Source 2026'!$D:$D,'Source 2026'!$B:$B,$A201,'Source 2026'!$A:$A,"Amount (NIS)")+SUMIFS('Source 2026'!$E:$E,'Source 2026'!$B:$B,$A201,'Source 2026'!$A:$A,"Amount (NIS)")+SUMIFS('Source 2026'!$G:$G,'Source 2026'!$B:$B,$A201,'Source 2026'!$A:$A,"Amount (NIS)")</f>
        <v>12572.6</v>
      </c>
      <c r="J201" s="9" t="n">
        <f aca="false">I201*$J$5</f>
        <v>15881.1789473684</v>
      </c>
      <c r="K201" s="9" t="n">
        <f aca="false">J201-H201</f>
        <v>2981.87894736842</v>
      </c>
      <c r="L201" s="11" t="n">
        <f aca="false">IF(AND(H201=0,J201=0),0,IF(H201=0,"New",(J201-H201)/H201))</f>
        <v>0.231165950661541</v>
      </c>
    </row>
    <row r="202" customFormat="false" ht="15" hidden="false" customHeight="true" outlineLevel="0" collapsed="false">
      <c r="A202" s="8" t="s">
        <v>271</v>
      </c>
      <c r="B202" s="8" t="str">
        <f aca="false">IFERROR(INDEX('Source 2026'!$C:$C,MATCH($A202,'Source 2026'!$B:$B,0)),IFERROR(INDEX('Source 2025'!$C:$C,MATCH($A202,'Source 2025'!$B:$B,0)),""))</f>
        <v>כפפות אגודל לחץ</v>
      </c>
      <c r="C202" s="9" t="n">
        <f aca="false">SUMIFS('Source 2025'!$F:$F,'Source 2025'!$B:$B,$A202,'Source 2025'!$A:$A,"Quantity (units)")+SUMIFS('Source 2025'!$H:$H,'Source 2025'!$B:$B,$A202,'Source 2025'!$A:$A,"Quantity (units)")+SUMIFS('Source 2025'!$M:$M,'Source 2025'!$B:$B,$A202,'Source 2025'!$A:$A,"Quantity (units)")+SUMIFS('Source 2025'!$N:$N,'Source 2025'!$B:$B,$A202,'Source 2025'!$A:$A,"Quantity (units)")+SUMIFS('Source 2025'!$S:$S,'Source 2025'!$B:$B,$A202,'Source 2025'!$A:$A,"Quantity (units)")+SUMIFS('Source 2025'!$U:$U,'Source 2025'!$B:$B,$A202,'Source 2025'!$A:$A,"Quantity (units)")+SUMIFS('Source 2025'!$D:$D,'Source 2025'!$B:$B,$A202,'Source 2025'!$A:$A,"Quantity (units)")+SUMIFS('Source 2025'!$E:$E,'Source 2025'!$B:$B,$A202,'Source 2025'!$A:$A,"Quantity (units)")+SUMIFS('Source 2025'!$G:$G,'Source 2025'!$B:$B,$A202,'Source 2025'!$A:$A,"Quantity (units)")</f>
        <v>35</v>
      </c>
      <c r="D202" s="9" t="n">
        <f aca="false">SUMIFS('Source 2026'!$F:$F,'Source 2026'!$B:$B,$A202,'Source 2026'!$A:$A,"Quantity (units)")+SUMIFS('Source 2026'!$H:$H,'Source 2026'!$B:$B,$A202,'Source 2026'!$A:$A,"Quantity (units)")+SUMIFS('Source 2026'!$M:$M,'Source 2026'!$B:$B,$A202,'Source 2026'!$A:$A,"Quantity (units)")+SUMIFS('Source 2026'!$N:$N,'Source 2026'!$B:$B,$A202,'Source 2026'!$A:$A,"Quantity (units)")+SUMIFS('Source 2026'!$S:$S,'Source 2026'!$B:$B,$A202,'Source 2026'!$A:$A,"Quantity (units)")+SUMIFS('Source 2026'!$U:$U,'Source 2026'!$B:$B,$A202,'Source 2026'!$A:$A,"Quantity (units)")+SUMIFS('Source 2026'!$D:$D,'Source 2026'!$B:$B,$A202,'Source 2026'!$A:$A,"Quantity (units)")+SUMIFS('Source 2026'!$E:$E,'Source 2026'!$B:$B,$A202,'Source 2026'!$A:$A,"Quantity (units)")+SUMIFS('Source 2026'!$G:$G,'Source 2026'!$B:$B,$A202,'Source 2026'!$A:$A,"Quantity (units)")</f>
        <v>26</v>
      </c>
      <c r="E202" s="9" t="n">
        <f aca="false">D202*$J$5</f>
        <v>32.8421052631579</v>
      </c>
      <c r="F202" s="9" t="n">
        <f aca="false">E202-C202</f>
        <v>-2.15789473684211</v>
      </c>
      <c r="G202" s="11" t="n">
        <f aca="false">IF(AND(C202=0,E202=0),0,IF(C202=0,"New",(E202-C202)/C202))</f>
        <v>-0.061654135338346</v>
      </c>
      <c r="H202" s="9" t="n">
        <f aca="false">SUMIFS('Source 2025'!$F:$F,'Source 2025'!$B:$B,$A202,'Source 2025'!$A:$A,"Amount (NIS)")+SUMIFS('Source 2025'!$H:$H,'Source 2025'!$B:$B,$A202,'Source 2025'!$A:$A,"Amount (NIS)")+SUMIFS('Source 2025'!$M:$M,'Source 2025'!$B:$B,$A202,'Source 2025'!$A:$A,"Amount (NIS)")+SUMIFS('Source 2025'!$N:$N,'Source 2025'!$B:$B,$A202,'Source 2025'!$A:$A,"Amount (NIS)")+SUMIFS('Source 2025'!$S:$S,'Source 2025'!$B:$B,$A202,'Source 2025'!$A:$A,"Amount (NIS)")+SUMIFS('Source 2025'!$U:$U,'Source 2025'!$B:$B,$A202,'Source 2025'!$A:$A,"Amount (NIS)")+SUMIFS('Source 2025'!$D:$D,'Source 2025'!$B:$B,$A202,'Source 2025'!$A:$A,"Amount (NIS)")+SUMIFS('Source 2025'!$E:$E,'Source 2025'!$B:$B,$A202,'Source 2025'!$A:$A,"Amount (NIS)")+SUMIFS('Source 2025'!$G:$G,'Source 2025'!$B:$B,$A202,'Source 2025'!$A:$A,"Amount (NIS)")</f>
        <v>1331.6</v>
      </c>
      <c r="I202" s="9" t="n">
        <f aca="false">SUMIFS('Source 2026'!$F:$F,'Source 2026'!$B:$B,$A202,'Source 2026'!$A:$A,"Amount (NIS)")+SUMIFS('Source 2026'!$H:$H,'Source 2026'!$B:$B,$A202,'Source 2026'!$A:$A,"Amount (NIS)")+SUMIFS('Source 2026'!$M:$M,'Source 2026'!$B:$B,$A202,'Source 2026'!$A:$A,"Amount (NIS)")+SUMIFS('Source 2026'!$N:$N,'Source 2026'!$B:$B,$A202,'Source 2026'!$A:$A,"Amount (NIS)")+SUMIFS('Source 2026'!$S:$S,'Source 2026'!$B:$B,$A202,'Source 2026'!$A:$A,"Amount (NIS)")+SUMIFS('Source 2026'!$U:$U,'Source 2026'!$B:$B,$A202,'Source 2026'!$A:$A,"Amount (NIS)")+SUMIFS('Source 2026'!$D:$D,'Source 2026'!$B:$B,$A202,'Source 2026'!$A:$A,"Amount (NIS)")+SUMIFS('Source 2026'!$E:$E,'Source 2026'!$B:$B,$A202,'Source 2026'!$A:$A,"Amount (NIS)")+SUMIFS('Source 2026'!$G:$G,'Source 2026'!$B:$B,$A202,'Source 2026'!$A:$A,"Amount (NIS)")</f>
        <v>1016</v>
      </c>
      <c r="J202" s="9" t="n">
        <f aca="false">I202*$J$5</f>
        <v>1283.36842105263</v>
      </c>
      <c r="K202" s="9" t="n">
        <f aca="false">J202-H202</f>
        <v>-48.2315789473685</v>
      </c>
      <c r="L202" s="11" t="n">
        <f aca="false">IF(AND(H202=0,J202=0),0,IF(H202=0,"New",(J202-H202)/H202))</f>
        <v>-0.0362207712131034</v>
      </c>
    </row>
    <row r="203" customFormat="false" ht="15" hidden="false" customHeight="true" outlineLevel="0" collapsed="false">
      <c r="A203" s="8" t="s">
        <v>272</v>
      </c>
      <c r="B203" s="8" t="str">
        <f aca="false">IFERROR(INDEX('Source 2026'!$C:$C,MATCH($A203,'Source 2026'!$B:$B,0)),IFERROR(INDEX('Source 2025'!$C:$C,MATCH($A203,'Source 2025'!$B:$B,0)),""))</f>
        <v>S מגן ברך רגיל</v>
      </c>
      <c r="C203" s="9" t="n">
        <f aca="false">SUMIFS('Source 2025'!$F:$F,'Source 2025'!$B:$B,$A203,'Source 2025'!$A:$A,"Quantity (units)")+SUMIFS('Source 2025'!$H:$H,'Source 2025'!$B:$B,$A203,'Source 2025'!$A:$A,"Quantity (units)")+SUMIFS('Source 2025'!$M:$M,'Source 2025'!$B:$B,$A203,'Source 2025'!$A:$A,"Quantity (units)")+SUMIFS('Source 2025'!$N:$N,'Source 2025'!$B:$B,$A203,'Source 2025'!$A:$A,"Quantity (units)")+SUMIFS('Source 2025'!$S:$S,'Source 2025'!$B:$B,$A203,'Source 2025'!$A:$A,"Quantity (units)")+SUMIFS('Source 2025'!$U:$U,'Source 2025'!$B:$B,$A203,'Source 2025'!$A:$A,"Quantity (units)")+SUMIFS('Source 2025'!$D:$D,'Source 2025'!$B:$B,$A203,'Source 2025'!$A:$A,"Quantity (units)")+SUMIFS('Source 2025'!$E:$E,'Source 2025'!$B:$B,$A203,'Source 2025'!$A:$A,"Quantity (units)")+SUMIFS('Source 2025'!$G:$G,'Source 2025'!$B:$B,$A203,'Source 2025'!$A:$A,"Quantity (units)")</f>
        <v>0</v>
      </c>
      <c r="D203" s="9" t="n">
        <f aca="false">SUMIFS('Source 2026'!$F:$F,'Source 2026'!$B:$B,$A203,'Source 2026'!$A:$A,"Quantity (units)")+SUMIFS('Source 2026'!$H:$H,'Source 2026'!$B:$B,$A203,'Source 2026'!$A:$A,"Quantity (units)")+SUMIFS('Source 2026'!$M:$M,'Source 2026'!$B:$B,$A203,'Source 2026'!$A:$A,"Quantity (units)")+SUMIFS('Source 2026'!$N:$N,'Source 2026'!$B:$B,$A203,'Source 2026'!$A:$A,"Quantity (units)")+SUMIFS('Source 2026'!$S:$S,'Source 2026'!$B:$B,$A203,'Source 2026'!$A:$A,"Quantity (units)")+SUMIFS('Source 2026'!$U:$U,'Source 2026'!$B:$B,$A203,'Source 2026'!$A:$A,"Quantity (units)")+SUMIFS('Source 2026'!$D:$D,'Source 2026'!$B:$B,$A203,'Source 2026'!$A:$A,"Quantity (units)")+SUMIFS('Source 2026'!$E:$E,'Source 2026'!$B:$B,$A203,'Source 2026'!$A:$A,"Quantity (units)")+SUMIFS('Source 2026'!$G:$G,'Source 2026'!$B:$B,$A203,'Source 2026'!$A:$A,"Quantity (units)")</f>
        <v>3</v>
      </c>
      <c r="E203" s="9" t="n">
        <f aca="false">D203*$J$5</f>
        <v>3.78947368421053</v>
      </c>
      <c r="F203" s="9" t="n">
        <f aca="false">E203-C203</f>
        <v>3.78947368421053</v>
      </c>
      <c r="G203" s="11" t="str">
        <f aca="false">IF(AND(C203=0,E203=0),0,IF(C203=0,"New",(E203-C203)/C203))</f>
        <v>New</v>
      </c>
      <c r="H203" s="9" t="n">
        <f aca="false">SUMIFS('Source 2025'!$F:$F,'Source 2025'!$B:$B,$A203,'Source 2025'!$A:$A,"Amount (NIS)")+SUMIFS('Source 2025'!$H:$H,'Source 2025'!$B:$B,$A203,'Source 2025'!$A:$A,"Amount (NIS)")+SUMIFS('Source 2025'!$M:$M,'Source 2025'!$B:$B,$A203,'Source 2025'!$A:$A,"Amount (NIS)")+SUMIFS('Source 2025'!$N:$N,'Source 2025'!$B:$B,$A203,'Source 2025'!$A:$A,"Amount (NIS)")+SUMIFS('Source 2025'!$S:$S,'Source 2025'!$B:$B,$A203,'Source 2025'!$A:$A,"Amount (NIS)")+SUMIFS('Source 2025'!$U:$U,'Source 2025'!$B:$B,$A203,'Source 2025'!$A:$A,"Amount (NIS)")+SUMIFS('Source 2025'!$D:$D,'Source 2025'!$B:$B,$A203,'Source 2025'!$A:$A,"Amount (NIS)")+SUMIFS('Source 2025'!$E:$E,'Source 2025'!$B:$B,$A203,'Source 2025'!$A:$A,"Amount (NIS)")+SUMIFS('Source 2025'!$G:$G,'Source 2025'!$B:$B,$A203,'Source 2025'!$A:$A,"Amount (NIS)")</f>
        <v>0</v>
      </c>
      <c r="I203" s="9" t="n">
        <f aca="false">SUMIFS('Source 2026'!$F:$F,'Source 2026'!$B:$B,$A203,'Source 2026'!$A:$A,"Amount (NIS)")+SUMIFS('Source 2026'!$H:$H,'Source 2026'!$B:$B,$A203,'Source 2026'!$A:$A,"Amount (NIS)")+SUMIFS('Source 2026'!$M:$M,'Source 2026'!$B:$B,$A203,'Source 2026'!$A:$A,"Amount (NIS)")+SUMIFS('Source 2026'!$N:$N,'Source 2026'!$B:$B,$A203,'Source 2026'!$A:$A,"Amount (NIS)")+SUMIFS('Source 2026'!$S:$S,'Source 2026'!$B:$B,$A203,'Source 2026'!$A:$A,"Amount (NIS)")+SUMIFS('Source 2026'!$U:$U,'Source 2026'!$B:$B,$A203,'Source 2026'!$A:$A,"Amount (NIS)")+SUMIFS('Source 2026'!$D:$D,'Source 2026'!$B:$B,$A203,'Source 2026'!$A:$A,"Amount (NIS)")+SUMIFS('Source 2026'!$E:$E,'Source 2026'!$B:$B,$A203,'Source 2026'!$A:$A,"Amount (NIS)")+SUMIFS('Source 2026'!$G:$G,'Source 2026'!$B:$B,$A203,'Source 2026'!$A:$A,"Amount (NIS)")</f>
        <v>312</v>
      </c>
      <c r="J203" s="9" t="n">
        <f aca="false">I203*$J$5</f>
        <v>394.105263157895</v>
      </c>
      <c r="K203" s="9" t="n">
        <f aca="false">J203-H203</f>
        <v>394.105263157895</v>
      </c>
      <c r="L203" s="11" t="str">
        <f aca="false">IF(AND(H203=0,J203=0),0,IF(H203=0,"New",(J203-H203)/H203))</f>
        <v>New</v>
      </c>
    </row>
    <row r="204" customFormat="false" ht="15" hidden="false" customHeight="true" outlineLevel="0" collapsed="false">
      <c r="A204" s="8" t="s">
        <v>273</v>
      </c>
      <c r="B204" s="8" t="str">
        <f aca="false">IFERROR(INDEX('Source 2026'!$C:$C,MATCH($A204,'Source 2026'!$B:$B,0)),IFERROR(INDEX('Source 2025'!$C:$C,MATCH($A204,'Source 2025'!$B:$B,0)),""))</f>
        <v>L ח.בטן מותנית צר</v>
      </c>
      <c r="C204" s="9" t="n">
        <f aca="false">SUMIFS('Source 2025'!$F:$F,'Source 2025'!$B:$B,$A204,'Source 2025'!$A:$A,"Quantity (units)")+SUMIFS('Source 2025'!$H:$H,'Source 2025'!$B:$B,$A204,'Source 2025'!$A:$A,"Quantity (units)")+SUMIFS('Source 2025'!$M:$M,'Source 2025'!$B:$B,$A204,'Source 2025'!$A:$A,"Quantity (units)")+SUMIFS('Source 2025'!$N:$N,'Source 2025'!$B:$B,$A204,'Source 2025'!$A:$A,"Quantity (units)")+SUMIFS('Source 2025'!$S:$S,'Source 2025'!$B:$B,$A204,'Source 2025'!$A:$A,"Quantity (units)")+SUMIFS('Source 2025'!$U:$U,'Source 2025'!$B:$B,$A204,'Source 2025'!$A:$A,"Quantity (units)")+SUMIFS('Source 2025'!$D:$D,'Source 2025'!$B:$B,$A204,'Source 2025'!$A:$A,"Quantity (units)")+SUMIFS('Source 2025'!$E:$E,'Source 2025'!$B:$B,$A204,'Source 2025'!$A:$A,"Quantity (units)")+SUMIFS('Source 2025'!$G:$G,'Source 2025'!$B:$B,$A204,'Source 2025'!$A:$A,"Quantity (units)")</f>
        <v>4</v>
      </c>
      <c r="D204" s="9" t="n">
        <f aca="false">SUMIFS('Source 2026'!$F:$F,'Source 2026'!$B:$B,$A204,'Source 2026'!$A:$A,"Quantity (units)")+SUMIFS('Source 2026'!$H:$H,'Source 2026'!$B:$B,$A204,'Source 2026'!$A:$A,"Quantity (units)")+SUMIFS('Source 2026'!$M:$M,'Source 2026'!$B:$B,$A204,'Source 2026'!$A:$A,"Quantity (units)")+SUMIFS('Source 2026'!$N:$N,'Source 2026'!$B:$B,$A204,'Source 2026'!$A:$A,"Quantity (units)")+SUMIFS('Source 2026'!$S:$S,'Source 2026'!$B:$B,$A204,'Source 2026'!$A:$A,"Quantity (units)")+SUMIFS('Source 2026'!$U:$U,'Source 2026'!$B:$B,$A204,'Source 2026'!$A:$A,"Quantity (units)")+SUMIFS('Source 2026'!$D:$D,'Source 2026'!$B:$B,$A204,'Source 2026'!$A:$A,"Quantity (units)")+SUMIFS('Source 2026'!$E:$E,'Source 2026'!$B:$B,$A204,'Source 2026'!$A:$A,"Quantity (units)")+SUMIFS('Source 2026'!$G:$G,'Source 2026'!$B:$B,$A204,'Source 2026'!$A:$A,"Quantity (units)")</f>
        <v>2</v>
      </c>
      <c r="E204" s="9" t="n">
        <f aca="false">D204*$J$5</f>
        <v>2.52631578947368</v>
      </c>
      <c r="F204" s="9" t="n">
        <f aca="false">E204-C204</f>
        <v>-1.47368421052632</v>
      </c>
      <c r="G204" s="11" t="n">
        <f aca="false">IF(AND(C204=0,E204=0),0,IF(C204=0,"New",(E204-C204)/C204))</f>
        <v>-0.368421052631579</v>
      </c>
      <c r="H204" s="9" t="n">
        <f aca="false">SUMIFS('Source 2025'!$F:$F,'Source 2025'!$B:$B,$A204,'Source 2025'!$A:$A,"Amount (NIS)")+SUMIFS('Source 2025'!$H:$H,'Source 2025'!$B:$B,$A204,'Source 2025'!$A:$A,"Amount (NIS)")+SUMIFS('Source 2025'!$M:$M,'Source 2025'!$B:$B,$A204,'Source 2025'!$A:$A,"Amount (NIS)")+SUMIFS('Source 2025'!$N:$N,'Source 2025'!$B:$B,$A204,'Source 2025'!$A:$A,"Amount (NIS)")+SUMIFS('Source 2025'!$S:$S,'Source 2025'!$B:$B,$A204,'Source 2025'!$A:$A,"Amount (NIS)")+SUMIFS('Source 2025'!$U:$U,'Source 2025'!$B:$B,$A204,'Source 2025'!$A:$A,"Amount (NIS)")+SUMIFS('Source 2025'!$D:$D,'Source 2025'!$B:$B,$A204,'Source 2025'!$A:$A,"Amount (NIS)")+SUMIFS('Source 2025'!$E:$E,'Source 2025'!$B:$B,$A204,'Source 2025'!$A:$A,"Amount (NIS)")+SUMIFS('Source 2025'!$G:$G,'Source 2025'!$B:$B,$A204,'Source 2025'!$A:$A,"Amount (NIS)")</f>
        <v>562.2</v>
      </c>
      <c r="I204" s="9" t="n">
        <f aca="false">SUMIFS('Source 2026'!$F:$F,'Source 2026'!$B:$B,$A204,'Source 2026'!$A:$A,"Amount (NIS)")+SUMIFS('Source 2026'!$H:$H,'Source 2026'!$B:$B,$A204,'Source 2026'!$A:$A,"Amount (NIS)")+SUMIFS('Source 2026'!$M:$M,'Source 2026'!$B:$B,$A204,'Source 2026'!$A:$A,"Amount (NIS)")+SUMIFS('Source 2026'!$N:$N,'Source 2026'!$B:$B,$A204,'Source 2026'!$A:$A,"Amount (NIS)")+SUMIFS('Source 2026'!$S:$S,'Source 2026'!$B:$B,$A204,'Source 2026'!$A:$A,"Amount (NIS)")+SUMIFS('Source 2026'!$U:$U,'Source 2026'!$B:$B,$A204,'Source 2026'!$A:$A,"Amount (NIS)")+SUMIFS('Source 2026'!$D:$D,'Source 2026'!$B:$B,$A204,'Source 2026'!$A:$A,"Amount (NIS)")+SUMIFS('Source 2026'!$E:$E,'Source 2026'!$B:$B,$A204,'Source 2026'!$A:$A,"Amount (NIS)")+SUMIFS('Source 2026'!$G:$G,'Source 2026'!$B:$B,$A204,'Source 2026'!$A:$A,"Amount (NIS)")</f>
        <v>253.1</v>
      </c>
      <c r="J204" s="9" t="n">
        <f aca="false">I204*$J$5</f>
        <v>319.705263157895</v>
      </c>
      <c r="K204" s="9" t="n">
        <f aca="false">J204-H204</f>
        <v>-242.494736842105</v>
      </c>
      <c r="L204" s="11" t="n">
        <f aca="false">IF(AND(H204=0,J204=0),0,IF(H204=0,"New",(J204-H204)/H204))</f>
        <v>-0.431331798011571</v>
      </c>
    </row>
    <row r="205" customFormat="false" ht="15" hidden="false" customHeight="true" outlineLevel="0" collapsed="false">
      <c r="A205" s="8" t="s">
        <v>274</v>
      </c>
      <c r="B205" s="8" t="str">
        <f aca="false">IFERROR(INDEX('Source 2026'!$C:$C,MATCH($A205,'Source 2026'!$B:$B,0)),IFERROR(INDEX('Source 2025'!$C:$C,MATCH($A205,'Source 2025'!$B:$B,0)),""))</f>
        <v>טייפ בז' 20מ""מ20</v>
      </c>
      <c r="C205" s="9" t="n">
        <f aca="false">SUMIFS('Source 2025'!$F:$F,'Source 2025'!$B:$B,$A205,'Source 2025'!$A:$A,"Quantity (units)")+SUMIFS('Source 2025'!$H:$H,'Source 2025'!$B:$B,$A205,'Source 2025'!$A:$A,"Quantity (units)")+SUMIFS('Source 2025'!$M:$M,'Source 2025'!$B:$B,$A205,'Source 2025'!$A:$A,"Quantity (units)")+SUMIFS('Source 2025'!$N:$N,'Source 2025'!$B:$B,$A205,'Source 2025'!$A:$A,"Quantity (units)")+SUMIFS('Source 2025'!$S:$S,'Source 2025'!$B:$B,$A205,'Source 2025'!$A:$A,"Quantity (units)")+SUMIFS('Source 2025'!$U:$U,'Source 2025'!$B:$B,$A205,'Source 2025'!$A:$A,"Quantity (units)")+SUMIFS('Source 2025'!$D:$D,'Source 2025'!$B:$B,$A205,'Source 2025'!$A:$A,"Quantity (units)")+SUMIFS('Source 2025'!$E:$E,'Source 2025'!$B:$B,$A205,'Source 2025'!$A:$A,"Quantity (units)")+SUMIFS('Source 2025'!$G:$G,'Source 2025'!$B:$B,$A205,'Source 2025'!$A:$A,"Quantity (units)")</f>
        <v>70</v>
      </c>
      <c r="D205" s="9" t="n">
        <f aca="false">SUMIFS('Source 2026'!$F:$F,'Source 2026'!$B:$B,$A205,'Source 2026'!$A:$A,"Quantity (units)")+SUMIFS('Source 2026'!$H:$H,'Source 2026'!$B:$B,$A205,'Source 2026'!$A:$A,"Quantity (units)")+SUMIFS('Source 2026'!$M:$M,'Source 2026'!$B:$B,$A205,'Source 2026'!$A:$A,"Quantity (units)")+SUMIFS('Source 2026'!$N:$N,'Source 2026'!$B:$B,$A205,'Source 2026'!$A:$A,"Quantity (units)")+SUMIFS('Source 2026'!$S:$S,'Source 2026'!$B:$B,$A205,'Source 2026'!$A:$A,"Quantity (units)")+SUMIFS('Source 2026'!$U:$U,'Source 2026'!$B:$B,$A205,'Source 2026'!$A:$A,"Quantity (units)")+SUMIFS('Source 2026'!$D:$D,'Source 2026'!$B:$B,$A205,'Source 2026'!$A:$A,"Quantity (units)")+SUMIFS('Source 2026'!$E:$E,'Source 2026'!$B:$B,$A205,'Source 2026'!$A:$A,"Quantity (units)")+SUMIFS('Source 2026'!$G:$G,'Source 2026'!$B:$B,$A205,'Source 2026'!$A:$A,"Quantity (units)")</f>
        <v>48</v>
      </c>
      <c r="E205" s="9" t="n">
        <f aca="false">D205*$J$5</f>
        <v>60.6315789473684</v>
      </c>
      <c r="F205" s="9" t="n">
        <f aca="false">E205-C205</f>
        <v>-9.36842105263158</v>
      </c>
      <c r="G205" s="11" t="n">
        <f aca="false">IF(AND(C205=0,E205=0),0,IF(C205=0,"New",(E205-C205)/C205))</f>
        <v>-0.133834586466165</v>
      </c>
      <c r="H205" s="9" t="n">
        <f aca="false">SUMIFS('Source 2025'!$F:$F,'Source 2025'!$B:$B,$A205,'Source 2025'!$A:$A,"Amount (NIS)")+SUMIFS('Source 2025'!$H:$H,'Source 2025'!$B:$B,$A205,'Source 2025'!$A:$A,"Amount (NIS)")+SUMIFS('Source 2025'!$M:$M,'Source 2025'!$B:$B,$A205,'Source 2025'!$A:$A,"Amount (NIS)")+SUMIFS('Source 2025'!$N:$N,'Source 2025'!$B:$B,$A205,'Source 2025'!$A:$A,"Amount (NIS)")+SUMIFS('Source 2025'!$S:$S,'Source 2025'!$B:$B,$A205,'Source 2025'!$A:$A,"Amount (NIS)")+SUMIFS('Source 2025'!$U:$U,'Source 2025'!$B:$B,$A205,'Source 2025'!$A:$A,"Amount (NIS)")+SUMIFS('Source 2025'!$D:$D,'Source 2025'!$B:$B,$A205,'Source 2025'!$A:$A,"Amount (NIS)")+SUMIFS('Source 2025'!$E:$E,'Source 2025'!$B:$B,$A205,'Source 2025'!$A:$A,"Amount (NIS)")+SUMIFS('Source 2025'!$G:$G,'Source 2025'!$B:$B,$A205,'Source 2025'!$A:$A,"Amount (NIS)")</f>
        <v>1089.5</v>
      </c>
      <c r="I205" s="9" t="n">
        <f aca="false">SUMIFS('Source 2026'!$F:$F,'Source 2026'!$B:$B,$A205,'Source 2026'!$A:$A,"Amount (NIS)")+SUMIFS('Source 2026'!$H:$H,'Source 2026'!$B:$B,$A205,'Source 2026'!$A:$A,"Amount (NIS)")+SUMIFS('Source 2026'!$M:$M,'Source 2026'!$B:$B,$A205,'Source 2026'!$A:$A,"Amount (NIS)")+SUMIFS('Source 2026'!$N:$N,'Source 2026'!$B:$B,$A205,'Source 2026'!$A:$A,"Amount (NIS)")+SUMIFS('Source 2026'!$S:$S,'Source 2026'!$B:$B,$A205,'Source 2026'!$A:$A,"Amount (NIS)")+SUMIFS('Source 2026'!$U:$U,'Source 2026'!$B:$B,$A205,'Source 2026'!$A:$A,"Amount (NIS)")+SUMIFS('Source 2026'!$D:$D,'Source 2026'!$B:$B,$A205,'Source 2026'!$A:$A,"Amount (NIS)")+SUMIFS('Source 2026'!$E:$E,'Source 2026'!$B:$B,$A205,'Source 2026'!$A:$A,"Amount (NIS)")+SUMIFS('Source 2026'!$G:$G,'Source 2026'!$B:$B,$A205,'Source 2026'!$A:$A,"Amount (NIS)")</f>
        <v>788.6</v>
      </c>
      <c r="J205" s="9" t="n">
        <f aca="false">I205*$J$5</f>
        <v>996.126315789474</v>
      </c>
      <c r="K205" s="9" t="n">
        <f aca="false">J205-H205</f>
        <v>-93.3736842105263</v>
      </c>
      <c r="L205" s="11" t="n">
        <f aca="false">IF(AND(H205=0,J205=0),0,IF(H205=0,"New",(J205-H205)/H205))</f>
        <v>-0.085703243882998</v>
      </c>
    </row>
    <row r="206" customFormat="false" ht="15" hidden="false" customHeight="true" outlineLevel="0" collapsed="false">
      <c r="A206" s="8" t="s">
        <v>275</v>
      </c>
      <c r="B206" s="8" t="str">
        <f aca="false">IFERROR(INDEX('Source 2026'!$C:$C,MATCH($A206,'Source 2026'!$B:$B,0)),IFERROR(INDEX('Source 2025'!$C:$C,MATCH($A206,'Source 2025'!$B:$B,0)),""))</f>
        <v>11 אפורUG חגורת בטן</v>
      </c>
      <c r="C206" s="9" t="n">
        <f aca="false">SUMIFS('Source 2025'!$F:$F,'Source 2025'!$B:$B,$A206,'Source 2025'!$A:$A,"Quantity (units)")+SUMIFS('Source 2025'!$H:$H,'Source 2025'!$B:$B,$A206,'Source 2025'!$A:$A,"Quantity (units)")+SUMIFS('Source 2025'!$M:$M,'Source 2025'!$B:$B,$A206,'Source 2025'!$A:$A,"Quantity (units)")+SUMIFS('Source 2025'!$N:$N,'Source 2025'!$B:$B,$A206,'Source 2025'!$A:$A,"Quantity (units)")+SUMIFS('Source 2025'!$S:$S,'Source 2025'!$B:$B,$A206,'Source 2025'!$A:$A,"Quantity (units)")+SUMIFS('Source 2025'!$U:$U,'Source 2025'!$B:$B,$A206,'Source 2025'!$A:$A,"Quantity (units)")+SUMIFS('Source 2025'!$D:$D,'Source 2025'!$B:$B,$A206,'Source 2025'!$A:$A,"Quantity (units)")+SUMIFS('Source 2025'!$E:$E,'Source 2025'!$B:$B,$A206,'Source 2025'!$A:$A,"Quantity (units)")+SUMIFS('Source 2025'!$G:$G,'Source 2025'!$B:$B,$A206,'Source 2025'!$A:$A,"Quantity (units)")</f>
        <v>3</v>
      </c>
      <c r="D206" s="9" t="n">
        <f aca="false">SUMIFS('Source 2026'!$F:$F,'Source 2026'!$B:$B,$A206,'Source 2026'!$A:$A,"Quantity (units)")+SUMIFS('Source 2026'!$H:$H,'Source 2026'!$B:$B,$A206,'Source 2026'!$A:$A,"Quantity (units)")+SUMIFS('Source 2026'!$M:$M,'Source 2026'!$B:$B,$A206,'Source 2026'!$A:$A,"Quantity (units)")+SUMIFS('Source 2026'!$N:$N,'Source 2026'!$B:$B,$A206,'Source 2026'!$A:$A,"Quantity (units)")+SUMIFS('Source 2026'!$S:$S,'Source 2026'!$B:$B,$A206,'Source 2026'!$A:$A,"Quantity (units)")+SUMIFS('Source 2026'!$U:$U,'Source 2026'!$B:$B,$A206,'Source 2026'!$A:$A,"Quantity (units)")+SUMIFS('Source 2026'!$D:$D,'Source 2026'!$B:$B,$A206,'Source 2026'!$A:$A,"Quantity (units)")+SUMIFS('Source 2026'!$E:$E,'Source 2026'!$B:$B,$A206,'Source 2026'!$A:$A,"Quantity (units)")+SUMIFS('Source 2026'!$G:$G,'Source 2026'!$B:$B,$A206,'Source 2026'!$A:$A,"Quantity (units)")</f>
        <v>0</v>
      </c>
      <c r="E206" s="9" t="n">
        <f aca="false">D206*$J$5</f>
        <v>0</v>
      </c>
      <c r="F206" s="9" t="n">
        <f aca="false">E206-C206</f>
        <v>-3</v>
      </c>
      <c r="G206" s="11" t="n">
        <f aca="false">IF(AND(C206=0,E206=0),0,IF(C206=0,"New",(E206-C206)/C206))</f>
        <v>-1</v>
      </c>
      <c r="H206" s="9" t="n">
        <f aca="false">SUMIFS('Source 2025'!$F:$F,'Source 2025'!$B:$B,$A206,'Source 2025'!$A:$A,"Amount (NIS)")+SUMIFS('Source 2025'!$H:$H,'Source 2025'!$B:$B,$A206,'Source 2025'!$A:$A,"Amount (NIS)")+SUMIFS('Source 2025'!$M:$M,'Source 2025'!$B:$B,$A206,'Source 2025'!$A:$A,"Amount (NIS)")+SUMIFS('Source 2025'!$N:$N,'Source 2025'!$B:$B,$A206,'Source 2025'!$A:$A,"Amount (NIS)")+SUMIFS('Source 2025'!$S:$S,'Source 2025'!$B:$B,$A206,'Source 2025'!$A:$A,"Amount (NIS)")+SUMIFS('Source 2025'!$U:$U,'Source 2025'!$B:$B,$A206,'Source 2025'!$A:$A,"Amount (NIS)")+SUMIFS('Source 2025'!$D:$D,'Source 2025'!$B:$B,$A206,'Source 2025'!$A:$A,"Amount (NIS)")+SUMIFS('Source 2025'!$E:$E,'Source 2025'!$B:$B,$A206,'Source 2025'!$A:$A,"Amount (NIS)")+SUMIFS('Source 2025'!$G:$G,'Source 2025'!$B:$B,$A206,'Source 2025'!$A:$A,"Amount (NIS)")</f>
        <v>288.7</v>
      </c>
      <c r="I206" s="9" t="n">
        <f aca="false">SUMIFS('Source 2026'!$F:$F,'Source 2026'!$B:$B,$A206,'Source 2026'!$A:$A,"Amount (NIS)")+SUMIFS('Source 2026'!$H:$H,'Source 2026'!$B:$B,$A206,'Source 2026'!$A:$A,"Amount (NIS)")+SUMIFS('Source 2026'!$M:$M,'Source 2026'!$B:$B,$A206,'Source 2026'!$A:$A,"Amount (NIS)")+SUMIFS('Source 2026'!$N:$N,'Source 2026'!$B:$B,$A206,'Source 2026'!$A:$A,"Amount (NIS)")+SUMIFS('Source 2026'!$S:$S,'Source 2026'!$B:$B,$A206,'Source 2026'!$A:$A,"Amount (NIS)")+SUMIFS('Source 2026'!$U:$U,'Source 2026'!$B:$B,$A206,'Source 2026'!$A:$A,"Amount (NIS)")+SUMIFS('Source 2026'!$D:$D,'Source 2026'!$B:$B,$A206,'Source 2026'!$A:$A,"Amount (NIS)")+SUMIFS('Source 2026'!$E:$E,'Source 2026'!$B:$B,$A206,'Source 2026'!$A:$A,"Amount (NIS)")+SUMIFS('Source 2026'!$G:$G,'Source 2026'!$B:$B,$A206,'Source 2026'!$A:$A,"Amount (NIS)")</f>
        <v>0</v>
      </c>
      <c r="J206" s="9" t="n">
        <f aca="false">I206*$J$5</f>
        <v>0</v>
      </c>
      <c r="K206" s="9" t="n">
        <f aca="false">J206-H206</f>
        <v>-288.7</v>
      </c>
      <c r="L206" s="11" t="n">
        <f aca="false">IF(AND(H206=0,J206=0),0,IF(H206=0,"New",(J206-H206)/H206))</f>
        <v>-1</v>
      </c>
    </row>
    <row r="207" customFormat="false" ht="15" hidden="false" customHeight="true" outlineLevel="0" collapsed="false">
      <c r="A207" s="8" t="s">
        <v>276</v>
      </c>
      <c r="B207" s="8" t="str">
        <f aca="false">IFERROR(INDEX('Source 2026'!$C:$C,MATCH($A207,'Source 2026'!$B:$B,0)),IFERROR(INDEX('Source 2025'!$C:$C,MATCH($A207,'Source 2025'!$B:$B,0)),""))</f>
        <v>כפפות לחץ</v>
      </c>
      <c r="C207" s="9" t="n">
        <f aca="false">SUMIFS('Source 2025'!$F:$F,'Source 2025'!$B:$B,$A207,'Source 2025'!$A:$A,"Quantity (units)")+SUMIFS('Source 2025'!$H:$H,'Source 2025'!$B:$B,$A207,'Source 2025'!$A:$A,"Quantity (units)")+SUMIFS('Source 2025'!$M:$M,'Source 2025'!$B:$B,$A207,'Source 2025'!$A:$A,"Quantity (units)")+SUMIFS('Source 2025'!$N:$N,'Source 2025'!$B:$B,$A207,'Source 2025'!$A:$A,"Quantity (units)")+SUMIFS('Source 2025'!$S:$S,'Source 2025'!$B:$B,$A207,'Source 2025'!$A:$A,"Quantity (units)")+SUMIFS('Source 2025'!$U:$U,'Source 2025'!$B:$B,$A207,'Source 2025'!$A:$A,"Quantity (units)")+SUMIFS('Source 2025'!$D:$D,'Source 2025'!$B:$B,$A207,'Source 2025'!$A:$A,"Quantity (units)")+SUMIFS('Source 2025'!$E:$E,'Source 2025'!$B:$B,$A207,'Source 2025'!$A:$A,"Quantity (units)")+SUMIFS('Source 2025'!$G:$G,'Source 2025'!$B:$B,$A207,'Source 2025'!$A:$A,"Quantity (units)")</f>
        <v>13</v>
      </c>
      <c r="D207" s="9" t="n">
        <f aca="false">SUMIFS('Source 2026'!$F:$F,'Source 2026'!$B:$B,$A207,'Source 2026'!$A:$A,"Quantity (units)")+SUMIFS('Source 2026'!$H:$H,'Source 2026'!$B:$B,$A207,'Source 2026'!$A:$A,"Quantity (units)")+SUMIFS('Source 2026'!$M:$M,'Source 2026'!$B:$B,$A207,'Source 2026'!$A:$A,"Quantity (units)")+SUMIFS('Source 2026'!$N:$N,'Source 2026'!$B:$B,$A207,'Source 2026'!$A:$A,"Quantity (units)")+SUMIFS('Source 2026'!$S:$S,'Source 2026'!$B:$B,$A207,'Source 2026'!$A:$A,"Quantity (units)")+SUMIFS('Source 2026'!$U:$U,'Source 2026'!$B:$B,$A207,'Source 2026'!$A:$A,"Quantity (units)")+SUMIFS('Source 2026'!$D:$D,'Source 2026'!$B:$B,$A207,'Source 2026'!$A:$A,"Quantity (units)")+SUMIFS('Source 2026'!$E:$E,'Source 2026'!$B:$B,$A207,'Source 2026'!$A:$A,"Quantity (units)")+SUMIFS('Source 2026'!$G:$G,'Source 2026'!$B:$B,$A207,'Source 2026'!$A:$A,"Quantity (units)")</f>
        <v>5</v>
      </c>
      <c r="E207" s="9" t="n">
        <f aca="false">D207*$J$5</f>
        <v>6.31578947368421</v>
      </c>
      <c r="F207" s="9" t="n">
        <f aca="false">E207-C207</f>
        <v>-6.68421052631579</v>
      </c>
      <c r="G207" s="11" t="n">
        <f aca="false">IF(AND(C207=0,E207=0),0,IF(C207=0,"New",(E207-C207)/C207))</f>
        <v>-0.51417004048583</v>
      </c>
      <c r="H207" s="9" t="n">
        <f aca="false">SUMIFS('Source 2025'!$F:$F,'Source 2025'!$B:$B,$A207,'Source 2025'!$A:$A,"Amount (NIS)")+SUMIFS('Source 2025'!$H:$H,'Source 2025'!$B:$B,$A207,'Source 2025'!$A:$A,"Amount (NIS)")+SUMIFS('Source 2025'!$M:$M,'Source 2025'!$B:$B,$A207,'Source 2025'!$A:$A,"Amount (NIS)")+SUMIFS('Source 2025'!$N:$N,'Source 2025'!$B:$B,$A207,'Source 2025'!$A:$A,"Amount (NIS)")+SUMIFS('Source 2025'!$S:$S,'Source 2025'!$B:$B,$A207,'Source 2025'!$A:$A,"Amount (NIS)")+SUMIFS('Source 2025'!$U:$U,'Source 2025'!$B:$B,$A207,'Source 2025'!$A:$A,"Amount (NIS)")+SUMIFS('Source 2025'!$D:$D,'Source 2025'!$B:$B,$A207,'Source 2025'!$A:$A,"Amount (NIS)")+SUMIFS('Source 2025'!$E:$E,'Source 2025'!$B:$B,$A207,'Source 2025'!$A:$A,"Amount (NIS)")+SUMIFS('Source 2025'!$G:$G,'Source 2025'!$B:$B,$A207,'Source 2025'!$A:$A,"Amount (NIS)")</f>
        <v>469.4</v>
      </c>
      <c r="I207" s="9" t="n">
        <f aca="false">SUMIFS('Source 2026'!$F:$F,'Source 2026'!$B:$B,$A207,'Source 2026'!$A:$A,"Amount (NIS)")+SUMIFS('Source 2026'!$H:$H,'Source 2026'!$B:$B,$A207,'Source 2026'!$A:$A,"Amount (NIS)")+SUMIFS('Source 2026'!$M:$M,'Source 2026'!$B:$B,$A207,'Source 2026'!$A:$A,"Amount (NIS)")+SUMIFS('Source 2026'!$N:$N,'Source 2026'!$B:$B,$A207,'Source 2026'!$A:$A,"Amount (NIS)")+SUMIFS('Source 2026'!$S:$S,'Source 2026'!$B:$B,$A207,'Source 2026'!$A:$A,"Amount (NIS)")+SUMIFS('Source 2026'!$U:$U,'Source 2026'!$B:$B,$A207,'Source 2026'!$A:$A,"Amount (NIS)")+SUMIFS('Source 2026'!$D:$D,'Source 2026'!$B:$B,$A207,'Source 2026'!$A:$A,"Amount (NIS)")+SUMIFS('Source 2026'!$E:$E,'Source 2026'!$B:$B,$A207,'Source 2026'!$A:$A,"Amount (NIS)")+SUMIFS('Source 2026'!$G:$G,'Source 2026'!$B:$B,$A207,'Source 2026'!$A:$A,"Amount (NIS)")</f>
        <v>184.8</v>
      </c>
      <c r="J207" s="9" t="n">
        <f aca="false">I207*$J$5</f>
        <v>233.431578947368</v>
      </c>
      <c r="K207" s="9" t="n">
        <f aca="false">J207-H207</f>
        <v>-235.968421052632</v>
      </c>
      <c r="L207" s="11" t="n">
        <f aca="false">IF(AND(H207=0,J207=0),0,IF(H207=0,"New",(J207-H207)/H207))</f>
        <v>-0.50270221783688</v>
      </c>
    </row>
    <row r="208" customFormat="false" ht="15" hidden="false" customHeight="true" outlineLevel="0" collapsed="false">
      <c r="A208" s="8" t="s">
        <v>277</v>
      </c>
      <c r="B208" s="8" t="str">
        <f aca="false">IFERROR(INDEX('Source 2026'!$C:$C,MATCH($A208,'Source 2026'!$B:$B,0)),IFERROR(INDEX('Source 2025'!$C:$C,MATCH($A208,'Source 2025'!$B:$B,0)),""))</f>
        <v>Mמתלה ליד)כיס(+רצועת חיזוק</v>
      </c>
      <c r="C208" s="9" t="n">
        <f aca="false">SUMIFS('Source 2025'!$F:$F,'Source 2025'!$B:$B,$A208,'Source 2025'!$A:$A,"Quantity (units)")+SUMIFS('Source 2025'!$H:$H,'Source 2025'!$B:$B,$A208,'Source 2025'!$A:$A,"Quantity (units)")+SUMIFS('Source 2025'!$M:$M,'Source 2025'!$B:$B,$A208,'Source 2025'!$A:$A,"Quantity (units)")+SUMIFS('Source 2025'!$N:$N,'Source 2025'!$B:$B,$A208,'Source 2025'!$A:$A,"Quantity (units)")+SUMIFS('Source 2025'!$S:$S,'Source 2025'!$B:$B,$A208,'Source 2025'!$A:$A,"Quantity (units)")+SUMIFS('Source 2025'!$U:$U,'Source 2025'!$B:$B,$A208,'Source 2025'!$A:$A,"Quantity (units)")+SUMIFS('Source 2025'!$D:$D,'Source 2025'!$B:$B,$A208,'Source 2025'!$A:$A,"Quantity (units)")+SUMIFS('Source 2025'!$E:$E,'Source 2025'!$B:$B,$A208,'Source 2025'!$A:$A,"Quantity (units)")+SUMIFS('Source 2025'!$G:$G,'Source 2025'!$B:$B,$A208,'Source 2025'!$A:$A,"Quantity (units)")</f>
        <v>7</v>
      </c>
      <c r="D208" s="9" t="n">
        <f aca="false">SUMIFS('Source 2026'!$F:$F,'Source 2026'!$B:$B,$A208,'Source 2026'!$A:$A,"Quantity (units)")+SUMIFS('Source 2026'!$H:$H,'Source 2026'!$B:$B,$A208,'Source 2026'!$A:$A,"Quantity (units)")+SUMIFS('Source 2026'!$M:$M,'Source 2026'!$B:$B,$A208,'Source 2026'!$A:$A,"Quantity (units)")+SUMIFS('Source 2026'!$N:$N,'Source 2026'!$B:$B,$A208,'Source 2026'!$A:$A,"Quantity (units)")+SUMIFS('Source 2026'!$S:$S,'Source 2026'!$B:$B,$A208,'Source 2026'!$A:$A,"Quantity (units)")+SUMIFS('Source 2026'!$U:$U,'Source 2026'!$B:$B,$A208,'Source 2026'!$A:$A,"Quantity (units)")+SUMIFS('Source 2026'!$D:$D,'Source 2026'!$B:$B,$A208,'Source 2026'!$A:$A,"Quantity (units)")+SUMIFS('Source 2026'!$E:$E,'Source 2026'!$B:$B,$A208,'Source 2026'!$A:$A,"Quantity (units)")+SUMIFS('Source 2026'!$G:$G,'Source 2026'!$B:$B,$A208,'Source 2026'!$A:$A,"Quantity (units)")</f>
        <v>4</v>
      </c>
      <c r="E208" s="9" t="n">
        <f aca="false">D208*$J$5</f>
        <v>5.05263157894737</v>
      </c>
      <c r="F208" s="9" t="n">
        <f aca="false">E208-C208</f>
        <v>-1.94736842105263</v>
      </c>
      <c r="G208" s="11" t="n">
        <f aca="false">IF(AND(C208=0,E208=0),0,IF(C208=0,"New",(E208-C208)/C208))</f>
        <v>-0.278195488721805</v>
      </c>
      <c r="H208" s="9" t="n">
        <f aca="false">SUMIFS('Source 2025'!$F:$F,'Source 2025'!$B:$B,$A208,'Source 2025'!$A:$A,"Amount (NIS)")+SUMIFS('Source 2025'!$H:$H,'Source 2025'!$B:$B,$A208,'Source 2025'!$A:$A,"Amount (NIS)")+SUMIFS('Source 2025'!$M:$M,'Source 2025'!$B:$B,$A208,'Source 2025'!$A:$A,"Amount (NIS)")+SUMIFS('Source 2025'!$N:$N,'Source 2025'!$B:$B,$A208,'Source 2025'!$A:$A,"Amount (NIS)")+SUMIFS('Source 2025'!$S:$S,'Source 2025'!$B:$B,$A208,'Source 2025'!$A:$A,"Amount (NIS)")+SUMIFS('Source 2025'!$U:$U,'Source 2025'!$B:$B,$A208,'Source 2025'!$A:$A,"Amount (NIS)")+SUMIFS('Source 2025'!$D:$D,'Source 2025'!$B:$B,$A208,'Source 2025'!$A:$A,"Amount (NIS)")+SUMIFS('Source 2025'!$E:$E,'Source 2025'!$B:$B,$A208,'Source 2025'!$A:$A,"Amount (NIS)")+SUMIFS('Source 2025'!$G:$G,'Source 2025'!$B:$B,$A208,'Source 2025'!$A:$A,"Amount (NIS)")</f>
        <v>662</v>
      </c>
      <c r="I208" s="9" t="n">
        <f aca="false">SUMIFS('Source 2026'!$F:$F,'Source 2026'!$B:$B,$A208,'Source 2026'!$A:$A,"Amount (NIS)")+SUMIFS('Source 2026'!$H:$H,'Source 2026'!$B:$B,$A208,'Source 2026'!$A:$A,"Amount (NIS)")+SUMIFS('Source 2026'!$M:$M,'Source 2026'!$B:$B,$A208,'Source 2026'!$A:$A,"Amount (NIS)")+SUMIFS('Source 2026'!$N:$N,'Source 2026'!$B:$B,$A208,'Source 2026'!$A:$A,"Amount (NIS)")+SUMIFS('Source 2026'!$S:$S,'Source 2026'!$B:$B,$A208,'Source 2026'!$A:$A,"Amount (NIS)")+SUMIFS('Source 2026'!$U:$U,'Source 2026'!$B:$B,$A208,'Source 2026'!$A:$A,"Amount (NIS)")+SUMIFS('Source 2026'!$D:$D,'Source 2026'!$B:$B,$A208,'Source 2026'!$A:$A,"Amount (NIS)")+SUMIFS('Source 2026'!$E:$E,'Source 2026'!$B:$B,$A208,'Source 2026'!$A:$A,"Amount (NIS)")+SUMIFS('Source 2026'!$G:$G,'Source 2026'!$B:$B,$A208,'Source 2026'!$A:$A,"Amount (NIS)")</f>
        <v>378.5</v>
      </c>
      <c r="J208" s="9" t="n">
        <f aca="false">I208*$J$5</f>
        <v>478.105263157895</v>
      </c>
      <c r="K208" s="9" t="n">
        <f aca="false">J208-H208</f>
        <v>-183.894736842105</v>
      </c>
      <c r="L208" s="11" t="n">
        <f aca="false">IF(AND(H208=0,J208=0),0,IF(H208=0,"New",(J208-H208)/H208))</f>
        <v>-0.277786611543966</v>
      </c>
    </row>
    <row r="209" customFormat="false" ht="15" hidden="false" customHeight="true" outlineLevel="0" collapsed="false">
      <c r="A209" s="8" t="s">
        <v>278</v>
      </c>
      <c r="B209" s="8" t="str">
        <f aca="false">IFERROR(INDEX('Source 2026'!$C:$C,MATCH($A209,'Source 2026'!$B:$B,0)),IFERROR(INDEX('Source 2025'!$C:$C,MATCH($A209,'Source 2025'!$B:$B,0)),""))</f>
        <v>מרפק+כרית סילקון</v>
      </c>
      <c r="C209" s="9" t="n">
        <f aca="false">SUMIFS('Source 2025'!$F:$F,'Source 2025'!$B:$B,$A209,'Source 2025'!$A:$A,"Quantity (units)")+SUMIFS('Source 2025'!$H:$H,'Source 2025'!$B:$B,$A209,'Source 2025'!$A:$A,"Quantity (units)")+SUMIFS('Source 2025'!$M:$M,'Source 2025'!$B:$B,$A209,'Source 2025'!$A:$A,"Quantity (units)")+SUMIFS('Source 2025'!$N:$N,'Source 2025'!$B:$B,$A209,'Source 2025'!$A:$A,"Quantity (units)")+SUMIFS('Source 2025'!$S:$S,'Source 2025'!$B:$B,$A209,'Source 2025'!$A:$A,"Quantity (units)")+SUMIFS('Source 2025'!$U:$U,'Source 2025'!$B:$B,$A209,'Source 2025'!$A:$A,"Quantity (units)")+SUMIFS('Source 2025'!$D:$D,'Source 2025'!$B:$B,$A209,'Source 2025'!$A:$A,"Quantity (units)")+SUMIFS('Source 2025'!$E:$E,'Source 2025'!$B:$B,$A209,'Source 2025'!$A:$A,"Quantity (units)")+SUMIFS('Source 2025'!$G:$G,'Source 2025'!$B:$B,$A209,'Source 2025'!$A:$A,"Quantity (units)")</f>
        <v>0</v>
      </c>
      <c r="D209" s="9" t="n">
        <f aca="false">SUMIFS('Source 2026'!$F:$F,'Source 2026'!$B:$B,$A209,'Source 2026'!$A:$A,"Quantity (units)")+SUMIFS('Source 2026'!$H:$H,'Source 2026'!$B:$B,$A209,'Source 2026'!$A:$A,"Quantity (units)")+SUMIFS('Source 2026'!$M:$M,'Source 2026'!$B:$B,$A209,'Source 2026'!$A:$A,"Quantity (units)")+SUMIFS('Source 2026'!$N:$N,'Source 2026'!$B:$B,$A209,'Source 2026'!$A:$A,"Quantity (units)")+SUMIFS('Source 2026'!$S:$S,'Source 2026'!$B:$B,$A209,'Source 2026'!$A:$A,"Quantity (units)")+SUMIFS('Source 2026'!$U:$U,'Source 2026'!$B:$B,$A209,'Source 2026'!$A:$A,"Quantity (units)")+SUMIFS('Source 2026'!$D:$D,'Source 2026'!$B:$B,$A209,'Source 2026'!$A:$A,"Quantity (units)")+SUMIFS('Source 2026'!$E:$E,'Source 2026'!$B:$B,$A209,'Source 2026'!$A:$A,"Quantity (units)")+SUMIFS('Source 2026'!$G:$G,'Source 2026'!$B:$B,$A209,'Source 2026'!$A:$A,"Quantity (units)")</f>
        <v>-2</v>
      </c>
      <c r="E209" s="9" t="n">
        <f aca="false">D209*$J$5</f>
        <v>-2.52631578947368</v>
      </c>
      <c r="F209" s="9" t="n">
        <f aca="false">E209-C209</f>
        <v>-2.52631578947368</v>
      </c>
      <c r="G209" s="11" t="str">
        <f aca="false">IF(AND(C209=0,E209=0),0,IF(C209=0,"New",(E209-C209)/C209))</f>
        <v>New</v>
      </c>
      <c r="H209" s="9" t="n">
        <f aca="false">SUMIFS('Source 2025'!$F:$F,'Source 2025'!$B:$B,$A209,'Source 2025'!$A:$A,"Amount (NIS)")+SUMIFS('Source 2025'!$H:$H,'Source 2025'!$B:$B,$A209,'Source 2025'!$A:$A,"Amount (NIS)")+SUMIFS('Source 2025'!$M:$M,'Source 2025'!$B:$B,$A209,'Source 2025'!$A:$A,"Amount (NIS)")+SUMIFS('Source 2025'!$N:$N,'Source 2025'!$B:$B,$A209,'Source 2025'!$A:$A,"Amount (NIS)")+SUMIFS('Source 2025'!$S:$S,'Source 2025'!$B:$B,$A209,'Source 2025'!$A:$A,"Amount (NIS)")+SUMIFS('Source 2025'!$U:$U,'Source 2025'!$B:$B,$A209,'Source 2025'!$A:$A,"Amount (NIS)")+SUMIFS('Source 2025'!$D:$D,'Source 2025'!$B:$B,$A209,'Source 2025'!$A:$A,"Amount (NIS)")+SUMIFS('Source 2025'!$E:$E,'Source 2025'!$B:$B,$A209,'Source 2025'!$A:$A,"Amount (NIS)")+SUMIFS('Source 2025'!$G:$G,'Source 2025'!$B:$B,$A209,'Source 2025'!$A:$A,"Amount (NIS)")</f>
        <v>0</v>
      </c>
      <c r="I209" s="9" t="n">
        <f aca="false">SUMIFS('Source 2026'!$F:$F,'Source 2026'!$B:$B,$A209,'Source 2026'!$A:$A,"Amount (NIS)")+SUMIFS('Source 2026'!$H:$H,'Source 2026'!$B:$B,$A209,'Source 2026'!$A:$A,"Amount (NIS)")+SUMIFS('Source 2026'!$M:$M,'Source 2026'!$B:$B,$A209,'Source 2026'!$A:$A,"Amount (NIS)")+SUMIFS('Source 2026'!$N:$N,'Source 2026'!$B:$B,$A209,'Source 2026'!$A:$A,"Amount (NIS)")+SUMIFS('Source 2026'!$S:$S,'Source 2026'!$B:$B,$A209,'Source 2026'!$A:$A,"Amount (NIS)")+SUMIFS('Source 2026'!$U:$U,'Source 2026'!$B:$B,$A209,'Source 2026'!$A:$A,"Amount (NIS)")+SUMIFS('Source 2026'!$D:$D,'Source 2026'!$B:$B,$A209,'Source 2026'!$A:$A,"Amount (NIS)")+SUMIFS('Source 2026'!$E:$E,'Source 2026'!$B:$B,$A209,'Source 2026'!$A:$A,"Amount (NIS)")+SUMIFS('Source 2026'!$G:$G,'Source 2026'!$B:$B,$A209,'Source 2026'!$A:$A,"Amount (NIS)")</f>
        <v>-283.5</v>
      </c>
      <c r="J209" s="9" t="n">
        <f aca="false">I209*$J$5</f>
        <v>-358.105263157895</v>
      </c>
      <c r="K209" s="9" t="n">
        <f aca="false">J209-H209</f>
        <v>-358.105263157895</v>
      </c>
      <c r="L209" s="11" t="str">
        <f aca="false">IF(AND(H209=0,J209=0),0,IF(H209=0,"New",(J209-H209)/H209))</f>
        <v>New</v>
      </c>
    </row>
    <row r="210" customFormat="false" ht="15" hidden="false" customHeight="true" outlineLevel="0" collapsed="false">
      <c r="A210" s="8" t="s">
        <v>279</v>
      </c>
      <c r="B210" s="8" t="str">
        <f aca="false">IFERROR(INDEX('Source 2026'!$C:$C,MATCH($A210,'Source 2026'!$B:$B,0)),IFERROR(INDEX('Source 2025'!$C:$C,MATCH($A210,'Source 2025'!$B:$B,0)),""))</f>
        <v>L מגן ברך מוצלב+מוט</v>
      </c>
      <c r="C210" s="9" t="n">
        <f aca="false">SUMIFS('Source 2025'!$F:$F,'Source 2025'!$B:$B,$A210,'Source 2025'!$A:$A,"Quantity (units)")+SUMIFS('Source 2025'!$H:$H,'Source 2025'!$B:$B,$A210,'Source 2025'!$A:$A,"Quantity (units)")+SUMIFS('Source 2025'!$M:$M,'Source 2025'!$B:$B,$A210,'Source 2025'!$A:$A,"Quantity (units)")+SUMIFS('Source 2025'!$N:$N,'Source 2025'!$B:$B,$A210,'Source 2025'!$A:$A,"Quantity (units)")+SUMIFS('Source 2025'!$S:$S,'Source 2025'!$B:$B,$A210,'Source 2025'!$A:$A,"Quantity (units)")+SUMIFS('Source 2025'!$U:$U,'Source 2025'!$B:$B,$A210,'Source 2025'!$A:$A,"Quantity (units)")+SUMIFS('Source 2025'!$D:$D,'Source 2025'!$B:$B,$A210,'Source 2025'!$A:$A,"Quantity (units)")+SUMIFS('Source 2025'!$E:$E,'Source 2025'!$B:$B,$A210,'Source 2025'!$A:$A,"Quantity (units)")+SUMIFS('Source 2025'!$G:$G,'Source 2025'!$B:$B,$A210,'Source 2025'!$A:$A,"Quantity (units)")</f>
        <v>8</v>
      </c>
      <c r="D210" s="9" t="n">
        <f aca="false">SUMIFS('Source 2026'!$F:$F,'Source 2026'!$B:$B,$A210,'Source 2026'!$A:$A,"Quantity (units)")+SUMIFS('Source 2026'!$H:$H,'Source 2026'!$B:$B,$A210,'Source 2026'!$A:$A,"Quantity (units)")+SUMIFS('Source 2026'!$M:$M,'Source 2026'!$B:$B,$A210,'Source 2026'!$A:$A,"Quantity (units)")+SUMIFS('Source 2026'!$N:$N,'Source 2026'!$B:$B,$A210,'Source 2026'!$A:$A,"Quantity (units)")+SUMIFS('Source 2026'!$S:$S,'Source 2026'!$B:$B,$A210,'Source 2026'!$A:$A,"Quantity (units)")+SUMIFS('Source 2026'!$U:$U,'Source 2026'!$B:$B,$A210,'Source 2026'!$A:$A,"Quantity (units)")+SUMIFS('Source 2026'!$D:$D,'Source 2026'!$B:$B,$A210,'Source 2026'!$A:$A,"Quantity (units)")+SUMIFS('Source 2026'!$E:$E,'Source 2026'!$B:$B,$A210,'Source 2026'!$A:$A,"Quantity (units)")+SUMIFS('Source 2026'!$G:$G,'Source 2026'!$B:$B,$A210,'Source 2026'!$A:$A,"Quantity (units)")</f>
        <v>6</v>
      </c>
      <c r="E210" s="9" t="n">
        <f aca="false">D210*$J$5</f>
        <v>7.57894736842105</v>
      </c>
      <c r="F210" s="9" t="n">
        <f aca="false">E210-C210</f>
        <v>-0.421052631578948</v>
      </c>
      <c r="G210" s="11" t="n">
        <f aca="false">IF(AND(C210=0,E210=0),0,IF(C210=0,"New",(E210-C210)/C210))</f>
        <v>-0.0526315789473685</v>
      </c>
      <c r="H210" s="9" t="n">
        <f aca="false">SUMIFS('Source 2025'!$F:$F,'Source 2025'!$B:$B,$A210,'Source 2025'!$A:$A,"Amount (NIS)")+SUMIFS('Source 2025'!$H:$H,'Source 2025'!$B:$B,$A210,'Source 2025'!$A:$A,"Amount (NIS)")+SUMIFS('Source 2025'!$M:$M,'Source 2025'!$B:$B,$A210,'Source 2025'!$A:$A,"Amount (NIS)")+SUMIFS('Source 2025'!$N:$N,'Source 2025'!$B:$B,$A210,'Source 2025'!$A:$A,"Amount (NIS)")+SUMIFS('Source 2025'!$S:$S,'Source 2025'!$B:$B,$A210,'Source 2025'!$A:$A,"Amount (NIS)")+SUMIFS('Source 2025'!$U:$U,'Source 2025'!$B:$B,$A210,'Source 2025'!$A:$A,"Amount (NIS)")+SUMIFS('Source 2025'!$D:$D,'Source 2025'!$B:$B,$A210,'Source 2025'!$A:$A,"Amount (NIS)")+SUMIFS('Source 2025'!$E:$E,'Source 2025'!$B:$B,$A210,'Source 2025'!$A:$A,"Amount (NIS)")+SUMIFS('Source 2025'!$G:$G,'Source 2025'!$B:$B,$A210,'Source 2025'!$A:$A,"Amount (NIS)")</f>
        <v>1078</v>
      </c>
      <c r="I210" s="9" t="n">
        <f aca="false">SUMIFS('Source 2026'!$F:$F,'Source 2026'!$B:$B,$A210,'Source 2026'!$A:$A,"Amount (NIS)")+SUMIFS('Source 2026'!$H:$H,'Source 2026'!$B:$B,$A210,'Source 2026'!$A:$A,"Amount (NIS)")+SUMIFS('Source 2026'!$M:$M,'Source 2026'!$B:$B,$A210,'Source 2026'!$A:$A,"Amount (NIS)")+SUMIFS('Source 2026'!$N:$N,'Source 2026'!$B:$B,$A210,'Source 2026'!$A:$A,"Amount (NIS)")+SUMIFS('Source 2026'!$S:$S,'Source 2026'!$B:$B,$A210,'Source 2026'!$A:$A,"Amount (NIS)")+SUMIFS('Source 2026'!$U:$U,'Source 2026'!$B:$B,$A210,'Source 2026'!$A:$A,"Amount (NIS)")+SUMIFS('Source 2026'!$D:$D,'Source 2026'!$B:$B,$A210,'Source 2026'!$A:$A,"Amount (NIS)")+SUMIFS('Source 2026'!$E:$E,'Source 2026'!$B:$B,$A210,'Source 2026'!$A:$A,"Amount (NIS)")+SUMIFS('Source 2026'!$G:$G,'Source 2026'!$B:$B,$A210,'Source 2026'!$A:$A,"Amount (NIS)")</f>
        <v>797.2</v>
      </c>
      <c r="J210" s="9" t="n">
        <f aca="false">I210*$J$5</f>
        <v>1006.98947368421</v>
      </c>
      <c r="K210" s="9" t="n">
        <f aca="false">J210-H210</f>
        <v>-71.0105263157894</v>
      </c>
      <c r="L210" s="11" t="n">
        <f aca="false">IF(AND(H210=0,J210=0),0,IF(H210=0,"New",(J210-H210)/H210))</f>
        <v>-0.0658724733912704</v>
      </c>
    </row>
    <row r="211" customFormat="false" ht="15" hidden="false" customHeight="true" outlineLevel="0" collapsed="false">
      <c r="A211" s="8" t="s">
        <v>280</v>
      </c>
      <c r="B211" s="8" t="str">
        <f aca="false">IFERROR(INDEX('Source 2026'!$C:$C,MATCH($A211,'Source 2026'!$B:$B,0)),IFERROR(INDEX('Source 2025'!$C:$C,MATCH($A211,'Source 2025'!$B:$B,0)),""))</f>
        <v>M חבק יד אגודלי</v>
      </c>
      <c r="C211" s="9" t="n">
        <f aca="false">SUMIFS('Source 2025'!$F:$F,'Source 2025'!$B:$B,$A211,'Source 2025'!$A:$A,"Quantity (units)")+SUMIFS('Source 2025'!$H:$H,'Source 2025'!$B:$B,$A211,'Source 2025'!$A:$A,"Quantity (units)")+SUMIFS('Source 2025'!$M:$M,'Source 2025'!$B:$B,$A211,'Source 2025'!$A:$A,"Quantity (units)")+SUMIFS('Source 2025'!$N:$N,'Source 2025'!$B:$B,$A211,'Source 2025'!$A:$A,"Quantity (units)")+SUMIFS('Source 2025'!$S:$S,'Source 2025'!$B:$B,$A211,'Source 2025'!$A:$A,"Quantity (units)")+SUMIFS('Source 2025'!$U:$U,'Source 2025'!$B:$B,$A211,'Source 2025'!$A:$A,"Quantity (units)")+SUMIFS('Source 2025'!$D:$D,'Source 2025'!$B:$B,$A211,'Source 2025'!$A:$A,"Quantity (units)")+SUMIFS('Source 2025'!$E:$E,'Source 2025'!$B:$B,$A211,'Source 2025'!$A:$A,"Quantity (units)")+SUMIFS('Source 2025'!$G:$G,'Source 2025'!$B:$B,$A211,'Source 2025'!$A:$A,"Quantity (units)")</f>
        <v>3</v>
      </c>
      <c r="D211" s="9" t="n">
        <f aca="false">SUMIFS('Source 2026'!$F:$F,'Source 2026'!$B:$B,$A211,'Source 2026'!$A:$A,"Quantity (units)")+SUMIFS('Source 2026'!$H:$H,'Source 2026'!$B:$B,$A211,'Source 2026'!$A:$A,"Quantity (units)")+SUMIFS('Source 2026'!$M:$M,'Source 2026'!$B:$B,$A211,'Source 2026'!$A:$A,"Quantity (units)")+SUMIFS('Source 2026'!$N:$N,'Source 2026'!$B:$B,$A211,'Source 2026'!$A:$A,"Quantity (units)")+SUMIFS('Source 2026'!$S:$S,'Source 2026'!$B:$B,$A211,'Source 2026'!$A:$A,"Quantity (units)")+SUMIFS('Source 2026'!$U:$U,'Source 2026'!$B:$B,$A211,'Source 2026'!$A:$A,"Quantity (units)")+SUMIFS('Source 2026'!$D:$D,'Source 2026'!$B:$B,$A211,'Source 2026'!$A:$A,"Quantity (units)")+SUMIFS('Source 2026'!$E:$E,'Source 2026'!$B:$B,$A211,'Source 2026'!$A:$A,"Quantity (units)")+SUMIFS('Source 2026'!$G:$G,'Source 2026'!$B:$B,$A211,'Source 2026'!$A:$A,"Quantity (units)")</f>
        <v>-1</v>
      </c>
      <c r="E211" s="9" t="n">
        <f aca="false">D211*$J$5</f>
        <v>-1.26315789473684</v>
      </c>
      <c r="F211" s="9" t="n">
        <f aca="false">E211-C211</f>
        <v>-4.26315789473684</v>
      </c>
      <c r="G211" s="11" t="n">
        <f aca="false">IF(AND(C211=0,E211=0),0,IF(C211=0,"New",(E211-C211)/C211))</f>
        <v>-1.42105263157895</v>
      </c>
      <c r="H211" s="9" t="n">
        <f aca="false">SUMIFS('Source 2025'!$F:$F,'Source 2025'!$B:$B,$A211,'Source 2025'!$A:$A,"Amount (NIS)")+SUMIFS('Source 2025'!$H:$H,'Source 2025'!$B:$B,$A211,'Source 2025'!$A:$A,"Amount (NIS)")+SUMIFS('Source 2025'!$M:$M,'Source 2025'!$B:$B,$A211,'Source 2025'!$A:$A,"Amount (NIS)")+SUMIFS('Source 2025'!$N:$N,'Source 2025'!$B:$B,$A211,'Source 2025'!$A:$A,"Amount (NIS)")+SUMIFS('Source 2025'!$S:$S,'Source 2025'!$B:$B,$A211,'Source 2025'!$A:$A,"Amount (NIS)")+SUMIFS('Source 2025'!$U:$U,'Source 2025'!$B:$B,$A211,'Source 2025'!$A:$A,"Amount (NIS)")+SUMIFS('Source 2025'!$D:$D,'Source 2025'!$B:$B,$A211,'Source 2025'!$A:$A,"Amount (NIS)")+SUMIFS('Source 2025'!$E:$E,'Source 2025'!$B:$B,$A211,'Source 2025'!$A:$A,"Amount (NIS)")+SUMIFS('Source 2025'!$G:$G,'Source 2025'!$B:$B,$A211,'Source 2025'!$A:$A,"Amount (NIS)")</f>
        <v>221.8</v>
      </c>
      <c r="I211" s="9" t="n">
        <f aca="false">SUMIFS('Source 2026'!$F:$F,'Source 2026'!$B:$B,$A211,'Source 2026'!$A:$A,"Amount (NIS)")+SUMIFS('Source 2026'!$H:$H,'Source 2026'!$B:$B,$A211,'Source 2026'!$A:$A,"Amount (NIS)")+SUMIFS('Source 2026'!$M:$M,'Source 2026'!$B:$B,$A211,'Source 2026'!$A:$A,"Amount (NIS)")+SUMIFS('Source 2026'!$N:$N,'Source 2026'!$B:$B,$A211,'Source 2026'!$A:$A,"Amount (NIS)")+SUMIFS('Source 2026'!$S:$S,'Source 2026'!$B:$B,$A211,'Source 2026'!$A:$A,"Amount (NIS)")+SUMIFS('Source 2026'!$U:$U,'Source 2026'!$B:$B,$A211,'Source 2026'!$A:$A,"Amount (NIS)")+SUMIFS('Source 2026'!$D:$D,'Source 2026'!$B:$B,$A211,'Source 2026'!$A:$A,"Amount (NIS)")+SUMIFS('Source 2026'!$E:$E,'Source 2026'!$B:$B,$A211,'Source 2026'!$A:$A,"Amount (NIS)")+SUMIFS('Source 2026'!$G:$G,'Source 2026'!$B:$B,$A211,'Source 2026'!$A:$A,"Amount (NIS)")</f>
        <v>-53.2</v>
      </c>
      <c r="J211" s="9" t="n">
        <f aca="false">I211*$J$5</f>
        <v>-67.2</v>
      </c>
      <c r="K211" s="9" t="n">
        <f aca="false">J211-H211</f>
        <v>-289</v>
      </c>
      <c r="L211" s="11" t="n">
        <f aca="false">IF(AND(H211=0,J211=0),0,IF(H211=0,"New",(J211-H211)/H211))</f>
        <v>-1.30297565374211</v>
      </c>
    </row>
    <row r="212" customFormat="false" ht="15" hidden="false" customHeight="true" outlineLevel="0" collapsed="false">
      <c r="A212" s="8" t="s">
        <v>281</v>
      </c>
      <c r="B212" s="8" t="str">
        <f aca="false">IFERROR(INDEX('Source 2026'!$C:$C,MATCH($A212,'Source 2026'!$B:$B,0)),IFERROR(INDEX('Source 2025'!$C:$C,MATCH($A212,'Source 2025'!$B:$B,0)),""))</f>
        <v>סד לקרסול עם כריות אויר</v>
      </c>
      <c r="C212" s="9" t="n">
        <f aca="false">SUMIFS('Source 2025'!$F:$F,'Source 2025'!$B:$B,$A212,'Source 2025'!$A:$A,"Quantity (units)")+SUMIFS('Source 2025'!$H:$H,'Source 2025'!$B:$B,$A212,'Source 2025'!$A:$A,"Quantity (units)")+SUMIFS('Source 2025'!$M:$M,'Source 2025'!$B:$B,$A212,'Source 2025'!$A:$A,"Quantity (units)")+SUMIFS('Source 2025'!$N:$N,'Source 2025'!$B:$B,$A212,'Source 2025'!$A:$A,"Quantity (units)")+SUMIFS('Source 2025'!$S:$S,'Source 2025'!$B:$B,$A212,'Source 2025'!$A:$A,"Quantity (units)")+SUMIFS('Source 2025'!$U:$U,'Source 2025'!$B:$B,$A212,'Source 2025'!$A:$A,"Quantity (units)")+SUMIFS('Source 2025'!$D:$D,'Source 2025'!$B:$B,$A212,'Source 2025'!$A:$A,"Quantity (units)")+SUMIFS('Source 2025'!$E:$E,'Source 2025'!$B:$B,$A212,'Source 2025'!$A:$A,"Quantity (units)")+SUMIFS('Source 2025'!$G:$G,'Source 2025'!$B:$B,$A212,'Source 2025'!$A:$A,"Quantity (units)")</f>
        <v>10</v>
      </c>
      <c r="D212" s="9" t="n">
        <f aca="false">SUMIFS('Source 2026'!$F:$F,'Source 2026'!$B:$B,$A212,'Source 2026'!$A:$A,"Quantity (units)")+SUMIFS('Source 2026'!$H:$H,'Source 2026'!$B:$B,$A212,'Source 2026'!$A:$A,"Quantity (units)")+SUMIFS('Source 2026'!$M:$M,'Source 2026'!$B:$B,$A212,'Source 2026'!$A:$A,"Quantity (units)")+SUMIFS('Source 2026'!$N:$N,'Source 2026'!$B:$B,$A212,'Source 2026'!$A:$A,"Quantity (units)")+SUMIFS('Source 2026'!$S:$S,'Source 2026'!$B:$B,$A212,'Source 2026'!$A:$A,"Quantity (units)")+SUMIFS('Source 2026'!$U:$U,'Source 2026'!$B:$B,$A212,'Source 2026'!$A:$A,"Quantity (units)")+SUMIFS('Source 2026'!$D:$D,'Source 2026'!$B:$B,$A212,'Source 2026'!$A:$A,"Quantity (units)")+SUMIFS('Source 2026'!$E:$E,'Source 2026'!$B:$B,$A212,'Source 2026'!$A:$A,"Quantity (units)")+SUMIFS('Source 2026'!$G:$G,'Source 2026'!$B:$B,$A212,'Source 2026'!$A:$A,"Quantity (units)")</f>
        <v>9</v>
      </c>
      <c r="E212" s="9" t="n">
        <f aca="false">D212*$J$5</f>
        <v>11.3684210526316</v>
      </c>
      <c r="F212" s="9" t="n">
        <f aca="false">E212-C212</f>
        <v>1.36842105263158</v>
      </c>
      <c r="G212" s="11" t="n">
        <f aca="false">IF(AND(C212=0,E212=0),0,IF(C212=0,"New",(E212-C212)/C212))</f>
        <v>0.136842105263158</v>
      </c>
      <c r="H212" s="9" t="n">
        <f aca="false">SUMIFS('Source 2025'!$F:$F,'Source 2025'!$B:$B,$A212,'Source 2025'!$A:$A,"Amount (NIS)")+SUMIFS('Source 2025'!$H:$H,'Source 2025'!$B:$B,$A212,'Source 2025'!$A:$A,"Amount (NIS)")+SUMIFS('Source 2025'!$M:$M,'Source 2025'!$B:$B,$A212,'Source 2025'!$A:$A,"Amount (NIS)")+SUMIFS('Source 2025'!$N:$N,'Source 2025'!$B:$B,$A212,'Source 2025'!$A:$A,"Amount (NIS)")+SUMIFS('Source 2025'!$S:$S,'Source 2025'!$B:$B,$A212,'Source 2025'!$A:$A,"Amount (NIS)")+SUMIFS('Source 2025'!$U:$U,'Source 2025'!$B:$B,$A212,'Source 2025'!$A:$A,"Amount (NIS)")+SUMIFS('Source 2025'!$D:$D,'Source 2025'!$B:$B,$A212,'Source 2025'!$A:$A,"Amount (NIS)")+SUMIFS('Source 2025'!$E:$E,'Source 2025'!$B:$B,$A212,'Source 2025'!$A:$A,"Amount (NIS)")+SUMIFS('Source 2025'!$G:$G,'Source 2025'!$B:$B,$A212,'Source 2025'!$A:$A,"Amount (NIS)")</f>
        <v>1362.8</v>
      </c>
      <c r="I212" s="9" t="n">
        <f aca="false">SUMIFS('Source 2026'!$F:$F,'Source 2026'!$B:$B,$A212,'Source 2026'!$A:$A,"Amount (NIS)")+SUMIFS('Source 2026'!$H:$H,'Source 2026'!$B:$B,$A212,'Source 2026'!$A:$A,"Amount (NIS)")+SUMIFS('Source 2026'!$M:$M,'Source 2026'!$B:$B,$A212,'Source 2026'!$A:$A,"Amount (NIS)")+SUMIFS('Source 2026'!$N:$N,'Source 2026'!$B:$B,$A212,'Source 2026'!$A:$A,"Amount (NIS)")+SUMIFS('Source 2026'!$S:$S,'Source 2026'!$B:$B,$A212,'Source 2026'!$A:$A,"Amount (NIS)")+SUMIFS('Source 2026'!$U:$U,'Source 2026'!$B:$B,$A212,'Source 2026'!$A:$A,"Amount (NIS)")+SUMIFS('Source 2026'!$D:$D,'Source 2026'!$B:$B,$A212,'Source 2026'!$A:$A,"Amount (NIS)")+SUMIFS('Source 2026'!$E:$E,'Source 2026'!$B:$B,$A212,'Source 2026'!$A:$A,"Amount (NIS)")+SUMIFS('Source 2026'!$G:$G,'Source 2026'!$B:$B,$A212,'Source 2026'!$A:$A,"Amount (NIS)")</f>
        <v>1094.9</v>
      </c>
      <c r="J212" s="9" t="n">
        <f aca="false">I212*$J$5</f>
        <v>1383.03157894737</v>
      </c>
      <c r="K212" s="9" t="n">
        <f aca="false">J212-H212</f>
        <v>20.2315789473685</v>
      </c>
      <c r="L212" s="11" t="n">
        <f aca="false">IF(AND(H212=0,J212=0),0,IF(H212=0,"New",(J212-H212)/H212))</f>
        <v>0.0148455965272736</v>
      </c>
    </row>
    <row r="213" customFormat="false" ht="15" hidden="false" customHeight="true" outlineLevel="0" collapsed="false">
      <c r="A213" s="8" t="s">
        <v>282</v>
      </c>
      <c r="B213" s="8" t="str">
        <f aca="false">IFERROR(INDEX('Source 2026'!$C:$C,MATCH($A213,'Source 2026'!$B:$B,0)),IFERROR(INDEX('Source 2025'!$C:$C,MATCH($A213,'Source 2025'!$B:$B,0)),""))</f>
        <v>מיישר בוניון-האלוקס ולגוס</v>
      </c>
      <c r="C213" s="9" t="n">
        <f aca="false">SUMIFS('Source 2025'!$F:$F,'Source 2025'!$B:$B,$A213,'Source 2025'!$A:$A,"Quantity (units)")+SUMIFS('Source 2025'!$H:$H,'Source 2025'!$B:$B,$A213,'Source 2025'!$A:$A,"Quantity (units)")+SUMIFS('Source 2025'!$M:$M,'Source 2025'!$B:$B,$A213,'Source 2025'!$A:$A,"Quantity (units)")+SUMIFS('Source 2025'!$N:$N,'Source 2025'!$B:$B,$A213,'Source 2025'!$A:$A,"Quantity (units)")+SUMIFS('Source 2025'!$S:$S,'Source 2025'!$B:$B,$A213,'Source 2025'!$A:$A,"Quantity (units)")+SUMIFS('Source 2025'!$U:$U,'Source 2025'!$B:$B,$A213,'Source 2025'!$A:$A,"Quantity (units)")+SUMIFS('Source 2025'!$D:$D,'Source 2025'!$B:$B,$A213,'Source 2025'!$A:$A,"Quantity (units)")+SUMIFS('Source 2025'!$E:$E,'Source 2025'!$B:$B,$A213,'Source 2025'!$A:$A,"Quantity (units)")+SUMIFS('Source 2025'!$G:$G,'Source 2025'!$B:$B,$A213,'Source 2025'!$A:$A,"Quantity (units)")</f>
        <v>63</v>
      </c>
      <c r="D213" s="9" t="n">
        <f aca="false">SUMIFS('Source 2026'!$F:$F,'Source 2026'!$B:$B,$A213,'Source 2026'!$A:$A,"Quantity (units)")+SUMIFS('Source 2026'!$H:$H,'Source 2026'!$B:$B,$A213,'Source 2026'!$A:$A,"Quantity (units)")+SUMIFS('Source 2026'!$M:$M,'Source 2026'!$B:$B,$A213,'Source 2026'!$A:$A,"Quantity (units)")+SUMIFS('Source 2026'!$N:$N,'Source 2026'!$B:$B,$A213,'Source 2026'!$A:$A,"Quantity (units)")+SUMIFS('Source 2026'!$S:$S,'Source 2026'!$B:$B,$A213,'Source 2026'!$A:$A,"Quantity (units)")+SUMIFS('Source 2026'!$U:$U,'Source 2026'!$B:$B,$A213,'Source 2026'!$A:$A,"Quantity (units)")+SUMIFS('Source 2026'!$D:$D,'Source 2026'!$B:$B,$A213,'Source 2026'!$A:$A,"Quantity (units)")+SUMIFS('Source 2026'!$E:$E,'Source 2026'!$B:$B,$A213,'Source 2026'!$A:$A,"Quantity (units)")+SUMIFS('Source 2026'!$G:$G,'Source 2026'!$B:$B,$A213,'Source 2026'!$A:$A,"Quantity (units)")</f>
        <v>58</v>
      </c>
      <c r="E213" s="9" t="n">
        <f aca="false">D213*$J$5</f>
        <v>73.2631578947368</v>
      </c>
      <c r="F213" s="9" t="n">
        <f aca="false">E213-C213</f>
        <v>10.2631578947368</v>
      </c>
      <c r="G213" s="11" t="n">
        <f aca="false">IF(AND(C213=0,E213=0),0,IF(C213=0,"New",(E213-C213)/C213))</f>
        <v>0.162907268170426</v>
      </c>
      <c r="H213" s="9" t="n">
        <f aca="false">SUMIFS('Source 2025'!$F:$F,'Source 2025'!$B:$B,$A213,'Source 2025'!$A:$A,"Amount (NIS)")+SUMIFS('Source 2025'!$H:$H,'Source 2025'!$B:$B,$A213,'Source 2025'!$A:$A,"Amount (NIS)")+SUMIFS('Source 2025'!$M:$M,'Source 2025'!$B:$B,$A213,'Source 2025'!$A:$A,"Amount (NIS)")+SUMIFS('Source 2025'!$N:$N,'Source 2025'!$B:$B,$A213,'Source 2025'!$A:$A,"Amount (NIS)")+SUMIFS('Source 2025'!$S:$S,'Source 2025'!$B:$B,$A213,'Source 2025'!$A:$A,"Amount (NIS)")+SUMIFS('Source 2025'!$U:$U,'Source 2025'!$B:$B,$A213,'Source 2025'!$A:$A,"Amount (NIS)")+SUMIFS('Source 2025'!$D:$D,'Source 2025'!$B:$B,$A213,'Source 2025'!$A:$A,"Amount (NIS)")+SUMIFS('Source 2025'!$E:$E,'Source 2025'!$B:$B,$A213,'Source 2025'!$A:$A,"Amount (NIS)")+SUMIFS('Source 2025'!$G:$G,'Source 2025'!$B:$B,$A213,'Source 2025'!$A:$A,"Amount (NIS)")</f>
        <v>2915.1</v>
      </c>
      <c r="I213" s="9" t="n">
        <f aca="false">SUMIFS('Source 2026'!$F:$F,'Source 2026'!$B:$B,$A213,'Source 2026'!$A:$A,"Amount (NIS)")+SUMIFS('Source 2026'!$H:$H,'Source 2026'!$B:$B,$A213,'Source 2026'!$A:$A,"Amount (NIS)")+SUMIFS('Source 2026'!$M:$M,'Source 2026'!$B:$B,$A213,'Source 2026'!$A:$A,"Amount (NIS)")+SUMIFS('Source 2026'!$N:$N,'Source 2026'!$B:$B,$A213,'Source 2026'!$A:$A,"Amount (NIS)")+SUMIFS('Source 2026'!$S:$S,'Source 2026'!$B:$B,$A213,'Source 2026'!$A:$A,"Amount (NIS)")+SUMIFS('Source 2026'!$U:$U,'Source 2026'!$B:$B,$A213,'Source 2026'!$A:$A,"Amount (NIS)")+SUMIFS('Source 2026'!$D:$D,'Source 2026'!$B:$B,$A213,'Source 2026'!$A:$A,"Amount (NIS)")+SUMIFS('Source 2026'!$E:$E,'Source 2026'!$B:$B,$A213,'Source 2026'!$A:$A,"Amount (NIS)")+SUMIFS('Source 2026'!$G:$G,'Source 2026'!$B:$B,$A213,'Source 2026'!$A:$A,"Amount (NIS)")</f>
        <v>2648.4</v>
      </c>
      <c r="J213" s="9" t="n">
        <f aca="false">I213*$J$5</f>
        <v>3345.34736842105</v>
      </c>
      <c r="K213" s="9" t="n">
        <f aca="false">J213-H213</f>
        <v>430.247368421053</v>
      </c>
      <c r="L213" s="11" t="n">
        <f aca="false">IF(AND(H213=0,J213=0),0,IF(H213=0,"New",(J213-H213)/H213))</f>
        <v>0.147592661802701</v>
      </c>
    </row>
    <row r="214" customFormat="false" ht="15" hidden="false" customHeight="true" outlineLevel="0" collapsed="false">
      <c r="A214" s="8" t="s">
        <v>283</v>
      </c>
      <c r="B214" s="8" t="str">
        <f aca="false">IFERROR(INDEX('Source 2026'!$C:$C,MATCH($A214,'Source 2026'!$B:$B,0)),IFERROR(INDEX('Source 2025'!$C:$C,MATCH($A214,'Source 2025'!$B:$B,0)),""))</f>
        <v>מגן קרסול+כרית סילקון</v>
      </c>
      <c r="C214" s="9" t="n">
        <f aca="false">SUMIFS('Source 2025'!$F:$F,'Source 2025'!$B:$B,$A214,'Source 2025'!$A:$A,"Quantity (units)")+SUMIFS('Source 2025'!$H:$H,'Source 2025'!$B:$B,$A214,'Source 2025'!$A:$A,"Quantity (units)")+SUMIFS('Source 2025'!$M:$M,'Source 2025'!$B:$B,$A214,'Source 2025'!$A:$A,"Quantity (units)")+SUMIFS('Source 2025'!$N:$N,'Source 2025'!$B:$B,$A214,'Source 2025'!$A:$A,"Quantity (units)")+SUMIFS('Source 2025'!$S:$S,'Source 2025'!$B:$B,$A214,'Source 2025'!$A:$A,"Quantity (units)")+SUMIFS('Source 2025'!$U:$U,'Source 2025'!$B:$B,$A214,'Source 2025'!$A:$A,"Quantity (units)")+SUMIFS('Source 2025'!$D:$D,'Source 2025'!$B:$B,$A214,'Source 2025'!$A:$A,"Quantity (units)")+SUMIFS('Source 2025'!$E:$E,'Source 2025'!$B:$B,$A214,'Source 2025'!$A:$A,"Quantity (units)")+SUMIFS('Source 2025'!$G:$G,'Source 2025'!$B:$B,$A214,'Source 2025'!$A:$A,"Quantity (units)")</f>
        <v>2</v>
      </c>
      <c r="D214" s="9" t="n">
        <f aca="false">SUMIFS('Source 2026'!$F:$F,'Source 2026'!$B:$B,$A214,'Source 2026'!$A:$A,"Quantity (units)")+SUMIFS('Source 2026'!$H:$H,'Source 2026'!$B:$B,$A214,'Source 2026'!$A:$A,"Quantity (units)")+SUMIFS('Source 2026'!$M:$M,'Source 2026'!$B:$B,$A214,'Source 2026'!$A:$A,"Quantity (units)")+SUMIFS('Source 2026'!$N:$N,'Source 2026'!$B:$B,$A214,'Source 2026'!$A:$A,"Quantity (units)")+SUMIFS('Source 2026'!$S:$S,'Source 2026'!$B:$B,$A214,'Source 2026'!$A:$A,"Quantity (units)")+SUMIFS('Source 2026'!$U:$U,'Source 2026'!$B:$B,$A214,'Source 2026'!$A:$A,"Quantity (units)")+SUMIFS('Source 2026'!$D:$D,'Source 2026'!$B:$B,$A214,'Source 2026'!$A:$A,"Quantity (units)")+SUMIFS('Source 2026'!$E:$E,'Source 2026'!$B:$B,$A214,'Source 2026'!$A:$A,"Quantity (units)")+SUMIFS('Source 2026'!$G:$G,'Source 2026'!$B:$B,$A214,'Source 2026'!$A:$A,"Quantity (units)")</f>
        <v>0</v>
      </c>
      <c r="E214" s="9" t="n">
        <f aca="false">D214*$J$5</f>
        <v>0</v>
      </c>
      <c r="F214" s="9" t="n">
        <f aca="false">E214-C214</f>
        <v>-2</v>
      </c>
      <c r="G214" s="11" t="n">
        <f aca="false">IF(AND(C214=0,E214=0),0,IF(C214=0,"New",(E214-C214)/C214))</f>
        <v>-1</v>
      </c>
      <c r="H214" s="9" t="n">
        <f aca="false">SUMIFS('Source 2025'!$F:$F,'Source 2025'!$B:$B,$A214,'Source 2025'!$A:$A,"Amount (NIS)")+SUMIFS('Source 2025'!$H:$H,'Source 2025'!$B:$B,$A214,'Source 2025'!$A:$A,"Amount (NIS)")+SUMIFS('Source 2025'!$M:$M,'Source 2025'!$B:$B,$A214,'Source 2025'!$A:$A,"Amount (NIS)")+SUMIFS('Source 2025'!$N:$N,'Source 2025'!$B:$B,$A214,'Source 2025'!$A:$A,"Amount (NIS)")+SUMIFS('Source 2025'!$S:$S,'Source 2025'!$B:$B,$A214,'Source 2025'!$A:$A,"Amount (NIS)")+SUMIFS('Source 2025'!$U:$U,'Source 2025'!$B:$B,$A214,'Source 2025'!$A:$A,"Amount (NIS)")+SUMIFS('Source 2025'!$D:$D,'Source 2025'!$B:$B,$A214,'Source 2025'!$A:$A,"Amount (NIS)")+SUMIFS('Source 2025'!$E:$E,'Source 2025'!$B:$B,$A214,'Source 2025'!$A:$A,"Amount (NIS)")+SUMIFS('Source 2025'!$G:$G,'Source 2025'!$B:$B,$A214,'Source 2025'!$A:$A,"Amount (NIS)")</f>
        <v>255.5</v>
      </c>
      <c r="I214" s="9" t="n">
        <f aca="false">SUMIFS('Source 2026'!$F:$F,'Source 2026'!$B:$B,$A214,'Source 2026'!$A:$A,"Amount (NIS)")+SUMIFS('Source 2026'!$H:$H,'Source 2026'!$B:$B,$A214,'Source 2026'!$A:$A,"Amount (NIS)")+SUMIFS('Source 2026'!$M:$M,'Source 2026'!$B:$B,$A214,'Source 2026'!$A:$A,"Amount (NIS)")+SUMIFS('Source 2026'!$N:$N,'Source 2026'!$B:$B,$A214,'Source 2026'!$A:$A,"Amount (NIS)")+SUMIFS('Source 2026'!$S:$S,'Source 2026'!$B:$B,$A214,'Source 2026'!$A:$A,"Amount (NIS)")+SUMIFS('Source 2026'!$U:$U,'Source 2026'!$B:$B,$A214,'Source 2026'!$A:$A,"Amount (NIS)")+SUMIFS('Source 2026'!$D:$D,'Source 2026'!$B:$B,$A214,'Source 2026'!$A:$A,"Amount (NIS)")+SUMIFS('Source 2026'!$E:$E,'Source 2026'!$B:$B,$A214,'Source 2026'!$A:$A,"Amount (NIS)")+SUMIFS('Source 2026'!$G:$G,'Source 2026'!$B:$B,$A214,'Source 2026'!$A:$A,"Amount (NIS)")</f>
        <v>0</v>
      </c>
      <c r="J214" s="9" t="n">
        <f aca="false">I214*$J$5</f>
        <v>0</v>
      </c>
      <c r="K214" s="9" t="n">
        <f aca="false">J214-H214</f>
        <v>-255.5</v>
      </c>
      <c r="L214" s="11" t="n">
        <f aca="false">IF(AND(H214=0,J214=0),0,IF(H214=0,"New",(J214-H214)/H214))</f>
        <v>-1</v>
      </c>
    </row>
    <row r="215" customFormat="false" ht="15" hidden="false" customHeight="true" outlineLevel="0" collapsed="false">
      <c r="A215" s="8" t="s">
        <v>284</v>
      </c>
      <c r="B215" s="8" t="str">
        <f aca="false">IFERROR(INDEX('Source 2026'!$C:$C,MATCH($A215,'Source 2026'!$B:$B,0)),IFERROR(INDEX('Source 2025'!$C:$C,MATCH($A215,'Source 2025'!$B:$B,0)),""))</f>
        <v>רפידת ג'ל כחול36-40</v>
      </c>
      <c r="C215" s="9" t="n">
        <f aca="false">SUMIFS('Source 2025'!$F:$F,'Source 2025'!$B:$B,$A215,'Source 2025'!$A:$A,"Quantity (units)")+SUMIFS('Source 2025'!$H:$H,'Source 2025'!$B:$B,$A215,'Source 2025'!$A:$A,"Quantity (units)")+SUMIFS('Source 2025'!$M:$M,'Source 2025'!$B:$B,$A215,'Source 2025'!$A:$A,"Quantity (units)")+SUMIFS('Source 2025'!$N:$N,'Source 2025'!$B:$B,$A215,'Source 2025'!$A:$A,"Quantity (units)")+SUMIFS('Source 2025'!$S:$S,'Source 2025'!$B:$B,$A215,'Source 2025'!$A:$A,"Quantity (units)")+SUMIFS('Source 2025'!$U:$U,'Source 2025'!$B:$B,$A215,'Source 2025'!$A:$A,"Quantity (units)")+SUMIFS('Source 2025'!$D:$D,'Source 2025'!$B:$B,$A215,'Source 2025'!$A:$A,"Quantity (units)")+SUMIFS('Source 2025'!$E:$E,'Source 2025'!$B:$B,$A215,'Source 2025'!$A:$A,"Quantity (units)")+SUMIFS('Source 2025'!$G:$G,'Source 2025'!$B:$B,$A215,'Source 2025'!$A:$A,"Quantity (units)")</f>
        <v>-2</v>
      </c>
      <c r="D215" s="9" t="n">
        <f aca="false">SUMIFS('Source 2026'!$F:$F,'Source 2026'!$B:$B,$A215,'Source 2026'!$A:$A,"Quantity (units)")+SUMIFS('Source 2026'!$H:$H,'Source 2026'!$B:$B,$A215,'Source 2026'!$A:$A,"Quantity (units)")+SUMIFS('Source 2026'!$M:$M,'Source 2026'!$B:$B,$A215,'Source 2026'!$A:$A,"Quantity (units)")+SUMIFS('Source 2026'!$N:$N,'Source 2026'!$B:$B,$A215,'Source 2026'!$A:$A,"Quantity (units)")+SUMIFS('Source 2026'!$S:$S,'Source 2026'!$B:$B,$A215,'Source 2026'!$A:$A,"Quantity (units)")+SUMIFS('Source 2026'!$U:$U,'Source 2026'!$B:$B,$A215,'Source 2026'!$A:$A,"Quantity (units)")+SUMIFS('Source 2026'!$D:$D,'Source 2026'!$B:$B,$A215,'Source 2026'!$A:$A,"Quantity (units)")+SUMIFS('Source 2026'!$E:$E,'Source 2026'!$B:$B,$A215,'Source 2026'!$A:$A,"Quantity (units)")+SUMIFS('Source 2026'!$G:$G,'Source 2026'!$B:$B,$A215,'Source 2026'!$A:$A,"Quantity (units)")</f>
        <v>2</v>
      </c>
      <c r="E215" s="9" t="n">
        <f aca="false">D215*$J$5</f>
        <v>2.52631578947368</v>
      </c>
      <c r="F215" s="9" t="n">
        <f aca="false">E215-C215</f>
        <v>4.52631578947368</v>
      </c>
      <c r="G215" s="11" t="n">
        <f aca="false">IF(AND(C215=0,E215=0),0,IF(C215=0,"New",(E215-C215)/C215))</f>
        <v>-2.26315789473684</v>
      </c>
      <c r="H215" s="9" t="n">
        <f aca="false">SUMIFS('Source 2025'!$F:$F,'Source 2025'!$B:$B,$A215,'Source 2025'!$A:$A,"Amount (NIS)")+SUMIFS('Source 2025'!$H:$H,'Source 2025'!$B:$B,$A215,'Source 2025'!$A:$A,"Amount (NIS)")+SUMIFS('Source 2025'!$M:$M,'Source 2025'!$B:$B,$A215,'Source 2025'!$A:$A,"Amount (NIS)")+SUMIFS('Source 2025'!$N:$N,'Source 2025'!$B:$B,$A215,'Source 2025'!$A:$A,"Amount (NIS)")+SUMIFS('Source 2025'!$S:$S,'Source 2025'!$B:$B,$A215,'Source 2025'!$A:$A,"Amount (NIS)")+SUMIFS('Source 2025'!$U:$U,'Source 2025'!$B:$B,$A215,'Source 2025'!$A:$A,"Amount (NIS)")+SUMIFS('Source 2025'!$D:$D,'Source 2025'!$B:$B,$A215,'Source 2025'!$A:$A,"Amount (NIS)")+SUMIFS('Source 2025'!$E:$E,'Source 2025'!$B:$B,$A215,'Source 2025'!$A:$A,"Amount (NIS)")+SUMIFS('Source 2025'!$G:$G,'Source 2025'!$B:$B,$A215,'Source 2025'!$A:$A,"Amount (NIS)")</f>
        <v>-107.2</v>
      </c>
      <c r="I215" s="9" t="n">
        <f aca="false">SUMIFS('Source 2026'!$F:$F,'Source 2026'!$B:$B,$A215,'Source 2026'!$A:$A,"Amount (NIS)")+SUMIFS('Source 2026'!$H:$H,'Source 2026'!$B:$B,$A215,'Source 2026'!$A:$A,"Amount (NIS)")+SUMIFS('Source 2026'!$M:$M,'Source 2026'!$B:$B,$A215,'Source 2026'!$A:$A,"Amount (NIS)")+SUMIFS('Source 2026'!$N:$N,'Source 2026'!$B:$B,$A215,'Source 2026'!$A:$A,"Amount (NIS)")+SUMIFS('Source 2026'!$S:$S,'Source 2026'!$B:$B,$A215,'Source 2026'!$A:$A,"Amount (NIS)")+SUMIFS('Source 2026'!$U:$U,'Source 2026'!$B:$B,$A215,'Source 2026'!$A:$A,"Amount (NIS)")+SUMIFS('Source 2026'!$D:$D,'Source 2026'!$B:$B,$A215,'Source 2026'!$A:$A,"Amount (NIS)")+SUMIFS('Source 2026'!$E:$E,'Source 2026'!$B:$B,$A215,'Source 2026'!$A:$A,"Amount (NIS)")+SUMIFS('Source 2026'!$G:$G,'Source 2026'!$B:$B,$A215,'Source 2026'!$A:$A,"Amount (NIS)")</f>
        <v>146.5</v>
      </c>
      <c r="J215" s="9" t="n">
        <f aca="false">I215*$J$5</f>
        <v>185.052631578947</v>
      </c>
      <c r="K215" s="9" t="n">
        <f aca="false">J215-H215</f>
        <v>292.252631578947</v>
      </c>
      <c r="L215" s="11" t="n">
        <f aca="false">IF(AND(H215=0,J215=0),0,IF(H215=0,"New",(J215-H215)/H215))</f>
        <v>-2.72623723487824</v>
      </c>
    </row>
    <row r="216" customFormat="false" ht="15" hidden="false" customHeight="true" outlineLevel="0" collapsed="false">
      <c r="A216" s="8" t="s">
        <v>285</v>
      </c>
      <c r="B216" s="8" t="str">
        <f aca="false">IFERROR(INDEX('Source 2026'!$C:$C,MATCH($A216,'Source 2026'!$B:$B,0)),IFERROR(INDEX('Source 2025'!$C:$C,MATCH($A216,'Source 2025'!$B:$B,0)),""))</f>
        <v>S ימין CTS כפפות</v>
      </c>
      <c r="C216" s="9" t="n">
        <f aca="false">SUMIFS('Source 2025'!$F:$F,'Source 2025'!$B:$B,$A216,'Source 2025'!$A:$A,"Quantity (units)")+SUMIFS('Source 2025'!$H:$H,'Source 2025'!$B:$B,$A216,'Source 2025'!$A:$A,"Quantity (units)")+SUMIFS('Source 2025'!$M:$M,'Source 2025'!$B:$B,$A216,'Source 2025'!$A:$A,"Quantity (units)")+SUMIFS('Source 2025'!$N:$N,'Source 2025'!$B:$B,$A216,'Source 2025'!$A:$A,"Quantity (units)")+SUMIFS('Source 2025'!$S:$S,'Source 2025'!$B:$B,$A216,'Source 2025'!$A:$A,"Quantity (units)")+SUMIFS('Source 2025'!$U:$U,'Source 2025'!$B:$B,$A216,'Source 2025'!$A:$A,"Quantity (units)")+SUMIFS('Source 2025'!$D:$D,'Source 2025'!$B:$B,$A216,'Source 2025'!$A:$A,"Quantity (units)")+SUMIFS('Source 2025'!$E:$E,'Source 2025'!$B:$B,$A216,'Source 2025'!$A:$A,"Quantity (units)")+SUMIFS('Source 2025'!$G:$G,'Source 2025'!$B:$B,$A216,'Source 2025'!$A:$A,"Quantity (units)")</f>
        <v>0</v>
      </c>
      <c r="D216" s="9" t="n">
        <f aca="false">SUMIFS('Source 2026'!$F:$F,'Source 2026'!$B:$B,$A216,'Source 2026'!$A:$A,"Quantity (units)")+SUMIFS('Source 2026'!$H:$H,'Source 2026'!$B:$B,$A216,'Source 2026'!$A:$A,"Quantity (units)")+SUMIFS('Source 2026'!$M:$M,'Source 2026'!$B:$B,$A216,'Source 2026'!$A:$A,"Quantity (units)")+SUMIFS('Source 2026'!$N:$N,'Source 2026'!$B:$B,$A216,'Source 2026'!$A:$A,"Quantity (units)")+SUMIFS('Source 2026'!$S:$S,'Source 2026'!$B:$B,$A216,'Source 2026'!$A:$A,"Quantity (units)")+SUMIFS('Source 2026'!$U:$U,'Source 2026'!$B:$B,$A216,'Source 2026'!$A:$A,"Quantity (units)")+SUMIFS('Source 2026'!$D:$D,'Source 2026'!$B:$B,$A216,'Source 2026'!$A:$A,"Quantity (units)")+SUMIFS('Source 2026'!$E:$E,'Source 2026'!$B:$B,$A216,'Source 2026'!$A:$A,"Quantity (units)")+SUMIFS('Source 2026'!$G:$G,'Source 2026'!$B:$B,$A216,'Source 2026'!$A:$A,"Quantity (units)")</f>
        <v>2</v>
      </c>
      <c r="E216" s="9" t="n">
        <f aca="false">D216*$J$5</f>
        <v>2.52631578947368</v>
      </c>
      <c r="F216" s="9" t="n">
        <f aca="false">E216-C216</f>
        <v>2.52631578947368</v>
      </c>
      <c r="G216" s="11" t="str">
        <f aca="false">IF(AND(C216=0,E216=0),0,IF(C216=0,"New",(E216-C216)/C216))</f>
        <v>New</v>
      </c>
      <c r="H216" s="9" t="n">
        <f aca="false">SUMIFS('Source 2025'!$F:$F,'Source 2025'!$B:$B,$A216,'Source 2025'!$A:$A,"Amount (NIS)")+SUMIFS('Source 2025'!$H:$H,'Source 2025'!$B:$B,$A216,'Source 2025'!$A:$A,"Amount (NIS)")+SUMIFS('Source 2025'!$M:$M,'Source 2025'!$B:$B,$A216,'Source 2025'!$A:$A,"Amount (NIS)")+SUMIFS('Source 2025'!$N:$N,'Source 2025'!$B:$B,$A216,'Source 2025'!$A:$A,"Amount (NIS)")+SUMIFS('Source 2025'!$S:$S,'Source 2025'!$B:$B,$A216,'Source 2025'!$A:$A,"Amount (NIS)")+SUMIFS('Source 2025'!$U:$U,'Source 2025'!$B:$B,$A216,'Source 2025'!$A:$A,"Amount (NIS)")+SUMIFS('Source 2025'!$D:$D,'Source 2025'!$B:$B,$A216,'Source 2025'!$A:$A,"Amount (NIS)")+SUMIFS('Source 2025'!$E:$E,'Source 2025'!$B:$B,$A216,'Source 2025'!$A:$A,"Amount (NIS)")+SUMIFS('Source 2025'!$G:$G,'Source 2025'!$B:$B,$A216,'Source 2025'!$A:$A,"Amount (NIS)")</f>
        <v>0</v>
      </c>
      <c r="I216" s="9" t="n">
        <f aca="false">SUMIFS('Source 2026'!$F:$F,'Source 2026'!$B:$B,$A216,'Source 2026'!$A:$A,"Amount (NIS)")+SUMIFS('Source 2026'!$H:$H,'Source 2026'!$B:$B,$A216,'Source 2026'!$A:$A,"Amount (NIS)")+SUMIFS('Source 2026'!$M:$M,'Source 2026'!$B:$B,$A216,'Source 2026'!$A:$A,"Amount (NIS)")+SUMIFS('Source 2026'!$N:$N,'Source 2026'!$B:$B,$A216,'Source 2026'!$A:$A,"Amount (NIS)")+SUMIFS('Source 2026'!$S:$S,'Source 2026'!$B:$B,$A216,'Source 2026'!$A:$A,"Amount (NIS)")+SUMIFS('Source 2026'!$U:$U,'Source 2026'!$B:$B,$A216,'Source 2026'!$A:$A,"Amount (NIS)")+SUMIFS('Source 2026'!$D:$D,'Source 2026'!$B:$B,$A216,'Source 2026'!$A:$A,"Amount (NIS)")+SUMIFS('Source 2026'!$E:$E,'Source 2026'!$B:$B,$A216,'Source 2026'!$A:$A,"Amount (NIS)")+SUMIFS('Source 2026'!$G:$G,'Source 2026'!$B:$B,$A216,'Source 2026'!$A:$A,"Amount (NIS)")</f>
        <v>234.3</v>
      </c>
      <c r="J216" s="9" t="n">
        <f aca="false">I216*$J$5</f>
        <v>295.957894736842</v>
      </c>
      <c r="K216" s="9" t="n">
        <f aca="false">J216-H216</f>
        <v>295.957894736842</v>
      </c>
      <c r="L216" s="11" t="str">
        <f aca="false">IF(AND(H216=0,J216=0),0,IF(H216=0,"New",(J216-H216)/H216))</f>
        <v>New</v>
      </c>
    </row>
    <row r="217" customFormat="false" ht="15" hidden="false" customHeight="true" outlineLevel="0" collapsed="false">
      <c r="A217" s="8" t="s">
        <v>286</v>
      </c>
      <c r="B217" s="8" t="str">
        <f aca="false">IFERROR(INDEX('Source 2026'!$C:$C,MATCH($A217,'Source 2026'!$B:$B,0)),IFERROR(INDEX('Source 2025'!$C:$C,MATCH($A217,'Source 2025'!$B:$B,0)),""))</f>
        <v>L ימין CTS כפפות</v>
      </c>
      <c r="C217" s="9" t="n">
        <f aca="false">SUMIFS('Source 2025'!$F:$F,'Source 2025'!$B:$B,$A217,'Source 2025'!$A:$A,"Quantity (units)")+SUMIFS('Source 2025'!$H:$H,'Source 2025'!$B:$B,$A217,'Source 2025'!$A:$A,"Quantity (units)")+SUMIFS('Source 2025'!$M:$M,'Source 2025'!$B:$B,$A217,'Source 2025'!$A:$A,"Quantity (units)")+SUMIFS('Source 2025'!$N:$N,'Source 2025'!$B:$B,$A217,'Source 2025'!$A:$A,"Quantity (units)")+SUMIFS('Source 2025'!$S:$S,'Source 2025'!$B:$B,$A217,'Source 2025'!$A:$A,"Quantity (units)")+SUMIFS('Source 2025'!$U:$U,'Source 2025'!$B:$B,$A217,'Source 2025'!$A:$A,"Quantity (units)")+SUMIFS('Source 2025'!$D:$D,'Source 2025'!$B:$B,$A217,'Source 2025'!$A:$A,"Quantity (units)")+SUMIFS('Source 2025'!$E:$E,'Source 2025'!$B:$B,$A217,'Source 2025'!$A:$A,"Quantity (units)")+SUMIFS('Source 2025'!$G:$G,'Source 2025'!$B:$B,$A217,'Source 2025'!$A:$A,"Quantity (units)")</f>
        <v>0</v>
      </c>
      <c r="D217" s="9" t="n">
        <f aca="false">SUMIFS('Source 2026'!$F:$F,'Source 2026'!$B:$B,$A217,'Source 2026'!$A:$A,"Quantity (units)")+SUMIFS('Source 2026'!$H:$H,'Source 2026'!$B:$B,$A217,'Source 2026'!$A:$A,"Quantity (units)")+SUMIFS('Source 2026'!$M:$M,'Source 2026'!$B:$B,$A217,'Source 2026'!$A:$A,"Quantity (units)")+SUMIFS('Source 2026'!$N:$N,'Source 2026'!$B:$B,$A217,'Source 2026'!$A:$A,"Quantity (units)")+SUMIFS('Source 2026'!$S:$S,'Source 2026'!$B:$B,$A217,'Source 2026'!$A:$A,"Quantity (units)")+SUMIFS('Source 2026'!$U:$U,'Source 2026'!$B:$B,$A217,'Source 2026'!$A:$A,"Quantity (units)")+SUMIFS('Source 2026'!$D:$D,'Source 2026'!$B:$B,$A217,'Source 2026'!$A:$A,"Quantity (units)")+SUMIFS('Source 2026'!$E:$E,'Source 2026'!$B:$B,$A217,'Source 2026'!$A:$A,"Quantity (units)")+SUMIFS('Source 2026'!$G:$G,'Source 2026'!$B:$B,$A217,'Source 2026'!$A:$A,"Quantity (units)")</f>
        <v>2</v>
      </c>
      <c r="E217" s="9" t="n">
        <f aca="false">D217*$J$5</f>
        <v>2.52631578947368</v>
      </c>
      <c r="F217" s="9" t="n">
        <f aca="false">E217-C217</f>
        <v>2.52631578947368</v>
      </c>
      <c r="G217" s="11" t="str">
        <f aca="false">IF(AND(C217=0,E217=0),0,IF(C217=0,"New",(E217-C217)/C217))</f>
        <v>New</v>
      </c>
      <c r="H217" s="9" t="n">
        <f aca="false">SUMIFS('Source 2025'!$F:$F,'Source 2025'!$B:$B,$A217,'Source 2025'!$A:$A,"Amount (NIS)")+SUMIFS('Source 2025'!$H:$H,'Source 2025'!$B:$B,$A217,'Source 2025'!$A:$A,"Amount (NIS)")+SUMIFS('Source 2025'!$M:$M,'Source 2025'!$B:$B,$A217,'Source 2025'!$A:$A,"Amount (NIS)")+SUMIFS('Source 2025'!$N:$N,'Source 2025'!$B:$B,$A217,'Source 2025'!$A:$A,"Amount (NIS)")+SUMIFS('Source 2025'!$S:$S,'Source 2025'!$B:$B,$A217,'Source 2025'!$A:$A,"Amount (NIS)")+SUMIFS('Source 2025'!$U:$U,'Source 2025'!$B:$B,$A217,'Source 2025'!$A:$A,"Amount (NIS)")+SUMIFS('Source 2025'!$D:$D,'Source 2025'!$B:$B,$A217,'Source 2025'!$A:$A,"Amount (NIS)")+SUMIFS('Source 2025'!$E:$E,'Source 2025'!$B:$B,$A217,'Source 2025'!$A:$A,"Amount (NIS)")+SUMIFS('Source 2025'!$G:$G,'Source 2025'!$B:$B,$A217,'Source 2025'!$A:$A,"Amount (NIS)")</f>
        <v>0</v>
      </c>
      <c r="I217" s="9" t="n">
        <f aca="false">SUMIFS('Source 2026'!$F:$F,'Source 2026'!$B:$B,$A217,'Source 2026'!$A:$A,"Amount (NIS)")+SUMIFS('Source 2026'!$H:$H,'Source 2026'!$B:$B,$A217,'Source 2026'!$A:$A,"Amount (NIS)")+SUMIFS('Source 2026'!$M:$M,'Source 2026'!$B:$B,$A217,'Source 2026'!$A:$A,"Amount (NIS)")+SUMIFS('Source 2026'!$N:$N,'Source 2026'!$B:$B,$A217,'Source 2026'!$A:$A,"Amount (NIS)")+SUMIFS('Source 2026'!$S:$S,'Source 2026'!$B:$B,$A217,'Source 2026'!$A:$A,"Amount (NIS)")+SUMIFS('Source 2026'!$U:$U,'Source 2026'!$B:$B,$A217,'Source 2026'!$A:$A,"Amount (NIS)")+SUMIFS('Source 2026'!$D:$D,'Source 2026'!$B:$B,$A217,'Source 2026'!$A:$A,"Amount (NIS)")+SUMIFS('Source 2026'!$E:$E,'Source 2026'!$B:$B,$A217,'Source 2026'!$A:$A,"Amount (NIS)")+SUMIFS('Source 2026'!$G:$G,'Source 2026'!$B:$B,$A217,'Source 2026'!$A:$A,"Amount (NIS)")</f>
        <v>234.2</v>
      </c>
      <c r="J217" s="9" t="n">
        <f aca="false">I217*$J$5</f>
        <v>295.831578947368</v>
      </c>
      <c r="K217" s="9" t="n">
        <f aca="false">J217-H217</f>
        <v>295.831578947368</v>
      </c>
      <c r="L217" s="11" t="str">
        <f aca="false">IF(AND(H217=0,J217=0),0,IF(H217=0,"New",(J217-H217)/H217))</f>
        <v>New</v>
      </c>
    </row>
    <row r="218" customFormat="false" ht="15" hidden="false" customHeight="true" outlineLevel="0" collapsed="false">
      <c r="A218" s="8" t="s">
        <v>287</v>
      </c>
      <c r="B218" s="8" t="str">
        <f aca="false">IFERROR(INDEX('Source 2026'!$C:$C,MATCH($A218,'Source 2026'!$B:$B,0)),IFERROR(INDEX('Source 2025'!$C:$C,MATCH($A218,'Source 2025'!$B:$B,0)),""))</f>
        <v>פיקה לברך</v>
      </c>
      <c r="C218" s="9" t="n">
        <f aca="false">SUMIFS('Source 2025'!$F:$F,'Source 2025'!$B:$B,$A218,'Source 2025'!$A:$A,"Quantity (units)")+SUMIFS('Source 2025'!$H:$H,'Source 2025'!$B:$B,$A218,'Source 2025'!$A:$A,"Quantity (units)")+SUMIFS('Source 2025'!$M:$M,'Source 2025'!$B:$B,$A218,'Source 2025'!$A:$A,"Quantity (units)")+SUMIFS('Source 2025'!$N:$N,'Source 2025'!$B:$B,$A218,'Source 2025'!$A:$A,"Quantity (units)")+SUMIFS('Source 2025'!$S:$S,'Source 2025'!$B:$B,$A218,'Source 2025'!$A:$A,"Quantity (units)")+SUMIFS('Source 2025'!$U:$U,'Source 2025'!$B:$B,$A218,'Source 2025'!$A:$A,"Quantity (units)")+SUMIFS('Source 2025'!$D:$D,'Source 2025'!$B:$B,$A218,'Source 2025'!$A:$A,"Quantity (units)")+SUMIFS('Source 2025'!$E:$E,'Source 2025'!$B:$B,$A218,'Source 2025'!$A:$A,"Quantity (units)")+SUMIFS('Source 2025'!$G:$G,'Source 2025'!$B:$B,$A218,'Source 2025'!$A:$A,"Quantity (units)")</f>
        <v>46</v>
      </c>
      <c r="D218" s="9" t="n">
        <f aca="false">SUMIFS('Source 2026'!$F:$F,'Source 2026'!$B:$B,$A218,'Source 2026'!$A:$A,"Quantity (units)")+SUMIFS('Source 2026'!$H:$H,'Source 2026'!$B:$B,$A218,'Source 2026'!$A:$A,"Quantity (units)")+SUMIFS('Source 2026'!$M:$M,'Source 2026'!$B:$B,$A218,'Source 2026'!$A:$A,"Quantity (units)")+SUMIFS('Source 2026'!$N:$N,'Source 2026'!$B:$B,$A218,'Source 2026'!$A:$A,"Quantity (units)")+SUMIFS('Source 2026'!$S:$S,'Source 2026'!$B:$B,$A218,'Source 2026'!$A:$A,"Quantity (units)")+SUMIFS('Source 2026'!$U:$U,'Source 2026'!$B:$B,$A218,'Source 2026'!$A:$A,"Quantity (units)")+SUMIFS('Source 2026'!$D:$D,'Source 2026'!$B:$B,$A218,'Source 2026'!$A:$A,"Quantity (units)")+SUMIFS('Source 2026'!$E:$E,'Source 2026'!$B:$B,$A218,'Source 2026'!$A:$A,"Quantity (units)")+SUMIFS('Source 2026'!$G:$G,'Source 2026'!$B:$B,$A218,'Source 2026'!$A:$A,"Quantity (units)")</f>
        <v>41</v>
      </c>
      <c r="E218" s="9" t="n">
        <f aca="false">D218*$J$5</f>
        <v>51.7894736842105</v>
      </c>
      <c r="F218" s="9" t="n">
        <f aca="false">E218-C218</f>
        <v>5.78947368421052</v>
      </c>
      <c r="G218" s="11" t="n">
        <f aca="false">IF(AND(C218=0,E218=0),0,IF(C218=0,"New",(E218-C218)/C218))</f>
        <v>0.125858123569794</v>
      </c>
      <c r="H218" s="9" t="n">
        <f aca="false">SUMIFS('Source 2025'!$F:$F,'Source 2025'!$B:$B,$A218,'Source 2025'!$A:$A,"Amount (NIS)")+SUMIFS('Source 2025'!$H:$H,'Source 2025'!$B:$B,$A218,'Source 2025'!$A:$A,"Amount (NIS)")+SUMIFS('Source 2025'!$M:$M,'Source 2025'!$B:$B,$A218,'Source 2025'!$A:$A,"Amount (NIS)")+SUMIFS('Source 2025'!$N:$N,'Source 2025'!$B:$B,$A218,'Source 2025'!$A:$A,"Amount (NIS)")+SUMIFS('Source 2025'!$S:$S,'Source 2025'!$B:$B,$A218,'Source 2025'!$A:$A,"Amount (NIS)")+SUMIFS('Source 2025'!$U:$U,'Source 2025'!$B:$B,$A218,'Source 2025'!$A:$A,"Amount (NIS)")+SUMIFS('Source 2025'!$D:$D,'Source 2025'!$B:$B,$A218,'Source 2025'!$A:$A,"Amount (NIS)")+SUMIFS('Source 2025'!$E:$E,'Source 2025'!$B:$B,$A218,'Source 2025'!$A:$A,"Amount (NIS)")+SUMIFS('Source 2025'!$G:$G,'Source 2025'!$B:$B,$A218,'Source 2025'!$A:$A,"Amount (NIS)")</f>
        <v>2335.3</v>
      </c>
      <c r="I218" s="9" t="n">
        <f aca="false">SUMIFS('Source 2026'!$F:$F,'Source 2026'!$B:$B,$A218,'Source 2026'!$A:$A,"Amount (NIS)")+SUMIFS('Source 2026'!$H:$H,'Source 2026'!$B:$B,$A218,'Source 2026'!$A:$A,"Amount (NIS)")+SUMIFS('Source 2026'!$M:$M,'Source 2026'!$B:$B,$A218,'Source 2026'!$A:$A,"Amount (NIS)")+SUMIFS('Source 2026'!$N:$N,'Source 2026'!$B:$B,$A218,'Source 2026'!$A:$A,"Amount (NIS)")+SUMIFS('Source 2026'!$S:$S,'Source 2026'!$B:$B,$A218,'Source 2026'!$A:$A,"Amount (NIS)")+SUMIFS('Source 2026'!$U:$U,'Source 2026'!$B:$B,$A218,'Source 2026'!$A:$A,"Amount (NIS)")+SUMIFS('Source 2026'!$D:$D,'Source 2026'!$B:$B,$A218,'Source 2026'!$A:$A,"Amount (NIS)")+SUMIFS('Source 2026'!$E:$E,'Source 2026'!$B:$B,$A218,'Source 2026'!$A:$A,"Amount (NIS)")+SUMIFS('Source 2026'!$G:$G,'Source 2026'!$B:$B,$A218,'Source 2026'!$A:$A,"Amount (NIS)")</f>
        <v>2103.5</v>
      </c>
      <c r="J218" s="9" t="n">
        <f aca="false">I218*$J$5</f>
        <v>2657.05263157895</v>
      </c>
      <c r="K218" s="9" t="n">
        <f aca="false">J218-H218</f>
        <v>321.752631578947</v>
      </c>
      <c r="L218" s="11" t="n">
        <f aca="false">IF(AND(H218=0,J218=0),0,IF(H218=0,"New",(J218-H218)/H218))</f>
        <v>0.137777857910738</v>
      </c>
    </row>
    <row r="219" customFormat="false" ht="15" hidden="false" customHeight="true" outlineLevel="0" collapsed="false">
      <c r="A219" s="8" t="s">
        <v>288</v>
      </c>
      <c r="B219" s="8" t="str">
        <f aca="false">IFERROR(INDEX('Source 2026'!$C:$C,MATCH($A219,'Source 2026'!$B:$B,0)),IFERROR(INDEX('Source 2025'!$C:$C,MATCH($A219,'Source 2025'!$B:$B,0)),""))</f>
        <v>מדרסי אפיק ג'ל נוחות</v>
      </c>
      <c r="C219" s="9" t="n">
        <f aca="false">SUMIFS('Source 2025'!$F:$F,'Source 2025'!$B:$B,$A219,'Source 2025'!$A:$A,"Quantity (units)")+SUMIFS('Source 2025'!$H:$H,'Source 2025'!$B:$B,$A219,'Source 2025'!$A:$A,"Quantity (units)")+SUMIFS('Source 2025'!$M:$M,'Source 2025'!$B:$B,$A219,'Source 2025'!$A:$A,"Quantity (units)")+SUMIFS('Source 2025'!$N:$N,'Source 2025'!$B:$B,$A219,'Source 2025'!$A:$A,"Quantity (units)")+SUMIFS('Source 2025'!$S:$S,'Source 2025'!$B:$B,$A219,'Source 2025'!$A:$A,"Quantity (units)")+SUMIFS('Source 2025'!$U:$U,'Source 2025'!$B:$B,$A219,'Source 2025'!$A:$A,"Quantity (units)")+SUMIFS('Source 2025'!$D:$D,'Source 2025'!$B:$B,$A219,'Source 2025'!$A:$A,"Quantity (units)")+SUMIFS('Source 2025'!$E:$E,'Source 2025'!$B:$B,$A219,'Source 2025'!$A:$A,"Quantity (units)")+SUMIFS('Source 2025'!$G:$G,'Source 2025'!$B:$B,$A219,'Source 2025'!$A:$A,"Quantity (units)")</f>
        <v>17</v>
      </c>
      <c r="D219" s="9" t="n">
        <f aca="false">SUMIFS('Source 2026'!$F:$F,'Source 2026'!$B:$B,$A219,'Source 2026'!$A:$A,"Quantity (units)")+SUMIFS('Source 2026'!$H:$H,'Source 2026'!$B:$B,$A219,'Source 2026'!$A:$A,"Quantity (units)")+SUMIFS('Source 2026'!$M:$M,'Source 2026'!$B:$B,$A219,'Source 2026'!$A:$A,"Quantity (units)")+SUMIFS('Source 2026'!$N:$N,'Source 2026'!$B:$B,$A219,'Source 2026'!$A:$A,"Quantity (units)")+SUMIFS('Source 2026'!$S:$S,'Source 2026'!$B:$B,$A219,'Source 2026'!$A:$A,"Quantity (units)")+SUMIFS('Source 2026'!$U:$U,'Source 2026'!$B:$B,$A219,'Source 2026'!$A:$A,"Quantity (units)")+SUMIFS('Source 2026'!$D:$D,'Source 2026'!$B:$B,$A219,'Source 2026'!$A:$A,"Quantity (units)")+SUMIFS('Source 2026'!$E:$E,'Source 2026'!$B:$B,$A219,'Source 2026'!$A:$A,"Quantity (units)")+SUMIFS('Source 2026'!$G:$G,'Source 2026'!$B:$B,$A219,'Source 2026'!$A:$A,"Quantity (units)")</f>
        <v>14</v>
      </c>
      <c r="E219" s="9" t="n">
        <f aca="false">D219*$J$5</f>
        <v>17.6842105263158</v>
      </c>
      <c r="F219" s="9" t="n">
        <f aca="false">E219-C219</f>
        <v>0.684210526315788</v>
      </c>
      <c r="G219" s="11" t="n">
        <f aca="false">IF(AND(C219=0,E219=0),0,IF(C219=0,"New",(E219-C219)/C219))</f>
        <v>0.0402476780185757</v>
      </c>
      <c r="H219" s="9" t="n">
        <f aca="false">SUMIFS('Source 2025'!$F:$F,'Source 2025'!$B:$B,$A219,'Source 2025'!$A:$A,"Amount (NIS)")+SUMIFS('Source 2025'!$H:$H,'Source 2025'!$B:$B,$A219,'Source 2025'!$A:$A,"Amount (NIS)")+SUMIFS('Source 2025'!$M:$M,'Source 2025'!$B:$B,$A219,'Source 2025'!$A:$A,"Amount (NIS)")+SUMIFS('Source 2025'!$N:$N,'Source 2025'!$B:$B,$A219,'Source 2025'!$A:$A,"Amount (NIS)")+SUMIFS('Source 2025'!$S:$S,'Source 2025'!$B:$B,$A219,'Source 2025'!$A:$A,"Amount (NIS)")+SUMIFS('Source 2025'!$U:$U,'Source 2025'!$B:$B,$A219,'Source 2025'!$A:$A,"Amount (NIS)")+SUMIFS('Source 2025'!$D:$D,'Source 2025'!$B:$B,$A219,'Source 2025'!$A:$A,"Amount (NIS)")+SUMIFS('Source 2025'!$E:$E,'Source 2025'!$B:$B,$A219,'Source 2025'!$A:$A,"Amount (NIS)")+SUMIFS('Source 2025'!$G:$G,'Source 2025'!$B:$B,$A219,'Source 2025'!$A:$A,"Amount (NIS)")</f>
        <v>1602.9</v>
      </c>
      <c r="I219" s="9" t="n">
        <f aca="false">SUMIFS('Source 2026'!$F:$F,'Source 2026'!$B:$B,$A219,'Source 2026'!$A:$A,"Amount (NIS)")+SUMIFS('Source 2026'!$H:$H,'Source 2026'!$B:$B,$A219,'Source 2026'!$A:$A,"Amount (NIS)")+SUMIFS('Source 2026'!$M:$M,'Source 2026'!$B:$B,$A219,'Source 2026'!$A:$A,"Amount (NIS)")+SUMIFS('Source 2026'!$N:$N,'Source 2026'!$B:$B,$A219,'Source 2026'!$A:$A,"Amount (NIS)")+SUMIFS('Source 2026'!$S:$S,'Source 2026'!$B:$B,$A219,'Source 2026'!$A:$A,"Amount (NIS)")+SUMIFS('Source 2026'!$U:$U,'Source 2026'!$B:$B,$A219,'Source 2026'!$A:$A,"Amount (NIS)")+SUMIFS('Source 2026'!$D:$D,'Source 2026'!$B:$B,$A219,'Source 2026'!$A:$A,"Amount (NIS)")+SUMIFS('Source 2026'!$E:$E,'Source 2026'!$B:$B,$A219,'Source 2026'!$A:$A,"Amount (NIS)")+SUMIFS('Source 2026'!$G:$G,'Source 2026'!$B:$B,$A219,'Source 2026'!$A:$A,"Amount (NIS)")</f>
        <v>1371.3</v>
      </c>
      <c r="J219" s="9" t="n">
        <f aca="false">I219*$J$5</f>
        <v>1732.16842105263</v>
      </c>
      <c r="K219" s="9" t="n">
        <f aca="false">J219-H219</f>
        <v>129.268421052631</v>
      </c>
      <c r="L219" s="11" t="n">
        <f aca="false">IF(AND(H219=0,J219=0),0,IF(H219=0,"New",(J219-H219)/H219))</f>
        <v>0.0806465912113241</v>
      </c>
    </row>
    <row r="220" customFormat="false" ht="15" hidden="false" customHeight="true" outlineLevel="0" collapsed="false">
      <c r="A220" s="8" t="s">
        <v>289</v>
      </c>
      <c r="B220" s="8" t="str">
        <f aca="false">IFERROR(INDEX('Source 2026'!$C:$C,MATCH($A220,'Source 2026'!$B:$B,0)),IFERROR(INDEX('Source 2025'!$C:$C,MATCH($A220,'Source 2025'!$B:$B,0)),""))</f>
        <v>L-XLח.גב אמר+סגירה כפ.חום</v>
      </c>
      <c r="C220" s="9" t="n">
        <f aca="false">SUMIFS('Source 2025'!$F:$F,'Source 2025'!$B:$B,$A220,'Source 2025'!$A:$A,"Quantity (units)")+SUMIFS('Source 2025'!$H:$H,'Source 2025'!$B:$B,$A220,'Source 2025'!$A:$A,"Quantity (units)")+SUMIFS('Source 2025'!$M:$M,'Source 2025'!$B:$B,$A220,'Source 2025'!$A:$A,"Quantity (units)")+SUMIFS('Source 2025'!$N:$N,'Source 2025'!$B:$B,$A220,'Source 2025'!$A:$A,"Quantity (units)")+SUMIFS('Source 2025'!$S:$S,'Source 2025'!$B:$B,$A220,'Source 2025'!$A:$A,"Quantity (units)")+SUMIFS('Source 2025'!$U:$U,'Source 2025'!$B:$B,$A220,'Source 2025'!$A:$A,"Quantity (units)")+SUMIFS('Source 2025'!$D:$D,'Source 2025'!$B:$B,$A220,'Source 2025'!$A:$A,"Quantity (units)")+SUMIFS('Source 2025'!$E:$E,'Source 2025'!$B:$B,$A220,'Source 2025'!$A:$A,"Quantity (units)")+SUMIFS('Source 2025'!$G:$G,'Source 2025'!$B:$B,$A220,'Source 2025'!$A:$A,"Quantity (units)")</f>
        <v>1</v>
      </c>
      <c r="D220" s="9" t="n">
        <f aca="false">SUMIFS('Source 2026'!$F:$F,'Source 2026'!$B:$B,$A220,'Source 2026'!$A:$A,"Quantity (units)")+SUMIFS('Source 2026'!$H:$H,'Source 2026'!$B:$B,$A220,'Source 2026'!$A:$A,"Quantity (units)")+SUMIFS('Source 2026'!$M:$M,'Source 2026'!$B:$B,$A220,'Source 2026'!$A:$A,"Quantity (units)")+SUMIFS('Source 2026'!$N:$N,'Source 2026'!$B:$B,$A220,'Source 2026'!$A:$A,"Quantity (units)")+SUMIFS('Source 2026'!$S:$S,'Source 2026'!$B:$B,$A220,'Source 2026'!$A:$A,"Quantity (units)")+SUMIFS('Source 2026'!$U:$U,'Source 2026'!$B:$B,$A220,'Source 2026'!$A:$A,"Quantity (units)")+SUMIFS('Source 2026'!$D:$D,'Source 2026'!$B:$B,$A220,'Source 2026'!$A:$A,"Quantity (units)")+SUMIFS('Source 2026'!$E:$E,'Source 2026'!$B:$B,$A220,'Source 2026'!$A:$A,"Quantity (units)")+SUMIFS('Source 2026'!$G:$G,'Source 2026'!$B:$B,$A220,'Source 2026'!$A:$A,"Quantity (units)")</f>
        <v>0</v>
      </c>
      <c r="E220" s="9" t="n">
        <f aca="false">D220*$J$5</f>
        <v>0</v>
      </c>
      <c r="F220" s="9" t="n">
        <f aca="false">E220-C220</f>
        <v>-1</v>
      </c>
      <c r="G220" s="11" t="n">
        <f aca="false">IF(AND(C220=0,E220=0),0,IF(C220=0,"New",(E220-C220)/C220))</f>
        <v>-1</v>
      </c>
      <c r="H220" s="9" t="n">
        <f aca="false">SUMIFS('Source 2025'!$F:$F,'Source 2025'!$B:$B,$A220,'Source 2025'!$A:$A,"Amount (NIS)")+SUMIFS('Source 2025'!$H:$H,'Source 2025'!$B:$B,$A220,'Source 2025'!$A:$A,"Amount (NIS)")+SUMIFS('Source 2025'!$M:$M,'Source 2025'!$B:$B,$A220,'Source 2025'!$A:$A,"Amount (NIS)")+SUMIFS('Source 2025'!$N:$N,'Source 2025'!$B:$B,$A220,'Source 2025'!$A:$A,"Amount (NIS)")+SUMIFS('Source 2025'!$S:$S,'Source 2025'!$B:$B,$A220,'Source 2025'!$A:$A,"Amount (NIS)")+SUMIFS('Source 2025'!$U:$U,'Source 2025'!$B:$B,$A220,'Source 2025'!$A:$A,"Amount (NIS)")+SUMIFS('Source 2025'!$D:$D,'Source 2025'!$B:$B,$A220,'Source 2025'!$A:$A,"Amount (NIS)")+SUMIFS('Source 2025'!$E:$E,'Source 2025'!$B:$B,$A220,'Source 2025'!$A:$A,"Amount (NIS)")+SUMIFS('Source 2025'!$G:$G,'Source 2025'!$B:$B,$A220,'Source 2025'!$A:$A,"Amount (NIS)")</f>
        <v>231.6</v>
      </c>
      <c r="I220" s="9" t="n">
        <f aca="false">SUMIFS('Source 2026'!$F:$F,'Source 2026'!$B:$B,$A220,'Source 2026'!$A:$A,"Amount (NIS)")+SUMIFS('Source 2026'!$H:$H,'Source 2026'!$B:$B,$A220,'Source 2026'!$A:$A,"Amount (NIS)")+SUMIFS('Source 2026'!$M:$M,'Source 2026'!$B:$B,$A220,'Source 2026'!$A:$A,"Amount (NIS)")+SUMIFS('Source 2026'!$N:$N,'Source 2026'!$B:$B,$A220,'Source 2026'!$A:$A,"Amount (NIS)")+SUMIFS('Source 2026'!$S:$S,'Source 2026'!$B:$B,$A220,'Source 2026'!$A:$A,"Amount (NIS)")+SUMIFS('Source 2026'!$U:$U,'Source 2026'!$B:$B,$A220,'Source 2026'!$A:$A,"Amount (NIS)")+SUMIFS('Source 2026'!$D:$D,'Source 2026'!$B:$B,$A220,'Source 2026'!$A:$A,"Amount (NIS)")+SUMIFS('Source 2026'!$E:$E,'Source 2026'!$B:$B,$A220,'Source 2026'!$A:$A,"Amount (NIS)")+SUMIFS('Source 2026'!$G:$G,'Source 2026'!$B:$B,$A220,'Source 2026'!$A:$A,"Amount (NIS)")</f>
        <v>0</v>
      </c>
      <c r="J220" s="9" t="n">
        <f aca="false">I220*$J$5</f>
        <v>0</v>
      </c>
      <c r="K220" s="9" t="n">
        <f aca="false">J220-H220</f>
        <v>-231.6</v>
      </c>
      <c r="L220" s="11" t="n">
        <f aca="false">IF(AND(H220=0,J220=0),0,IF(H220=0,"New",(J220-H220)/H220))</f>
        <v>-1</v>
      </c>
    </row>
    <row r="221" customFormat="false" ht="15" hidden="false" customHeight="true" outlineLevel="0" collapsed="false">
      <c r="A221" s="8" t="s">
        <v>290</v>
      </c>
      <c r="B221" s="8" t="str">
        <f aca="false">IFERROR(INDEX('Source 2026'!$C:$C,MATCH($A221,'Source 2026'!$B:$B,0)),IFERROR(INDEX('Source 2025'!$C:$C,MATCH($A221,'Source 2025'!$B:$B,0)),""))</f>
        <v>XL סד קרסול+מוטות אלומיניום</v>
      </c>
      <c r="C221" s="9" t="n">
        <f aca="false">SUMIFS('Source 2025'!$F:$F,'Source 2025'!$B:$B,$A221,'Source 2025'!$A:$A,"Quantity (units)")+SUMIFS('Source 2025'!$H:$H,'Source 2025'!$B:$B,$A221,'Source 2025'!$A:$A,"Quantity (units)")+SUMIFS('Source 2025'!$M:$M,'Source 2025'!$B:$B,$A221,'Source 2025'!$A:$A,"Quantity (units)")+SUMIFS('Source 2025'!$N:$N,'Source 2025'!$B:$B,$A221,'Source 2025'!$A:$A,"Quantity (units)")+SUMIFS('Source 2025'!$S:$S,'Source 2025'!$B:$B,$A221,'Source 2025'!$A:$A,"Quantity (units)")+SUMIFS('Source 2025'!$U:$U,'Source 2025'!$B:$B,$A221,'Source 2025'!$A:$A,"Quantity (units)")+SUMIFS('Source 2025'!$D:$D,'Source 2025'!$B:$B,$A221,'Source 2025'!$A:$A,"Quantity (units)")+SUMIFS('Source 2025'!$E:$E,'Source 2025'!$B:$B,$A221,'Source 2025'!$A:$A,"Quantity (units)")+SUMIFS('Source 2025'!$G:$G,'Source 2025'!$B:$B,$A221,'Source 2025'!$A:$A,"Quantity (units)")</f>
        <v>1</v>
      </c>
      <c r="D221" s="9" t="n">
        <f aca="false">SUMIFS('Source 2026'!$F:$F,'Source 2026'!$B:$B,$A221,'Source 2026'!$A:$A,"Quantity (units)")+SUMIFS('Source 2026'!$H:$H,'Source 2026'!$B:$B,$A221,'Source 2026'!$A:$A,"Quantity (units)")+SUMIFS('Source 2026'!$M:$M,'Source 2026'!$B:$B,$A221,'Source 2026'!$A:$A,"Quantity (units)")+SUMIFS('Source 2026'!$N:$N,'Source 2026'!$B:$B,$A221,'Source 2026'!$A:$A,"Quantity (units)")+SUMIFS('Source 2026'!$S:$S,'Source 2026'!$B:$B,$A221,'Source 2026'!$A:$A,"Quantity (units)")+SUMIFS('Source 2026'!$U:$U,'Source 2026'!$B:$B,$A221,'Source 2026'!$A:$A,"Quantity (units)")+SUMIFS('Source 2026'!$D:$D,'Source 2026'!$B:$B,$A221,'Source 2026'!$A:$A,"Quantity (units)")+SUMIFS('Source 2026'!$E:$E,'Source 2026'!$B:$B,$A221,'Source 2026'!$A:$A,"Quantity (units)")+SUMIFS('Source 2026'!$G:$G,'Source 2026'!$B:$B,$A221,'Source 2026'!$A:$A,"Quantity (units)")</f>
        <v>2</v>
      </c>
      <c r="E221" s="9" t="n">
        <f aca="false">D221*$J$5</f>
        <v>2.52631578947368</v>
      </c>
      <c r="F221" s="9" t="n">
        <f aca="false">E221-C221</f>
        <v>1.52631578947368</v>
      </c>
      <c r="G221" s="11" t="n">
        <f aca="false">IF(AND(C221=0,E221=0),0,IF(C221=0,"New",(E221-C221)/C221))</f>
        <v>1.52631578947368</v>
      </c>
      <c r="H221" s="9" t="n">
        <f aca="false">SUMIFS('Source 2025'!$F:$F,'Source 2025'!$B:$B,$A221,'Source 2025'!$A:$A,"Amount (NIS)")+SUMIFS('Source 2025'!$H:$H,'Source 2025'!$B:$B,$A221,'Source 2025'!$A:$A,"Amount (NIS)")+SUMIFS('Source 2025'!$M:$M,'Source 2025'!$B:$B,$A221,'Source 2025'!$A:$A,"Amount (NIS)")+SUMIFS('Source 2025'!$N:$N,'Source 2025'!$B:$B,$A221,'Source 2025'!$A:$A,"Amount (NIS)")+SUMIFS('Source 2025'!$S:$S,'Source 2025'!$B:$B,$A221,'Source 2025'!$A:$A,"Amount (NIS)")+SUMIFS('Source 2025'!$U:$U,'Source 2025'!$B:$B,$A221,'Source 2025'!$A:$A,"Amount (NIS)")+SUMIFS('Source 2025'!$D:$D,'Source 2025'!$B:$B,$A221,'Source 2025'!$A:$A,"Amount (NIS)")+SUMIFS('Source 2025'!$E:$E,'Source 2025'!$B:$B,$A221,'Source 2025'!$A:$A,"Amount (NIS)")+SUMIFS('Source 2025'!$G:$G,'Source 2025'!$B:$B,$A221,'Source 2025'!$A:$A,"Amount (NIS)")</f>
        <v>198.6</v>
      </c>
      <c r="I221" s="9" t="n">
        <f aca="false">SUMIFS('Source 2026'!$F:$F,'Source 2026'!$B:$B,$A221,'Source 2026'!$A:$A,"Amount (NIS)")+SUMIFS('Source 2026'!$H:$H,'Source 2026'!$B:$B,$A221,'Source 2026'!$A:$A,"Amount (NIS)")+SUMIFS('Source 2026'!$M:$M,'Source 2026'!$B:$B,$A221,'Source 2026'!$A:$A,"Amount (NIS)")+SUMIFS('Source 2026'!$N:$N,'Source 2026'!$B:$B,$A221,'Source 2026'!$A:$A,"Amount (NIS)")+SUMIFS('Source 2026'!$S:$S,'Source 2026'!$B:$B,$A221,'Source 2026'!$A:$A,"Amount (NIS)")+SUMIFS('Source 2026'!$U:$U,'Source 2026'!$B:$B,$A221,'Source 2026'!$A:$A,"Amount (NIS)")+SUMIFS('Source 2026'!$D:$D,'Source 2026'!$B:$B,$A221,'Source 2026'!$A:$A,"Amount (NIS)")+SUMIFS('Source 2026'!$E:$E,'Source 2026'!$B:$B,$A221,'Source 2026'!$A:$A,"Amount (NIS)")+SUMIFS('Source 2026'!$G:$G,'Source 2026'!$B:$B,$A221,'Source 2026'!$A:$A,"Amount (NIS)")</f>
        <v>425.5</v>
      </c>
      <c r="J221" s="9" t="n">
        <f aca="false">I221*$J$5</f>
        <v>537.473684210526</v>
      </c>
      <c r="K221" s="9" t="n">
        <f aca="false">J221-H221</f>
        <v>338.873684210526</v>
      </c>
      <c r="L221" s="11" t="n">
        <f aca="false">IF(AND(H221=0,J221=0),0,IF(H221=0,"New",(J221-H221)/H221))</f>
        <v>1.70631260931786</v>
      </c>
    </row>
    <row r="222" customFormat="false" ht="15" hidden="false" customHeight="true" outlineLevel="0" collapsed="false">
      <c r="A222" s="8" t="s">
        <v>291</v>
      </c>
      <c r="B222" s="8" t="str">
        <f aca="false">IFERROR(INDEX('Source 2026'!$C:$C,MATCH($A222,'Source 2026'!$B:$B,0)),IFERROR(INDEX('Source 2025'!$C:$C,MATCH($A222,'Source 2025'!$B:$B,0)),""))</f>
        <v>XL סד לאגודל כפפה</v>
      </c>
      <c r="C222" s="9" t="n">
        <f aca="false">SUMIFS('Source 2025'!$F:$F,'Source 2025'!$B:$B,$A222,'Source 2025'!$A:$A,"Quantity (units)")+SUMIFS('Source 2025'!$H:$H,'Source 2025'!$B:$B,$A222,'Source 2025'!$A:$A,"Quantity (units)")+SUMIFS('Source 2025'!$M:$M,'Source 2025'!$B:$B,$A222,'Source 2025'!$A:$A,"Quantity (units)")+SUMIFS('Source 2025'!$N:$N,'Source 2025'!$B:$B,$A222,'Source 2025'!$A:$A,"Quantity (units)")+SUMIFS('Source 2025'!$S:$S,'Source 2025'!$B:$B,$A222,'Source 2025'!$A:$A,"Quantity (units)")+SUMIFS('Source 2025'!$U:$U,'Source 2025'!$B:$B,$A222,'Source 2025'!$A:$A,"Quantity (units)")+SUMIFS('Source 2025'!$D:$D,'Source 2025'!$B:$B,$A222,'Source 2025'!$A:$A,"Quantity (units)")+SUMIFS('Source 2025'!$E:$E,'Source 2025'!$B:$B,$A222,'Source 2025'!$A:$A,"Quantity (units)")+SUMIFS('Source 2025'!$G:$G,'Source 2025'!$B:$B,$A222,'Source 2025'!$A:$A,"Quantity (units)")</f>
        <v>0</v>
      </c>
      <c r="D222" s="9" t="n">
        <f aca="false">SUMIFS('Source 2026'!$F:$F,'Source 2026'!$B:$B,$A222,'Source 2026'!$A:$A,"Quantity (units)")+SUMIFS('Source 2026'!$H:$H,'Source 2026'!$B:$B,$A222,'Source 2026'!$A:$A,"Quantity (units)")+SUMIFS('Source 2026'!$M:$M,'Source 2026'!$B:$B,$A222,'Source 2026'!$A:$A,"Quantity (units)")+SUMIFS('Source 2026'!$N:$N,'Source 2026'!$B:$B,$A222,'Source 2026'!$A:$A,"Quantity (units)")+SUMIFS('Source 2026'!$S:$S,'Source 2026'!$B:$B,$A222,'Source 2026'!$A:$A,"Quantity (units)")+SUMIFS('Source 2026'!$U:$U,'Source 2026'!$B:$B,$A222,'Source 2026'!$A:$A,"Quantity (units)")+SUMIFS('Source 2026'!$D:$D,'Source 2026'!$B:$B,$A222,'Source 2026'!$A:$A,"Quantity (units)")+SUMIFS('Source 2026'!$E:$E,'Source 2026'!$B:$B,$A222,'Source 2026'!$A:$A,"Quantity (units)")+SUMIFS('Source 2026'!$G:$G,'Source 2026'!$B:$B,$A222,'Source 2026'!$A:$A,"Quantity (units)")</f>
        <v>3</v>
      </c>
      <c r="E222" s="9" t="n">
        <f aca="false">D222*$J$5</f>
        <v>3.78947368421053</v>
      </c>
      <c r="F222" s="9" t="n">
        <f aca="false">E222-C222</f>
        <v>3.78947368421053</v>
      </c>
      <c r="G222" s="11" t="str">
        <f aca="false">IF(AND(C222=0,E222=0),0,IF(C222=0,"New",(E222-C222)/C222))</f>
        <v>New</v>
      </c>
      <c r="H222" s="9" t="n">
        <f aca="false">SUMIFS('Source 2025'!$F:$F,'Source 2025'!$B:$B,$A222,'Source 2025'!$A:$A,"Amount (NIS)")+SUMIFS('Source 2025'!$H:$H,'Source 2025'!$B:$B,$A222,'Source 2025'!$A:$A,"Amount (NIS)")+SUMIFS('Source 2025'!$M:$M,'Source 2025'!$B:$B,$A222,'Source 2025'!$A:$A,"Amount (NIS)")+SUMIFS('Source 2025'!$N:$N,'Source 2025'!$B:$B,$A222,'Source 2025'!$A:$A,"Amount (NIS)")+SUMIFS('Source 2025'!$S:$S,'Source 2025'!$B:$B,$A222,'Source 2025'!$A:$A,"Amount (NIS)")+SUMIFS('Source 2025'!$U:$U,'Source 2025'!$B:$B,$A222,'Source 2025'!$A:$A,"Amount (NIS)")+SUMIFS('Source 2025'!$D:$D,'Source 2025'!$B:$B,$A222,'Source 2025'!$A:$A,"Amount (NIS)")+SUMIFS('Source 2025'!$E:$E,'Source 2025'!$B:$B,$A222,'Source 2025'!$A:$A,"Amount (NIS)")+SUMIFS('Source 2025'!$G:$G,'Source 2025'!$B:$B,$A222,'Source 2025'!$A:$A,"Amount (NIS)")</f>
        <v>-13</v>
      </c>
      <c r="I222" s="9" t="n">
        <f aca="false">SUMIFS('Source 2026'!$F:$F,'Source 2026'!$B:$B,$A222,'Source 2026'!$A:$A,"Amount (NIS)")+SUMIFS('Source 2026'!$H:$H,'Source 2026'!$B:$B,$A222,'Source 2026'!$A:$A,"Amount (NIS)")+SUMIFS('Source 2026'!$M:$M,'Source 2026'!$B:$B,$A222,'Source 2026'!$A:$A,"Amount (NIS)")+SUMIFS('Source 2026'!$N:$N,'Source 2026'!$B:$B,$A222,'Source 2026'!$A:$A,"Amount (NIS)")+SUMIFS('Source 2026'!$S:$S,'Source 2026'!$B:$B,$A222,'Source 2026'!$A:$A,"Amount (NIS)")+SUMIFS('Source 2026'!$U:$U,'Source 2026'!$B:$B,$A222,'Source 2026'!$A:$A,"Amount (NIS)")+SUMIFS('Source 2026'!$D:$D,'Source 2026'!$B:$B,$A222,'Source 2026'!$A:$A,"Amount (NIS)")+SUMIFS('Source 2026'!$E:$E,'Source 2026'!$B:$B,$A222,'Source 2026'!$A:$A,"Amount (NIS)")+SUMIFS('Source 2026'!$G:$G,'Source 2026'!$B:$B,$A222,'Source 2026'!$A:$A,"Amount (NIS)")</f>
        <v>209.7</v>
      </c>
      <c r="J222" s="9" t="n">
        <f aca="false">I222*$J$5</f>
        <v>264.884210526316</v>
      </c>
      <c r="K222" s="9" t="n">
        <f aca="false">J222-H222</f>
        <v>277.884210526316</v>
      </c>
      <c r="L222" s="11" t="n">
        <f aca="false">IF(AND(H222=0,J222=0),0,IF(H222=0,"New",(J222-H222)/H222))</f>
        <v>-21.3757085020243</v>
      </c>
    </row>
    <row r="223" customFormat="false" ht="15" hidden="false" customHeight="true" outlineLevel="0" collapsed="false">
      <c r="A223" s="8" t="s">
        <v>292</v>
      </c>
      <c r="B223" s="8" t="str">
        <f aca="false">IFERROR(INDEX('Source 2026'!$C:$C,MATCH($A223,'Source 2026'!$B:$B,0)),IFERROR(INDEX('Source 2025'!$C:$C,MATCH($A223,'Source 2025'!$B:$B,0)),""))</f>
        <v>L-XLסד יד ימין שחור</v>
      </c>
      <c r="C223" s="9" t="n">
        <f aca="false">SUMIFS('Source 2025'!$F:$F,'Source 2025'!$B:$B,$A223,'Source 2025'!$A:$A,"Quantity (units)")+SUMIFS('Source 2025'!$H:$H,'Source 2025'!$B:$B,$A223,'Source 2025'!$A:$A,"Quantity (units)")+SUMIFS('Source 2025'!$M:$M,'Source 2025'!$B:$B,$A223,'Source 2025'!$A:$A,"Quantity (units)")+SUMIFS('Source 2025'!$N:$N,'Source 2025'!$B:$B,$A223,'Source 2025'!$A:$A,"Quantity (units)")+SUMIFS('Source 2025'!$S:$S,'Source 2025'!$B:$B,$A223,'Source 2025'!$A:$A,"Quantity (units)")+SUMIFS('Source 2025'!$U:$U,'Source 2025'!$B:$B,$A223,'Source 2025'!$A:$A,"Quantity (units)")+SUMIFS('Source 2025'!$D:$D,'Source 2025'!$B:$B,$A223,'Source 2025'!$A:$A,"Quantity (units)")+SUMIFS('Source 2025'!$E:$E,'Source 2025'!$B:$B,$A223,'Source 2025'!$A:$A,"Quantity (units)")+SUMIFS('Source 2025'!$G:$G,'Source 2025'!$B:$B,$A223,'Source 2025'!$A:$A,"Quantity (units)")</f>
        <v>2</v>
      </c>
      <c r="D223" s="9" t="n">
        <f aca="false">SUMIFS('Source 2026'!$F:$F,'Source 2026'!$B:$B,$A223,'Source 2026'!$A:$A,"Quantity (units)")+SUMIFS('Source 2026'!$H:$H,'Source 2026'!$B:$B,$A223,'Source 2026'!$A:$A,"Quantity (units)")+SUMIFS('Source 2026'!$M:$M,'Source 2026'!$B:$B,$A223,'Source 2026'!$A:$A,"Quantity (units)")+SUMIFS('Source 2026'!$N:$N,'Source 2026'!$B:$B,$A223,'Source 2026'!$A:$A,"Quantity (units)")+SUMIFS('Source 2026'!$S:$S,'Source 2026'!$B:$B,$A223,'Source 2026'!$A:$A,"Quantity (units)")+SUMIFS('Source 2026'!$U:$U,'Source 2026'!$B:$B,$A223,'Source 2026'!$A:$A,"Quantity (units)")+SUMIFS('Source 2026'!$D:$D,'Source 2026'!$B:$B,$A223,'Source 2026'!$A:$A,"Quantity (units)")+SUMIFS('Source 2026'!$E:$E,'Source 2026'!$B:$B,$A223,'Source 2026'!$A:$A,"Quantity (units)")+SUMIFS('Source 2026'!$G:$G,'Source 2026'!$B:$B,$A223,'Source 2026'!$A:$A,"Quantity (units)")</f>
        <v>0</v>
      </c>
      <c r="E223" s="9" t="n">
        <f aca="false">D223*$J$5</f>
        <v>0</v>
      </c>
      <c r="F223" s="9" t="n">
        <f aca="false">E223-C223</f>
        <v>-2</v>
      </c>
      <c r="G223" s="11" t="n">
        <f aca="false">IF(AND(C223=0,E223=0),0,IF(C223=0,"New",(E223-C223)/C223))</f>
        <v>-1</v>
      </c>
      <c r="H223" s="9" t="n">
        <f aca="false">SUMIFS('Source 2025'!$F:$F,'Source 2025'!$B:$B,$A223,'Source 2025'!$A:$A,"Amount (NIS)")+SUMIFS('Source 2025'!$H:$H,'Source 2025'!$B:$B,$A223,'Source 2025'!$A:$A,"Amount (NIS)")+SUMIFS('Source 2025'!$M:$M,'Source 2025'!$B:$B,$A223,'Source 2025'!$A:$A,"Amount (NIS)")+SUMIFS('Source 2025'!$N:$N,'Source 2025'!$B:$B,$A223,'Source 2025'!$A:$A,"Amount (NIS)")+SUMIFS('Source 2025'!$S:$S,'Source 2025'!$B:$B,$A223,'Source 2025'!$A:$A,"Amount (NIS)")+SUMIFS('Source 2025'!$U:$U,'Source 2025'!$B:$B,$A223,'Source 2025'!$A:$A,"Amount (NIS)")+SUMIFS('Source 2025'!$D:$D,'Source 2025'!$B:$B,$A223,'Source 2025'!$A:$A,"Amount (NIS)")+SUMIFS('Source 2025'!$E:$E,'Source 2025'!$B:$B,$A223,'Source 2025'!$A:$A,"Amount (NIS)")+SUMIFS('Source 2025'!$G:$G,'Source 2025'!$B:$B,$A223,'Source 2025'!$A:$A,"Amount (NIS)")</f>
        <v>217.4</v>
      </c>
      <c r="I223" s="9" t="n">
        <f aca="false">SUMIFS('Source 2026'!$F:$F,'Source 2026'!$B:$B,$A223,'Source 2026'!$A:$A,"Amount (NIS)")+SUMIFS('Source 2026'!$H:$H,'Source 2026'!$B:$B,$A223,'Source 2026'!$A:$A,"Amount (NIS)")+SUMIFS('Source 2026'!$M:$M,'Source 2026'!$B:$B,$A223,'Source 2026'!$A:$A,"Amount (NIS)")+SUMIFS('Source 2026'!$N:$N,'Source 2026'!$B:$B,$A223,'Source 2026'!$A:$A,"Amount (NIS)")+SUMIFS('Source 2026'!$S:$S,'Source 2026'!$B:$B,$A223,'Source 2026'!$A:$A,"Amount (NIS)")+SUMIFS('Source 2026'!$U:$U,'Source 2026'!$B:$B,$A223,'Source 2026'!$A:$A,"Amount (NIS)")+SUMIFS('Source 2026'!$D:$D,'Source 2026'!$B:$B,$A223,'Source 2026'!$A:$A,"Amount (NIS)")+SUMIFS('Source 2026'!$E:$E,'Source 2026'!$B:$B,$A223,'Source 2026'!$A:$A,"Amount (NIS)")+SUMIFS('Source 2026'!$G:$G,'Source 2026'!$B:$B,$A223,'Source 2026'!$A:$A,"Amount (NIS)")</f>
        <v>0</v>
      </c>
      <c r="J223" s="9" t="n">
        <f aca="false">I223*$J$5</f>
        <v>0</v>
      </c>
      <c r="K223" s="9" t="n">
        <f aca="false">J223-H223</f>
        <v>-217.4</v>
      </c>
      <c r="L223" s="11" t="n">
        <f aca="false">IF(AND(H223=0,J223=0),0,IF(H223=0,"New",(J223-H223)/H223))</f>
        <v>-1</v>
      </c>
    </row>
    <row r="224" customFormat="false" ht="15" hidden="false" customHeight="true" outlineLevel="0" collapsed="false">
      <c r="A224" s="8" t="s">
        <v>293</v>
      </c>
      <c r="B224" s="8" t="str">
        <f aca="false">IFERROR(INDEX('Source 2026'!$C:$C,MATCH($A224,'Source 2026'!$B:$B,0)),IFERROR(INDEX('Source 2025'!$C:$C,MATCH($A224,'Source 2025'!$B:$B,0)),""))</f>
        <v>L-XL 'סד יד ימין בז</v>
      </c>
      <c r="C224" s="9" t="n">
        <f aca="false">SUMIFS('Source 2025'!$F:$F,'Source 2025'!$B:$B,$A224,'Source 2025'!$A:$A,"Quantity (units)")+SUMIFS('Source 2025'!$H:$H,'Source 2025'!$B:$B,$A224,'Source 2025'!$A:$A,"Quantity (units)")+SUMIFS('Source 2025'!$M:$M,'Source 2025'!$B:$B,$A224,'Source 2025'!$A:$A,"Quantity (units)")+SUMIFS('Source 2025'!$N:$N,'Source 2025'!$B:$B,$A224,'Source 2025'!$A:$A,"Quantity (units)")+SUMIFS('Source 2025'!$S:$S,'Source 2025'!$B:$B,$A224,'Source 2025'!$A:$A,"Quantity (units)")+SUMIFS('Source 2025'!$U:$U,'Source 2025'!$B:$B,$A224,'Source 2025'!$A:$A,"Quantity (units)")+SUMIFS('Source 2025'!$D:$D,'Source 2025'!$B:$B,$A224,'Source 2025'!$A:$A,"Quantity (units)")+SUMIFS('Source 2025'!$E:$E,'Source 2025'!$B:$B,$A224,'Source 2025'!$A:$A,"Quantity (units)")+SUMIFS('Source 2025'!$G:$G,'Source 2025'!$B:$B,$A224,'Source 2025'!$A:$A,"Quantity (units)")</f>
        <v>2</v>
      </c>
      <c r="D224" s="9" t="n">
        <f aca="false">SUMIFS('Source 2026'!$F:$F,'Source 2026'!$B:$B,$A224,'Source 2026'!$A:$A,"Quantity (units)")+SUMIFS('Source 2026'!$H:$H,'Source 2026'!$B:$B,$A224,'Source 2026'!$A:$A,"Quantity (units)")+SUMIFS('Source 2026'!$M:$M,'Source 2026'!$B:$B,$A224,'Source 2026'!$A:$A,"Quantity (units)")+SUMIFS('Source 2026'!$N:$N,'Source 2026'!$B:$B,$A224,'Source 2026'!$A:$A,"Quantity (units)")+SUMIFS('Source 2026'!$S:$S,'Source 2026'!$B:$B,$A224,'Source 2026'!$A:$A,"Quantity (units)")+SUMIFS('Source 2026'!$U:$U,'Source 2026'!$B:$B,$A224,'Source 2026'!$A:$A,"Quantity (units)")+SUMIFS('Source 2026'!$D:$D,'Source 2026'!$B:$B,$A224,'Source 2026'!$A:$A,"Quantity (units)")+SUMIFS('Source 2026'!$E:$E,'Source 2026'!$B:$B,$A224,'Source 2026'!$A:$A,"Quantity (units)")+SUMIFS('Source 2026'!$G:$G,'Source 2026'!$B:$B,$A224,'Source 2026'!$A:$A,"Quantity (units)")</f>
        <v>0</v>
      </c>
      <c r="E224" s="9" t="n">
        <f aca="false">D224*$J$5</f>
        <v>0</v>
      </c>
      <c r="F224" s="9" t="n">
        <f aca="false">E224-C224</f>
        <v>-2</v>
      </c>
      <c r="G224" s="11" t="n">
        <f aca="false">IF(AND(C224=0,E224=0),0,IF(C224=0,"New",(E224-C224)/C224))</f>
        <v>-1</v>
      </c>
      <c r="H224" s="9" t="n">
        <f aca="false">SUMIFS('Source 2025'!$F:$F,'Source 2025'!$B:$B,$A224,'Source 2025'!$A:$A,"Amount (NIS)")+SUMIFS('Source 2025'!$H:$H,'Source 2025'!$B:$B,$A224,'Source 2025'!$A:$A,"Amount (NIS)")+SUMIFS('Source 2025'!$M:$M,'Source 2025'!$B:$B,$A224,'Source 2025'!$A:$A,"Amount (NIS)")+SUMIFS('Source 2025'!$N:$N,'Source 2025'!$B:$B,$A224,'Source 2025'!$A:$A,"Amount (NIS)")+SUMIFS('Source 2025'!$S:$S,'Source 2025'!$B:$B,$A224,'Source 2025'!$A:$A,"Amount (NIS)")+SUMIFS('Source 2025'!$U:$U,'Source 2025'!$B:$B,$A224,'Source 2025'!$A:$A,"Amount (NIS)")+SUMIFS('Source 2025'!$D:$D,'Source 2025'!$B:$B,$A224,'Source 2025'!$A:$A,"Amount (NIS)")+SUMIFS('Source 2025'!$E:$E,'Source 2025'!$B:$B,$A224,'Source 2025'!$A:$A,"Amount (NIS)")+SUMIFS('Source 2025'!$G:$G,'Source 2025'!$B:$B,$A224,'Source 2025'!$A:$A,"Amount (NIS)")</f>
        <v>217.4</v>
      </c>
      <c r="I224" s="9" t="n">
        <f aca="false">SUMIFS('Source 2026'!$F:$F,'Source 2026'!$B:$B,$A224,'Source 2026'!$A:$A,"Amount (NIS)")+SUMIFS('Source 2026'!$H:$H,'Source 2026'!$B:$B,$A224,'Source 2026'!$A:$A,"Amount (NIS)")+SUMIFS('Source 2026'!$M:$M,'Source 2026'!$B:$B,$A224,'Source 2026'!$A:$A,"Amount (NIS)")+SUMIFS('Source 2026'!$N:$N,'Source 2026'!$B:$B,$A224,'Source 2026'!$A:$A,"Amount (NIS)")+SUMIFS('Source 2026'!$S:$S,'Source 2026'!$B:$B,$A224,'Source 2026'!$A:$A,"Amount (NIS)")+SUMIFS('Source 2026'!$U:$U,'Source 2026'!$B:$B,$A224,'Source 2026'!$A:$A,"Amount (NIS)")+SUMIFS('Source 2026'!$D:$D,'Source 2026'!$B:$B,$A224,'Source 2026'!$A:$A,"Amount (NIS)")+SUMIFS('Source 2026'!$E:$E,'Source 2026'!$B:$B,$A224,'Source 2026'!$A:$A,"Amount (NIS)")+SUMIFS('Source 2026'!$G:$G,'Source 2026'!$B:$B,$A224,'Source 2026'!$A:$A,"Amount (NIS)")</f>
        <v>0</v>
      </c>
      <c r="J224" s="9" t="n">
        <f aca="false">I224*$J$5</f>
        <v>0</v>
      </c>
      <c r="K224" s="9" t="n">
        <f aca="false">J224-H224</f>
        <v>-217.4</v>
      </c>
      <c r="L224" s="11" t="n">
        <f aca="false">IF(AND(H224=0,J224=0),0,IF(H224=0,"New",(J224-H224)/H224))</f>
        <v>-1</v>
      </c>
    </row>
    <row r="225" customFormat="false" ht="15" hidden="false" customHeight="true" outlineLevel="0" collapsed="false">
      <c r="A225" s="8" t="s">
        <v>294</v>
      </c>
      <c r="B225" s="8" t="str">
        <f aca="false">IFERROR(INDEX('Source 2026'!$C:$C,MATCH($A225,'Source 2026'!$B:$B,0)),IFERROR(INDEX('Source 2025'!$C:$C,MATCH($A225,'Source 2025'!$B:$B,0)),""))</f>
        <v>L-XL 'סד יד שמאל בז</v>
      </c>
      <c r="C225" s="9" t="n">
        <f aca="false">SUMIFS('Source 2025'!$F:$F,'Source 2025'!$B:$B,$A225,'Source 2025'!$A:$A,"Quantity (units)")+SUMIFS('Source 2025'!$H:$H,'Source 2025'!$B:$B,$A225,'Source 2025'!$A:$A,"Quantity (units)")+SUMIFS('Source 2025'!$M:$M,'Source 2025'!$B:$B,$A225,'Source 2025'!$A:$A,"Quantity (units)")+SUMIFS('Source 2025'!$N:$N,'Source 2025'!$B:$B,$A225,'Source 2025'!$A:$A,"Quantity (units)")+SUMIFS('Source 2025'!$S:$S,'Source 2025'!$B:$B,$A225,'Source 2025'!$A:$A,"Quantity (units)")+SUMIFS('Source 2025'!$U:$U,'Source 2025'!$B:$B,$A225,'Source 2025'!$A:$A,"Quantity (units)")+SUMIFS('Source 2025'!$D:$D,'Source 2025'!$B:$B,$A225,'Source 2025'!$A:$A,"Quantity (units)")+SUMIFS('Source 2025'!$E:$E,'Source 2025'!$B:$B,$A225,'Source 2025'!$A:$A,"Quantity (units)")+SUMIFS('Source 2025'!$G:$G,'Source 2025'!$B:$B,$A225,'Source 2025'!$A:$A,"Quantity (units)")</f>
        <v>2</v>
      </c>
      <c r="D225" s="9" t="n">
        <f aca="false">SUMIFS('Source 2026'!$F:$F,'Source 2026'!$B:$B,$A225,'Source 2026'!$A:$A,"Quantity (units)")+SUMIFS('Source 2026'!$H:$H,'Source 2026'!$B:$B,$A225,'Source 2026'!$A:$A,"Quantity (units)")+SUMIFS('Source 2026'!$M:$M,'Source 2026'!$B:$B,$A225,'Source 2026'!$A:$A,"Quantity (units)")+SUMIFS('Source 2026'!$N:$N,'Source 2026'!$B:$B,$A225,'Source 2026'!$A:$A,"Quantity (units)")+SUMIFS('Source 2026'!$S:$S,'Source 2026'!$B:$B,$A225,'Source 2026'!$A:$A,"Quantity (units)")+SUMIFS('Source 2026'!$U:$U,'Source 2026'!$B:$B,$A225,'Source 2026'!$A:$A,"Quantity (units)")+SUMIFS('Source 2026'!$D:$D,'Source 2026'!$B:$B,$A225,'Source 2026'!$A:$A,"Quantity (units)")+SUMIFS('Source 2026'!$E:$E,'Source 2026'!$B:$B,$A225,'Source 2026'!$A:$A,"Quantity (units)")+SUMIFS('Source 2026'!$G:$G,'Source 2026'!$B:$B,$A225,'Source 2026'!$A:$A,"Quantity (units)")</f>
        <v>0</v>
      </c>
      <c r="E225" s="9" t="n">
        <f aca="false">D225*$J$5</f>
        <v>0</v>
      </c>
      <c r="F225" s="9" t="n">
        <f aca="false">E225-C225</f>
        <v>-2</v>
      </c>
      <c r="G225" s="11" t="n">
        <f aca="false">IF(AND(C225=0,E225=0),0,IF(C225=0,"New",(E225-C225)/C225))</f>
        <v>-1</v>
      </c>
      <c r="H225" s="9" t="n">
        <f aca="false">SUMIFS('Source 2025'!$F:$F,'Source 2025'!$B:$B,$A225,'Source 2025'!$A:$A,"Amount (NIS)")+SUMIFS('Source 2025'!$H:$H,'Source 2025'!$B:$B,$A225,'Source 2025'!$A:$A,"Amount (NIS)")+SUMIFS('Source 2025'!$M:$M,'Source 2025'!$B:$B,$A225,'Source 2025'!$A:$A,"Amount (NIS)")+SUMIFS('Source 2025'!$N:$N,'Source 2025'!$B:$B,$A225,'Source 2025'!$A:$A,"Amount (NIS)")+SUMIFS('Source 2025'!$S:$S,'Source 2025'!$B:$B,$A225,'Source 2025'!$A:$A,"Amount (NIS)")+SUMIFS('Source 2025'!$U:$U,'Source 2025'!$B:$B,$A225,'Source 2025'!$A:$A,"Amount (NIS)")+SUMIFS('Source 2025'!$D:$D,'Source 2025'!$B:$B,$A225,'Source 2025'!$A:$A,"Amount (NIS)")+SUMIFS('Source 2025'!$E:$E,'Source 2025'!$B:$B,$A225,'Source 2025'!$A:$A,"Amount (NIS)")+SUMIFS('Source 2025'!$G:$G,'Source 2025'!$B:$B,$A225,'Source 2025'!$A:$A,"Amount (NIS)")</f>
        <v>217.4</v>
      </c>
      <c r="I225" s="9" t="n">
        <f aca="false">SUMIFS('Source 2026'!$F:$F,'Source 2026'!$B:$B,$A225,'Source 2026'!$A:$A,"Amount (NIS)")+SUMIFS('Source 2026'!$H:$H,'Source 2026'!$B:$B,$A225,'Source 2026'!$A:$A,"Amount (NIS)")+SUMIFS('Source 2026'!$M:$M,'Source 2026'!$B:$B,$A225,'Source 2026'!$A:$A,"Amount (NIS)")+SUMIFS('Source 2026'!$N:$N,'Source 2026'!$B:$B,$A225,'Source 2026'!$A:$A,"Amount (NIS)")+SUMIFS('Source 2026'!$S:$S,'Source 2026'!$B:$B,$A225,'Source 2026'!$A:$A,"Amount (NIS)")+SUMIFS('Source 2026'!$U:$U,'Source 2026'!$B:$B,$A225,'Source 2026'!$A:$A,"Amount (NIS)")+SUMIFS('Source 2026'!$D:$D,'Source 2026'!$B:$B,$A225,'Source 2026'!$A:$A,"Amount (NIS)")+SUMIFS('Source 2026'!$E:$E,'Source 2026'!$B:$B,$A225,'Source 2026'!$A:$A,"Amount (NIS)")+SUMIFS('Source 2026'!$G:$G,'Source 2026'!$B:$B,$A225,'Source 2026'!$A:$A,"Amount (NIS)")</f>
        <v>0</v>
      </c>
      <c r="J225" s="9" t="n">
        <f aca="false">I225*$J$5</f>
        <v>0</v>
      </c>
      <c r="K225" s="9" t="n">
        <f aca="false">J225-H225</f>
        <v>-217.4</v>
      </c>
      <c r="L225" s="11" t="n">
        <f aca="false">IF(AND(H225=0,J225=0),0,IF(H225=0,"New",(J225-H225)/H225))</f>
        <v>-1</v>
      </c>
    </row>
    <row r="226" customFormat="false" ht="15" hidden="false" customHeight="true" outlineLevel="0" collapsed="false">
      <c r="A226" s="8" t="s">
        <v>295</v>
      </c>
      <c r="B226" s="8" t="str">
        <f aca="false">IFERROR(INDEX('Source 2026'!$C:$C,MATCH($A226,'Source 2026'!$B:$B,0)),IFERROR(INDEX('Source 2025'!$C:$C,MATCH($A226,'Source 2025'!$B:$B,0)),""))</f>
        <v>L-XLסד יד שמאל שחור</v>
      </c>
      <c r="C226" s="9" t="n">
        <f aca="false">SUMIFS('Source 2025'!$F:$F,'Source 2025'!$B:$B,$A226,'Source 2025'!$A:$A,"Quantity (units)")+SUMIFS('Source 2025'!$H:$H,'Source 2025'!$B:$B,$A226,'Source 2025'!$A:$A,"Quantity (units)")+SUMIFS('Source 2025'!$M:$M,'Source 2025'!$B:$B,$A226,'Source 2025'!$A:$A,"Quantity (units)")+SUMIFS('Source 2025'!$N:$N,'Source 2025'!$B:$B,$A226,'Source 2025'!$A:$A,"Quantity (units)")+SUMIFS('Source 2025'!$S:$S,'Source 2025'!$B:$B,$A226,'Source 2025'!$A:$A,"Quantity (units)")+SUMIFS('Source 2025'!$U:$U,'Source 2025'!$B:$B,$A226,'Source 2025'!$A:$A,"Quantity (units)")+SUMIFS('Source 2025'!$D:$D,'Source 2025'!$B:$B,$A226,'Source 2025'!$A:$A,"Quantity (units)")+SUMIFS('Source 2025'!$E:$E,'Source 2025'!$B:$B,$A226,'Source 2025'!$A:$A,"Quantity (units)")+SUMIFS('Source 2025'!$G:$G,'Source 2025'!$B:$B,$A226,'Source 2025'!$A:$A,"Quantity (units)")</f>
        <v>2</v>
      </c>
      <c r="D226" s="9" t="n">
        <f aca="false">SUMIFS('Source 2026'!$F:$F,'Source 2026'!$B:$B,$A226,'Source 2026'!$A:$A,"Quantity (units)")+SUMIFS('Source 2026'!$H:$H,'Source 2026'!$B:$B,$A226,'Source 2026'!$A:$A,"Quantity (units)")+SUMIFS('Source 2026'!$M:$M,'Source 2026'!$B:$B,$A226,'Source 2026'!$A:$A,"Quantity (units)")+SUMIFS('Source 2026'!$N:$N,'Source 2026'!$B:$B,$A226,'Source 2026'!$A:$A,"Quantity (units)")+SUMIFS('Source 2026'!$S:$S,'Source 2026'!$B:$B,$A226,'Source 2026'!$A:$A,"Quantity (units)")+SUMIFS('Source 2026'!$U:$U,'Source 2026'!$B:$B,$A226,'Source 2026'!$A:$A,"Quantity (units)")+SUMIFS('Source 2026'!$D:$D,'Source 2026'!$B:$B,$A226,'Source 2026'!$A:$A,"Quantity (units)")+SUMIFS('Source 2026'!$E:$E,'Source 2026'!$B:$B,$A226,'Source 2026'!$A:$A,"Quantity (units)")+SUMIFS('Source 2026'!$G:$G,'Source 2026'!$B:$B,$A226,'Source 2026'!$A:$A,"Quantity (units)")</f>
        <v>0</v>
      </c>
      <c r="E226" s="9" t="n">
        <f aca="false">D226*$J$5</f>
        <v>0</v>
      </c>
      <c r="F226" s="9" t="n">
        <f aca="false">E226-C226</f>
        <v>-2</v>
      </c>
      <c r="G226" s="11" t="n">
        <f aca="false">IF(AND(C226=0,E226=0),0,IF(C226=0,"New",(E226-C226)/C226))</f>
        <v>-1</v>
      </c>
      <c r="H226" s="9" t="n">
        <f aca="false">SUMIFS('Source 2025'!$F:$F,'Source 2025'!$B:$B,$A226,'Source 2025'!$A:$A,"Amount (NIS)")+SUMIFS('Source 2025'!$H:$H,'Source 2025'!$B:$B,$A226,'Source 2025'!$A:$A,"Amount (NIS)")+SUMIFS('Source 2025'!$M:$M,'Source 2025'!$B:$B,$A226,'Source 2025'!$A:$A,"Amount (NIS)")+SUMIFS('Source 2025'!$N:$N,'Source 2025'!$B:$B,$A226,'Source 2025'!$A:$A,"Amount (NIS)")+SUMIFS('Source 2025'!$S:$S,'Source 2025'!$B:$B,$A226,'Source 2025'!$A:$A,"Amount (NIS)")+SUMIFS('Source 2025'!$U:$U,'Source 2025'!$B:$B,$A226,'Source 2025'!$A:$A,"Amount (NIS)")+SUMIFS('Source 2025'!$D:$D,'Source 2025'!$B:$B,$A226,'Source 2025'!$A:$A,"Amount (NIS)")+SUMIFS('Source 2025'!$E:$E,'Source 2025'!$B:$B,$A226,'Source 2025'!$A:$A,"Amount (NIS)")+SUMIFS('Source 2025'!$G:$G,'Source 2025'!$B:$B,$A226,'Source 2025'!$A:$A,"Amount (NIS)")</f>
        <v>217.4</v>
      </c>
      <c r="I226" s="9" t="n">
        <f aca="false">SUMIFS('Source 2026'!$F:$F,'Source 2026'!$B:$B,$A226,'Source 2026'!$A:$A,"Amount (NIS)")+SUMIFS('Source 2026'!$H:$H,'Source 2026'!$B:$B,$A226,'Source 2026'!$A:$A,"Amount (NIS)")+SUMIFS('Source 2026'!$M:$M,'Source 2026'!$B:$B,$A226,'Source 2026'!$A:$A,"Amount (NIS)")+SUMIFS('Source 2026'!$N:$N,'Source 2026'!$B:$B,$A226,'Source 2026'!$A:$A,"Amount (NIS)")+SUMIFS('Source 2026'!$S:$S,'Source 2026'!$B:$B,$A226,'Source 2026'!$A:$A,"Amount (NIS)")+SUMIFS('Source 2026'!$U:$U,'Source 2026'!$B:$B,$A226,'Source 2026'!$A:$A,"Amount (NIS)")+SUMIFS('Source 2026'!$D:$D,'Source 2026'!$B:$B,$A226,'Source 2026'!$A:$A,"Amount (NIS)")+SUMIFS('Source 2026'!$E:$E,'Source 2026'!$B:$B,$A226,'Source 2026'!$A:$A,"Amount (NIS)")+SUMIFS('Source 2026'!$G:$G,'Source 2026'!$B:$B,$A226,'Source 2026'!$A:$A,"Amount (NIS)")</f>
        <v>0</v>
      </c>
      <c r="J226" s="9" t="n">
        <f aca="false">I226*$J$5</f>
        <v>0</v>
      </c>
      <c r="K226" s="9" t="n">
        <f aca="false">J226-H226</f>
        <v>-217.4</v>
      </c>
      <c r="L226" s="11" t="n">
        <f aca="false">IF(AND(H226=0,J226=0),0,IF(H226=0,"New",(J226-H226)/H226))</f>
        <v>-1</v>
      </c>
    </row>
    <row r="227" customFormat="false" ht="15" hidden="false" customHeight="true" outlineLevel="0" collapsed="false">
      <c r="A227" s="8" t="s">
        <v>296</v>
      </c>
      <c r="B227" s="8" t="str">
        <f aca="false">IFERROR(INDEX('Source 2026'!$C:$C,MATCH($A227,'Source 2026'!$B:$B,0)),IFERROR(INDEX('Source 2025'!$C:$C,MATCH($A227,'Source 2025'!$B:$B,0)),""))</f>
        <v>L-XLחגורת הריון בכאב.חזק</v>
      </c>
      <c r="C227" s="9" t="n">
        <f aca="false">SUMIFS('Source 2025'!$F:$F,'Source 2025'!$B:$B,$A227,'Source 2025'!$A:$A,"Quantity (units)")+SUMIFS('Source 2025'!$H:$H,'Source 2025'!$B:$B,$A227,'Source 2025'!$A:$A,"Quantity (units)")+SUMIFS('Source 2025'!$M:$M,'Source 2025'!$B:$B,$A227,'Source 2025'!$A:$A,"Quantity (units)")+SUMIFS('Source 2025'!$N:$N,'Source 2025'!$B:$B,$A227,'Source 2025'!$A:$A,"Quantity (units)")+SUMIFS('Source 2025'!$S:$S,'Source 2025'!$B:$B,$A227,'Source 2025'!$A:$A,"Quantity (units)")+SUMIFS('Source 2025'!$U:$U,'Source 2025'!$B:$B,$A227,'Source 2025'!$A:$A,"Quantity (units)")+SUMIFS('Source 2025'!$D:$D,'Source 2025'!$B:$B,$A227,'Source 2025'!$A:$A,"Quantity (units)")+SUMIFS('Source 2025'!$E:$E,'Source 2025'!$B:$B,$A227,'Source 2025'!$A:$A,"Quantity (units)")+SUMIFS('Source 2025'!$G:$G,'Source 2025'!$B:$B,$A227,'Source 2025'!$A:$A,"Quantity (units)")</f>
        <v>1</v>
      </c>
      <c r="D227" s="9" t="n">
        <f aca="false">SUMIFS('Source 2026'!$F:$F,'Source 2026'!$B:$B,$A227,'Source 2026'!$A:$A,"Quantity (units)")+SUMIFS('Source 2026'!$H:$H,'Source 2026'!$B:$B,$A227,'Source 2026'!$A:$A,"Quantity (units)")+SUMIFS('Source 2026'!$M:$M,'Source 2026'!$B:$B,$A227,'Source 2026'!$A:$A,"Quantity (units)")+SUMIFS('Source 2026'!$N:$N,'Source 2026'!$B:$B,$A227,'Source 2026'!$A:$A,"Quantity (units)")+SUMIFS('Source 2026'!$S:$S,'Source 2026'!$B:$B,$A227,'Source 2026'!$A:$A,"Quantity (units)")+SUMIFS('Source 2026'!$U:$U,'Source 2026'!$B:$B,$A227,'Source 2026'!$A:$A,"Quantity (units)")+SUMIFS('Source 2026'!$D:$D,'Source 2026'!$B:$B,$A227,'Source 2026'!$A:$A,"Quantity (units)")+SUMIFS('Source 2026'!$E:$E,'Source 2026'!$B:$B,$A227,'Source 2026'!$A:$A,"Quantity (units)")+SUMIFS('Source 2026'!$G:$G,'Source 2026'!$B:$B,$A227,'Source 2026'!$A:$A,"Quantity (units)")</f>
        <v>0</v>
      </c>
      <c r="E227" s="9" t="n">
        <f aca="false">D227*$J$5</f>
        <v>0</v>
      </c>
      <c r="F227" s="9" t="n">
        <f aca="false">E227-C227</f>
        <v>-1</v>
      </c>
      <c r="G227" s="11" t="n">
        <f aca="false">IF(AND(C227=0,E227=0),0,IF(C227=0,"New",(E227-C227)/C227))</f>
        <v>-1</v>
      </c>
      <c r="H227" s="9" t="n">
        <f aca="false">SUMIFS('Source 2025'!$F:$F,'Source 2025'!$B:$B,$A227,'Source 2025'!$A:$A,"Amount (NIS)")+SUMIFS('Source 2025'!$H:$H,'Source 2025'!$B:$B,$A227,'Source 2025'!$A:$A,"Amount (NIS)")+SUMIFS('Source 2025'!$M:$M,'Source 2025'!$B:$B,$A227,'Source 2025'!$A:$A,"Amount (NIS)")+SUMIFS('Source 2025'!$N:$N,'Source 2025'!$B:$B,$A227,'Source 2025'!$A:$A,"Amount (NIS)")+SUMIFS('Source 2025'!$S:$S,'Source 2025'!$B:$B,$A227,'Source 2025'!$A:$A,"Amount (NIS)")+SUMIFS('Source 2025'!$U:$U,'Source 2025'!$B:$B,$A227,'Source 2025'!$A:$A,"Amount (NIS)")+SUMIFS('Source 2025'!$D:$D,'Source 2025'!$B:$B,$A227,'Source 2025'!$A:$A,"Amount (NIS)")+SUMIFS('Source 2025'!$E:$E,'Source 2025'!$B:$B,$A227,'Source 2025'!$A:$A,"Amount (NIS)")+SUMIFS('Source 2025'!$G:$G,'Source 2025'!$B:$B,$A227,'Source 2025'!$A:$A,"Amount (NIS)")</f>
        <v>213</v>
      </c>
      <c r="I227" s="9" t="n">
        <f aca="false">SUMIFS('Source 2026'!$F:$F,'Source 2026'!$B:$B,$A227,'Source 2026'!$A:$A,"Amount (NIS)")+SUMIFS('Source 2026'!$H:$H,'Source 2026'!$B:$B,$A227,'Source 2026'!$A:$A,"Amount (NIS)")+SUMIFS('Source 2026'!$M:$M,'Source 2026'!$B:$B,$A227,'Source 2026'!$A:$A,"Amount (NIS)")+SUMIFS('Source 2026'!$N:$N,'Source 2026'!$B:$B,$A227,'Source 2026'!$A:$A,"Amount (NIS)")+SUMIFS('Source 2026'!$S:$S,'Source 2026'!$B:$B,$A227,'Source 2026'!$A:$A,"Amount (NIS)")+SUMIFS('Source 2026'!$U:$U,'Source 2026'!$B:$B,$A227,'Source 2026'!$A:$A,"Amount (NIS)")+SUMIFS('Source 2026'!$D:$D,'Source 2026'!$B:$B,$A227,'Source 2026'!$A:$A,"Amount (NIS)")+SUMIFS('Source 2026'!$E:$E,'Source 2026'!$B:$B,$A227,'Source 2026'!$A:$A,"Amount (NIS)")+SUMIFS('Source 2026'!$G:$G,'Source 2026'!$B:$B,$A227,'Source 2026'!$A:$A,"Amount (NIS)")</f>
        <v>0</v>
      </c>
      <c r="J227" s="9" t="n">
        <f aca="false">I227*$J$5</f>
        <v>0</v>
      </c>
      <c r="K227" s="9" t="n">
        <f aca="false">J227-H227</f>
        <v>-213</v>
      </c>
      <c r="L227" s="11" t="n">
        <f aca="false">IF(AND(H227=0,J227=0),0,IF(H227=0,"New",(J227-H227)/H227))</f>
        <v>-1</v>
      </c>
    </row>
    <row r="228" customFormat="false" ht="15" hidden="false" customHeight="true" outlineLevel="0" collapsed="false">
      <c r="A228" s="8" t="s">
        <v>297</v>
      </c>
      <c r="B228" s="8" t="str">
        <f aca="false">IFERROR(INDEX('Source 2026'!$C:$C,MATCH($A228,'Source 2026'!$B:$B,0)),IFERROR(INDEX('Source 2025'!$C:$C,MATCH($A228,'Source 2025'!$B:$B,0)),""))</f>
        <v>M'חגורת גב+סגירה כפו בז</v>
      </c>
      <c r="C228" s="9" t="n">
        <f aca="false">SUMIFS('Source 2025'!$F:$F,'Source 2025'!$B:$B,$A228,'Source 2025'!$A:$A,"Quantity (units)")+SUMIFS('Source 2025'!$H:$H,'Source 2025'!$B:$B,$A228,'Source 2025'!$A:$A,"Quantity (units)")+SUMIFS('Source 2025'!$M:$M,'Source 2025'!$B:$B,$A228,'Source 2025'!$A:$A,"Quantity (units)")+SUMIFS('Source 2025'!$N:$N,'Source 2025'!$B:$B,$A228,'Source 2025'!$A:$A,"Quantity (units)")+SUMIFS('Source 2025'!$S:$S,'Source 2025'!$B:$B,$A228,'Source 2025'!$A:$A,"Quantity (units)")+SUMIFS('Source 2025'!$U:$U,'Source 2025'!$B:$B,$A228,'Source 2025'!$A:$A,"Quantity (units)")+SUMIFS('Source 2025'!$D:$D,'Source 2025'!$B:$B,$A228,'Source 2025'!$A:$A,"Quantity (units)")+SUMIFS('Source 2025'!$E:$E,'Source 2025'!$B:$B,$A228,'Source 2025'!$A:$A,"Quantity (units)")+SUMIFS('Source 2025'!$G:$G,'Source 2025'!$B:$B,$A228,'Source 2025'!$A:$A,"Quantity (units)")</f>
        <v>-1</v>
      </c>
      <c r="D228" s="9" t="n">
        <f aca="false">SUMIFS('Source 2026'!$F:$F,'Source 2026'!$B:$B,$A228,'Source 2026'!$A:$A,"Quantity (units)")+SUMIFS('Source 2026'!$H:$H,'Source 2026'!$B:$B,$A228,'Source 2026'!$A:$A,"Quantity (units)")+SUMIFS('Source 2026'!$M:$M,'Source 2026'!$B:$B,$A228,'Source 2026'!$A:$A,"Quantity (units)")+SUMIFS('Source 2026'!$N:$N,'Source 2026'!$B:$B,$A228,'Source 2026'!$A:$A,"Quantity (units)")+SUMIFS('Source 2026'!$S:$S,'Source 2026'!$B:$B,$A228,'Source 2026'!$A:$A,"Quantity (units)")+SUMIFS('Source 2026'!$U:$U,'Source 2026'!$B:$B,$A228,'Source 2026'!$A:$A,"Quantity (units)")+SUMIFS('Source 2026'!$D:$D,'Source 2026'!$B:$B,$A228,'Source 2026'!$A:$A,"Quantity (units)")+SUMIFS('Source 2026'!$E:$E,'Source 2026'!$B:$B,$A228,'Source 2026'!$A:$A,"Quantity (units)")+SUMIFS('Source 2026'!$G:$G,'Source 2026'!$B:$B,$A228,'Source 2026'!$A:$A,"Quantity (units)")</f>
        <v>1</v>
      </c>
      <c r="E228" s="9" t="n">
        <f aca="false">D228*$J$5</f>
        <v>1.26315789473684</v>
      </c>
      <c r="F228" s="9" t="n">
        <f aca="false">E228-C228</f>
        <v>2.26315789473684</v>
      </c>
      <c r="G228" s="11" t="n">
        <f aca="false">IF(AND(C228=0,E228=0),0,IF(C228=0,"New",(E228-C228)/C228))</f>
        <v>-2.26315789473684</v>
      </c>
      <c r="H228" s="9" t="n">
        <f aca="false">SUMIFS('Source 2025'!$F:$F,'Source 2025'!$B:$B,$A228,'Source 2025'!$A:$A,"Amount (NIS)")+SUMIFS('Source 2025'!$H:$H,'Source 2025'!$B:$B,$A228,'Source 2025'!$A:$A,"Amount (NIS)")+SUMIFS('Source 2025'!$M:$M,'Source 2025'!$B:$B,$A228,'Source 2025'!$A:$A,"Amount (NIS)")+SUMIFS('Source 2025'!$N:$N,'Source 2025'!$B:$B,$A228,'Source 2025'!$A:$A,"Amount (NIS)")+SUMIFS('Source 2025'!$S:$S,'Source 2025'!$B:$B,$A228,'Source 2025'!$A:$A,"Amount (NIS)")+SUMIFS('Source 2025'!$U:$U,'Source 2025'!$B:$B,$A228,'Source 2025'!$A:$A,"Amount (NIS)")+SUMIFS('Source 2025'!$D:$D,'Source 2025'!$B:$B,$A228,'Source 2025'!$A:$A,"Amount (NIS)")+SUMIFS('Source 2025'!$E:$E,'Source 2025'!$B:$B,$A228,'Source 2025'!$A:$A,"Amount (NIS)")+SUMIFS('Source 2025'!$G:$G,'Source 2025'!$B:$B,$A228,'Source 2025'!$A:$A,"Amount (NIS)")</f>
        <v>-133.3</v>
      </c>
      <c r="I228" s="9" t="n">
        <f aca="false">SUMIFS('Source 2026'!$F:$F,'Source 2026'!$B:$B,$A228,'Source 2026'!$A:$A,"Amount (NIS)")+SUMIFS('Source 2026'!$H:$H,'Source 2026'!$B:$B,$A228,'Source 2026'!$A:$A,"Amount (NIS)")+SUMIFS('Source 2026'!$M:$M,'Source 2026'!$B:$B,$A228,'Source 2026'!$A:$A,"Amount (NIS)")+SUMIFS('Source 2026'!$N:$N,'Source 2026'!$B:$B,$A228,'Source 2026'!$A:$A,"Amount (NIS)")+SUMIFS('Source 2026'!$S:$S,'Source 2026'!$B:$B,$A228,'Source 2026'!$A:$A,"Amount (NIS)")+SUMIFS('Source 2026'!$U:$U,'Source 2026'!$B:$B,$A228,'Source 2026'!$A:$A,"Amount (NIS)")+SUMIFS('Source 2026'!$D:$D,'Source 2026'!$B:$B,$A228,'Source 2026'!$A:$A,"Amount (NIS)")+SUMIFS('Source 2026'!$E:$E,'Source 2026'!$B:$B,$A228,'Source 2026'!$A:$A,"Amount (NIS)")+SUMIFS('Source 2026'!$G:$G,'Source 2026'!$B:$B,$A228,'Source 2026'!$A:$A,"Amount (NIS)")</f>
        <v>73.9</v>
      </c>
      <c r="J228" s="9" t="n">
        <f aca="false">I228*$J$5</f>
        <v>93.3473684210526</v>
      </c>
      <c r="K228" s="9" t="n">
        <f aca="false">J228-H228</f>
        <v>226.647368421053</v>
      </c>
      <c r="L228" s="11" t="n">
        <f aca="false">IF(AND(H228=0,J228=0),0,IF(H228=0,"New",(J228-H228)/H228))</f>
        <v>-1.70028033324121</v>
      </c>
    </row>
    <row r="229" customFormat="false" ht="15" hidden="false" customHeight="true" outlineLevel="0" collapsed="false">
      <c r="A229" s="8" t="s">
        <v>298</v>
      </c>
      <c r="B229" s="8" t="str">
        <f aca="false">IFERROR(INDEX('Source 2026'!$C:$C,MATCH($A229,'Source 2026'!$B:$B,0)),IFERROR(INDEX('Source 2025'!$C:$C,MATCH($A229,'Source 2025'!$B:$B,0)),""))</f>
        <v>36-40 'רפידת ג'ל בז</v>
      </c>
      <c r="C229" s="9" t="n">
        <f aca="false">SUMIFS('Source 2025'!$F:$F,'Source 2025'!$B:$B,$A229,'Source 2025'!$A:$A,"Quantity (units)")+SUMIFS('Source 2025'!$H:$H,'Source 2025'!$B:$B,$A229,'Source 2025'!$A:$A,"Quantity (units)")+SUMIFS('Source 2025'!$M:$M,'Source 2025'!$B:$B,$A229,'Source 2025'!$A:$A,"Quantity (units)")+SUMIFS('Source 2025'!$N:$N,'Source 2025'!$B:$B,$A229,'Source 2025'!$A:$A,"Quantity (units)")+SUMIFS('Source 2025'!$S:$S,'Source 2025'!$B:$B,$A229,'Source 2025'!$A:$A,"Quantity (units)")+SUMIFS('Source 2025'!$U:$U,'Source 2025'!$B:$B,$A229,'Source 2025'!$A:$A,"Quantity (units)")+SUMIFS('Source 2025'!$D:$D,'Source 2025'!$B:$B,$A229,'Source 2025'!$A:$A,"Quantity (units)")+SUMIFS('Source 2025'!$E:$E,'Source 2025'!$B:$B,$A229,'Source 2025'!$A:$A,"Quantity (units)")+SUMIFS('Source 2025'!$G:$G,'Source 2025'!$B:$B,$A229,'Source 2025'!$A:$A,"Quantity (units)")</f>
        <v>8</v>
      </c>
      <c r="D229" s="9" t="n">
        <f aca="false">SUMIFS('Source 2026'!$F:$F,'Source 2026'!$B:$B,$A229,'Source 2026'!$A:$A,"Quantity (units)")+SUMIFS('Source 2026'!$H:$H,'Source 2026'!$B:$B,$A229,'Source 2026'!$A:$A,"Quantity (units)")+SUMIFS('Source 2026'!$M:$M,'Source 2026'!$B:$B,$A229,'Source 2026'!$A:$A,"Quantity (units)")+SUMIFS('Source 2026'!$N:$N,'Source 2026'!$B:$B,$A229,'Source 2026'!$A:$A,"Quantity (units)")+SUMIFS('Source 2026'!$S:$S,'Source 2026'!$B:$B,$A229,'Source 2026'!$A:$A,"Quantity (units)")+SUMIFS('Source 2026'!$U:$U,'Source 2026'!$B:$B,$A229,'Source 2026'!$A:$A,"Quantity (units)")+SUMIFS('Source 2026'!$D:$D,'Source 2026'!$B:$B,$A229,'Source 2026'!$A:$A,"Quantity (units)")+SUMIFS('Source 2026'!$E:$E,'Source 2026'!$B:$B,$A229,'Source 2026'!$A:$A,"Quantity (units)")+SUMIFS('Source 2026'!$G:$G,'Source 2026'!$B:$B,$A229,'Source 2026'!$A:$A,"Quantity (units)")</f>
        <v>3</v>
      </c>
      <c r="E229" s="9" t="n">
        <f aca="false">D229*$J$5</f>
        <v>3.78947368421053</v>
      </c>
      <c r="F229" s="9" t="n">
        <f aca="false">E229-C229</f>
        <v>-4.21052631578947</v>
      </c>
      <c r="G229" s="11" t="n">
        <f aca="false">IF(AND(C229=0,E229=0),0,IF(C229=0,"New",(E229-C229)/C229))</f>
        <v>-0.526315789473684</v>
      </c>
      <c r="H229" s="9" t="n">
        <f aca="false">SUMIFS('Source 2025'!$F:$F,'Source 2025'!$B:$B,$A229,'Source 2025'!$A:$A,"Amount (NIS)")+SUMIFS('Source 2025'!$H:$H,'Source 2025'!$B:$B,$A229,'Source 2025'!$A:$A,"Amount (NIS)")+SUMIFS('Source 2025'!$M:$M,'Source 2025'!$B:$B,$A229,'Source 2025'!$A:$A,"Amount (NIS)")+SUMIFS('Source 2025'!$N:$N,'Source 2025'!$B:$B,$A229,'Source 2025'!$A:$A,"Amount (NIS)")+SUMIFS('Source 2025'!$S:$S,'Source 2025'!$B:$B,$A229,'Source 2025'!$A:$A,"Amount (NIS)")+SUMIFS('Source 2025'!$U:$U,'Source 2025'!$B:$B,$A229,'Source 2025'!$A:$A,"Amount (NIS)")+SUMIFS('Source 2025'!$D:$D,'Source 2025'!$B:$B,$A229,'Source 2025'!$A:$A,"Amount (NIS)")+SUMIFS('Source 2025'!$E:$E,'Source 2025'!$B:$B,$A229,'Source 2025'!$A:$A,"Amount (NIS)")+SUMIFS('Source 2025'!$G:$G,'Source 2025'!$B:$B,$A229,'Source 2025'!$A:$A,"Amount (NIS)")</f>
        <v>401</v>
      </c>
      <c r="I229" s="9" t="n">
        <f aca="false">SUMIFS('Source 2026'!$F:$F,'Source 2026'!$B:$B,$A229,'Source 2026'!$A:$A,"Amount (NIS)")+SUMIFS('Source 2026'!$H:$H,'Source 2026'!$B:$B,$A229,'Source 2026'!$A:$A,"Amount (NIS)")+SUMIFS('Source 2026'!$M:$M,'Source 2026'!$B:$B,$A229,'Source 2026'!$A:$A,"Amount (NIS)")+SUMIFS('Source 2026'!$N:$N,'Source 2026'!$B:$B,$A229,'Source 2026'!$A:$A,"Amount (NIS)")+SUMIFS('Source 2026'!$S:$S,'Source 2026'!$B:$B,$A229,'Source 2026'!$A:$A,"Amount (NIS)")+SUMIFS('Source 2026'!$U:$U,'Source 2026'!$B:$B,$A229,'Source 2026'!$A:$A,"Amount (NIS)")+SUMIFS('Source 2026'!$D:$D,'Source 2026'!$B:$B,$A229,'Source 2026'!$A:$A,"Amount (NIS)")+SUMIFS('Source 2026'!$E:$E,'Source 2026'!$B:$B,$A229,'Source 2026'!$A:$A,"Amount (NIS)")+SUMIFS('Source 2026'!$G:$G,'Source 2026'!$B:$B,$A229,'Source 2026'!$A:$A,"Amount (NIS)")</f>
        <v>194.6</v>
      </c>
      <c r="J229" s="9" t="n">
        <f aca="false">I229*$J$5</f>
        <v>245.810526315789</v>
      </c>
      <c r="K229" s="9" t="n">
        <f aca="false">J229-H229</f>
        <v>-155.189473684211</v>
      </c>
      <c r="L229" s="11" t="n">
        <f aca="false">IF(AND(H229=0,J229=0),0,IF(H229=0,"New",(J229-H229)/H229))</f>
        <v>-0.387006168788555</v>
      </c>
    </row>
    <row r="230" customFormat="false" ht="15" hidden="false" customHeight="true" outlineLevel="0" collapsed="false">
      <c r="A230" s="8" t="s">
        <v>299</v>
      </c>
      <c r="B230" s="8" t="str">
        <f aca="false">IFERROR(INDEX('Source 2026'!$C:$C,MATCH($A230,'Source 2026'!$B:$B,0)),IFERROR(INDEX('Source 2025'!$C:$C,MATCH($A230,'Source 2025'!$B:$B,0)),""))</f>
        <v>11 אפורUG חגורת בטן</v>
      </c>
      <c r="C230" s="9" t="n">
        <f aca="false">SUMIFS('Source 2025'!$F:$F,'Source 2025'!$B:$B,$A230,'Source 2025'!$A:$A,"Quantity (units)")+SUMIFS('Source 2025'!$H:$H,'Source 2025'!$B:$B,$A230,'Source 2025'!$A:$A,"Quantity (units)")+SUMIFS('Source 2025'!$M:$M,'Source 2025'!$B:$B,$A230,'Source 2025'!$A:$A,"Quantity (units)")+SUMIFS('Source 2025'!$N:$N,'Source 2025'!$B:$B,$A230,'Source 2025'!$A:$A,"Quantity (units)")+SUMIFS('Source 2025'!$S:$S,'Source 2025'!$B:$B,$A230,'Source 2025'!$A:$A,"Quantity (units)")+SUMIFS('Source 2025'!$U:$U,'Source 2025'!$B:$B,$A230,'Source 2025'!$A:$A,"Quantity (units)")+SUMIFS('Source 2025'!$D:$D,'Source 2025'!$B:$B,$A230,'Source 2025'!$A:$A,"Quantity (units)")+SUMIFS('Source 2025'!$E:$E,'Source 2025'!$B:$B,$A230,'Source 2025'!$A:$A,"Quantity (units)")+SUMIFS('Source 2025'!$G:$G,'Source 2025'!$B:$B,$A230,'Source 2025'!$A:$A,"Quantity (units)")</f>
        <v>2</v>
      </c>
      <c r="D230" s="9" t="n">
        <f aca="false">SUMIFS('Source 2026'!$F:$F,'Source 2026'!$B:$B,$A230,'Source 2026'!$A:$A,"Quantity (units)")+SUMIFS('Source 2026'!$H:$H,'Source 2026'!$B:$B,$A230,'Source 2026'!$A:$A,"Quantity (units)")+SUMIFS('Source 2026'!$M:$M,'Source 2026'!$B:$B,$A230,'Source 2026'!$A:$A,"Quantity (units)")+SUMIFS('Source 2026'!$N:$N,'Source 2026'!$B:$B,$A230,'Source 2026'!$A:$A,"Quantity (units)")+SUMIFS('Source 2026'!$S:$S,'Source 2026'!$B:$B,$A230,'Source 2026'!$A:$A,"Quantity (units)")+SUMIFS('Source 2026'!$U:$U,'Source 2026'!$B:$B,$A230,'Source 2026'!$A:$A,"Quantity (units)")+SUMIFS('Source 2026'!$D:$D,'Source 2026'!$B:$B,$A230,'Source 2026'!$A:$A,"Quantity (units)")+SUMIFS('Source 2026'!$E:$E,'Source 2026'!$B:$B,$A230,'Source 2026'!$A:$A,"Quantity (units)")+SUMIFS('Source 2026'!$G:$G,'Source 2026'!$B:$B,$A230,'Source 2026'!$A:$A,"Quantity (units)")</f>
        <v>0</v>
      </c>
      <c r="E230" s="9" t="n">
        <f aca="false">D230*$J$5</f>
        <v>0</v>
      </c>
      <c r="F230" s="9" t="n">
        <f aca="false">E230-C230</f>
        <v>-2</v>
      </c>
      <c r="G230" s="11" t="n">
        <f aca="false">IF(AND(C230=0,E230=0),0,IF(C230=0,"New",(E230-C230)/C230))</f>
        <v>-1</v>
      </c>
      <c r="H230" s="9" t="n">
        <f aca="false">SUMIFS('Source 2025'!$F:$F,'Source 2025'!$B:$B,$A230,'Source 2025'!$A:$A,"Amount (NIS)")+SUMIFS('Source 2025'!$H:$H,'Source 2025'!$B:$B,$A230,'Source 2025'!$A:$A,"Amount (NIS)")+SUMIFS('Source 2025'!$M:$M,'Source 2025'!$B:$B,$A230,'Source 2025'!$A:$A,"Amount (NIS)")+SUMIFS('Source 2025'!$N:$N,'Source 2025'!$B:$B,$A230,'Source 2025'!$A:$A,"Amount (NIS)")+SUMIFS('Source 2025'!$S:$S,'Source 2025'!$B:$B,$A230,'Source 2025'!$A:$A,"Amount (NIS)")+SUMIFS('Source 2025'!$U:$U,'Source 2025'!$B:$B,$A230,'Source 2025'!$A:$A,"Amount (NIS)")+SUMIFS('Source 2025'!$D:$D,'Source 2025'!$B:$B,$A230,'Source 2025'!$A:$A,"Amount (NIS)")+SUMIFS('Source 2025'!$E:$E,'Source 2025'!$B:$B,$A230,'Source 2025'!$A:$A,"Amount (NIS)")+SUMIFS('Source 2025'!$G:$G,'Source 2025'!$B:$B,$A230,'Source 2025'!$A:$A,"Amount (NIS)")</f>
        <v>206.1</v>
      </c>
      <c r="I230" s="9" t="n">
        <f aca="false">SUMIFS('Source 2026'!$F:$F,'Source 2026'!$B:$B,$A230,'Source 2026'!$A:$A,"Amount (NIS)")+SUMIFS('Source 2026'!$H:$H,'Source 2026'!$B:$B,$A230,'Source 2026'!$A:$A,"Amount (NIS)")+SUMIFS('Source 2026'!$M:$M,'Source 2026'!$B:$B,$A230,'Source 2026'!$A:$A,"Amount (NIS)")+SUMIFS('Source 2026'!$N:$N,'Source 2026'!$B:$B,$A230,'Source 2026'!$A:$A,"Amount (NIS)")+SUMIFS('Source 2026'!$S:$S,'Source 2026'!$B:$B,$A230,'Source 2026'!$A:$A,"Amount (NIS)")+SUMIFS('Source 2026'!$U:$U,'Source 2026'!$B:$B,$A230,'Source 2026'!$A:$A,"Amount (NIS)")+SUMIFS('Source 2026'!$D:$D,'Source 2026'!$B:$B,$A230,'Source 2026'!$A:$A,"Amount (NIS)")+SUMIFS('Source 2026'!$E:$E,'Source 2026'!$B:$B,$A230,'Source 2026'!$A:$A,"Amount (NIS)")+SUMIFS('Source 2026'!$G:$G,'Source 2026'!$B:$B,$A230,'Source 2026'!$A:$A,"Amount (NIS)")</f>
        <v>0</v>
      </c>
      <c r="J230" s="9" t="n">
        <f aca="false">I230*$J$5</f>
        <v>0</v>
      </c>
      <c r="K230" s="9" t="n">
        <f aca="false">J230-H230</f>
        <v>-206.1</v>
      </c>
      <c r="L230" s="11" t="n">
        <f aca="false">IF(AND(H230=0,J230=0),0,IF(H230=0,"New",(J230-H230)/H230))</f>
        <v>-1</v>
      </c>
    </row>
    <row r="231" customFormat="false" ht="15" hidden="false" customHeight="true" outlineLevel="0" collapsed="false">
      <c r="A231" s="8" t="s">
        <v>300</v>
      </c>
      <c r="B231" s="8" t="str">
        <f aca="false">IFERROR(INDEX('Source 2026'!$C:$C,MATCH($A231,'Source 2026'!$B:$B,0)),IFERROR(INDEX('Source 2025'!$C:$C,MATCH($A231,'Source 2025'!$B:$B,0)),""))</f>
        <v>ריפוד סיליקון לנעלי אצבע</v>
      </c>
      <c r="C231" s="9" t="n">
        <f aca="false">SUMIFS('Source 2025'!$F:$F,'Source 2025'!$B:$B,$A231,'Source 2025'!$A:$A,"Quantity (units)")+SUMIFS('Source 2025'!$H:$H,'Source 2025'!$B:$B,$A231,'Source 2025'!$A:$A,"Quantity (units)")+SUMIFS('Source 2025'!$M:$M,'Source 2025'!$B:$B,$A231,'Source 2025'!$A:$A,"Quantity (units)")+SUMIFS('Source 2025'!$N:$N,'Source 2025'!$B:$B,$A231,'Source 2025'!$A:$A,"Quantity (units)")+SUMIFS('Source 2025'!$S:$S,'Source 2025'!$B:$B,$A231,'Source 2025'!$A:$A,"Quantity (units)")+SUMIFS('Source 2025'!$U:$U,'Source 2025'!$B:$B,$A231,'Source 2025'!$A:$A,"Quantity (units)")+SUMIFS('Source 2025'!$D:$D,'Source 2025'!$B:$B,$A231,'Source 2025'!$A:$A,"Quantity (units)")+SUMIFS('Source 2025'!$E:$E,'Source 2025'!$B:$B,$A231,'Source 2025'!$A:$A,"Quantity (units)")+SUMIFS('Source 2025'!$G:$G,'Source 2025'!$B:$B,$A231,'Source 2025'!$A:$A,"Quantity (units)")</f>
        <v>7</v>
      </c>
      <c r="D231" s="9" t="n">
        <f aca="false">SUMIFS('Source 2026'!$F:$F,'Source 2026'!$B:$B,$A231,'Source 2026'!$A:$A,"Quantity (units)")+SUMIFS('Source 2026'!$H:$H,'Source 2026'!$B:$B,$A231,'Source 2026'!$A:$A,"Quantity (units)")+SUMIFS('Source 2026'!$M:$M,'Source 2026'!$B:$B,$A231,'Source 2026'!$A:$A,"Quantity (units)")+SUMIFS('Source 2026'!$N:$N,'Source 2026'!$B:$B,$A231,'Source 2026'!$A:$A,"Quantity (units)")+SUMIFS('Source 2026'!$S:$S,'Source 2026'!$B:$B,$A231,'Source 2026'!$A:$A,"Quantity (units)")+SUMIFS('Source 2026'!$U:$U,'Source 2026'!$B:$B,$A231,'Source 2026'!$A:$A,"Quantity (units)")+SUMIFS('Source 2026'!$D:$D,'Source 2026'!$B:$B,$A231,'Source 2026'!$A:$A,"Quantity (units)")+SUMIFS('Source 2026'!$E:$E,'Source 2026'!$B:$B,$A231,'Source 2026'!$A:$A,"Quantity (units)")+SUMIFS('Source 2026'!$G:$G,'Source 2026'!$B:$B,$A231,'Source 2026'!$A:$A,"Quantity (units)")</f>
        <v>-1</v>
      </c>
      <c r="E231" s="9" t="n">
        <f aca="false">D231*$J$5</f>
        <v>-1.26315789473684</v>
      </c>
      <c r="F231" s="9" t="n">
        <f aca="false">E231-C231</f>
        <v>-8.26315789473684</v>
      </c>
      <c r="G231" s="11" t="n">
        <f aca="false">IF(AND(C231=0,E231=0),0,IF(C231=0,"New",(E231-C231)/C231))</f>
        <v>-1.18045112781955</v>
      </c>
      <c r="H231" s="9" t="n">
        <f aca="false">SUMIFS('Source 2025'!$F:$F,'Source 2025'!$B:$B,$A231,'Source 2025'!$A:$A,"Amount (NIS)")+SUMIFS('Source 2025'!$H:$H,'Source 2025'!$B:$B,$A231,'Source 2025'!$A:$A,"Amount (NIS)")+SUMIFS('Source 2025'!$M:$M,'Source 2025'!$B:$B,$A231,'Source 2025'!$A:$A,"Amount (NIS)")+SUMIFS('Source 2025'!$N:$N,'Source 2025'!$B:$B,$A231,'Source 2025'!$A:$A,"Amount (NIS)")+SUMIFS('Source 2025'!$S:$S,'Source 2025'!$B:$B,$A231,'Source 2025'!$A:$A,"Amount (NIS)")+SUMIFS('Source 2025'!$U:$U,'Source 2025'!$B:$B,$A231,'Source 2025'!$A:$A,"Amount (NIS)")+SUMIFS('Source 2025'!$D:$D,'Source 2025'!$B:$B,$A231,'Source 2025'!$A:$A,"Amount (NIS)")+SUMIFS('Source 2025'!$E:$E,'Source 2025'!$B:$B,$A231,'Source 2025'!$A:$A,"Amount (NIS)")+SUMIFS('Source 2025'!$G:$G,'Source 2025'!$B:$B,$A231,'Source 2025'!$A:$A,"Amount (NIS)")</f>
        <v>180.9</v>
      </c>
      <c r="I231" s="9" t="n">
        <f aca="false">SUMIFS('Source 2026'!$F:$F,'Source 2026'!$B:$B,$A231,'Source 2026'!$A:$A,"Amount (NIS)")+SUMIFS('Source 2026'!$H:$H,'Source 2026'!$B:$B,$A231,'Source 2026'!$A:$A,"Amount (NIS)")+SUMIFS('Source 2026'!$M:$M,'Source 2026'!$B:$B,$A231,'Source 2026'!$A:$A,"Amount (NIS)")+SUMIFS('Source 2026'!$N:$N,'Source 2026'!$B:$B,$A231,'Source 2026'!$A:$A,"Amount (NIS)")+SUMIFS('Source 2026'!$S:$S,'Source 2026'!$B:$B,$A231,'Source 2026'!$A:$A,"Amount (NIS)")+SUMIFS('Source 2026'!$U:$U,'Source 2026'!$B:$B,$A231,'Source 2026'!$A:$A,"Amount (NIS)")+SUMIFS('Source 2026'!$D:$D,'Source 2026'!$B:$B,$A231,'Source 2026'!$A:$A,"Amount (NIS)")+SUMIFS('Source 2026'!$E:$E,'Source 2026'!$B:$B,$A231,'Source 2026'!$A:$A,"Amount (NIS)")+SUMIFS('Source 2026'!$G:$G,'Source 2026'!$B:$B,$A231,'Source 2026'!$A:$A,"Amount (NIS)")</f>
        <v>-21.9</v>
      </c>
      <c r="J231" s="9" t="n">
        <f aca="false">I231*$J$5</f>
        <v>-27.6631578947368</v>
      </c>
      <c r="K231" s="9" t="n">
        <f aca="false">J231-H231</f>
        <v>-208.563157894737</v>
      </c>
      <c r="L231" s="11" t="n">
        <f aca="false">IF(AND(H231=0,J231=0),0,IF(H231=0,"New",(J231-H231)/H231))</f>
        <v>-1.152919612464</v>
      </c>
    </row>
    <row r="232" customFormat="false" ht="15" hidden="false" customHeight="true" outlineLevel="0" collapsed="false">
      <c r="A232" s="8" t="s">
        <v>301</v>
      </c>
      <c r="B232" s="8" t="str">
        <f aca="false">IFERROR(INDEX('Source 2026'!$C:$C,MATCH($A232,'Source 2026'!$B:$B,0)),IFERROR(INDEX('Source 2025'!$C:$C,MATCH($A232,'Source 2025'!$B:$B,0)),""))</f>
        <v>סד לאגודל לאחר שבר</v>
      </c>
      <c r="C232" s="9" t="n">
        <f aca="false">SUMIFS('Source 2025'!$F:$F,'Source 2025'!$B:$B,$A232,'Source 2025'!$A:$A,"Quantity (units)")+SUMIFS('Source 2025'!$H:$H,'Source 2025'!$B:$B,$A232,'Source 2025'!$A:$A,"Quantity (units)")+SUMIFS('Source 2025'!$M:$M,'Source 2025'!$B:$B,$A232,'Source 2025'!$A:$A,"Quantity (units)")+SUMIFS('Source 2025'!$N:$N,'Source 2025'!$B:$B,$A232,'Source 2025'!$A:$A,"Quantity (units)")+SUMIFS('Source 2025'!$S:$S,'Source 2025'!$B:$B,$A232,'Source 2025'!$A:$A,"Quantity (units)")+SUMIFS('Source 2025'!$U:$U,'Source 2025'!$B:$B,$A232,'Source 2025'!$A:$A,"Quantity (units)")+SUMIFS('Source 2025'!$D:$D,'Source 2025'!$B:$B,$A232,'Source 2025'!$A:$A,"Quantity (units)")+SUMIFS('Source 2025'!$E:$E,'Source 2025'!$B:$B,$A232,'Source 2025'!$A:$A,"Quantity (units)")+SUMIFS('Source 2025'!$G:$G,'Source 2025'!$B:$B,$A232,'Source 2025'!$A:$A,"Quantity (units)")</f>
        <v>2</v>
      </c>
      <c r="D232" s="9" t="n">
        <f aca="false">SUMIFS('Source 2026'!$F:$F,'Source 2026'!$B:$B,$A232,'Source 2026'!$A:$A,"Quantity (units)")+SUMIFS('Source 2026'!$H:$H,'Source 2026'!$B:$B,$A232,'Source 2026'!$A:$A,"Quantity (units)")+SUMIFS('Source 2026'!$M:$M,'Source 2026'!$B:$B,$A232,'Source 2026'!$A:$A,"Quantity (units)")+SUMIFS('Source 2026'!$N:$N,'Source 2026'!$B:$B,$A232,'Source 2026'!$A:$A,"Quantity (units)")+SUMIFS('Source 2026'!$S:$S,'Source 2026'!$B:$B,$A232,'Source 2026'!$A:$A,"Quantity (units)")+SUMIFS('Source 2026'!$U:$U,'Source 2026'!$B:$B,$A232,'Source 2026'!$A:$A,"Quantity (units)")+SUMIFS('Source 2026'!$D:$D,'Source 2026'!$B:$B,$A232,'Source 2026'!$A:$A,"Quantity (units)")+SUMIFS('Source 2026'!$E:$E,'Source 2026'!$B:$B,$A232,'Source 2026'!$A:$A,"Quantity (units)")+SUMIFS('Source 2026'!$G:$G,'Source 2026'!$B:$B,$A232,'Source 2026'!$A:$A,"Quantity (units)")</f>
        <v>0</v>
      </c>
      <c r="E232" s="9" t="n">
        <f aca="false">D232*$J$5</f>
        <v>0</v>
      </c>
      <c r="F232" s="9" t="n">
        <f aca="false">E232-C232</f>
        <v>-2</v>
      </c>
      <c r="G232" s="11" t="n">
        <f aca="false">IF(AND(C232=0,E232=0),0,IF(C232=0,"New",(E232-C232)/C232))</f>
        <v>-1</v>
      </c>
      <c r="H232" s="9" t="n">
        <f aca="false">SUMIFS('Source 2025'!$F:$F,'Source 2025'!$B:$B,$A232,'Source 2025'!$A:$A,"Amount (NIS)")+SUMIFS('Source 2025'!$H:$H,'Source 2025'!$B:$B,$A232,'Source 2025'!$A:$A,"Amount (NIS)")+SUMIFS('Source 2025'!$M:$M,'Source 2025'!$B:$B,$A232,'Source 2025'!$A:$A,"Amount (NIS)")+SUMIFS('Source 2025'!$N:$N,'Source 2025'!$B:$B,$A232,'Source 2025'!$A:$A,"Amount (NIS)")+SUMIFS('Source 2025'!$S:$S,'Source 2025'!$B:$B,$A232,'Source 2025'!$A:$A,"Amount (NIS)")+SUMIFS('Source 2025'!$U:$U,'Source 2025'!$B:$B,$A232,'Source 2025'!$A:$A,"Amount (NIS)")+SUMIFS('Source 2025'!$D:$D,'Source 2025'!$B:$B,$A232,'Source 2025'!$A:$A,"Amount (NIS)")+SUMIFS('Source 2025'!$E:$E,'Source 2025'!$B:$B,$A232,'Source 2025'!$A:$A,"Amount (NIS)")+SUMIFS('Source 2025'!$G:$G,'Source 2025'!$B:$B,$A232,'Source 2025'!$A:$A,"Amount (NIS)")</f>
        <v>199.3</v>
      </c>
      <c r="I232" s="9" t="n">
        <f aca="false">SUMIFS('Source 2026'!$F:$F,'Source 2026'!$B:$B,$A232,'Source 2026'!$A:$A,"Amount (NIS)")+SUMIFS('Source 2026'!$H:$H,'Source 2026'!$B:$B,$A232,'Source 2026'!$A:$A,"Amount (NIS)")+SUMIFS('Source 2026'!$M:$M,'Source 2026'!$B:$B,$A232,'Source 2026'!$A:$A,"Amount (NIS)")+SUMIFS('Source 2026'!$N:$N,'Source 2026'!$B:$B,$A232,'Source 2026'!$A:$A,"Amount (NIS)")+SUMIFS('Source 2026'!$S:$S,'Source 2026'!$B:$B,$A232,'Source 2026'!$A:$A,"Amount (NIS)")+SUMIFS('Source 2026'!$U:$U,'Source 2026'!$B:$B,$A232,'Source 2026'!$A:$A,"Amount (NIS)")+SUMIFS('Source 2026'!$D:$D,'Source 2026'!$B:$B,$A232,'Source 2026'!$A:$A,"Amount (NIS)")+SUMIFS('Source 2026'!$E:$E,'Source 2026'!$B:$B,$A232,'Source 2026'!$A:$A,"Amount (NIS)")+SUMIFS('Source 2026'!$G:$G,'Source 2026'!$B:$B,$A232,'Source 2026'!$A:$A,"Amount (NIS)")</f>
        <v>0</v>
      </c>
      <c r="J232" s="9" t="n">
        <f aca="false">I232*$J$5</f>
        <v>0</v>
      </c>
      <c r="K232" s="9" t="n">
        <f aca="false">J232-H232</f>
        <v>-199.3</v>
      </c>
      <c r="L232" s="11" t="n">
        <f aca="false">IF(AND(H232=0,J232=0),0,IF(H232=0,"New",(J232-H232)/H232))</f>
        <v>-1</v>
      </c>
    </row>
    <row r="233" customFormat="false" ht="15" hidden="false" customHeight="true" outlineLevel="0" collapsed="false">
      <c r="A233" s="8" t="s">
        <v>302</v>
      </c>
      <c r="B233" s="8" t="str">
        <f aca="false">IFERROR(INDEX('Source 2026'!$C:$C,MATCH($A233,'Source 2026'!$B:$B,0)),IFERROR(INDEX('Source 2025'!$C:$C,MATCH($A233,'Source 2025'!$B:$B,0)),""))</f>
        <v>S חגורת שבר לצד שמאל</v>
      </c>
      <c r="C233" s="9" t="n">
        <f aca="false">SUMIFS('Source 2025'!$F:$F,'Source 2025'!$B:$B,$A233,'Source 2025'!$A:$A,"Quantity (units)")+SUMIFS('Source 2025'!$H:$H,'Source 2025'!$B:$B,$A233,'Source 2025'!$A:$A,"Quantity (units)")+SUMIFS('Source 2025'!$M:$M,'Source 2025'!$B:$B,$A233,'Source 2025'!$A:$A,"Quantity (units)")+SUMIFS('Source 2025'!$N:$N,'Source 2025'!$B:$B,$A233,'Source 2025'!$A:$A,"Quantity (units)")+SUMIFS('Source 2025'!$S:$S,'Source 2025'!$B:$B,$A233,'Source 2025'!$A:$A,"Quantity (units)")+SUMIFS('Source 2025'!$U:$U,'Source 2025'!$B:$B,$A233,'Source 2025'!$A:$A,"Quantity (units)")+SUMIFS('Source 2025'!$D:$D,'Source 2025'!$B:$B,$A233,'Source 2025'!$A:$A,"Quantity (units)")+SUMIFS('Source 2025'!$E:$E,'Source 2025'!$B:$B,$A233,'Source 2025'!$A:$A,"Quantity (units)")+SUMIFS('Source 2025'!$G:$G,'Source 2025'!$B:$B,$A233,'Source 2025'!$A:$A,"Quantity (units)")</f>
        <v>6</v>
      </c>
      <c r="D233" s="9" t="n">
        <f aca="false">SUMIFS('Source 2026'!$F:$F,'Source 2026'!$B:$B,$A233,'Source 2026'!$A:$A,"Quantity (units)")+SUMIFS('Source 2026'!$H:$H,'Source 2026'!$B:$B,$A233,'Source 2026'!$A:$A,"Quantity (units)")+SUMIFS('Source 2026'!$M:$M,'Source 2026'!$B:$B,$A233,'Source 2026'!$A:$A,"Quantity (units)")+SUMIFS('Source 2026'!$N:$N,'Source 2026'!$B:$B,$A233,'Source 2026'!$A:$A,"Quantity (units)")+SUMIFS('Source 2026'!$S:$S,'Source 2026'!$B:$B,$A233,'Source 2026'!$A:$A,"Quantity (units)")+SUMIFS('Source 2026'!$U:$U,'Source 2026'!$B:$B,$A233,'Source 2026'!$A:$A,"Quantity (units)")+SUMIFS('Source 2026'!$D:$D,'Source 2026'!$B:$B,$A233,'Source 2026'!$A:$A,"Quantity (units)")+SUMIFS('Source 2026'!$E:$E,'Source 2026'!$B:$B,$A233,'Source 2026'!$A:$A,"Quantity (units)")+SUMIFS('Source 2026'!$G:$G,'Source 2026'!$B:$B,$A233,'Source 2026'!$A:$A,"Quantity (units)")</f>
        <v>7</v>
      </c>
      <c r="E233" s="9" t="n">
        <f aca="false">D233*$J$5</f>
        <v>8.84210526315789</v>
      </c>
      <c r="F233" s="9" t="n">
        <f aca="false">E233-C233</f>
        <v>2.84210526315789</v>
      </c>
      <c r="G233" s="11" t="n">
        <f aca="false">IF(AND(C233=0,E233=0),0,IF(C233=0,"New",(E233-C233)/C233))</f>
        <v>0.473684210526316</v>
      </c>
      <c r="H233" s="9" t="n">
        <f aca="false">SUMIFS('Source 2025'!$F:$F,'Source 2025'!$B:$B,$A233,'Source 2025'!$A:$A,"Amount (NIS)")+SUMIFS('Source 2025'!$H:$H,'Source 2025'!$B:$B,$A233,'Source 2025'!$A:$A,"Amount (NIS)")+SUMIFS('Source 2025'!$M:$M,'Source 2025'!$B:$B,$A233,'Source 2025'!$A:$A,"Amount (NIS)")+SUMIFS('Source 2025'!$N:$N,'Source 2025'!$B:$B,$A233,'Source 2025'!$A:$A,"Amount (NIS)")+SUMIFS('Source 2025'!$S:$S,'Source 2025'!$B:$B,$A233,'Source 2025'!$A:$A,"Amount (NIS)")+SUMIFS('Source 2025'!$U:$U,'Source 2025'!$B:$B,$A233,'Source 2025'!$A:$A,"Amount (NIS)")+SUMIFS('Source 2025'!$D:$D,'Source 2025'!$B:$B,$A233,'Source 2025'!$A:$A,"Amount (NIS)")+SUMIFS('Source 2025'!$E:$E,'Source 2025'!$B:$B,$A233,'Source 2025'!$A:$A,"Amount (NIS)")+SUMIFS('Source 2025'!$G:$G,'Source 2025'!$B:$B,$A233,'Source 2025'!$A:$A,"Amount (NIS)")</f>
        <v>1090.3</v>
      </c>
      <c r="I233" s="9" t="n">
        <f aca="false">SUMIFS('Source 2026'!$F:$F,'Source 2026'!$B:$B,$A233,'Source 2026'!$A:$A,"Amount (NIS)")+SUMIFS('Source 2026'!$H:$H,'Source 2026'!$B:$B,$A233,'Source 2026'!$A:$A,"Amount (NIS)")+SUMIFS('Source 2026'!$M:$M,'Source 2026'!$B:$B,$A233,'Source 2026'!$A:$A,"Amount (NIS)")+SUMIFS('Source 2026'!$N:$N,'Source 2026'!$B:$B,$A233,'Source 2026'!$A:$A,"Amount (NIS)")+SUMIFS('Source 2026'!$S:$S,'Source 2026'!$B:$B,$A233,'Source 2026'!$A:$A,"Amount (NIS)")+SUMIFS('Source 2026'!$U:$U,'Source 2026'!$B:$B,$A233,'Source 2026'!$A:$A,"Amount (NIS)")+SUMIFS('Source 2026'!$D:$D,'Source 2026'!$B:$B,$A233,'Source 2026'!$A:$A,"Amount (NIS)")+SUMIFS('Source 2026'!$E:$E,'Source 2026'!$B:$B,$A233,'Source 2026'!$A:$A,"Amount (NIS)")+SUMIFS('Source 2026'!$G:$G,'Source 2026'!$B:$B,$A233,'Source 2026'!$A:$A,"Amount (NIS)")</f>
        <v>1287</v>
      </c>
      <c r="J233" s="9" t="n">
        <f aca="false">I233*$J$5</f>
        <v>1625.68421052632</v>
      </c>
      <c r="K233" s="9" t="n">
        <f aca="false">J233-H233</f>
        <v>535.384210526316</v>
      </c>
      <c r="L233" s="11" t="n">
        <f aca="false">IF(AND(H233=0,J233=0),0,IF(H233=0,"New",(J233-H233)/H233))</f>
        <v>0.49104302533827</v>
      </c>
    </row>
    <row r="234" customFormat="false" ht="15" hidden="false" customHeight="true" outlineLevel="0" collapsed="false">
      <c r="A234" s="8" t="s">
        <v>303</v>
      </c>
      <c r="B234" s="8" t="str">
        <f aca="false">IFERROR(INDEX('Source 2026'!$C:$C,MATCH($A234,'Source 2026'!$B:$B,0)),IFERROR(INDEX('Source 2025'!$C:$C,MATCH($A234,'Source 2025'!$B:$B,0)),""))</f>
        <v>11אפורUGחגורת בטן</v>
      </c>
      <c r="C234" s="9" t="n">
        <f aca="false">SUMIFS('Source 2025'!$F:$F,'Source 2025'!$B:$B,$A234,'Source 2025'!$A:$A,"Quantity (units)")+SUMIFS('Source 2025'!$H:$H,'Source 2025'!$B:$B,$A234,'Source 2025'!$A:$A,"Quantity (units)")+SUMIFS('Source 2025'!$M:$M,'Source 2025'!$B:$B,$A234,'Source 2025'!$A:$A,"Quantity (units)")+SUMIFS('Source 2025'!$N:$N,'Source 2025'!$B:$B,$A234,'Source 2025'!$A:$A,"Quantity (units)")+SUMIFS('Source 2025'!$S:$S,'Source 2025'!$B:$B,$A234,'Source 2025'!$A:$A,"Quantity (units)")+SUMIFS('Source 2025'!$U:$U,'Source 2025'!$B:$B,$A234,'Source 2025'!$A:$A,"Quantity (units)")+SUMIFS('Source 2025'!$D:$D,'Source 2025'!$B:$B,$A234,'Source 2025'!$A:$A,"Quantity (units)")+SUMIFS('Source 2025'!$E:$E,'Source 2025'!$B:$B,$A234,'Source 2025'!$A:$A,"Quantity (units)")+SUMIFS('Source 2025'!$G:$G,'Source 2025'!$B:$B,$A234,'Source 2025'!$A:$A,"Quantity (units)")</f>
        <v>1</v>
      </c>
      <c r="D234" s="9" t="n">
        <f aca="false">SUMIFS('Source 2026'!$F:$F,'Source 2026'!$B:$B,$A234,'Source 2026'!$A:$A,"Quantity (units)")+SUMIFS('Source 2026'!$H:$H,'Source 2026'!$B:$B,$A234,'Source 2026'!$A:$A,"Quantity (units)")+SUMIFS('Source 2026'!$M:$M,'Source 2026'!$B:$B,$A234,'Source 2026'!$A:$A,"Quantity (units)")+SUMIFS('Source 2026'!$N:$N,'Source 2026'!$B:$B,$A234,'Source 2026'!$A:$A,"Quantity (units)")+SUMIFS('Source 2026'!$S:$S,'Source 2026'!$B:$B,$A234,'Source 2026'!$A:$A,"Quantity (units)")+SUMIFS('Source 2026'!$U:$U,'Source 2026'!$B:$B,$A234,'Source 2026'!$A:$A,"Quantity (units)")+SUMIFS('Source 2026'!$D:$D,'Source 2026'!$B:$B,$A234,'Source 2026'!$A:$A,"Quantity (units)")+SUMIFS('Source 2026'!$E:$E,'Source 2026'!$B:$B,$A234,'Source 2026'!$A:$A,"Quantity (units)")+SUMIFS('Source 2026'!$G:$G,'Source 2026'!$B:$B,$A234,'Source 2026'!$A:$A,"Quantity (units)")</f>
        <v>-1</v>
      </c>
      <c r="E234" s="9" t="n">
        <f aca="false">D234*$J$5</f>
        <v>-1.26315789473684</v>
      </c>
      <c r="F234" s="9" t="n">
        <f aca="false">E234-C234</f>
        <v>-2.26315789473684</v>
      </c>
      <c r="G234" s="11" t="n">
        <f aca="false">IF(AND(C234=0,E234=0),0,IF(C234=0,"New",(E234-C234)/C234))</f>
        <v>-2.26315789473684</v>
      </c>
      <c r="H234" s="9" t="n">
        <f aca="false">SUMIFS('Source 2025'!$F:$F,'Source 2025'!$B:$B,$A234,'Source 2025'!$A:$A,"Amount (NIS)")+SUMIFS('Source 2025'!$H:$H,'Source 2025'!$B:$B,$A234,'Source 2025'!$A:$A,"Amount (NIS)")+SUMIFS('Source 2025'!$M:$M,'Source 2025'!$B:$B,$A234,'Source 2025'!$A:$A,"Amount (NIS)")+SUMIFS('Source 2025'!$N:$N,'Source 2025'!$B:$B,$A234,'Source 2025'!$A:$A,"Amount (NIS)")+SUMIFS('Source 2025'!$S:$S,'Source 2025'!$B:$B,$A234,'Source 2025'!$A:$A,"Amount (NIS)")+SUMIFS('Source 2025'!$U:$U,'Source 2025'!$B:$B,$A234,'Source 2025'!$A:$A,"Amount (NIS)")+SUMIFS('Source 2025'!$D:$D,'Source 2025'!$B:$B,$A234,'Source 2025'!$A:$A,"Amount (NIS)")+SUMIFS('Source 2025'!$E:$E,'Source 2025'!$B:$B,$A234,'Source 2025'!$A:$A,"Amount (NIS)")+SUMIFS('Source 2025'!$G:$G,'Source 2025'!$B:$B,$A234,'Source 2025'!$A:$A,"Amount (NIS)")</f>
        <v>103.1</v>
      </c>
      <c r="I234" s="9" t="n">
        <f aca="false">SUMIFS('Source 2026'!$F:$F,'Source 2026'!$B:$B,$A234,'Source 2026'!$A:$A,"Amount (NIS)")+SUMIFS('Source 2026'!$H:$H,'Source 2026'!$B:$B,$A234,'Source 2026'!$A:$A,"Amount (NIS)")+SUMIFS('Source 2026'!$M:$M,'Source 2026'!$B:$B,$A234,'Source 2026'!$A:$A,"Amount (NIS)")+SUMIFS('Source 2026'!$N:$N,'Source 2026'!$B:$B,$A234,'Source 2026'!$A:$A,"Amount (NIS)")+SUMIFS('Source 2026'!$S:$S,'Source 2026'!$B:$B,$A234,'Source 2026'!$A:$A,"Amount (NIS)")+SUMIFS('Source 2026'!$U:$U,'Source 2026'!$B:$B,$A234,'Source 2026'!$A:$A,"Amount (NIS)")+SUMIFS('Source 2026'!$D:$D,'Source 2026'!$B:$B,$A234,'Source 2026'!$A:$A,"Amount (NIS)")+SUMIFS('Source 2026'!$E:$E,'Source 2026'!$B:$B,$A234,'Source 2026'!$A:$A,"Amount (NIS)")+SUMIFS('Source 2026'!$G:$G,'Source 2026'!$B:$B,$A234,'Source 2026'!$A:$A,"Amount (NIS)")</f>
        <v>-92.8</v>
      </c>
      <c r="J234" s="9" t="n">
        <f aca="false">I234*$J$5</f>
        <v>-117.221052631579</v>
      </c>
      <c r="K234" s="9" t="n">
        <f aca="false">J234-H234</f>
        <v>-220.321052631579</v>
      </c>
      <c r="L234" s="11" t="n">
        <f aca="false">IF(AND(H234=0,J234=0),0,IF(H234=0,"New",(J234-H234)/H234))</f>
        <v>-2.13696462300271</v>
      </c>
    </row>
    <row r="235" customFormat="false" ht="15" hidden="false" customHeight="true" outlineLevel="0" collapsed="false">
      <c r="A235" s="8" t="s">
        <v>304</v>
      </c>
      <c r="B235" s="8" t="str">
        <f aca="false">IFERROR(INDEX('Source 2026'!$C:$C,MATCH($A235,'Source 2026'!$B:$B,0)),IFERROR(INDEX('Source 2025'!$C:$C,MATCH($A235,'Source 2025'!$B:$B,0)),""))</f>
        <v>גרב כסף לסכרתיים לבן35-38</v>
      </c>
      <c r="C235" s="9" t="n">
        <f aca="false">SUMIFS('Source 2025'!$F:$F,'Source 2025'!$B:$B,$A235,'Source 2025'!$A:$A,"Quantity (units)")+SUMIFS('Source 2025'!$H:$H,'Source 2025'!$B:$B,$A235,'Source 2025'!$A:$A,"Quantity (units)")+SUMIFS('Source 2025'!$M:$M,'Source 2025'!$B:$B,$A235,'Source 2025'!$A:$A,"Quantity (units)")+SUMIFS('Source 2025'!$N:$N,'Source 2025'!$B:$B,$A235,'Source 2025'!$A:$A,"Quantity (units)")+SUMIFS('Source 2025'!$S:$S,'Source 2025'!$B:$B,$A235,'Source 2025'!$A:$A,"Quantity (units)")+SUMIFS('Source 2025'!$U:$U,'Source 2025'!$B:$B,$A235,'Source 2025'!$A:$A,"Quantity (units)")+SUMIFS('Source 2025'!$D:$D,'Source 2025'!$B:$B,$A235,'Source 2025'!$A:$A,"Quantity (units)")+SUMIFS('Source 2025'!$E:$E,'Source 2025'!$B:$B,$A235,'Source 2025'!$A:$A,"Quantity (units)")+SUMIFS('Source 2025'!$G:$G,'Source 2025'!$B:$B,$A235,'Source 2025'!$A:$A,"Quantity (units)")</f>
        <v>50</v>
      </c>
      <c r="D235" s="9" t="n">
        <f aca="false">SUMIFS('Source 2026'!$F:$F,'Source 2026'!$B:$B,$A235,'Source 2026'!$A:$A,"Quantity (units)")+SUMIFS('Source 2026'!$H:$H,'Source 2026'!$B:$B,$A235,'Source 2026'!$A:$A,"Quantity (units)")+SUMIFS('Source 2026'!$M:$M,'Source 2026'!$B:$B,$A235,'Source 2026'!$A:$A,"Quantity (units)")+SUMIFS('Source 2026'!$N:$N,'Source 2026'!$B:$B,$A235,'Source 2026'!$A:$A,"Quantity (units)")+SUMIFS('Source 2026'!$S:$S,'Source 2026'!$B:$B,$A235,'Source 2026'!$A:$A,"Quantity (units)")+SUMIFS('Source 2026'!$U:$U,'Source 2026'!$B:$B,$A235,'Source 2026'!$A:$A,"Quantity (units)")+SUMIFS('Source 2026'!$D:$D,'Source 2026'!$B:$B,$A235,'Source 2026'!$A:$A,"Quantity (units)")+SUMIFS('Source 2026'!$E:$E,'Source 2026'!$B:$B,$A235,'Source 2026'!$A:$A,"Quantity (units)")+SUMIFS('Source 2026'!$G:$G,'Source 2026'!$B:$B,$A235,'Source 2026'!$A:$A,"Quantity (units)")</f>
        <v>38</v>
      </c>
      <c r="E235" s="9" t="n">
        <f aca="false">D235*$J$5</f>
        <v>48</v>
      </c>
      <c r="F235" s="9" t="n">
        <f aca="false">E235-C235</f>
        <v>-2</v>
      </c>
      <c r="G235" s="11" t="n">
        <f aca="false">IF(AND(C235=0,E235=0),0,IF(C235=0,"New",(E235-C235)/C235))</f>
        <v>-0.04</v>
      </c>
      <c r="H235" s="9" t="n">
        <f aca="false">SUMIFS('Source 2025'!$F:$F,'Source 2025'!$B:$B,$A235,'Source 2025'!$A:$A,"Amount (NIS)")+SUMIFS('Source 2025'!$H:$H,'Source 2025'!$B:$B,$A235,'Source 2025'!$A:$A,"Amount (NIS)")+SUMIFS('Source 2025'!$M:$M,'Source 2025'!$B:$B,$A235,'Source 2025'!$A:$A,"Amount (NIS)")+SUMIFS('Source 2025'!$N:$N,'Source 2025'!$B:$B,$A235,'Source 2025'!$A:$A,"Amount (NIS)")+SUMIFS('Source 2025'!$S:$S,'Source 2025'!$B:$B,$A235,'Source 2025'!$A:$A,"Amount (NIS)")+SUMIFS('Source 2025'!$U:$U,'Source 2025'!$B:$B,$A235,'Source 2025'!$A:$A,"Amount (NIS)")+SUMIFS('Source 2025'!$D:$D,'Source 2025'!$B:$B,$A235,'Source 2025'!$A:$A,"Amount (NIS)")+SUMIFS('Source 2025'!$E:$E,'Source 2025'!$B:$B,$A235,'Source 2025'!$A:$A,"Amount (NIS)")+SUMIFS('Source 2025'!$G:$G,'Source 2025'!$B:$B,$A235,'Source 2025'!$A:$A,"Amount (NIS)")</f>
        <v>1506</v>
      </c>
      <c r="I235" s="9" t="n">
        <f aca="false">SUMIFS('Source 2026'!$F:$F,'Source 2026'!$B:$B,$A235,'Source 2026'!$A:$A,"Amount (NIS)")+SUMIFS('Source 2026'!$H:$H,'Source 2026'!$B:$B,$A235,'Source 2026'!$A:$A,"Amount (NIS)")+SUMIFS('Source 2026'!$M:$M,'Source 2026'!$B:$B,$A235,'Source 2026'!$A:$A,"Amount (NIS)")+SUMIFS('Source 2026'!$N:$N,'Source 2026'!$B:$B,$A235,'Source 2026'!$A:$A,"Amount (NIS)")+SUMIFS('Source 2026'!$S:$S,'Source 2026'!$B:$B,$A235,'Source 2026'!$A:$A,"Amount (NIS)")+SUMIFS('Source 2026'!$U:$U,'Source 2026'!$B:$B,$A235,'Source 2026'!$A:$A,"Amount (NIS)")+SUMIFS('Source 2026'!$D:$D,'Source 2026'!$B:$B,$A235,'Source 2026'!$A:$A,"Amount (NIS)")+SUMIFS('Source 2026'!$E:$E,'Source 2026'!$B:$B,$A235,'Source 2026'!$A:$A,"Amount (NIS)")+SUMIFS('Source 2026'!$G:$G,'Source 2026'!$B:$B,$A235,'Source 2026'!$A:$A,"Amount (NIS)")</f>
        <v>1310.7</v>
      </c>
      <c r="J235" s="9" t="n">
        <f aca="false">I235*$J$5</f>
        <v>1655.62105263158</v>
      </c>
      <c r="K235" s="9" t="n">
        <f aca="false">J235-H235</f>
        <v>149.621052631579</v>
      </c>
      <c r="L235" s="11" t="n">
        <f aca="false">IF(AND(H235=0,J235=0),0,IF(H235=0,"New",(J235-H235)/H235))</f>
        <v>0.0993499685468652</v>
      </c>
    </row>
    <row r="236" customFormat="false" ht="15" hidden="false" customHeight="true" outlineLevel="0" collapsed="false">
      <c r="A236" s="8" t="s">
        <v>305</v>
      </c>
      <c r="B236" s="8" t="str">
        <f aca="false">IFERROR(INDEX('Source 2026'!$C:$C,MATCH($A236,'Source 2026'!$B:$B,0)),IFERROR(INDEX('Source 2025'!$C:$C,MATCH($A236,'Source 2025'!$B:$B,0)),""))</f>
        <v>.חבישת""הלוקס ולגוס""לאחר נית</v>
      </c>
      <c r="C236" s="9" t="n">
        <f aca="false">SUMIFS('Source 2025'!$F:$F,'Source 2025'!$B:$B,$A236,'Source 2025'!$A:$A,"Quantity (units)")+SUMIFS('Source 2025'!$H:$H,'Source 2025'!$B:$B,$A236,'Source 2025'!$A:$A,"Quantity (units)")+SUMIFS('Source 2025'!$M:$M,'Source 2025'!$B:$B,$A236,'Source 2025'!$A:$A,"Quantity (units)")+SUMIFS('Source 2025'!$N:$N,'Source 2025'!$B:$B,$A236,'Source 2025'!$A:$A,"Quantity (units)")+SUMIFS('Source 2025'!$S:$S,'Source 2025'!$B:$B,$A236,'Source 2025'!$A:$A,"Quantity (units)")+SUMIFS('Source 2025'!$U:$U,'Source 2025'!$B:$B,$A236,'Source 2025'!$A:$A,"Quantity (units)")+SUMIFS('Source 2025'!$D:$D,'Source 2025'!$B:$B,$A236,'Source 2025'!$A:$A,"Quantity (units)")+SUMIFS('Source 2025'!$E:$E,'Source 2025'!$B:$B,$A236,'Source 2025'!$A:$A,"Quantity (units)")+SUMIFS('Source 2025'!$G:$G,'Source 2025'!$B:$B,$A236,'Source 2025'!$A:$A,"Quantity (units)")</f>
        <v>0</v>
      </c>
      <c r="D236" s="9" t="n">
        <f aca="false">SUMIFS('Source 2026'!$F:$F,'Source 2026'!$B:$B,$A236,'Source 2026'!$A:$A,"Quantity (units)")+SUMIFS('Source 2026'!$H:$H,'Source 2026'!$B:$B,$A236,'Source 2026'!$A:$A,"Quantity (units)")+SUMIFS('Source 2026'!$M:$M,'Source 2026'!$B:$B,$A236,'Source 2026'!$A:$A,"Quantity (units)")+SUMIFS('Source 2026'!$N:$N,'Source 2026'!$B:$B,$A236,'Source 2026'!$A:$A,"Quantity (units)")+SUMIFS('Source 2026'!$S:$S,'Source 2026'!$B:$B,$A236,'Source 2026'!$A:$A,"Quantity (units)")+SUMIFS('Source 2026'!$U:$U,'Source 2026'!$B:$B,$A236,'Source 2026'!$A:$A,"Quantity (units)")+SUMIFS('Source 2026'!$D:$D,'Source 2026'!$B:$B,$A236,'Source 2026'!$A:$A,"Quantity (units)")+SUMIFS('Source 2026'!$E:$E,'Source 2026'!$B:$B,$A236,'Source 2026'!$A:$A,"Quantity (units)")+SUMIFS('Source 2026'!$G:$G,'Source 2026'!$B:$B,$A236,'Source 2026'!$A:$A,"Quantity (units)")</f>
        <v>2</v>
      </c>
      <c r="E236" s="9" t="n">
        <f aca="false">D236*$J$5</f>
        <v>2.52631578947368</v>
      </c>
      <c r="F236" s="9" t="n">
        <f aca="false">E236-C236</f>
        <v>2.52631578947368</v>
      </c>
      <c r="G236" s="11" t="str">
        <f aca="false">IF(AND(C236=0,E236=0),0,IF(C236=0,"New",(E236-C236)/C236))</f>
        <v>New</v>
      </c>
      <c r="H236" s="9" t="n">
        <f aca="false">SUMIFS('Source 2025'!$F:$F,'Source 2025'!$B:$B,$A236,'Source 2025'!$A:$A,"Amount (NIS)")+SUMIFS('Source 2025'!$H:$H,'Source 2025'!$B:$B,$A236,'Source 2025'!$A:$A,"Amount (NIS)")+SUMIFS('Source 2025'!$M:$M,'Source 2025'!$B:$B,$A236,'Source 2025'!$A:$A,"Amount (NIS)")+SUMIFS('Source 2025'!$N:$N,'Source 2025'!$B:$B,$A236,'Source 2025'!$A:$A,"Amount (NIS)")+SUMIFS('Source 2025'!$S:$S,'Source 2025'!$B:$B,$A236,'Source 2025'!$A:$A,"Amount (NIS)")+SUMIFS('Source 2025'!$U:$U,'Source 2025'!$B:$B,$A236,'Source 2025'!$A:$A,"Amount (NIS)")+SUMIFS('Source 2025'!$D:$D,'Source 2025'!$B:$B,$A236,'Source 2025'!$A:$A,"Amount (NIS)")+SUMIFS('Source 2025'!$E:$E,'Source 2025'!$B:$B,$A236,'Source 2025'!$A:$A,"Amount (NIS)")+SUMIFS('Source 2025'!$G:$G,'Source 2025'!$B:$B,$A236,'Source 2025'!$A:$A,"Amount (NIS)")</f>
        <v>0</v>
      </c>
      <c r="I236" s="9" t="n">
        <f aca="false">SUMIFS('Source 2026'!$F:$F,'Source 2026'!$B:$B,$A236,'Source 2026'!$A:$A,"Amount (NIS)")+SUMIFS('Source 2026'!$H:$H,'Source 2026'!$B:$B,$A236,'Source 2026'!$A:$A,"Amount (NIS)")+SUMIFS('Source 2026'!$M:$M,'Source 2026'!$B:$B,$A236,'Source 2026'!$A:$A,"Amount (NIS)")+SUMIFS('Source 2026'!$N:$N,'Source 2026'!$B:$B,$A236,'Source 2026'!$A:$A,"Amount (NIS)")+SUMIFS('Source 2026'!$S:$S,'Source 2026'!$B:$B,$A236,'Source 2026'!$A:$A,"Amount (NIS)")+SUMIFS('Source 2026'!$U:$U,'Source 2026'!$B:$B,$A236,'Source 2026'!$A:$A,"Amount (NIS)")+SUMIFS('Source 2026'!$D:$D,'Source 2026'!$B:$B,$A236,'Source 2026'!$A:$A,"Amount (NIS)")+SUMIFS('Source 2026'!$E:$E,'Source 2026'!$B:$B,$A236,'Source 2026'!$A:$A,"Amount (NIS)")+SUMIFS('Source 2026'!$G:$G,'Source 2026'!$B:$B,$A236,'Source 2026'!$A:$A,"Amount (NIS)")</f>
        <v>178</v>
      </c>
      <c r="J236" s="9" t="n">
        <f aca="false">I236*$J$5</f>
        <v>224.842105263158</v>
      </c>
      <c r="K236" s="9" t="n">
        <f aca="false">J236-H236</f>
        <v>224.842105263158</v>
      </c>
      <c r="L236" s="11" t="str">
        <f aca="false">IF(AND(H236=0,J236=0),0,IF(H236=0,"New",(J236-H236)/H236))</f>
        <v>New</v>
      </c>
    </row>
    <row r="237" customFormat="false" ht="15" hidden="false" customHeight="true" outlineLevel="0" collapsed="false">
      <c r="A237" s="8" t="s">
        <v>306</v>
      </c>
      <c r="B237" s="8" t="str">
        <f aca="false">IFERROR(INDEX('Source 2026'!$C:$C,MATCH($A237,'Source 2026'!$B:$B,0)),IFERROR(INDEX('Source 2025'!$C:$C,MATCH($A237,'Source 2025'!$B:$B,0)),""))</f>
        <v>מגן זרת מסיליקון</v>
      </c>
      <c r="C237" s="9" t="n">
        <f aca="false">SUMIFS('Source 2025'!$F:$F,'Source 2025'!$B:$B,$A237,'Source 2025'!$A:$A,"Quantity (units)")+SUMIFS('Source 2025'!$H:$H,'Source 2025'!$B:$B,$A237,'Source 2025'!$A:$A,"Quantity (units)")+SUMIFS('Source 2025'!$M:$M,'Source 2025'!$B:$B,$A237,'Source 2025'!$A:$A,"Quantity (units)")+SUMIFS('Source 2025'!$N:$N,'Source 2025'!$B:$B,$A237,'Source 2025'!$A:$A,"Quantity (units)")+SUMIFS('Source 2025'!$S:$S,'Source 2025'!$B:$B,$A237,'Source 2025'!$A:$A,"Quantity (units)")+SUMIFS('Source 2025'!$U:$U,'Source 2025'!$B:$B,$A237,'Source 2025'!$A:$A,"Quantity (units)")+SUMIFS('Source 2025'!$D:$D,'Source 2025'!$B:$B,$A237,'Source 2025'!$A:$A,"Quantity (units)")+SUMIFS('Source 2025'!$E:$E,'Source 2025'!$B:$B,$A237,'Source 2025'!$A:$A,"Quantity (units)")+SUMIFS('Source 2025'!$G:$G,'Source 2025'!$B:$B,$A237,'Source 2025'!$A:$A,"Quantity (units)")</f>
        <v>59</v>
      </c>
      <c r="D237" s="9" t="n">
        <f aca="false">SUMIFS('Source 2026'!$F:$F,'Source 2026'!$B:$B,$A237,'Source 2026'!$A:$A,"Quantity (units)")+SUMIFS('Source 2026'!$H:$H,'Source 2026'!$B:$B,$A237,'Source 2026'!$A:$A,"Quantity (units)")+SUMIFS('Source 2026'!$M:$M,'Source 2026'!$B:$B,$A237,'Source 2026'!$A:$A,"Quantity (units)")+SUMIFS('Source 2026'!$N:$N,'Source 2026'!$B:$B,$A237,'Source 2026'!$A:$A,"Quantity (units)")+SUMIFS('Source 2026'!$S:$S,'Source 2026'!$B:$B,$A237,'Source 2026'!$A:$A,"Quantity (units)")+SUMIFS('Source 2026'!$U:$U,'Source 2026'!$B:$B,$A237,'Source 2026'!$A:$A,"Quantity (units)")+SUMIFS('Source 2026'!$D:$D,'Source 2026'!$B:$B,$A237,'Source 2026'!$A:$A,"Quantity (units)")+SUMIFS('Source 2026'!$E:$E,'Source 2026'!$B:$B,$A237,'Source 2026'!$A:$A,"Quantity (units)")+SUMIFS('Source 2026'!$G:$G,'Source 2026'!$B:$B,$A237,'Source 2026'!$A:$A,"Quantity (units)")</f>
        <v>54</v>
      </c>
      <c r="E237" s="9" t="n">
        <f aca="false">D237*$J$5</f>
        <v>68.2105263157895</v>
      </c>
      <c r="F237" s="9" t="n">
        <f aca="false">E237-C237</f>
        <v>9.21052631578947</v>
      </c>
      <c r="G237" s="11" t="n">
        <f aca="false">IF(AND(C237=0,E237=0),0,IF(C237=0,"New",(E237-C237)/C237))</f>
        <v>0.156110615521855</v>
      </c>
      <c r="H237" s="9" t="n">
        <f aca="false">SUMIFS('Source 2025'!$F:$F,'Source 2025'!$B:$B,$A237,'Source 2025'!$A:$A,"Amount (NIS)")+SUMIFS('Source 2025'!$H:$H,'Source 2025'!$B:$B,$A237,'Source 2025'!$A:$A,"Amount (NIS)")+SUMIFS('Source 2025'!$M:$M,'Source 2025'!$B:$B,$A237,'Source 2025'!$A:$A,"Amount (NIS)")+SUMIFS('Source 2025'!$N:$N,'Source 2025'!$B:$B,$A237,'Source 2025'!$A:$A,"Amount (NIS)")+SUMIFS('Source 2025'!$S:$S,'Source 2025'!$B:$B,$A237,'Source 2025'!$A:$A,"Amount (NIS)")+SUMIFS('Source 2025'!$U:$U,'Source 2025'!$B:$B,$A237,'Source 2025'!$A:$A,"Amount (NIS)")+SUMIFS('Source 2025'!$D:$D,'Source 2025'!$B:$B,$A237,'Source 2025'!$A:$A,"Amount (NIS)")+SUMIFS('Source 2025'!$E:$E,'Source 2025'!$B:$B,$A237,'Source 2025'!$A:$A,"Amount (NIS)")+SUMIFS('Source 2025'!$G:$G,'Source 2025'!$B:$B,$A237,'Source 2025'!$A:$A,"Amount (NIS)")</f>
        <v>1719.6</v>
      </c>
      <c r="I237" s="9" t="n">
        <f aca="false">SUMIFS('Source 2026'!$F:$F,'Source 2026'!$B:$B,$A237,'Source 2026'!$A:$A,"Amount (NIS)")+SUMIFS('Source 2026'!$H:$H,'Source 2026'!$B:$B,$A237,'Source 2026'!$A:$A,"Amount (NIS)")+SUMIFS('Source 2026'!$M:$M,'Source 2026'!$B:$B,$A237,'Source 2026'!$A:$A,"Amount (NIS)")+SUMIFS('Source 2026'!$N:$N,'Source 2026'!$B:$B,$A237,'Source 2026'!$A:$A,"Amount (NIS)")+SUMIFS('Source 2026'!$S:$S,'Source 2026'!$B:$B,$A237,'Source 2026'!$A:$A,"Amount (NIS)")+SUMIFS('Source 2026'!$U:$U,'Source 2026'!$B:$B,$A237,'Source 2026'!$A:$A,"Amount (NIS)")+SUMIFS('Source 2026'!$D:$D,'Source 2026'!$B:$B,$A237,'Source 2026'!$A:$A,"Amount (NIS)")+SUMIFS('Source 2026'!$E:$E,'Source 2026'!$B:$B,$A237,'Source 2026'!$A:$A,"Amount (NIS)")+SUMIFS('Source 2026'!$G:$G,'Source 2026'!$B:$B,$A237,'Source 2026'!$A:$A,"Amount (NIS)")</f>
        <v>1543.7</v>
      </c>
      <c r="J237" s="9" t="n">
        <f aca="false">I237*$J$5</f>
        <v>1949.93684210526</v>
      </c>
      <c r="K237" s="9" t="n">
        <f aca="false">J237-H237</f>
        <v>230.336842105263</v>
      </c>
      <c r="L237" s="11" t="n">
        <f aca="false">IF(AND(H237=0,J237=0),0,IF(H237=0,"New",(J237-H237)/H237))</f>
        <v>0.133947919344768</v>
      </c>
    </row>
    <row r="238" customFormat="false" ht="15" hidden="false" customHeight="true" outlineLevel="0" collapsed="false">
      <c r="A238" s="8" t="s">
        <v>307</v>
      </c>
      <c r="B238" s="8" t="str">
        <f aca="false">IFERROR(INDEX('Source 2026'!$C:$C,MATCH($A238,'Source 2026'!$B:$B,0)),IFERROR(INDEX('Source 2025'!$C:$C,MATCH($A238,'Source 2025'!$B:$B,0)),""))</f>
        <v>בקט.לנעל120</v>
      </c>
      <c r="C238" s="9" t="n">
        <f aca="false">SUMIFS('Source 2025'!$F:$F,'Source 2025'!$B:$B,$A238,'Source 2025'!$A:$A,"Quantity (units)")+SUMIFS('Source 2025'!$H:$H,'Source 2025'!$B:$B,$A238,'Source 2025'!$A:$A,"Quantity (units)")+SUMIFS('Source 2025'!$M:$M,'Source 2025'!$B:$B,$A238,'Source 2025'!$A:$A,"Quantity (units)")+SUMIFS('Source 2025'!$N:$N,'Source 2025'!$B:$B,$A238,'Source 2025'!$A:$A,"Quantity (units)")+SUMIFS('Source 2025'!$S:$S,'Source 2025'!$B:$B,$A238,'Source 2025'!$A:$A,"Quantity (units)")+SUMIFS('Source 2025'!$U:$U,'Source 2025'!$B:$B,$A238,'Source 2025'!$A:$A,"Quantity (units)")+SUMIFS('Source 2025'!$D:$D,'Source 2025'!$B:$B,$A238,'Source 2025'!$A:$A,"Quantity (units)")+SUMIFS('Source 2025'!$E:$E,'Source 2025'!$B:$B,$A238,'Source 2025'!$A:$A,"Quantity (units)")+SUMIFS('Source 2025'!$G:$G,'Source 2025'!$B:$B,$A238,'Source 2025'!$A:$A,"Quantity (units)")</f>
        <v>-6</v>
      </c>
      <c r="D238" s="9" t="n">
        <f aca="false">SUMIFS('Source 2026'!$F:$F,'Source 2026'!$B:$B,$A238,'Source 2026'!$A:$A,"Quantity (units)")+SUMIFS('Source 2026'!$H:$H,'Source 2026'!$B:$B,$A238,'Source 2026'!$A:$A,"Quantity (units)")+SUMIFS('Source 2026'!$M:$M,'Source 2026'!$B:$B,$A238,'Source 2026'!$A:$A,"Quantity (units)")+SUMIFS('Source 2026'!$N:$N,'Source 2026'!$B:$B,$A238,'Source 2026'!$A:$A,"Quantity (units)")+SUMIFS('Source 2026'!$S:$S,'Source 2026'!$B:$B,$A238,'Source 2026'!$A:$A,"Quantity (units)")+SUMIFS('Source 2026'!$U:$U,'Source 2026'!$B:$B,$A238,'Source 2026'!$A:$A,"Quantity (units)")+SUMIFS('Source 2026'!$D:$D,'Source 2026'!$B:$B,$A238,'Source 2026'!$A:$A,"Quantity (units)")+SUMIFS('Source 2026'!$E:$E,'Source 2026'!$B:$B,$A238,'Source 2026'!$A:$A,"Quantity (units)")+SUMIFS('Source 2026'!$G:$G,'Source 2026'!$B:$B,$A238,'Source 2026'!$A:$A,"Quantity (units)")</f>
        <v>0</v>
      </c>
      <c r="E238" s="9" t="n">
        <f aca="false">D238*$J$5</f>
        <v>0</v>
      </c>
      <c r="F238" s="9" t="n">
        <f aca="false">E238-C238</f>
        <v>6</v>
      </c>
      <c r="G238" s="11" t="n">
        <f aca="false">IF(AND(C238=0,E238=0),0,IF(C238=0,"New",(E238-C238)/C238))</f>
        <v>-1</v>
      </c>
      <c r="H238" s="9" t="n">
        <f aca="false">SUMIFS('Source 2025'!$F:$F,'Source 2025'!$B:$B,$A238,'Source 2025'!$A:$A,"Amount (NIS)")+SUMIFS('Source 2025'!$H:$H,'Source 2025'!$B:$B,$A238,'Source 2025'!$A:$A,"Amount (NIS)")+SUMIFS('Source 2025'!$M:$M,'Source 2025'!$B:$B,$A238,'Source 2025'!$A:$A,"Amount (NIS)")+SUMIFS('Source 2025'!$N:$N,'Source 2025'!$B:$B,$A238,'Source 2025'!$A:$A,"Amount (NIS)")+SUMIFS('Source 2025'!$S:$S,'Source 2025'!$B:$B,$A238,'Source 2025'!$A:$A,"Amount (NIS)")+SUMIFS('Source 2025'!$U:$U,'Source 2025'!$B:$B,$A238,'Source 2025'!$A:$A,"Amount (NIS)")+SUMIFS('Source 2025'!$D:$D,'Source 2025'!$B:$B,$A238,'Source 2025'!$A:$A,"Amount (NIS)")+SUMIFS('Source 2025'!$E:$E,'Source 2025'!$B:$B,$A238,'Source 2025'!$A:$A,"Amount (NIS)")+SUMIFS('Source 2025'!$G:$G,'Source 2025'!$B:$B,$A238,'Source 2025'!$A:$A,"Amount (NIS)")</f>
        <v>-173.3</v>
      </c>
      <c r="I238" s="9" t="n">
        <f aca="false">SUMIFS('Source 2026'!$F:$F,'Source 2026'!$B:$B,$A238,'Source 2026'!$A:$A,"Amount (NIS)")+SUMIFS('Source 2026'!$H:$H,'Source 2026'!$B:$B,$A238,'Source 2026'!$A:$A,"Amount (NIS)")+SUMIFS('Source 2026'!$M:$M,'Source 2026'!$B:$B,$A238,'Source 2026'!$A:$A,"Amount (NIS)")+SUMIFS('Source 2026'!$N:$N,'Source 2026'!$B:$B,$A238,'Source 2026'!$A:$A,"Amount (NIS)")+SUMIFS('Source 2026'!$S:$S,'Source 2026'!$B:$B,$A238,'Source 2026'!$A:$A,"Amount (NIS)")+SUMIFS('Source 2026'!$U:$U,'Source 2026'!$B:$B,$A238,'Source 2026'!$A:$A,"Amount (NIS)")+SUMIFS('Source 2026'!$D:$D,'Source 2026'!$B:$B,$A238,'Source 2026'!$A:$A,"Amount (NIS)")+SUMIFS('Source 2026'!$E:$E,'Source 2026'!$B:$B,$A238,'Source 2026'!$A:$A,"Amount (NIS)")+SUMIFS('Source 2026'!$G:$G,'Source 2026'!$B:$B,$A238,'Source 2026'!$A:$A,"Amount (NIS)")</f>
        <v>0</v>
      </c>
      <c r="J238" s="9" t="n">
        <f aca="false">I238*$J$5</f>
        <v>0</v>
      </c>
      <c r="K238" s="9" t="n">
        <f aca="false">J238-H238</f>
        <v>173.3</v>
      </c>
      <c r="L238" s="11" t="n">
        <f aca="false">IF(AND(H238=0,J238=0),0,IF(H238=0,"New",(J238-H238)/H238))</f>
        <v>-1</v>
      </c>
    </row>
    <row r="239" customFormat="false" ht="15" hidden="false" customHeight="true" outlineLevel="0" collapsed="false">
      <c r="A239" s="8" t="s">
        <v>308</v>
      </c>
      <c r="B239" s="8" t="str">
        <f aca="false">IFERROR(INDEX('Source 2026'!$C:$C,MATCH($A239,'Source 2026'!$B:$B,0)),IFERROR(INDEX('Source 2025'!$C:$C,MATCH($A239,'Source 2025'!$B:$B,0)),""))</f>
        <v>L-XL מיצב כתפיים</v>
      </c>
      <c r="C239" s="9" t="n">
        <f aca="false">SUMIFS('Source 2025'!$F:$F,'Source 2025'!$B:$B,$A239,'Source 2025'!$A:$A,"Quantity (units)")+SUMIFS('Source 2025'!$H:$H,'Source 2025'!$B:$B,$A239,'Source 2025'!$A:$A,"Quantity (units)")+SUMIFS('Source 2025'!$M:$M,'Source 2025'!$B:$B,$A239,'Source 2025'!$A:$A,"Quantity (units)")+SUMIFS('Source 2025'!$N:$N,'Source 2025'!$B:$B,$A239,'Source 2025'!$A:$A,"Quantity (units)")+SUMIFS('Source 2025'!$S:$S,'Source 2025'!$B:$B,$A239,'Source 2025'!$A:$A,"Quantity (units)")+SUMIFS('Source 2025'!$U:$U,'Source 2025'!$B:$B,$A239,'Source 2025'!$A:$A,"Quantity (units)")+SUMIFS('Source 2025'!$D:$D,'Source 2025'!$B:$B,$A239,'Source 2025'!$A:$A,"Quantity (units)")+SUMIFS('Source 2025'!$E:$E,'Source 2025'!$B:$B,$A239,'Source 2025'!$A:$A,"Quantity (units)")+SUMIFS('Source 2025'!$G:$G,'Source 2025'!$B:$B,$A239,'Source 2025'!$A:$A,"Quantity (units)")</f>
        <v>0</v>
      </c>
      <c r="D239" s="9" t="n">
        <f aca="false">SUMIFS('Source 2026'!$F:$F,'Source 2026'!$B:$B,$A239,'Source 2026'!$A:$A,"Quantity (units)")+SUMIFS('Source 2026'!$H:$H,'Source 2026'!$B:$B,$A239,'Source 2026'!$A:$A,"Quantity (units)")+SUMIFS('Source 2026'!$M:$M,'Source 2026'!$B:$B,$A239,'Source 2026'!$A:$A,"Quantity (units)")+SUMIFS('Source 2026'!$N:$N,'Source 2026'!$B:$B,$A239,'Source 2026'!$A:$A,"Quantity (units)")+SUMIFS('Source 2026'!$S:$S,'Source 2026'!$B:$B,$A239,'Source 2026'!$A:$A,"Quantity (units)")+SUMIFS('Source 2026'!$U:$U,'Source 2026'!$B:$B,$A239,'Source 2026'!$A:$A,"Quantity (units)")+SUMIFS('Source 2026'!$D:$D,'Source 2026'!$B:$B,$A239,'Source 2026'!$A:$A,"Quantity (units)")+SUMIFS('Source 2026'!$E:$E,'Source 2026'!$B:$B,$A239,'Source 2026'!$A:$A,"Quantity (units)")+SUMIFS('Source 2026'!$G:$G,'Source 2026'!$B:$B,$A239,'Source 2026'!$A:$A,"Quantity (units)")</f>
        <v>1</v>
      </c>
      <c r="E239" s="9" t="n">
        <f aca="false">D239*$J$5</f>
        <v>1.26315789473684</v>
      </c>
      <c r="F239" s="9" t="n">
        <f aca="false">E239-C239</f>
        <v>1.26315789473684</v>
      </c>
      <c r="G239" s="11" t="str">
        <f aca="false">IF(AND(C239=0,E239=0),0,IF(C239=0,"New",(E239-C239)/C239))</f>
        <v>New</v>
      </c>
      <c r="H239" s="9" t="n">
        <f aca="false">SUMIFS('Source 2025'!$F:$F,'Source 2025'!$B:$B,$A239,'Source 2025'!$A:$A,"Amount (NIS)")+SUMIFS('Source 2025'!$H:$H,'Source 2025'!$B:$B,$A239,'Source 2025'!$A:$A,"Amount (NIS)")+SUMIFS('Source 2025'!$M:$M,'Source 2025'!$B:$B,$A239,'Source 2025'!$A:$A,"Amount (NIS)")+SUMIFS('Source 2025'!$N:$N,'Source 2025'!$B:$B,$A239,'Source 2025'!$A:$A,"Amount (NIS)")+SUMIFS('Source 2025'!$S:$S,'Source 2025'!$B:$B,$A239,'Source 2025'!$A:$A,"Amount (NIS)")+SUMIFS('Source 2025'!$U:$U,'Source 2025'!$B:$B,$A239,'Source 2025'!$A:$A,"Amount (NIS)")+SUMIFS('Source 2025'!$D:$D,'Source 2025'!$B:$B,$A239,'Source 2025'!$A:$A,"Amount (NIS)")+SUMIFS('Source 2025'!$E:$E,'Source 2025'!$B:$B,$A239,'Source 2025'!$A:$A,"Amount (NIS)")+SUMIFS('Source 2025'!$G:$G,'Source 2025'!$B:$B,$A239,'Source 2025'!$A:$A,"Amount (NIS)")</f>
        <v>0</v>
      </c>
      <c r="I239" s="9" t="n">
        <f aca="false">SUMIFS('Source 2026'!$F:$F,'Source 2026'!$B:$B,$A239,'Source 2026'!$A:$A,"Amount (NIS)")+SUMIFS('Source 2026'!$H:$H,'Source 2026'!$B:$B,$A239,'Source 2026'!$A:$A,"Amount (NIS)")+SUMIFS('Source 2026'!$M:$M,'Source 2026'!$B:$B,$A239,'Source 2026'!$A:$A,"Amount (NIS)")+SUMIFS('Source 2026'!$N:$N,'Source 2026'!$B:$B,$A239,'Source 2026'!$A:$A,"Amount (NIS)")+SUMIFS('Source 2026'!$S:$S,'Source 2026'!$B:$B,$A239,'Source 2026'!$A:$A,"Amount (NIS)")+SUMIFS('Source 2026'!$U:$U,'Source 2026'!$B:$B,$A239,'Source 2026'!$A:$A,"Amount (NIS)")+SUMIFS('Source 2026'!$D:$D,'Source 2026'!$B:$B,$A239,'Source 2026'!$A:$A,"Amount (NIS)")+SUMIFS('Source 2026'!$E:$E,'Source 2026'!$B:$B,$A239,'Source 2026'!$A:$A,"Amount (NIS)")+SUMIFS('Source 2026'!$G:$G,'Source 2026'!$B:$B,$A239,'Source 2026'!$A:$A,"Amount (NIS)")</f>
        <v>168.5</v>
      </c>
      <c r="J239" s="9" t="n">
        <f aca="false">I239*$J$5</f>
        <v>212.842105263158</v>
      </c>
      <c r="K239" s="9" t="n">
        <f aca="false">J239-H239</f>
        <v>212.842105263158</v>
      </c>
      <c r="L239" s="11" t="str">
        <f aca="false">IF(AND(H239=0,J239=0),0,IF(H239=0,"New",(J239-H239)/H239))</f>
        <v>New</v>
      </c>
    </row>
    <row r="240" customFormat="false" ht="15" hidden="false" customHeight="true" outlineLevel="0" collapsed="false">
      <c r="A240" s="8" t="s">
        <v>309</v>
      </c>
      <c r="B240" s="8" t="str">
        <f aca="false">IFERROR(INDEX('Source 2026'!$C:$C,MATCH($A240,'Source 2026'!$B:$B,0)),IFERROR(INDEX('Source 2025'!$C:$C,MATCH($A240,'Source 2025'!$B:$B,0)),""))</f>
        <v>הגנה לכף הרגל</v>
      </c>
      <c r="C240" s="9" t="n">
        <f aca="false">SUMIFS('Source 2025'!$F:$F,'Source 2025'!$B:$B,$A240,'Source 2025'!$A:$A,"Quantity (units)")+SUMIFS('Source 2025'!$H:$H,'Source 2025'!$B:$B,$A240,'Source 2025'!$A:$A,"Quantity (units)")+SUMIFS('Source 2025'!$M:$M,'Source 2025'!$B:$B,$A240,'Source 2025'!$A:$A,"Quantity (units)")+SUMIFS('Source 2025'!$N:$N,'Source 2025'!$B:$B,$A240,'Source 2025'!$A:$A,"Quantity (units)")+SUMIFS('Source 2025'!$S:$S,'Source 2025'!$B:$B,$A240,'Source 2025'!$A:$A,"Quantity (units)")+SUMIFS('Source 2025'!$U:$U,'Source 2025'!$B:$B,$A240,'Source 2025'!$A:$A,"Quantity (units)")+SUMIFS('Source 2025'!$D:$D,'Source 2025'!$B:$B,$A240,'Source 2025'!$A:$A,"Quantity (units)")+SUMIFS('Source 2025'!$E:$E,'Source 2025'!$B:$B,$A240,'Source 2025'!$A:$A,"Quantity (units)")+SUMIFS('Source 2025'!$G:$G,'Source 2025'!$B:$B,$A240,'Source 2025'!$A:$A,"Quantity (units)")</f>
        <v>-5</v>
      </c>
      <c r="D240" s="9" t="n">
        <f aca="false">SUMIFS('Source 2026'!$F:$F,'Source 2026'!$B:$B,$A240,'Source 2026'!$A:$A,"Quantity (units)")+SUMIFS('Source 2026'!$H:$H,'Source 2026'!$B:$B,$A240,'Source 2026'!$A:$A,"Quantity (units)")+SUMIFS('Source 2026'!$M:$M,'Source 2026'!$B:$B,$A240,'Source 2026'!$A:$A,"Quantity (units)")+SUMIFS('Source 2026'!$N:$N,'Source 2026'!$B:$B,$A240,'Source 2026'!$A:$A,"Quantity (units)")+SUMIFS('Source 2026'!$S:$S,'Source 2026'!$B:$B,$A240,'Source 2026'!$A:$A,"Quantity (units)")+SUMIFS('Source 2026'!$U:$U,'Source 2026'!$B:$B,$A240,'Source 2026'!$A:$A,"Quantity (units)")+SUMIFS('Source 2026'!$D:$D,'Source 2026'!$B:$B,$A240,'Source 2026'!$A:$A,"Quantity (units)")+SUMIFS('Source 2026'!$E:$E,'Source 2026'!$B:$B,$A240,'Source 2026'!$A:$A,"Quantity (units)")+SUMIFS('Source 2026'!$G:$G,'Source 2026'!$B:$B,$A240,'Source 2026'!$A:$A,"Quantity (units)")</f>
        <v>0</v>
      </c>
      <c r="E240" s="9" t="n">
        <f aca="false">D240*$J$5</f>
        <v>0</v>
      </c>
      <c r="F240" s="9" t="n">
        <f aca="false">E240-C240</f>
        <v>5</v>
      </c>
      <c r="G240" s="11" t="n">
        <f aca="false">IF(AND(C240=0,E240=0),0,IF(C240=0,"New",(E240-C240)/C240))</f>
        <v>-1</v>
      </c>
      <c r="H240" s="9" t="n">
        <f aca="false">SUMIFS('Source 2025'!$F:$F,'Source 2025'!$B:$B,$A240,'Source 2025'!$A:$A,"Amount (NIS)")+SUMIFS('Source 2025'!$H:$H,'Source 2025'!$B:$B,$A240,'Source 2025'!$A:$A,"Amount (NIS)")+SUMIFS('Source 2025'!$M:$M,'Source 2025'!$B:$B,$A240,'Source 2025'!$A:$A,"Amount (NIS)")+SUMIFS('Source 2025'!$N:$N,'Source 2025'!$B:$B,$A240,'Source 2025'!$A:$A,"Amount (NIS)")+SUMIFS('Source 2025'!$S:$S,'Source 2025'!$B:$B,$A240,'Source 2025'!$A:$A,"Amount (NIS)")+SUMIFS('Source 2025'!$U:$U,'Source 2025'!$B:$B,$A240,'Source 2025'!$A:$A,"Amount (NIS)")+SUMIFS('Source 2025'!$D:$D,'Source 2025'!$B:$B,$A240,'Source 2025'!$A:$A,"Amount (NIS)")+SUMIFS('Source 2025'!$E:$E,'Source 2025'!$B:$B,$A240,'Source 2025'!$A:$A,"Amount (NIS)")+SUMIFS('Source 2025'!$G:$G,'Source 2025'!$B:$B,$A240,'Source 2025'!$A:$A,"Amount (NIS)")</f>
        <v>-165.6</v>
      </c>
      <c r="I240" s="9" t="n">
        <f aca="false">SUMIFS('Source 2026'!$F:$F,'Source 2026'!$B:$B,$A240,'Source 2026'!$A:$A,"Amount (NIS)")+SUMIFS('Source 2026'!$H:$H,'Source 2026'!$B:$B,$A240,'Source 2026'!$A:$A,"Amount (NIS)")+SUMIFS('Source 2026'!$M:$M,'Source 2026'!$B:$B,$A240,'Source 2026'!$A:$A,"Amount (NIS)")+SUMIFS('Source 2026'!$N:$N,'Source 2026'!$B:$B,$A240,'Source 2026'!$A:$A,"Amount (NIS)")+SUMIFS('Source 2026'!$S:$S,'Source 2026'!$B:$B,$A240,'Source 2026'!$A:$A,"Amount (NIS)")+SUMIFS('Source 2026'!$U:$U,'Source 2026'!$B:$B,$A240,'Source 2026'!$A:$A,"Amount (NIS)")+SUMIFS('Source 2026'!$D:$D,'Source 2026'!$B:$B,$A240,'Source 2026'!$A:$A,"Amount (NIS)")+SUMIFS('Source 2026'!$E:$E,'Source 2026'!$B:$B,$A240,'Source 2026'!$A:$A,"Amount (NIS)")+SUMIFS('Source 2026'!$G:$G,'Source 2026'!$B:$B,$A240,'Source 2026'!$A:$A,"Amount (NIS)")</f>
        <v>0</v>
      </c>
      <c r="J240" s="9" t="n">
        <f aca="false">I240*$J$5</f>
        <v>0</v>
      </c>
      <c r="K240" s="9" t="n">
        <f aca="false">J240-H240</f>
        <v>165.6</v>
      </c>
      <c r="L240" s="11" t="n">
        <f aca="false">IF(AND(H240=0,J240=0),0,IF(H240=0,"New",(J240-H240)/H240))</f>
        <v>-1</v>
      </c>
    </row>
    <row r="241" customFormat="false" ht="15" hidden="false" customHeight="true" outlineLevel="0" collapsed="false">
      <c r="A241" s="8" t="s">
        <v>310</v>
      </c>
      <c r="B241" s="8" t="str">
        <f aca="false">IFERROR(INDEX('Source 2026'!$C:$C,MATCH($A241,'Source 2026'!$B:$B,0)),IFERROR(INDEX('Source 2025'!$C:$C,MATCH($A241,'Source 2025'!$B:$B,0)),""))</f>
        <v>L מגן למפרק כתף</v>
      </c>
      <c r="C241" s="9" t="n">
        <f aca="false">SUMIFS('Source 2025'!$F:$F,'Source 2025'!$B:$B,$A241,'Source 2025'!$A:$A,"Quantity (units)")+SUMIFS('Source 2025'!$H:$H,'Source 2025'!$B:$B,$A241,'Source 2025'!$A:$A,"Quantity (units)")+SUMIFS('Source 2025'!$M:$M,'Source 2025'!$B:$B,$A241,'Source 2025'!$A:$A,"Quantity (units)")+SUMIFS('Source 2025'!$N:$N,'Source 2025'!$B:$B,$A241,'Source 2025'!$A:$A,"Quantity (units)")+SUMIFS('Source 2025'!$S:$S,'Source 2025'!$B:$B,$A241,'Source 2025'!$A:$A,"Quantity (units)")+SUMIFS('Source 2025'!$U:$U,'Source 2025'!$B:$B,$A241,'Source 2025'!$A:$A,"Quantity (units)")+SUMIFS('Source 2025'!$D:$D,'Source 2025'!$B:$B,$A241,'Source 2025'!$A:$A,"Quantity (units)")+SUMIFS('Source 2025'!$E:$E,'Source 2025'!$B:$B,$A241,'Source 2025'!$A:$A,"Quantity (units)")+SUMIFS('Source 2025'!$G:$G,'Source 2025'!$B:$B,$A241,'Source 2025'!$A:$A,"Quantity (units)")</f>
        <v>-1</v>
      </c>
      <c r="D241" s="9" t="n">
        <f aca="false">SUMIFS('Source 2026'!$F:$F,'Source 2026'!$B:$B,$A241,'Source 2026'!$A:$A,"Quantity (units)")+SUMIFS('Source 2026'!$H:$H,'Source 2026'!$B:$B,$A241,'Source 2026'!$A:$A,"Quantity (units)")+SUMIFS('Source 2026'!$M:$M,'Source 2026'!$B:$B,$A241,'Source 2026'!$A:$A,"Quantity (units)")+SUMIFS('Source 2026'!$N:$N,'Source 2026'!$B:$B,$A241,'Source 2026'!$A:$A,"Quantity (units)")+SUMIFS('Source 2026'!$S:$S,'Source 2026'!$B:$B,$A241,'Source 2026'!$A:$A,"Quantity (units)")+SUMIFS('Source 2026'!$U:$U,'Source 2026'!$B:$B,$A241,'Source 2026'!$A:$A,"Quantity (units)")+SUMIFS('Source 2026'!$D:$D,'Source 2026'!$B:$B,$A241,'Source 2026'!$A:$A,"Quantity (units)")+SUMIFS('Source 2026'!$E:$E,'Source 2026'!$B:$B,$A241,'Source 2026'!$A:$A,"Quantity (units)")+SUMIFS('Source 2026'!$G:$G,'Source 2026'!$B:$B,$A241,'Source 2026'!$A:$A,"Quantity (units)")</f>
        <v>0</v>
      </c>
      <c r="E241" s="9" t="n">
        <f aca="false">D241*$J$5</f>
        <v>0</v>
      </c>
      <c r="F241" s="9" t="n">
        <f aca="false">E241-C241</f>
        <v>1</v>
      </c>
      <c r="G241" s="11" t="n">
        <f aca="false">IF(AND(C241=0,E241=0),0,IF(C241=0,"New",(E241-C241)/C241))</f>
        <v>-1</v>
      </c>
      <c r="H241" s="9" t="n">
        <f aca="false">SUMIFS('Source 2025'!$F:$F,'Source 2025'!$B:$B,$A241,'Source 2025'!$A:$A,"Amount (NIS)")+SUMIFS('Source 2025'!$H:$H,'Source 2025'!$B:$B,$A241,'Source 2025'!$A:$A,"Amount (NIS)")+SUMIFS('Source 2025'!$M:$M,'Source 2025'!$B:$B,$A241,'Source 2025'!$A:$A,"Amount (NIS)")+SUMIFS('Source 2025'!$N:$N,'Source 2025'!$B:$B,$A241,'Source 2025'!$A:$A,"Amount (NIS)")+SUMIFS('Source 2025'!$S:$S,'Source 2025'!$B:$B,$A241,'Source 2025'!$A:$A,"Amount (NIS)")+SUMIFS('Source 2025'!$U:$U,'Source 2025'!$B:$B,$A241,'Source 2025'!$A:$A,"Amount (NIS)")+SUMIFS('Source 2025'!$D:$D,'Source 2025'!$B:$B,$A241,'Source 2025'!$A:$A,"Amount (NIS)")+SUMIFS('Source 2025'!$E:$E,'Source 2025'!$B:$B,$A241,'Source 2025'!$A:$A,"Amount (NIS)")+SUMIFS('Source 2025'!$G:$G,'Source 2025'!$B:$B,$A241,'Source 2025'!$A:$A,"Amount (NIS)")</f>
        <v>-165.4</v>
      </c>
      <c r="I241" s="9" t="n">
        <f aca="false">SUMIFS('Source 2026'!$F:$F,'Source 2026'!$B:$B,$A241,'Source 2026'!$A:$A,"Amount (NIS)")+SUMIFS('Source 2026'!$H:$H,'Source 2026'!$B:$B,$A241,'Source 2026'!$A:$A,"Amount (NIS)")+SUMIFS('Source 2026'!$M:$M,'Source 2026'!$B:$B,$A241,'Source 2026'!$A:$A,"Amount (NIS)")+SUMIFS('Source 2026'!$N:$N,'Source 2026'!$B:$B,$A241,'Source 2026'!$A:$A,"Amount (NIS)")+SUMIFS('Source 2026'!$S:$S,'Source 2026'!$B:$B,$A241,'Source 2026'!$A:$A,"Amount (NIS)")+SUMIFS('Source 2026'!$U:$U,'Source 2026'!$B:$B,$A241,'Source 2026'!$A:$A,"Amount (NIS)")+SUMIFS('Source 2026'!$D:$D,'Source 2026'!$B:$B,$A241,'Source 2026'!$A:$A,"Amount (NIS)")+SUMIFS('Source 2026'!$E:$E,'Source 2026'!$B:$B,$A241,'Source 2026'!$A:$A,"Amount (NIS)")+SUMIFS('Source 2026'!$G:$G,'Source 2026'!$B:$B,$A241,'Source 2026'!$A:$A,"Amount (NIS)")</f>
        <v>0</v>
      </c>
      <c r="J241" s="9" t="n">
        <f aca="false">I241*$J$5</f>
        <v>0</v>
      </c>
      <c r="K241" s="9" t="n">
        <f aca="false">J241-H241</f>
        <v>165.4</v>
      </c>
      <c r="L241" s="11" t="n">
        <f aca="false">IF(AND(H241=0,J241=0),0,IF(H241=0,"New",(J241-H241)/H241))</f>
        <v>-1</v>
      </c>
    </row>
    <row r="242" customFormat="false" ht="15" hidden="false" customHeight="true" outlineLevel="0" collapsed="false">
      <c r="A242" s="8" t="s">
        <v>311</v>
      </c>
      <c r="B242" s="8" t="str">
        <f aca="false">IFERROR(INDEX('Source 2026'!$C:$C,MATCH($A242,'Source 2026'!$B:$B,0)),IFERROR(INDEX('Source 2025'!$C:$C,MATCH($A242,'Source 2025'!$B:$B,0)),""))</f>
        <v>S מגן קרסול שמאל</v>
      </c>
      <c r="C242" s="9" t="n">
        <f aca="false">SUMIFS('Source 2025'!$F:$F,'Source 2025'!$B:$B,$A242,'Source 2025'!$A:$A,"Quantity (units)")+SUMIFS('Source 2025'!$H:$H,'Source 2025'!$B:$B,$A242,'Source 2025'!$A:$A,"Quantity (units)")+SUMIFS('Source 2025'!$M:$M,'Source 2025'!$B:$B,$A242,'Source 2025'!$A:$A,"Quantity (units)")+SUMIFS('Source 2025'!$N:$N,'Source 2025'!$B:$B,$A242,'Source 2025'!$A:$A,"Quantity (units)")+SUMIFS('Source 2025'!$S:$S,'Source 2025'!$B:$B,$A242,'Source 2025'!$A:$A,"Quantity (units)")+SUMIFS('Source 2025'!$U:$U,'Source 2025'!$B:$B,$A242,'Source 2025'!$A:$A,"Quantity (units)")+SUMIFS('Source 2025'!$D:$D,'Source 2025'!$B:$B,$A242,'Source 2025'!$A:$A,"Quantity (units)")+SUMIFS('Source 2025'!$E:$E,'Source 2025'!$B:$B,$A242,'Source 2025'!$A:$A,"Quantity (units)")+SUMIFS('Source 2025'!$G:$G,'Source 2025'!$B:$B,$A242,'Source 2025'!$A:$A,"Quantity (units)")</f>
        <v>12</v>
      </c>
      <c r="D242" s="9" t="n">
        <f aca="false">SUMIFS('Source 2026'!$F:$F,'Source 2026'!$B:$B,$A242,'Source 2026'!$A:$A,"Quantity (units)")+SUMIFS('Source 2026'!$H:$H,'Source 2026'!$B:$B,$A242,'Source 2026'!$A:$A,"Quantity (units)")+SUMIFS('Source 2026'!$M:$M,'Source 2026'!$B:$B,$A242,'Source 2026'!$A:$A,"Quantity (units)")+SUMIFS('Source 2026'!$N:$N,'Source 2026'!$B:$B,$A242,'Source 2026'!$A:$A,"Quantity (units)")+SUMIFS('Source 2026'!$S:$S,'Source 2026'!$B:$B,$A242,'Source 2026'!$A:$A,"Quantity (units)")+SUMIFS('Source 2026'!$U:$U,'Source 2026'!$B:$B,$A242,'Source 2026'!$A:$A,"Quantity (units)")+SUMIFS('Source 2026'!$D:$D,'Source 2026'!$B:$B,$A242,'Source 2026'!$A:$A,"Quantity (units)")+SUMIFS('Source 2026'!$E:$E,'Source 2026'!$B:$B,$A242,'Source 2026'!$A:$A,"Quantity (units)")+SUMIFS('Source 2026'!$G:$G,'Source 2026'!$B:$B,$A242,'Source 2026'!$A:$A,"Quantity (units)")</f>
        <v>8</v>
      </c>
      <c r="E242" s="9" t="n">
        <f aca="false">D242*$J$5</f>
        <v>10.1052631578947</v>
      </c>
      <c r="F242" s="9" t="n">
        <f aca="false">E242-C242</f>
        <v>-1.89473684210526</v>
      </c>
      <c r="G242" s="11" t="n">
        <f aca="false">IF(AND(C242=0,E242=0),0,IF(C242=0,"New",(E242-C242)/C242))</f>
        <v>-0.157894736842105</v>
      </c>
      <c r="H242" s="9" t="n">
        <f aca="false">SUMIFS('Source 2025'!$F:$F,'Source 2025'!$B:$B,$A242,'Source 2025'!$A:$A,"Amount (NIS)")+SUMIFS('Source 2025'!$H:$H,'Source 2025'!$B:$B,$A242,'Source 2025'!$A:$A,"Amount (NIS)")+SUMIFS('Source 2025'!$M:$M,'Source 2025'!$B:$B,$A242,'Source 2025'!$A:$A,"Amount (NIS)")+SUMIFS('Source 2025'!$N:$N,'Source 2025'!$B:$B,$A242,'Source 2025'!$A:$A,"Amount (NIS)")+SUMIFS('Source 2025'!$S:$S,'Source 2025'!$B:$B,$A242,'Source 2025'!$A:$A,"Amount (NIS)")+SUMIFS('Source 2025'!$U:$U,'Source 2025'!$B:$B,$A242,'Source 2025'!$A:$A,"Amount (NIS)")+SUMIFS('Source 2025'!$D:$D,'Source 2025'!$B:$B,$A242,'Source 2025'!$A:$A,"Amount (NIS)")+SUMIFS('Source 2025'!$E:$E,'Source 2025'!$B:$B,$A242,'Source 2025'!$A:$A,"Amount (NIS)")+SUMIFS('Source 2025'!$G:$G,'Source 2025'!$B:$B,$A242,'Source 2025'!$A:$A,"Amount (NIS)")</f>
        <v>948.9</v>
      </c>
      <c r="I242" s="9" t="n">
        <f aca="false">SUMIFS('Source 2026'!$F:$F,'Source 2026'!$B:$B,$A242,'Source 2026'!$A:$A,"Amount (NIS)")+SUMIFS('Source 2026'!$H:$H,'Source 2026'!$B:$B,$A242,'Source 2026'!$A:$A,"Amount (NIS)")+SUMIFS('Source 2026'!$M:$M,'Source 2026'!$B:$B,$A242,'Source 2026'!$A:$A,"Amount (NIS)")+SUMIFS('Source 2026'!$N:$N,'Source 2026'!$B:$B,$A242,'Source 2026'!$A:$A,"Amount (NIS)")+SUMIFS('Source 2026'!$S:$S,'Source 2026'!$B:$B,$A242,'Source 2026'!$A:$A,"Amount (NIS)")+SUMIFS('Source 2026'!$U:$U,'Source 2026'!$B:$B,$A242,'Source 2026'!$A:$A,"Amount (NIS)")+SUMIFS('Source 2026'!$D:$D,'Source 2026'!$B:$B,$A242,'Source 2026'!$A:$A,"Amount (NIS)")+SUMIFS('Source 2026'!$E:$E,'Source 2026'!$B:$B,$A242,'Source 2026'!$A:$A,"Amount (NIS)")+SUMIFS('Source 2026'!$G:$G,'Source 2026'!$B:$B,$A242,'Source 2026'!$A:$A,"Amount (NIS)")</f>
        <v>785.6</v>
      </c>
      <c r="J242" s="9" t="n">
        <f aca="false">I242*$J$5</f>
        <v>992.336842105263</v>
      </c>
      <c r="K242" s="9" t="n">
        <f aca="false">J242-H242</f>
        <v>43.4368421052632</v>
      </c>
      <c r="L242" s="11" t="n">
        <f aca="false">IF(AND(H242=0,J242=0),0,IF(H242=0,"New",(J242-H242)/H242))</f>
        <v>0.0457759954739837</v>
      </c>
    </row>
    <row r="243" customFormat="false" ht="15" hidden="false" customHeight="true" outlineLevel="0" collapsed="false">
      <c r="A243" s="8" t="s">
        <v>312</v>
      </c>
      <c r="B243" s="8" t="str">
        <f aca="false">IFERROR(INDEX('Source 2026'!$C:$C,MATCH($A243,'Source 2026'!$B:$B,0)),IFERROR(INDEX('Source 2025'!$C:$C,MATCH($A243,'Source 2025'!$B:$B,0)),""))</f>
        <v>L-מדרס סיליקון לנעלי עקב</v>
      </c>
      <c r="C243" s="9" t="n">
        <f aca="false">SUMIFS('Source 2025'!$F:$F,'Source 2025'!$B:$B,$A243,'Source 2025'!$A:$A,"Quantity (units)")+SUMIFS('Source 2025'!$H:$H,'Source 2025'!$B:$B,$A243,'Source 2025'!$A:$A,"Quantity (units)")+SUMIFS('Source 2025'!$M:$M,'Source 2025'!$B:$B,$A243,'Source 2025'!$A:$A,"Quantity (units)")+SUMIFS('Source 2025'!$N:$N,'Source 2025'!$B:$B,$A243,'Source 2025'!$A:$A,"Quantity (units)")+SUMIFS('Source 2025'!$S:$S,'Source 2025'!$B:$B,$A243,'Source 2025'!$A:$A,"Quantity (units)")+SUMIFS('Source 2025'!$U:$U,'Source 2025'!$B:$B,$A243,'Source 2025'!$A:$A,"Quantity (units)")+SUMIFS('Source 2025'!$D:$D,'Source 2025'!$B:$B,$A243,'Source 2025'!$A:$A,"Quantity (units)")+SUMIFS('Source 2025'!$E:$E,'Source 2025'!$B:$B,$A243,'Source 2025'!$A:$A,"Quantity (units)")+SUMIFS('Source 2025'!$G:$G,'Source 2025'!$B:$B,$A243,'Source 2025'!$A:$A,"Quantity (units)")</f>
        <v>11</v>
      </c>
      <c r="D243" s="9" t="n">
        <f aca="false">SUMIFS('Source 2026'!$F:$F,'Source 2026'!$B:$B,$A243,'Source 2026'!$A:$A,"Quantity (units)")+SUMIFS('Source 2026'!$H:$H,'Source 2026'!$B:$B,$A243,'Source 2026'!$A:$A,"Quantity (units)")+SUMIFS('Source 2026'!$M:$M,'Source 2026'!$B:$B,$A243,'Source 2026'!$A:$A,"Quantity (units)")+SUMIFS('Source 2026'!$N:$N,'Source 2026'!$B:$B,$A243,'Source 2026'!$A:$A,"Quantity (units)")+SUMIFS('Source 2026'!$S:$S,'Source 2026'!$B:$B,$A243,'Source 2026'!$A:$A,"Quantity (units)")+SUMIFS('Source 2026'!$U:$U,'Source 2026'!$B:$B,$A243,'Source 2026'!$A:$A,"Quantity (units)")+SUMIFS('Source 2026'!$D:$D,'Source 2026'!$B:$B,$A243,'Source 2026'!$A:$A,"Quantity (units)")+SUMIFS('Source 2026'!$E:$E,'Source 2026'!$B:$B,$A243,'Source 2026'!$A:$A,"Quantity (units)")+SUMIFS('Source 2026'!$G:$G,'Source 2026'!$B:$B,$A243,'Source 2026'!$A:$A,"Quantity (units)")</f>
        <v>7</v>
      </c>
      <c r="E243" s="9" t="n">
        <f aca="false">D243*$J$5</f>
        <v>8.84210526315789</v>
      </c>
      <c r="F243" s="9" t="n">
        <f aca="false">E243-C243</f>
        <v>-2.15789473684211</v>
      </c>
      <c r="G243" s="11" t="n">
        <f aca="false">IF(AND(C243=0,E243=0),0,IF(C243=0,"New",(E243-C243)/C243))</f>
        <v>-0.196172248803828</v>
      </c>
      <c r="H243" s="9" t="n">
        <f aca="false">SUMIFS('Source 2025'!$F:$F,'Source 2025'!$B:$B,$A243,'Source 2025'!$A:$A,"Amount (NIS)")+SUMIFS('Source 2025'!$H:$H,'Source 2025'!$B:$B,$A243,'Source 2025'!$A:$A,"Amount (NIS)")+SUMIFS('Source 2025'!$M:$M,'Source 2025'!$B:$B,$A243,'Source 2025'!$A:$A,"Amount (NIS)")+SUMIFS('Source 2025'!$N:$N,'Source 2025'!$B:$B,$A243,'Source 2025'!$A:$A,"Amount (NIS)")+SUMIFS('Source 2025'!$S:$S,'Source 2025'!$B:$B,$A243,'Source 2025'!$A:$A,"Amount (NIS)")+SUMIFS('Source 2025'!$U:$U,'Source 2025'!$B:$B,$A243,'Source 2025'!$A:$A,"Amount (NIS)")+SUMIFS('Source 2025'!$D:$D,'Source 2025'!$B:$B,$A243,'Source 2025'!$A:$A,"Amount (NIS)")+SUMIFS('Source 2025'!$E:$E,'Source 2025'!$B:$B,$A243,'Source 2025'!$A:$A,"Amount (NIS)")+SUMIFS('Source 2025'!$G:$G,'Source 2025'!$B:$B,$A243,'Source 2025'!$A:$A,"Amount (NIS)")</f>
        <v>450.9</v>
      </c>
      <c r="I243" s="9" t="n">
        <f aca="false">SUMIFS('Source 2026'!$F:$F,'Source 2026'!$B:$B,$A243,'Source 2026'!$A:$A,"Amount (NIS)")+SUMIFS('Source 2026'!$H:$H,'Source 2026'!$B:$B,$A243,'Source 2026'!$A:$A,"Amount (NIS)")+SUMIFS('Source 2026'!$M:$M,'Source 2026'!$B:$B,$A243,'Source 2026'!$A:$A,"Amount (NIS)")+SUMIFS('Source 2026'!$N:$N,'Source 2026'!$B:$B,$A243,'Source 2026'!$A:$A,"Amount (NIS)")+SUMIFS('Source 2026'!$S:$S,'Source 2026'!$B:$B,$A243,'Source 2026'!$A:$A,"Amount (NIS)")+SUMIFS('Source 2026'!$U:$U,'Source 2026'!$B:$B,$A243,'Source 2026'!$A:$A,"Amount (NIS)")+SUMIFS('Source 2026'!$D:$D,'Source 2026'!$B:$B,$A243,'Source 2026'!$A:$A,"Amount (NIS)")+SUMIFS('Source 2026'!$E:$E,'Source 2026'!$B:$B,$A243,'Source 2026'!$A:$A,"Amount (NIS)")+SUMIFS('Source 2026'!$G:$G,'Source 2026'!$B:$B,$A243,'Source 2026'!$A:$A,"Amount (NIS)")</f>
        <v>293.4</v>
      </c>
      <c r="J243" s="9" t="n">
        <f aca="false">I243*$J$5</f>
        <v>370.610526315789</v>
      </c>
      <c r="K243" s="9" t="n">
        <f aca="false">J243-H243</f>
        <v>-80.2894736842106</v>
      </c>
      <c r="L243" s="11" t="n">
        <f aca="false">IF(AND(H243=0,J243=0),0,IF(H243=0,"New",(J243-H243)/H243))</f>
        <v>-0.178064922786007</v>
      </c>
    </row>
    <row r="244" customFormat="false" ht="15" hidden="false" customHeight="true" outlineLevel="0" collapsed="false">
      <c r="A244" s="8" t="s">
        <v>313</v>
      </c>
      <c r="B244" s="8" t="str">
        <f aca="false">IFERROR(INDEX('Source 2026'!$C:$C,MATCH($A244,'Source 2026'!$B:$B,0)),IFERROR(INDEX('Source 2025'!$C:$C,MATCH($A244,'Source 2025'!$B:$B,0)),""))</f>
        <v>L מתלה אשכים לספורטאים</v>
      </c>
      <c r="C244" s="9" t="n">
        <f aca="false">SUMIFS('Source 2025'!$F:$F,'Source 2025'!$B:$B,$A244,'Source 2025'!$A:$A,"Quantity (units)")+SUMIFS('Source 2025'!$H:$H,'Source 2025'!$B:$B,$A244,'Source 2025'!$A:$A,"Quantity (units)")+SUMIFS('Source 2025'!$M:$M,'Source 2025'!$B:$B,$A244,'Source 2025'!$A:$A,"Quantity (units)")+SUMIFS('Source 2025'!$N:$N,'Source 2025'!$B:$B,$A244,'Source 2025'!$A:$A,"Quantity (units)")+SUMIFS('Source 2025'!$S:$S,'Source 2025'!$B:$B,$A244,'Source 2025'!$A:$A,"Quantity (units)")+SUMIFS('Source 2025'!$U:$U,'Source 2025'!$B:$B,$A244,'Source 2025'!$A:$A,"Quantity (units)")+SUMIFS('Source 2025'!$D:$D,'Source 2025'!$B:$B,$A244,'Source 2025'!$A:$A,"Quantity (units)")+SUMIFS('Source 2025'!$E:$E,'Source 2025'!$B:$B,$A244,'Source 2025'!$A:$A,"Quantity (units)")+SUMIFS('Source 2025'!$G:$G,'Source 2025'!$B:$B,$A244,'Source 2025'!$A:$A,"Quantity (units)")</f>
        <v>5</v>
      </c>
      <c r="D244" s="9" t="n">
        <f aca="false">SUMIFS('Source 2026'!$F:$F,'Source 2026'!$B:$B,$A244,'Source 2026'!$A:$A,"Quantity (units)")+SUMIFS('Source 2026'!$H:$H,'Source 2026'!$B:$B,$A244,'Source 2026'!$A:$A,"Quantity (units)")+SUMIFS('Source 2026'!$M:$M,'Source 2026'!$B:$B,$A244,'Source 2026'!$A:$A,"Quantity (units)")+SUMIFS('Source 2026'!$N:$N,'Source 2026'!$B:$B,$A244,'Source 2026'!$A:$A,"Quantity (units)")+SUMIFS('Source 2026'!$S:$S,'Source 2026'!$B:$B,$A244,'Source 2026'!$A:$A,"Quantity (units)")+SUMIFS('Source 2026'!$U:$U,'Source 2026'!$B:$B,$A244,'Source 2026'!$A:$A,"Quantity (units)")+SUMIFS('Source 2026'!$D:$D,'Source 2026'!$B:$B,$A244,'Source 2026'!$A:$A,"Quantity (units)")+SUMIFS('Source 2026'!$E:$E,'Source 2026'!$B:$B,$A244,'Source 2026'!$A:$A,"Quantity (units)")+SUMIFS('Source 2026'!$G:$G,'Source 2026'!$B:$B,$A244,'Source 2026'!$A:$A,"Quantity (units)")</f>
        <v>3</v>
      </c>
      <c r="E244" s="9" t="n">
        <f aca="false">D244*$J$5</f>
        <v>3.78947368421053</v>
      </c>
      <c r="F244" s="9" t="n">
        <f aca="false">E244-C244</f>
        <v>-1.21052631578947</v>
      </c>
      <c r="G244" s="11" t="n">
        <f aca="false">IF(AND(C244=0,E244=0),0,IF(C244=0,"New",(E244-C244)/C244))</f>
        <v>-0.242105263157895</v>
      </c>
      <c r="H244" s="9" t="n">
        <f aca="false">SUMIFS('Source 2025'!$F:$F,'Source 2025'!$B:$B,$A244,'Source 2025'!$A:$A,"Amount (NIS)")+SUMIFS('Source 2025'!$H:$H,'Source 2025'!$B:$B,$A244,'Source 2025'!$A:$A,"Amount (NIS)")+SUMIFS('Source 2025'!$M:$M,'Source 2025'!$B:$B,$A244,'Source 2025'!$A:$A,"Amount (NIS)")+SUMIFS('Source 2025'!$N:$N,'Source 2025'!$B:$B,$A244,'Source 2025'!$A:$A,"Amount (NIS)")+SUMIFS('Source 2025'!$S:$S,'Source 2025'!$B:$B,$A244,'Source 2025'!$A:$A,"Amount (NIS)")+SUMIFS('Source 2025'!$U:$U,'Source 2025'!$B:$B,$A244,'Source 2025'!$A:$A,"Amount (NIS)")+SUMIFS('Source 2025'!$D:$D,'Source 2025'!$B:$B,$A244,'Source 2025'!$A:$A,"Amount (NIS)")+SUMIFS('Source 2025'!$E:$E,'Source 2025'!$B:$B,$A244,'Source 2025'!$A:$A,"Amount (NIS)")+SUMIFS('Source 2025'!$G:$G,'Source 2025'!$B:$B,$A244,'Source 2025'!$A:$A,"Amount (NIS)")</f>
        <v>402.3</v>
      </c>
      <c r="I244" s="9" t="n">
        <f aca="false">SUMIFS('Source 2026'!$F:$F,'Source 2026'!$B:$B,$A244,'Source 2026'!$A:$A,"Amount (NIS)")+SUMIFS('Source 2026'!$H:$H,'Source 2026'!$B:$B,$A244,'Source 2026'!$A:$A,"Amount (NIS)")+SUMIFS('Source 2026'!$M:$M,'Source 2026'!$B:$B,$A244,'Source 2026'!$A:$A,"Amount (NIS)")+SUMIFS('Source 2026'!$N:$N,'Source 2026'!$B:$B,$A244,'Source 2026'!$A:$A,"Amount (NIS)")+SUMIFS('Source 2026'!$S:$S,'Source 2026'!$B:$B,$A244,'Source 2026'!$A:$A,"Amount (NIS)")+SUMIFS('Source 2026'!$U:$U,'Source 2026'!$B:$B,$A244,'Source 2026'!$A:$A,"Amount (NIS)")+SUMIFS('Source 2026'!$D:$D,'Source 2026'!$B:$B,$A244,'Source 2026'!$A:$A,"Amount (NIS)")+SUMIFS('Source 2026'!$E:$E,'Source 2026'!$B:$B,$A244,'Source 2026'!$A:$A,"Amount (NIS)")+SUMIFS('Source 2026'!$G:$G,'Source 2026'!$B:$B,$A244,'Source 2026'!$A:$A,"Amount (NIS)")</f>
        <v>245.7</v>
      </c>
      <c r="J244" s="9" t="n">
        <f aca="false">I244*$J$5</f>
        <v>310.357894736842</v>
      </c>
      <c r="K244" s="9" t="n">
        <f aca="false">J244-H244</f>
        <v>-91.9421052631579</v>
      </c>
      <c r="L244" s="11" t="n">
        <f aca="false">IF(AND(H244=0,J244=0),0,IF(H244=0,"New",(J244-H244)/H244))</f>
        <v>-0.22854115153656</v>
      </c>
    </row>
    <row r="245" customFormat="false" ht="15" hidden="false" customHeight="true" outlineLevel="0" collapsed="false">
      <c r="A245" s="8" t="s">
        <v>314</v>
      </c>
      <c r="B245" s="8" t="str">
        <f aca="false">IFERROR(INDEX('Source 2026'!$C:$C,MATCH($A245,'Source 2026'!$B:$B,0)),IFERROR(INDEX('Source 2025'!$C:$C,MATCH($A245,'Source 2025'!$B:$B,0)),""))</f>
        <v>קיבוע לאצבע הדק</v>
      </c>
      <c r="C245" s="9" t="n">
        <f aca="false">SUMIFS('Source 2025'!$F:$F,'Source 2025'!$B:$B,$A245,'Source 2025'!$A:$A,"Quantity (units)")+SUMIFS('Source 2025'!$H:$H,'Source 2025'!$B:$B,$A245,'Source 2025'!$A:$A,"Quantity (units)")+SUMIFS('Source 2025'!$M:$M,'Source 2025'!$B:$B,$A245,'Source 2025'!$A:$A,"Quantity (units)")+SUMIFS('Source 2025'!$N:$N,'Source 2025'!$B:$B,$A245,'Source 2025'!$A:$A,"Quantity (units)")+SUMIFS('Source 2025'!$S:$S,'Source 2025'!$B:$B,$A245,'Source 2025'!$A:$A,"Quantity (units)")+SUMIFS('Source 2025'!$U:$U,'Source 2025'!$B:$B,$A245,'Source 2025'!$A:$A,"Quantity (units)")+SUMIFS('Source 2025'!$D:$D,'Source 2025'!$B:$B,$A245,'Source 2025'!$A:$A,"Quantity (units)")+SUMIFS('Source 2025'!$E:$E,'Source 2025'!$B:$B,$A245,'Source 2025'!$A:$A,"Quantity (units)")+SUMIFS('Source 2025'!$G:$G,'Source 2025'!$B:$B,$A245,'Source 2025'!$A:$A,"Quantity (units)")</f>
        <v>44</v>
      </c>
      <c r="D245" s="9" t="n">
        <f aca="false">SUMIFS('Source 2026'!$F:$F,'Source 2026'!$B:$B,$A245,'Source 2026'!$A:$A,"Quantity (units)")+SUMIFS('Source 2026'!$H:$H,'Source 2026'!$B:$B,$A245,'Source 2026'!$A:$A,"Quantity (units)")+SUMIFS('Source 2026'!$M:$M,'Source 2026'!$B:$B,$A245,'Source 2026'!$A:$A,"Quantity (units)")+SUMIFS('Source 2026'!$N:$N,'Source 2026'!$B:$B,$A245,'Source 2026'!$A:$A,"Quantity (units)")+SUMIFS('Source 2026'!$S:$S,'Source 2026'!$B:$B,$A245,'Source 2026'!$A:$A,"Quantity (units)")+SUMIFS('Source 2026'!$U:$U,'Source 2026'!$B:$B,$A245,'Source 2026'!$A:$A,"Quantity (units)")+SUMIFS('Source 2026'!$D:$D,'Source 2026'!$B:$B,$A245,'Source 2026'!$A:$A,"Quantity (units)")+SUMIFS('Source 2026'!$E:$E,'Source 2026'!$B:$B,$A245,'Source 2026'!$A:$A,"Quantity (units)")+SUMIFS('Source 2026'!$G:$G,'Source 2026'!$B:$B,$A245,'Source 2026'!$A:$A,"Quantity (units)")</f>
        <v>38</v>
      </c>
      <c r="E245" s="9" t="n">
        <f aca="false">D245*$J$5</f>
        <v>48</v>
      </c>
      <c r="F245" s="9" t="n">
        <f aca="false">E245-C245</f>
        <v>4</v>
      </c>
      <c r="G245" s="11" t="n">
        <f aca="false">IF(AND(C245=0,E245=0),0,IF(C245=0,"New",(E245-C245)/C245))</f>
        <v>0.0909090909090909</v>
      </c>
      <c r="H245" s="9" t="n">
        <f aca="false">SUMIFS('Source 2025'!$F:$F,'Source 2025'!$B:$B,$A245,'Source 2025'!$A:$A,"Amount (NIS)")+SUMIFS('Source 2025'!$H:$H,'Source 2025'!$B:$B,$A245,'Source 2025'!$A:$A,"Amount (NIS)")+SUMIFS('Source 2025'!$M:$M,'Source 2025'!$B:$B,$A245,'Source 2025'!$A:$A,"Amount (NIS)")+SUMIFS('Source 2025'!$N:$N,'Source 2025'!$B:$B,$A245,'Source 2025'!$A:$A,"Amount (NIS)")+SUMIFS('Source 2025'!$S:$S,'Source 2025'!$B:$B,$A245,'Source 2025'!$A:$A,"Amount (NIS)")+SUMIFS('Source 2025'!$U:$U,'Source 2025'!$B:$B,$A245,'Source 2025'!$A:$A,"Amount (NIS)")+SUMIFS('Source 2025'!$D:$D,'Source 2025'!$B:$B,$A245,'Source 2025'!$A:$A,"Amount (NIS)")+SUMIFS('Source 2025'!$E:$E,'Source 2025'!$B:$B,$A245,'Source 2025'!$A:$A,"Amount (NIS)")+SUMIFS('Source 2025'!$G:$G,'Source 2025'!$B:$B,$A245,'Source 2025'!$A:$A,"Amount (NIS)")</f>
        <v>1297.9</v>
      </c>
      <c r="I245" s="9" t="n">
        <f aca="false">SUMIFS('Source 2026'!$F:$F,'Source 2026'!$B:$B,$A245,'Source 2026'!$A:$A,"Amount (NIS)")+SUMIFS('Source 2026'!$H:$H,'Source 2026'!$B:$B,$A245,'Source 2026'!$A:$A,"Amount (NIS)")+SUMIFS('Source 2026'!$M:$M,'Source 2026'!$B:$B,$A245,'Source 2026'!$A:$A,"Amount (NIS)")+SUMIFS('Source 2026'!$N:$N,'Source 2026'!$B:$B,$A245,'Source 2026'!$A:$A,"Amount (NIS)")+SUMIFS('Source 2026'!$S:$S,'Source 2026'!$B:$B,$A245,'Source 2026'!$A:$A,"Amount (NIS)")+SUMIFS('Source 2026'!$U:$U,'Source 2026'!$B:$B,$A245,'Source 2026'!$A:$A,"Amount (NIS)")+SUMIFS('Source 2026'!$D:$D,'Source 2026'!$B:$B,$A245,'Source 2026'!$A:$A,"Amount (NIS)")+SUMIFS('Source 2026'!$E:$E,'Source 2026'!$B:$B,$A245,'Source 2026'!$A:$A,"Amount (NIS)")+SUMIFS('Source 2026'!$G:$G,'Source 2026'!$B:$B,$A245,'Source 2026'!$A:$A,"Amount (NIS)")</f>
        <v>1141.8</v>
      </c>
      <c r="J245" s="9" t="n">
        <f aca="false">I245*$J$5</f>
        <v>1442.27368421053</v>
      </c>
      <c r="K245" s="9" t="n">
        <f aca="false">J245-H245</f>
        <v>144.373684210526</v>
      </c>
      <c r="L245" s="11" t="n">
        <f aca="false">IF(AND(H245=0,J245=0),0,IF(H245=0,"New",(J245-H245)/H245))</f>
        <v>0.111236369682199</v>
      </c>
    </row>
    <row r="246" customFormat="false" ht="15" hidden="false" customHeight="true" outlineLevel="0" collapsed="false">
      <c r="A246" s="8" t="s">
        <v>315</v>
      </c>
      <c r="B246" s="8" t="str">
        <f aca="false">IFERROR(INDEX('Source 2026'!$C:$C,MATCH($A246,'Source 2026'!$B:$B,0)),IFERROR(INDEX('Source 2025'!$C:$C,MATCH($A246,'Source 2025'!$B:$B,0)),""))</f>
        <v>S חגורת גב לנשים</v>
      </c>
      <c r="C246" s="9" t="n">
        <f aca="false">SUMIFS('Source 2025'!$F:$F,'Source 2025'!$B:$B,$A246,'Source 2025'!$A:$A,"Quantity (units)")+SUMIFS('Source 2025'!$H:$H,'Source 2025'!$B:$B,$A246,'Source 2025'!$A:$A,"Quantity (units)")+SUMIFS('Source 2025'!$M:$M,'Source 2025'!$B:$B,$A246,'Source 2025'!$A:$A,"Quantity (units)")+SUMIFS('Source 2025'!$N:$N,'Source 2025'!$B:$B,$A246,'Source 2025'!$A:$A,"Quantity (units)")+SUMIFS('Source 2025'!$S:$S,'Source 2025'!$B:$B,$A246,'Source 2025'!$A:$A,"Quantity (units)")+SUMIFS('Source 2025'!$U:$U,'Source 2025'!$B:$B,$A246,'Source 2025'!$A:$A,"Quantity (units)")+SUMIFS('Source 2025'!$D:$D,'Source 2025'!$B:$B,$A246,'Source 2025'!$A:$A,"Quantity (units)")+SUMIFS('Source 2025'!$E:$E,'Source 2025'!$B:$B,$A246,'Source 2025'!$A:$A,"Quantity (units)")+SUMIFS('Source 2025'!$G:$G,'Source 2025'!$B:$B,$A246,'Source 2025'!$A:$A,"Quantity (units)")</f>
        <v>1</v>
      </c>
      <c r="D246" s="9" t="n">
        <f aca="false">SUMIFS('Source 2026'!$F:$F,'Source 2026'!$B:$B,$A246,'Source 2026'!$A:$A,"Quantity (units)")+SUMIFS('Source 2026'!$H:$H,'Source 2026'!$B:$B,$A246,'Source 2026'!$A:$A,"Quantity (units)")+SUMIFS('Source 2026'!$M:$M,'Source 2026'!$B:$B,$A246,'Source 2026'!$A:$A,"Quantity (units)")+SUMIFS('Source 2026'!$N:$N,'Source 2026'!$B:$B,$A246,'Source 2026'!$A:$A,"Quantity (units)")+SUMIFS('Source 2026'!$S:$S,'Source 2026'!$B:$B,$A246,'Source 2026'!$A:$A,"Quantity (units)")+SUMIFS('Source 2026'!$U:$U,'Source 2026'!$B:$B,$A246,'Source 2026'!$A:$A,"Quantity (units)")+SUMIFS('Source 2026'!$D:$D,'Source 2026'!$B:$B,$A246,'Source 2026'!$A:$A,"Quantity (units)")+SUMIFS('Source 2026'!$E:$E,'Source 2026'!$B:$B,$A246,'Source 2026'!$A:$A,"Quantity (units)")+SUMIFS('Source 2026'!$G:$G,'Source 2026'!$B:$B,$A246,'Source 2026'!$A:$A,"Quantity (units)")</f>
        <v>0</v>
      </c>
      <c r="E246" s="9" t="n">
        <f aca="false">D246*$J$5</f>
        <v>0</v>
      </c>
      <c r="F246" s="9" t="n">
        <f aca="false">E246-C246</f>
        <v>-1</v>
      </c>
      <c r="G246" s="11" t="n">
        <f aca="false">IF(AND(C246=0,E246=0),0,IF(C246=0,"New",(E246-C246)/C246))</f>
        <v>-1</v>
      </c>
      <c r="H246" s="9" t="n">
        <f aca="false">SUMIFS('Source 2025'!$F:$F,'Source 2025'!$B:$B,$A246,'Source 2025'!$A:$A,"Amount (NIS)")+SUMIFS('Source 2025'!$H:$H,'Source 2025'!$B:$B,$A246,'Source 2025'!$A:$A,"Amount (NIS)")+SUMIFS('Source 2025'!$M:$M,'Source 2025'!$B:$B,$A246,'Source 2025'!$A:$A,"Amount (NIS)")+SUMIFS('Source 2025'!$N:$N,'Source 2025'!$B:$B,$A246,'Source 2025'!$A:$A,"Amount (NIS)")+SUMIFS('Source 2025'!$S:$S,'Source 2025'!$B:$B,$A246,'Source 2025'!$A:$A,"Amount (NIS)")+SUMIFS('Source 2025'!$U:$U,'Source 2025'!$B:$B,$A246,'Source 2025'!$A:$A,"Amount (NIS)")+SUMIFS('Source 2025'!$D:$D,'Source 2025'!$B:$B,$A246,'Source 2025'!$A:$A,"Amount (NIS)")+SUMIFS('Source 2025'!$E:$E,'Source 2025'!$B:$B,$A246,'Source 2025'!$A:$A,"Amount (NIS)")+SUMIFS('Source 2025'!$G:$G,'Source 2025'!$B:$B,$A246,'Source 2025'!$A:$A,"Amount (NIS)")</f>
        <v>154.4</v>
      </c>
      <c r="I246" s="9" t="n">
        <f aca="false">SUMIFS('Source 2026'!$F:$F,'Source 2026'!$B:$B,$A246,'Source 2026'!$A:$A,"Amount (NIS)")+SUMIFS('Source 2026'!$H:$H,'Source 2026'!$B:$B,$A246,'Source 2026'!$A:$A,"Amount (NIS)")+SUMIFS('Source 2026'!$M:$M,'Source 2026'!$B:$B,$A246,'Source 2026'!$A:$A,"Amount (NIS)")+SUMIFS('Source 2026'!$N:$N,'Source 2026'!$B:$B,$A246,'Source 2026'!$A:$A,"Amount (NIS)")+SUMIFS('Source 2026'!$S:$S,'Source 2026'!$B:$B,$A246,'Source 2026'!$A:$A,"Amount (NIS)")+SUMIFS('Source 2026'!$U:$U,'Source 2026'!$B:$B,$A246,'Source 2026'!$A:$A,"Amount (NIS)")+SUMIFS('Source 2026'!$D:$D,'Source 2026'!$B:$B,$A246,'Source 2026'!$A:$A,"Amount (NIS)")+SUMIFS('Source 2026'!$E:$E,'Source 2026'!$B:$B,$A246,'Source 2026'!$A:$A,"Amount (NIS)")+SUMIFS('Source 2026'!$G:$G,'Source 2026'!$B:$B,$A246,'Source 2026'!$A:$A,"Amount (NIS)")</f>
        <v>0</v>
      </c>
      <c r="J246" s="9" t="n">
        <f aca="false">I246*$J$5</f>
        <v>0</v>
      </c>
      <c r="K246" s="9" t="n">
        <f aca="false">J246-H246</f>
        <v>-154.4</v>
      </c>
      <c r="L246" s="11" t="n">
        <f aca="false">IF(AND(H246=0,J246=0),0,IF(H246=0,"New",(J246-H246)/H246))</f>
        <v>-1</v>
      </c>
    </row>
    <row r="247" customFormat="false" ht="15" hidden="false" customHeight="true" outlineLevel="0" collapsed="false">
      <c r="A247" s="8" t="s">
        <v>316</v>
      </c>
      <c r="B247" s="8" t="str">
        <f aca="false">IFERROR(INDEX('Source 2026'!$C:$C,MATCH($A247,'Source 2026'!$B:$B,0)),IFERROR(INDEX('Source 2025'!$C:$C,MATCH($A247,'Source 2025'!$B:$B,0)),""))</f>
        <v>סד לילה לבוהן</v>
      </c>
      <c r="C247" s="9" t="n">
        <f aca="false">SUMIFS('Source 2025'!$F:$F,'Source 2025'!$B:$B,$A247,'Source 2025'!$A:$A,"Quantity (units)")+SUMIFS('Source 2025'!$H:$H,'Source 2025'!$B:$B,$A247,'Source 2025'!$A:$A,"Quantity (units)")+SUMIFS('Source 2025'!$M:$M,'Source 2025'!$B:$B,$A247,'Source 2025'!$A:$A,"Quantity (units)")+SUMIFS('Source 2025'!$N:$N,'Source 2025'!$B:$B,$A247,'Source 2025'!$A:$A,"Quantity (units)")+SUMIFS('Source 2025'!$S:$S,'Source 2025'!$B:$B,$A247,'Source 2025'!$A:$A,"Quantity (units)")+SUMIFS('Source 2025'!$U:$U,'Source 2025'!$B:$B,$A247,'Source 2025'!$A:$A,"Quantity (units)")+SUMIFS('Source 2025'!$D:$D,'Source 2025'!$B:$B,$A247,'Source 2025'!$A:$A,"Quantity (units)")+SUMIFS('Source 2025'!$E:$E,'Source 2025'!$B:$B,$A247,'Source 2025'!$A:$A,"Quantity (units)")+SUMIFS('Source 2025'!$G:$G,'Source 2025'!$B:$B,$A247,'Source 2025'!$A:$A,"Quantity (units)")</f>
        <v>-2</v>
      </c>
      <c r="D247" s="9" t="n">
        <f aca="false">SUMIFS('Source 2026'!$F:$F,'Source 2026'!$B:$B,$A247,'Source 2026'!$A:$A,"Quantity (units)")+SUMIFS('Source 2026'!$H:$H,'Source 2026'!$B:$B,$A247,'Source 2026'!$A:$A,"Quantity (units)")+SUMIFS('Source 2026'!$M:$M,'Source 2026'!$B:$B,$A247,'Source 2026'!$A:$A,"Quantity (units)")+SUMIFS('Source 2026'!$N:$N,'Source 2026'!$B:$B,$A247,'Source 2026'!$A:$A,"Quantity (units)")+SUMIFS('Source 2026'!$S:$S,'Source 2026'!$B:$B,$A247,'Source 2026'!$A:$A,"Quantity (units)")+SUMIFS('Source 2026'!$U:$U,'Source 2026'!$B:$B,$A247,'Source 2026'!$A:$A,"Quantity (units)")+SUMIFS('Source 2026'!$D:$D,'Source 2026'!$B:$B,$A247,'Source 2026'!$A:$A,"Quantity (units)")+SUMIFS('Source 2026'!$E:$E,'Source 2026'!$B:$B,$A247,'Source 2026'!$A:$A,"Quantity (units)")+SUMIFS('Source 2026'!$G:$G,'Source 2026'!$B:$B,$A247,'Source 2026'!$A:$A,"Quantity (units)")</f>
        <v>0</v>
      </c>
      <c r="E247" s="9" t="n">
        <f aca="false">D247*$J$5</f>
        <v>0</v>
      </c>
      <c r="F247" s="9" t="n">
        <f aca="false">E247-C247</f>
        <v>2</v>
      </c>
      <c r="G247" s="11" t="n">
        <f aca="false">IF(AND(C247=0,E247=0),0,IF(C247=0,"New",(E247-C247)/C247))</f>
        <v>-1</v>
      </c>
      <c r="H247" s="9" t="n">
        <f aca="false">SUMIFS('Source 2025'!$F:$F,'Source 2025'!$B:$B,$A247,'Source 2025'!$A:$A,"Amount (NIS)")+SUMIFS('Source 2025'!$H:$H,'Source 2025'!$B:$B,$A247,'Source 2025'!$A:$A,"Amount (NIS)")+SUMIFS('Source 2025'!$M:$M,'Source 2025'!$B:$B,$A247,'Source 2025'!$A:$A,"Amount (NIS)")+SUMIFS('Source 2025'!$N:$N,'Source 2025'!$B:$B,$A247,'Source 2025'!$A:$A,"Amount (NIS)")+SUMIFS('Source 2025'!$S:$S,'Source 2025'!$B:$B,$A247,'Source 2025'!$A:$A,"Amount (NIS)")+SUMIFS('Source 2025'!$U:$U,'Source 2025'!$B:$B,$A247,'Source 2025'!$A:$A,"Amount (NIS)")+SUMIFS('Source 2025'!$D:$D,'Source 2025'!$B:$B,$A247,'Source 2025'!$A:$A,"Amount (NIS)")+SUMIFS('Source 2025'!$E:$E,'Source 2025'!$B:$B,$A247,'Source 2025'!$A:$A,"Amount (NIS)")+SUMIFS('Source 2025'!$G:$G,'Source 2025'!$B:$B,$A247,'Source 2025'!$A:$A,"Amount (NIS)")</f>
        <v>-152.1</v>
      </c>
      <c r="I247" s="9" t="n">
        <f aca="false">SUMIFS('Source 2026'!$F:$F,'Source 2026'!$B:$B,$A247,'Source 2026'!$A:$A,"Amount (NIS)")+SUMIFS('Source 2026'!$H:$H,'Source 2026'!$B:$B,$A247,'Source 2026'!$A:$A,"Amount (NIS)")+SUMIFS('Source 2026'!$M:$M,'Source 2026'!$B:$B,$A247,'Source 2026'!$A:$A,"Amount (NIS)")+SUMIFS('Source 2026'!$N:$N,'Source 2026'!$B:$B,$A247,'Source 2026'!$A:$A,"Amount (NIS)")+SUMIFS('Source 2026'!$S:$S,'Source 2026'!$B:$B,$A247,'Source 2026'!$A:$A,"Amount (NIS)")+SUMIFS('Source 2026'!$U:$U,'Source 2026'!$B:$B,$A247,'Source 2026'!$A:$A,"Amount (NIS)")+SUMIFS('Source 2026'!$D:$D,'Source 2026'!$B:$B,$A247,'Source 2026'!$A:$A,"Amount (NIS)")+SUMIFS('Source 2026'!$E:$E,'Source 2026'!$B:$B,$A247,'Source 2026'!$A:$A,"Amount (NIS)")+SUMIFS('Source 2026'!$G:$G,'Source 2026'!$B:$B,$A247,'Source 2026'!$A:$A,"Amount (NIS)")</f>
        <v>0</v>
      </c>
      <c r="J247" s="9" t="n">
        <f aca="false">I247*$J$5</f>
        <v>0</v>
      </c>
      <c r="K247" s="9" t="n">
        <f aca="false">J247-H247</f>
        <v>152.1</v>
      </c>
      <c r="L247" s="11" t="n">
        <f aca="false">IF(AND(H247=0,J247=0),0,IF(H247=0,"New",(J247-H247)/H247))</f>
        <v>-1</v>
      </c>
    </row>
    <row r="248" customFormat="false" ht="15" hidden="false" customHeight="true" outlineLevel="0" collapsed="false">
      <c r="A248" s="8" t="s">
        <v>317</v>
      </c>
      <c r="B248" s="8" t="str">
        <f aca="false">IFERROR(INDEX('Source 2026'!$C:$C,MATCH($A248,'Source 2026'!$B:$B,0)),IFERROR(INDEX('Source 2025'!$C:$C,MATCH($A248,'Source 2025'!$B:$B,0)),""))</f>
        <v>יד לטניס כרית סיליק</v>
      </c>
      <c r="C248" s="9" t="n">
        <f aca="false">SUMIFS('Source 2025'!$F:$F,'Source 2025'!$B:$B,$A248,'Source 2025'!$A:$A,"Quantity (units)")+SUMIFS('Source 2025'!$H:$H,'Source 2025'!$B:$B,$A248,'Source 2025'!$A:$A,"Quantity (units)")+SUMIFS('Source 2025'!$M:$M,'Source 2025'!$B:$B,$A248,'Source 2025'!$A:$A,"Quantity (units)")+SUMIFS('Source 2025'!$N:$N,'Source 2025'!$B:$B,$A248,'Source 2025'!$A:$A,"Quantity (units)")+SUMIFS('Source 2025'!$S:$S,'Source 2025'!$B:$B,$A248,'Source 2025'!$A:$A,"Quantity (units)")+SUMIFS('Source 2025'!$U:$U,'Source 2025'!$B:$B,$A248,'Source 2025'!$A:$A,"Quantity (units)")+SUMIFS('Source 2025'!$D:$D,'Source 2025'!$B:$B,$A248,'Source 2025'!$A:$A,"Quantity (units)")+SUMIFS('Source 2025'!$E:$E,'Source 2025'!$B:$B,$A248,'Source 2025'!$A:$A,"Quantity (units)")+SUMIFS('Source 2025'!$G:$G,'Source 2025'!$B:$B,$A248,'Source 2025'!$A:$A,"Quantity (units)")</f>
        <v>1</v>
      </c>
      <c r="D248" s="9" t="n">
        <f aca="false">SUMIFS('Source 2026'!$F:$F,'Source 2026'!$B:$B,$A248,'Source 2026'!$A:$A,"Quantity (units)")+SUMIFS('Source 2026'!$H:$H,'Source 2026'!$B:$B,$A248,'Source 2026'!$A:$A,"Quantity (units)")+SUMIFS('Source 2026'!$M:$M,'Source 2026'!$B:$B,$A248,'Source 2026'!$A:$A,"Quantity (units)")+SUMIFS('Source 2026'!$N:$N,'Source 2026'!$B:$B,$A248,'Source 2026'!$A:$A,"Quantity (units)")+SUMIFS('Source 2026'!$S:$S,'Source 2026'!$B:$B,$A248,'Source 2026'!$A:$A,"Quantity (units)")+SUMIFS('Source 2026'!$U:$U,'Source 2026'!$B:$B,$A248,'Source 2026'!$A:$A,"Quantity (units)")+SUMIFS('Source 2026'!$D:$D,'Source 2026'!$B:$B,$A248,'Source 2026'!$A:$A,"Quantity (units)")+SUMIFS('Source 2026'!$E:$E,'Source 2026'!$B:$B,$A248,'Source 2026'!$A:$A,"Quantity (units)")+SUMIFS('Source 2026'!$G:$G,'Source 2026'!$B:$B,$A248,'Source 2026'!$A:$A,"Quantity (units)")</f>
        <v>2</v>
      </c>
      <c r="E248" s="9" t="n">
        <f aca="false">D248*$J$5</f>
        <v>2.52631578947368</v>
      </c>
      <c r="F248" s="9" t="n">
        <f aca="false">E248-C248</f>
        <v>1.52631578947368</v>
      </c>
      <c r="G248" s="11" t="n">
        <f aca="false">IF(AND(C248=0,E248=0),0,IF(C248=0,"New",(E248-C248)/C248))</f>
        <v>1.52631578947368</v>
      </c>
      <c r="H248" s="9" t="n">
        <f aca="false">SUMIFS('Source 2025'!$F:$F,'Source 2025'!$B:$B,$A248,'Source 2025'!$A:$A,"Amount (NIS)")+SUMIFS('Source 2025'!$H:$H,'Source 2025'!$B:$B,$A248,'Source 2025'!$A:$A,"Amount (NIS)")+SUMIFS('Source 2025'!$M:$M,'Source 2025'!$B:$B,$A248,'Source 2025'!$A:$A,"Amount (NIS)")+SUMIFS('Source 2025'!$N:$N,'Source 2025'!$B:$B,$A248,'Source 2025'!$A:$A,"Amount (NIS)")+SUMIFS('Source 2025'!$S:$S,'Source 2025'!$B:$B,$A248,'Source 2025'!$A:$A,"Amount (NIS)")+SUMIFS('Source 2025'!$U:$U,'Source 2025'!$B:$B,$A248,'Source 2025'!$A:$A,"Amount (NIS)")+SUMIFS('Source 2025'!$D:$D,'Source 2025'!$B:$B,$A248,'Source 2025'!$A:$A,"Amount (NIS)")+SUMIFS('Source 2025'!$E:$E,'Source 2025'!$B:$B,$A248,'Source 2025'!$A:$A,"Amount (NIS)")+SUMIFS('Source 2025'!$G:$G,'Source 2025'!$B:$B,$A248,'Source 2025'!$A:$A,"Amount (NIS)")</f>
        <v>141.8</v>
      </c>
      <c r="I248" s="9" t="n">
        <f aca="false">SUMIFS('Source 2026'!$F:$F,'Source 2026'!$B:$B,$A248,'Source 2026'!$A:$A,"Amount (NIS)")+SUMIFS('Source 2026'!$H:$H,'Source 2026'!$B:$B,$A248,'Source 2026'!$A:$A,"Amount (NIS)")+SUMIFS('Source 2026'!$M:$M,'Source 2026'!$B:$B,$A248,'Source 2026'!$A:$A,"Amount (NIS)")+SUMIFS('Source 2026'!$N:$N,'Source 2026'!$B:$B,$A248,'Source 2026'!$A:$A,"Amount (NIS)")+SUMIFS('Source 2026'!$S:$S,'Source 2026'!$B:$B,$A248,'Source 2026'!$A:$A,"Amount (NIS)")+SUMIFS('Source 2026'!$U:$U,'Source 2026'!$B:$B,$A248,'Source 2026'!$A:$A,"Amount (NIS)")+SUMIFS('Source 2026'!$D:$D,'Source 2026'!$B:$B,$A248,'Source 2026'!$A:$A,"Amount (NIS)")+SUMIFS('Source 2026'!$E:$E,'Source 2026'!$B:$B,$A248,'Source 2026'!$A:$A,"Amount (NIS)")+SUMIFS('Source 2026'!$G:$G,'Source 2026'!$B:$B,$A248,'Source 2026'!$A:$A,"Amount (NIS)")</f>
        <v>283.9</v>
      </c>
      <c r="J248" s="9" t="n">
        <f aca="false">I248*$J$5</f>
        <v>358.610526315789</v>
      </c>
      <c r="K248" s="9" t="n">
        <f aca="false">J248-H248</f>
        <v>216.810526315789</v>
      </c>
      <c r="L248" s="11" t="n">
        <f aca="false">IF(AND(H248=0,J248=0),0,IF(H248=0,"New",(J248-H248)/H248))</f>
        <v>1.52898819686734</v>
      </c>
    </row>
    <row r="249" customFormat="false" ht="15" hidden="false" customHeight="true" outlineLevel="0" collapsed="false">
      <c r="A249" s="8" t="s">
        <v>318</v>
      </c>
      <c r="B249" s="8" t="str">
        <f aca="false">IFERROR(INDEX('Source 2026'!$C:$C,MATCH($A249,'Source 2026'!$B:$B,0)),IFERROR(INDEX('Source 2025'!$C:$C,MATCH($A249,'Source 2025'!$B:$B,0)),""))</f>
        <v>יד לטניס כרית סילי</v>
      </c>
      <c r="C249" s="9" t="n">
        <f aca="false">SUMIFS('Source 2025'!$F:$F,'Source 2025'!$B:$B,$A249,'Source 2025'!$A:$A,"Quantity (units)")+SUMIFS('Source 2025'!$H:$H,'Source 2025'!$B:$B,$A249,'Source 2025'!$A:$A,"Quantity (units)")+SUMIFS('Source 2025'!$M:$M,'Source 2025'!$B:$B,$A249,'Source 2025'!$A:$A,"Quantity (units)")+SUMIFS('Source 2025'!$N:$N,'Source 2025'!$B:$B,$A249,'Source 2025'!$A:$A,"Quantity (units)")+SUMIFS('Source 2025'!$S:$S,'Source 2025'!$B:$B,$A249,'Source 2025'!$A:$A,"Quantity (units)")+SUMIFS('Source 2025'!$U:$U,'Source 2025'!$B:$B,$A249,'Source 2025'!$A:$A,"Quantity (units)")+SUMIFS('Source 2025'!$D:$D,'Source 2025'!$B:$B,$A249,'Source 2025'!$A:$A,"Quantity (units)")+SUMIFS('Source 2025'!$E:$E,'Source 2025'!$B:$B,$A249,'Source 2025'!$A:$A,"Quantity (units)")+SUMIFS('Source 2025'!$G:$G,'Source 2025'!$B:$B,$A249,'Source 2025'!$A:$A,"Quantity (units)")</f>
        <v>1</v>
      </c>
      <c r="D249" s="9" t="n">
        <f aca="false">SUMIFS('Source 2026'!$F:$F,'Source 2026'!$B:$B,$A249,'Source 2026'!$A:$A,"Quantity (units)")+SUMIFS('Source 2026'!$H:$H,'Source 2026'!$B:$B,$A249,'Source 2026'!$A:$A,"Quantity (units)")+SUMIFS('Source 2026'!$M:$M,'Source 2026'!$B:$B,$A249,'Source 2026'!$A:$A,"Quantity (units)")+SUMIFS('Source 2026'!$N:$N,'Source 2026'!$B:$B,$A249,'Source 2026'!$A:$A,"Quantity (units)")+SUMIFS('Source 2026'!$S:$S,'Source 2026'!$B:$B,$A249,'Source 2026'!$A:$A,"Quantity (units)")+SUMIFS('Source 2026'!$U:$U,'Source 2026'!$B:$B,$A249,'Source 2026'!$A:$A,"Quantity (units)")+SUMIFS('Source 2026'!$D:$D,'Source 2026'!$B:$B,$A249,'Source 2026'!$A:$A,"Quantity (units)")+SUMIFS('Source 2026'!$E:$E,'Source 2026'!$B:$B,$A249,'Source 2026'!$A:$A,"Quantity (units)")+SUMIFS('Source 2026'!$G:$G,'Source 2026'!$B:$B,$A249,'Source 2026'!$A:$A,"Quantity (units)")</f>
        <v>0</v>
      </c>
      <c r="E249" s="9" t="n">
        <f aca="false">D249*$J$5</f>
        <v>0</v>
      </c>
      <c r="F249" s="9" t="n">
        <f aca="false">E249-C249</f>
        <v>-1</v>
      </c>
      <c r="G249" s="11" t="n">
        <f aca="false">IF(AND(C249=0,E249=0),0,IF(C249=0,"New",(E249-C249)/C249))</f>
        <v>-1</v>
      </c>
      <c r="H249" s="9" t="n">
        <f aca="false">SUMIFS('Source 2025'!$F:$F,'Source 2025'!$B:$B,$A249,'Source 2025'!$A:$A,"Amount (NIS)")+SUMIFS('Source 2025'!$H:$H,'Source 2025'!$B:$B,$A249,'Source 2025'!$A:$A,"Amount (NIS)")+SUMIFS('Source 2025'!$M:$M,'Source 2025'!$B:$B,$A249,'Source 2025'!$A:$A,"Amount (NIS)")+SUMIFS('Source 2025'!$N:$N,'Source 2025'!$B:$B,$A249,'Source 2025'!$A:$A,"Amount (NIS)")+SUMIFS('Source 2025'!$S:$S,'Source 2025'!$B:$B,$A249,'Source 2025'!$A:$A,"Amount (NIS)")+SUMIFS('Source 2025'!$U:$U,'Source 2025'!$B:$B,$A249,'Source 2025'!$A:$A,"Amount (NIS)")+SUMIFS('Source 2025'!$D:$D,'Source 2025'!$B:$B,$A249,'Source 2025'!$A:$A,"Amount (NIS)")+SUMIFS('Source 2025'!$E:$E,'Source 2025'!$B:$B,$A249,'Source 2025'!$A:$A,"Amount (NIS)")+SUMIFS('Source 2025'!$G:$G,'Source 2025'!$B:$B,$A249,'Source 2025'!$A:$A,"Amount (NIS)")</f>
        <v>142</v>
      </c>
      <c r="I249" s="9" t="n">
        <f aca="false">SUMIFS('Source 2026'!$F:$F,'Source 2026'!$B:$B,$A249,'Source 2026'!$A:$A,"Amount (NIS)")+SUMIFS('Source 2026'!$H:$H,'Source 2026'!$B:$B,$A249,'Source 2026'!$A:$A,"Amount (NIS)")+SUMIFS('Source 2026'!$M:$M,'Source 2026'!$B:$B,$A249,'Source 2026'!$A:$A,"Amount (NIS)")+SUMIFS('Source 2026'!$N:$N,'Source 2026'!$B:$B,$A249,'Source 2026'!$A:$A,"Amount (NIS)")+SUMIFS('Source 2026'!$S:$S,'Source 2026'!$B:$B,$A249,'Source 2026'!$A:$A,"Amount (NIS)")+SUMIFS('Source 2026'!$U:$U,'Source 2026'!$B:$B,$A249,'Source 2026'!$A:$A,"Amount (NIS)")+SUMIFS('Source 2026'!$D:$D,'Source 2026'!$B:$B,$A249,'Source 2026'!$A:$A,"Amount (NIS)")+SUMIFS('Source 2026'!$E:$E,'Source 2026'!$B:$B,$A249,'Source 2026'!$A:$A,"Amount (NIS)")+SUMIFS('Source 2026'!$G:$G,'Source 2026'!$B:$B,$A249,'Source 2026'!$A:$A,"Amount (NIS)")</f>
        <v>0</v>
      </c>
      <c r="J249" s="9" t="n">
        <f aca="false">I249*$J$5</f>
        <v>0</v>
      </c>
      <c r="K249" s="9" t="n">
        <f aca="false">J249-H249</f>
        <v>-142</v>
      </c>
      <c r="L249" s="11" t="n">
        <f aca="false">IF(AND(H249=0,J249=0),0,IF(H249=0,"New",(J249-H249)/H249))</f>
        <v>-1</v>
      </c>
    </row>
    <row r="250" customFormat="false" ht="15" hidden="false" customHeight="true" outlineLevel="0" collapsed="false">
      <c r="A250" s="8" t="s">
        <v>319</v>
      </c>
      <c r="B250" s="8" t="str">
        <f aca="false">IFERROR(INDEX('Source 2026'!$C:$C,MATCH($A250,'Source 2026'!$B:$B,0)),IFERROR(INDEX('Source 2025'!$C:$C,MATCH($A250,'Source 2025'!$B:$B,0)),""))</f>
        <v>יד לטניס כרית סיליק</v>
      </c>
      <c r="C250" s="9" t="n">
        <f aca="false">SUMIFS('Source 2025'!$F:$F,'Source 2025'!$B:$B,$A250,'Source 2025'!$A:$A,"Quantity (units)")+SUMIFS('Source 2025'!$H:$H,'Source 2025'!$B:$B,$A250,'Source 2025'!$A:$A,"Quantity (units)")+SUMIFS('Source 2025'!$M:$M,'Source 2025'!$B:$B,$A250,'Source 2025'!$A:$A,"Quantity (units)")+SUMIFS('Source 2025'!$N:$N,'Source 2025'!$B:$B,$A250,'Source 2025'!$A:$A,"Quantity (units)")+SUMIFS('Source 2025'!$S:$S,'Source 2025'!$B:$B,$A250,'Source 2025'!$A:$A,"Quantity (units)")+SUMIFS('Source 2025'!$U:$U,'Source 2025'!$B:$B,$A250,'Source 2025'!$A:$A,"Quantity (units)")+SUMIFS('Source 2025'!$D:$D,'Source 2025'!$B:$B,$A250,'Source 2025'!$A:$A,"Quantity (units)")+SUMIFS('Source 2025'!$E:$E,'Source 2025'!$B:$B,$A250,'Source 2025'!$A:$A,"Quantity (units)")+SUMIFS('Source 2025'!$G:$G,'Source 2025'!$B:$B,$A250,'Source 2025'!$A:$A,"Quantity (units)")</f>
        <v>0</v>
      </c>
      <c r="D250" s="9" t="n">
        <f aca="false">SUMIFS('Source 2026'!$F:$F,'Source 2026'!$B:$B,$A250,'Source 2026'!$A:$A,"Quantity (units)")+SUMIFS('Source 2026'!$H:$H,'Source 2026'!$B:$B,$A250,'Source 2026'!$A:$A,"Quantity (units)")+SUMIFS('Source 2026'!$M:$M,'Source 2026'!$B:$B,$A250,'Source 2026'!$A:$A,"Quantity (units)")+SUMIFS('Source 2026'!$N:$N,'Source 2026'!$B:$B,$A250,'Source 2026'!$A:$A,"Quantity (units)")+SUMIFS('Source 2026'!$S:$S,'Source 2026'!$B:$B,$A250,'Source 2026'!$A:$A,"Quantity (units)")+SUMIFS('Source 2026'!$U:$U,'Source 2026'!$B:$B,$A250,'Source 2026'!$A:$A,"Quantity (units)")+SUMIFS('Source 2026'!$D:$D,'Source 2026'!$B:$B,$A250,'Source 2026'!$A:$A,"Quantity (units)")+SUMIFS('Source 2026'!$E:$E,'Source 2026'!$B:$B,$A250,'Source 2026'!$A:$A,"Quantity (units)")+SUMIFS('Source 2026'!$G:$G,'Source 2026'!$B:$B,$A250,'Source 2026'!$A:$A,"Quantity (units)")</f>
        <v>1</v>
      </c>
      <c r="E250" s="9" t="n">
        <f aca="false">D250*$J$5</f>
        <v>1.26315789473684</v>
      </c>
      <c r="F250" s="9" t="n">
        <f aca="false">E250-C250</f>
        <v>1.26315789473684</v>
      </c>
      <c r="G250" s="11" t="str">
        <f aca="false">IF(AND(C250=0,E250=0),0,IF(C250=0,"New",(E250-C250)/C250))</f>
        <v>New</v>
      </c>
      <c r="H250" s="9" t="n">
        <f aca="false">SUMIFS('Source 2025'!$F:$F,'Source 2025'!$B:$B,$A250,'Source 2025'!$A:$A,"Amount (NIS)")+SUMIFS('Source 2025'!$H:$H,'Source 2025'!$B:$B,$A250,'Source 2025'!$A:$A,"Amount (NIS)")+SUMIFS('Source 2025'!$M:$M,'Source 2025'!$B:$B,$A250,'Source 2025'!$A:$A,"Amount (NIS)")+SUMIFS('Source 2025'!$N:$N,'Source 2025'!$B:$B,$A250,'Source 2025'!$A:$A,"Amount (NIS)")+SUMIFS('Source 2025'!$S:$S,'Source 2025'!$B:$B,$A250,'Source 2025'!$A:$A,"Amount (NIS)")+SUMIFS('Source 2025'!$U:$U,'Source 2025'!$B:$B,$A250,'Source 2025'!$A:$A,"Amount (NIS)")+SUMIFS('Source 2025'!$D:$D,'Source 2025'!$B:$B,$A250,'Source 2025'!$A:$A,"Amount (NIS)")+SUMIFS('Source 2025'!$E:$E,'Source 2025'!$B:$B,$A250,'Source 2025'!$A:$A,"Amount (NIS)")+SUMIFS('Source 2025'!$G:$G,'Source 2025'!$B:$B,$A250,'Source 2025'!$A:$A,"Amount (NIS)")</f>
        <v>0</v>
      </c>
      <c r="I250" s="9" t="n">
        <f aca="false">SUMIFS('Source 2026'!$F:$F,'Source 2026'!$B:$B,$A250,'Source 2026'!$A:$A,"Amount (NIS)")+SUMIFS('Source 2026'!$H:$H,'Source 2026'!$B:$B,$A250,'Source 2026'!$A:$A,"Amount (NIS)")+SUMIFS('Source 2026'!$M:$M,'Source 2026'!$B:$B,$A250,'Source 2026'!$A:$A,"Amount (NIS)")+SUMIFS('Source 2026'!$N:$N,'Source 2026'!$B:$B,$A250,'Source 2026'!$A:$A,"Amount (NIS)")+SUMIFS('Source 2026'!$S:$S,'Source 2026'!$B:$B,$A250,'Source 2026'!$A:$A,"Amount (NIS)")+SUMIFS('Source 2026'!$U:$U,'Source 2026'!$B:$B,$A250,'Source 2026'!$A:$A,"Amount (NIS)")+SUMIFS('Source 2026'!$D:$D,'Source 2026'!$B:$B,$A250,'Source 2026'!$A:$A,"Amount (NIS)")+SUMIFS('Source 2026'!$E:$E,'Source 2026'!$B:$B,$A250,'Source 2026'!$A:$A,"Amount (NIS)")+SUMIFS('Source 2026'!$G:$G,'Source 2026'!$B:$B,$A250,'Source 2026'!$A:$A,"Amount (NIS)")</f>
        <v>142</v>
      </c>
      <c r="J250" s="9" t="n">
        <f aca="false">I250*$J$5</f>
        <v>179.368421052632</v>
      </c>
      <c r="K250" s="9" t="n">
        <f aca="false">J250-H250</f>
        <v>179.368421052632</v>
      </c>
      <c r="L250" s="11" t="str">
        <f aca="false">IF(AND(H250=0,J250=0),0,IF(H250=0,"New",(J250-H250)/H250))</f>
        <v>New</v>
      </c>
    </row>
    <row r="251" customFormat="false" ht="15" hidden="false" customHeight="true" outlineLevel="0" collapsed="false">
      <c r="A251" s="8" t="s">
        <v>320</v>
      </c>
      <c r="B251" s="8" t="str">
        <f aca="false">IFERROR(INDEX('Source 2026'!$C:$C,MATCH($A251,'Source 2026'!$B:$B,0)),IFERROR(INDEX('Source 2025'!$C:$C,MATCH($A251,'Source 2025'!$B:$B,0)),""))</f>
        <v>M חגורת צלעות לאשה</v>
      </c>
      <c r="C251" s="9" t="n">
        <f aca="false">SUMIFS('Source 2025'!$F:$F,'Source 2025'!$B:$B,$A251,'Source 2025'!$A:$A,"Quantity (units)")+SUMIFS('Source 2025'!$H:$H,'Source 2025'!$B:$B,$A251,'Source 2025'!$A:$A,"Quantity (units)")+SUMIFS('Source 2025'!$M:$M,'Source 2025'!$B:$B,$A251,'Source 2025'!$A:$A,"Quantity (units)")+SUMIFS('Source 2025'!$N:$N,'Source 2025'!$B:$B,$A251,'Source 2025'!$A:$A,"Quantity (units)")+SUMIFS('Source 2025'!$S:$S,'Source 2025'!$B:$B,$A251,'Source 2025'!$A:$A,"Quantity (units)")+SUMIFS('Source 2025'!$U:$U,'Source 2025'!$B:$B,$A251,'Source 2025'!$A:$A,"Quantity (units)")+SUMIFS('Source 2025'!$D:$D,'Source 2025'!$B:$B,$A251,'Source 2025'!$A:$A,"Quantity (units)")+SUMIFS('Source 2025'!$E:$E,'Source 2025'!$B:$B,$A251,'Source 2025'!$A:$A,"Quantity (units)")+SUMIFS('Source 2025'!$G:$G,'Source 2025'!$B:$B,$A251,'Source 2025'!$A:$A,"Quantity (units)")</f>
        <v>1</v>
      </c>
      <c r="D251" s="9" t="n">
        <f aca="false">SUMIFS('Source 2026'!$F:$F,'Source 2026'!$B:$B,$A251,'Source 2026'!$A:$A,"Quantity (units)")+SUMIFS('Source 2026'!$H:$H,'Source 2026'!$B:$B,$A251,'Source 2026'!$A:$A,"Quantity (units)")+SUMIFS('Source 2026'!$M:$M,'Source 2026'!$B:$B,$A251,'Source 2026'!$A:$A,"Quantity (units)")+SUMIFS('Source 2026'!$N:$N,'Source 2026'!$B:$B,$A251,'Source 2026'!$A:$A,"Quantity (units)")+SUMIFS('Source 2026'!$S:$S,'Source 2026'!$B:$B,$A251,'Source 2026'!$A:$A,"Quantity (units)")+SUMIFS('Source 2026'!$U:$U,'Source 2026'!$B:$B,$A251,'Source 2026'!$A:$A,"Quantity (units)")+SUMIFS('Source 2026'!$D:$D,'Source 2026'!$B:$B,$A251,'Source 2026'!$A:$A,"Quantity (units)")+SUMIFS('Source 2026'!$E:$E,'Source 2026'!$B:$B,$A251,'Source 2026'!$A:$A,"Quantity (units)")+SUMIFS('Source 2026'!$G:$G,'Source 2026'!$B:$B,$A251,'Source 2026'!$A:$A,"Quantity (units)")</f>
        <v>0</v>
      </c>
      <c r="E251" s="9" t="n">
        <f aca="false">D251*$J$5</f>
        <v>0</v>
      </c>
      <c r="F251" s="9" t="n">
        <f aca="false">E251-C251</f>
        <v>-1</v>
      </c>
      <c r="G251" s="11" t="n">
        <f aca="false">IF(AND(C251=0,E251=0),0,IF(C251=0,"New",(E251-C251)/C251))</f>
        <v>-1</v>
      </c>
      <c r="H251" s="9" t="n">
        <f aca="false">SUMIFS('Source 2025'!$F:$F,'Source 2025'!$B:$B,$A251,'Source 2025'!$A:$A,"Amount (NIS)")+SUMIFS('Source 2025'!$H:$H,'Source 2025'!$B:$B,$A251,'Source 2025'!$A:$A,"Amount (NIS)")+SUMIFS('Source 2025'!$M:$M,'Source 2025'!$B:$B,$A251,'Source 2025'!$A:$A,"Amount (NIS)")+SUMIFS('Source 2025'!$N:$N,'Source 2025'!$B:$B,$A251,'Source 2025'!$A:$A,"Amount (NIS)")+SUMIFS('Source 2025'!$S:$S,'Source 2025'!$B:$B,$A251,'Source 2025'!$A:$A,"Amount (NIS)")+SUMIFS('Source 2025'!$U:$U,'Source 2025'!$B:$B,$A251,'Source 2025'!$A:$A,"Amount (NIS)")+SUMIFS('Source 2025'!$D:$D,'Source 2025'!$B:$B,$A251,'Source 2025'!$A:$A,"Amount (NIS)")+SUMIFS('Source 2025'!$E:$E,'Source 2025'!$B:$B,$A251,'Source 2025'!$A:$A,"Amount (NIS)")+SUMIFS('Source 2025'!$G:$G,'Source 2025'!$B:$B,$A251,'Source 2025'!$A:$A,"Amount (NIS)")</f>
        <v>140.6</v>
      </c>
      <c r="I251" s="9" t="n">
        <f aca="false">SUMIFS('Source 2026'!$F:$F,'Source 2026'!$B:$B,$A251,'Source 2026'!$A:$A,"Amount (NIS)")+SUMIFS('Source 2026'!$H:$H,'Source 2026'!$B:$B,$A251,'Source 2026'!$A:$A,"Amount (NIS)")+SUMIFS('Source 2026'!$M:$M,'Source 2026'!$B:$B,$A251,'Source 2026'!$A:$A,"Amount (NIS)")+SUMIFS('Source 2026'!$N:$N,'Source 2026'!$B:$B,$A251,'Source 2026'!$A:$A,"Amount (NIS)")+SUMIFS('Source 2026'!$S:$S,'Source 2026'!$B:$B,$A251,'Source 2026'!$A:$A,"Amount (NIS)")+SUMIFS('Source 2026'!$U:$U,'Source 2026'!$B:$B,$A251,'Source 2026'!$A:$A,"Amount (NIS)")+SUMIFS('Source 2026'!$D:$D,'Source 2026'!$B:$B,$A251,'Source 2026'!$A:$A,"Amount (NIS)")+SUMIFS('Source 2026'!$E:$E,'Source 2026'!$B:$B,$A251,'Source 2026'!$A:$A,"Amount (NIS)")+SUMIFS('Source 2026'!$G:$G,'Source 2026'!$B:$B,$A251,'Source 2026'!$A:$A,"Amount (NIS)")</f>
        <v>0</v>
      </c>
      <c r="J251" s="9" t="n">
        <f aca="false">I251*$J$5</f>
        <v>0</v>
      </c>
      <c r="K251" s="9" t="n">
        <f aca="false">J251-H251</f>
        <v>-140.6</v>
      </c>
      <c r="L251" s="11" t="n">
        <f aca="false">IF(AND(H251=0,J251=0),0,IF(H251=0,"New",(J251-H251)/H251))</f>
        <v>-1</v>
      </c>
    </row>
    <row r="252" customFormat="false" ht="15" hidden="false" customHeight="true" outlineLevel="0" collapsed="false">
      <c r="A252" s="8" t="s">
        <v>321</v>
      </c>
      <c r="B252" s="8" t="str">
        <f aca="false">IFERROR(INDEX('Source 2026'!$C:$C,MATCH($A252,'Source 2026'!$B:$B,0)),IFERROR(INDEX('Source 2025'!$C:$C,MATCH($A252,'Source 2025'!$B:$B,0)),""))</f>
        <v>מגן ירך</v>
      </c>
      <c r="C252" s="9" t="n">
        <f aca="false">SUMIFS('Source 2025'!$F:$F,'Source 2025'!$B:$B,$A252,'Source 2025'!$A:$A,"Quantity (units)")+SUMIFS('Source 2025'!$H:$H,'Source 2025'!$B:$B,$A252,'Source 2025'!$A:$A,"Quantity (units)")+SUMIFS('Source 2025'!$M:$M,'Source 2025'!$B:$B,$A252,'Source 2025'!$A:$A,"Quantity (units)")+SUMIFS('Source 2025'!$N:$N,'Source 2025'!$B:$B,$A252,'Source 2025'!$A:$A,"Quantity (units)")+SUMIFS('Source 2025'!$S:$S,'Source 2025'!$B:$B,$A252,'Source 2025'!$A:$A,"Quantity (units)")+SUMIFS('Source 2025'!$U:$U,'Source 2025'!$B:$B,$A252,'Source 2025'!$A:$A,"Quantity (units)")+SUMIFS('Source 2025'!$D:$D,'Source 2025'!$B:$B,$A252,'Source 2025'!$A:$A,"Quantity (units)")+SUMIFS('Source 2025'!$E:$E,'Source 2025'!$B:$B,$A252,'Source 2025'!$A:$A,"Quantity (units)")+SUMIFS('Source 2025'!$G:$G,'Source 2025'!$B:$B,$A252,'Source 2025'!$A:$A,"Quantity (units)")</f>
        <v>21</v>
      </c>
      <c r="D252" s="9" t="n">
        <f aca="false">SUMIFS('Source 2026'!$F:$F,'Source 2026'!$B:$B,$A252,'Source 2026'!$A:$A,"Quantity (units)")+SUMIFS('Source 2026'!$H:$H,'Source 2026'!$B:$B,$A252,'Source 2026'!$A:$A,"Quantity (units)")+SUMIFS('Source 2026'!$M:$M,'Source 2026'!$B:$B,$A252,'Source 2026'!$A:$A,"Quantity (units)")+SUMIFS('Source 2026'!$N:$N,'Source 2026'!$B:$B,$A252,'Source 2026'!$A:$A,"Quantity (units)")+SUMIFS('Source 2026'!$S:$S,'Source 2026'!$B:$B,$A252,'Source 2026'!$A:$A,"Quantity (units)")+SUMIFS('Source 2026'!$U:$U,'Source 2026'!$B:$B,$A252,'Source 2026'!$A:$A,"Quantity (units)")+SUMIFS('Source 2026'!$D:$D,'Source 2026'!$B:$B,$A252,'Source 2026'!$A:$A,"Quantity (units)")+SUMIFS('Source 2026'!$E:$E,'Source 2026'!$B:$B,$A252,'Source 2026'!$A:$A,"Quantity (units)")+SUMIFS('Source 2026'!$G:$G,'Source 2026'!$B:$B,$A252,'Source 2026'!$A:$A,"Quantity (units)")</f>
        <v>22</v>
      </c>
      <c r="E252" s="9" t="n">
        <f aca="false">D252*$J$5</f>
        <v>27.7894736842105</v>
      </c>
      <c r="F252" s="9" t="n">
        <f aca="false">E252-C252</f>
        <v>6.78947368421052</v>
      </c>
      <c r="G252" s="11" t="n">
        <f aca="false">IF(AND(C252=0,E252=0),0,IF(C252=0,"New",(E252-C252)/C252))</f>
        <v>0.323308270676692</v>
      </c>
      <c r="H252" s="9" t="n">
        <f aca="false">SUMIFS('Source 2025'!$F:$F,'Source 2025'!$B:$B,$A252,'Source 2025'!$A:$A,"Amount (NIS)")+SUMIFS('Source 2025'!$H:$H,'Source 2025'!$B:$B,$A252,'Source 2025'!$A:$A,"Amount (NIS)")+SUMIFS('Source 2025'!$M:$M,'Source 2025'!$B:$B,$A252,'Source 2025'!$A:$A,"Amount (NIS)")+SUMIFS('Source 2025'!$N:$N,'Source 2025'!$B:$B,$A252,'Source 2025'!$A:$A,"Amount (NIS)")+SUMIFS('Source 2025'!$S:$S,'Source 2025'!$B:$B,$A252,'Source 2025'!$A:$A,"Amount (NIS)")+SUMIFS('Source 2025'!$U:$U,'Source 2025'!$B:$B,$A252,'Source 2025'!$A:$A,"Amount (NIS)")+SUMIFS('Source 2025'!$D:$D,'Source 2025'!$B:$B,$A252,'Source 2025'!$A:$A,"Amount (NIS)")+SUMIFS('Source 2025'!$E:$E,'Source 2025'!$B:$B,$A252,'Source 2025'!$A:$A,"Amount (NIS)")+SUMIFS('Source 2025'!$G:$G,'Source 2025'!$B:$B,$A252,'Source 2025'!$A:$A,"Amount (NIS)")</f>
        <v>1201.4</v>
      </c>
      <c r="I252" s="9" t="n">
        <f aca="false">SUMIFS('Source 2026'!$F:$F,'Source 2026'!$B:$B,$A252,'Source 2026'!$A:$A,"Amount (NIS)")+SUMIFS('Source 2026'!$H:$H,'Source 2026'!$B:$B,$A252,'Source 2026'!$A:$A,"Amount (NIS)")+SUMIFS('Source 2026'!$M:$M,'Source 2026'!$B:$B,$A252,'Source 2026'!$A:$A,"Amount (NIS)")+SUMIFS('Source 2026'!$N:$N,'Source 2026'!$B:$B,$A252,'Source 2026'!$A:$A,"Amount (NIS)")+SUMIFS('Source 2026'!$S:$S,'Source 2026'!$B:$B,$A252,'Source 2026'!$A:$A,"Amount (NIS)")+SUMIFS('Source 2026'!$U:$U,'Source 2026'!$B:$B,$A252,'Source 2026'!$A:$A,"Amount (NIS)")+SUMIFS('Source 2026'!$D:$D,'Source 2026'!$B:$B,$A252,'Source 2026'!$A:$A,"Amount (NIS)")+SUMIFS('Source 2026'!$E:$E,'Source 2026'!$B:$B,$A252,'Source 2026'!$A:$A,"Amount (NIS)")+SUMIFS('Source 2026'!$G:$G,'Source 2026'!$B:$B,$A252,'Source 2026'!$A:$A,"Amount (NIS)")</f>
        <v>1335.3</v>
      </c>
      <c r="J252" s="9" t="n">
        <f aca="false">I252*$J$5</f>
        <v>1686.69473684211</v>
      </c>
      <c r="K252" s="9" t="n">
        <f aca="false">J252-H252</f>
        <v>485.294736842105</v>
      </c>
      <c r="L252" s="11" t="n">
        <f aca="false">IF(AND(H252=0,J252=0),0,IF(H252=0,"New",(J252-H252)/H252))</f>
        <v>0.403941016182874</v>
      </c>
    </row>
    <row r="253" customFormat="false" ht="15" hidden="false" customHeight="true" outlineLevel="0" collapsed="false">
      <c r="A253" s="8" t="s">
        <v>322</v>
      </c>
      <c r="B253" s="8" t="str">
        <f aca="false">IFERROR(INDEX('Source 2026'!$C:$C,MATCH($A253,'Source 2026'!$B:$B,0)),IFERROR(INDEX('Source 2025'!$C:$C,MATCH($A253,'Source 2025'!$B:$B,0)),""))</f>
        <v>מגן קרסול+כרית סילקון</v>
      </c>
      <c r="C253" s="9" t="n">
        <f aca="false">SUMIFS('Source 2025'!$F:$F,'Source 2025'!$B:$B,$A253,'Source 2025'!$A:$A,"Quantity (units)")+SUMIFS('Source 2025'!$H:$H,'Source 2025'!$B:$B,$A253,'Source 2025'!$A:$A,"Quantity (units)")+SUMIFS('Source 2025'!$M:$M,'Source 2025'!$B:$B,$A253,'Source 2025'!$A:$A,"Quantity (units)")+SUMIFS('Source 2025'!$N:$N,'Source 2025'!$B:$B,$A253,'Source 2025'!$A:$A,"Quantity (units)")+SUMIFS('Source 2025'!$S:$S,'Source 2025'!$B:$B,$A253,'Source 2025'!$A:$A,"Quantity (units)")+SUMIFS('Source 2025'!$U:$U,'Source 2025'!$B:$B,$A253,'Source 2025'!$A:$A,"Quantity (units)")+SUMIFS('Source 2025'!$D:$D,'Source 2025'!$B:$B,$A253,'Source 2025'!$A:$A,"Quantity (units)")+SUMIFS('Source 2025'!$E:$E,'Source 2025'!$B:$B,$A253,'Source 2025'!$A:$A,"Quantity (units)")+SUMIFS('Source 2025'!$G:$G,'Source 2025'!$B:$B,$A253,'Source 2025'!$A:$A,"Quantity (units)")</f>
        <v>1</v>
      </c>
      <c r="D253" s="9" t="n">
        <f aca="false">SUMIFS('Source 2026'!$F:$F,'Source 2026'!$B:$B,$A253,'Source 2026'!$A:$A,"Quantity (units)")+SUMIFS('Source 2026'!$H:$H,'Source 2026'!$B:$B,$A253,'Source 2026'!$A:$A,"Quantity (units)")+SUMIFS('Source 2026'!$M:$M,'Source 2026'!$B:$B,$A253,'Source 2026'!$A:$A,"Quantity (units)")+SUMIFS('Source 2026'!$N:$N,'Source 2026'!$B:$B,$A253,'Source 2026'!$A:$A,"Quantity (units)")+SUMIFS('Source 2026'!$S:$S,'Source 2026'!$B:$B,$A253,'Source 2026'!$A:$A,"Quantity (units)")+SUMIFS('Source 2026'!$U:$U,'Source 2026'!$B:$B,$A253,'Source 2026'!$A:$A,"Quantity (units)")+SUMIFS('Source 2026'!$D:$D,'Source 2026'!$B:$B,$A253,'Source 2026'!$A:$A,"Quantity (units)")+SUMIFS('Source 2026'!$E:$E,'Source 2026'!$B:$B,$A253,'Source 2026'!$A:$A,"Quantity (units)")+SUMIFS('Source 2026'!$G:$G,'Source 2026'!$B:$B,$A253,'Source 2026'!$A:$A,"Quantity (units)")</f>
        <v>0</v>
      </c>
      <c r="E253" s="9" t="n">
        <f aca="false">D253*$J$5</f>
        <v>0</v>
      </c>
      <c r="F253" s="9" t="n">
        <f aca="false">E253-C253</f>
        <v>-1</v>
      </c>
      <c r="G253" s="11" t="n">
        <f aca="false">IF(AND(C253=0,E253=0),0,IF(C253=0,"New",(E253-C253)/C253))</f>
        <v>-1</v>
      </c>
      <c r="H253" s="9" t="n">
        <f aca="false">SUMIFS('Source 2025'!$F:$F,'Source 2025'!$B:$B,$A253,'Source 2025'!$A:$A,"Amount (NIS)")+SUMIFS('Source 2025'!$H:$H,'Source 2025'!$B:$B,$A253,'Source 2025'!$A:$A,"Amount (NIS)")+SUMIFS('Source 2025'!$M:$M,'Source 2025'!$B:$B,$A253,'Source 2025'!$A:$A,"Amount (NIS)")+SUMIFS('Source 2025'!$N:$N,'Source 2025'!$B:$B,$A253,'Source 2025'!$A:$A,"Amount (NIS)")+SUMIFS('Source 2025'!$S:$S,'Source 2025'!$B:$B,$A253,'Source 2025'!$A:$A,"Amount (NIS)")+SUMIFS('Source 2025'!$U:$U,'Source 2025'!$B:$B,$A253,'Source 2025'!$A:$A,"Amount (NIS)")+SUMIFS('Source 2025'!$D:$D,'Source 2025'!$B:$B,$A253,'Source 2025'!$A:$A,"Amount (NIS)")+SUMIFS('Source 2025'!$E:$E,'Source 2025'!$B:$B,$A253,'Source 2025'!$A:$A,"Amount (NIS)")+SUMIFS('Source 2025'!$G:$G,'Source 2025'!$B:$B,$A253,'Source 2025'!$A:$A,"Amount (NIS)")</f>
        <v>127.9</v>
      </c>
      <c r="I253" s="9" t="n">
        <f aca="false">SUMIFS('Source 2026'!$F:$F,'Source 2026'!$B:$B,$A253,'Source 2026'!$A:$A,"Amount (NIS)")+SUMIFS('Source 2026'!$H:$H,'Source 2026'!$B:$B,$A253,'Source 2026'!$A:$A,"Amount (NIS)")+SUMIFS('Source 2026'!$M:$M,'Source 2026'!$B:$B,$A253,'Source 2026'!$A:$A,"Amount (NIS)")+SUMIFS('Source 2026'!$N:$N,'Source 2026'!$B:$B,$A253,'Source 2026'!$A:$A,"Amount (NIS)")+SUMIFS('Source 2026'!$S:$S,'Source 2026'!$B:$B,$A253,'Source 2026'!$A:$A,"Amount (NIS)")+SUMIFS('Source 2026'!$U:$U,'Source 2026'!$B:$B,$A253,'Source 2026'!$A:$A,"Amount (NIS)")+SUMIFS('Source 2026'!$D:$D,'Source 2026'!$B:$B,$A253,'Source 2026'!$A:$A,"Amount (NIS)")+SUMIFS('Source 2026'!$E:$E,'Source 2026'!$B:$B,$A253,'Source 2026'!$A:$A,"Amount (NIS)")+SUMIFS('Source 2026'!$G:$G,'Source 2026'!$B:$B,$A253,'Source 2026'!$A:$A,"Amount (NIS)")</f>
        <v>0</v>
      </c>
      <c r="J253" s="9" t="n">
        <f aca="false">I253*$J$5</f>
        <v>0</v>
      </c>
      <c r="K253" s="9" t="n">
        <f aca="false">J253-H253</f>
        <v>-127.9</v>
      </c>
      <c r="L253" s="11" t="n">
        <f aca="false">IF(AND(H253=0,J253=0),0,IF(H253=0,"New",(J253-H253)/H253))</f>
        <v>-1</v>
      </c>
    </row>
    <row r="254" customFormat="false" ht="15" hidden="false" customHeight="true" outlineLevel="0" collapsed="false">
      <c r="A254" s="8" t="s">
        <v>323</v>
      </c>
      <c r="B254" s="8" t="str">
        <f aca="false">IFERROR(INDEX('Source 2026'!$C:$C,MATCH($A254,'Source 2026'!$B:$B,0)),IFERROR(INDEX('Source 2025'!$C:$C,MATCH($A254,'Source 2025'!$B:$B,0)),""))</f>
        <v>מגן קרסול+כרית סילקון</v>
      </c>
      <c r="C254" s="9" t="n">
        <f aca="false">SUMIFS('Source 2025'!$F:$F,'Source 2025'!$B:$B,$A254,'Source 2025'!$A:$A,"Quantity (units)")+SUMIFS('Source 2025'!$H:$H,'Source 2025'!$B:$B,$A254,'Source 2025'!$A:$A,"Quantity (units)")+SUMIFS('Source 2025'!$M:$M,'Source 2025'!$B:$B,$A254,'Source 2025'!$A:$A,"Quantity (units)")+SUMIFS('Source 2025'!$N:$N,'Source 2025'!$B:$B,$A254,'Source 2025'!$A:$A,"Quantity (units)")+SUMIFS('Source 2025'!$S:$S,'Source 2025'!$B:$B,$A254,'Source 2025'!$A:$A,"Quantity (units)")+SUMIFS('Source 2025'!$U:$U,'Source 2025'!$B:$B,$A254,'Source 2025'!$A:$A,"Quantity (units)")+SUMIFS('Source 2025'!$D:$D,'Source 2025'!$B:$B,$A254,'Source 2025'!$A:$A,"Quantity (units)")+SUMIFS('Source 2025'!$E:$E,'Source 2025'!$B:$B,$A254,'Source 2025'!$A:$A,"Quantity (units)")+SUMIFS('Source 2025'!$G:$G,'Source 2025'!$B:$B,$A254,'Source 2025'!$A:$A,"Quantity (units)")</f>
        <v>1</v>
      </c>
      <c r="D254" s="9" t="n">
        <f aca="false">SUMIFS('Source 2026'!$F:$F,'Source 2026'!$B:$B,$A254,'Source 2026'!$A:$A,"Quantity (units)")+SUMIFS('Source 2026'!$H:$H,'Source 2026'!$B:$B,$A254,'Source 2026'!$A:$A,"Quantity (units)")+SUMIFS('Source 2026'!$M:$M,'Source 2026'!$B:$B,$A254,'Source 2026'!$A:$A,"Quantity (units)")+SUMIFS('Source 2026'!$N:$N,'Source 2026'!$B:$B,$A254,'Source 2026'!$A:$A,"Quantity (units)")+SUMIFS('Source 2026'!$S:$S,'Source 2026'!$B:$B,$A254,'Source 2026'!$A:$A,"Quantity (units)")+SUMIFS('Source 2026'!$U:$U,'Source 2026'!$B:$B,$A254,'Source 2026'!$A:$A,"Quantity (units)")+SUMIFS('Source 2026'!$D:$D,'Source 2026'!$B:$B,$A254,'Source 2026'!$A:$A,"Quantity (units)")+SUMIFS('Source 2026'!$E:$E,'Source 2026'!$B:$B,$A254,'Source 2026'!$A:$A,"Quantity (units)")+SUMIFS('Source 2026'!$G:$G,'Source 2026'!$B:$B,$A254,'Source 2026'!$A:$A,"Quantity (units)")</f>
        <v>2</v>
      </c>
      <c r="E254" s="9" t="n">
        <f aca="false">D254*$J$5</f>
        <v>2.52631578947368</v>
      </c>
      <c r="F254" s="9" t="n">
        <f aca="false">E254-C254</f>
        <v>1.52631578947368</v>
      </c>
      <c r="G254" s="11" t="n">
        <f aca="false">IF(AND(C254=0,E254=0),0,IF(C254=0,"New",(E254-C254)/C254))</f>
        <v>1.52631578947368</v>
      </c>
      <c r="H254" s="9" t="n">
        <f aca="false">SUMIFS('Source 2025'!$F:$F,'Source 2025'!$B:$B,$A254,'Source 2025'!$A:$A,"Amount (NIS)")+SUMIFS('Source 2025'!$H:$H,'Source 2025'!$B:$B,$A254,'Source 2025'!$A:$A,"Amount (NIS)")+SUMIFS('Source 2025'!$M:$M,'Source 2025'!$B:$B,$A254,'Source 2025'!$A:$A,"Amount (NIS)")+SUMIFS('Source 2025'!$N:$N,'Source 2025'!$B:$B,$A254,'Source 2025'!$A:$A,"Amount (NIS)")+SUMIFS('Source 2025'!$S:$S,'Source 2025'!$B:$B,$A254,'Source 2025'!$A:$A,"Amount (NIS)")+SUMIFS('Source 2025'!$U:$U,'Source 2025'!$B:$B,$A254,'Source 2025'!$A:$A,"Amount (NIS)")+SUMIFS('Source 2025'!$D:$D,'Source 2025'!$B:$B,$A254,'Source 2025'!$A:$A,"Amount (NIS)")+SUMIFS('Source 2025'!$E:$E,'Source 2025'!$B:$B,$A254,'Source 2025'!$A:$A,"Amount (NIS)")+SUMIFS('Source 2025'!$G:$G,'Source 2025'!$B:$B,$A254,'Source 2025'!$A:$A,"Amount (NIS)")</f>
        <v>127.9</v>
      </c>
      <c r="I254" s="9" t="n">
        <f aca="false">SUMIFS('Source 2026'!$F:$F,'Source 2026'!$B:$B,$A254,'Source 2026'!$A:$A,"Amount (NIS)")+SUMIFS('Source 2026'!$H:$H,'Source 2026'!$B:$B,$A254,'Source 2026'!$A:$A,"Amount (NIS)")+SUMIFS('Source 2026'!$M:$M,'Source 2026'!$B:$B,$A254,'Source 2026'!$A:$A,"Amount (NIS)")+SUMIFS('Source 2026'!$N:$N,'Source 2026'!$B:$B,$A254,'Source 2026'!$A:$A,"Amount (NIS)")+SUMIFS('Source 2026'!$S:$S,'Source 2026'!$B:$B,$A254,'Source 2026'!$A:$A,"Amount (NIS)")+SUMIFS('Source 2026'!$U:$U,'Source 2026'!$B:$B,$A254,'Source 2026'!$A:$A,"Amount (NIS)")+SUMIFS('Source 2026'!$D:$D,'Source 2026'!$B:$B,$A254,'Source 2026'!$A:$A,"Amount (NIS)")+SUMIFS('Source 2026'!$E:$E,'Source 2026'!$B:$B,$A254,'Source 2026'!$A:$A,"Amount (NIS)")+SUMIFS('Source 2026'!$G:$G,'Source 2026'!$B:$B,$A254,'Source 2026'!$A:$A,"Amount (NIS)")</f>
        <v>255.8</v>
      </c>
      <c r="J254" s="9" t="n">
        <f aca="false">I254*$J$5</f>
        <v>323.115789473684</v>
      </c>
      <c r="K254" s="9" t="n">
        <f aca="false">J254-H254</f>
        <v>195.215789473684</v>
      </c>
      <c r="L254" s="11" t="n">
        <f aca="false">IF(AND(H254=0,J254=0),0,IF(H254=0,"New",(J254-H254)/H254))</f>
        <v>1.52631578947368</v>
      </c>
    </row>
    <row r="255" customFormat="false" ht="15" hidden="false" customHeight="true" outlineLevel="0" collapsed="false">
      <c r="A255" s="8" t="s">
        <v>324</v>
      </c>
      <c r="B255" s="8" t="str">
        <f aca="false">IFERROR(INDEX('Source 2026'!$C:$C,MATCH($A255,'Source 2026'!$B:$B,0)),IFERROR(INDEX('Source 2025'!$C:$C,MATCH($A255,'Source 2025'!$B:$B,0)),""))</f>
        <v>קרסול+כרית סילקון</v>
      </c>
      <c r="C255" s="9" t="n">
        <f aca="false">SUMIFS('Source 2025'!$F:$F,'Source 2025'!$B:$B,$A255,'Source 2025'!$A:$A,"Quantity (units)")+SUMIFS('Source 2025'!$H:$H,'Source 2025'!$B:$B,$A255,'Source 2025'!$A:$A,"Quantity (units)")+SUMIFS('Source 2025'!$M:$M,'Source 2025'!$B:$B,$A255,'Source 2025'!$A:$A,"Quantity (units)")+SUMIFS('Source 2025'!$N:$N,'Source 2025'!$B:$B,$A255,'Source 2025'!$A:$A,"Quantity (units)")+SUMIFS('Source 2025'!$S:$S,'Source 2025'!$B:$B,$A255,'Source 2025'!$A:$A,"Quantity (units)")+SUMIFS('Source 2025'!$U:$U,'Source 2025'!$B:$B,$A255,'Source 2025'!$A:$A,"Quantity (units)")+SUMIFS('Source 2025'!$D:$D,'Source 2025'!$B:$B,$A255,'Source 2025'!$A:$A,"Quantity (units)")+SUMIFS('Source 2025'!$E:$E,'Source 2025'!$B:$B,$A255,'Source 2025'!$A:$A,"Quantity (units)")+SUMIFS('Source 2025'!$G:$G,'Source 2025'!$B:$B,$A255,'Source 2025'!$A:$A,"Quantity (units)")</f>
        <v>1</v>
      </c>
      <c r="D255" s="9" t="n">
        <f aca="false">SUMIFS('Source 2026'!$F:$F,'Source 2026'!$B:$B,$A255,'Source 2026'!$A:$A,"Quantity (units)")+SUMIFS('Source 2026'!$H:$H,'Source 2026'!$B:$B,$A255,'Source 2026'!$A:$A,"Quantity (units)")+SUMIFS('Source 2026'!$M:$M,'Source 2026'!$B:$B,$A255,'Source 2026'!$A:$A,"Quantity (units)")+SUMIFS('Source 2026'!$N:$N,'Source 2026'!$B:$B,$A255,'Source 2026'!$A:$A,"Quantity (units)")+SUMIFS('Source 2026'!$S:$S,'Source 2026'!$B:$B,$A255,'Source 2026'!$A:$A,"Quantity (units)")+SUMIFS('Source 2026'!$U:$U,'Source 2026'!$B:$B,$A255,'Source 2026'!$A:$A,"Quantity (units)")+SUMIFS('Source 2026'!$D:$D,'Source 2026'!$B:$B,$A255,'Source 2026'!$A:$A,"Quantity (units)")+SUMIFS('Source 2026'!$E:$E,'Source 2026'!$B:$B,$A255,'Source 2026'!$A:$A,"Quantity (units)")+SUMIFS('Source 2026'!$G:$G,'Source 2026'!$B:$B,$A255,'Source 2026'!$A:$A,"Quantity (units)")</f>
        <v>0</v>
      </c>
      <c r="E255" s="9" t="n">
        <f aca="false">D255*$J$5</f>
        <v>0</v>
      </c>
      <c r="F255" s="9" t="n">
        <f aca="false">E255-C255</f>
        <v>-1</v>
      </c>
      <c r="G255" s="11" t="n">
        <f aca="false">IF(AND(C255=0,E255=0),0,IF(C255=0,"New",(E255-C255)/C255))</f>
        <v>-1</v>
      </c>
      <c r="H255" s="9" t="n">
        <f aca="false">SUMIFS('Source 2025'!$F:$F,'Source 2025'!$B:$B,$A255,'Source 2025'!$A:$A,"Amount (NIS)")+SUMIFS('Source 2025'!$H:$H,'Source 2025'!$B:$B,$A255,'Source 2025'!$A:$A,"Amount (NIS)")+SUMIFS('Source 2025'!$M:$M,'Source 2025'!$B:$B,$A255,'Source 2025'!$A:$A,"Amount (NIS)")+SUMIFS('Source 2025'!$N:$N,'Source 2025'!$B:$B,$A255,'Source 2025'!$A:$A,"Amount (NIS)")+SUMIFS('Source 2025'!$S:$S,'Source 2025'!$B:$B,$A255,'Source 2025'!$A:$A,"Amount (NIS)")+SUMIFS('Source 2025'!$U:$U,'Source 2025'!$B:$B,$A255,'Source 2025'!$A:$A,"Amount (NIS)")+SUMIFS('Source 2025'!$D:$D,'Source 2025'!$B:$B,$A255,'Source 2025'!$A:$A,"Amount (NIS)")+SUMIFS('Source 2025'!$E:$E,'Source 2025'!$B:$B,$A255,'Source 2025'!$A:$A,"Amount (NIS)")+SUMIFS('Source 2025'!$G:$G,'Source 2025'!$B:$B,$A255,'Source 2025'!$A:$A,"Amount (NIS)")</f>
        <v>127.6</v>
      </c>
      <c r="I255" s="9" t="n">
        <f aca="false">SUMIFS('Source 2026'!$F:$F,'Source 2026'!$B:$B,$A255,'Source 2026'!$A:$A,"Amount (NIS)")+SUMIFS('Source 2026'!$H:$H,'Source 2026'!$B:$B,$A255,'Source 2026'!$A:$A,"Amount (NIS)")+SUMIFS('Source 2026'!$M:$M,'Source 2026'!$B:$B,$A255,'Source 2026'!$A:$A,"Amount (NIS)")+SUMIFS('Source 2026'!$N:$N,'Source 2026'!$B:$B,$A255,'Source 2026'!$A:$A,"Amount (NIS)")+SUMIFS('Source 2026'!$S:$S,'Source 2026'!$B:$B,$A255,'Source 2026'!$A:$A,"Amount (NIS)")+SUMIFS('Source 2026'!$U:$U,'Source 2026'!$B:$B,$A255,'Source 2026'!$A:$A,"Amount (NIS)")+SUMIFS('Source 2026'!$D:$D,'Source 2026'!$B:$B,$A255,'Source 2026'!$A:$A,"Amount (NIS)")+SUMIFS('Source 2026'!$E:$E,'Source 2026'!$B:$B,$A255,'Source 2026'!$A:$A,"Amount (NIS)")+SUMIFS('Source 2026'!$G:$G,'Source 2026'!$B:$B,$A255,'Source 2026'!$A:$A,"Amount (NIS)")</f>
        <v>0</v>
      </c>
      <c r="J255" s="9" t="n">
        <f aca="false">I255*$J$5</f>
        <v>0</v>
      </c>
      <c r="K255" s="9" t="n">
        <f aca="false">J255-H255</f>
        <v>-127.6</v>
      </c>
      <c r="L255" s="11" t="n">
        <f aca="false">IF(AND(H255=0,J255=0),0,IF(H255=0,"New",(J255-H255)/H255))</f>
        <v>-1</v>
      </c>
    </row>
    <row r="256" customFormat="false" ht="15" hidden="false" customHeight="true" outlineLevel="0" collapsed="false">
      <c r="A256" s="8" t="s">
        <v>325</v>
      </c>
      <c r="B256" s="8" t="str">
        <f aca="false">IFERROR(INDEX('Source 2026'!$C:$C,MATCH($A256,'Source 2026'!$B:$B,0)),IFERROR(INDEX('Source 2025'!$C:$C,MATCH($A256,'Source 2025'!$B:$B,0)),""))</f>
        <v>ברך רגיל</v>
      </c>
      <c r="C256" s="9" t="n">
        <f aca="false">SUMIFS('Source 2025'!$F:$F,'Source 2025'!$B:$B,$A256,'Source 2025'!$A:$A,"Quantity (units)")+SUMIFS('Source 2025'!$H:$H,'Source 2025'!$B:$B,$A256,'Source 2025'!$A:$A,"Quantity (units)")+SUMIFS('Source 2025'!$M:$M,'Source 2025'!$B:$B,$A256,'Source 2025'!$A:$A,"Quantity (units)")+SUMIFS('Source 2025'!$N:$N,'Source 2025'!$B:$B,$A256,'Source 2025'!$A:$A,"Quantity (units)")+SUMIFS('Source 2025'!$S:$S,'Source 2025'!$B:$B,$A256,'Source 2025'!$A:$A,"Quantity (units)")+SUMIFS('Source 2025'!$U:$U,'Source 2025'!$B:$B,$A256,'Source 2025'!$A:$A,"Quantity (units)")+SUMIFS('Source 2025'!$D:$D,'Source 2025'!$B:$B,$A256,'Source 2025'!$A:$A,"Quantity (units)")+SUMIFS('Source 2025'!$E:$E,'Source 2025'!$B:$B,$A256,'Source 2025'!$A:$A,"Quantity (units)")+SUMIFS('Source 2025'!$G:$G,'Source 2025'!$B:$B,$A256,'Source 2025'!$A:$A,"Quantity (units)")</f>
        <v>0</v>
      </c>
      <c r="D256" s="9" t="n">
        <f aca="false">SUMIFS('Source 2026'!$F:$F,'Source 2026'!$B:$B,$A256,'Source 2026'!$A:$A,"Quantity (units)")+SUMIFS('Source 2026'!$H:$H,'Source 2026'!$B:$B,$A256,'Source 2026'!$A:$A,"Quantity (units)")+SUMIFS('Source 2026'!$M:$M,'Source 2026'!$B:$B,$A256,'Source 2026'!$A:$A,"Quantity (units)")+SUMIFS('Source 2026'!$N:$N,'Source 2026'!$B:$B,$A256,'Source 2026'!$A:$A,"Quantity (units)")+SUMIFS('Source 2026'!$S:$S,'Source 2026'!$B:$B,$A256,'Source 2026'!$A:$A,"Quantity (units)")+SUMIFS('Source 2026'!$U:$U,'Source 2026'!$B:$B,$A256,'Source 2026'!$A:$A,"Quantity (units)")+SUMIFS('Source 2026'!$D:$D,'Source 2026'!$B:$B,$A256,'Source 2026'!$A:$A,"Quantity (units)")+SUMIFS('Source 2026'!$E:$E,'Source 2026'!$B:$B,$A256,'Source 2026'!$A:$A,"Quantity (units)")+SUMIFS('Source 2026'!$G:$G,'Source 2026'!$B:$B,$A256,'Source 2026'!$A:$A,"Quantity (units)")</f>
        <v>1</v>
      </c>
      <c r="E256" s="9" t="n">
        <f aca="false">D256*$J$5</f>
        <v>1.26315789473684</v>
      </c>
      <c r="F256" s="9" t="n">
        <f aca="false">E256-C256</f>
        <v>1.26315789473684</v>
      </c>
      <c r="G256" s="11" t="str">
        <f aca="false">IF(AND(C256=0,E256=0),0,IF(C256=0,"New",(E256-C256)/C256))</f>
        <v>New</v>
      </c>
      <c r="H256" s="9" t="n">
        <f aca="false">SUMIFS('Source 2025'!$F:$F,'Source 2025'!$B:$B,$A256,'Source 2025'!$A:$A,"Amount (NIS)")+SUMIFS('Source 2025'!$H:$H,'Source 2025'!$B:$B,$A256,'Source 2025'!$A:$A,"Amount (NIS)")+SUMIFS('Source 2025'!$M:$M,'Source 2025'!$B:$B,$A256,'Source 2025'!$A:$A,"Amount (NIS)")+SUMIFS('Source 2025'!$N:$N,'Source 2025'!$B:$B,$A256,'Source 2025'!$A:$A,"Amount (NIS)")+SUMIFS('Source 2025'!$S:$S,'Source 2025'!$B:$B,$A256,'Source 2025'!$A:$A,"Amount (NIS)")+SUMIFS('Source 2025'!$U:$U,'Source 2025'!$B:$B,$A256,'Source 2025'!$A:$A,"Amount (NIS)")+SUMIFS('Source 2025'!$D:$D,'Source 2025'!$B:$B,$A256,'Source 2025'!$A:$A,"Amount (NIS)")+SUMIFS('Source 2025'!$E:$E,'Source 2025'!$B:$B,$A256,'Source 2025'!$A:$A,"Amount (NIS)")+SUMIFS('Source 2025'!$G:$G,'Source 2025'!$B:$B,$A256,'Source 2025'!$A:$A,"Amount (NIS)")</f>
        <v>0</v>
      </c>
      <c r="I256" s="9" t="n">
        <f aca="false">SUMIFS('Source 2026'!$F:$F,'Source 2026'!$B:$B,$A256,'Source 2026'!$A:$A,"Amount (NIS)")+SUMIFS('Source 2026'!$H:$H,'Source 2026'!$B:$B,$A256,'Source 2026'!$A:$A,"Amount (NIS)")+SUMIFS('Source 2026'!$M:$M,'Source 2026'!$B:$B,$A256,'Source 2026'!$A:$A,"Amount (NIS)")+SUMIFS('Source 2026'!$N:$N,'Source 2026'!$B:$B,$A256,'Source 2026'!$A:$A,"Amount (NIS)")+SUMIFS('Source 2026'!$S:$S,'Source 2026'!$B:$B,$A256,'Source 2026'!$A:$A,"Amount (NIS)")+SUMIFS('Source 2026'!$U:$U,'Source 2026'!$B:$B,$A256,'Source 2026'!$A:$A,"Amount (NIS)")+SUMIFS('Source 2026'!$D:$D,'Source 2026'!$B:$B,$A256,'Source 2026'!$A:$A,"Amount (NIS)")+SUMIFS('Source 2026'!$E:$E,'Source 2026'!$B:$B,$A256,'Source 2026'!$A:$A,"Amount (NIS)")+SUMIFS('Source 2026'!$G:$G,'Source 2026'!$B:$B,$A256,'Source 2026'!$A:$A,"Amount (NIS)")</f>
        <v>118.6</v>
      </c>
      <c r="J256" s="9" t="n">
        <f aca="false">I256*$J$5</f>
        <v>149.810526315789</v>
      </c>
      <c r="K256" s="9" t="n">
        <f aca="false">J256-H256</f>
        <v>149.810526315789</v>
      </c>
      <c r="L256" s="11" t="str">
        <f aca="false">IF(AND(H256=0,J256=0),0,IF(H256=0,"New",(J256-H256)/H256))</f>
        <v>New</v>
      </c>
    </row>
    <row r="257" customFormat="false" ht="15" hidden="false" customHeight="true" outlineLevel="0" collapsed="false">
      <c r="A257" s="8" t="s">
        <v>326</v>
      </c>
      <c r="B257" s="8" t="str">
        <f aca="false">IFERROR(INDEX('Source 2026'!$C:$C,MATCH($A257,'Source 2026'!$B:$B,0)),IFERROR(INDEX('Source 2025'!$C:$C,MATCH($A257,'Source 2025'!$B:$B,0)),""))</f>
        <v>רפידת ספורט 376 מידה</v>
      </c>
      <c r="C257" s="9" t="n">
        <f aca="false">SUMIFS('Source 2025'!$F:$F,'Source 2025'!$B:$B,$A257,'Source 2025'!$A:$A,"Quantity (units)")+SUMIFS('Source 2025'!$H:$H,'Source 2025'!$B:$B,$A257,'Source 2025'!$A:$A,"Quantity (units)")+SUMIFS('Source 2025'!$M:$M,'Source 2025'!$B:$B,$A257,'Source 2025'!$A:$A,"Quantity (units)")+SUMIFS('Source 2025'!$N:$N,'Source 2025'!$B:$B,$A257,'Source 2025'!$A:$A,"Quantity (units)")+SUMIFS('Source 2025'!$S:$S,'Source 2025'!$B:$B,$A257,'Source 2025'!$A:$A,"Quantity (units)")+SUMIFS('Source 2025'!$U:$U,'Source 2025'!$B:$B,$A257,'Source 2025'!$A:$A,"Quantity (units)")+SUMIFS('Source 2025'!$D:$D,'Source 2025'!$B:$B,$A257,'Source 2025'!$A:$A,"Quantity (units)")+SUMIFS('Source 2025'!$E:$E,'Source 2025'!$B:$B,$A257,'Source 2025'!$A:$A,"Quantity (units)")+SUMIFS('Source 2025'!$G:$G,'Source 2025'!$B:$B,$A257,'Source 2025'!$A:$A,"Quantity (units)")</f>
        <v>0</v>
      </c>
      <c r="D257" s="9" t="n">
        <f aca="false">SUMIFS('Source 2026'!$F:$F,'Source 2026'!$B:$B,$A257,'Source 2026'!$A:$A,"Quantity (units)")+SUMIFS('Source 2026'!$H:$H,'Source 2026'!$B:$B,$A257,'Source 2026'!$A:$A,"Quantity (units)")+SUMIFS('Source 2026'!$M:$M,'Source 2026'!$B:$B,$A257,'Source 2026'!$A:$A,"Quantity (units)")+SUMIFS('Source 2026'!$N:$N,'Source 2026'!$B:$B,$A257,'Source 2026'!$A:$A,"Quantity (units)")+SUMIFS('Source 2026'!$S:$S,'Source 2026'!$B:$B,$A257,'Source 2026'!$A:$A,"Quantity (units)")+SUMIFS('Source 2026'!$U:$U,'Source 2026'!$B:$B,$A257,'Source 2026'!$A:$A,"Quantity (units)")+SUMIFS('Source 2026'!$D:$D,'Source 2026'!$B:$B,$A257,'Source 2026'!$A:$A,"Quantity (units)")+SUMIFS('Source 2026'!$E:$E,'Source 2026'!$B:$B,$A257,'Source 2026'!$A:$A,"Quantity (units)")+SUMIFS('Source 2026'!$G:$G,'Source 2026'!$B:$B,$A257,'Source 2026'!$A:$A,"Quantity (units)")</f>
        <v>3</v>
      </c>
      <c r="E257" s="9" t="n">
        <f aca="false">D257*$J$5</f>
        <v>3.78947368421053</v>
      </c>
      <c r="F257" s="9" t="n">
        <f aca="false">E257-C257</f>
        <v>3.78947368421053</v>
      </c>
      <c r="G257" s="11" t="str">
        <f aca="false">IF(AND(C257=0,E257=0),0,IF(C257=0,"New",(E257-C257)/C257))</f>
        <v>New</v>
      </c>
      <c r="H257" s="9" t="n">
        <f aca="false">SUMIFS('Source 2025'!$F:$F,'Source 2025'!$B:$B,$A257,'Source 2025'!$A:$A,"Amount (NIS)")+SUMIFS('Source 2025'!$H:$H,'Source 2025'!$B:$B,$A257,'Source 2025'!$A:$A,"Amount (NIS)")+SUMIFS('Source 2025'!$M:$M,'Source 2025'!$B:$B,$A257,'Source 2025'!$A:$A,"Amount (NIS)")+SUMIFS('Source 2025'!$N:$N,'Source 2025'!$B:$B,$A257,'Source 2025'!$A:$A,"Amount (NIS)")+SUMIFS('Source 2025'!$S:$S,'Source 2025'!$B:$B,$A257,'Source 2025'!$A:$A,"Amount (NIS)")+SUMIFS('Source 2025'!$U:$U,'Source 2025'!$B:$B,$A257,'Source 2025'!$A:$A,"Amount (NIS)")+SUMIFS('Source 2025'!$D:$D,'Source 2025'!$B:$B,$A257,'Source 2025'!$A:$A,"Amount (NIS)")+SUMIFS('Source 2025'!$E:$E,'Source 2025'!$B:$B,$A257,'Source 2025'!$A:$A,"Amount (NIS)")+SUMIFS('Source 2025'!$G:$G,'Source 2025'!$B:$B,$A257,'Source 2025'!$A:$A,"Amount (NIS)")</f>
        <v>0</v>
      </c>
      <c r="I257" s="9" t="n">
        <f aca="false">SUMIFS('Source 2026'!$F:$F,'Source 2026'!$B:$B,$A257,'Source 2026'!$A:$A,"Amount (NIS)")+SUMIFS('Source 2026'!$H:$H,'Source 2026'!$B:$B,$A257,'Source 2026'!$A:$A,"Amount (NIS)")+SUMIFS('Source 2026'!$M:$M,'Source 2026'!$B:$B,$A257,'Source 2026'!$A:$A,"Amount (NIS)")+SUMIFS('Source 2026'!$N:$N,'Source 2026'!$B:$B,$A257,'Source 2026'!$A:$A,"Amount (NIS)")+SUMIFS('Source 2026'!$S:$S,'Source 2026'!$B:$B,$A257,'Source 2026'!$A:$A,"Amount (NIS)")+SUMIFS('Source 2026'!$U:$U,'Source 2026'!$B:$B,$A257,'Source 2026'!$A:$A,"Amount (NIS)")+SUMIFS('Source 2026'!$D:$D,'Source 2026'!$B:$B,$A257,'Source 2026'!$A:$A,"Amount (NIS)")+SUMIFS('Source 2026'!$E:$E,'Source 2026'!$B:$B,$A257,'Source 2026'!$A:$A,"Amount (NIS)")+SUMIFS('Source 2026'!$G:$G,'Source 2026'!$B:$B,$A257,'Source 2026'!$A:$A,"Amount (NIS)")</f>
        <v>105.3</v>
      </c>
      <c r="J257" s="9" t="n">
        <f aca="false">I257*$J$5</f>
        <v>133.010526315789</v>
      </c>
      <c r="K257" s="9" t="n">
        <f aca="false">J257-H257</f>
        <v>133.010526315789</v>
      </c>
      <c r="L257" s="11" t="str">
        <f aca="false">IF(AND(H257=0,J257=0),0,IF(H257=0,"New",(J257-H257)/H257))</f>
        <v>New</v>
      </c>
    </row>
    <row r="258" customFormat="false" ht="15" hidden="false" customHeight="true" outlineLevel="0" collapsed="false">
      <c r="A258" s="8" t="s">
        <v>327</v>
      </c>
      <c r="B258" s="8" t="str">
        <f aca="false">IFERROR(INDEX('Source 2026'!$C:$C,MATCH($A258,'Source 2026'!$B:$B,0)),IFERROR(INDEX('Source 2025'!$C:$C,MATCH($A258,'Source 2025'!$B:$B,0)),""))</f>
        <v>11 אפורUG חגורת בטן</v>
      </c>
      <c r="C258" s="9" t="n">
        <f aca="false">SUMIFS('Source 2025'!$F:$F,'Source 2025'!$B:$B,$A258,'Source 2025'!$A:$A,"Quantity (units)")+SUMIFS('Source 2025'!$H:$H,'Source 2025'!$B:$B,$A258,'Source 2025'!$A:$A,"Quantity (units)")+SUMIFS('Source 2025'!$M:$M,'Source 2025'!$B:$B,$A258,'Source 2025'!$A:$A,"Quantity (units)")+SUMIFS('Source 2025'!$N:$N,'Source 2025'!$B:$B,$A258,'Source 2025'!$A:$A,"Quantity (units)")+SUMIFS('Source 2025'!$S:$S,'Source 2025'!$B:$B,$A258,'Source 2025'!$A:$A,"Quantity (units)")+SUMIFS('Source 2025'!$U:$U,'Source 2025'!$B:$B,$A258,'Source 2025'!$A:$A,"Quantity (units)")+SUMIFS('Source 2025'!$D:$D,'Source 2025'!$B:$B,$A258,'Source 2025'!$A:$A,"Quantity (units)")+SUMIFS('Source 2025'!$E:$E,'Source 2025'!$B:$B,$A258,'Source 2025'!$A:$A,"Quantity (units)")+SUMIFS('Source 2025'!$G:$G,'Source 2025'!$B:$B,$A258,'Source 2025'!$A:$A,"Quantity (units)")</f>
        <v>1</v>
      </c>
      <c r="D258" s="9" t="n">
        <f aca="false">SUMIFS('Source 2026'!$F:$F,'Source 2026'!$B:$B,$A258,'Source 2026'!$A:$A,"Quantity (units)")+SUMIFS('Source 2026'!$H:$H,'Source 2026'!$B:$B,$A258,'Source 2026'!$A:$A,"Quantity (units)")+SUMIFS('Source 2026'!$M:$M,'Source 2026'!$B:$B,$A258,'Source 2026'!$A:$A,"Quantity (units)")+SUMIFS('Source 2026'!$N:$N,'Source 2026'!$B:$B,$A258,'Source 2026'!$A:$A,"Quantity (units)")+SUMIFS('Source 2026'!$S:$S,'Source 2026'!$B:$B,$A258,'Source 2026'!$A:$A,"Quantity (units)")+SUMIFS('Source 2026'!$U:$U,'Source 2026'!$B:$B,$A258,'Source 2026'!$A:$A,"Quantity (units)")+SUMIFS('Source 2026'!$D:$D,'Source 2026'!$B:$B,$A258,'Source 2026'!$A:$A,"Quantity (units)")+SUMIFS('Source 2026'!$E:$E,'Source 2026'!$B:$B,$A258,'Source 2026'!$A:$A,"Quantity (units)")+SUMIFS('Source 2026'!$G:$G,'Source 2026'!$B:$B,$A258,'Source 2026'!$A:$A,"Quantity (units)")</f>
        <v>0</v>
      </c>
      <c r="E258" s="9" t="n">
        <f aca="false">D258*$J$5</f>
        <v>0</v>
      </c>
      <c r="F258" s="9" t="n">
        <f aca="false">E258-C258</f>
        <v>-1</v>
      </c>
      <c r="G258" s="11" t="n">
        <f aca="false">IF(AND(C258=0,E258=0),0,IF(C258=0,"New",(E258-C258)/C258))</f>
        <v>-1</v>
      </c>
      <c r="H258" s="9" t="n">
        <f aca="false">SUMIFS('Source 2025'!$F:$F,'Source 2025'!$B:$B,$A258,'Source 2025'!$A:$A,"Amount (NIS)")+SUMIFS('Source 2025'!$H:$H,'Source 2025'!$B:$B,$A258,'Source 2025'!$A:$A,"Amount (NIS)")+SUMIFS('Source 2025'!$M:$M,'Source 2025'!$B:$B,$A258,'Source 2025'!$A:$A,"Amount (NIS)")+SUMIFS('Source 2025'!$N:$N,'Source 2025'!$B:$B,$A258,'Source 2025'!$A:$A,"Amount (NIS)")+SUMIFS('Source 2025'!$S:$S,'Source 2025'!$B:$B,$A258,'Source 2025'!$A:$A,"Amount (NIS)")+SUMIFS('Source 2025'!$U:$U,'Source 2025'!$B:$B,$A258,'Source 2025'!$A:$A,"Amount (NIS)")+SUMIFS('Source 2025'!$D:$D,'Source 2025'!$B:$B,$A258,'Source 2025'!$A:$A,"Amount (NIS)")+SUMIFS('Source 2025'!$E:$E,'Source 2025'!$B:$B,$A258,'Source 2025'!$A:$A,"Amount (NIS)")+SUMIFS('Source 2025'!$G:$G,'Source 2025'!$B:$B,$A258,'Source 2025'!$A:$A,"Amount (NIS)")</f>
        <v>103.1</v>
      </c>
      <c r="I258" s="9" t="n">
        <f aca="false">SUMIFS('Source 2026'!$F:$F,'Source 2026'!$B:$B,$A258,'Source 2026'!$A:$A,"Amount (NIS)")+SUMIFS('Source 2026'!$H:$H,'Source 2026'!$B:$B,$A258,'Source 2026'!$A:$A,"Amount (NIS)")+SUMIFS('Source 2026'!$M:$M,'Source 2026'!$B:$B,$A258,'Source 2026'!$A:$A,"Amount (NIS)")+SUMIFS('Source 2026'!$N:$N,'Source 2026'!$B:$B,$A258,'Source 2026'!$A:$A,"Amount (NIS)")+SUMIFS('Source 2026'!$S:$S,'Source 2026'!$B:$B,$A258,'Source 2026'!$A:$A,"Amount (NIS)")+SUMIFS('Source 2026'!$U:$U,'Source 2026'!$B:$B,$A258,'Source 2026'!$A:$A,"Amount (NIS)")+SUMIFS('Source 2026'!$D:$D,'Source 2026'!$B:$B,$A258,'Source 2026'!$A:$A,"Amount (NIS)")+SUMIFS('Source 2026'!$E:$E,'Source 2026'!$B:$B,$A258,'Source 2026'!$A:$A,"Amount (NIS)")+SUMIFS('Source 2026'!$G:$G,'Source 2026'!$B:$B,$A258,'Source 2026'!$A:$A,"Amount (NIS)")</f>
        <v>0</v>
      </c>
      <c r="J258" s="9" t="n">
        <f aca="false">I258*$J$5</f>
        <v>0</v>
      </c>
      <c r="K258" s="9" t="n">
        <f aca="false">J258-H258</f>
        <v>-103.1</v>
      </c>
      <c r="L258" s="11" t="n">
        <f aca="false">IF(AND(H258=0,J258=0),0,IF(H258=0,"New",(J258-H258)/H258))</f>
        <v>-1</v>
      </c>
    </row>
    <row r="259" customFormat="false" ht="15" hidden="false" customHeight="true" outlineLevel="0" collapsed="false">
      <c r="A259" s="8" t="s">
        <v>328</v>
      </c>
      <c r="B259" s="8" t="str">
        <f aca="false">IFERROR(INDEX('Source 2026'!$C:$C,MATCH($A259,'Source 2026'!$B:$B,0)),IFERROR(INDEX('Source 2025'!$C:$C,MATCH($A259,'Source 2025'!$B:$B,0)),""))</f>
        <v>רפידת ספורט 376 מידה</v>
      </c>
      <c r="C259" s="9" t="n">
        <f aca="false">SUMIFS('Source 2025'!$F:$F,'Source 2025'!$B:$B,$A259,'Source 2025'!$A:$A,"Quantity (units)")+SUMIFS('Source 2025'!$H:$H,'Source 2025'!$B:$B,$A259,'Source 2025'!$A:$A,"Quantity (units)")+SUMIFS('Source 2025'!$M:$M,'Source 2025'!$B:$B,$A259,'Source 2025'!$A:$A,"Quantity (units)")+SUMIFS('Source 2025'!$N:$N,'Source 2025'!$B:$B,$A259,'Source 2025'!$A:$A,"Quantity (units)")+SUMIFS('Source 2025'!$S:$S,'Source 2025'!$B:$B,$A259,'Source 2025'!$A:$A,"Quantity (units)")+SUMIFS('Source 2025'!$U:$U,'Source 2025'!$B:$B,$A259,'Source 2025'!$A:$A,"Quantity (units)")+SUMIFS('Source 2025'!$D:$D,'Source 2025'!$B:$B,$A259,'Source 2025'!$A:$A,"Quantity (units)")+SUMIFS('Source 2025'!$E:$E,'Source 2025'!$B:$B,$A259,'Source 2025'!$A:$A,"Quantity (units)")+SUMIFS('Source 2025'!$G:$G,'Source 2025'!$B:$B,$A259,'Source 2025'!$A:$A,"Quantity (units)")</f>
        <v>4</v>
      </c>
      <c r="D259" s="9" t="n">
        <f aca="false">SUMIFS('Source 2026'!$F:$F,'Source 2026'!$B:$B,$A259,'Source 2026'!$A:$A,"Quantity (units)")+SUMIFS('Source 2026'!$H:$H,'Source 2026'!$B:$B,$A259,'Source 2026'!$A:$A,"Quantity (units)")+SUMIFS('Source 2026'!$M:$M,'Source 2026'!$B:$B,$A259,'Source 2026'!$A:$A,"Quantity (units)")+SUMIFS('Source 2026'!$N:$N,'Source 2026'!$B:$B,$A259,'Source 2026'!$A:$A,"Quantity (units)")+SUMIFS('Source 2026'!$S:$S,'Source 2026'!$B:$B,$A259,'Source 2026'!$A:$A,"Quantity (units)")+SUMIFS('Source 2026'!$U:$U,'Source 2026'!$B:$B,$A259,'Source 2026'!$A:$A,"Quantity (units)")+SUMIFS('Source 2026'!$D:$D,'Source 2026'!$B:$B,$A259,'Source 2026'!$A:$A,"Quantity (units)")+SUMIFS('Source 2026'!$E:$E,'Source 2026'!$B:$B,$A259,'Source 2026'!$A:$A,"Quantity (units)")+SUMIFS('Source 2026'!$G:$G,'Source 2026'!$B:$B,$A259,'Source 2026'!$A:$A,"Quantity (units)")</f>
        <v>1</v>
      </c>
      <c r="E259" s="9" t="n">
        <f aca="false">D259*$J$5</f>
        <v>1.26315789473684</v>
      </c>
      <c r="F259" s="9" t="n">
        <f aca="false">E259-C259</f>
        <v>-2.73684210526316</v>
      </c>
      <c r="G259" s="11" t="n">
        <f aca="false">IF(AND(C259=0,E259=0),0,IF(C259=0,"New",(E259-C259)/C259))</f>
        <v>-0.68421052631579</v>
      </c>
      <c r="H259" s="9" t="n">
        <f aca="false">SUMIFS('Source 2025'!$F:$F,'Source 2025'!$B:$B,$A259,'Source 2025'!$A:$A,"Amount (NIS)")+SUMIFS('Source 2025'!$H:$H,'Source 2025'!$B:$B,$A259,'Source 2025'!$A:$A,"Amount (NIS)")+SUMIFS('Source 2025'!$M:$M,'Source 2025'!$B:$B,$A259,'Source 2025'!$A:$A,"Amount (NIS)")+SUMIFS('Source 2025'!$N:$N,'Source 2025'!$B:$B,$A259,'Source 2025'!$A:$A,"Amount (NIS)")+SUMIFS('Source 2025'!$S:$S,'Source 2025'!$B:$B,$A259,'Source 2025'!$A:$A,"Amount (NIS)")+SUMIFS('Source 2025'!$U:$U,'Source 2025'!$B:$B,$A259,'Source 2025'!$A:$A,"Amount (NIS)")+SUMIFS('Source 2025'!$D:$D,'Source 2025'!$B:$B,$A259,'Source 2025'!$A:$A,"Amount (NIS)")+SUMIFS('Source 2025'!$E:$E,'Source 2025'!$B:$B,$A259,'Source 2025'!$A:$A,"Amount (NIS)")+SUMIFS('Source 2025'!$G:$G,'Source 2025'!$B:$B,$A259,'Source 2025'!$A:$A,"Amount (NIS)")</f>
        <v>133.6</v>
      </c>
      <c r="I259" s="9" t="n">
        <f aca="false">SUMIFS('Source 2026'!$F:$F,'Source 2026'!$B:$B,$A259,'Source 2026'!$A:$A,"Amount (NIS)")+SUMIFS('Source 2026'!$H:$H,'Source 2026'!$B:$B,$A259,'Source 2026'!$A:$A,"Amount (NIS)")+SUMIFS('Source 2026'!$M:$M,'Source 2026'!$B:$B,$A259,'Source 2026'!$A:$A,"Amount (NIS)")+SUMIFS('Source 2026'!$N:$N,'Source 2026'!$B:$B,$A259,'Source 2026'!$A:$A,"Amount (NIS)")+SUMIFS('Source 2026'!$S:$S,'Source 2026'!$B:$B,$A259,'Source 2026'!$A:$A,"Amount (NIS)")+SUMIFS('Source 2026'!$U:$U,'Source 2026'!$B:$B,$A259,'Source 2026'!$A:$A,"Amount (NIS)")+SUMIFS('Source 2026'!$D:$D,'Source 2026'!$B:$B,$A259,'Source 2026'!$A:$A,"Amount (NIS)")+SUMIFS('Source 2026'!$E:$E,'Source 2026'!$B:$B,$A259,'Source 2026'!$A:$A,"Amount (NIS)")+SUMIFS('Source 2026'!$G:$G,'Source 2026'!$B:$B,$A259,'Source 2026'!$A:$A,"Amount (NIS)")</f>
        <v>35.1</v>
      </c>
      <c r="J259" s="9" t="n">
        <f aca="false">I259*$J$5</f>
        <v>44.3368421052632</v>
      </c>
      <c r="K259" s="9" t="n">
        <f aca="false">J259-H259</f>
        <v>-89.2631578947368</v>
      </c>
      <c r="L259" s="11" t="n">
        <f aca="false">IF(AND(H259=0,J259=0),0,IF(H259=0,"New",(J259-H259)/H259))</f>
        <v>-0.668137409391743</v>
      </c>
    </row>
    <row r="260" customFormat="false" ht="15" hidden="false" customHeight="true" outlineLevel="0" collapsed="false">
      <c r="A260" s="8" t="s">
        <v>329</v>
      </c>
      <c r="B260" s="8" t="str">
        <f aca="false">IFERROR(INDEX('Source 2026'!$C:$C,MATCH($A260,'Source 2026'!$B:$B,0)),IFERROR(INDEX('Source 2025'!$C:$C,MATCH($A260,'Source 2025'!$B:$B,0)),""))</f>
        <v>רצועת טניס אלבו עם פלסטיק</v>
      </c>
      <c r="C260" s="9" t="n">
        <f aca="false">SUMIFS('Source 2025'!$F:$F,'Source 2025'!$B:$B,$A260,'Source 2025'!$A:$A,"Quantity (units)")+SUMIFS('Source 2025'!$H:$H,'Source 2025'!$B:$B,$A260,'Source 2025'!$A:$A,"Quantity (units)")+SUMIFS('Source 2025'!$M:$M,'Source 2025'!$B:$B,$A260,'Source 2025'!$A:$A,"Quantity (units)")+SUMIFS('Source 2025'!$N:$N,'Source 2025'!$B:$B,$A260,'Source 2025'!$A:$A,"Quantity (units)")+SUMIFS('Source 2025'!$S:$S,'Source 2025'!$B:$B,$A260,'Source 2025'!$A:$A,"Quantity (units)")+SUMIFS('Source 2025'!$U:$U,'Source 2025'!$B:$B,$A260,'Source 2025'!$A:$A,"Quantity (units)")+SUMIFS('Source 2025'!$D:$D,'Source 2025'!$B:$B,$A260,'Source 2025'!$A:$A,"Quantity (units)")+SUMIFS('Source 2025'!$E:$E,'Source 2025'!$B:$B,$A260,'Source 2025'!$A:$A,"Quantity (units)")+SUMIFS('Source 2025'!$G:$G,'Source 2025'!$B:$B,$A260,'Source 2025'!$A:$A,"Quantity (units)")</f>
        <v>-1</v>
      </c>
      <c r="D260" s="9" t="n">
        <f aca="false">SUMIFS('Source 2026'!$F:$F,'Source 2026'!$B:$B,$A260,'Source 2026'!$A:$A,"Quantity (units)")+SUMIFS('Source 2026'!$H:$H,'Source 2026'!$B:$B,$A260,'Source 2026'!$A:$A,"Quantity (units)")+SUMIFS('Source 2026'!$M:$M,'Source 2026'!$B:$B,$A260,'Source 2026'!$A:$A,"Quantity (units)")+SUMIFS('Source 2026'!$N:$N,'Source 2026'!$B:$B,$A260,'Source 2026'!$A:$A,"Quantity (units)")+SUMIFS('Source 2026'!$S:$S,'Source 2026'!$B:$B,$A260,'Source 2026'!$A:$A,"Quantity (units)")+SUMIFS('Source 2026'!$U:$U,'Source 2026'!$B:$B,$A260,'Source 2026'!$A:$A,"Quantity (units)")+SUMIFS('Source 2026'!$D:$D,'Source 2026'!$B:$B,$A260,'Source 2026'!$A:$A,"Quantity (units)")+SUMIFS('Source 2026'!$E:$E,'Source 2026'!$B:$B,$A260,'Source 2026'!$A:$A,"Quantity (units)")+SUMIFS('Source 2026'!$G:$G,'Source 2026'!$B:$B,$A260,'Source 2026'!$A:$A,"Quantity (units)")</f>
        <v>0</v>
      </c>
      <c r="E260" s="9" t="n">
        <f aca="false">D260*$J$5</f>
        <v>0</v>
      </c>
      <c r="F260" s="9" t="n">
        <f aca="false">E260-C260</f>
        <v>1</v>
      </c>
      <c r="G260" s="11" t="n">
        <f aca="false">IF(AND(C260=0,E260=0),0,IF(C260=0,"New",(E260-C260)/C260))</f>
        <v>-1</v>
      </c>
      <c r="H260" s="9" t="n">
        <f aca="false">SUMIFS('Source 2025'!$F:$F,'Source 2025'!$B:$B,$A260,'Source 2025'!$A:$A,"Amount (NIS)")+SUMIFS('Source 2025'!$H:$H,'Source 2025'!$B:$B,$A260,'Source 2025'!$A:$A,"Amount (NIS)")+SUMIFS('Source 2025'!$M:$M,'Source 2025'!$B:$B,$A260,'Source 2025'!$A:$A,"Amount (NIS)")+SUMIFS('Source 2025'!$N:$N,'Source 2025'!$B:$B,$A260,'Source 2025'!$A:$A,"Amount (NIS)")+SUMIFS('Source 2025'!$S:$S,'Source 2025'!$B:$B,$A260,'Source 2025'!$A:$A,"Amount (NIS)")+SUMIFS('Source 2025'!$U:$U,'Source 2025'!$B:$B,$A260,'Source 2025'!$A:$A,"Amount (NIS)")+SUMIFS('Source 2025'!$D:$D,'Source 2025'!$B:$B,$A260,'Source 2025'!$A:$A,"Amount (NIS)")+SUMIFS('Source 2025'!$E:$E,'Source 2025'!$B:$B,$A260,'Source 2025'!$A:$A,"Amount (NIS)")+SUMIFS('Source 2025'!$G:$G,'Source 2025'!$B:$B,$A260,'Source 2025'!$A:$A,"Amount (NIS)")</f>
        <v>-98.3</v>
      </c>
      <c r="I260" s="9" t="n">
        <f aca="false">SUMIFS('Source 2026'!$F:$F,'Source 2026'!$B:$B,$A260,'Source 2026'!$A:$A,"Amount (NIS)")+SUMIFS('Source 2026'!$H:$H,'Source 2026'!$B:$B,$A260,'Source 2026'!$A:$A,"Amount (NIS)")+SUMIFS('Source 2026'!$M:$M,'Source 2026'!$B:$B,$A260,'Source 2026'!$A:$A,"Amount (NIS)")+SUMIFS('Source 2026'!$N:$N,'Source 2026'!$B:$B,$A260,'Source 2026'!$A:$A,"Amount (NIS)")+SUMIFS('Source 2026'!$S:$S,'Source 2026'!$B:$B,$A260,'Source 2026'!$A:$A,"Amount (NIS)")+SUMIFS('Source 2026'!$U:$U,'Source 2026'!$B:$B,$A260,'Source 2026'!$A:$A,"Amount (NIS)")+SUMIFS('Source 2026'!$D:$D,'Source 2026'!$B:$B,$A260,'Source 2026'!$A:$A,"Amount (NIS)")+SUMIFS('Source 2026'!$E:$E,'Source 2026'!$B:$B,$A260,'Source 2026'!$A:$A,"Amount (NIS)")+SUMIFS('Source 2026'!$G:$G,'Source 2026'!$B:$B,$A260,'Source 2026'!$A:$A,"Amount (NIS)")</f>
        <v>0</v>
      </c>
      <c r="J260" s="9" t="n">
        <f aca="false">I260*$J$5</f>
        <v>0</v>
      </c>
      <c r="K260" s="9" t="n">
        <f aca="false">J260-H260</f>
        <v>98.3</v>
      </c>
      <c r="L260" s="11" t="n">
        <f aca="false">IF(AND(H260=0,J260=0),0,IF(H260=0,"New",(J260-H260)/H260))</f>
        <v>-1</v>
      </c>
    </row>
    <row r="261" customFormat="false" ht="15" hidden="false" customHeight="true" outlineLevel="0" collapsed="false">
      <c r="A261" s="8" t="s">
        <v>330</v>
      </c>
      <c r="B261" s="8" t="str">
        <f aca="false">IFERROR(INDEX('Source 2026'!$C:$C,MATCH($A261,'Source 2026'!$B:$B,0)),IFERROR(INDEX('Source 2025'!$C:$C,MATCH($A261,'Source 2025'!$B:$B,0)),""))</f>
        <v>M סד ליד שמאל</v>
      </c>
      <c r="C261" s="9" t="n">
        <f aca="false">SUMIFS('Source 2025'!$F:$F,'Source 2025'!$B:$B,$A261,'Source 2025'!$A:$A,"Quantity (units)")+SUMIFS('Source 2025'!$H:$H,'Source 2025'!$B:$B,$A261,'Source 2025'!$A:$A,"Quantity (units)")+SUMIFS('Source 2025'!$M:$M,'Source 2025'!$B:$B,$A261,'Source 2025'!$A:$A,"Quantity (units)")+SUMIFS('Source 2025'!$N:$N,'Source 2025'!$B:$B,$A261,'Source 2025'!$A:$A,"Quantity (units)")+SUMIFS('Source 2025'!$S:$S,'Source 2025'!$B:$B,$A261,'Source 2025'!$A:$A,"Quantity (units)")+SUMIFS('Source 2025'!$U:$U,'Source 2025'!$B:$B,$A261,'Source 2025'!$A:$A,"Quantity (units)")+SUMIFS('Source 2025'!$D:$D,'Source 2025'!$B:$B,$A261,'Source 2025'!$A:$A,"Quantity (units)")+SUMIFS('Source 2025'!$E:$E,'Source 2025'!$B:$B,$A261,'Source 2025'!$A:$A,"Quantity (units)")+SUMIFS('Source 2025'!$G:$G,'Source 2025'!$B:$B,$A261,'Source 2025'!$A:$A,"Quantity (units)")</f>
        <v>1</v>
      </c>
      <c r="D261" s="9" t="n">
        <f aca="false">SUMIFS('Source 2026'!$F:$F,'Source 2026'!$B:$B,$A261,'Source 2026'!$A:$A,"Quantity (units)")+SUMIFS('Source 2026'!$H:$H,'Source 2026'!$B:$B,$A261,'Source 2026'!$A:$A,"Quantity (units)")+SUMIFS('Source 2026'!$M:$M,'Source 2026'!$B:$B,$A261,'Source 2026'!$A:$A,"Quantity (units)")+SUMIFS('Source 2026'!$N:$N,'Source 2026'!$B:$B,$A261,'Source 2026'!$A:$A,"Quantity (units)")+SUMIFS('Source 2026'!$S:$S,'Source 2026'!$B:$B,$A261,'Source 2026'!$A:$A,"Quantity (units)")+SUMIFS('Source 2026'!$U:$U,'Source 2026'!$B:$B,$A261,'Source 2026'!$A:$A,"Quantity (units)")+SUMIFS('Source 2026'!$D:$D,'Source 2026'!$B:$B,$A261,'Source 2026'!$A:$A,"Quantity (units)")+SUMIFS('Source 2026'!$E:$E,'Source 2026'!$B:$B,$A261,'Source 2026'!$A:$A,"Quantity (units)")+SUMIFS('Source 2026'!$G:$G,'Source 2026'!$B:$B,$A261,'Source 2026'!$A:$A,"Quantity (units)")</f>
        <v>0</v>
      </c>
      <c r="E261" s="9" t="n">
        <f aca="false">D261*$J$5</f>
        <v>0</v>
      </c>
      <c r="F261" s="9" t="n">
        <f aca="false">E261-C261</f>
        <v>-1</v>
      </c>
      <c r="G261" s="11" t="n">
        <f aca="false">IF(AND(C261=0,E261=0),0,IF(C261=0,"New",(E261-C261)/C261))</f>
        <v>-1</v>
      </c>
      <c r="H261" s="9" t="n">
        <f aca="false">SUMIFS('Source 2025'!$F:$F,'Source 2025'!$B:$B,$A261,'Source 2025'!$A:$A,"Amount (NIS)")+SUMIFS('Source 2025'!$H:$H,'Source 2025'!$B:$B,$A261,'Source 2025'!$A:$A,"Amount (NIS)")+SUMIFS('Source 2025'!$M:$M,'Source 2025'!$B:$B,$A261,'Source 2025'!$A:$A,"Amount (NIS)")+SUMIFS('Source 2025'!$N:$N,'Source 2025'!$B:$B,$A261,'Source 2025'!$A:$A,"Amount (NIS)")+SUMIFS('Source 2025'!$S:$S,'Source 2025'!$B:$B,$A261,'Source 2025'!$A:$A,"Amount (NIS)")+SUMIFS('Source 2025'!$U:$U,'Source 2025'!$B:$B,$A261,'Source 2025'!$A:$A,"Amount (NIS)")+SUMIFS('Source 2025'!$D:$D,'Source 2025'!$B:$B,$A261,'Source 2025'!$A:$A,"Amount (NIS)")+SUMIFS('Source 2025'!$E:$E,'Source 2025'!$B:$B,$A261,'Source 2025'!$A:$A,"Amount (NIS)")+SUMIFS('Source 2025'!$G:$G,'Source 2025'!$B:$B,$A261,'Source 2025'!$A:$A,"Amount (NIS)")</f>
        <v>94.5</v>
      </c>
      <c r="I261" s="9" t="n">
        <f aca="false">SUMIFS('Source 2026'!$F:$F,'Source 2026'!$B:$B,$A261,'Source 2026'!$A:$A,"Amount (NIS)")+SUMIFS('Source 2026'!$H:$H,'Source 2026'!$B:$B,$A261,'Source 2026'!$A:$A,"Amount (NIS)")+SUMIFS('Source 2026'!$M:$M,'Source 2026'!$B:$B,$A261,'Source 2026'!$A:$A,"Amount (NIS)")+SUMIFS('Source 2026'!$N:$N,'Source 2026'!$B:$B,$A261,'Source 2026'!$A:$A,"Amount (NIS)")+SUMIFS('Source 2026'!$S:$S,'Source 2026'!$B:$B,$A261,'Source 2026'!$A:$A,"Amount (NIS)")+SUMIFS('Source 2026'!$U:$U,'Source 2026'!$B:$B,$A261,'Source 2026'!$A:$A,"Amount (NIS)")+SUMIFS('Source 2026'!$D:$D,'Source 2026'!$B:$B,$A261,'Source 2026'!$A:$A,"Amount (NIS)")+SUMIFS('Source 2026'!$E:$E,'Source 2026'!$B:$B,$A261,'Source 2026'!$A:$A,"Amount (NIS)")+SUMIFS('Source 2026'!$G:$G,'Source 2026'!$B:$B,$A261,'Source 2026'!$A:$A,"Amount (NIS)")</f>
        <v>0</v>
      </c>
      <c r="J261" s="9" t="n">
        <f aca="false">I261*$J$5</f>
        <v>0</v>
      </c>
      <c r="K261" s="9" t="n">
        <f aca="false">J261-H261</f>
        <v>-94.5</v>
      </c>
      <c r="L261" s="11" t="n">
        <f aca="false">IF(AND(H261=0,J261=0),0,IF(H261=0,"New",(J261-H261)/H261))</f>
        <v>-1</v>
      </c>
    </row>
    <row r="262" customFormat="false" ht="15" hidden="false" customHeight="true" outlineLevel="0" collapsed="false">
      <c r="A262" s="8" t="s">
        <v>331</v>
      </c>
      <c r="B262" s="8" t="str">
        <f aca="false">IFERROR(INDEX('Source 2026'!$C:$C,MATCH($A262,'Source 2026'!$B:$B,0)),IFERROR(INDEX('Source 2025'!$C:$C,MATCH($A262,'Source 2025'!$B:$B,0)),""))</f>
        <v>Lחגורת בטן וחזה אחרי ניתוח</v>
      </c>
      <c r="C262" s="9" t="n">
        <f aca="false">SUMIFS('Source 2025'!$F:$F,'Source 2025'!$B:$B,$A262,'Source 2025'!$A:$A,"Quantity (units)")+SUMIFS('Source 2025'!$H:$H,'Source 2025'!$B:$B,$A262,'Source 2025'!$A:$A,"Quantity (units)")+SUMIFS('Source 2025'!$M:$M,'Source 2025'!$B:$B,$A262,'Source 2025'!$A:$A,"Quantity (units)")+SUMIFS('Source 2025'!$N:$N,'Source 2025'!$B:$B,$A262,'Source 2025'!$A:$A,"Quantity (units)")+SUMIFS('Source 2025'!$S:$S,'Source 2025'!$B:$B,$A262,'Source 2025'!$A:$A,"Quantity (units)")+SUMIFS('Source 2025'!$U:$U,'Source 2025'!$B:$B,$A262,'Source 2025'!$A:$A,"Quantity (units)")+SUMIFS('Source 2025'!$D:$D,'Source 2025'!$B:$B,$A262,'Source 2025'!$A:$A,"Quantity (units)")+SUMIFS('Source 2025'!$E:$E,'Source 2025'!$B:$B,$A262,'Source 2025'!$A:$A,"Quantity (units)")+SUMIFS('Source 2025'!$G:$G,'Source 2025'!$B:$B,$A262,'Source 2025'!$A:$A,"Quantity (units)")</f>
        <v>1</v>
      </c>
      <c r="D262" s="9" t="n">
        <f aca="false">SUMIFS('Source 2026'!$F:$F,'Source 2026'!$B:$B,$A262,'Source 2026'!$A:$A,"Quantity (units)")+SUMIFS('Source 2026'!$H:$H,'Source 2026'!$B:$B,$A262,'Source 2026'!$A:$A,"Quantity (units)")+SUMIFS('Source 2026'!$M:$M,'Source 2026'!$B:$B,$A262,'Source 2026'!$A:$A,"Quantity (units)")+SUMIFS('Source 2026'!$N:$N,'Source 2026'!$B:$B,$A262,'Source 2026'!$A:$A,"Quantity (units)")+SUMIFS('Source 2026'!$S:$S,'Source 2026'!$B:$B,$A262,'Source 2026'!$A:$A,"Quantity (units)")+SUMIFS('Source 2026'!$U:$U,'Source 2026'!$B:$B,$A262,'Source 2026'!$A:$A,"Quantity (units)")+SUMIFS('Source 2026'!$D:$D,'Source 2026'!$B:$B,$A262,'Source 2026'!$A:$A,"Quantity (units)")+SUMIFS('Source 2026'!$E:$E,'Source 2026'!$B:$B,$A262,'Source 2026'!$A:$A,"Quantity (units)")+SUMIFS('Source 2026'!$G:$G,'Source 2026'!$B:$B,$A262,'Source 2026'!$A:$A,"Quantity (units)")</f>
        <v>0</v>
      </c>
      <c r="E262" s="9" t="n">
        <f aca="false">D262*$J$5</f>
        <v>0</v>
      </c>
      <c r="F262" s="9" t="n">
        <f aca="false">E262-C262</f>
        <v>-1</v>
      </c>
      <c r="G262" s="11" t="n">
        <f aca="false">IF(AND(C262=0,E262=0),0,IF(C262=0,"New",(E262-C262)/C262))</f>
        <v>-1</v>
      </c>
      <c r="H262" s="9" t="n">
        <f aca="false">SUMIFS('Source 2025'!$F:$F,'Source 2025'!$B:$B,$A262,'Source 2025'!$A:$A,"Amount (NIS)")+SUMIFS('Source 2025'!$H:$H,'Source 2025'!$B:$B,$A262,'Source 2025'!$A:$A,"Amount (NIS)")+SUMIFS('Source 2025'!$M:$M,'Source 2025'!$B:$B,$A262,'Source 2025'!$A:$A,"Amount (NIS)")+SUMIFS('Source 2025'!$N:$N,'Source 2025'!$B:$B,$A262,'Source 2025'!$A:$A,"Amount (NIS)")+SUMIFS('Source 2025'!$S:$S,'Source 2025'!$B:$B,$A262,'Source 2025'!$A:$A,"Amount (NIS)")+SUMIFS('Source 2025'!$U:$U,'Source 2025'!$B:$B,$A262,'Source 2025'!$A:$A,"Amount (NIS)")+SUMIFS('Source 2025'!$D:$D,'Source 2025'!$B:$B,$A262,'Source 2025'!$A:$A,"Amount (NIS)")+SUMIFS('Source 2025'!$E:$E,'Source 2025'!$B:$B,$A262,'Source 2025'!$A:$A,"Amount (NIS)")+SUMIFS('Source 2025'!$G:$G,'Source 2025'!$B:$B,$A262,'Source 2025'!$A:$A,"Amount (NIS)")</f>
        <v>94.5</v>
      </c>
      <c r="I262" s="9" t="n">
        <f aca="false">SUMIFS('Source 2026'!$F:$F,'Source 2026'!$B:$B,$A262,'Source 2026'!$A:$A,"Amount (NIS)")+SUMIFS('Source 2026'!$H:$H,'Source 2026'!$B:$B,$A262,'Source 2026'!$A:$A,"Amount (NIS)")+SUMIFS('Source 2026'!$M:$M,'Source 2026'!$B:$B,$A262,'Source 2026'!$A:$A,"Amount (NIS)")+SUMIFS('Source 2026'!$N:$N,'Source 2026'!$B:$B,$A262,'Source 2026'!$A:$A,"Amount (NIS)")+SUMIFS('Source 2026'!$S:$S,'Source 2026'!$B:$B,$A262,'Source 2026'!$A:$A,"Amount (NIS)")+SUMIFS('Source 2026'!$U:$U,'Source 2026'!$B:$B,$A262,'Source 2026'!$A:$A,"Amount (NIS)")+SUMIFS('Source 2026'!$D:$D,'Source 2026'!$B:$B,$A262,'Source 2026'!$A:$A,"Amount (NIS)")+SUMIFS('Source 2026'!$E:$E,'Source 2026'!$B:$B,$A262,'Source 2026'!$A:$A,"Amount (NIS)")+SUMIFS('Source 2026'!$G:$G,'Source 2026'!$B:$B,$A262,'Source 2026'!$A:$A,"Amount (NIS)")</f>
        <v>0</v>
      </c>
      <c r="J262" s="9" t="n">
        <f aca="false">I262*$J$5</f>
        <v>0</v>
      </c>
      <c r="K262" s="9" t="n">
        <f aca="false">J262-H262</f>
        <v>-94.5</v>
      </c>
      <c r="L262" s="11" t="n">
        <f aca="false">IF(AND(H262=0,J262=0),0,IF(H262=0,"New",(J262-H262)/H262))</f>
        <v>-1</v>
      </c>
    </row>
    <row r="263" customFormat="false" ht="15" hidden="false" customHeight="true" outlineLevel="0" collapsed="false">
      <c r="A263" s="8" t="s">
        <v>332</v>
      </c>
      <c r="B263" s="8" t="str">
        <f aca="false">IFERROR(INDEX('Source 2026'!$C:$C,MATCH($A263,'Source 2026'!$B:$B,0)),IFERROR(INDEX('Source 2025'!$C:$C,MATCH($A263,'Source 2025'!$B:$B,0)),""))</f>
        <v>S מגן מרפק רגיל</v>
      </c>
      <c r="C263" s="9" t="n">
        <f aca="false">SUMIFS('Source 2025'!$F:$F,'Source 2025'!$B:$B,$A263,'Source 2025'!$A:$A,"Quantity (units)")+SUMIFS('Source 2025'!$H:$H,'Source 2025'!$B:$B,$A263,'Source 2025'!$A:$A,"Quantity (units)")+SUMIFS('Source 2025'!$M:$M,'Source 2025'!$B:$B,$A263,'Source 2025'!$A:$A,"Quantity (units)")+SUMIFS('Source 2025'!$N:$N,'Source 2025'!$B:$B,$A263,'Source 2025'!$A:$A,"Quantity (units)")+SUMIFS('Source 2025'!$S:$S,'Source 2025'!$B:$B,$A263,'Source 2025'!$A:$A,"Quantity (units)")+SUMIFS('Source 2025'!$U:$U,'Source 2025'!$B:$B,$A263,'Source 2025'!$A:$A,"Quantity (units)")+SUMIFS('Source 2025'!$D:$D,'Source 2025'!$B:$B,$A263,'Source 2025'!$A:$A,"Quantity (units)")+SUMIFS('Source 2025'!$E:$E,'Source 2025'!$B:$B,$A263,'Source 2025'!$A:$A,"Quantity (units)")+SUMIFS('Source 2025'!$G:$G,'Source 2025'!$B:$B,$A263,'Source 2025'!$A:$A,"Quantity (units)")</f>
        <v>0</v>
      </c>
      <c r="D263" s="9" t="n">
        <f aca="false">SUMIFS('Source 2026'!$F:$F,'Source 2026'!$B:$B,$A263,'Source 2026'!$A:$A,"Quantity (units)")+SUMIFS('Source 2026'!$H:$H,'Source 2026'!$B:$B,$A263,'Source 2026'!$A:$A,"Quantity (units)")+SUMIFS('Source 2026'!$M:$M,'Source 2026'!$B:$B,$A263,'Source 2026'!$A:$A,"Quantity (units)")+SUMIFS('Source 2026'!$N:$N,'Source 2026'!$B:$B,$A263,'Source 2026'!$A:$A,"Quantity (units)")+SUMIFS('Source 2026'!$S:$S,'Source 2026'!$B:$B,$A263,'Source 2026'!$A:$A,"Quantity (units)")+SUMIFS('Source 2026'!$U:$U,'Source 2026'!$B:$B,$A263,'Source 2026'!$A:$A,"Quantity (units)")+SUMIFS('Source 2026'!$D:$D,'Source 2026'!$B:$B,$A263,'Source 2026'!$A:$A,"Quantity (units)")+SUMIFS('Source 2026'!$E:$E,'Source 2026'!$B:$B,$A263,'Source 2026'!$A:$A,"Quantity (units)")+SUMIFS('Source 2026'!$G:$G,'Source 2026'!$B:$B,$A263,'Source 2026'!$A:$A,"Quantity (units)")</f>
        <v>1</v>
      </c>
      <c r="E263" s="9" t="n">
        <f aca="false">D263*$J$5</f>
        <v>1.26315789473684</v>
      </c>
      <c r="F263" s="9" t="n">
        <f aca="false">E263-C263</f>
        <v>1.26315789473684</v>
      </c>
      <c r="G263" s="11" t="str">
        <f aca="false">IF(AND(C263=0,E263=0),0,IF(C263=0,"New",(E263-C263)/C263))</f>
        <v>New</v>
      </c>
      <c r="H263" s="9" t="n">
        <f aca="false">SUMIFS('Source 2025'!$F:$F,'Source 2025'!$B:$B,$A263,'Source 2025'!$A:$A,"Amount (NIS)")+SUMIFS('Source 2025'!$H:$H,'Source 2025'!$B:$B,$A263,'Source 2025'!$A:$A,"Amount (NIS)")+SUMIFS('Source 2025'!$M:$M,'Source 2025'!$B:$B,$A263,'Source 2025'!$A:$A,"Amount (NIS)")+SUMIFS('Source 2025'!$N:$N,'Source 2025'!$B:$B,$A263,'Source 2025'!$A:$A,"Amount (NIS)")+SUMIFS('Source 2025'!$S:$S,'Source 2025'!$B:$B,$A263,'Source 2025'!$A:$A,"Amount (NIS)")+SUMIFS('Source 2025'!$U:$U,'Source 2025'!$B:$B,$A263,'Source 2025'!$A:$A,"Amount (NIS)")+SUMIFS('Source 2025'!$D:$D,'Source 2025'!$B:$B,$A263,'Source 2025'!$A:$A,"Amount (NIS)")+SUMIFS('Source 2025'!$E:$E,'Source 2025'!$B:$B,$A263,'Source 2025'!$A:$A,"Amount (NIS)")+SUMIFS('Source 2025'!$G:$G,'Source 2025'!$B:$B,$A263,'Source 2025'!$A:$A,"Amount (NIS)")</f>
        <v>0</v>
      </c>
      <c r="I263" s="9" t="n">
        <f aca="false">SUMIFS('Source 2026'!$F:$F,'Source 2026'!$B:$B,$A263,'Source 2026'!$A:$A,"Amount (NIS)")+SUMIFS('Source 2026'!$H:$H,'Source 2026'!$B:$B,$A263,'Source 2026'!$A:$A,"Amount (NIS)")+SUMIFS('Source 2026'!$M:$M,'Source 2026'!$B:$B,$A263,'Source 2026'!$A:$A,"Amount (NIS)")+SUMIFS('Source 2026'!$N:$N,'Source 2026'!$B:$B,$A263,'Source 2026'!$A:$A,"Amount (NIS)")+SUMIFS('Source 2026'!$S:$S,'Source 2026'!$B:$B,$A263,'Source 2026'!$A:$A,"Amount (NIS)")+SUMIFS('Source 2026'!$U:$U,'Source 2026'!$B:$B,$A263,'Source 2026'!$A:$A,"Amount (NIS)")+SUMIFS('Source 2026'!$D:$D,'Source 2026'!$B:$B,$A263,'Source 2026'!$A:$A,"Amount (NIS)")+SUMIFS('Source 2026'!$E:$E,'Source 2026'!$B:$B,$A263,'Source 2026'!$A:$A,"Amount (NIS)")+SUMIFS('Source 2026'!$G:$G,'Source 2026'!$B:$B,$A263,'Source 2026'!$A:$A,"Amount (NIS)")</f>
        <v>94.5</v>
      </c>
      <c r="J263" s="9" t="n">
        <f aca="false">I263*$J$5</f>
        <v>119.368421052632</v>
      </c>
      <c r="K263" s="9" t="n">
        <f aca="false">J263-H263</f>
        <v>119.368421052632</v>
      </c>
      <c r="L263" s="11" t="str">
        <f aca="false">IF(AND(H263=0,J263=0),0,IF(H263=0,"New",(J263-H263)/H263))</f>
        <v>New</v>
      </c>
    </row>
    <row r="264" customFormat="false" ht="15" hidden="false" customHeight="true" outlineLevel="0" collapsed="false">
      <c r="A264" s="8" t="s">
        <v>333</v>
      </c>
      <c r="B264" s="8" t="str">
        <f aca="false">IFERROR(INDEX('Source 2026'!$C:$C,MATCH($A264,'Source 2026'!$B:$B,0)),IFERROR(INDEX('Source 2025'!$C:$C,MATCH($A264,'Source 2025'!$B:$B,0)),""))</f>
        <v>S-Mגרב לילה לטיפ.בדורבן</v>
      </c>
      <c r="C264" s="9" t="n">
        <f aca="false">SUMIFS('Source 2025'!$F:$F,'Source 2025'!$B:$B,$A264,'Source 2025'!$A:$A,"Quantity (units)")+SUMIFS('Source 2025'!$H:$H,'Source 2025'!$B:$B,$A264,'Source 2025'!$A:$A,"Quantity (units)")+SUMIFS('Source 2025'!$M:$M,'Source 2025'!$B:$B,$A264,'Source 2025'!$A:$A,"Quantity (units)")+SUMIFS('Source 2025'!$N:$N,'Source 2025'!$B:$B,$A264,'Source 2025'!$A:$A,"Quantity (units)")+SUMIFS('Source 2025'!$S:$S,'Source 2025'!$B:$B,$A264,'Source 2025'!$A:$A,"Quantity (units)")+SUMIFS('Source 2025'!$U:$U,'Source 2025'!$B:$B,$A264,'Source 2025'!$A:$A,"Quantity (units)")+SUMIFS('Source 2025'!$D:$D,'Source 2025'!$B:$B,$A264,'Source 2025'!$A:$A,"Quantity (units)")+SUMIFS('Source 2025'!$E:$E,'Source 2025'!$B:$B,$A264,'Source 2025'!$A:$A,"Quantity (units)")+SUMIFS('Source 2025'!$G:$G,'Source 2025'!$B:$B,$A264,'Source 2025'!$A:$A,"Quantity (units)")</f>
        <v>1</v>
      </c>
      <c r="D264" s="9" t="n">
        <f aca="false">SUMIFS('Source 2026'!$F:$F,'Source 2026'!$B:$B,$A264,'Source 2026'!$A:$A,"Quantity (units)")+SUMIFS('Source 2026'!$H:$H,'Source 2026'!$B:$B,$A264,'Source 2026'!$A:$A,"Quantity (units)")+SUMIFS('Source 2026'!$M:$M,'Source 2026'!$B:$B,$A264,'Source 2026'!$A:$A,"Quantity (units)")+SUMIFS('Source 2026'!$N:$N,'Source 2026'!$B:$B,$A264,'Source 2026'!$A:$A,"Quantity (units)")+SUMIFS('Source 2026'!$S:$S,'Source 2026'!$B:$B,$A264,'Source 2026'!$A:$A,"Quantity (units)")+SUMIFS('Source 2026'!$U:$U,'Source 2026'!$B:$B,$A264,'Source 2026'!$A:$A,"Quantity (units)")+SUMIFS('Source 2026'!$D:$D,'Source 2026'!$B:$B,$A264,'Source 2026'!$A:$A,"Quantity (units)")+SUMIFS('Source 2026'!$E:$E,'Source 2026'!$B:$B,$A264,'Source 2026'!$A:$A,"Quantity (units)")+SUMIFS('Source 2026'!$G:$G,'Source 2026'!$B:$B,$A264,'Source 2026'!$A:$A,"Quantity (units)")</f>
        <v>2</v>
      </c>
      <c r="E264" s="9" t="n">
        <f aca="false">D264*$J$5</f>
        <v>2.52631578947368</v>
      </c>
      <c r="F264" s="9" t="n">
        <f aca="false">E264-C264</f>
        <v>1.52631578947368</v>
      </c>
      <c r="G264" s="11" t="n">
        <f aca="false">IF(AND(C264=0,E264=0),0,IF(C264=0,"New",(E264-C264)/C264))</f>
        <v>1.52631578947368</v>
      </c>
      <c r="H264" s="9" t="n">
        <f aca="false">SUMIFS('Source 2025'!$F:$F,'Source 2025'!$B:$B,$A264,'Source 2025'!$A:$A,"Amount (NIS)")+SUMIFS('Source 2025'!$H:$H,'Source 2025'!$B:$B,$A264,'Source 2025'!$A:$A,"Amount (NIS)")+SUMIFS('Source 2025'!$M:$M,'Source 2025'!$B:$B,$A264,'Source 2025'!$A:$A,"Amount (NIS)")+SUMIFS('Source 2025'!$N:$N,'Source 2025'!$B:$B,$A264,'Source 2025'!$A:$A,"Amount (NIS)")+SUMIFS('Source 2025'!$S:$S,'Source 2025'!$B:$B,$A264,'Source 2025'!$A:$A,"Amount (NIS)")+SUMIFS('Source 2025'!$U:$U,'Source 2025'!$B:$B,$A264,'Source 2025'!$A:$A,"Amount (NIS)")+SUMIFS('Source 2025'!$D:$D,'Source 2025'!$B:$B,$A264,'Source 2025'!$A:$A,"Amount (NIS)")+SUMIFS('Source 2025'!$E:$E,'Source 2025'!$B:$B,$A264,'Source 2025'!$A:$A,"Amount (NIS)")+SUMIFS('Source 2025'!$G:$G,'Source 2025'!$B:$B,$A264,'Source 2025'!$A:$A,"Amount (NIS)")</f>
        <v>92.1</v>
      </c>
      <c r="I264" s="9" t="n">
        <f aca="false">SUMIFS('Source 2026'!$F:$F,'Source 2026'!$B:$B,$A264,'Source 2026'!$A:$A,"Amount (NIS)")+SUMIFS('Source 2026'!$H:$H,'Source 2026'!$B:$B,$A264,'Source 2026'!$A:$A,"Amount (NIS)")+SUMIFS('Source 2026'!$M:$M,'Source 2026'!$B:$B,$A264,'Source 2026'!$A:$A,"Amount (NIS)")+SUMIFS('Source 2026'!$N:$N,'Source 2026'!$B:$B,$A264,'Source 2026'!$A:$A,"Amount (NIS)")+SUMIFS('Source 2026'!$S:$S,'Source 2026'!$B:$B,$A264,'Source 2026'!$A:$A,"Amount (NIS)")+SUMIFS('Source 2026'!$U:$U,'Source 2026'!$B:$B,$A264,'Source 2026'!$A:$A,"Amount (NIS)")+SUMIFS('Source 2026'!$D:$D,'Source 2026'!$B:$B,$A264,'Source 2026'!$A:$A,"Amount (NIS)")+SUMIFS('Source 2026'!$E:$E,'Source 2026'!$B:$B,$A264,'Source 2026'!$A:$A,"Amount (NIS)")+SUMIFS('Source 2026'!$G:$G,'Source 2026'!$B:$B,$A264,'Source 2026'!$A:$A,"Amount (NIS)")</f>
        <v>184.6</v>
      </c>
      <c r="J264" s="9" t="n">
        <f aca="false">I264*$J$5</f>
        <v>233.178947368421</v>
      </c>
      <c r="K264" s="9" t="n">
        <f aca="false">J264-H264</f>
        <v>141.078947368421</v>
      </c>
      <c r="L264" s="11" t="n">
        <f aca="false">IF(AND(H264=0,J264=0),0,IF(H264=0,"New",(J264-H264)/H264))</f>
        <v>1.5318018172467</v>
      </c>
    </row>
    <row r="265" customFormat="false" ht="15" hidden="false" customHeight="true" outlineLevel="0" collapsed="false">
      <c r="A265" s="8" t="s">
        <v>334</v>
      </c>
      <c r="B265" s="8" t="str">
        <f aca="false">IFERROR(INDEX('Source 2026'!$C:$C,MATCH($A265,'Source 2026'!$B:$B,0)),IFERROR(INDEX('Source 2025'!$C:$C,MATCH($A265,'Source 2025'!$B:$B,0)),""))</f>
        <v>לילה לטיפ.בדורבן</v>
      </c>
      <c r="C265" s="9" t="n">
        <f aca="false">SUMIFS('Source 2025'!$F:$F,'Source 2025'!$B:$B,$A265,'Source 2025'!$A:$A,"Quantity (units)")+SUMIFS('Source 2025'!$H:$H,'Source 2025'!$B:$B,$A265,'Source 2025'!$A:$A,"Quantity (units)")+SUMIFS('Source 2025'!$M:$M,'Source 2025'!$B:$B,$A265,'Source 2025'!$A:$A,"Quantity (units)")+SUMIFS('Source 2025'!$N:$N,'Source 2025'!$B:$B,$A265,'Source 2025'!$A:$A,"Quantity (units)")+SUMIFS('Source 2025'!$S:$S,'Source 2025'!$B:$B,$A265,'Source 2025'!$A:$A,"Quantity (units)")+SUMIFS('Source 2025'!$U:$U,'Source 2025'!$B:$B,$A265,'Source 2025'!$A:$A,"Quantity (units)")+SUMIFS('Source 2025'!$D:$D,'Source 2025'!$B:$B,$A265,'Source 2025'!$A:$A,"Quantity (units)")+SUMIFS('Source 2025'!$E:$E,'Source 2025'!$B:$B,$A265,'Source 2025'!$A:$A,"Quantity (units)")+SUMIFS('Source 2025'!$G:$G,'Source 2025'!$B:$B,$A265,'Source 2025'!$A:$A,"Quantity (units)")</f>
        <v>0</v>
      </c>
      <c r="D265" s="9" t="n">
        <f aca="false">SUMIFS('Source 2026'!$F:$F,'Source 2026'!$B:$B,$A265,'Source 2026'!$A:$A,"Quantity (units)")+SUMIFS('Source 2026'!$H:$H,'Source 2026'!$B:$B,$A265,'Source 2026'!$A:$A,"Quantity (units)")+SUMIFS('Source 2026'!$M:$M,'Source 2026'!$B:$B,$A265,'Source 2026'!$A:$A,"Quantity (units)")+SUMIFS('Source 2026'!$N:$N,'Source 2026'!$B:$B,$A265,'Source 2026'!$A:$A,"Quantity (units)")+SUMIFS('Source 2026'!$S:$S,'Source 2026'!$B:$B,$A265,'Source 2026'!$A:$A,"Quantity (units)")+SUMIFS('Source 2026'!$U:$U,'Source 2026'!$B:$B,$A265,'Source 2026'!$A:$A,"Quantity (units)")+SUMIFS('Source 2026'!$D:$D,'Source 2026'!$B:$B,$A265,'Source 2026'!$A:$A,"Quantity (units)")+SUMIFS('Source 2026'!$E:$E,'Source 2026'!$B:$B,$A265,'Source 2026'!$A:$A,"Quantity (units)")+SUMIFS('Source 2026'!$G:$G,'Source 2026'!$B:$B,$A265,'Source 2026'!$A:$A,"Quantity (units)")</f>
        <v>1</v>
      </c>
      <c r="E265" s="9" t="n">
        <f aca="false">D265*$J$5</f>
        <v>1.26315789473684</v>
      </c>
      <c r="F265" s="9" t="n">
        <f aca="false">E265-C265</f>
        <v>1.26315789473684</v>
      </c>
      <c r="G265" s="11" t="str">
        <f aca="false">IF(AND(C265=0,E265=0),0,IF(C265=0,"New",(E265-C265)/C265))</f>
        <v>New</v>
      </c>
      <c r="H265" s="9" t="n">
        <f aca="false">SUMIFS('Source 2025'!$F:$F,'Source 2025'!$B:$B,$A265,'Source 2025'!$A:$A,"Amount (NIS)")+SUMIFS('Source 2025'!$H:$H,'Source 2025'!$B:$B,$A265,'Source 2025'!$A:$A,"Amount (NIS)")+SUMIFS('Source 2025'!$M:$M,'Source 2025'!$B:$B,$A265,'Source 2025'!$A:$A,"Amount (NIS)")+SUMIFS('Source 2025'!$N:$N,'Source 2025'!$B:$B,$A265,'Source 2025'!$A:$A,"Amount (NIS)")+SUMIFS('Source 2025'!$S:$S,'Source 2025'!$B:$B,$A265,'Source 2025'!$A:$A,"Amount (NIS)")+SUMIFS('Source 2025'!$U:$U,'Source 2025'!$B:$B,$A265,'Source 2025'!$A:$A,"Amount (NIS)")+SUMIFS('Source 2025'!$D:$D,'Source 2025'!$B:$B,$A265,'Source 2025'!$A:$A,"Amount (NIS)")+SUMIFS('Source 2025'!$E:$E,'Source 2025'!$B:$B,$A265,'Source 2025'!$A:$A,"Amount (NIS)")+SUMIFS('Source 2025'!$G:$G,'Source 2025'!$B:$B,$A265,'Source 2025'!$A:$A,"Amount (NIS)")</f>
        <v>0</v>
      </c>
      <c r="I265" s="9" t="n">
        <f aca="false">SUMIFS('Source 2026'!$F:$F,'Source 2026'!$B:$B,$A265,'Source 2026'!$A:$A,"Amount (NIS)")+SUMIFS('Source 2026'!$H:$H,'Source 2026'!$B:$B,$A265,'Source 2026'!$A:$A,"Amount (NIS)")+SUMIFS('Source 2026'!$M:$M,'Source 2026'!$B:$B,$A265,'Source 2026'!$A:$A,"Amount (NIS)")+SUMIFS('Source 2026'!$N:$N,'Source 2026'!$B:$B,$A265,'Source 2026'!$A:$A,"Amount (NIS)")+SUMIFS('Source 2026'!$S:$S,'Source 2026'!$B:$B,$A265,'Source 2026'!$A:$A,"Amount (NIS)")+SUMIFS('Source 2026'!$U:$U,'Source 2026'!$B:$B,$A265,'Source 2026'!$A:$A,"Amount (NIS)")+SUMIFS('Source 2026'!$D:$D,'Source 2026'!$B:$B,$A265,'Source 2026'!$A:$A,"Amount (NIS)")+SUMIFS('Source 2026'!$E:$E,'Source 2026'!$B:$B,$A265,'Source 2026'!$A:$A,"Amount (NIS)")+SUMIFS('Source 2026'!$G:$G,'Source 2026'!$B:$B,$A265,'Source 2026'!$A:$A,"Amount (NIS)")</f>
        <v>92.3</v>
      </c>
      <c r="J265" s="9" t="n">
        <f aca="false">I265*$J$5</f>
        <v>116.589473684211</v>
      </c>
      <c r="K265" s="9" t="n">
        <f aca="false">J265-H265</f>
        <v>116.589473684211</v>
      </c>
      <c r="L265" s="11" t="str">
        <f aca="false">IF(AND(H265=0,J265=0),0,IF(H265=0,"New",(J265-H265)/H265))</f>
        <v>New</v>
      </c>
    </row>
    <row r="266" customFormat="false" ht="15" hidden="false" customHeight="true" outlineLevel="0" collapsed="false">
      <c r="A266" s="8" t="s">
        <v>335</v>
      </c>
      <c r="B266" s="8" t="str">
        <f aca="false">IFERROR(INDEX('Source 2026'!$C:$C,MATCH($A266,'Source 2026'!$B:$B,0)),IFERROR(INDEX('Source 2025'!$C:$C,MATCH($A266,'Source 2025'!$B:$B,0)),""))</f>
        <v>ג.כסף לסכרתיים אפור35-38</v>
      </c>
      <c r="C266" s="9" t="n">
        <f aca="false">SUMIFS('Source 2025'!$F:$F,'Source 2025'!$B:$B,$A266,'Source 2025'!$A:$A,"Quantity (units)")+SUMIFS('Source 2025'!$H:$H,'Source 2025'!$B:$B,$A266,'Source 2025'!$A:$A,"Quantity (units)")+SUMIFS('Source 2025'!$M:$M,'Source 2025'!$B:$B,$A266,'Source 2025'!$A:$A,"Quantity (units)")+SUMIFS('Source 2025'!$N:$N,'Source 2025'!$B:$B,$A266,'Source 2025'!$A:$A,"Quantity (units)")+SUMIFS('Source 2025'!$S:$S,'Source 2025'!$B:$B,$A266,'Source 2025'!$A:$A,"Quantity (units)")+SUMIFS('Source 2025'!$U:$U,'Source 2025'!$B:$B,$A266,'Source 2025'!$A:$A,"Quantity (units)")+SUMIFS('Source 2025'!$D:$D,'Source 2025'!$B:$B,$A266,'Source 2025'!$A:$A,"Quantity (units)")+SUMIFS('Source 2025'!$E:$E,'Source 2025'!$B:$B,$A266,'Source 2025'!$A:$A,"Quantity (units)")+SUMIFS('Source 2025'!$G:$G,'Source 2025'!$B:$B,$A266,'Source 2025'!$A:$A,"Quantity (units)")</f>
        <v>18</v>
      </c>
      <c r="D266" s="9" t="n">
        <f aca="false">SUMIFS('Source 2026'!$F:$F,'Source 2026'!$B:$B,$A266,'Source 2026'!$A:$A,"Quantity (units)")+SUMIFS('Source 2026'!$H:$H,'Source 2026'!$B:$B,$A266,'Source 2026'!$A:$A,"Quantity (units)")+SUMIFS('Source 2026'!$M:$M,'Source 2026'!$B:$B,$A266,'Source 2026'!$A:$A,"Quantity (units)")+SUMIFS('Source 2026'!$N:$N,'Source 2026'!$B:$B,$A266,'Source 2026'!$A:$A,"Quantity (units)")+SUMIFS('Source 2026'!$S:$S,'Source 2026'!$B:$B,$A266,'Source 2026'!$A:$A,"Quantity (units)")+SUMIFS('Source 2026'!$U:$U,'Source 2026'!$B:$B,$A266,'Source 2026'!$A:$A,"Quantity (units)")+SUMIFS('Source 2026'!$D:$D,'Source 2026'!$B:$B,$A266,'Source 2026'!$A:$A,"Quantity (units)")+SUMIFS('Source 2026'!$E:$E,'Source 2026'!$B:$B,$A266,'Source 2026'!$A:$A,"Quantity (units)")+SUMIFS('Source 2026'!$G:$G,'Source 2026'!$B:$B,$A266,'Source 2026'!$A:$A,"Quantity (units)")</f>
        <v>15</v>
      </c>
      <c r="E266" s="9" t="n">
        <f aca="false">D266*$J$5</f>
        <v>18.9473684210526</v>
      </c>
      <c r="F266" s="9" t="n">
        <f aca="false">E266-C266</f>
        <v>0.94736842105263</v>
      </c>
      <c r="G266" s="11" t="n">
        <f aca="false">IF(AND(C266=0,E266=0),0,IF(C266=0,"New",(E266-C266)/C266))</f>
        <v>0.0526315789473683</v>
      </c>
      <c r="H266" s="9" t="n">
        <f aca="false">SUMIFS('Source 2025'!$F:$F,'Source 2025'!$B:$B,$A266,'Source 2025'!$A:$A,"Amount (NIS)")+SUMIFS('Source 2025'!$H:$H,'Source 2025'!$B:$B,$A266,'Source 2025'!$A:$A,"Amount (NIS)")+SUMIFS('Source 2025'!$M:$M,'Source 2025'!$B:$B,$A266,'Source 2025'!$A:$A,"Amount (NIS)")+SUMIFS('Source 2025'!$N:$N,'Source 2025'!$B:$B,$A266,'Source 2025'!$A:$A,"Amount (NIS)")+SUMIFS('Source 2025'!$S:$S,'Source 2025'!$B:$B,$A266,'Source 2025'!$A:$A,"Amount (NIS)")+SUMIFS('Source 2025'!$U:$U,'Source 2025'!$B:$B,$A266,'Source 2025'!$A:$A,"Amount (NIS)")+SUMIFS('Source 2025'!$D:$D,'Source 2025'!$B:$B,$A266,'Source 2025'!$A:$A,"Amount (NIS)")+SUMIFS('Source 2025'!$E:$E,'Source 2025'!$B:$B,$A266,'Source 2025'!$A:$A,"Amount (NIS)")+SUMIFS('Source 2025'!$G:$G,'Source 2025'!$B:$B,$A266,'Source 2025'!$A:$A,"Amount (NIS)")</f>
        <v>600.5</v>
      </c>
      <c r="I266" s="9" t="n">
        <f aca="false">SUMIFS('Source 2026'!$F:$F,'Source 2026'!$B:$B,$A266,'Source 2026'!$A:$A,"Amount (NIS)")+SUMIFS('Source 2026'!$H:$H,'Source 2026'!$B:$B,$A266,'Source 2026'!$A:$A,"Amount (NIS)")+SUMIFS('Source 2026'!$M:$M,'Source 2026'!$B:$B,$A266,'Source 2026'!$A:$A,"Amount (NIS)")+SUMIFS('Source 2026'!$N:$N,'Source 2026'!$B:$B,$A266,'Source 2026'!$A:$A,"Amount (NIS)")+SUMIFS('Source 2026'!$S:$S,'Source 2026'!$B:$B,$A266,'Source 2026'!$A:$A,"Amount (NIS)")+SUMIFS('Source 2026'!$U:$U,'Source 2026'!$B:$B,$A266,'Source 2026'!$A:$A,"Amount (NIS)")+SUMIFS('Source 2026'!$D:$D,'Source 2026'!$B:$B,$A266,'Source 2026'!$A:$A,"Amount (NIS)")+SUMIFS('Source 2026'!$E:$E,'Source 2026'!$B:$B,$A266,'Source 2026'!$A:$A,"Amount (NIS)")+SUMIFS('Source 2026'!$G:$G,'Source 2026'!$B:$B,$A266,'Source 2026'!$A:$A,"Amount (NIS)")</f>
        <v>517.2</v>
      </c>
      <c r="J266" s="9" t="n">
        <f aca="false">I266*$J$5</f>
        <v>653.305263157895</v>
      </c>
      <c r="K266" s="9" t="n">
        <f aca="false">J266-H266</f>
        <v>52.8052631578947</v>
      </c>
      <c r="L266" s="11" t="n">
        <f aca="false">IF(AND(H266=0,J266=0),0,IF(H266=0,"New",(J266-H266)/H266))</f>
        <v>0.0879354923528638</v>
      </c>
    </row>
    <row r="267" customFormat="false" ht="15" hidden="false" customHeight="true" outlineLevel="0" collapsed="false">
      <c r="A267" s="8" t="s">
        <v>336</v>
      </c>
      <c r="B267" s="8" t="str">
        <f aca="false">IFERROR(INDEX('Source 2026'!$C:$C,MATCH($A267,'Source 2026'!$B:$B,0)),IFERROR(INDEX('Source 2025'!$C:$C,MATCH($A267,'Source 2025'!$B:$B,0)),""))</f>
        <v>רפידת ספורט 376 מידה</v>
      </c>
      <c r="C267" s="9" t="n">
        <f aca="false">SUMIFS('Source 2025'!$F:$F,'Source 2025'!$B:$B,$A267,'Source 2025'!$A:$A,"Quantity (units)")+SUMIFS('Source 2025'!$H:$H,'Source 2025'!$B:$B,$A267,'Source 2025'!$A:$A,"Quantity (units)")+SUMIFS('Source 2025'!$M:$M,'Source 2025'!$B:$B,$A267,'Source 2025'!$A:$A,"Quantity (units)")+SUMIFS('Source 2025'!$N:$N,'Source 2025'!$B:$B,$A267,'Source 2025'!$A:$A,"Quantity (units)")+SUMIFS('Source 2025'!$S:$S,'Source 2025'!$B:$B,$A267,'Source 2025'!$A:$A,"Quantity (units)")+SUMIFS('Source 2025'!$U:$U,'Source 2025'!$B:$B,$A267,'Source 2025'!$A:$A,"Quantity (units)")+SUMIFS('Source 2025'!$D:$D,'Source 2025'!$B:$B,$A267,'Source 2025'!$A:$A,"Quantity (units)")+SUMIFS('Source 2025'!$E:$E,'Source 2025'!$B:$B,$A267,'Source 2025'!$A:$A,"Quantity (units)")+SUMIFS('Source 2025'!$G:$G,'Source 2025'!$B:$B,$A267,'Source 2025'!$A:$A,"Quantity (units)")</f>
        <v>-1</v>
      </c>
      <c r="D267" s="9" t="n">
        <f aca="false">SUMIFS('Source 2026'!$F:$F,'Source 2026'!$B:$B,$A267,'Source 2026'!$A:$A,"Quantity (units)")+SUMIFS('Source 2026'!$H:$H,'Source 2026'!$B:$B,$A267,'Source 2026'!$A:$A,"Quantity (units)")+SUMIFS('Source 2026'!$M:$M,'Source 2026'!$B:$B,$A267,'Source 2026'!$A:$A,"Quantity (units)")+SUMIFS('Source 2026'!$N:$N,'Source 2026'!$B:$B,$A267,'Source 2026'!$A:$A,"Quantity (units)")+SUMIFS('Source 2026'!$S:$S,'Source 2026'!$B:$B,$A267,'Source 2026'!$A:$A,"Quantity (units)")+SUMIFS('Source 2026'!$U:$U,'Source 2026'!$B:$B,$A267,'Source 2026'!$A:$A,"Quantity (units)")+SUMIFS('Source 2026'!$D:$D,'Source 2026'!$B:$B,$A267,'Source 2026'!$A:$A,"Quantity (units)")+SUMIFS('Source 2026'!$E:$E,'Source 2026'!$B:$B,$A267,'Source 2026'!$A:$A,"Quantity (units)")+SUMIFS('Source 2026'!$G:$G,'Source 2026'!$B:$B,$A267,'Source 2026'!$A:$A,"Quantity (units)")</f>
        <v>1</v>
      </c>
      <c r="E267" s="9" t="n">
        <f aca="false">D267*$J$5</f>
        <v>1.26315789473684</v>
      </c>
      <c r="F267" s="9" t="n">
        <f aca="false">E267-C267</f>
        <v>2.26315789473684</v>
      </c>
      <c r="G267" s="11" t="n">
        <f aca="false">IF(AND(C267=0,E267=0),0,IF(C267=0,"New",(E267-C267)/C267))</f>
        <v>-2.26315789473684</v>
      </c>
      <c r="H267" s="9" t="n">
        <f aca="false">SUMIFS('Source 2025'!$F:$F,'Source 2025'!$B:$B,$A267,'Source 2025'!$A:$A,"Amount (NIS)")+SUMIFS('Source 2025'!$H:$H,'Source 2025'!$B:$B,$A267,'Source 2025'!$A:$A,"Amount (NIS)")+SUMIFS('Source 2025'!$M:$M,'Source 2025'!$B:$B,$A267,'Source 2025'!$A:$A,"Amount (NIS)")+SUMIFS('Source 2025'!$N:$N,'Source 2025'!$B:$B,$A267,'Source 2025'!$A:$A,"Amount (NIS)")+SUMIFS('Source 2025'!$S:$S,'Source 2025'!$B:$B,$A267,'Source 2025'!$A:$A,"Amount (NIS)")+SUMIFS('Source 2025'!$U:$U,'Source 2025'!$B:$B,$A267,'Source 2025'!$A:$A,"Amount (NIS)")+SUMIFS('Source 2025'!$D:$D,'Source 2025'!$B:$B,$A267,'Source 2025'!$A:$A,"Amount (NIS)")+SUMIFS('Source 2025'!$E:$E,'Source 2025'!$B:$B,$A267,'Source 2025'!$A:$A,"Amount (NIS)")+SUMIFS('Source 2025'!$G:$G,'Source 2025'!$B:$B,$A267,'Source 2025'!$A:$A,"Amount (NIS)")</f>
        <v>-43.2</v>
      </c>
      <c r="I267" s="9" t="n">
        <f aca="false">SUMIFS('Source 2026'!$F:$F,'Source 2026'!$B:$B,$A267,'Source 2026'!$A:$A,"Amount (NIS)")+SUMIFS('Source 2026'!$H:$H,'Source 2026'!$B:$B,$A267,'Source 2026'!$A:$A,"Amount (NIS)")+SUMIFS('Source 2026'!$M:$M,'Source 2026'!$B:$B,$A267,'Source 2026'!$A:$A,"Amount (NIS)")+SUMIFS('Source 2026'!$N:$N,'Source 2026'!$B:$B,$A267,'Source 2026'!$A:$A,"Amount (NIS)")+SUMIFS('Source 2026'!$S:$S,'Source 2026'!$B:$B,$A267,'Source 2026'!$A:$A,"Amount (NIS)")+SUMIFS('Source 2026'!$U:$U,'Source 2026'!$B:$B,$A267,'Source 2026'!$A:$A,"Amount (NIS)")+SUMIFS('Source 2026'!$D:$D,'Source 2026'!$B:$B,$A267,'Source 2026'!$A:$A,"Amount (NIS)")+SUMIFS('Source 2026'!$E:$E,'Source 2026'!$B:$B,$A267,'Source 2026'!$A:$A,"Amount (NIS)")+SUMIFS('Source 2026'!$G:$G,'Source 2026'!$B:$B,$A267,'Source 2026'!$A:$A,"Amount (NIS)")</f>
        <v>35.1</v>
      </c>
      <c r="J267" s="9" t="n">
        <f aca="false">I267*$J$5</f>
        <v>44.3368421052632</v>
      </c>
      <c r="K267" s="9" t="n">
        <f aca="false">J267-H267</f>
        <v>87.5368421052632</v>
      </c>
      <c r="L267" s="11" t="n">
        <f aca="false">IF(AND(H267=0,J267=0),0,IF(H267=0,"New",(J267-H267)/H267))</f>
        <v>-2.02631578947368</v>
      </c>
    </row>
    <row r="268" customFormat="false" ht="15" hidden="false" customHeight="true" outlineLevel="0" collapsed="false">
      <c r="A268" s="8" t="s">
        <v>337</v>
      </c>
      <c r="B268" s="8" t="str">
        <f aca="false">IFERROR(INDEX('Source 2026'!$C:$C,MATCH($A268,'Source 2026'!$B:$B,0)),IFERROR(INDEX('Source 2025'!$C:$C,MATCH($A268,'Source 2025'!$B:$B,0)),""))</f>
        <v>רצועה לפיקת הברך</v>
      </c>
      <c r="C268" s="9" t="n">
        <f aca="false">SUMIFS('Source 2025'!$F:$F,'Source 2025'!$B:$B,$A268,'Source 2025'!$A:$A,"Quantity (units)")+SUMIFS('Source 2025'!$H:$H,'Source 2025'!$B:$B,$A268,'Source 2025'!$A:$A,"Quantity (units)")+SUMIFS('Source 2025'!$M:$M,'Source 2025'!$B:$B,$A268,'Source 2025'!$A:$A,"Quantity (units)")+SUMIFS('Source 2025'!$N:$N,'Source 2025'!$B:$B,$A268,'Source 2025'!$A:$A,"Quantity (units)")+SUMIFS('Source 2025'!$S:$S,'Source 2025'!$B:$B,$A268,'Source 2025'!$A:$A,"Quantity (units)")+SUMIFS('Source 2025'!$U:$U,'Source 2025'!$B:$B,$A268,'Source 2025'!$A:$A,"Quantity (units)")+SUMIFS('Source 2025'!$D:$D,'Source 2025'!$B:$B,$A268,'Source 2025'!$A:$A,"Quantity (units)")+SUMIFS('Source 2025'!$E:$E,'Source 2025'!$B:$B,$A268,'Source 2025'!$A:$A,"Quantity (units)")+SUMIFS('Source 2025'!$G:$G,'Source 2025'!$B:$B,$A268,'Source 2025'!$A:$A,"Quantity (units)")</f>
        <v>4</v>
      </c>
      <c r="D268" s="9" t="n">
        <f aca="false">SUMIFS('Source 2026'!$F:$F,'Source 2026'!$B:$B,$A268,'Source 2026'!$A:$A,"Quantity (units)")+SUMIFS('Source 2026'!$H:$H,'Source 2026'!$B:$B,$A268,'Source 2026'!$A:$A,"Quantity (units)")+SUMIFS('Source 2026'!$M:$M,'Source 2026'!$B:$B,$A268,'Source 2026'!$A:$A,"Quantity (units)")+SUMIFS('Source 2026'!$N:$N,'Source 2026'!$B:$B,$A268,'Source 2026'!$A:$A,"Quantity (units)")+SUMIFS('Source 2026'!$S:$S,'Source 2026'!$B:$B,$A268,'Source 2026'!$A:$A,"Quantity (units)")+SUMIFS('Source 2026'!$U:$U,'Source 2026'!$B:$B,$A268,'Source 2026'!$A:$A,"Quantity (units)")+SUMIFS('Source 2026'!$D:$D,'Source 2026'!$B:$B,$A268,'Source 2026'!$A:$A,"Quantity (units)")+SUMIFS('Source 2026'!$E:$E,'Source 2026'!$B:$B,$A268,'Source 2026'!$A:$A,"Quantity (units)")+SUMIFS('Source 2026'!$G:$G,'Source 2026'!$B:$B,$A268,'Source 2026'!$A:$A,"Quantity (units)")</f>
        <v>5</v>
      </c>
      <c r="E268" s="9" t="n">
        <f aca="false">D268*$J$5</f>
        <v>6.31578947368421</v>
      </c>
      <c r="F268" s="9" t="n">
        <f aca="false">E268-C268</f>
        <v>2.31578947368421</v>
      </c>
      <c r="G268" s="11" t="n">
        <f aca="false">IF(AND(C268=0,E268=0),0,IF(C268=0,"New",(E268-C268)/C268))</f>
        <v>0.578947368421053</v>
      </c>
      <c r="H268" s="9" t="n">
        <f aca="false">SUMIFS('Source 2025'!$F:$F,'Source 2025'!$B:$B,$A268,'Source 2025'!$A:$A,"Amount (NIS)")+SUMIFS('Source 2025'!$H:$H,'Source 2025'!$B:$B,$A268,'Source 2025'!$A:$A,"Amount (NIS)")+SUMIFS('Source 2025'!$M:$M,'Source 2025'!$B:$B,$A268,'Source 2025'!$A:$A,"Amount (NIS)")+SUMIFS('Source 2025'!$N:$N,'Source 2025'!$B:$B,$A268,'Source 2025'!$A:$A,"Amount (NIS)")+SUMIFS('Source 2025'!$S:$S,'Source 2025'!$B:$B,$A268,'Source 2025'!$A:$A,"Amount (NIS)")+SUMIFS('Source 2025'!$U:$U,'Source 2025'!$B:$B,$A268,'Source 2025'!$A:$A,"Amount (NIS)")+SUMIFS('Source 2025'!$D:$D,'Source 2025'!$B:$B,$A268,'Source 2025'!$A:$A,"Amount (NIS)")+SUMIFS('Source 2025'!$E:$E,'Source 2025'!$B:$B,$A268,'Source 2025'!$A:$A,"Amount (NIS)")+SUMIFS('Source 2025'!$G:$G,'Source 2025'!$B:$B,$A268,'Source 2025'!$A:$A,"Amount (NIS)")</f>
        <v>315.3</v>
      </c>
      <c r="I268" s="9" t="n">
        <f aca="false">SUMIFS('Source 2026'!$F:$F,'Source 2026'!$B:$B,$A268,'Source 2026'!$A:$A,"Amount (NIS)")+SUMIFS('Source 2026'!$H:$H,'Source 2026'!$B:$B,$A268,'Source 2026'!$A:$A,"Amount (NIS)")+SUMIFS('Source 2026'!$M:$M,'Source 2026'!$B:$B,$A268,'Source 2026'!$A:$A,"Amount (NIS)")+SUMIFS('Source 2026'!$N:$N,'Source 2026'!$B:$B,$A268,'Source 2026'!$A:$A,"Amount (NIS)")+SUMIFS('Source 2026'!$S:$S,'Source 2026'!$B:$B,$A268,'Source 2026'!$A:$A,"Amount (NIS)")+SUMIFS('Source 2026'!$U:$U,'Source 2026'!$B:$B,$A268,'Source 2026'!$A:$A,"Amount (NIS)")+SUMIFS('Source 2026'!$D:$D,'Source 2026'!$B:$B,$A268,'Source 2026'!$A:$A,"Amount (NIS)")+SUMIFS('Source 2026'!$E:$E,'Source 2026'!$B:$B,$A268,'Source 2026'!$A:$A,"Amount (NIS)")+SUMIFS('Source 2026'!$G:$G,'Source 2026'!$B:$B,$A268,'Source 2026'!$A:$A,"Amount (NIS)")</f>
        <v>392.1</v>
      </c>
      <c r="J268" s="9" t="n">
        <f aca="false">I268*$J$5</f>
        <v>495.284210526316</v>
      </c>
      <c r="K268" s="9" t="n">
        <f aca="false">J268-H268</f>
        <v>179.984210526316</v>
      </c>
      <c r="L268" s="11" t="n">
        <f aca="false">IF(AND(H268=0,J268=0),0,IF(H268=0,"New",(J268-H268)/H268))</f>
        <v>0.570834793930592</v>
      </c>
    </row>
    <row r="269" customFormat="false" ht="15" hidden="false" customHeight="true" outlineLevel="0" collapsed="false">
      <c r="A269" s="8" t="s">
        <v>338</v>
      </c>
      <c r="B269" s="8" t="str">
        <f aca="false">IFERROR(INDEX('Source 2026'!$C:$C,MATCH($A269,'Source 2026'!$B:$B,0)),IFERROR(INDEX('Source 2025'!$C:$C,MATCH($A269,'Source 2025'!$B:$B,0)),""))</f>
        <v>3/4לכאבי דורבן וספורט</v>
      </c>
      <c r="C269" s="9" t="n">
        <f aca="false">SUMIFS('Source 2025'!$F:$F,'Source 2025'!$B:$B,$A269,'Source 2025'!$A:$A,"Quantity (units)")+SUMIFS('Source 2025'!$H:$H,'Source 2025'!$B:$B,$A269,'Source 2025'!$A:$A,"Quantity (units)")+SUMIFS('Source 2025'!$M:$M,'Source 2025'!$B:$B,$A269,'Source 2025'!$A:$A,"Quantity (units)")+SUMIFS('Source 2025'!$N:$N,'Source 2025'!$B:$B,$A269,'Source 2025'!$A:$A,"Quantity (units)")+SUMIFS('Source 2025'!$S:$S,'Source 2025'!$B:$B,$A269,'Source 2025'!$A:$A,"Quantity (units)")+SUMIFS('Source 2025'!$U:$U,'Source 2025'!$B:$B,$A269,'Source 2025'!$A:$A,"Quantity (units)")+SUMIFS('Source 2025'!$D:$D,'Source 2025'!$B:$B,$A269,'Source 2025'!$A:$A,"Quantity (units)")+SUMIFS('Source 2025'!$E:$E,'Source 2025'!$B:$B,$A269,'Source 2025'!$A:$A,"Quantity (units)")+SUMIFS('Source 2025'!$G:$G,'Source 2025'!$B:$B,$A269,'Source 2025'!$A:$A,"Quantity (units)")</f>
        <v>-1</v>
      </c>
      <c r="D269" s="9" t="n">
        <f aca="false">SUMIFS('Source 2026'!$F:$F,'Source 2026'!$B:$B,$A269,'Source 2026'!$A:$A,"Quantity (units)")+SUMIFS('Source 2026'!$H:$H,'Source 2026'!$B:$B,$A269,'Source 2026'!$A:$A,"Quantity (units)")+SUMIFS('Source 2026'!$M:$M,'Source 2026'!$B:$B,$A269,'Source 2026'!$A:$A,"Quantity (units)")+SUMIFS('Source 2026'!$N:$N,'Source 2026'!$B:$B,$A269,'Source 2026'!$A:$A,"Quantity (units)")+SUMIFS('Source 2026'!$S:$S,'Source 2026'!$B:$B,$A269,'Source 2026'!$A:$A,"Quantity (units)")+SUMIFS('Source 2026'!$U:$U,'Source 2026'!$B:$B,$A269,'Source 2026'!$A:$A,"Quantity (units)")+SUMIFS('Source 2026'!$D:$D,'Source 2026'!$B:$B,$A269,'Source 2026'!$A:$A,"Quantity (units)")+SUMIFS('Source 2026'!$E:$E,'Source 2026'!$B:$B,$A269,'Source 2026'!$A:$A,"Quantity (units)")+SUMIFS('Source 2026'!$G:$G,'Source 2026'!$B:$B,$A269,'Source 2026'!$A:$A,"Quantity (units)")</f>
        <v>0</v>
      </c>
      <c r="E269" s="9" t="n">
        <f aca="false">D269*$J$5</f>
        <v>0</v>
      </c>
      <c r="F269" s="9" t="n">
        <f aca="false">E269-C269</f>
        <v>1</v>
      </c>
      <c r="G269" s="11" t="n">
        <f aca="false">IF(AND(C269=0,E269=0),0,IF(C269=0,"New",(E269-C269)/C269))</f>
        <v>-1</v>
      </c>
      <c r="H269" s="9" t="n">
        <f aca="false">SUMIFS('Source 2025'!$F:$F,'Source 2025'!$B:$B,$A269,'Source 2025'!$A:$A,"Amount (NIS)")+SUMIFS('Source 2025'!$H:$H,'Source 2025'!$B:$B,$A269,'Source 2025'!$A:$A,"Amount (NIS)")+SUMIFS('Source 2025'!$M:$M,'Source 2025'!$B:$B,$A269,'Source 2025'!$A:$A,"Amount (NIS)")+SUMIFS('Source 2025'!$N:$N,'Source 2025'!$B:$B,$A269,'Source 2025'!$A:$A,"Amount (NIS)")+SUMIFS('Source 2025'!$S:$S,'Source 2025'!$B:$B,$A269,'Source 2025'!$A:$A,"Amount (NIS)")+SUMIFS('Source 2025'!$U:$U,'Source 2025'!$B:$B,$A269,'Source 2025'!$A:$A,"Amount (NIS)")+SUMIFS('Source 2025'!$D:$D,'Source 2025'!$B:$B,$A269,'Source 2025'!$A:$A,"Amount (NIS)")+SUMIFS('Source 2025'!$E:$E,'Source 2025'!$B:$B,$A269,'Source 2025'!$A:$A,"Amount (NIS)")+SUMIFS('Source 2025'!$G:$G,'Source 2025'!$B:$B,$A269,'Source 2025'!$A:$A,"Amount (NIS)")</f>
        <v>-75.6</v>
      </c>
      <c r="I269" s="9" t="n">
        <f aca="false">SUMIFS('Source 2026'!$F:$F,'Source 2026'!$B:$B,$A269,'Source 2026'!$A:$A,"Amount (NIS)")+SUMIFS('Source 2026'!$H:$H,'Source 2026'!$B:$B,$A269,'Source 2026'!$A:$A,"Amount (NIS)")+SUMIFS('Source 2026'!$M:$M,'Source 2026'!$B:$B,$A269,'Source 2026'!$A:$A,"Amount (NIS)")+SUMIFS('Source 2026'!$N:$N,'Source 2026'!$B:$B,$A269,'Source 2026'!$A:$A,"Amount (NIS)")+SUMIFS('Source 2026'!$S:$S,'Source 2026'!$B:$B,$A269,'Source 2026'!$A:$A,"Amount (NIS)")+SUMIFS('Source 2026'!$U:$U,'Source 2026'!$B:$B,$A269,'Source 2026'!$A:$A,"Amount (NIS)")+SUMIFS('Source 2026'!$D:$D,'Source 2026'!$B:$B,$A269,'Source 2026'!$A:$A,"Amount (NIS)")+SUMIFS('Source 2026'!$E:$E,'Source 2026'!$B:$B,$A269,'Source 2026'!$A:$A,"Amount (NIS)")+SUMIFS('Source 2026'!$G:$G,'Source 2026'!$B:$B,$A269,'Source 2026'!$A:$A,"Amount (NIS)")</f>
        <v>0</v>
      </c>
      <c r="J269" s="9" t="n">
        <f aca="false">I269*$J$5</f>
        <v>0</v>
      </c>
      <c r="K269" s="9" t="n">
        <f aca="false">J269-H269</f>
        <v>75.6</v>
      </c>
      <c r="L269" s="11" t="n">
        <f aca="false">IF(AND(H269=0,J269=0),0,IF(H269=0,"New",(J269-H269)/H269))</f>
        <v>-1</v>
      </c>
    </row>
    <row r="270" customFormat="false" ht="15" hidden="false" customHeight="true" outlineLevel="0" collapsed="false">
      <c r="A270" s="8" t="s">
        <v>339</v>
      </c>
      <c r="B270" s="8" t="str">
        <f aca="false">IFERROR(INDEX('Source 2026'!$C:$C,MATCH($A270,'Source 2026'!$B:$B,0)),IFERROR(INDEX('Source 2025'!$C:$C,MATCH($A270,'Source 2025'!$B:$B,0)),""))</f>
        <v>סד לילה לבוהן</v>
      </c>
      <c r="C270" s="9" t="n">
        <f aca="false">SUMIFS('Source 2025'!$F:$F,'Source 2025'!$B:$B,$A270,'Source 2025'!$A:$A,"Quantity (units)")+SUMIFS('Source 2025'!$H:$H,'Source 2025'!$B:$B,$A270,'Source 2025'!$A:$A,"Quantity (units)")+SUMIFS('Source 2025'!$M:$M,'Source 2025'!$B:$B,$A270,'Source 2025'!$A:$A,"Quantity (units)")+SUMIFS('Source 2025'!$N:$N,'Source 2025'!$B:$B,$A270,'Source 2025'!$A:$A,"Quantity (units)")+SUMIFS('Source 2025'!$S:$S,'Source 2025'!$B:$B,$A270,'Source 2025'!$A:$A,"Quantity (units)")+SUMIFS('Source 2025'!$U:$U,'Source 2025'!$B:$B,$A270,'Source 2025'!$A:$A,"Quantity (units)")+SUMIFS('Source 2025'!$D:$D,'Source 2025'!$B:$B,$A270,'Source 2025'!$A:$A,"Quantity (units)")+SUMIFS('Source 2025'!$E:$E,'Source 2025'!$B:$B,$A270,'Source 2025'!$A:$A,"Quantity (units)")+SUMIFS('Source 2025'!$G:$G,'Source 2025'!$B:$B,$A270,'Source 2025'!$A:$A,"Quantity (units)")</f>
        <v>-1</v>
      </c>
      <c r="D270" s="9" t="n">
        <f aca="false">SUMIFS('Source 2026'!$F:$F,'Source 2026'!$B:$B,$A270,'Source 2026'!$A:$A,"Quantity (units)")+SUMIFS('Source 2026'!$H:$H,'Source 2026'!$B:$B,$A270,'Source 2026'!$A:$A,"Quantity (units)")+SUMIFS('Source 2026'!$M:$M,'Source 2026'!$B:$B,$A270,'Source 2026'!$A:$A,"Quantity (units)")+SUMIFS('Source 2026'!$N:$N,'Source 2026'!$B:$B,$A270,'Source 2026'!$A:$A,"Quantity (units)")+SUMIFS('Source 2026'!$S:$S,'Source 2026'!$B:$B,$A270,'Source 2026'!$A:$A,"Quantity (units)")+SUMIFS('Source 2026'!$U:$U,'Source 2026'!$B:$B,$A270,'Source 2026'!$A:$A,"Quantity (units)")+SUMIFS('Source 2026'!$D:$D,'Source 2026'!$B:$B,$A270,'Source 2026'!$A:$A,"Quantity (units)")+SUMIFS('Source 2026'!$E:$E,'Source 2026'!$B:$B,$A270,'Source 2026'!$A:$A,"Quantity (units)")+SUMIFS('Source 2026'!$G:$G,'Source 2026'!$B:$B,$A270,'Source 2026'!$A:$A,"Quantity (units)")</f>
        <v>0</v>
      </c>
      <c r="E270" s="9" t="n">
        <f aca="false">D270*$J$5</f>
        <v>0</v>
      </c>
      <c r="F270" s="9" t="n">
        <f aca="false">E270-C270</f>
        <v>1</v>
      </c>
      <c r="G270" s="11" t="n">
        <f aca="false">IF(AND(C270=0,E270=0),0,IF(C270=0,"New",(E270-C270)/C270))</f>
        <v>-1</v>
      </c>
      <c r="H270" s="9" t="n">
        <f aca="false">SUMIFS('Source 2025'!$F:$F,'Source 2025'!$B:$B,$A270,'Source 2025'!$A:$A,"Amount (NIS)")+SUMIFS('Source 2025'!$H:$H,'Source 2025'!$B:$B,$A270,'Source 2025'!$A:$A,"Amount (NIS)")+SUMIFS('Source 2025'!$M:$M,'Source 2025'!$B:$B,$A270,'Source 2025'!$A:$A,"Amount (NIS)")+SUMIFS('Source 2025'!$N:$N,'Source 2025'!$B:$B,$A270,'Source 2025'!$A:$A,"Amount (NIS)")+SUMIFS('Source 2025'!$S:$S,'Source 2025'!$B:$B,$A270,'Source 2025'!$A:$A,"Amount (NIS)")+SUMIFS('Source 2025'!$U:$U,'Source 2025'!$B:$B,$A270,'Source 2025'!$A:$A,"Amount (NIS)")+SUMIFS('Source 2025'!$D:$D,'Source 2025'!$B:$B,$A270,'Source 2025'!$A:$A,"Amount (NIS)")+SUMIFS('Source 2025'!$E:$E,'Source 2025'!$B:$B,$A270,'Source 2025'!$A:$A,"Amount (NIS)")+SUMIFS('Source 2025'!$G:$G,'Source 2025'!$B:$B,$A270,'Source 2025'!$A:$A,"Amount (NIS)")</f>
        <v>-74</v>
      </c>
      <c r="I270" s="9" t="n">
        <f aca="false">SUMIFS('Source 2026'!$F:$F,'Source 2026'!$B:$B,$A270,'Source 2026'!$A:$A,"Amount (NIS)")+SUMIFS('Source 2026'!$H:$H,'Source 2026'!$B:$B,$A270,'Source 2026'!$A:$A,"Amount (NIS)")+SUMIFS('Source 2026'!$M:$M,'Source 2026'!$B:$B,$A270,'Source 2026'!$A:$A,"Amount (NIS)")+SUMIFS('Source 2026'!$N:$N,'Source 2026'!$B:$B,$A270,'Source 2026'!$A:$A,"Amount (NIS)")+SUMIFS('Source 2026'!$S:$S,'Source 2026'!$B:$B,$A270,'Source 2026'!$A:$A,"Amount (NIS)")+SUMIFS('Source 2026'!$U:$U,'Source 2026'!$B:$B,$A270,'Source 2026'!$A:$A,"Amount (NIS)")+SUMIFS('Source 2026'!$D:$D,'Source 2026'!$B:$B,$A270,'Source 2026'!$A:$A,"Amount (NIS)")+SUMIFS('Source 2026'!$E:$E,'Source 2026'!$B:$B,$A270,'Source 2026'!$A:$A,"Amount (NIS)")+SUMIFS('Source 2026'!$G:$G,'Source 2026'!$B:$B,$A270,'Source 2026'!$A:$A,"Amount (NIS)")</f>
        <v>0</v>
      </c>
      <c r="J270" s="9" t="n">
        <f aca="false">I270*$J$5</f>
        <v>0</v>
      </c>
      <c r="K270" s="9" t="n">
        <f aca="false">J270-H270</f>
        <v>74</v>
      </c>
      <c r="L270" s="11" t="n">
        <f aca="false">IF(AND(H270=0,J270=0),0,IF(H270=0,"New",(J270-H270)/H270))</f>
        <v>-1</v>
      </c>
    </row>
    <row r="271" customFormat="false" ht="15" hidden="false" customHeight="true" outlineLevel="0" collapsed="false">
      <c r="A271" s="8" t="s">
        <v>340</v>
      </c>
      <c r="B271" s="8" t="str">
        <f aca="false">IFERROR(INDEX('Source 2026'!$C:$C,MATCH($A271,'Source 2026'!$B:$B,0)),IFERROR(INDEX('Source 2025'!$C:$C,MATCH($A271,'Source 2025'!$B:$B,0)),""))</f>
        <v>L-XL STRAP4U</v>
      </c>
      <c r="C271" s="9" t="n">
        <f aca="false">SUMIFS('Source 2025'!$F:$F,'Source 2025'!$B:$B,$A271,'Source 2025'!$A:$A,"Quantity (units)")+SUMIFS('Source 2025'!$H:$H,'Source 2025'!$B:$B,$A271,'Source 2025'!$A:$A,"Quantity (units)")+SUMIFS('Source 2025'!$M:$M,'Source 2025'!$B:$B,$A271,'Source 2025'!$A:$A,"Quantity (units)")+SUMIFS('Source 2025'!$N:$N,'Source 2025'!$B:$B,$A271,'Source 2025'!$A:$A,"Quantity (units)")+SUMIFS('Source 2025'!$S:$S,'Source 2025'!$B:$B,$A271,'Source 2025'!$A:$A,"Quantity (units)")+SUMIFS('Source 2025'!$U:$U,'Source 2025'!$B:$B,$A271,'Source 2025'!$A:$A,"Quantity (units)")+SUMIFS('Source 2025'!$D:$D,'Source 2025'!$B:$B,$A271,'Source 2025'!$A:$A,"Quantity (units)")+SUMIFS('Source 2025'!$E:$E,'Source 2025'!$B:$B,$A271,'Source 2025'!$A:$A,"Quantity (units)")+SUMIFS('Source 2025'!$G:$G,'Source 2025'!$B:$B,$A271,'Source 2025'!$A:$A,"Quantity (units)")</f>
        <v>-4</v>
      </c>
      <c r="D271" s="9" t="n">
        <f aca="false">SUMIFS('Source 2026'!$F:$F,'Source 2026'!$B:$B,$A271,'Source 2026'!$A:$A,"Quantity (units)")+SUMIFS('Source 2026'!$H:$H,'Source 2026'!$B:$B,$A271,'Source 2026'!$A:$A,"Quantity (units)")+SUMIFS('Source 2026'!$M:$M,'Source 2026'!$B:$B,$A271,'Source 2026'!$A:$A,"Quantity (units)")+SUMIFS('Source 2026'!$N:$N,'Source 2026'!$B:$B,$A271,'Source 2026'!$A:$A,"Quantity (units)")+SUMIFS('Source 2026'!$S:$S,'Source 2026'!$B:$B,$A271,'Source 2026'!$A:$A,"Quantity (units)")+SUMIFS('Source 2026'!$U:$U,'Source 2026'!$B:$B,$A271,'Source 2026'!$A:$A,"Quantity (units)")+SUMIFS('Source 2026'!$D:$D,'Source 2026'!$B:$B,$A271,'Source 2026'!$A:$A,"Quantity (units)")+SUMIFS('Source 2026'!$E:$E,'Source 2026'!$B:$B,$A271,'Source 2026'!$A:$A,"Quantity (units)")+SUMIFS('Source 2026'!$G:$G,'Source 2026'!$B:$B,$A271,'Source 2026'!$A:$A,"Quantity (units)")</f>
        <v>0</v>
      </c>
      <c r="E271" s="9" t="n">
        <f aca="false">D271*$J$5</f>
        <v>0</v>
      </c>
      <c r="F271" s="9" t="n">
        <f aca="false">E271-C271</f>
        <v>4</v>
      </c>
      <c r="G271" s="11" t="n">
        <f aca="false">IF(AND(C271=0,E271=0),0,IF(C271=0,"New",(E271-C271)/C271))</f>
        <v>-1</v>
      </c>
      <c r="H271" s="9" t="n">
        <f aca="false">SUMIFS('Source 2025'!$F:$F,'Source 2025'!$B:$B,$A271,'Source 2025'!$A:$A,"Amount (NIS)")+SUMIFS('Source 2025'!$H:$H,'Source 2025'!$B:$B,$A271,'Source 2025'!$A:$A,"Amount (NIS)")+SUMIFS('Source 2025'!$M:$M,'Source 2025'!$B:$B,$A271,'Source 2025'!$A:$A,"Amount (NIS)")+SUMIFS('Source 2025'!$N:$N,'Source 2025'!$B:$B,$A271,'Source 2025'!$A:$A,"Amount (NIS)")+SUMIFS('Source 2025'!$S:$S,'Source 2025'!$B:$B,$A271,'Source 2025'!$A:$A,"Amount (NIS)")+SUMIFS('Source 2025'!$U:$U,'Source 2025'!$B:$B,$A271,'Source 2025'!$A:$A,"Amount (NIS)")+SUMIFS('Source 2025'!$D:$D,'Source 2025'!$B:$B,$A271,'Source 2025'!$A:$A,"Amount (NIS)")+SUMIFS('Source 2025'!$E:$E,'Source 2025'!$B:$B,$A271,'Source 2025'!$A:$A,"Amount (NIS)")+SUMIFS('Source 2025'!$G:$G,'Source 2025'!$B:$B,$A271,'Source 2025'!$A:$A,"Amount (NIS)")</f>
        <v>-55.3</v>
      </c>
      <c r="I271" s="9" t="n">
        <f aca="false">SUMIFS('Source 2026'!$F:$F,'Source 2026'!$B:$B,$A271,'Source 2026'!$A:$A,"Amount (NIS)")+SUMIFS('Source 2026'!$H:$H,'Source 2026'!$B:$B,$A271,'Source 2026'!$A:$A,"Amount (NIS)")+SUMIFS('Source 2026'!$M:$M,'Source 2026'!$B:$B,$A271,'Source 2026'!$A:$A,"Amount (NIS)")+SUMIFS('Source 2026'!$N:$N,'Source 2026'!$B:$B,$A271,'Source 2026'!$A:$A,"Amount (NIS)")+SUMIFS('Source 2026'!$S:$S,'Source 2026'!$B:$B,$A271,'Source 2026'!$A:$A,"Amount (NIS)")+SUMIFS('Source 2026'!$U:$U,'Source 2026'!$B:$B,$A271,'Source 2026'!$A:$A,"Amount (NIS)")+SUMIFS('Source 2026'!$D:$D,'Source 2026'!$B:$B,$A271,'Source 2026'!$A:$A,"Amount (NIS)")+SUMIFS('Source 2026'!$E:$E,'Source 2026'!$B:$B,$A271,'Source 2026'!$A:$A,"Amount (NIS)")+SUMIFS('Source 2026'!$G:$G,'Source 2026'!$B:$B,$A271,'Source 2026'!$A:$A,"Amount (NIS)")</f>
        <v>0</v>
      </c>
      <c r="J271" s="9" t="n">
        <f aca="false">I271*$J$5</f>
        <v>0</v>
      </c>
      <c r="K271" s="9" t="n">
        <f aca="false">J271-H271</f>
        <v>55.3</v>
      </c>
      <c r="L271" s="11" t="n">
        <f aca="false">IF(AND(H271=0,J271=0),0,IF(H271=0,"New",(J271-H271)/H271))</f>
        <v>-1</v>
      </c>
    </row>
    <row r="272" customFormat="false" ht="15" hidden="false" customHeight="true" outlineLevel="0" collapsed="false">
      <c r="A272" s="8" t="s">
        <v>341</v>
      </c>
      <c r="B272" s="8" t="str">
        <f aca="false">IFERROR(INDEX('Source 2026'!$C:$C,MATCH($A272,'Source 2026'!$B:$B,0)),IFERROR(INDEX('Source 2025'!$C:$C,MATCH($A272,'Source 2025'!$B:$B,0)),""))</f>
        <v>אתלטיק טייפ לבן 20מ""מ</v>
      </c>
      <c r="C272" s="9" t="n">
        <f aca="false">SUMIFS('Source 2025'!$F:$F,'Source 2025'!$B:$B,$A272,'Source 2025'!$A:$A,"Quantity (units)")+SUMIFS('Source 2025'!$H:$H,'Source 2025'!$B:$B,$A272,'Source 2025'!$A:$A,"Quantity (units)")+SUMIFS('Source 2025'!$M:$M,'Source 2025'!$B:$B,$A272,'Source 2025'!$A:$A,"Quantity (units)")+SUMIFS('Source 2025'!$N:$N,'Source 2025'!$B:$B,$A272,'Source 2025'!$A:$A,"Quantity (units)")+SUMIFS('Source 2025'!$S:$S,'Source 2025'!$B:$B,$A272,'Source 2025'!$A:$A,"Quantity (units)")+SUMIFS('Source 2025'!$U:$U,'Source 2025'!$B:$B,$A272,'Source 2025'!$A:$A,"Quantity (units)")+SUMIFS('Source 2025'!$D:$D,'Source 2025'!$B:$B,$A272,'Source 2025'!$A:$A,"Quantity (units)")+SUMIFS('Source 2025'!$E:$E,'Source 2025'!$B:$B,$A272,'Source 2025'!$A:$A,"Quantity (units)")+SUMIFS('Source 2025'!$G:$G,'Source 2025'!$B:$B,$A272,'Source 2025'!$A:$A,"Quantity (units)")</f>
        <v>47</v>
      </c>
      <c r="D272" s="9" t="n">
        <f aca="false">SUMIFS('Source 2026'!$F:$F,'Source 2026'!$B:$B,$A272,'Source 2026'!$A:$A,"Quantity (units)")+SUMIFS('Source 2026'!$H:$H,'Source 2026'!$B:$B,$A272,'Source 2026'!$A:$A,"Quantity (units)")+SUMIFS('Source 2026'!$M:$M,'Source 2026'!$B:$B,$A272,'Source 2026'!$A:$A,"Quantity (units)")+SUMIFS('Source 2026'!$N:$N,'Source 2026'!$B:$B,$A272,'Source 2026'!$A:$A,"Quantity (units)")+SUMIFS('Source 2026'!$S:$S,'Source 2026'!$B:$B,$A272,'Source 2026'!$A:$A,"Quantity (units)")+SUMIFS('Source 2026'!$U:$U,'Source 2026'!$B:$B,$A272,'Source 2026'!$A:$A,"Quantity (units)")+SUMIFS('Source 2026'!$D:$D,'Source 2026'!$B:$B,$A272,'Source 2026'!$A:$A,"Quantity (units)")+SUMIFS('Source 2026'!$E:$E,'Source 2026'!$B:$B,$A272,'Source 2026'!$A:$A,"Quantity (units)")+SUMIFS('Source 2026'!$G:$G,'Source 2026'!$B:$B,$A272,'Source 2026'!$A:$A,"Quantity (units)")</f>
        <v>41</v>
      </c>
      <c r="E272" s="9" t="n">
        <f aca="false">D272*$J$5</f>
        <v>51.7894736842105</v>
      </c>
      <c r="F272" s="9" t="n">
        <f aca="false">E272-C272</f>
        <v>4.78947368421052</v>
      </c>
      <c r="G272" s="11" t="n">
        <f aca="false">IF(AND(C272=0,E272=0),0,IF(C272=0,"New",(E272-C272)/C272))</f>
        <v>0.101903695408734</v>
      </c>
      <c r="H272" s="9" t="n">
        <f aca="false">SUMIFS('Source 2025'!$F:$F,'Source 2025'!$B:$B,$A272,'Source 2025'!$A:$A,"Amount (NIS)")+SUMIFS('Source 2025'!$H:$H,'Source 2025'!$B:$B,$A272,'Source 2025'!$A:$A,"Amount (NIS)")+SUMIFS('Source 2025'!$M:$M,'Source 2025'!$B:$B,$A272,'Source 2025'!$A:$A,"Amount (NIS)")+SUMIFS('Source 2025'!$N:$N,'Source 2025'!$B:$B,$A272,'Source 2025'!$A:$A,"Amount (NIS)")+SUMIFS('Source 2025'!$S:$S,'Source 2025'!$B:$B,$A272,'Source 2025'!$A:$A,"Amount (NIS)")+SUMIFS('Source 2025'!$U:$U,'Source 2025'!$B:$B,$A272,'Source 2025'!$A:$A,"Amount (NIS)")+SUMIFS('Source 2025'!$D:$D,'Source 2025'!$B:$B,$A272,'Source 2025'!$A:$A,"Amount (NIS)")+SUMIFS('Source 2025'!$E:$E,'Source 2025'!$B:$B,$A272,'Source 2025'!$A:$A,"Amount (NIS)")+SUMIFS('Source 2025'!$G:$G,'Source 2025'!$B:$B,$A272,'Source 2025'!$A:$A,"Amount (NIS)")</f>
        <v>719.1</v>
      </c>
      <c r="I272" s="9" t="n">
        <f aca="false">SUMIFS('Source 2026'!$F:$F,'Source 2026'!$B:$B,$A272,'Source 2026'!$A:$A,"Amount (NIS)")+SUMIFS('Source 2026'!$H:$H,'Source 2026'!$B:$B,$A272,'Source 2026'!$A:$A,"Amount (NIS)")+SUMIFS('Source 2026'!$M:$M,'Source 2026'!$B:$B,$A272,'Source 2026'!$A:$A,"Amount (NIS)")+SUMIFS('Source 2026'!$N:$N,'Source 2026'!$B:$B,$A272,'Source 2026'!$A:$A,"Amount (NIS)")+SUMIFS('Source 2026'!$S:$S,'Source 2026'!$B:$B,$A272,'Source 2026'!$A:$A,"Amount (NIS)")+SUMIFS('Source 2026'!$U:$U,'Source 2026'!$B:$B,$A272,'Source 2026'!$A:$A,"Amount (NIS)")+SUMIFS('Source 2026'!$D:$D,'Source 2026'!$B:$B,$A272,'Source 2026'!$A:$A,"Amount (NIS)")+SUMIFS('Source 2026'!$E:$E,'Source 2026'!$B:$B,$A272,'Source 2026'!$A:$A,"Amount (NIS)")+SUMIFS('Source 2026'!$G:$G,'Source 2026'!$B:$B,$A272,'Source 2026'!$A:$A,"Amount (NIS)")</f>
        <v>665.2</v>
      </c>
      <c r="J272" s="9" t="n">
        <f aca="false">I272*$J$5</f>
        <v>840.252631578947</v>
      </c>
      <c r="K272" s="9" t="n">
        <f aca="false">J272-H272</f>
        <v>121.152631578947</v>
      </c>
      <c r="L272" s="11" t="n">
        <f aca="false">IF(AND(H272=0,J272=0),0,IF(H272=0,"New",(J272-H272)/H272))</f>
        <v>0.16847814153657</v>
      </c>
    </row>
    <row r="273" customFormat="false" ht="15" hidden="false" customHeight="true" outlineLevel="0" collapsed="false">
      <c r="A273" s="8" t="s">
        <v>342</v>
      </c>
      <c r="B273" s="8" t="str">
        <f aca="false">IFERROR(INDEX('Source 2026'!$C:$C,MATCH($A273,'Source 2026'!$B:$B,0)),IFERROR(INDEX('Source 2025'!$C:$C,MATCH($A273,'Source 2025'!$B:$B,0)),""))</f>
        <v>S-M STRAP4U</v>
      </c>
      <c r="C273" s="9" t="n">
        <f aca="false">SUMIFS('Source 2025'!$F:$F,'Source 2025'!$B:$B,$A273,'Source 2025'!$A:$A,"Quantity (units)")+SUMIFS('Source 2025'!$H:$H,'Source 2025'!$B:$B,$A273,'Source 2025'!$A:$A,"Quantity (units)")+SUMIFS('Source 2025'!$M:$M,'Source 2025'!$B:$B,$A273,'Source 2025'!$A:$A,"Quantity (units)")+SUMIFS('Source 2025'!$N:$N,'Source 2025'!$B:$B,$A273,'Source 2025'!$A:$A,"Quantity (units)")+SUMIFS('Source 2025'!$S:$S,'Source 2025'!$B:$B,$A273,'Source 2025'!$A:$A,"Quantity (units)")+SUMIFS('Source 2025'!$U:$U,'Source 2025'!$B:$B,$A273,'Source 2025'!$A:$A,"Quantity (units)")+SUMIFS('Source 2025'!$D:$D,'Source 2025'!$B:$B,$A273,'Source 2025'!$A:$A,"Quantity (units)")+SUMIFS('Source 2025'!$E:$E,'Source 2025'!$B:$B,$A273,'Source 2025'!$A:$A,"Quantity (units)")+SUMIFS('Source 2025'!$G:$G,'Source 2025'!$B:$B,$A273,'Source 2025'!$A:$A,"Quantity (units)")</f>
        <v>-4</v>
      </c>
      <c r="D273" s="9" t="n">
        <f aca="false">SUMIFS('Source 2026'!$F:$F,'Source 2026'!$B:$B,$A273,'Source 2026'!$A:$A,"Quantity (units)")+SUMIFS('Source 2026'!$H:$H,'Source 2026'!$B:$B,$A273,'Source 2026'!$A:$A,"Quantity (units)")+SUMIFS('Source 2026'!$M:$M,'Source 2026'!$B:$B,$A273,'Source 2026'!$A:$A,"Quantity (units)")+SUMIFS('Source 2026'!$N:$N,'Source 2026'!$B:$B,$A273,'Source 2026'!$A:$A,"Quantity (units)")+SUMIFS('Source 2026'!$S:$S,'Source 2026'!$B:$B,$A273,'Source 2026'!$A:$A,"Quantity (units)")+SUMIFS('Source 2026'!$U:$U,'Source 2026'!$B:$B,$A273,'Source 2026'!$A:$A,"Quantity (units)")+SUMIFS('Source 2026'!$D:$D,'Source 2026'!$B:$B,$A273,'Source 2026'!$A:$A,"Quantity (units)")+SUMIFS('Source 2026'!$E:$E,'Source 2026'!$B:$B,$A273,'Source 2026'!$A:$A,"Quantity (units)")+SUMIFS('Source 2026'!$G:$G,'Source 2026'!$B:$B,$A273,'Source 2026'!$A:$A,"Quantity (units)")</f>
        <v>0</v>
      </c>
      <c r="E273" s="9" t="n">
        <f aca="false">D273*$J$5</f>
        <v>0</v>
      </c>
      <c r="F273" s="9" t="n">
        <f aca="false">E273-C273</f>
        <v>4</v>
      </c>
      <c r="G273" s="11" t="n">
        <f aca="false">IF(AND(C273=0,E273=0),0,IF(C273=0,"New",(E273-C273)/C273))</f>
        <v>-1</v>
      </c>
      <c r="H273" s="9" t="n">
        <f aca="false">SUMIFS('Source 2025'!$F:$F,'Source 2025'!$B:$B,$A273,'Source 2025'!$A:$A,"Amount (NIS)")+SUMIFS('Source 2025'!$H:$H,'Source 2025'!$B:$B,$A273,'Source 2025'!$A:$A,"Amount (NIS)")+SUMIFS('Source 2025'!$M:$M,'Source 2025'!$B:$B,$A273,'Source 2025'!$A:$A,"Amount (NIS)")+SUMIFS('Source 2025'!$N:$N,'Source 2025'!$B:$B,$A273,'Source 2025'!$A:$A,"Amount (NIS)")+SUMIFS('Source 2025'!$S:$S,'Source 2025'!$B:$B,$A273,'Source 2025'!$A:$A,"Amount (NIS)")+SUMIFS('Source 2025'!$U:$U,'Source 2025'!$B:$B,$A273,'Source 2025'!$A:$A,"Amount (NIS)")+SUMIFS('Source 2025'!$D:$D,'Source 2025'!$B:$B,$A273,'Source 2025'!$A:$A,"Amount (NIS)")+SUMIFS('Source 2025'!$E:$E,'Source 2025'!$B:$B,$A273,'Source 2025'!$A:$A,"Amount (NIS)")+SUMIFS('Source 2025'!$G:$G,'Source 2025'!$B:$B,$A273,'Source 2025'!$A:$A,"Amount (NIS)")</f>
        <v>-53.5</v>
      </c>
      <c r="I273" s="9" t="n">
        <f aca="false">SUMIFS('Source 2026'!$F:$F,'Source 2026'!$B:$B,$A273,'Source 2026'!$A:$A,"Amount (NIS)")+SUMIFS('Source 2026'!$H:$H,'Source 2026'!$B:$B,$A273,'Source 2026'!$A:$A,"Amount (NIS)")+SUMIFS('Source 2026'!$M:$M,'Source 2026'!$B:$B,$A273,'Source 2026'!$A:$A,"Amount (NIS)")+SUMIFS('Source 2026'!$N:$N,'Source 2026'!$B:$B,$A273,'Source 2026'!$A:$A,"Amount (NIS)")+SUMIFS('Source 2026'!$S:$S,'Source 2026'!$B:$B,$A273,'Source 2026'!$A:$A,"Amount (NIS)")+SUMIFS('Source 2026'!$U:$U,'Source 2026'!$B:$B,$A273,'Source 2026'!$A:$A,"Amount (NIS)")+SUMIFS('Source 2026'!$D:$D,'Source 2026'!$B:$B,$A273,'Source 2026'!$A:$A,"Amount (NIS)")+SUMIFS('Source 2026'!$E:$E,'Source 2026'!$B:$B,$A273,'Source 2026'!$A:$A,"Amount (NIS)")+SUMIFS('Source 2026'!$G:$G,'Source 2026'!$B:$B,$A273,'Source 2026'!$A:$A,"Amount (NIS)")</f>
        <v>0</v>
      </c>
      <c r="J273" s="9" t="n">
        <f aca="false">I273*$J$5</f>
        <v>0</v>
      </c>
      <c r="K273" s="9" t="n">
        <f aca="false">J273-H273</f>
        <v>53.5</v>
      </c>
      <c r="L273" s="11" t="n">
        <f aca="false">IF(AND(H273=0,J273=0),0,IF(H273=0,"New",(J273-H273)/H273))</f>
        <v>-1</v>
      </c>
    </row>
    <row r="274" customFormat="false" ht="15" hidden="false" customHeight="true" outlineLevel="0" collapsed="false">
      <c r="A274" s="8" t="s">
        <v>343</v>
      </c>
      <c r="B274" s="8" t="str">
        <f aca="false">IFERROR(INDEX('Source 2026'!$C:$C,MATCH($A274,'Source 2026'!$B:$B,0)),IFERROR(INDEX('Source 2025'!$C:$C,MATCH($A274,'Source 2025'!$B:$B,0)),""))</f>
        <v>תחבושת אלסטית מקררת</v>
      </c>
      <c r="C274" s="9" t="n">
        <f aca="false">SUMIFS('Source 2025'!$F:$F,'Source 2025'!$B:$B,$A274,'Source 2025'!$A:$A,"Quantity (units)")+SUMIFS('Source 2025'!$H:$H,'Source 2025'!$B:$B,$A274,'Source 2025'!$A:$A,"Quantity (units)")+SUMIFS('Source 2025'!$M:$M,'Source 2025'!$B:$B,$A274,'Source 2025'!$A:$A,"Quantity (units)")+SUMIFS('Source 2025'!$N:$N,'Source 2025'!$B:$B,$A274,'Source 2025'!$A:$A,"Quantity (units)")+SUMIFS('Source 2025'!$S:$S,'Source 2025'!$B:$B,$A274,'Source 2025'!$A:$A,"Quantity (units)")+SUMIFS('Source 2025'!$U:$U,'Source 2025'!$B:$B,$A274,'Source 2025'!$A:$A,"Quantity (units)")+SUMIFS('Source 2025'!$D:$D,'Source 2025'!$B:$B,$A274,'Source 2025'!$A:$A,"Quantity (units)")+SUMIFS('Source 2025'!$E:$E,'Source 2025'!$B:$B,$A274,'Source 2025'!$A:$A,"Quantity (units)")+SUMIFS('Source 2025'!$G:$G,'Source 2025'!$B:$B,$A274,'Source 2025'!$A:$A,"Quantity (units)")</f>
        <v>129</v>
      </c>
      <c r="D274" s="9" t="n">
        <f aca="false">SUMIFS('Source 2026'!$F:$F,'Source 2026'!$B:$B,$A274,'Source 2026'!$A:$A,"Quantity (units)")+SUMIFS('Source 2026'!$H:$H,'Source 2026'!$B:$B,$A274,'Source 2026'!$A:$A,"Quantity (units)")+SUMIFS('Source 2026'!$M:$M,'Source 2026'!$B:$B,$A274,'Source 2026'!$A:$A,"Quantity (units)")+SUMIFS('Source 2026'!$N:$N,'Source 2026'!$B:$B,$A274,'Source 2026'!$A:$A,"Quantity (units)")+SUMIFS('Source 2026'!$S:$S,'Source 2026'!$B:$B,$A274,'Source 2026'!$A:$A,"Quantity (units)")+SUMIFS('Source 2026'!$U:$U,'Source 2026'!$B:$B,$A274,'Source 2026'!$A:$A,"Quantity (units)")+SUMIFS('Source 2026'!$D:$D,'Source 2026'!$B:$B,$A274,'Source 2026'!$A:$A,"Quantity (units)")+SUMIFS('Source 2026'!$E:$E,'Source 2026'!$B:$B,$A274,'Source 2026'!$A:$A,"Quantity (units)")+SUMIFS('Source 2026'!$G:$G,'Source 2026'!$B:$B,$A274,'Source 2026'!$A:$A,"Quantity (units)")</f>
        <v>124</v>
      </c>
      <c r="E274" s="9" t="n">
        <f aca="false">D274*$J$5</f>
        <v>156.631578947368</v>
      </c>
      <c r="F274" s="9" t="n">
        <f aca="false">E274-C274</f>
        <v>27.6315789473684</v>
      </c>
      <c r="G274" s="11" t="n">
        <f aca="false">IF(AND(C274=0,E274=0),0,IF(C274=0,"New",(E274-C274)/C274))</f>
        <v>0.214198286413709</v>
      </c>
      <c r="H274" s="9" t="n">
        <f aca="false">SUMIFS('Source 2025'!$F:$F,'Source 2025'!$B:$B,$A274,'Source 2025'!$A:$A,"Amount (NIS)")+SUMIFS('Source 2025'!$H:$H,'Source 2025'!$B:$B,$A274,'Source 2025'!$A:$A,"Amount (NIS)")+SUMIFS('Source 2025'!$M:$M,'Source 2025'!$B:$B,$A274,'Source 2025'!$A:$A,"Amount (NIS)")+SUMIFS('Source 2025'!$N:$N,'Source 2025'!$B:$B,$A274,'Source 2025'!$A:$A,"Amount (NIS)")+SUMIFS('Source 2025'!$S:$S,'Source 2025'!$B:$B,$A274,'Source 2025'!$A:$A,"Amount (NIS)")+SUMIFS('Source 2025'!$U:$U,'Source 2025'!$B:$B,$A274,'Source 2025'!$A:$A,"Amount (NIS)")+SUMIFS('Source 2025'!$D:$D,'Source 2025'!$B:$B,$A274,'Source 2025'!$A:$A,"Amount (NIS)")+SUMIFS('Source 2025'!$E:$E,'Source 2025'!$B:$B,$A274,'Source 2025'!$A:$A,"Amount (NIS)")+SUMIFS('Source 2025'!$G:$G,'Source 2025'!$B:$B,$A274,'Source 2025'!$A:$A,"Amount (NIS)")</f>
        <v>2674.4</v>
      </c>
      <c r="I274" s="9" t="n">
        <f aca="false">SUMIFS('Source 2026'!$F:$F,'Source 2026'!$B:$B,$A274,'Source 2026'!$A:$A,"Amount (NIS)")+SUMIFS('Source 2026'!$H:$H,'Source 2026'!$B:$B,$A274,'Source 2026'!$A:$A,"Amount (NIS)")+SUMIFS('Source 2026'!$M:$M,'Source 2026'!$B:$B,$A274,'Source 2026'!$A:$A,"Amount (NIS)")+SUMIFS('Source 2026'!$N:$N,'Source 2026'!$B:$B,$A274,'Source 2026'!$A:$A,"Amount (NIS)")+SUMIFS('Source 2026'!$S:$S,'Source 2026'!$B:$B,$A274,'Source 2026'!$A:$A,"Amount (NIS)")+SUMIFS('Source 2026'!$U:$U,'Source 2026'!$B:$B,$A274,'Source 2026'!$A:$A,"Amount (NIS)")+SUMIFS('Source 2026'!$D:$D,'Source 2026'!$B:$B,$A274,'Source 2026'!$A:$A,"Amount (NIS)")+SUMIFS('Source 2026'!$E:$E,'Source 2026'!$B:$B,$A274,'Source 2026'!$A:$A,"Amount (NIS)")+SUMIFS('Source 2026'!$G:$G,'Source 2026'!$B:$B,$A274,'Source 2026'!$A:$A,"Amount (NIS)")</f>
        <v>2627.7</v>
      </c>
      <c r="J274" s="9" t="n">
        <f aca="false">I274*$J$5</f>
        <v>3319.2</v>
      </c>
      <c r="K274" s="9" t="n">
        <f aca="false">J274-H274</f>
        <v>644.8</v>
      </c>
      <c r="L274" s="11" t="n">
        <f aca="false">IF(AND(H274=0,J274=0),0,IF(H274=0,"New",(J274-H274)/H274))</f>
        <v>0.241100807657792</v>
      </c>
    </row>
    <row r="275" customFormat="false" ht="15" hidden="false" customHeight="true" outlineLevel="0" collapsed="false">
      <c r="A275" s="8" t="s">
        <v>344</v>
      </c>
      <c r="B275" s="8" t="str">
        <f aca="false">IFERROR(INDEX('Source 2026'!$C:$C,MATCH($A275,'Source 2026'!$B:$B,0)),IFERROR(INDEX('Source 2025'!$C:$C,MATCH($A275,'Source 2025'!$B:$B,0)),""))</f>
        <v>אתלטיק טייפ שחור 20מ""מ</v>
      </c>
      <c r="C275" s="9" t="n">
        <f aca="false">SUMIFS('Source 2025'!$F:$F,'Source 2025'!$B:$B,$A275,'Source 2025'!$A:$A,"Quantity (units)")+SUMIFS('Source 2025'!$H:$H,'Source 2025'!$B:$B,$A275,'Source 2025'!$A:$A,"Quantity (units)")+SUMIFS('Source 2025'!$M:$M,'Source 2025'!$B:$B,$A275,'Source 2025'!$A:$A,"Quantity (units)")+SUMIFS('Source 2025'!$N:$N,'Source 2025'!$B:$B,$A275,'Source 2025'!$A:$A,"Quantity (units)")+SUMIFS('Source 2025'!$S:$S,'Source 2025'!$B:$B,$A275,'Source 2025'!$A:$A,"Quantity (units)")+SUMIFS('Source 2025'!$U:$U,'Source 2025'!$B:$B,$A275,'Source 2025'!$A:$A,"Quantity (units)")+SUMIFS('Source 2025'!$D:$D,'Source 2025'!$B:$B,$A275,'Source 2025'!$A:$A,"Quantity (units)")+SUMIFS('Source 2025'!$E:$E,'Source 2025'!$B:$B,$A275,'Source 2025'!$A:$A,"Quantity (units)")+SUMIFS('Source 2025'!$G:$G,'Source 2025'!$B:$B,$A275,'Source 2025'!$A:$A,"Quantity (units)")</f>
        <v>20</v>
      </c>
      <c r="D275" s="9" t="n">
        <f aca="false">SUMIFS('Source 2026'!$F:$F,'Source 2026'!$B:$B,$A275,'Source 2026'!$A:$A,"Quantity (units)")+SUMIFS('Source 2026'!$H:$H,'Source 2026'!$B:$B,$A275,'Source 2026'!$A:$A,"Quantity (units)")+SUMIFS('Source 2026'!$M:$M,'Source 2026'!$B:$B,$A275,'Source 2026'!$A:$A,"Quantity (units)")+SUMIFS('Source 2026'!$N:$N,'Source 2026'!$B:$B,$A275,'Source 2026'!$A:$A,"Quantity (units)")+SUMIFS('Source 2026'!$S:$S,'Source 2026'!$B:$B,$A275,'Source 2026'!$A:$A,"Quantity (units)")+SUMIFS('Source 2026'!$U:$U,'Source 2026'!$B:$B,$A275,'Source 2026'!$A:$A,"Quantity (units)")+SUMIFS('Source 2026'!$D:$D,'Source 2026'!$B:$B,$A275,'Source 2026'!$A:$A,"Quantity (units)")+SUMIFS('Source 2026'!$E:$E,'Source 2026'!$B:$B,$A275,'Source 2026'!$A:$A,"Quantity (units)")+SUMIFS('Source 2026'!$G:$G,'Source 2026'!$B:$B,$A275,'Source 2026'!$A:$A,"Quantity (units)")</f>
        <v>21</v>
      </c>
      <c r="E275" s="9" t="n">
        <f aca="false">D275*$J$5</f>
        <v>26.5263157894737</v>
      </c>
      <c r="F275" s="9" t="n">
        <f aca="false">E275-C275</f>
        <v>6.52631578947368</v>
      </c>
      <c r="G275" s="11" t="n">
        <f aca="false">IF(AND(C275=0,E275=0),0,IF(C275=0,"New",(E275-C275)/C275))</f>
        <v>0.326315789473684</v>
      </c>
      <c r="H275" s="9" t="n">
        <f aca="false">SUMIFS('Source 2025'!$F:$F,'Source 2025'!$B:$B,$A275,'Source 2025'!$A:$A,"Amount (NIS)")+SUMIFS('Source 2025'!$H:$H,'Source 2025'!$B:$B,$A275,'Source 2025'!$A:$A,"Amount (NIS)")+SUMIFS('Source 2025'!$M:$M,'Source 2025'!$B:$B,$A275,'Source 2025'!$A:$A,"Amount (NIS)")+SUMIFS('Source 2025'!$N:$N,'Source 2025'!$B:$B,$A275,'Source 2025'!$A:$A,"Amount (NIS)")+SUMIFS('Source 2025'!$S:$S,'Source 2025'!$B:$B,$A275,'Source 2025'!$A:$A,"Amount (NIS)")+SUMIFS('Source 2025'!$U:$U,'Source 2025'!$B:$B,$A275,'Source 2025'!$A:$A,"Amount (NIS)")+SUMIFS('Source 2025'!$D:$D,'Source 2025'!$B:$B,$A275,'Source 2025'!$A:$A,"Amount (NIS)")+SUMIFS('Source 2025'!$E:$E,'Source 2025'!$B:$B,$A275,'Source 2025'!$A:$A,"Amount (NIS)")+SUMIFS('Source 2025'!$G:$G,'Source 2025'!$B:$B,$A275,'Source 2025'!$A:$A,"Amount (NIS)")</f>
        <v>318.7</v>
      </c>
      <c r="I275" s="9" t="n">
        <f aca="false">SUMIFS('Source 2026'!$F:$F,'Source 2026'!$B:$B,$A275,'Source 2026'!$A:$A,"Amount (NIS)")+SUMIFS('Source 2026'!$H:$H,'Source 2026'!$B:$B,$A275,'Source 2026'!$A:$A,"Amount (NIS)")+SUMIFS('Source 2026'!$M:$M,'Source 2026'!$B:$B,$A275,'Source 2026'!$A:$A,"Amount (NIS)")+SUMIFS('Source 2026'!$N:$N,'Source 2026'!$B:$B,$A275,'Source 2026'!$A:$A,"Amount (NIS)")+SUMIFS('Source 2026'!$S:$S,'Source 2026'!$B:$B,$A275,'Source 2026'!$A:$A,"Amount (NIS)")+SUMIFS('Source 2026'!$U:$U,'Source 2026'!$B:$B,$A275,'Source 2026'!$A:$A,"Amount (NIS)")+SUMIFS('Source 2026'!$D:$D,'Source 2026'!$B:$B,$A275,'Source 2026'!$A:$A,"Amount (NIS)")+SUMIFS('Source 2026'!$E:$E,'Source 2026'!$B:$B,$A275,'Source 2026'!$A:$A,"Amount (NIS)")+SUMIFS('Source 2026'!$G:$G,'Source 2026'!$B:$B,$A275,'Source 2026'!$A:$A,"Amount (NIS)")</f>
        <v>358.6</v>
      </c>
      <c r="J275" s="9" t="n">
        <f aca="false">I275*$J$5</f>
        <v>452.968421052632</v>
      </c>
      <c r="K275" s="9" t="n">
        <f aca="false">J275-H275</f>
        <v>134.268421052632</v>
      </c>
      <c r="L275" s="11" t="n">
        <f aca="false">IF(AND(H275=0,J275=0),0,IF(H275=0,"New",(J275-H275)/H275))</f>
        <v>0.421300348455072</v>
      </c>
    </row>
    <row r="276" customFormat="false" ht="15" hidden="false" customHeight="true" outlineLevel="0" collapsed="false">
      <c r="A276" s="8" t="s">
        <v>345</v>
      </c>
      <c r="B276" s="8" t="str">
        <f aca="false">IFERROR(INDEX('Source 2026'!$C:$C,MATCH($A276,'Source 2026'!$B:$B,0)),IFERROR(INDEX('Source 2025'!$C:$C,MATCH($A276,'Source 2025'!$B:$B,0)),""))</f>
        <v>S תתמתלה ליד רצועה</v>
      </c>
      <c r="C276" s="9" t="n">
        <f aca="false">SUMIFS('Source 2025'!$F:$F,'Source 2025'!$B:$B,$A276,'Source 2025'!$A:$A,"Quantity (units)")+SUMIFS('Source 2025'!$H:$H,'Source 2025'!$B:$B,$A276,'Source 2025'!$A:$A,"Quantity (units)")+SUMIFS('Source 2025'!$M:$M,'Source 2025'!$B:$B,$A276,'Source 2025'!$A:$A,"Quantity (units)")+SUMIFS('Source 2025'!$N:$N,'Source 2025'!$B:$B,$A276,'Source 2025'!$A:$A,"Quantity (units)")+SUMIFS('Source 2025'!$S:$S,'Source 2025'!$B:$B,$A276,'Source 2025'!$A:$A,"Quantity (units)")+SUMIFS('Source 2025'!$U:$U,'Source 2025'!$B:$B,$A276,'Source 2025'!$A:$A,"Quantity (units)")+SUMIFS('Source 2025'!$D:$D,'Source 2025'!$B:$B,$A276,'Source 2025'!$A:$A,"Quantity (units)")+SUMIFS('Source 2025'!$E:$E,'Source 2025'!$B:$B,$A276,'Source 2025'!$A:$A,"Quantity (units)")+SUMIFS('Source 2025'!$G:$G,'Source 2025'!$B:$B,$A276,'Source 2025'!$A:$A,"Quantity (units)")</f>
        <v>-1</v>
      </c>
      <c r="D276" s="9" t="n">
        <f aca="false">SUMIFS('Source 2026'!$F:$F,'Source 2026'!$B:$B,$A276,'Source 2026'!$A:$A,"Quantity (units)")+SUMIFS('Source 2026'!$H:$H,'Source 2026'!$B:$B,$A276,'Source 2026'!$A:$A,"Quantity (units)")+SUMIFS('Source 2026'!$M:$M,'Source 2026'!$B:$B,$A276,'Source 2026'!$A:$A,"Quantity (units)")+SUMIFS('Source 2026'!$N:$N,'Source 2026'!$B:$B,$A276,'Source 2026'!$A:$A,"Quantity (units)")+SUMIFS('Source 2026'!$S:$S,'Source 2026'!$B:$B,$A276,'Source 2026'!$A:$A,"Quantity (units)")+SUMIFS('Source 2026'!$U:$U,'Source 2026'!$B:$B,$A276,'Source 2026'!$A:$A,"Quantity (units)")+SUMIFS('Source 2026'!$D:$D,'Source 2026'!$B:$B,$A276,'Source 2026'!$A:$A,"Quantity (units)")+SUMIFS('Source 2026'!$E:$E,'Source 2026'!$B:$B,$A276,'Source 2026'!$A:$A,"Quantity (units)")+SUMIFS('Source 2026'!$G:$G,'Source 2026'!$B:$B,$A276,'Source 2026'!$A:$A,"Quantity (units)")</f>
        <v>0</v>
      </c>
      <c r="E276" s="9" t="n">
        <f aca="false">D276*$J$5</f>
        <v>0</v>
      </c>
      <c r="F276" s="9" t="n">
        <f aca="false">E276-C276</f>
        <v>1</v>
      </c>
      <c r="G276" s="11" t="n">
        <f aca="false">IF(AND(C276=0,E276=0),0,IF(C276=0,"New",(E276-C276)/C276))</f>
        <v>-1</v>
      </c>
      <c r="H276" s="9" t="n">
        <f aca="false">SUMIFS('Source 2025'!$F:$F,'Source 2025'!$B:$B,$A276,'Source 2025'!$A:$A,"Amount (NIS)")+SUMIFS('Source 2025'!$H:$H,'Source 2025'!$B:$B,$A276,'Source 2025'!$A:$A,"Amount (NIS)")+SUMIFS('Source 2025'!$M:$M,'Source 2025'!$B:$B,$A276,'Source 2025'!$A:$A,"Amount (NIS)")+SUMIFS('Source 2025'!$N:$N,'Source 2025'!$B:$B,$A276,'Source 2025'!$A:$A,"Amount (NIS)")+SUMIFS('Source 2025'!$S:$S,'Source 2025'!$B:$B,$A276,'Source 2025'!$A:$A,"Amount (NIS)")+SUMIFS('Source 2025'!$U:$U,'Source 2025'!$B:$B,$A276,'Source 2025'!$A:$A,"Amount (NIS)")+SUMIFS('Source 2025'!$D:$D,'Source 2025'!$B:$B,$A276,'Source 2025'!$A:$A,"Amount (NIS)")+SUMIFS('Source 2025'!$E:$E,'Source 2025'!$B:$B,$A276,'Source 2025'!$A:$A,"Amount (NIS)")+SUMIFS('Source 2025'!$G:$G,'Source 2025'!$B:$B,$A276,'Source 2025'!$A:$A,"Amount (NIS)")</f>
        <v>-37.8</v>
      </c>
      <c r="I276" s="9" t="n">
        <f aca="false">SUMIFS('Source 2026'!$F:$F,'Source 2026'!$B:$B,$A276,'Source 2026'!$A:$A,"Amount (NIS)")+SUMIFS('Source 2026'!$H:$H,'Source 2026'!$B:$B,$A276,'Source 2026'!$A:$A,"Amount (NIS)")+SUMIFS('Source 2026'!$M:$M,'Source 2026'!$B:$B,$A276,'Source 2026'!$A:$A,"Amount (NIS)")+SUMIFS('Source 2026'!$N:$N,'Source 2026'!$B:$B,$A276,'Source 2026'!$A:$A,"Amount (NIS)")+SUMIFS('Source 2026'!$S:$S,'Source 2026'!$B:$B,$A276,'Source 2026'!$A:$A,"Amount (NIS)")+SUMIFS('Source 2026'!$U:$U,'Source 2026'!$B:$B,$A276,'Source 2026'!$A:$A,"Amount (NIS)")+SUMIFS('Source 2026'!$D:$D,'Source 2026'!$B:$B,$A276,'Source 2026'!$A:$A,"Amount (NIS)")+SUMIFS('Source 2026'!$E:$E,'Source 2026'!$B:$B,$A276,'Source 2026'!$A:$A,"Amount (NIS)")+SUMIFS('Source 2026'!$G:$G,'Source 2026'!$B:$B,$A276,'Source 2026'!$A:$A,"Amount (NIS)")</f>
        <v>0</v>
      </c>
      <c r="J276" s="9" t="n">
        <f aca="false">I276*$J$5</f>
        <v>0</v>
      </c>
      <c r="K276" s="9" t="n">
        <f aca="false">J276-H276</f>
        <v>37.8</v>
      </c>
      <c r="L276" s="11" t="n">
        <f aca="false">IF(AND(H276=0,J276=0),0,IF(H276=0,"New",(J276-H276)/H276))</f>
        <v>-1</v>
      </c>
    </row>
    <row r="277" customFormat="false" ht="15" hidden="false" customHeight="true" outlineLevel="0" collapsed="false">
      <c r="A277" s="8" t="s">
        <v>346</v>
      </c>
      <c r="B277" s="8" t="str">
        <f aca="false">IFERROR(INDEX('Source 2026'!$C:$C,MATCH($A277,'Source 2026'!$B:$B,0)),IFERROR(INDEX('Source 2025'!$C:$C,MATCH($A277,'Source 2025'!$B:$B,0)),""))</f>
        <v>HV רצועה אלסטית</v>
      </c>
      <c r="C277" s="9" t="n">
        <f aca="false">SUMIFS('Source 2025'!$F:$F,'Source 2025'!$B:$B,$A277,'Source 2025'!$A:$A,"Quantity (units)")+SUMIFS('Source 2025'!$H:$H,'Source 2025'!$B:$B,$A277,'Source 2025'!$A:$A,"Quantity (units)")+SUMIFS('Source 2025'!$M:$M,'Source 2025'!$B:$B,$A277,'Source 2025'!$A:$A,"Quantity (units)")+SUMIFS('Source 2025'!$N:$N,'Source 2025'!$B:$B,$A277,'Source 2025'!$A:$A,"Quantity (units)")+SUMIFS('Source 2025'!$S:$S,'Source 2025'!$B:$B,$A277,'Source 2025'!$A:$A,"Quantity (units)")+SUMIFS('Source 2025'!$U:$U,'Source 2025'!$B:$B,$A277,'Source 2025'!$A:$A,"Quantity (units)")+SUMIFS('Source 2025'!$D:$D,'Source 2025'!$B:$B,$A277,'Source 2025'!$A:$A,"Quantity (units)")+SUMIFS('Source 2025'!$E:$E,'Source 2025'!$B:$B,$A277,'Source 2025'!$A:$A,"Quantity (units)")+SUMIFS('Source 2025'!$G:$G,'Source 2025'!$B:$B,$A277,'Source 2025'!$A:$A,"Quantity (units)")</f>
        <v>2</v>
      </c>
      <c r="D277" s="9" t="n">
        <f aca="false">SUMIFS('Source 2026'!$F:$F,'Source 2026'!$B:$B,$A277,'Source 2026'!$A:$A,"Quantity (units)")+SUMIFS('Source 2026'!$H:$H,'Source 2026'!$B:$B,$A277,'Source 2026'!$A:$A,"Quantity (units)")+SUMIFS('Source 2026'!$M:$M,'Source 2026'!$B:$B,$A277,'Source 2026'!$A:$A,"Quantity (units)")+SUMIFS('Source 2026'!$N:$N,'Source 2026'!$B:$B,$A277,'Source 2026'!$A:$A,"Quantity (units)")+SUMIFS('Source 2026'!$S:$S,'Source 2026'!$B:$B,$A277,'Source 2026'!$A:$A,"Quantity (units)")+SUMIFS('Source 2026'!$U:$U,'Source 2026'!$B:$B,$A277,'Source 2026'!$A:$A,"Quantity (units)")+SUMIFS('Source 2026'!$D:$D,'Source 2026'!$B:$B,$A277,'Source 2026'!$A:$A,"Quantity (units)")+SUMIFS('Source 2026'!$E:$E,'Source 2026'!$B:$B,$A277,'Source 2026'!$A:$A,"Quantity (units)")+SUMIFS('Source 2026'!$G:$G,'Source 2026'!$B:$B,$A277,'Source 2026'!$A:$A,"Quantity (units)")</f>
        <v>3</v>
      </c>
      <c r="E277" s="9" t="n">
        <f aca="false">D277*$J$5</f>
        <v>3.78947368421053</v>
      </c>
      <c r="F277" s="9" t="n">
        <f aca="false">E277-C277</f>
        <v>1.78947368421053</v>
      </c>
      <c r="G277" s="11" t="n">
        <f aca="false">IF(AND(C277=0,E277=0),0,IF(C277=0,"New",(E277-C277)/C277))</f>
        <v>0.894736842105263</v>
      </c>
      <c r="H277" s="9" t="n">
        <f aca="false">SUMIFS('Source 2025'!$F:$F,'Source 2025'!$B:$B,$A277,'Source 2025'!$A:$A,"Amount (NIS)")+SUMIFS('Source 2025'!$H:$H,'Source 2025'!$B:$B,$A277,'Source 2025'!$A:$A,"Amount (NIS)")+SUMIFS('Source 2025'!$M:$M,'Source 2025'!$B:$B,$A277,'Source 2025'!$A:$A,"Amount (NIS)")+SUMIFS('Source 2025'!$N:$N,'Source 2025'!$B:$B,$A277,'Source 2025'!$A:$A,"Amount (NIS)")+SUMIFS('Source 2025'!$S:$S,'Source 2025'!$B:$B,$A277,'Source 2025'!$A:$A,"Amount (NIS)")+SUMIFS('Source 2025'!$U:$U,'Source 2025'!$B:$B,$A277,'Source 2025'!$A:$A,"Amount (NIS)")+SUMIFS('Source 2025'!$D:$D,'Source 2025'!$B:$B,$A277,'Source 2025'!$A:$A,"Amount (NIS)")+SUMIFS('Source 2025'!$E:$E,'Source 2025'!$B:$B,$A277,'Source 2025'!$A:$A,"Amount (NIS)")+SUMIFS('Source 2025'!$G:$G,'Source 2025'!$B:$B,$A277,'Source 2025'!$A:$A,"Amount (NIS)")</f>
        <v>75.5</v>
      </c>
      <c r="I277" s="9" t="n">
        <f aca="false">SUMIFS('Source 2026'!$F:$F,'Source 2026'!$B:$B,$A277,'Source 2026'!$A:$A,"Amount (NIS)")+SUMIFS('Source 2026'!$H:$H,'Source 2026'!$B:$B,$A277,'Source 2026'!$A:$A,"Amount (NIS)")+SUMIFS('Source 2026'!$M:$M,'Source 2026'!$B:$B,$A277,'Source 2026'!$A:$A,"Amount (NIS)")+SUMIFS('Source 2026'!$N:$N,'Source 2026'!$B:$B,$A277,'Source 2026'!$A:$A,"Amount (NIS)")+SUMIFS('Source 2026'!$S:$S,'Source 2026'!$B:$B,$A277,'Source 2026'!$A:$A,"Amount (NIS)")+SUMIFS('Source 2026'!$U:$U,'Source 2026'!$B:$B,$A277,'Source 2026'!$A:$A,"Amount (NIS)")+SUMIFS('Source 2026'!$D:$D,'Source 2026'!$B:$B,$A277,'Source 2026'!$A:$A,"Amount (NIS)")+SUMIFS('Source 2026'!$E:$E,'Source 2026'!$B:$B,$A277,'Source 2026'!$A:$A,"Amount (NIS)")+SUMIFS('Source 2026'!$G:$G,'Source 2026'!$B:$B,$A277,'Source 2026'!$A:$A,"Amount (NIS)")</f>
        <v>113.3</v>
      </c>
      <c r="J277" s="9" t="n">
        <f aca="false">I277*$J$5</f>
        <v>143.115789473684</v>
      </c>
      <c r="K277" s="9" t="n">
        <f aca="false">J277-H277</f>
        <v>67.6157894736842</v>
      </c>
      <c r="L277" s="11" t="n">
        <f aca="false">IF(AND(H277=0,J277=0),0,IF(H277=0,"New",(J277-H277)/H277))</f>
        <v>0.895573370512374</v>
      </c>
    </row>
    <row r="278" customFormat="false" ht="15" hidden="false" customHeight="true" outlineLevel="0" collapsed="false">
      <c r="A278" s="8" t="s">
        <v>347</v>
      </c>
      <c r="B278" s="8" t="str">
        <f aca="false">IFERROR(INDEX('Source 2026'!$C:$C,MATCH($A278,'Source 2026'!$B:$B,0)),IFERROR(INDEX('Source 2025'!$C:$C,MATCH($A278,'Source 2025'!$B:$B,0)),""))</f>
        <v>120 תתתרסיס מרענן לרגל</v>
      </c>
      <c r="C278" s="9" t="n">
        <f aca="false">SUMIFS('Source 2025'!$F:$F,'Source 2025'!$B:$B,$A278,'Source 2025'!$A:$A,"Quantity (units)")+SUMIFS('Source 2025'!$H:$H,'Source 2025'!$B:$B,$A278,'Source 2025'!$A:$A,"Quantity (units)")+SUMIFS('Source 2025'!$M:$M,'Source 2025'!$B:$B,$A278,'Source 2025'!$A:$A,"Quantity (units)")+SUMIFS('Source 2025'!$N:$N,'Source 2025'!$B:$B,$A278,'Source 2025'!$A:$A,"Quantity (units)")+SUMIFS('Source 2025'!$S:$S,'Source 2025'!$B:$B,$A278,'Source 2025'!$A:$A,"Quantity (units)")+SUMIFS('Source 2025'!$U:$U,'Source 2025'!$B:$B,$A278,'Source 2025'!$A:$A,"Quantity (units)")+SUMIFS('Source 2025'!$D:$D,'Source 2025'!$B:$B,$A278,'Source 2025'!$A:$A,"Quantity (units)")+SUMIFS('Source 2025'!$E:$E,'Source 2025'!$B:$B,$A278,'Source 2025'!$A:$A,"Quantity (units)")+SUMIFS('Source 2025'!$G:$G,'Source 2025'!$B:$B,$A278,'Source 2025'!$A:$A,"Quantity (units)")</f>
        <v>-1</v>
      </c>
      <c r="D278" s="9" t="n">
        <f aca="false">SUMIFS('Source 2026'!$F:$F,'Source 2026'!$B:$B,$A278,'Source 2026'!$A:$A,"Quantity (units)")+SUMIFS('Source 2026'!$H:$H,'Source 2026'!$B:$B,$A278,'Source 2026'!$A:$A,"Quantity (units)")+SUMIFS('Source 2026'!$M:$M,'Source 2026'!$B:$B,$A278,'Source 2026'!$A:$A,"Quantity (units)")+SUMIFS('Source 2026'!$N:$N,'Source 2026'!$B:$B,$A278,'Source 2026'!$A:$A,"Quantity (units)")+SUMIFS('Source 2026'!$S:$S,'Source 2026'!$B:$B,$A278,'Source 2026'!$A:$A,"Quantity (units)")+SUMIFS('Source 2026'!$U:$U,'Source 2026'!$B:$B,$A278,'Source 2026'!$A:$A,"Quantity (units)")+SUMIFS('Source 2026'!$D:$D,'Source 2026'!$B:$B,$A278,'Source 2026'!$A:$A,"Quantity (units)")+SUMIFS('Source 2026'!$E:$E,'Source 2026'!$B:$B,$A278,'Source 2026'!$A:$A,"Quantity (units)")+SUMIFS('Source 2026'!$G:$G,'Source 2026'!$B:$B,$A278,'Source 2026'!$A:$A,"Quantity (units)")</f>
        <v>0</v>
      </c>
      <c r="E278" s="9" t="n">
        <f aca="false">D278*$J$5</f>
        <v>0</v>
      </c>
      <c r="F278" s="9" t="n">
        <f aca="false">E278-C278</f>
        <v>1</v>
      </c>
      <c r="G278" s="11" t="n">
        <f aca="false">IF(AND(C278=0,E278=0),0,IF(C278=0,"New",(E278-C278)/C278))</f>
        <v>-1</v>
      </c>
      <c r="H278" s="9" t="n">
        <f aca="false">SUMIFS('Source 2025'!$F:$F,'Source 2025'!$B:$B,$A278,'Source 2025'!$A:$A,"Amount (NIS)")+SUMIFS('Source 2025'!$H:$H,'Source 2025'!$B:$B,$A278,'Source 2025'!$A:$A,"Amount (NIS)")+SUMIFS('Source 2025'!$M:$M,'Source 2025'!$B:$B,$A278,'Source 2025'!$A:$A,"Amount (NIS)")+SUMIFS('Source 2025'!$N:$N,'Source 2025'!$B:$B,$A278,'Source 2025'!$A:$A,"Amount (NIS)")+SUMIFS('Source 2025'!$S:$S,'Source 2025'!$B:$B,$A278,'Source 2025'!$A:$A,"Amount (NIS)")+SUMIFS('Source 2025'!$U:$U,'Source 2025'!$B:$B,$A278,'Source 2025'!$A:$A,"Amount (NIS)")+SUMIFS('Source 2025'!$D:$D,'Source 2025'!$B:$B,$A278,'Source 2025'!$A:$A,"Amount (NIS)")+SUMIFS('Source 2025'!$E:$E,'Source 2025'!$B:$B,$A278,'Source 2025'!$A:$A,"Amount (NIS)")+SUMIFS('Source 2025'!$G:$G,'Source 2025'!$B:$B,$A278,'Source 2025'!$A:$A,"Amount (NIS)")</f>
        <v>-36.5</v>
      </c>
      <c r="I278" s="9" t="n">
        <f aca="false">SUMIFS('Source 2026'!$F:$F,'Source 2026'!$B:$B,$A278,'Source 2026'!$A:$A,"Amount (NIS)")+SUMIFS('Source 2026'!$H:$H,'Source 2026'!$B:$B,$A278,'Source 2026'!$A:$A,"Amount (NIS)")+SUMIFS('Source 2026'!$M:$M,'Source 2026'!$B:$B,$A278,'Source 2026'!$A:$A,"Amount (NIS)")+SUMIFS('Source 2026'!$N:$N,'Source 2026'!$B:$B,$A278,'Source 2026'!$A:$A,"Amount (NIS)")+SUMIFS('Source 2026'!$S:$S,'Source 2026'!$B:$B,$A278,'Source 2026'!$A:$A,"Amount (NIS)")+SUMIFS('Source 2026'!$U:$U,'Source 2026'!$B:$B,$A278,'Source 2026'!$A:$A,"Amount (NIS)")+SUMIFS('Source 2026'!$D:$D,'Source 2026'!$B:$B,$A278,'Source 2026'!$A:$A,"Amount (NIS)")+SUMIFS('Source 2026'!$E:$E,'Source 2026'!$B:$B,$A278,'Source 2026'!$A:$A,"Amount (NIS)")+SUMIFS('Source 2026'!$G:$G,'Source 2026'!$B:$B,$A278,'Source 2026'!$A:$A,"Amount (NIS)")</f>
        <v>0</v>
      </c>
      <c r="J278" s="9" t="n">
        <f aca="false">I278*$J$5</f>
        <v>0</v>
      </c>
      <c r="K278" s="9" t="n">
        <f aca="false">J278-H278</f>
        <v>36.5</v>
      </c>
      <c r="L278" s="11" t="n">
        <f aca="false">IF(AND(H278=0,J278=0),0,IF(H278=0,"New",(J278-H278)/H278))</f>
        <v>-1</v>
      </c>
    </row>
    <row r="279" customFormat="false" ht="15" hidden="false" customHeight="true" outlineLevel="0" collapsed="false">
      <c r="A279" s="8" t="s">
        <v>348</v>
      </c>
      <c r="B279" s="8" t="str">
        <f aca="false">IFERROR(INDEX('Source 2026'!$C:$C,MATCH($A279,'Source 2026'!$B:$B,0)),IFERROR(INDEX('Source 2025'!$C:$C,MATCH($A279,'Source 2025'!$B:$B,0)),""))</f>
        <v>מסכה אלה</v>
      </c>
      <c r="C279" s="9" t="n">
        <f aca="false">SUMIFS('Source 2025'!$F:$F,'Source 2025'!$B:$B,$A279,'Source 2025'!$A:$A,"Quantity (units)")+SUMIFS('Source 2025'!$H:$H,'Source 2025'!$B:$B,$A279,'Source 2025'!$A:$A,"Quantity (units)")+SUMIFS('Source 2025'!$M:$M,'Source 2025'!$B:$B,$A279,'Source 2025'!$A:$A,"Quantity (units)")+SUMIFS('Source 2025'!$N:$N,'Source 2025'!$B:$B,$A279,'Source 2025'!$A:$A,"Quantity (units)")+SUMIFS('Source 2025'!$S:$S,'Source 2025'!$B:$B,$A279,'Source 2025'!$A:$A,"Quantity (units)")+SUMIFS('Source 2025'!$U:$U,'Source 2025'!$B:$B,$A279,'Source 2025'!$A:$A,"Quantity (units)")+SUMIFS('Source 2025'!$D:$D,'Source 2025'!$B:$B,$A279,'Source 2025'!$A:$A,"Quantity (units)")+SUMIFS('Source 2025'!$E:$E,'Source 2025'!$B:$B,$A279,'Source 2025'!$A:$A,"Quantity (units)")+SUMIFS('Source 2025'!$G:$G,'Source 2025'!$B:$B,$A279,'Source 2025'!$A:$A,"Quantity (units)")</f>
        <v>-4</v>
      </c>
      <c r="D279" s="9" t="n">
        <f aca="false">SUMIFS('Source 2026'!$F:$F,'Source 2026'!$B:$B,$A279,'Source 2026'!$A:$A,"Quantity (units)")+SUMIFS('Source 2026'!$H:$H,'Source 2026'!$B:$B,$A279,'Source 2026'!$A:$A,"Quantity (units)")+SUMIFS('Source 2026'!$M:$M,'Source 2026'!$B:$B,$A279,'Source 2026'!$A:$A,"Quantity (units)")+SUMIFS('Source 2026'!$N:$N,'Source 2026'!$B:$B,$A279,'Source 2026'!$A:$A,"Quantity (units)")+SUMIFS('Source 2026'!$S:$S,'Source 2026'!$B:$B,$A279,'Source 2026'!$A:$A,"Quantity (units)")+SUMIFS('Source 2026'!$U:$U,'Source 2026'!$B:$B,$A279,'Source 2026'!$A:$A,"Quantity (units)")+SUMIFS('Source 2026'!$D:$D,'Source 2026'!$B:$B,$A279,'Source 2026'!$A:$A,"Quantity (units)")+SUMIFS('Source 2026'!$E:$E,'Source 2026'!$B:$B,$A279,'Source 2026'!$A:$A,"Quantity (units)")+SUMIFS('Source 2026'!$G:$G,'Source 2026'!$B:$B,$A279,'Source 2026'!$A:$A,"Quantity (units)")</f>
        <v>0</v>
      </c>
      <c r="E279" s="9" t="n">
        <f aca="false">D279*$J$5</f>
        <v>0</v>
      </c>
      <c r="F279" s="9" t="n">
        <f aca="false">E279-C279</f>
        <v>4</v>
      </c>
      <c r="G279" s="11" t="n">
        <f aca="false">IF(AND(C279=0,E279=0),0,IF(C279=0,"New",(E279-C279)/C279))</f>
        <v>-1</v>
      </c>
      <c r="H279" s="9" t="n">
        <f aca="false">SUMIFS('Source 2025'!$F:$F,'Source 2025'!$B:$B,$A279,'Source 2025'!$A:$A,"Amount (NIS)")+SUMIFS('Source 2025'!$H:$H,'Source 2025'!$B:$B,$A279,'Source 2025'!$A:$A,"Amount (NIS)")+SUMIFS('Source 2025'!$M:$M,'Source 2025'!$B:$B,$A279,'Source 2025'!$A:$A,"Amount (NIS)")+SUMIFS('Source 2025'!$N:$N,'Source 2025'!$B:$B,$A279,'Source 2025'!$A:$A,"Amount (NIS)")+SUMIFS('Source 2025'!$S:$S,'Source 2025'!$B:$B,$A279,'Source 2025'!$A:$A,"Amount (NIS)")+SUMIFS('Source 2025'!$U:$U,'Source 2025'!$B:$B,$A279,'Source 2025'!$A:$A,"Amount (NIS)")+SUMIFS('Source 2025'!$D:$D,'Source 2025'!$B:$B,$A279,'Source 2025'!$A:$A,"Amount (NIS)")+SUMIFS('Source 2025'!$E:$E,'Source 2025'!$B:$B,$A279,'Source 2025'!$A:$A,"Amount (NIS)")+SUMIFS('Source 2025'!$G:$G,'Source 2025'!$B:$B,$A279,'Source 2025'!$A:$A,"Amount (NIS)")</f>
        <v>-32.5</v>
      </c>
      <c r="I279" s="9" t="n">
        <f aca="false">SUMIFS('Source 2026'!$F:$F,'Source 2026'!$B:$B,$A279,'Source 2026'!$A:$A,"Amount (NIS)")+SUMIFS('Source 2026'!$H:$H,'Source 2026'!$B:$B,$A279,'Source 2026'!$A:$A,"Amount (NIS)")+SUMIFS('Source 2026'!$M:$M,'Source 2026'!$B:$B,$A279,'Source 2026'!$A:$A,"Amount (NIS)")+SUMIFS('Source 2026'!$N:$N,'Source 2026'!$B:$B,$A279,'Source 2026'!$A:$A,"Amount (NIS)")+SUMIFS('Source 2026'!$S:$S,'Source 2026'!$B:$B,$A279,'Source 2026'!$A:$A,"Amount (NIS)")+SUMIFS('Source 2026'!$U:$U,'Source 2026'!$B:$B,$A279,'Source 2026'!$A:$A,"Amount (NIS)")+SUMIFS('Source 2026'!$D:$D,'Source 2026'!$B:$B,$A279,'Source 2026'!$A:$A,"Amount (NIS)")+SUMIFS('Source 2026'!$E:$E,'Source 2026'!$B:$B,$A279,'Source 2026'!$A:$A,"Amount (NIS)")+SUMIFS('Source 2026'!$G:$G,'Source 2026'!$B:$B,$A279,'Source 2026'!$A:$A,"Amount (NIS)")</f>
        <v>0</v>
      </c>
      <c r="J279" s="9" t="n">
        <f aca="false">I279*$J$5</f>
        <v>0</v>
      </c>
      <c r="K279" s="9" t="n">
        <f aca="false">J279-H279</f>
        <v>32.5</v>
      </c>
      <c r="L279" s="11" t="n">
        <f aca="false">IF(AND(H279=0,J279=0),0,IF(H279=0,"New",(J279-H279)/H279))</f>
        <v>-1</v>
      </c>
    </row>
    <row r="280" customFormat="false" ht="15" hidden="false" customHeight="true" outlineLevel="0" collapsed="false">
      <c r="A280" s="8" t="s">
        <v>349</v>
      </c>
      <c r="B280" s="8" t="str">
        <f aca="false">IFERROR(INDEX('Source 2026'!$C:$C,MATCH($A280,'Source 2026'!$B:$B,0)),IFERROR(INDEX('Source 2025'!$C:$C,MATCH($A280,'Source 2025'!$B:$B,0)),""))</f>
        <v>חגורת גב אפורה</v>
      </c>
      <c r="C280" s="9" t="n">
        <f aca="false">SUMIFS('Source 2025'!$F:$F,'Source 2025'!$B:$B,$A280,'Source 2025'!$A:$A,"Quantity (units)")+SUMIFS('Source 2025'!$H:$H,'Source 2025'!$B:$B,$A280,'Source 2025'!$A:$A,"Quantity (units)")+SUMIFS('Source 2025'!$M:$M,'Source 2025'!$B:$B,$A280,'Source 2025'!$A:$A,"Quantity (units)")+SUMIFS('Source 2025'!$N:$N,'Source 2025'!$B:$B,$A280,'Source 2025'!$A:$A,"Quantity (units)")+SUMIFS('Source 2025'!$S:$S,'Source 2025'!$B:$B,$A280,'Source 2025'!$A:$A,"Quantity (units)")+SUMIFS('Source 2025'!$U:$U,'Source 2025'!$B:$B,$A280,'Source 2025'!$A:$A,"Quantity (units)")+SUMIFS('Source 2025'!$D:$D,'Source 2025'!$B:$B,$A280,'Source 2025'!$A:$A,"Quantity (units)")+SUMIFS('Source 2025'!$E:$E,'Source 2025'!$B:$B,$A280,'Source 2025'!$A:$A,"Quantity (units)")+SUMIFS('Source 2025'!$G:$G,'Source 2025'!$B:$B,$A280,'Source 2025'!$A:$A,"Quantity (units)")</f>
        <v>27</v>
      </c>
      <c r="D280" s="9" t="n">
        <f aca="false">SUMIFS('Source 2026'!$F:$F,'Source 2026'!$B:$B,$A280,'Source 2026'!$A:$A,"Quantity (units)")+SUMIFS('Source 2026'!$H:$H,'Source 2026'!$B:$B,$A280,'Source 2026'!$A:$A,"Quantity (units)")+SUMIFS('Source 2026'!$M:$M,'Source 2026'!$B:$B,$A280,'Source 2026'!$A:$A,"Quantity (units)")+SUMIFS('Source 2026'!$N:$N,'Source 2026'!$B:$B,$A280,'Source 2026'!$A:$A,"Quantity (units)")+SUMIFS('Source 2026'!$S:$S,'Source 2026'!$B:$B,$A280,'Source 2026'!$A:$A,"Quantity (units)")+SUMIFS('Source 2026'!$U:$U,'Source 2026'!$B:$B,$A280,'Source 2026'!$A:$A,"Quantity (units)")+SUMIFS('Source 2026'!$D:$D,'Source 2026'!$B:$B,$A280,'Source 2026'!$A:$A,"Quantity (units)")+SUMIFS('Source 2026'!$E:$E,'Source 2026'!$B:$B,$A280,'Source 2026'!$A:$A,"Quantity (units)")+SUMIFS('Source 2026'!$G:$G,'Source 2026'!$B:$B,$A280,'Source 2026'!$A:$A,"Quantity (units)")</f>
        <v>27</v>
      </c>
      <c r="E280" s="9" t="n">
        <f aca="false">D280*$J$5</f>
        <v>34.1052631578947</v>
      </c>
      <c r="F280" s="9" t="n">
        <f aca="false">E280-C280</f>
        <v>7.10526315789473</v>
      </c>
      <c r="G280" s="11" t="n">
        <f aca="false">IF(AND(C280=0,E280=0),0,IF(C280=0,"New",(E280-C280)/C280))</f>
        <v>0.263157894736842</v>
      </c>
      <c r="H280" s="9" t="n">
        <f aca="false">SUMIFS('Source 2025'!$F:$F,'Source 2025'!$B:$B,$A280,'Source 2025'!$A:$A,"Amount (NIS)")+SUMIFS('Source 2025'!$H:$H,'Source 2025'!$B:$B,$A280,'Source 2025'!$A:$A,"Amount (NIS)")+SUMIFS('Source 2025'!$M:$M,'Source 2025'!$B:$B,$A280,'Source 2025'!$A:$A,"Amount (NIS)")+SUMIFS('Source 2025'!$N:$N,'Source 2025'!$B:$B,$A280,'Source 2025'!$A:$A,"Amount (NIS)")+SUMIFS('Source 2025'!$S:$S,'Source 2025'!$B:$B,$A280,'Source 2025'!$A:$A,"Amount (NIS)")+SUMIFS('Source 2025'!$U:$U,'Source 2025'!$B:$B,$A280,'Source 2025'!$A:$A,"Amount (NIS)")+SUMIFS('Source 2025'!$D:$D,'Source 2025'!$B:$B,$A280,'Source 2025'!$A:$A,"Amount (NIS)")+SUMIFS('Source 2025'!$E:$E,'Source 2025'!$B:$B,$A280,'Source 2025'!$A:$A,"Amount (NIS)")+SUMIFS('Source 2025'!$G:$G,'Source 2025'!$B:$B,$A280,'Source 2025'!$A:$A,"Amount (NIS)")</f>
        <v>2977.7</v>
      </c>
      <c r="I280" s="9" t="n">
        <f aca="false">SUMIFS('Source 2026'!$F:$F,'Source 2026'!$B:$B,$A280,'Source 2026'!$A:$A,"Amount (NIS)")+SUMIFS('Source 2026'!$H:$H,'Source 2026'!$B:$B,$A280,'Source 2026'!$A:$A,"Amount (NIS)")+SUMIFS('Source 2026'!$M:$M,'Source 2026'!$B:$B,$A280,'Source 2026'!$A:$A,"Amount (NIS)")+SUMIFS('Source 2026'!$N:$N,'Source 2026'!$B:$B,$A280,'Source 2026'!$A:$A,"Amount (NIS)")+SUMIFS('Source 2026'!$S:$S,'Source 2026'!$B:$B,$A280,'Source 2026'!$A:$A,"Amount (NIS)")+SUMIFS('Source 2026'!$U:$U,'Source 2026'!$B:$B,$A280,'Source 2026'!$A:$A,"Amount (NIS)")+SUMIFS('Source 2026'!$D:$D,'Source 2026'!$B:$B,$A280,'Source 2026'!$A:$A,"Amount (NIS)")+SUMIFS('Source 2026'!$E:$E,'Source 2026'!$B:$B,$A280,'Source 2026'!$A:$A,"Amount (NIS)")+SUMIFS('Source 2026'!$G:$G,'Source 2026'!$B:$B,$A280,'Source 2026'!$A:$A,"Amount (NIS)")</f>
        <v>3009.4</v>
      </c>
      <c r="J280" s="9" t="n">
        <f aca="false">I280*$J$5</f>
        <v>3801.34736842105</v>
      </c>
      <c r="K280" s="9" t="n">
        <f aca="false">J280-H280</f>
        <v>823.647368421053</v>
      </c>
      <c r="L280" s="11" t="n">
        <f aca="false">IF(AND(H280=0,J280=0),0,IF(H280=0,"New",(J280-H280)/H280))</f>
        <v>0.276605221621068</v>
      </c>
    </row>
    <row r="281" customFormat="false" ht="15" hidden="false" customHeight="true" outlineLevel="0" collapsed="false">
      <c r="A281" s="8" t="s">
        <v>350</v>
      </c>
      <c r="B281" s="8" t="str">
        <f aca="false">IFERROR(INDEX('Source 2026'!$C:$C,MATCH($A281,'Source 2026'!$B:$B,0)),IFERROR(INDEX('Source 2025'!$C:$C,MATCH($A281,'Source 2025'!$B:$B,0)),""))</f>
        <v>מירוק גרגרי פילינג</v>
      </c>
      <c r="C281" s="9" t="n">
        <f aca="false">SUMIFS('Source 2025'!$F:$F,'Source 2025'!$B:$B,$A281,'Source 2025'!$A:$A,"Quantity (units)")+SUMIFS('Source 2025'!$H:$H,'Source 2025'!$B:$B,$A281,'Source 2025'!$A:$A,"Quantity (units)")+SUMIFS('Source 2025'!$M:$M,'Source 2025'!$B:$B,$A281,'Source 2025'!$A:$A,"Quantity (units)")+SUMIFS('Source 2025'!$N:$N,'Source 2025'!$B:$B,$A281,'Source 2025'!$A:$A,"Quantity (units)")+SUMIFS('Source 2025'!$S:$S,'Source 2025'!$B:$B,$A281,'Source 2025'!$A:$A,"Quantity (units)")+SUMIFS('Source 2025'!$U:$U,'Source 2025'!$B:$B,$A281,'Source 2025'!$A:$A,"Quantity (units)")+SUMIFS('Source 2025'!$D:$D,'Source 2025'!$B:$B,$A281,'Source 2025'!$A:$A,"Quantity (units)")+SUMIFS('Source 2025'!$E:$E,'Source 2025'!$B:$B,$A281,'Source 2025'!$A:$A,"Quantity (units)")+SUMIFS('Source 2025'!$G:$G,'Source 2025'!$B:$B,$A281,'Source 2025'!$A:$A,"Quantity (units)")</f>
        <v>-1</v>
      </c>
      <c r="D281" s="9" t="n">
        <f aca="false">SUMIFS('Source 2026'!$F:$F,'Source 2026'!$B:$B,$A281,'Source 2026'!$A:$A,"Quantity (units)")+SUMIFS('Source 2026'!$H:$H,'Source 2026'!$B:$B,$A281,'Source 2026'!$A:$A,"Quantity (units)")+SUMIFS('Source 2026'!$M:$M,'Source 2026'!$B:$B,$A281,'Source 2026'!$A:$A,"Quantity (units)")+SUMIFS('Source 2026'!$N:$N,'Source 2026'!$B:$B,$A281,'Source 2026'!$A:$A,"Quantity (units)")+SUMIFS('Source 2026'!$S:$S,'Source 2026'!$B:$B,$A281,'Source 2026'!$A:$A,"Quantity (units)")+SUMIFS('Source 2026'!$U:$U,'Source 2026'!$B:$B,$A281,'Source 2026'!$A:$A,"Quantity (units)")+SUMIFS('Source 2026'!$D:$D,'Source 2026'!$B:$B,$A281,'Source 2026'!$A:$A,"Quantity (units)")+SUMIFS('Source 2026'!$E:$E,'Source 2026'!$B:$B,$A281,'Source 2026'!$A:$A,"Quantity (units)")+SUMIFS('Source 2026'!$G:$G,'Source 2026'!$B:$B,$A281,'Source 2026'!$A:$A,"Quantity (units)")</f>
        <v>0</v>
      </c>
      <c r="E281" s="9" t="n">
        <f aca="false">D281*$J$5</f>
        <v>0</v>
      </c>
      <c r="F281" s="9" t="n">
        <f aca="false">E281-C281</f>
        <v>1</v>
      </c>
      <c r="G281" s="11" t="n">
        <f aca="false">IF(AND(C281=0,E281=0),0,IF(C281=0,"New",(E281-C281)/C281))</f>
        <v>-1</v>
      </c>
      <c r="H281" s="9" t="n">
        <f aca="false">SUMIFS('Source 2025'!$F:$F,'Source 2025'!$B:$B,$A281,'Source 2025'!$A:$A,"Amount (NIS)")+SUMIFS('Source 2025'!$H:$H,'Source 2025'!$B:$B,$A281,'Source 2025'!$A:$A,"Amount (NIS)")+SUMIFS('Source 2025'!$M:$M,'Source 2025'!$B:$B,$A281,'Source 2025'!$A:$A,"Amount (NIS)")+SUMIFS('Source 2025'!$N:$N,'Source 2025'!$B:$B,$A281,'Source 2025'!$A:$A,"Amount (NIS)")+SUMIFS('Source 2025'!$S:$S,'Source 2025'!$B:$B,$A281,'Source 2025'!$A:$A,"Amount (NIS)")+SUMIFS('Source 2025'!$U:$U,'Source 2025'!$B:$B,$A281,'Source 2025'!$A:$A,"Amount (NIS)")+SUMIFS('Source 2025'!$D:$D,'Source 2025'!$B:$B,$A281,'Source 2025'!$A:$A,"Amount (NIS)")+SUMIFS('Source 2025'!$E:$E,'Source 2025'!$B:$B,$A281,'Source 2025'!$A:$A,"Amount (NIS)")+SUMIFS('Source 2025'!$G:$G,'Source 2025'!$B:$B,$A281,'Source 2025'!$A:$A,"Amount (NIS)")</f>
        <v>-29.7</v>
      </c>
      <c r="I281" s="9" t="n">
        <f aca="false">SUMIFS('Source 2026'!$F:$F,'Source 2026'!$B:$B,$A281,'Source 2026'!$A:$A,"Amount (NIS)")+SUMIFS('Source 2026'!$H:$H,'Source 2026'!$B:$B,$A281,'Source 2026'!$A:$A,"Amount (NIS)")+SUMIFS('Source 2026'!$M:$M,'Source 2026'!$B:$B,$A281,'Source 2026'!$A:$A,"Amount (NIS)")+SUMIFS('Source 2026'!$N:$N,'Source 2026'!$B:$B,$A281,'Source 2026'!$A:$A,"Amount (NIS)")+SUMIFS('Source 2026'!$S:$S,'Source 2026'!$B:$B,$A281,'Source 2026'!$A:$A,"Amount (NIS)")+SUMIFS('Source 2026'!$U:$U,'Source 2026'!$B:$B,$A281,'Source 2026'!$A:$A,"Amount (NIS)")+SUMIFS('Source 2026'!$D:$D,'Source 2026'!$B:$B,$A281,'Source 2026'!$A:$A,"Amount (NIS)")+SUMIFS('Source 2026'!$E:$E,'Source 2026'!$B:$B,$A281,'Source 2026'!$A:$A,"Amount (NIS)")+SUMIFS('Source 2026'!$G:$G,'Source 2026'!$B:$B,$A281,'Source 2026'!$A:$A,"Amount (NIS)")</f>
        <v>0</v>
      </c>
      <c r="J281" s="9" t="n">
        <f aca="false">I281*$J$5</f>
        <v>0</v>
      </c>
      <c r="K281" s="9" t="n">
        <f aca="false">J281-H281</f>
        <v>29.7</v>
      </c>
      <c r="L281" s="11" t="n">
        <f aca="false">IF(AND(H281=0,J281=0),0,IF(H281=0,"New",(J281-H281)/H281))</f>
        <v>-1</v>
      </c>
    </row>
    <row r="282" customFormat="false" ht="15" hidden="false" customHeight="true" outlineLevel="0" collapsed="false">
      <c r="A282" s="8" t="s">
        <v>351</v>
      </c>
      <c r="B282" s="8" t="str">
        <f aca="false">IFERROR(INDEX('Source 2026'!$C:$C,MATCH($A282,'Source 2026'!$B:$B,0)),IFERROR(INDEX('Source 2025'!$C:$C,MATCH($A282,'Source 2025'!$B:$B,0)),""))</f>
        <v>דאודורנט לכף הרגל</v>
      </c>
      <c r="C282" s="9" t="n">
        <f aca="false">SUMIFS('Source 2025'!$F:$F,'Source 2025'!$B:$B,$A282,'Source 2025'!$A:$A,"Quantity (units)")+SUMIFS('Source 2025'!$H:$H,'Source 2025'!$B:$B,$A282,'Source 2025'!$A:$A,"Quantity (units)")+SUMIFS('Source 2025'!$M:$M,'Source 2025'!$B:$B,$A282,'Source 2025'!$A:$A,"Quantity (units)")+SUMIFS('Source 2025'!$N:$N,'Source 2025'!$B:$B,$A282,'Source 2025'!$A:$A,"Quantity (units)")+SUMIFS('Source 2025'!$S:$S,'Source 2025'!$B:$B,$A282,'Source 2025'!$A:$A,"Quantity (units)")+SUMIFS('Source 2025'!$U:$U,'Source 2025'!$B:$B,$A282,'Source 2025'!$A:$A,"Quantity (units)")+SUMIFS('Source 2025'!$D:$D,'Source 2025'!$B:$B,$A282,'Source 2025'!$A:$A,"Quantity (units)")+SUMIFS('Source 2025'!$E:$E,'Source 2025'!$B:$B,$A282,'Source 2025'!$A:$A,"Quantity (units)")+SUMIFS('Source 2025'!$G:$G,'Source 2025'!$B:$B,$A282,'Source 2025'!$A:$A,"Quantity (units)")</f>
        <v>-1</v>
      </c>
      <c r="D282" s="9" t="n">
        <f aca="false">SUMIFS('Source 2026'!$F:$F,'Source 2026'!$B:$B,$A282,'Source 2026'!$A:$A,"Quantity (units)")+SUMIFS('Source 2026'!$H:$H,'Source 2026'!$B:$B,$A282,'Source 2026'!$A:$A,"Quantity (units)")+SUMIFS('Source 2026'!$M:$M,'Source 2026'!$B:$B,$A282,'Source 2026'!$A:$A,"Quantity (units)")+SUMIFS('Source 2026'!$N:$N,'Source 2026'!$B:$B,$A282,'Source 2026'!$A:$A,"Quantity (units)")+SUMIFS('Source 2026'!$S:$S,'Source 2026'!$B:$B,$A282,'Source 2026'!$A:$A,"Quantity (units)")+SUMIFS('Source 2026'!$U:$U,'Source 2026'!$B:$B,$A282,'Source 2026'!$A:$A,"Quantity (units)")+SUMIFS('Source 2026'!$D:$D,'Source 2026'!$B:$B,$A282,'Source 2026'!$A:$A,"Quantity (units)")+SUMIFS('Source 2026'!$E:$E,'Source 2026'!$B:$B,$A282,'Source 2026'!$A:$A,"Quantity (units)")+SUMIFS('Source 2026'!$G:$G,'Source 2026'!$B:$B,$A282,'Source 2026'!$A:$A,"Quantity (units)")</f>
        <v>0</v>
      </c>
      <c r="E282" s="9" t="n">
        <f aca="false">D282*$J$5</f>
        <v>0</v>
      </c>
      <c r="F282" s="9" t="n">
        <f aca="false">E282-C282</f>
        <v>1</v>
      </c>
      <c r="G282" s="11" t="n">
        <f aca="false">IF(AND(C282=0,E282=0),0,IF(C282=0,"New",(E282-C282)/C282))</f>
        <v>-1</v>
      </c>
      <c r="H282" s="9" t="n">
        <f aca="false">SUMIFS('Source 2025'!$F:$F,'Source 2025'!$B:$B,$A282,'Source 2025'!$A:$A,"Amount (NIS)")+SUMIFS('Source 2025'!$H:$H,'Source 2025'!$B:$B,$A282,'Source 2025'!$A:$A,"Amount (NIS)")+SUMIFS('Source 2025'!$M:$M,'Source 2025'!$B:$B,$A282,'Source 2025'!$A:$A,"Amount (NIS)")+SUMIFS('Source 2025'!$N:$N,'Source 2025'!$B:$B,$A282,'Source 2025'!$A:$A,"Amount (NIS)")+SUMIFS('Source 2025'!$S:$S,'Source 2025'!$B:$B,$A282,'Source 2025'!$A:$A,"Amount (NIS)")+SUMIFS('Source 2025'!$U:$U,'Source 2025'!$B:$B,$A282,'Source 2025'!$A:$A,"Amount (NIS)")+SUMIFS('Source 2025'!$D:$D,'Source 2025'!$B:$B,$A282,'Source 2025'!$A:$A,"Amount (NIS)")+SUMIFS('Source 2025'!$E:$E,'Source 2025'!$B:$B,$A282,'Source 2025'!$A:$A,"Amount (NIS)")+SUMIFS('Source 2025'!$G:$G,'Source 2025'!$B:$B,$A282,'Source 2025'!$A:$A,"Amount (NIS)")</f>
        <v>-29.7</v>
      </c>
      <c r="I282" s="9" t="n">
        <f aca="false">SUMIFS('Source 2026'!$F:$F,'Source 2026'!$B:$B,$A282,'Source 2026'!$A:$A,"Amount (NIS)")+SUMIFS('Source 2026'!$H:$H,'Source 2026'!$B:$B,$A282,'Source 2026'!$A:$A,"Amount (NIS)")+SUMIFS('Source 2026'!$M:$M,'Source 2026'!$B:$B,$A282,'Source 2026'!$A:$A,"Amount (NIS)")+SUMIFS('Source 2026'!$N:$N,'Source 2026'!$B:$B,$A282,'Source 2026'!$A:$A,"Amount (NIS)")+SUMIFS('Source 2026'!$S:$S,'Source 2026'!$B:$B,$A282,'Source 2026'!$A:$A,"Amount (NIS)")+SUMIFS('Source 2026'!$U:$U,'Source 2026'!$B:$B,$A282,'Source 2026'!$A:$A,"Amount (NIS)")+SUMIFS('Source 2026'!$D:$D,'Source 2026'!$B:$B,$A282,'Source 2026'!$A:$A,"Amount (NIS)")+SUMIFS('Source 2026'!$E:$E,'Source 2026'!$B:$B,$A282,'Source 2026'!$A:$A,"Amount (NIS)")+SUMIFS('Source 2026'!$G:$G,'Source 2026'!$B:$B,$A282,'Source 2026'!$A:$A,"Amount (NIS)")</f>
        <v>0</v>
      </c>
      <c r="J282" s="9" t="n">
        <f aca="false">I282*$J$5</f>
        <v>0</v>
      </c>
      <c r="K282" s="9" t="n">
        <f aca="false">J282-H282</f>
        <v>29.7</v>
      </c>
      <c r="L282" s="11" t="n">
        <f aca="false">IF(AND(H282=0,J282=0),0,IF(H282=0,"New",(J282-H282)/H282))</f>
        <v>-1</v>
      </c>
    </row>
    <row r="283" customFormat="false" ht="15" hidden="false" customHeight="true" outlineLevel="0" collapsed="false">
      <c r="A283" s="8" t="s">
        <v>352</v>
      </c>
      <c r="B283" s="8" t="str">
        <f aca="false">IFERROR(INDEX('Source 2026'!$C:$C,MATCH($A283,'Source 2026'!$B:$B,0)),IFERROR(INDEX('Source 2025'!$C:$C,MATCH($A283,'Source 2025'!$B:$B,0)),""))</f>
        <v>XXL מגן ברך ארוך עם כרית</v>
      </c>
      <c r="C283" s="9" t="n">
        <f aca="false">SUMIFS('Source 2025'!$F:$F,'Source 2025'!$B:$B,$A283,'Source 2025'!$A:$A,"Quantity (units)")+SUMIFS('Source 2025'!$H:$H,'Source 2025'!$B:$B,$A283,'Source 2025'!$A:$A,"Quantity (units)")+SUMIFS('Source 2025'!$M:$M,'Source 2025'!$B:$B,$A283,'Source 2025'!$A:$A,"Quantity (units)")+SUMIFS('Source 2025'!$N:$N,'Source 2025'!$B:$B,$A283,'Source 2025'!$A:$A,"Quantity (units)")+SUMIFS('Source 2025'!$S:$S,'Source 2025'!$B:$B,$A283,'Source 2025'!$A:$A,"Quantity (units)")+SUMIFS('Source 2025'!$U:$U,'Source 2025'!$B:$B,$A283,'Source 2025'!$A:$A,"Quantity (units)")+SUMIFS('Source 2025'!$D:$D,'Source 2025'!$B:$B,$A283,'Source 2025'!$A:$A,"Quantity (units)")+SUMIFS('Source 2025'!$E:$E,'Source 2025'!$B:$B,$A283,'Source 2025'!$A:$A,"Quantity (units)")+SUMIFS('Source 2025'!$G:$G,'Source 2025'!$B:$B,$A283,'Source 2025'!$A:$A,"Quantity (units)")</f>
        <v>2</v>
      </c>
      <c r="D283" s="9" t="n">
        <f aca="false">SUMIFS('Source 2026'!$F:$F,'Source 2026'!$B:$B,$A283,'Source 2026'!$A:$A,"Quantity (units)")+SUMIFS('Source 2026'!$H:$H,'Source 2026'!$B:$B,$A283,'Source 2026'!$A:$A,"Quantity (units)")+SUMIFS('Source 2026'!$M:$M,'Source 2026'!$B:$B,$A283,'Source 2026'!$A:$A,"Quantity (units)")+SUMIFS('Source 2026'!$N:$N,'Source 2026'!$B:$B,$A283,'Source 2026'!$A:$A,"Quantity (units)")+SUMIFS('Source 2026'!$S:$S,'Source 2026'!$B:$B,$A283,'Source 2026'!$A:$A,"Quantity (units)")+SUMIFS('Source 2026'!$U:$U,'Source 2026'!$B:$B,$A283,'Source 2026'!$A:$A,"Quantity (units)")+SUMIFS('Source 2026'!$D:$D,'Source 2026'!$B:$B,$A283,'Source 2026'!$A:$A,"Quantity (units)")+SUMIFS('Source 2026'!$E:$E,'Source 2026'!$B:$B,$A283,'Source 2026'!$A:$A,"Quantity (units)")+SUMIFS('Source 2026'!$G:$G,'Source 2026'!$B:$B,$A283,'Source 2026'!$A:$A,"Quantity (units)")</f>
        <v>2</v>
      </c>
      <c r="E283" s="9" t="n">
        <f aca="false">D283*$J$5</f>
        <v>2.52631578947368</v>
      </c>
      <c r="F283" s="9" t="n">
        <f aca="false">E283-C283</f>
        <v>0.526315789473684</v>
      </c>
      <c r="G283" s="11" t="n">
        <f aca="false">IF(AND(C283=0,E283=0),0,IF(C283=0,"New",(E283-C283)/C283))</f>
        <v>0.263157894736842</v>
      </c>
      <c r="H283" s="9" t="n">
        <f aca="false">SUMIFS('Source 2025'!$F:$F,'Source 2025'!$B:$B,$A283,'Source 2025'!$A:$A,"Amount (NIS)")+SUMIFS('Source 2025'!$H:$H,'Source 2025'!$B:$B,$A283,'Source 2025'!$A:$A,"Amount (NIS)")+SUMIFS('Source 2025'!$M:$M,'Source 2025'!$B:$B,$A283,'Source 2025'!$A:$A,"Amount (NIS)")+SUMIFS('Source 2025'!$N:$N,'Source 2025'!$B:$B,$A283,'Source 2025'!$A:$A,"Amount (NIS)")+SUMIFS('Source 2025'!$S:$S,'Source 2025'!$B:$B,$A283,'Source 2025'!$A:$A,"Amount (NIS)")+SUMIFS('Source 2025'!$U:$U,'Source 2025'!$B:$B,$A283,'Source 2025'!$A:$A,"Amount (NIS)")+SUMIFS('Source 2025'!$D:$D,'Source 2025'!$B:$B,$A283,'Source 2025'!$A:$A,"Amount (NIS)")+SUMIFS('Source 2025'!$E:$E,'Source 2025'!$B:$B,$A283,'Source 2025'!$A:$A,"Amount (NIS)")+SUMIFS('Source 2025'!$G:$G,'Source 2025'!$B:$B,$A283,'Source 2025'!$A:$A,"Amount (NIS)")</f>
        <v>379.7</v>
      </c>
      <c r="I283" s="9" t="n">
        <f aca="false">SUMIFS('Source 2026'!$F:$F,'Source 2026'!$B:$B,$A283,'Source 2026'!$A:$A,"Amount (NIS)")+SUMIFS('Source 2026'!$H:$H,'Source 2026'!$B:$B,$A283,'Source 2026'!$A:$A,"Amount (NIS)")+SUMIFS('Source 2026'!$M:$M,'Source 2026'!$B:$B,$A283,'Source 2026'!$A:$A,"Amount (NIS)")+SUMIFS('Source 2026'!$N:$N,'Source 2026'!$B:$B,$A283,'Source 2026'!$A:$A,"Amount (NIS)")+SUMIFS('Source 2026'!$S:$S,'Source 2026'!$B:$B,$A283,'Source 2026'!$A:$A,"Amount (NIS)")+SUMIFS('Source 2026'!$U:$U,'Source 2026'!$B:$B,$A283,'Source 2026'!$A:$A,"Amount (NIS)")+SUMIFS('Source 2026'!$D:$D,'Source 2026'!$B:$B,$A283,'Source 2026'!$A:$A,"Amount (NIS)")+SUMIFS('Source 2026'!$E:$E,'Source 2026'!$B:$B,$A283,'Source 2026'!$A:$A,"Amount (NIS)")+SUMIFS('Source 2026'!$G:$G,'Source 2026'!$B:$B,$A283,'Source 2026'!$A:$A,"Amount (NIS)")</f>
        <v>406.8</v>
      </c>
      <c r="J283" s="9" t="n">
        <f aca="false">I283*$J$5</f>
        <v>513.852631578947</v>
      </c>
      <c r="K283" s="9" t="n">
        <f aca="false">J283-H283</f>
        <v>134.152631578947</v>
      </c>
      <c r="L283" s="11" t="n">
        <f aca="false">IF(AND(H283=0,J283=0),0,IF(H283=0,"New",(J283-H283)/H283))</f>
        <v>0.353312171659066</v>
      </c>
    </row>
    <row r="284" customFormat="false" ht="15" hidden="false" customHeight="true" outlineLevel="0" collapsed="false">
      <c r="A284" s="8" t="s">
        <v>353</v>
      </c>
      <c r="B284" s="8" t="str">
        <f aca="false">IFERROR(INDEX('Source 2026'!$C:$C,MATCH($A284,'Source 2026'!$B:$B,0)),IFERROR(INDEX('Source 2025'!$C:$C,MATCH($A284,'Source 2025'!$B:$B,0)),""))</f>
        <v>חגורת גב אפורה</v>
      </c>
      <c r="C284" s="9" t="n">
        <f aca="false">SUMIFS('Source 2025'!$F:$F,'Source 2025'!$B:$B,$A284,'Source 2025'!$A:$A,"Quantity (units)")+SUMIFS('Source 2025'!$H:$H,'Source 2025'!$B:$B,$A284,'Source 2025'!$A:$A,"Quantity (units)")+SUMIFS('Source 2025'!$M:$M,'Source 2025'!$B:$B,$A284,'Source 2025'!$A:$A,"Quantity (units)")+SUMIFS('Source 2025'!$N:$N,'Source 2025'!$B:$B,$A284,'Source 2025'!$A:$A,"Quantity (units)")+SUMIFS('Source 2025'!$S:$S,'Source 2025'!$B:$B,$A284,'Source 2025'!$A:$A,"Quantity (units)")+SUMIFS('Source 2025'!$U:$U,'Source 2025'!$B:$B,$A284,'Source 2025'!$A:$A,"Quantity (units)")+SUMIFS('Source 2025'!$D:$D,'Source 2025'!$B:$B,$A284,'Source 2025'!$A:$A,"Quantity (units)")+SUMIFS('Source 2025'!$E:$E,'Source 2025'!$B:$B,$A284,'Source 2025'!$A:$A,"Quantity (units)")+SUMIFS('Source 2025'!$G:$G,'Source 2025'!$B:$B,$A284,'Source 2025'!$A:$A,"Quantity (units)")</f>
        <v>5</v>
      </c>
      <c r="D284" s="9" t="n">
        <f aca="false">SUMIFS('Source 2026'!$F:$F,'Source 2026'!$B:$B,$A284,'Source 2026'!$A:$A,"Quantity (units)")+SUMIFS('Source 2026'!$H:$H,'Source 2026'!$B:$B,$A284,'Source 2026'!$A:$A,"Quantity (units)")+SUMIFS('Source 2026'!$M:$M,'Source 2026'!$B:$B,$A284,'Source 2026'!$A:$A,"Quantity (units)")+SUMIFS('Source 2026'!$N:$N,'Source 2026'!$B:$B,$A284,'Source 2026'!$A:$A,"Quantity (units)")+SUMIFS('Source 2026'!$S:$S,'Source 2026'!$B:$B,$A284,'Source 2026'!$A:$A,"Quantity (units)")+SUMIFS('Source 2026'!$U:$U,'Source 2026'!$B:$B,$A284,'Source 2026'!$A:$A,"Quantity (units)")+SUMIFS('Source 2026'!$D:$D,'Source 2026'!$B:$B,$A284,'Source 2026'!$A:$A,"Quantity (units)")+SUMIFS('Source 2026'!$E:$E,'Source 2026'!$B:$B,$A284,'Source 2026'!$A:$A,"Quantity (units)")+SUMIFS('Source 2026'!$G:$G,'Source 2026'!$B:$B,$A284,'Source 2026'!$A:$A,"Quantity (units)")</f>
        <v>5</v>
      </c>
      <c r="E284" s="9" t="n">
        <f aca="false">D284*$J$5</f>
        <v>6.31578947368421</v>
      </c>
      <c r="F284" s="9" t="n">
        <f aca="false">E284-C284</f>
        <v>1.31578947368421</v>
      </c>
      <c r="G284" s="11" t="n">
        <f aca="false">IF(AND(C284=0,E284=0),0,IF(C284=0,"New",(E284-C284)/C284))</f>
        <v>0.263157894736842</v>
      </c>
      <c r="H284" s="9" t="n">
        <f aca="false">SUMIFS('Source 2025'!$F:$F,'Source 2025'!$B:$B,$A284,'Source 2025'!$A:$A,"Amount (NIS)")+SUMIFS('Source 2025'!$H:$H,'Source 2025'!$B:$B,$A284,'Source 2025'!$A:$A,"Amount (NIS)")+SUMIFS('Source 2025'!$M:$M,'Source 2025'!$B:$B,$A284,'Source 2025'!$A:$A,"Amount (NIS)")+SUMIFS('Source 2025'!$N:$N,'Source 2025'!$B:$B,$A284,'Source 2025'!$A:$A,"Amount (NIS)")+SUMIFS('Source 2025'!$S:$S,'Source 2025'!$B:$B,$A284,'Source 2025'!$A:$A,"Amount (NIS)")+SUMIFS('Source 2025'!$U:$U,'Source 2025'!$B:$B,$A284,'Source 2025'!$A:$A,"Amount (NIS)")+SUMIFS('Source 2025'!$D:$D,'Source 2025'!$B:$B,$A284,'Source 2025'!$A:$A,"Amount (NIS)")+SUMIFS('Source 2025'!$E:$E,'Source 2025'!$B:$B,$A284,'Source 2025'!$A:$A,"Amount (NIS)")+SUMIFS('Source 2025'!$G:$G,'Source 2025'!$B:$B,$A284,'Source 2025'!$A:$A,"Amount (NIS)")</f>
        <v>577.8</v>
      </c>
      <c r="I284" s="9" t="n">
        <f aca="false">SUMIFS('Source 2026'!$F:$F,'Source 2026'!$B:$B,$A284,'Source 2026'!$A:$A,"Amount (NIS)")+SUMIFS('Source 2026'!$H:$H,'Source 2026'!$B:$B,$A284,'Source 2026'!$A:$A,"Amount (NIS)")+SUMIFS('Source 2026'!$M:$M,'Source 2026'!$B:$B,$A284,'Source 2026'!$A:$A,"Amount (NIS)")+SUMIFS('Source 2026'!$N:$N,'Source 2026'!$B:$B,$A284,'Source 2026'!$A:$A,"Amount (NIS)")+SUMIFS('Source 2026'!$S:$S,'Source 2026'!$B:$B,$A284,'Source 2026'!$A:$A,"Amount (NIS)")+SUMIFS('Source 2026'!$U:$U,'Source 2026'!$B:$B,$A284,'Source 2026'!$A:$A,"Amount (NIS)")+SUMIFS('Source 2026'!$D:$D,'Source 2026'!$B:$B,$A284,'Source 2026'!$A:$A,"Amount (NIS)")+SUMIFS('Source 2026'!$E:$E,'Source 2026'!$B:$B,$A284,'Source 2026'!$A:$A,"Amount (NIS)")+SUMIFS('Source 2026'!$G:$G,'Source 2026'!$B:$B,$A284,'Source 2026'!$A:$A,"Amount (NIS)")</f>
        <v>554.4</v>
      </c>
      <c r="J284" s="9" t="n">
        <f aca="false">I284*$J$5</f>
        <v>700.294736842105</v>
      </c>
      <c r="K284" s="9" t="n">
        <f aca="false">J284-H284</f>
        <v>122.494736842105</v>
      </c>
      <c r="L284" s="11" t="n">
        <f aca="false">IF(AND(H284=0,J284=0),0,IF(H284=0,"New",(J284-H284)/H284))</f>
        <v>0.212001967535662</v>
      </c>
    </row>
    <row r="285" customFormat="false" ht="15" hidden="false" customHeight="true" outlineLevel="0" collapsed="false">
      <c r="A285" s="8" t="s">
        <v>354</v>
      </c>
      <c r="B285" s="8" t="str">
        <f aca="false">IFERROR(INDEX('Source 2026'!$C:$C,MATCH($A285,'Source 2026'!$B:$B,0)),IFERROR(INDEX('Source 2025'!$C:$C,MATCH($A285,'Source 2025'!$B:$B,0)),""))</f>
        <v>טייפ חבישה לספורט</v>
      </c>
      <c r="C285" s="9" t="n">
        <f aca="false">SUMIFS('Source 2025'!$F:$F,'Source 2025'!$B:$B,$A285,'Source 2025'!$A:$A,"Quantity (units)")+SUMIFS('Source 2025'!$H:$H,'Source 2025'!$B:$B,$A285,'Source 2025'!$A:$A,"Quantity (units)")+SUMIFS('Source 2025'!$M:$M,'Source 2025'!$B:$B,$A285,'Source 2025'!$A:$A,"Quantity (units)")+SUMIFS('Source 2025'!$N:$N,'Source 2025'!$B:$B,$A285,'Source 2025'!$A:$A,"Quantity (units)")+SUMIFS('Source 2025'!$S:$S,'Source 2025'!$B:$B,$A285,'Source 2025'!$A:$A,"Quantity (units)")+SUMIFS('Source 2025'!$U:$U,'Source 2025'!$B:$B,$A285,'Source 2025'!$A:$A,"Quantity (units)")+SUMIFS('Source 2025'!$D:$D,'Source 2025'!$B:$B,$A285,'Source 2025'!$A:$A,"Quantity (units)")+SUMIFS('Source 2025'!$E:$E,'Source 2025'!$B:$B,$A285,'Source 2025'!$A:$A,"Quantity (units)")+SUMIFS('Source 2025'!$G:$G,'Source 2025'!$B:$B,$A285,'Source 2025'!$A:$A,"Quantity (units)")</f>
        <v>10</v>
      </c>
      <c r="D285" s="9" t="n">
        <f aca="false">SUMIFS('Source 2026'!$F:$F,'Source 2026'!$B:$B,$A285,'Source 2026'!$A:$A,"Quantity (units)")+SUMIFS('Source 2026'!$H:$H,'Source 2026'!$B:$B,$A285,'Source 2026'!$A:$A,"Quantity (units)")+SUMIFS('Source 2026'!$M:$M,'Source 2026'!$B:$B,$A285,'Source 2026'!$A:$A,"Quantity (units)")+SUMIFS('Source 2026'!$N:$N,'Source 2026'!$B:$B,$A285,'Source 2026'!$A:$A,"Quantity (units)")+SUMIFS('Source 2026'!$S:$S,'Source 2026'!$B:$B,$A285,'Source 2026'!$A:$A,"Quantity (units)")+SUMIFS('Source 2026'!$U:$U,'Source 2026'!$B:$B,$A285,'Source 2026'!$A:$A,"Quantity (units)")+SUMIFS('Source 2026'!$D:$D,'Source 2026'!$B:$B,$A285,'Source 2026'!$A:$A,"Quantity (units)")+SUMIFS('Source 2026'!$E:$E,'Source 2026'!$B:$B,$A285,'Source 2026'!$A:$A,"Quantity (units)")+SUMIFS('Source 2026'!$G:$G,'Source 2026'!$B:$B,$A285,'Source 2026'!$A:$A,"Quantity (units)")</f>
        <v>8</v>
      </c>
      <c r="E285" s="9" t="n">
        <f aca="false">D285*$J$5</f>
        <v>10.1052631578947</v>
      </c>
      <c r="F285" s="9" t="n">
        <f aca="false">E285-C285</f>
        <v>0.105263157894736</v>
      </c>
      <c r="G285" s="11" t="n">
        <f aca="false">IF(AND(C285=0,E285=0),0,IF(C285=0,"New",(E285-C285)/C285))</f>
        <v>0.0105263157894736</v>
      </c>
      <c r="H285" s="9" t="n">
        <f aca="false">SUMIFS('Source 2025'!$F:$F,'Source 2025'!$B:$B,$A285,'Source 2025'!$A:$A,"Amount (NIS)")+SUMIFS('Source 2025'!$H:$H,'Source 2025'!$B:$B,$A285,'Source 2025'!$A:$A,"Amount (NIS)")+SUMIFS('Source 2025'!$M:$M,'Source 2025'!$B:$B,$A285,'Source 2025'!$A:$A,"Amount (NIS)")+SUMIFS('Source 2025'!$N:$N,'Source 2025'!$B:$B,$A285,'Source 2025'!$A:$A,"Amount (NIS)")+SUMIFS('Source 2025'!$S:$S,'Source 2025'!$B:$B,$A285,'Source 2025'!$A:$A,"Amount (NIS)")+SUMIFS('Source 2025'!$U:$U,'Source 2025'!$B:$B,$A285,'Source 2025'!$A:$A,"Amount (NIS)")+SUMIFS('Source 2025'!$D:$D,'Source 2025'!$B:$B,$A285,'Source 2025'!$A:$A,"Amount (NIS)")+SUMIFS('Source 2025'!$E:$E,'Source 2025'!$B:$B,$A285,'Source 2025'!$A:$A,"Amount (NIS)")+SUMIFS('Source 2025'!$G:$G,'Source 2025'!$B:$B,$A285,'Source 2025'!$A:$A,"Amount (NIS)")</f>
        <v>159.1</v>
      </c>
      <c r="I285" s="9" t="n">
        <f aca="false">SUMIFS('Source 2026'!$F:$F,'Source 2026'!$B:$B,$A285,'Source 2026'!$A:$A,"Amount (NIS)")+SUMIFS('Source 2026'!$H:$H,'Source 2026'!$B:$B,$A285,'Source 2026'!$A:$A,"Amount (NIS)")+SUMIFS('Source 2026'!$M:$M,'Source 2026'!$B:$B,$A285,'Source 2026'!$A:$A,"Amount (NIS)")+SUMIFS('Source 2026'!$N:$N,'Source 2026'!$B:$B,$A285,'Source 2026'!$A:$A,"Amount (NIS)")+SUMIFS('Source 2026'!$S:$S,'Source 2026'!$B:$B,$A285,'Source 2026'!$A:$A,"Amount (NIS)")+SUMIFS('Source 2026'!$U:$U,'Source 2026'!$B:$B,$A285,'Source 2026'!$A:$A,"Amount (NIS)")+SUMIFS('Source 2026'!$D:$D,'Source 2026'!$B:$B,$A285,'Source 2026'!$A:$A,"Amount (NIS)")+SUMIFS('Source 2026'!$E:$E,'Source 2026'!$B:$B,$A285,'Source 2026'!$A:$A,"Amount (NIS)")+SUMIFS('Source 2026'!$G:$G,'Source 2026'!$B:$B,$A285,'Source 2026'!$A:$A,"Amount (NIS)")</f>
        <v>136.1</v>
      </c>
      <c r="J285" s="9" t="n">
        <f aca="false">I285*$J$5</f>
        <v>171.915789473684</v>
      </c>
      <c r="K285" s="9" t="n">
        <f aca="false">J285-H285</f>
        <v>12.8157894736842</v>
      </c>
      <c r="L285" s="11" t="n">
        <f aca="false">IF(AND(H285=0,J285=0),0,IF(H285=0,"New",(J285-H285)/H285))</f>
        <v>0.0805517880181282</v>
      </c>
    </row>
    <row r="286" customFormat="false" ht="15" hidden="false" customHeight="true" outlineLevel="0" collapsed="false">
      <c r="A286" s="8" t="s">
        <v>355</v>
      </c>
      <c r="B286" s="8" t="str">
        <f aca="false">IFERROR(INDEX('Source 2026'!$C:$C,MATCH($A286,'Source 2026'!$B:$B,0)),IFERROR(INDEX('Source 2025'!$C:$C,MATCH($A286,'Source 2025'!$B:$B,0)),""))</f>
        <v>טייפ כחול 20מ""מ</v>
      </c>
      <c r="C286" s="9" t="n">
        <f aca="false">SUMIFS('Source 2025'!$F:$F,'Source 2025'!$B:$B,$A286,'Source 2025'!$A:$A,"Quantity (units)")+SUMIFS('Source 2025'!$H:$H,'Source 2025'!$B:$B,$A286,'Source 2025'!$A:$A,"Quantity (units)")+SUMIFS('Source 2025'!$M:$M,'Source 2025'!$B:$B,$A286,'Source 2025'!$A:$A,"Quantity (units)")+SUMIFS('Source 2025'!$N:$N,'Source 2025'!$B:$B,$A286,'Source 2025'!$A:$A,"Quantity (units)")+SUMIFS('Source 2025'!$S:$S,'Source 2025'!$B:$B,$A286,'Source 2025'!$A:$A,"Quantity (units)")+SUMIFS('Source 2025'!$U:$U,'Source 2025'!$B:$B,$A286,'Source 2025'!$A:$A,"Quantity (units)")+SUMIFS('Source 2025'!$D:$D,'Source 2025'!$B:$B,$A286,'Source 2025'!$A:$A,"Quantity (units)")+SUMIFS('Source 2025'!$E:$E,'Source 2025'!$B:$B,$A286,'Source 2025'!$A:$A,"Quantity (units)")+SUMIFS('Source 2025'!$G:$G,'Source 2025'!$B:$B,$A286,'Source 2025'!$A:$A,"Quantity (units)")</f>
        <v>19</v>
      </c>
      <c r="D286" s="9" t="n">
        <f aca="false">SUMIFS('Source 2026'!$F:$F,'Source 2026'!$B:$B,$A286,'Source 2026'!$A:$A,"Quantity (units)")+SUMIFS('Source 2026'!$H:$H,'Source 2026'!$B:$B,$A286,'Source 2026'!$A:$A,"Quantity (units)")+SUMIFS('Source 2026'!$M:$M,'Source 2026'!$B:$B,$A286,'Source 2026'!$A:$A,"Quantity (units)")+SUMIFS('Source 2026'!$N:$N,'Source 2026'!$B:$B,$A286,'Source 2026'!$A:$A,"Quantity (units)")+SUMIFS('Source 2026'!$S:$S,'Source 2026'!$B:$B,$A286,'Source 2026'!$A:$A,"Quantity (units)")+SUMIFS('Source 2026'!$U:$U,'Source 2026'!$B:$B,$A286,'Source 2026'!$A:$A,"Quantity (units)")+SUMIFS('Source 2026'!$D:$D,'Source 2026'!$B:$B,$A286,'Source 2026'!$A:$A,"Quantity (units)")+SUMIFS('Source 2026'!$E:$E,'Source 2026'!$B:$B,$A286,'Source 2026'!$A:$A,"Quantity (units)")+SUMIFS('Source 2026'!$G:$G,'Source 2026'!$B:$B,$A286,'Source 2026'!$A:$A,"Quantity (units)")</f>
        <v>19</v>
      </c>
      <c r="E286" s="9" t="n">
        <f aca="false">D286*$J$5</f>
        <v>24</v>
      </c>
      <c r="F286" s="9" t="n">
        <f aca="false">E286-C286</f>
        <v>5</v>
      </c>
      <c r="G286" s="11" t="n">
        <f aca="false">IF(AND(C286=0,E286=0),0,IF(C286=0,"New",(E286-C286)/C286))</f>
        <v>0.263157894736842</v>
      </c>
      <c r="H286" s="9" t="n">
        <f aca="false">SUMIFS('Source 2025'!$F:$F,'Source 2025'!$B:$B,$A286,'Source 2025'!$A:$A,"Amount (NIS)")+SUMIFS('Source 2025'!$H:$H,'Source 2025'!$B:$B,$A286,'Source 2025'!$A:$A,"Amount (NIS)")+SUMIFS('Source 2025'!$M:$M,'Source 2025'!$B:$B,$A286,'Source 2025'!$A:$A,"Amount (NIS)")+SUMIFS('Source 2025'!$N:$N,'Source 2025'!$B:$B,$A286,'Source 2025'!$A:$A,"Amount (NIS)")+SUMIFS('Source 2025'!$S:$S,'Source 2025'!$B:$B,$A286,'Source 2025'!$A:$A,"Amount (NIS)")+SUMIFS('Source 2025'!$U:$U,'Source 2025'!$B:$B,$A286,'Source 2025'!$A:$A,"Amount (NIS)")+SUMIFS('Source 2025'!$D:$D,'Source 2025'!$B:$B,$A286,'Source 2025'!$A:$A,"Amount (NIS)")+SUMIFS('Source 2025'!$E:$E,'Source 2025'!$B:$B,$A286,'Source 2025'!$A:$A,"Amount (NIS)")+SUMIFS('Source 2025'!$G:$G,'Source 2025'!$B:$B,$A286,'Source 2025'!$A:$A,"Amount (NIS)")</f>
        <v>301.4</v>
      </c>
      <c r="I286" s="9" t="n">
        <f aca="false">SUMIFS('Source 2026'!$F:$F,'Source 2026'!$B:$B,$A286,'Source 2026'!$A:$A,"Amount (NIS)")+SUMIFS('Source 2026'!$H:$H,'Source 2026'!$B:$B,$A286,'Source 2026'!$A:$A,"Amount (NIS)")+SUMIFS('Source 2026'!$M:$M,'Source 2026'!$B:$B,$A286,'Source 2026'!$A:$A,"Amount (NIS)")+SUMIFS('Source 2026'!$N:$N,'Source 2026'!$B:$B,$A286,'Source 2026'!$A:$A,"Amount (NIS)")+SUMIFS('Source 2026'!$S:$S,'Source 2026'!$B:$B,$A286,'Source 2026'!$A:$A,"Amount (NIS)")+SUMIFS('Source 2026'!$U:$U,'Source 2026'!$B:$B,$A286,'Source 2026'!$A:$A,"Amount (NIS)")+SUMIFS('Source 2026'!$D:$D,'Source 2026'!$B:$B,$A286,'Source 2026'!$A:$A,"Amount (NIS)")+SUMIFS('Source 2026'!$E:$E,'Source 2026'!$B:$B,$A286,'Source 2026'!$A:$A,"Amount (NIS)")+SUMIFS('Source 2026'!$G:$G,'Source 2026'!$B:$B,$A286,'Source 2026'!$A:$A,"Amount (NIS)")</f>
        <v>319.4</v>
      </c>
      <c r="J286" s="9" t="n">
        <f aca="false">I286*$J$5</f>
        <v>403.452631578947</v>
      </c>
      <c r="K286" s="9" t="n">
        <f aca="false">J286-H286</f>
        <v>102.052631578947</v>
      </c>
      <c r="L286" s="11" t="n">
        <f aca="false">IF(AND(H286=0,J286=0),0,IF(H286=0,"New",(J286-H286)/H286))</f>
        <v>0.338595327070164</v>
      </c>
    </row>
    <row r="287" customFormat="false" ht="15" hidden="false" customHeight="true" outlineLevel="0" collapsed="false">
      <c r="A287" s="8" t="s">
        <v>356</v>
      </c>
      <c r="B287" s="8" t="str">
        <f aca="false">IFERROR(INDEX('Source 2026'!$C:$C,MATCH($A287,'Source 2026'!$B:$B,0)),IFERROR(INDEX('Source 2025'!$C:$C,MATCH($A287,'Source 2025'!$B:$B,0)),""))</f>
        <v>טייפ חבישה לספורט</v>
      </c>
      <c r="C287" s="9" t="n">
        <f aca="false">SUMIFS('Source 2025'!$F:$F,'Source 2025'!$B:$B,$A287,'Source 2025'!$A:$A,"Quantity (units)")+SUMIFS('Source 2025'!$H:$H,'Source 2025'!$B:$B,$A287,'Source 2025'!$A:$A,"Quantity (units)")+SUMIFS('Source 2025'!$M:$M,'Source 2025'!$B:$B,$A287,'Source 2025'!$A:$A,"Quantity (units)")+SUMIFS('Source 2025'!$N:$N,'Source 2025'!$B:$B,$A287,'Source 2025'!$A:$A,"Quantity (units)")+SUMIFS('Source 2025'!$S:$S,'Source 2025'!$B:$B,$A287,'Source 2025'!$A:$A,"Quantity (units)")+SUMIFS('Source 2025'!$U:$U,'Source 2025'!$B:$B,$A287,'Source 2025'!$A:$A,"Quantity (units)")+SUMIFS('Source 2025'!$D:$D,'Source 2025'!$B:$B,$A287,'Source 2025'!$A:$A,"Quantity (units)")+SUMIFS('Source 2025'!$E:$E,'Source 2025'!$B:$B,$A287,'Source 2025'!$A:$A,"Quantity (units)")+SUMIFS('Source 2025'!$G:$G,'Source 2025'!$B:$B,$A287,'Source 2025'!$A:$A,"Quantity (units)")</f>
        <v>41</v>
      </c>
      <c r="D287" s="9" t="n">
        <f aca="false">SUMIFS('Source 2026'!$F:$F,'Source 2026'!$B:$B,$A287,'Source 2026'!$A:$A,"Quantity (units)")+SUMIFS('Source 2026'!$H:$H,'Source 2026'!$B:$B,$A287,'Source 2026'!$A:$A,"Quantity (units)")+SUMIFS('Source 2026'!$M:$M,'Source 2026'!$B:$B,$A287,'Source 2026'!$A:$A,"Quantity (units)")+SUMIFS('Source 2026'!$N:$N,'Source 2026'!$B:$B,$A287,'Source 2026'!$A:$A,"Quantity (units)")+SUMIFS('Source 2026'!$S:$S,'Source 2026'!$B:$B,$A287,'Source 2026'!$A:$A,"Quantity (units)")+SUMIFS('Source 2026'!$U:$U,'Source 2026'!$B:$B,$A287,'Source 2026'!$A:$A,"Quantity (units)")+SUMIFS('Source 2026'!$D:$D,'Source 2026'!$B:$B,$A287,'Source 2026'!$A:$A,"Quantity (units)")+SUMIFS('Source 2026'!$E:$E,'Source 2026'!$B:$B,$A287,'Source 2026'!$A:$A,"Quantity (units)")+SUMIFS('Source 2026'!$G:$G,'Source 2026'!$B:$B,$A287,'Source 2026'!$A:$A,"Quantity (units)")</f>
        <v>35</v>
      </c>
      <c r="E287" s="9" t="n">
        <f aca="false">D287*$J$5</f>
        <v>44.2105263157895</v>
      </c>
      <c r="F287" s="9" t="n">
        <f aca="false">E287-C287</f>
        <v>3.21052631578947</v>
      </c>
      <c r="G287" s="11" t="n">
        <f aca="false">IF(AND(C287=0,E287=0),0,IF(C287=0,"New",(E287-C287)/C287))</f>
        <v>0.0783055198973042</v>
      </c>
      <c r="H287" s="9" t="n">
        <f aca="false">SUMIFS('Source 2025'!$F:$F,'Source 2025'!$B:$B,$A287,'Source 2025'!$A:$A,"Amount (NIS)")+SUMIFS('Source 2025'!$H:$H,'Source 2025'!$B:$B,$A287,'Source 2025'!$A:$A,"Amount (NIS)")+SUMIFS('Source 2025'!$M:$M,'Source 2025'!$B:$B,$A287,'Source 2025'!$A:$A,"Amount (NIS)")+SUMIFS('Source 2025'!$N:$N,'Source 2025'!$B:$B,$A287,'Source 2025'!$A:$A,"Amount (NIS)")+SUMIFS('Source 2025'!$S:$S,'Source 2025'!$B:$B,$A287,'Source 2025'!$A:$A,"Amount (NIS)")+SUMIFS('Source 2025'!$U:$U,'Source 2025'!$B:$B,$A287,'Source 2025'!$A:$A,"Amount (NIS)")+SUMIFS('Source 2025'!$D:$D,'Source 2025'!$B:$B,$A287,'Source 2025'!$A:$A,"Amount (NIS)")+SUMIFS('Source 2025'!$E:$E,'Source 2025'!$B:$B,$A287,'Source 2025'!$A:$A,"Amount (NIS)")+SUMIFS('Source 2025'!$G:$G,'Source 2025'!$B:$B,$A287,'Source 2025'!$A:$A,"Amount (NIS)")</f>
        <v>613.6</v>
      </c>
      <c r="I287" s="9" t="n">
        <f aca="false">SUMIFS('Source 2026'!$F:$F,'Source 2026'!$B:$B,$A287,'Source 2026'!$A:$A,"Amount (NIS)")+SUMIFS('Source 2026'!$H:$H,'Source 2026'!$B:$B,$A287,'Source 2026'!$A:$A,"Amount (NIS)")+SUMIFS('Source 2026'!$M:$M,'Source 2026'!$B:$B,$A287,'Source 2026'!$A:$A,"Amount (NIS)")+SUMIFS('Source 2026'!$N:$N,'Source 2026'!$B:$B,$A287,'Source 2026'!$A:$A,"Amount (NIS)")+SUMIFS('Source 2026'!$S:$S,'Source 2026'!$B:$B,$A287,'Source 2026'!$A:$A,"Amount (NIS)")+SUMIFS('Source 2026'!$U:$U,'Source 2026'!$B:$B,$A287,'Source 2026'!$A:$A,"Amount (NIS)")+SUMIFS('Source 2026'!$D:$D,'Source 2026'!$B:$B,$A287,'Source 2026'!$A:$A,"Amount (NIS)")+SUMIFS('Source 2026'!$E:$E,'Source 2026'!$B:$B,$A287,'Source 2026'!$A:$A,"Amount (NIS)")+SUMIFS('Source 2026'!$G:$G,'Source 2026'!$B:$B,$A287,'Source 2026'!$A:$A,"Amount (NIS)")</f>
        <v>600.7</v>
      </c>
      <c r="J287" s="9" t="n">
        <f aca="false">I287*$J$5</f>
        <v>758.778947368421</v>
      </c>
      <c r="K287" s="9" t="n">
        <f aca="false">J287-H287</f>
        <v>145.178947368421</v>
      </c>
      <c r="L287" s="11" t="n">
        <f aca="false">IF(AND(H287=0,J287=0),0,IF(H287=0,"New",(J287-H287)/H287))</f>
        <v>0.236601935085432</v>
      </c>
    </row>
    <row r="288" customFormat="false" ht="15" hidden="false" customHeight="true" outlineLevel="0" collapsed="false">
      <c r="A288" s="8" t="s">
        <v>357</v>
      </c>
      <c r="B288" s="8" t="str">
        <f aca="false">IFERROR(INDEX('Source 2026'!$C:$C,MATCH($A288,'Source 2026'!$B:$B,0)),IFERROR(INDEX('Source 2025'!$C:$C,MATCH($A288,'Source 2025'!$B:$B,0)),""))</f>
        <v>מאבן להסר.עור</v>
      </c>
      <c r="C288" s="9" t="n">
        <f aca="false">SUMIFS('Source 2025'!$F:$F,'Source 2025'!$B:$B,$A288,'Source 2025'!$A:$A,"Quantity (units)")+SUMIFS('Source 2025'!$H:$H,'Source 2025'!$B:$B,$A288,'Source 2025'!$A:$A,"Quantity (units)")+SUMIFS('Source 2025'!$M:$M,'Source 2025'!$B:$B,$A288,'Source 2025'!$A:$A,"Quantity (units)")+SUMIFS('Source 2025'!$N:$N,'Source 2025'!$B:$B,$A288,'Source 2025'!$A:$A,"Quantity (units)")+SUMIFS('Source 2025'!$S:$S,'Source 2025'!$B:$B,$A288,'Source 2025'!$A:$A,"Quantity (units)")+SUMIFS('Source 2025'!$U:$U,'Source 2025'!$B:$B,$A288,'Source 2025'!$A:$A,"Quantity (units)")+SUMIFS('Source 2025'!$D:$D,'Source 2025'!$B:$B,$A288,'Source 2025'!$A:$A,"Quantity (units)")+SUMIFS('Source 2025'!$E:$E,'Source 2025'!$B:$B,$A288,'Source 2025'!$A:$A,"Quantity (units)")+SUMIFS('Source 2025'!$G:$G,'Source 2025'!$B:$B,$A288,'Source 2025'!$A:$A,"Quantity (units)")</f>
        <v>-1</v>
      </c>
      <c r="D288" s="9" t="n">
        <f aca="false">SUMIFS('Source 2026'!$F:$F,'Source 2026'!$B:$B,$A288,'Source 2026'!$A:$A,"Quantity (units)")+SUMIFS('Source 2026'!$H:$H,'Source 2026'!$B:$B,$A288,'Source 2026'!$A:$A,"Quantity (units)")+SUMIFS('Source 2026'!$M:$M,'Source 2026'!$B:$B,$A288,'Source 2026'!$A:$A,"Quantity (units)")+SUMIFS('Source 2026'!$N:$N,'Source 2026'!$B:$B,$A288,'Source 2026'!$A:$A,"Quantity (units)")+SUMIFS('Source 2026'!$S:$S,'Source 2026'!$B:$B,$A288,'Source 2026'!$A:$A,"Quantity (units)")+SUMIFS('Source 2026'!$U:$U,'Source 2026'!$B:$B,$A288,'Source 2026'!$A:$A,"Quantity (units)")+SUMIFS('Source 2026'!$D:$D,'Source 2026'!$B:$B,$A288,'Source 2026'!$A:$A,"Quantity (units)")+SUMIFS('Source 2026'!$E:$E,'Source 2026'!$B:$B,$A288,'Source 2026'!$A:$A,"Quantity (units)")+SUMIFS('Source 2026'!$G:$G,'Source 2026'!$B:$B,$A288,'Source 2026'!$A:$A,"Quantity (units)")</f>
        <v>0</v>
      </c>
      <c r="E288" s="9" t="n">
        <f aca="false">D288*$J$5</f>
        <v>0</v>
      </c>
      <c r="F288" s="9" t="n">
        <f aca="false">E288-C288</f>
        <v>1</v>
      </c>
      <c r="G288" s="11" t="n">
        <f aca="false">IF(AND(C288=0,E288=0),0,IF(C288=0,"New",(E288-C288)/C288))</f>
        <v>-1</v>
      </c>
      <c r="H288" s="9" t="n">
        <f aca="false">SUMIFS('Source 2025'!$F:$F,'Source 2025'!$B:$B,$A288,'Source 2025'!$A:$A,"Amount (NIS)")+SUMIFS('Source 2025'!$H:$H,'Source 2025'!$B:$B,$A288,'Source 2025'!$A:$A,"Amount (NIS)")+SUMIFS('Source 2025'!$M:$M,'Source 2025'!$B:$B,$A288,'Source 2025'!$A:$A,"Amount (NIS)")+SUMIFS('Source 2025'!$N:$N,'Source 2025'!$B:$B,$A288,'Source 2025'!$A:$A,"Amount (NIS)")+SUMIFS('Source 2025'!$S:$S,'Source 2025'!$B:$B,$A288,'Source 2025'!$A:$A,"Amount (NIS)")+SUMIFS('Source 2025'!$U:$U,'Source 2025'!$B:$B,$A288,'Source 2025'!$A:$A,"Amount (NIS)")+SUMIFS('Source 2025'!$D:$D,'Source 2025'!$B:$B,$A288,'Source 2025'!$A:$A,"Amount (NIS)")+SUMIFS('Source 2025'!$E:$E,'Source 2025'!$B:$B,$A288,'Source 2025'!$A:$A,"Amount (NIS)")+SUMIFS('Source 2025'!$G:$G,'Source 2025'!$B:$B,$A288,'Source 2025'!$A:$A,"Amount (NIS)")</f>
        <v>-9</v>
      </c>
      <c r="I288" s="9" t="n">
        <f aca="false">SUMIFS('Source 2026'!$F:$F,'Source 2026'!$B:$B,$A288,'Source 2026'!$A:$A,"Amount (NIS)")+SUMIFS('Source 2026'!$H:$H,'Source 2026'!$B:$B,$A288,'Source 2026'!$A:$A,"Amount (NIS)")+SUMIFS('Source 2026'!$M:$M,'Source 2026'!$B:$B,$A288,'Source 2026'!$A:$A,"Amount (NIS)")+SUMIFS('Source 2026'!$N:$N,'Source 2026'!$B:$B,$A288,'Source 2026'!$A:$A,"Amount (NIS)")+SUMIFS('Source 2026'!$S:$S,'Source 2026'!$B:$B,$A288,'Source 2026'!$A:$A,"Amount (NIS)")+SUMIFS('Source 2026'!$U:$U,'Source 2026'!$B:$B,$A288,'Source 2026'!$A:$A,"Amount (NIS)")+SUMIFS('Source 2026'!$D:$D,'Source 2026'!$B:$B,$A288,'Source 2026'!$A:$A,"Amount (NIS)")+SUMIFS('Source 2026'!$E:$E,'Source 2026'!$B:$B,$A288,'Source 2026'!$A:$A,"Amount (NIS)")+SUMIFS('Source 2026'!$G:$G,'Source 2026'!$B:$B,$A288,'Source 2026'!$A:$A,"Amount (NIS)")</f>
        <v>0</v>
      </c>
      <c r="J288" s="9" t="n">
        <f aca="false">I288*$J$5</f>
        <v>0</v>
      </c>
      <c r="K288" s="9" t="n">
        <f aca="false">J288-H288</f>
        <v>9</v>
      </c>
      <c r="L288" s="11" t="n">
        <f aca="false">IF(AND(H288=0,J288=0),0,IF(H288=0,"New",(J288-H288)/H288))</f>
        <v>-1</v>
      </c>
    </row>
    <row r="289" customFormat="false" ht="15" hidden="false" customHeight="true" outlineLevel="0" collapsed="false">
      <c r="A289" s="8" t="s">
        <v>358</v>
      </c>
      <c r="B289" s="8" t="str">
        <f aca="false">IFERROR(INDEX('Source 2026'!$C:$C,MATCH($A289,'Source 2026'!$B:$B,0)),IFERROR(INDEX('Source 2025'!$C:$C,MATCH($A289,'Source 2025'!$B:$B,0)),""))</f>
        <v>ריפוד סיליקון לעקב אחורי</v>
      </c>
      <c r="C289" s="9" t="n">
        <f aca="false">SUMIFS('Source 2025'!$F:$F,'Source 2025'!$B:$B,$A289,'Source 2025'!$A:$A,"Quantity (units)")+SUMIFS('Source 2025'!$H:$H,'Source 2025'!$B:$B,$A289,'Source 2025'!$A:$A,"Quantity (units)")+SUMIFS('Source 2025'!$M:$M,'Source 2025'!$B:$B,$A289,'Source 2025'!$A:$A,"Quantity (units)")+SUMIFS('Source 2025'!$N:$N,'Source 2025'!$B:$B,$A289,'Source 2025'!$A:$A,"Quantity (units)")+SUMIFS('Source 2025'!$S:$S,'Source 2025'!$B:$B,$A289,'Source 2025'!$A:$A,"Quantity (units)")+SUMIFS('Source 2025'!$U:$U,'Source 2025'!$B:$B,$A289,'Source 2025'!$A:$A,"Quantity (units)")+SUMIFS('Source 2025'!$D:$D,'Source 2025'!$B:$B,$A289,'Source 2025'!$A:$A,"Quantity (units)")+SUMIFS('Source 2025'!$E:$E,'Source 2025'!$B:$B,$A289,'Source 2025'!$A:$A,"Quantity (units)")+SUMIFS('Source 2025'!$G:$G,'Source 2025'!$B:$B,$A289,'Source 2025'!$A:$A,"Quantity (units)")</f>
        <v>81</v>
      </c>
      <c r="D289" s="9" t="n">
        <f aca="false">SUMIFS('Source 2026'!$F:$F,'Source 2026'!$B:$B,$A289,'Source 2026'!$A:$A,"Quantity (units)")+SUMIFS('Source 2026'!$H:$H,'Source 2026'!$B:$B,$A289,'Source 2026'!$A:$A,"Quantity (units)")+SUMIFS('Source 2026'!$M:$M,'Source 2026'!$B:$B,$A289,'Source 2026'!$A:$A,"Quantity (units)")+SUMIFS('Source 2026'!$N:$N,'Source 2026'!$B:$B,$A289,'Source 2026'!$A:$A,"Quantity (units)")+SUMIFS('Source 2026'!$S:$S,'Source 2026'!$B:$B,$A289,'Source 2026'!$A:$A,"Quantity (units)")+SUMIFS('Source 2026'!$U:$U,'Source 2026'!$B:$B,$A289,'Source 2026'!$A:$A,"Quantity (units)")+SUMIFS('Source 2026'!$D:$D,'Source 2026'!$B:$B,$A289,'Source 2026'!$A:$A,"Quantity (units)")+SUMIFS('Source 2026'!$E:$E,'Source 2026'!$B:$B,$A289,'Source 2026'!$A:$A,"Quantity (units)")+SUMIFS('Source 2026'!$G:$G,'Source 2026'!$B:$B,$A289,'Source 2026'!$A:$A,"Quantity (units)")</f>
        <v>78</v>
      </c>
      <c r="E289" s="9" t="n">
        <f aca="false">D289*$J$5</f>
        <v>98.5263157894737</v>
      </c>
      <c r="F289" s="9" t="n">
        <f aca="false">E289-C289</f>
        <v>17.5263157894737</v>
      </c>
      <c r="G289" s="11" t="n">
        <f aca="false">IF(AND(C289=0,E289=0),0,IF(C289=0,"New",(E289-C289)/C289))</f>
        <v>0.216374269005848</v>
      </c>
      <c r="H289" s="9" t="n">
        <f aca="false">SUMIFS('Source 2025'!$F:$F,'Source 2025'!$B:$B,$A289,'Source 2025'!$A:$A,"Amount (NIS)")+SUMIFS('Source 2025'!$H:$H,'Source 2025'!$B:$B,$A289,'Source 2025'!$A:$A,"Amount (NIS)")+SUMIFS('Source 2025'!$M:$M,'Source 2025'!$B:$B,$A289,'Source 2025'!$A:$A,"Amount (NIS)")+SUMIFS('Source 2025'!$N:$N,'Source 2025'!$B:$B,$A289,'Source 2025'!$A:$A,"Amount (NIS)")+SUMIFS('Source 2025'!$S:$S,'Source 2025'!$B:$B,$A289,'Source 2025'!$A:$A,"Amount (NIS)")+SUMIFS('Source 2025'!$U:$U,'Source 2025'!$B:$B,$A289,'Source 2025'!$A:$A,"Amount (NIS)")+SUMIFS('Source 2025'!$D:$D,'Source 2025'!$B:$B,$A289,'Source 2025'!$A:$A,"Amount (NIS)")+SUMIFS('Source 2025'!$E:$E,'Source 2025'!$B:$B,$A289,'Source 2025'!$A:$A,"Amount (NIS)")+SUMIFS('Source 2025'!$G:$G,'Source 2025'!$B:$B,$A289,'Source 2025'!$A:$A,"Amount (NIS)")</f>
        <v>1782.8</v>
      </c>
      <c r="I289" s="9" t="n">
        <f aca="false">SUMIFS('Source 2026'!$F:$F,'Source 2026'!$B:$B,$A289,'Source 2026'!$A:$A,"Amount (NIS)")+SUMIFS('Source 2026'!$H:$H,'Source 2026'!$B:$B,$A289,'Source 2026'!$A:$A,"Amount (NIS)")+SUMIFS('Source 2026'!$M:$M,'Source 2026'!$B:$B,$A289,'Source 2026'!$A:$A,"Amount (NIS)")+SUMIFS('Source 2026'!$N:$N,'Source 2026'!$B:$B,$A289,'Source 2026'!$A:$A,"Amount (NIS)")+SUMIFS('Source 2026'!$S:$S,'Source 2026'!$B:$B,$A289,'Source 2026'!$A:$A,"Amount (NIS)")+SUMIFS('Source 2026'!$U:$U,'Source 2026'!$B:$B,$A289,'Source 2026'!$A:$A,"Amount (NIS)")+SUMIFS('Source 2026'!$D:$D,'Source 2026'!$B:$B,$A289,'Source 2026'!$A:$A,"Amount (NIS)")+SUMIFS('Source 2026'!$E:$E,'Source 2026'!$B:$B,$A289,'Source 2026'!$A:$A,"Amount (NIS)")+SUMIFS('Source 2026'!$G:$G,'Source 2026'!$B:$B,$A289,'Source 2026'!$A:$A,"Amount (NIS)")</f>
        <v>1779.9</v>
      </c>
      <c r="J289" s="9" t="n">
        <f aca="false">I289*$J$5</f>
        <v>2248.29473684211</v>
      </c>
      <c r="K289" s="9" t="n">
        <f aca="false">J289-H289</f>
        <v>465.494736842105</v>
      </c>
      <c r="L289" s="11" t="n">
        <f aca="false">IF(AND(H289=0,J289=0),0,IF(H289=0,"New",(J289-H289)/H289))</f>
        <v>0.261103173009931</v>
      </c>
    </row>
    <row r="290" customFormat="false" ht="15" hidden="false" customHeight="true" outlineLevel="0" collapsed="false">
      <c r="A290" s="8" t="s">
        <v>359</v>
      </c>
      <c r="B290" s="8" t="str">
        <f aca="false">IFERROR(INDEX('Source 2026'!$C:$C,MATCH($A290,'Source 2026'!$B:$B,0)),IFERROR(INDEX('Source 2025'!$C:$C,MATCH($A290,'Source 2025'!$B:$B,0)),""))</f>
        <v>רפידת ספורט 376 מידה</v>
      </c>
      <c r="C290" s="9" t="n">
        <f aca="false">SUMIFS('Source 2025'!$F:$F,'Source 2025'!$B:$B,$A290,'Source 2025'!$A:$A,"Quantity (units)")+SUMIFS('Source 2025'!$H:$H,'Source 2025'!$B:$B,$A290,'Source 2025'!$A:$A,"Quantity (units)")+SUMIFS('Source 2025'!$M:$M,'Source 2025'!$B:$B,$A290,'Source 2025'!$A:$A,"Quantity (units)")+SUMIFS('Source 2025'!$N:$N,'Source 2025'!$B:$B,$A290,'Source 2025'!$A:$A,"Quantity (units)")+SUMIFS('Source 2025'!$S:$S,'Source 2025'!$B:$B,$A290,'Source 2025'!$A:$A,"Quantity (units)")+SUMIFS('Source 2025'!$U:$U,'Source 2025'!$B:$B,$A290,'Source 2025'!$A:$A,"Quantity (units)")+SUMIFS('Source 2025'!$D:$D,'Source 2025'!$B:$B,$A290,'Source 2025'!$A:$A,"Quantity (units)")+SUMIFS('Source 2025'!$E:$E,'Source 2025'!$B:$B,$A290,'Source 2025'!$A:$A,"Quantity (units)")+SUMIFS('Source 2025'!$G:$G,'Source 2025'!$B:$B,$A290,'Source 2025'!$A:$A,"Quantity (units)")</f>
        <v>1</v>
      </c>
      <c r="D290" s="9" t="n">
        <f aca="false">SUMIFS('Source 2026'!$F:$F,'Source 2026'!$B:$B,$A290,'Source 2026'!$A:$A,"Quantity (units)")+SUMIFS('Source 2026'!$H:$H,'Source 2026'!$B:$B,$A290,'Source 2026'!$A:$A,"Quantity (units)")+SUMIFS('Source 2026'!$M:$M,'Source 2026'!$B:$B,$A290,'Source 2026'!$A:$A,"Quantity (units)")+SUMIFS('Source 2026'!$N:$N,'Source 2026'!$B:$B,$A290,'Source 2026'!$A:$A,"Quantity (units)")+SUMIFS('Source 2026'!$S:$S,'Source 2026'!$B:$B,$A290,'Source 2026'!$A:$A,"Quantity (units)")+SUMIFS('Source 2026'!$U:$U,'Source 2026'!$B:$B,$A290,'Source 2026'!$A:$A,"Quantity (units)")+SUMIFS('Source 2026'!$D:$D,'Source 2026'!$B:$B,$A290,'Source 2026'!$A:$A,"Quantity (units)")+SUMIFS('Source 2026'!$E:$E,'Source 2026'!$B:$B,$A290,'Source 2026'!$A:$A,"Quantity (units)")+SUMIFS('Source 2026'!$G:$G,'Source 2026'!$B:$B,$A290,'Source 2026'!$A:$A,"Quantity (units)")</f>
        <v>1</v>
      </c>
      <c r="E290" s="9" t="n">
        <f aca="false">D290*$J$5</f>
        <v>1.26315789473684</v>
      </c>
      <c r="F290" s="9" t="n">
        <f aca="false">E290-C290</f>
        <v>0.263157894736842</v>
      </c>
      <c r="G290" s="11" t="n">
        <f aca="false">IF(AND(C290=0,E290=0),0,IF(C290=0,"New",(E290-C290)/C290))</f>
        <v>0.263157894736842</v>
      </c>
      <c r="H290" s="9" t="n">
        <f aca="false">SUMIFS('Source 2025'!$F:$F,'Source 2025'!$B:$B,$A290,'Source 2025'!$A:$A,"Amount (NIS)")+SUMIFS('Source 2025'!$H:$H,'Source 2025'!$B:$B,$A290,'Source 2025'!$A:$A,"Amount (NIS)")+SUMIFS('Source 2025'!$M:$M,'Source 2025'!$B:$B,$A290,'Source 2025'!$A:$A,"Amount (NIS)")+SUMIFS('Source 2025'!$N:$N,'Source 2025'!$B:$B,$A290,'Source 2025'!$A:$A,"Amount (NIS)")+SUMIFS('Source 2025'!$S:$S,'Source 2025'!$B:$B,$A290,'Source 2025'!$A:$A,"Amount (NIS)")+SUMIFS('Source 2025'!$U:$U,'Source 2025'!$B:$B,$A290,'Source 2025'!$A:$A,"Amount (NIS)")+SUMIFS('Source 2025'!$D:$D,'Source 2025'!$B:$B,$A290,'Source 2025'!$A:$A,"Amount (NIS)")+SUMIFS('Source 2025'!$E:$E,'Source 2025'!$B:$B,$A290,'Source 2025'!$A:$A,"Amount (NIS)")+SUMIFS('Source 2025'!$G:$G,'Source 2025'!$B:$B,$A290,'Source 2025'!$A:$A,"Amount (NIS)")</f>
        <v>33</v>
      </c>
      <c r="I290" s="9" t="n">
        <f aca="false">SUMIFS('Source 2026'!$F:$F,'Source 2026'!$B:$B,$A290,'Source 2026'!$A:$A,"Amount (NIS)")+SUMIFS('Source 2026'!$H:$H,'Source 2026'!$B:$B,$A290,'Source 2026'!$A:$A,"Amount (NIS)")+SUMIFS('Source 2026'!$M:$M,'Source 2026'!$B:$B,$A290,'Source 2026'!$A:$A,"Amount (NIS)")+SUMIFS('Source 2026'!$N:$N,'Source 2026'!$B:$B,$A290,'Source 2026'!$A:$A,"Amount (NIS)")+SUMIFS('Source 2026'!$S:$S,'Source 2026'!$B:$B,$A290,'Source 2026'!$A:$A,"Amount (NIS)")+SUMIFS('Source 2026'!$U:$U,'Source 2026'!$B:$B,$A290,'Source 2026'!$A:$A,"Amount (NIS)")+SUMIFS('Source 2026'!$D:$D,'Source 2026'!$B:$B,$A290,'Source 2026'!$A:$A,"Amount (NIS)")+SUMIFS('Source 2026'!$E:$E,'Source 2026'!$B:$B,$A290,'Source 2026'!$A:$A,"Amount (NIS)")+SUMIFS('Source 2026'!$G:$G,'Source 2026'!$B:$B,$A290,'Source 2026'!$A:$A,"Amount (NIS)")</f>
        <v>35.1</v>
      </c>
      <c r="J290" s="9" t="n">
        <f aca="false">I290*$J$5</f>
        <v>44.3368421052632</v>
      </c>
      <c r="K290" s="9" t="n">
        <f aca="false">J290-H290</f>
        <v>11.3368421052632</v>
      </c>
      <c r="L290" s="11" t="n">
        <f aca="false">IF(AND(H290=0,J290=0),0,IF(H290=0,"New",(J290-H290)/H290))</f>
        <v>0.343540669856459</v>
      </c>
    </row>
    <row r="291" customFormat="false" ht="15" hidden="false" customHeight="true" outlineLevel="0" collapsed="false">
      <c r="A291" s="8" t="s">
        <v>360</v>
      </c>
      <c r="B291" s="8" t="str">
        <f aca="false">IFERROR(INDEX('Source 2026'!$C:$C,MATCH($A291,'Source 2026'!$B:$B,0)),IFERROR(INDEX('Source 2025'!$C:$C,MATCH($A291,'Source 2025'!$B:$B,0)),""))</f>
        <v>M צוארון פלסטי מתכוון</v>
      </c>
      <c r="C291" s="9" t="n">
        <f aca="false">SUMIFS('Source 2025'!$F:$F,'Source 2025'!$B:$B,$A291,'Source 2025'!$A:$A,"Quantity (units)")+SUMIFS('Source 2025'!$H:$H,'Source 2025'!$B:$B,$A291,'Source 2025'!$A:$A,"Quantity (units)")+SUMIFS('Source 2025'!$M:$M,'Source 2025'!$B:$B,$A291,'Source 2025'!$A:$A,"Quantity (units)")+SUMIFS('Source 2025'!$N:$N,'Source 2025'!$B:$B,$A291,'Source 2025'!$A:$A,"Quantity (units)")+SUMIFS('Source 2025'!$S:$S,'Source 2025'!$B:$B,$A291,'Source 2025'!$A:$A,"Quantity (units)")+SUMIFS('Source 2025'!$U:$U,'Source 2025'!$B:$B,$A291,'Source 2025'!$A:$A,"Quantity (units)")+SUMIFS('Source 2025'!$D:$D,'Source 2025'!$B:$B,$A291,'Source 2025'!$A:$A,"Quantity (units)")+SUMIFS('Source 2025'!$E:$E,'Source 2025'!$B:$B,$A291,'Source 2025'!$A:$A,"Quantity (units)")+SUMIFS('Source 2025'!$G:$G,'Source 2025'!$B:$B,$A291,'Source 2025'!$A:$A,"Quantity (units)")</f>
        <v>1</v>
      </c>
      <c r="D291" s="9" t="n">
        <f aca="false">SUMIFS('Source 2026'!$F:$F,'Source 2026'!$B:$B,$A291,'Source 2026'!$A:$A,"Quantity (units)")+SUMIFS('Source 2026'!$H:$H,'Source 2026'!$B:$B,$A291,'Source 2026'!$A:$A,"Quantity (units)")+SUMIFS('Source 2026'!$M:$M,'Source 2026'!$B:$B,$A291,'Source 2026'!$A:$A,"Quantity (units)")+SUMIFS('Source 2026'!$N:$N,'Source 2026'!$B:$B,$A291,'Source 2026'!$A:$A,"Quantity (units)")+SUMIFS('Source 2026'!$S:$S,'Source 2026'!$B:$B,$A291,'Source 2026'!$A:$A,"Quantity (units)")+SUMIFS('Source 2026'!$U:$U,'Source 2026'!$B:$B,$A291,'Source 2026'!$A:$A,"Quantity (units)")+SUMIFS('Source 2026'!$D:$D,'Source 2026'!$B:$B,$A291,'Source 2026'!$A:$A,"Quantity (units)")+SUMIFS('Source 2026'!$E:$E,'Source 2026'!$B:$B,$A291,'Source 2026'!$A:$A,"Quantity (units)")+SUMIFS('Source 2026'!$G:$G,'Source 2026'!$B:$B,$A291,'Source 2026'!$A:$A,"Quantity (units)")</f>
        <v>1</v>
      </c>
      <c r="E291" s="9" t="n">
        <f aca="false">D291*$J$5</f>
        <v>1.26315789473684</v>
      </c>
      <c r="F291" s="9" t="n">
        <f aca="false">E291-C291</f>
        <v>0.263157894736842</v>
      </c>
      <c r="G291" s="11" t="n">
        <f aca="false">IF(AND(C291=0,E291=0),0,IF(C291=0,"New",(E291-C291)/C291))</f>
        <v>0.263157894736842</v>
      </c>
      <c r="H291" s="9" t="n">
        <f aca="false">SUMIFS('Source 2025'!$F:$F,'Source 2025'!$B:$B,$A291,'Source 2025'!$A:$A,"Amount (NIS)")+SUMIFS('Source 2025'!$H:$H,'Source 2025'!$B:$B,$A291,'Source 2025'!$A:$A,"Amount (NIS)")+SUMIFS('Source 2025'!$M:$M,'Source 2025'!$B:$B,$A291,'Source 2025'!$A:$A,"Amount (NIS)")+SUMIFS('Source 2025'!$N:$N,'Source 2025'!$B:$B,$A291,'Source 2025'!$A:$A,"Amount (NIS)")+SUMIFS('Source 2025'!$S:$S,'Source 2025'!$B:$B,$A291,'Source 2025'!$A:$A,"Amount (NIS)")+SUMIFS('Source 2025'!$U:$U,'Source 2025'!$B:$B,$A291,'Source 2025'!$A:$A,"Amount (NIS)")+SUMIFS('Source 2025'!$D:$D,'Source 2025'!$B:$B,$A291,'Source 2025'!$A:$A,"Amount (NIS)")+SUMIFS('Source 2025'!$E:$E,'Source 2025'!$B:$B,$A291,'Source 2025'!$A:$A,"Amount (NIS)")+SUMIFS('Source 2025'!$G:$G,'Source 2025'!$B:$B,$A291,'Source 2025'!$A:$A,"Amount (NIS)")</f>
        <v>66.5</v>
      </c>
      <c r="I291" s="9" t="n">
        <f aca="false">SUMIFS('Source 2026'!$F:$F,'Source 2026'!$B:$B,$A291,'Source 2026'!$A:$A,"Amount (NIS)")+SUMIFS('Source 2026'!$H:$H,'Source 2026'!$B:$B,$A291,'Source 2026'!$A:$A,"Amount (NIS)")+SUMIFS('Source 2026'!$M:$M,'Source 2026'!$B:$B,$A291,'Source 2026'!$A:$A,"Amount (NIS)")+SUMIFS('Source 2026'!$N:$N,'Source 2026'!$B:$B,$A291,'Source 2026'!$A:$A,"Amount (NIS)")+SUMIFS('Source 2026'!$S:$S,'Source 2026'!$B:$B,$A291,'Source 2026'!$A:$A,"Amount (NIS)")+SUMIFS('Source 2026'!$U:$U,'Source 2026'!$B:$B,$A291,'Source 2026'!$A:$A,"Amount (NIS)")+SUMIFS('Source 2026'!$D:$D,'Source 2026'!$B:$B,$A291,'Source 2026'!$A:$A,"Amount (NIS)")+SUMIFS('Source 2026'!$E:$E,'Source 2026'!$B:$B,$A291,'Source 2026'!$A:$A,"Amount (NIS)")+SUMIFS('Source 2026'!$G:$G,'Source 2026'!$B:$B,$A291,'Source 2026'!$A:$A,"Amount (NIS)")</f>
        <v>66.5</v>
      </c>
      <c r="J291" s="9" t="n">
        <f aca="false">I291*$J$5</f>
        <v>84</v>
      </c>
      <c r="K291" s="9" t="n">
        <f aca="false">J291-H291</f>
        <v>17.5</v>
      </c>
      <c r="L291" s="11" t="n">
        <f aca="false">IF(AND(H291=0,J291=0),0,IF(H291=0,"New",(J291-H291)/H291))</f>
        <v>0.263157894736842</v>
      </c>
    </row>
    <row r="293" customFormat="false" ht="15" hidden="false" customHeight="true" outlineLevel="0" collapsed="false">
      <c r="A293" s="21"/>
      <c r="B293" s="22" t="s">
        <v>361</v>
      </c>
      <c r="C293" s="23" t="n">
        <f aca="false">SUM(C9:C291)</f>
        <v>54177</v>
      </c>
      <c r="D293" s="23" t="n">
        <f aca="false">SUM(D9:D291)</f>
        <v>33487</v>
      </c>
      <c r="E293" s="23" t="n">
        <f aca="false">SUM(E9:E291)</f>
        <v>42299.3684210526</v>
      </c>
      <c r="F293" s="23" t="n">
        <f aca="false">SUM(F9:F291)</f>
        <v>-11877.6315789474</v>
      </c>
      <c r="G293" s="24" t="n">
        <f aca="false">IF(C293=0,"N/A",F293/C293)</f>
        <v>-0.219237528452062</v>
      </c>
      <c r="H293" s="23" t="n">
        <f aca="false">SUM(H9:H291)</f>
        <v>1967633.7</v>
      </c>
      <c r="I293" s="23" t="n">
        <f aca="false">SUM(I9:I291)</f>
        <v>1293807.8</v>
      </c>
      <c r="J293" s="23" t="n">
        <f aca="false">SUM(J9:J291)</f>
        <v>1634283.53684211</v>
      </c>
      <c r="K293" s="23" t="n">
        <f aca="false">SUM(K9:K291)</f>
        <v>-333350.163157895</v>
      </c>
      <c r="L293" s="24" t="n">
        <f aca="false">IF(H293=0,"N/A",K293/H293)</f>
        <v>-0.169416778721514</v>
      </c>
    </row>
  </sheetData>
  <mergeCells count="2">
    <mergeCell ref="A3:L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0"/>
    <col collapsed="false" customWidth="true" hidden="false" outlineLevel="0" max="3" min="3" style="1" width="13"/>
    <col collapsed="false" customWidth="true" hidden="false" outlineLevel="0" max="6" min="4" style="1" width="15"/>
    <col collapsed="false" customWidth="true" hidden="false" outlineLevel="0" max="7" min="7" style="1" width="16"/>
    <col collapsed="false" customWidth="true" hidden="false" outlineLevel="0" max="8" min="8" style="1" width="15"/>
    <col collapsed="false" customWidth="true" hidden="false" outlineLevel="0" max="9" min="9" style="1" width="17"/>
    <col collapsed="false" customWidth="true" hidden="false" outlineLevel="0" max="11" min="10" style="1" width="15"/>
    <col collapsed="false" customWidth="true" hidden="false" outlineLevel="0" max="12" min="12" style="1" width="16"/>
  </cols>
  <sheetData>
    <row r="1" customFormat="false" ht="15.75" hidden="false" customHeight="true" outlineLevel="0" collapsed="false">
      <c r="A1" s="2" t="s">
        <v>362</v>
      </c>
    </row>
    <row r="2" customFormat="false" ht="15" hidden="false" customHeight="true" outlineLevel="0" collapsed="false">
      <c r="A2" s="3" t="s">
        <v>1</v>
      </c>
      <c r="B2" s="4" t="n">
        <v>46284</v>
      </c>
    </row>
    <row r="3" customFormat="false" ht="90" hidden="false" customHeight="true" outlineLevel="0" collapsed="false">
      <c r="A3" s="5" t="s">
        <v>363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customFormat="false" ht="54.75" hidden="false" customHeight="true" outlineLevel="0" collapsed="false">
      <c r="A4" s="5" t="s">
        <v>59</v>
      </c>
      <c r="B4" s="5"/>
      <c r="C4" s="5"/>
      <c r="D4" s="5"/>
      <c r="E4" s="5"/>
      <c r="F4" s="5"/>
      <c r="G4" s="5"/>
      <c r="H4" s="5"/>
      <c r="I4" s="14" t="s">
        <v>60</v>
      </c>
      <c r="J4" s="15" t="n">
        <v>12</v>
      </c>
      <c r="K4" s="16" t="s">
        <v>61</v>
      </c>
      <c r="L4" s="15" t="n">
        <v>9.5</v>
      </c>
    </row>
    <row r="5" customFormat="false" ht="30" hidden="false" customHeight="true" outlineLevel="0" collapsed="false">
      <c r="A5" s="17" t="s">
        <v>62</v>
      </c>
      <c r="B5" s="18" t="n">
        <f aca="false">SUMPRODUCT(--((($C$9:$C$171&lt;&gt;0)+($H$9:$H$171&lt;&gt;0)&gt;0)*(($D$9:$D$171=0)*($I$9:$I$171=0))))</f>
        <v>18</v>
      </c>
      <c r="C5" s="17" t="s">
        <v>63</v>
      </c>
      <c r="D5" s="18" t="n">
        <f aca="false">SUMPRODUCT(--((($D$9:$D$171&lt;&gt;0)+($I$9:$I$171&lt;&gt;0)&gt;0)*(($C$9:$C$171=0)*($H$9:$H$171=0))))</f>
        <v>8</v>
      </c>
      <c r="I5" s="17" t="s">
        <v>64</v>
      </c>
      <c r="J5" s="19" t="n">
        <f aca="false">J4/L4</f>
        <v>1.26315789473684</v>
      </c>
    </row>
    <row r="6" customFormat="false" ht="30" hidden="false" customHeight="true" outlineLevel="0" collapsed="false">
      <c r="A6" s="17" t="s">
        <v>65</v>
      </c>
      <c r="B6" s="18" t="n">
        <f aca="false">SUMPRODUCT(--((($C$9:$C$171&lt;&gt;0)+($H$9:$H$171&lt;&gt;0)&gt;0)*(($D$9:$D$171=0)*($I$9:$I$171=0)))*$C$9:$C$171)</f>
        <v>43</v>
      </c>
      <c r="C6" s="17" t="s">
        <v>66</v>
      </c>
      <c r="D6" s="18" t="n">
        <f aca="false">SUMPRODUCT(--((($C$9:$C$171&lt;&gt;0)+($H$9:$H$171&lt;&gt;0)&gt;0)*(($D$9:$D$171=0)*($I$9:$I$171=0)))*$H$9:$H$171)</f>
        <v>2818.5</v>
      </c>
      <c r="E6" s="17" t="s">
        <v>67</v>
      </c>
      <c r="F6" s="18" t="n">
        <f aca="false">SUMPRODUCT(--((($D$9:$D$171&lt;&gt;0)+($I$9:$I$171&lt;&gt;0)&gt;0)*(($C$9:$C$171=0)*($H$9:$H$171=0)))*$D$9:$D$171)</f>
        <v>8</v>
      </c>
      <c r="G6" s="17" t="s">
        <v>68</v>
      </c>
      <c r="H6" s="18" t="n">
        <f aca="false">SUMPRODUCT(--((($D$9:$D$171&lt;&gt;0)+($I$9:$I$171&lt;&gt;0)&gt;0)*(($C$9:$C$171=0)*($H$9:$H$171=0)))*$I$9:$I$171)</f>
        <v>918.4</v>
      </c>
    </row>
    <row r="8" customFormat="false" ht="43.5" hidden="false" customHeight="true" outlineLevel="0" collapsed="false">
      <c r="A8" s="6" t="s">
        <v>69</v>
      </c>
      <c r="B8" s="6" t="s">
        <v>70</v>
      </c>
      <c r="C8" s="6" t="s">
        <v>15</v>
      </c>
      <c r="D8" s="20" t="s">
        <v>71</v>
      </c>
      <c r="E8" s="6" t="s">
        <v>72</v>
      </c>
      <c r="F8" s="6" t="s">
        <v>73</v>
      </c>
      <c r="G8" s="6" t="s">
        <v>74</v>
      </c>
      <c r="H8" s="6" t="s">
        <v>19</v>
      </c>
      <c r="I8" s="20" t="s">
        <v>75</v>
      </c>
      <c r="J8" s="6" t="s">
        <v>21</v>
      </c>
      <c r="K8" s="6" t="s">
        <v>76</v>
      </c>
      <c r="L8" s="6" t="s">
        <v>77</v>
      </c>
    </row>
    <row r="9" customFormat="false" ht="15" hidden="false" customHeight="true" outlineLevel="0" collapsed="false">
      <c r="A9" s="8" t="s">
        <v>79</v>
      </c>
      <c r="B9" s="8" t="str">
        <f aca="false">IFERROR(INDEX('Source 2026'!$C:$C,MATCH($A9,'Source 2026'!$B:$B,0)),IFERROR(INDEX('Source 2025'!$C:$C,MATCH($A9,'Source 2025'!$B:$B,0)),""))</f>
        <v>35-38 גרבי טיסה מידה</v>
      </c>
      <c r="C9" s="9" t="n">
        <f aca="false">SUMIFS('Source 2025'!$K:$K,'Source 2025'!$B:$B,$A9,'Source 2025'!$A:$A,"Quantity (units)")+SUMIFS('Source 2025'!$O:$O,'Source 2025'!$B:$B,$A9,'Source 2025'!$A:$A,"Quantity (units)")+SUMIFS('Source 2025'!$R:$R,'Source 2025'!$B:$B,$A9,'Source 2025'!$A:$A,"Quantity (units)")+SUMIFS('Source 2025'!$P:$P,'Source 2025'!$B:$B,$A9,'Source 2025'!$A:$A,"Quantity (units)")+SUMIFS('Source 2025'!$J:$J,'Source 2025'!$B:$B,$A9,'Source 2025'!$A:$A,"Quantity (units)")+SUMIFS('Source 2025'!$L:$L,'Source 2025'!$B:$B,$A9,'Source 2025'!$A:$A,"Quantity (units)")</f>
        <v>537</v>
      </c>
      <c r="D9" s="9" t="n">
        <f aca="false">SUMIFS('Source 2026'!$K:$K,'Source 2026'!$B:$B,$A9,'Source 2026'!$A:$A,"Quantity (units)")+SUMIFS('Source 2026'!$O:$O,'Source 2026'!$B:$B,$A9,'Source 2026'!$A:$A,"Quantity (units)")+SUMIFS('Source 2026'!$R:$R,'Source 2026'!$B:$B,$A9,'Source 2026'!$A:$A,"Quantity (units)")+SUMIFS('Source 2026'!$P:$P,'Source 2026'!$B:$B,$A9,'Source 2026'!$A:$A,"Quantity (units)")+SUMIFS('Source 2026'!$J:$J,'Source 2026'!$B:$B,$A9,'Source 2026'!$A:$A,"Quantity (units)")+SUMIFS('Source 2026'!$L:$L,'Source 2026'!$B:$B,$A9,'Source 2026'!$A:$A,"Quantity (units)")</f>
        <v>1</v>
      </c>
      <c r="E9" s="9" t="n">
        <f aca="false">D9*$J$5</f>
        <v>1.26315789473684</v>
      </c>
      <c r="F9" s="9" t="n">
        <f aca="false">E9-C9</f>
        <v>-535.736842105263</v>
      </c>
      <c r="G9" s="11" t="n">
        <f aca="false">IF(AND(C9=0,E9=0),0,IF(C9=0,"New",(E9-C9)/C9))</f>
        <v>-0.99764775066157</v>
      </c>
      <c r="H9" s="9" t="n">
        <f aca="false">SUMIFS('Source 2025'!$K:$K,'Source 2025'!$B:$B,$A9,'Source 2025'!$A:$A,"Amount (NIS)")+SUMIFS('Source 2025'!$O:$O,'Source 2025'!$B:$B,$A9,'Source 2025'!$A:$A,"Amount (NIS)")+SUMIFS('Source 2025'!$R:$R,'Source 2025'!$B:$B,$A9,'Source 2025'!$A:$A,"Amount (NIS)")+SUMIFS('Source 2025'!$P:$P,'Source 2025'!$B:$B,$A9,'Source 2025'!$A:$A,"Amount (NIS)")+SUMIFS('Source 2025'!$J:$J,'Source 2025'!$B:$B,$A9,'Source 2025'!$A:$A,"Amount (NIS)")+SUMIFS('Source 2025'!$L:$L,'Source 2025'!$B:$B,$A9,'Source 2025'!$A:$A,"Amount (NIS)")</f>
        <v>30531.1</v>
      </c>
      <c r="I9" s="9" t="n">
        <f aca="false">SUMIFS('Source 2026'!$K:$K,'Source 2026'!$B:$B,$A9,'Source 2026'!$A:$A,"Amount (NIS)")+SUMIFS('Source 2026'!$O:$O,'Source 2026'!$B:$B,$A9,'Source 2026'!$A:$A,"Amount (NIS)")+SUMIFS('Source 2026'!$R:$R,'Source 2026'!$B:$B,$A9,'Source 2026'!$A:$A,"Amount (NIS)")+SUMIFS('Source 2026'!$P:$P,'Source 2026'!$B:$B,$A9,'Source 2026'!$A:$A,"Amount (NIS)")+SUMIFS('Source 2026'!$J:$J,'Source 2026'!$B:$B,$A9,'Source 2026'!$A:$A,"Amount (NIS)")+SUMIFS('Source 2026'!$L:$L,'Source 2026'!$B:$B,$A9,'Source 2026'!$A:$A,"Amount (NIS)")</f>
        <v>56.7</v>
      </c>
      <c r="J9" s="9" t="n">
        <f aca="false">I9*$J$5</f>
        <v>71.621052631579</v>
      </c>
      <c r="K9" s="9" t="n">
        <f aca="false">J9-H9</f>
        <v>-30459.4789473684</v>
      </c>
      <c r="L9" s="11" t="n">
        <f aca="false">IF(AND(H9=0,J9=0),0,IF(H9=0,"New",(J9-H9)/H9))</f>
        <v>-0.997654160753082</v>
      </c>
    </row>
    <row r="10" customFormat="false" ht="15" hidden="false" customHeight="true" outlineLevel="0" collapsed="false">
      <c r="A10" s="8" t="s">
        <v>91</v>
      </c>
      <c r="B10" s="8" t="str">
        <f aca="false">IFERROR(INDEX('Source 2026'!$C:$C,MATCH($A10,'Source 2026'!$B:$B,0)),IFERROR(INDEX('Source 2025'!$C:$C,MATCH($A10,'Source 2025'!$B:$B,0)),""))</f>
        <v>L (מתלה ליד )כיס</v>
      </c>
      <c r="C10" s="9" t="n">
        <f aca="false">SUMIFS('Source 2025'!$K:$K,'Source 2025'!$B:$B,$A10,'Source 2025'!$A:$A,"Quantity (units)")+SUMIFS('Source 2025'!$O:$O,'Source 2025'!$B:$B,$A10,'Source 2025'!$A:$A,"Quantity (units)")+SUMIFS('Source 2025'!$R:$R,'Source 2025'!$B:$B,$A10,'Source 2025'!$A:$A,"Quantity (units)")+SUMIFS('Source 2025'!$P:$P,'Source 2025'!$B:$B,$A10,'Source 2025'!$A:$A,"Quantity (units)")+SUMIFS('Source 2025'!$J:$J,'Source 2025'!$B:$B,$A10,'Source 2025'!$A:$A,"Quantity (units)")+SUMIFS('Source 2025'!$L:$L,'Source 2025'!$B:$B,$A10,'Source 2025'!$A:$A,"Quantity (units)")</f>
        <v>789</v>
      </c>
      <c r="D10" s="9" t="n">
        <f aca="false">SUMIFS('Source 2026'!$K:$K,'Source 2026'!$B:$B,$A10,'Source 2026'!$A:$A,"Quantity (units)")+SUMIFS('Source 2026'!$O:$O,'Source 2026'!$B:$B,$A10,'Source 2026'!$A:$A,"Quantity (units)")+SUMIFS('Source 2026'!$R:$R,'Source 2026'!$B:$B,$A10,'Source 2026'!$A:$A,"Quantity (units)")+SUMIFS('Source 2026'!$P:$P,'Source 2026'!$B:$B,$A10,'Source 2026'!$A:$A,"Quantity (units)")+SUMIFS('Source 2026'!$J:$J,'Source 2026'!$B:$B,$A10,'Source 2026'!$A:$A,"Quantity (units)")+SUMIFS('Source 2026'!$L:$L,'Source 2026'!$B:$B,$A10,'Source 2026'!$A:$A,"Quantity (units)")</f>
        <v>512</v>
      </c>
      <c r="E10" s="9" t="n">
        <f aca="false">D10*$J$5</f>
        <v>646.736842105263</v>
      </c>
      <c r="F10" s="9" t="n">
        <f aca="false">E10-C10</f>
        <v>-142.263157894737</v>
      </c>
      <c r="G10" s="11" t="n">
        <f aca="false">IF(AND(C10=0,E10=0),0,IF(C10=0,"New",(E10-C10)/C10))</f>
        <v>-0.180308184910947</v>
      </c>
      <c r="H10" s="9" t="n">
        <f aca="false">SUMIFS('Source 2025'!$K:$K,'Source 2025'!$B:$B,$A10,'Source 2025'!$A:$A,"Amount (NIS)")+SUMIFS('Source 2025'!$O:$O,'Source 2025'!$B:$B,$A10,'Source 2025'!$A:$A,"Amount (NIS)")+SUMIFS('Source 2025'!$R:$R,'Source 2025'!$B:$B,$A10,'Source 2025'!$A:$A,"Amount (NIS)")+SUMIFS('Source 2025'!$P:$P,'Source 2025'!$B:$B,$A10,'Source 2025'!$A:$A,"Amount (NIS)")+SUMIFS('Source 2025'!$J:$J,'Source 2025'!$B:$B,$A10,'Source 2025'!$A:$A,"Amount (NIS)")+SUMIFS('Source 2025'!$L:$L,'Source 2025'!$B:$B,$A10,'Source 2025'!$A:$A,"Amount (NIS)")</f>
        <v>41409.2</v>
      </c>
      <c r="I10" s="9" t="n">
        <f aca="false">SUMIFS('Source 2026'!$K:$K,'Source 2026'!$B:$B,$A10,'Source 2026'!$A:$A,"Amount (NIS)")+SUMIFS('Source 2026'!$O:$O,'Source 2026'!$B:$B,$A10,'Source 2026'!$A:$A,"Amount (NIS)")+SUMIFS('Source 2026'!$R:$R,'Source 2026'!$B:$B,$A10,'Source 2026'!$A:$A,"Amount (NIS)")+SUMIFS('Source 2026'!$P:$P,'Source 2026'!$B:$B,$A10,'Source 2026'!$A:$A,"Amount (NIS)")+SUMIFS('Source 2026'!$J:$J,'Source 2026'!$B:$B,$A10,'Source 2026'!$A:$A,"Amount (NIS)")+SUMIFS('Source 2026'!$L:$L,'Source 2026'!$B:$B,$A10,'Source 2026'!$A:$A,"Amount (NIS)")</f>
        <v>26909.4</v>
      </c>
      <c r="J10" s="9" t="n">
        <f aca="false">I10*$J$5</f>
        <v>33990.8210526316</v>
      </c>
      <c r="K10" s="9" t="n">
        <f aca="false">J10-H10</f>
        <v>-7418.37894736842</v>
      </c>
      <c r="L10" s="11" t="n">
        <f aca="false">IF(AND(H10=0,J10=0),0,IF(H10=0,"New",(J10-H10)/H10))</f>
        <v>-0.179148086593521</v>
      </c>
    </row>
    <row r="11" customFormat="false" ht="15" hidden="false" customHeight="true" outlineLevel="0" collapsed="false">
      <c r="A11" s="8" t="s">
        <v>93</v>
      </c>
      <c r="B11" s="8" t="str">
        <f aca="false">IFERROR(INDEX('Source 2026'!$C:$C,MATCH($A11,'Source 2026'!$B:$B,0)),IFERROR(INDEX('Source 2025'!$C:$C,MATCH($A11,'Source 2025'!$B:$B,0)),""))</f>
        <v>M מגן קרסול עקב סגור</v>
      </c>
      <c r="C11" s="9" t="n">
        <f aca="false">SUMIFS('Source 2025'!$K:$K,'Source 2025'!$B:$B,$A11,'Source 2025'!$A:$A,"Quantity (units)")+SUMIFS('Source 2025'!$O:$O,'Source 2025'!$B:$B,$A11,'Source 2025'!$A:$A,"Quantity (units)")+SUMIFS('Source 2025'!$R:$R,'Source 2025'!$B:$B,$A11,'Source 2025'!$A:$A,"Quantity (units)")+SUMIFS('Source 2025'!$P:$P,'Source 2025'!$B:$B,$A11,'Source 2025'!$A:$A,"Quantity (units)")+SUMIFS('Source 2025'!$J:$J,'Source 2025'!$B:$B,$A11,'Source 2025'!$A:$A,"Quantity (units)")+SUMIFS('Source 2025'!$L:$L,'Source 2025'!$B:$B,$A11,'Source 2025'!$A:$A,"Quantity (units)")</f>
        <v>689</v>
      </c>
      <c r="D11" s="9" t="n">
        <f aca="false">SUMIFS('Source 2026'!$K:$K,'Source 2026'!$B:$B,$A11,'Source 2026'!$A:$A,"Quantity (units)")+SUMIFS('Source 2026'!$O:$O,'Source 2026'!$B:$B,$A11,'Source 2026'!$A:$A,"Quantity (units)")+SUMIFS('Source 2026'!$R:$R,'Source 2026'!$B:$B,$A11,'Source 2026'!$A:$A,"Quantity (units)")+SUMIFS('Source 2026'!$P:$P,'Source 2026'!$B:$B,$A11,'Source 2026'!$A:$A,"Quantity (units)")+SUMIFS('Source 2026'!$J:$J,'Source 2026'!$B:$B,$A11,'Source 2026'!$A:$A,"Quantity (units)")+SUMIFS('Source 2026'!$L:$L,'Source 2026'!$B:$B,$A11,'Source 2026'!$A:$A,"Quantity (units)")</f>
        <v>403</v>
      </c>
      <c r="E11" s="9" t="n">
        <f aca="false">D11*$J$5</f>
        <v>509.052631578947</v>
      </c>
      <c r="F11" s="9" t="n">
        <f aca="false">E11-C11</f>
        <v>-179.947368421053</v>
      </c>
      <c r="G11" s="11" t="n">
        <f aca="false">IF(AND(C11=0,E11=0),0,IF(C11=0,"New",(E11-C11)/C11))</f>
        <v>-0.261171797418074</v>
      </c>
      <c r="H11" s="9" t="n">
        <f aca="false">SUMIFS('Source 2025'!$K:$K,'Source 2025'!$B:$B,$A11,'Source 2025'!$A:$A,"Amount (NIS)")+SUMIFS('Source 2025'!$O:$O,'Source 2025'!$B:$B,$A11,'Source 2025'!$A:$A,"Amount (NIS)")+SUMIFS('Source 2025'!$R:$R,'Source 2025'!$B:$B,$A11,'Source 2025'!$A:$A,"Amount (NIS)")+SUMIFS('Source 2025'!$P:$P,'Source 2025'!$B:$B,$A11,'Source 2025'!$A:$A,"Amount (NIS)")+SUMIFS('Source 2025'!$J:$J,'Source 2025'!$B:$B,$A11,'Source 2025'!$A:$A,"Amount (NIS)")+SUMIFS('Source 2025'!$L:$L,'Source 2025'!$B:$B,$A11,'Source 2025'!$A:$A,"Amount (NIS)")</f>
        <v>27916.1</v>
      </c>
      <c r="I11" s="9" t="n">
        <f aca="false">SUMIFS('Source 2026'!$K:$K,'Source 2026'!$B:$B,$A11,'Source 2026'!$A:$A,"Amount (NIS)")+SUMIFS('Source 2026'!$O:$O,'Source 2026'!$B:$B,$A11,'Source 2026'!$A:$A,"Amount (NIS)")+SUMIFS('Source 2026'!$R:$R,'Source 2026'!$B:$B,$A11,'Source 2026'!$A:$A,"Amount (NIS)")+SUMIFS('Source 2026'!$P:$P,'Source 2026'!$B:$B,$A11,'Source 2026'!$A:$A,"Amount (NIS)")+SUMIFS('Source 2026'!$J:$J,'Source 2026'!$B:$B,$A11,'Source 2026'!$A:$A,"Amount (NIS)")+SUMIFS('Source 2026'!$L:$L,'Source 2026'!$B:$B,$A11,'Source 2026'!$A:$A,"Amount (NIS)")</f>
        <v>16353.2</v>
      </c>
      <c r="J11" s="9" t="n">
        <f aca="false">I11*$J$5</f>
        <v>20656.6736842105</v>
      </c>
      <c r="K11" s="9" t="n">
        <f aca="false">J11-H11</f>
        <v>-7259.42631578947</v>
      </c>
      <c r="L11" s="11" t="n">
        <f aca="false">IF(AND(H11=0,J11=0),0,IF(H11=0,"New",(J11-H11)/H11))</f>
        <v>-0.260044430124175</v>
      </c>
    </row>
    <row r="12" customFormat="false" ht="15" hidden="false" customHeight="true" outlineLevel="0" collapsed="false">
      <c r="A12" s="8" t="s">
        <v>106</v>
      </c>
      <c r="B12" s="8" t="str">
        <f aca="false">IFERROR(INDEX('Source 2026'!$C:$C,MATCH($A12,'Source 2026'!$B:$B,0)),IFERROR(INDEX('Source 2025'!$C:$C,MATCH($A12,'Source 2025'!$B:$B,0)),""))</f>
        <v>טלק מעושר באלוורה</v>
      </c>
      <c r="C12" s="9" t="n">
        <f aca="false">SUMIFS('Source 2025'!$K:$K,'Source 2025'!$B:$B,$A12,'Source 2025'!$A:$A,"Quantity (units)")+SUMIFS('Source 2025'!$O:$O,'Source 2025'!$B:$B,$A12,'Source 2025'!$A:$A,"Quantity (units)")+SUMIFS('Source 2025'!$R:$R,'Source 2025'!$B:$B,$A12,'Source 2025'!$A:$A,"Quantity (units)")+SUMIFS('Source 2025'!$P:$P,'Source 2025'!$B:$B,$A12,'Source 2025'!$A:$A,"Quantity (units)")+SUMIFS('Source 2025'!$J:$J,'Source 2025'!$B:$B,$A12,'Source 2025'!$A:$A,"Quantity (units)")+SUMIFS('Source 2025'!$L:$L,'Source 2025'!$B:$B,$A12,'Source 2025'!$A:$A,"Quantity (units)")</f>
        <v>1341</v>
      </c>
      <c r="D12" s="9" t="n">
        <f aca="false">SUMIFS('Source 2026'!$K:$K,'Source 2026'!$B:$B,$A12,'Source 2026'!$A:$A,"Quantity (units)")+SUMIFS('Source 2026'!$O:$O,'Source 2026'!$B:$B,$A12,'Source 2026'!$A:$A,"Quantity (units)")+SUMIFS('Source 2026'!$R:$R,'Source 2026'!$B:$B,$A12,'Source 2026'!$A:$A,"Quantity (units)")+SUMIFS('Source 2026'!$P:$P,'Source 2026'!$B:$B,$A12,'Source 2026'!$A:$A,"Quantity (units)")+SUMIFS('Source 2026'!$J:$J,'Source 2026'!$B:$B,$A12,'Source 2026'!$A:$A,"Quantity (units)")+SUMIFS('Source 2026'!$L:$L,'Source 2026'!$B:$B,$A12,'Source 2026'!$A:$A,"Quantity (units)")</f>
        <v>735</v>
      </c>
      <c r="E12" s="9" t="n">
        <f aca="false">D12*$J$5</f>
        <v>928.421052631579</v>
      </c>
      <c r="F12" s="9" t="n">
        <f aca="false">E12-C12</f>
        <v>-412.578947368421</v>
      </c>
      <c r="G12" s="11" t="n">
        <f aca="false">IF(AND(C12=0,E12=0),0,IF(C12=0,"New",(E12-C12)/C12))</f>
        <v>-0.307665135994348</v>
      </c>
      <c r="H12" s="9" t="n">
        <f aca="false">SUMIFS('Source 2025'!$K:$K,'Source 2025'!$B:$B,$A12,'Source 2025'!$A:$A,"Amount (NIS)")+SUMIFS('Source 2025'!$O:$O,'Source 2025'!$B:$B,$A12,'Source 2025'!$A:$A,"Amount (NIS)")+SUMIFS('Source 2025'!$R:$R,'Source 2025'!$B:$B,$A12,'Source 2025'!$A:$A,"Amount (NIS)")+SUMIFS('Source 2025'!$P:$P,'Source 2025'!$B:$B,$A12,'Source 2025'!$A:$A,"Amount (NIS)")+SUMIFS('Source 2025'!$J:$J,'Source 2025'!$B:$B,$A12,'Source 2025'!$A:$A,"Amount (NIS)")+SUMIFS('Source 2025'!$L:$L,'Source 2025'!$B:$B,$A12,'Source 2025'!$A:$A,"Amount (NIS)")</f>
        <v>23461.9</v>
      </c>
      <c r="I12" s="9" t="n">
        <f aca="false">SUMIFS('Source 2026'!$K:$K,'Source 2026'!$B:$B,$A12,'Source 2026'!$A:$A,"Amount (NIS)")+SUMIFS('Source 2026'!$O:$O,'Source 2026'!$B:$B,$A12,'Source 2026'!$A:$A,"Amount (NIS)")+SUMIFS('Source 2026'!$R:$R,'Source 2026'!$B:$B,$A12,'Source 2026'!$A:$A,"Amount (NIS)")+SUMIFS('Source 2026'!$P:$P,'Source 2026'!$B:$B,$A12,'Source 2026'!$A:$A,"Amount (NIS)")+SUMIFS('Source 2026'!$J:$J,'Source 2026'!$B:$B,$A12,'Source 2026'!$A:$A,"Amount (NIS)")+SUMIFS('Source 2026'!$L:$L,'Source 2026'!$B:$B,$A12,'Source 2026'!$A:$A,"Amount (NIS)")</f>
        <v>12652.2</v>
      </c>
      <c r="J12" s="9" t="n">
        <f aca="false">I12*$J$5</f>
        <v>15981.7263157895</v>
      </c>
      <c r="K12" s="9" t="n">
        <f aca="false">J12-H12</f>
        <v>-7480.17368421052</v>
      </c>
      <c r="L12" s="11" t="n">
        <f aca="false">IF(AND(H12=0,J12=0),0,IF(H12=0,"New",(J12-H12)/H12))</f>
        <v>-0.318822162067459</v>
      </c>
    </row>
    <row r="13" customFormat="false" ht="15" hidden="false" customHeight="true" outlineLevel="0" collapsed="false">
      <c r="A13" s="8" t="s">
        <v>87</v>
      </c>
      <c r="B13" s="8" t="str">
        <f aca="false">IFERROR(INDEX('Source 2026'!$C:$C,MATCH($A13,'Source 2026'!$B:$B,0)),IFERROR(INDEX('Source 2025'!$C:$C,MATCH($A13,'Source 2025'!$B:$B,0)),""))</f>
        <v>S מגן ברך חום</v>
      </c>
      <c r="C13" s="9" t="n">
        <f aca="false">SUMIFS('Source 2025'!$K:$K,'Source 2025'!$B:$B,$A13,'Source 2025'!$A:$A,"Quantity (units)")+SUMIFS('Source 2025'!$O:$O,'Source 2025'!$B:$B,$A13,'Source 2025'!$A:$A,"Quantity (units)")+SUMIFS('Source 2025'!$R:$R,'Source 2025'!$B:$B,$A13,'Source 2025'!$A:$A,"Quantity (units)")+SUMIFS('Source 2025'!$P:$P,'Source 2025'!$B:$B,$A13,'Source 2025'!$A:$A,"Quantity (units)")+SUMIFS('Source 2025'!$J:$J,'Source 2025'!$B:$B,$A13,'Source 2025'!$A:$A,"Quantity (units)")+SUMIFS('Source 2025'!$L:$L,'Source 2025'!$B:$B,$A13,'Source 2025'!$A:$A,"Quantity (units)")</f>
        <v>1033</v>
      </c>
      <c r="D13" s="9" t="n">
        <f aca="false">SUMIFS('Source 2026'!$K:$K,'Source 2026'!$B:$B,$A13,'Source 2026'!$A:$A,"Quantity (units)")+SUMIFS('Source 2026'!$O:$O,'Source 2026'!$B:$B,$A13,'Source 2026'!$A:$A,"Quantity (units)")+SUMIFS('Source 2026'!$R:$R,'Source 2026'!$B:$B,$A13,'Source 2026'!$A:$A,"Quantity (units)")+SUMIFS('Source 2026'!$P:$P,'Source 2026'!$B:$B,$A13,'Source 2026'!$A:$A,"Quantity (units)")+SUMIFS('Source 2026'!$J:$J,'Source 2026'!$B:$B,$A13,'Source 2026'!$A:$A,"Quantity (units)")+SUMIFS('Source 2026'!$L:$L,'Source 2026'!$B:$B,$A13,'Source 2026'!$A:$A,"Quantity (units)")</f>
        <v>675</v>
      </c>
      <c r="E13" s="9" t="n">
        <f aca="false">D13*$J$5</f>
        <v>852.631578947368</v>
      </c>
      <c r="F13" s="9" t="n">
        <f aca="false">E13-C13</f>
        <v>-180.368421052632</v>
      </c>
      <c r="G13" s="11" t="n">
        <f aca="false">IF(AND(C13=0,E13=0),0,IF(C13=0,"New",(E13-C13)/C13))</f>
        <v>-0.174606409537882</v>
      </c>
      <c r="H13" s="9" t="n">
        <f aca="false">SUMIFS('Source 2025'!$K:$K,'Source 2025'!$B:$B,$A13,'Source 2025'!$A:$A,"Amount (NIS)")+SUMIFS('Source 2025'!$O:$O,'Source 2025'!$B:$B,$A13,'Source 2025'!$A:$A,"Amount (NIS)")+SUMIFS('Source 2025'!$R:$R,'Source 2025'!$B:$B,$A13,'Source 2025'!$A:$A,"Amount (NIS)")+SUMIFS('Source 2025'!$P:$P,'Source 2025'!$B:$B,$A13,'Source 2025'!$A:$A,"Amount (NIS)")+SUMIFS('Source 2025'!$J:$J,'Source 2025'!$B:$B,$A13,'Source 2025'!$A:$A,"Amount (NIS)")+SUMIFS('Source 2025'!$L:$L,'Source 2025'!$B:$B,$A13,'Source 2025'!$A:$A,"Amount (NIS)")</f>
        <v>28739.4</v>
      </c>
      <c r="I13" s="9" t="n">
        <f aca="false">SUMIFS('Source 2026'!$K:$K,'Source 2026'!$B:$B,$A13,'Source 2026'!$A:$A,"Amount (NIS)")+SUMIFS('Source 2026'!$O:$O,'Source 2026'!$B:$B,$A13,'Source 2026'!$A:$A,"Amount (NIS)")+SUMIFS('Source 2026'!$R:$R,'Source 2026'!$B:$B,$A13,'Source 2026'!$A:$A,"Amount (NIS)")+SUMIFS('Source 2026'!$P:$P,'Source 2026'!$B:$B,$A13,'Source 2026'!$A:$A,"Amount (NIS)")+SUMIFS('Source 2026'!$J:$J,'Source 2026'!$B:$B,$A13,'Source 2026'!$A:$A,"Amount (NIS)")+SUMIFS('Source 2026'!$L:$L,'Source 2026'!$B:$B,$A13,'Source 2026'!$A:$A,"Amount (NIS)")</f>
        <v>18761.8</v>
      </c>
      <c r="J13" s="9" t="n">
        <f aca="false">I13*$J$5</f>
        <v>23699.1157894737</v>
      </c>
      <c r="K13" s="9" t="n">
        <f aca="false">J13-H13</f>
        <v>-5040.28421052632</v>
      </c>
      <c r="L13" s="11" t="n">
        <f aca="false">IF(AND(H13=0,J13=0),0,IF(H13=0,"New",(J13-H13)/H13))</f>
        <v>-0.175378894845624</v>
      </c>
    </row>
    <row r="14" customFormat="false" ht="15" hidden="false" customHeight="true" outlineLevel="0" collapsed="false">
      <c r="A14" s="8" t="s">
        <v>99</v>
      </c>
      <c r="B14" s="8" t="str">
        <f aca="false">IFERROR(INDEX('Source 2026'!$C:$C,MATCH($A14,'Source 2026'!$B:$B,0)),IFERROR(INDEX('Source 2025'!$C:$C,MATCH($A14,'Source 2025'!$B:$B,0)),""))</f>
        <v>S מגן קרסול לבן</v>
      </c>
      <c r="C14" s="9" t="n">
        <f aca="false">SUMIFS('Source 2025'!$K:$K,'Source 2025'!$B:$B,$A14,'Source 2025'!$A:$A,"Quantity (units)")+SUMIFS('Source 2025'!$O:$O,'Source 2025'!$B:$B,$A14,'Source 2025'!$A:$A,"Quantity (units)")+SUMIFS('Source 2025'!$R:$R,'Source 2025'!$B:$B,$A14,'Source 2025'!$A:$A,"Quantity (units)")+SUMIFS('Source 2025'!$P:$P,'Source 2025'!$B:$B,$A14,'Source 2025'!$A:$A,"Quantity (units)")+SUMIFS('Source 2025'!$J:$J,'Source 2025'!$B:$B,$A14,'Source 2025'!$A:$A,"Quantity (units)")+SUMIFS('Source 2025'!$L:$L,'Source 2025'!$B:$B,$A14,'Source 2025'!$A:$A,"Quantity (units)")</f>
        <v>900</v>
      </c>
      <c r="D14" s="9" t="n">
        <f aca="false">SUMIFS('Source 2026'!$K:$K,'Source 2026'!$B:$B,$A14,'Source 2026'!$A:$A,"Quantity (units)")+SUMIFS('Source 2026'!$O:$O,'Source 2026'!$B:$B,$A14,'Source 2026'!$A:$A,"Quantity (units)")+SUMIFS('Source 2026'!$R:$R,'Source 2026'!$B:$B,$A14,'Source 2026'!$A:$A,"Quantity (units)")+SUMIFS('Source 2026'!$P:$P,'Source 2026'!$B:$B,$A14,'Source 2026'!$A:$A,"Quantity (units)")+SUMIFS('Source 2026'!$J:$J,'Source 2026'!$B:$B,$A14,'Source 2026'!$A:$A,"Quantity (units)")+SUMIFS('Source 2026'!$L:$L,'Source 2026'!$B:$B,$A14,'Source 2026'!$A:$A,"Quantity (units)")</f>
        <v>595</v>
      </c>
      <c r="E14" s="9" t="n">
        <f aca="false">D14*$J$5</f>
        <v>751.578947368421</v>
      </c>
      <c r="F14" s="9" t="n">
        <f aca="false">E14-C14</f>
        <v>-148.421052631579</v>
      </c>
      <c r="G14" s="11" t="n">
        <f aca="false">IF(AND(C14=0,E14=0),0,IF(C14=0,"New",(E14-C14)/C14))</f>
        <v>-0.164912280701754</v>
      </c>
      <c r="H14" s="9" t="n">
        <f aca="false">SUMIFS('Source 2025'!$K:$K,'Source 2025'!$B:$B,$A14,'Source 2025'!$A:$A,"Amount (NIS)")+SUMIFS('Source 2025'!$O:$O,'Source 2025'!$B:$B,$A14,'Source 2025'!$A:$A,"Amount (NIS)")+SUMIFS('Source 2025'!$R:$R,'Source 2025'!$B:$B,$A14,'Source 2025'!$A:$A,"Amount (NIS)")+SUMIFS('Source 2025'!$P:$P,'Source 2025'!$B:$B,$A14,'Source 2025'!$A:$A,"Amount (NIS)")+SUMIFS('Source 2025'!$J:$J,'Source 2025'!$B:$B,$A14,'Source 2025'!$A:$A,"Amount (NIS)")+SUMIFS('Source 2025'!$L:$L,'Source 2025'!$B:$B,$A14,'Source 2025'!$A:$A,"Amount (NIS)")</f>
        <v>25005.6</v>
      </c>
      <c r="I14" s="9" t="n">
        <f aca="false">SUMIFS('Source 2026'!$K:$K,'Source 2026'!$B:$B,$A14,'Source 2026'!$A:$A,"Amount (NIS)")+SUMIFS('Source 2026'!$O:$O,'Source 2026'!$B:$B,$A14,'Source 2026'!$A:$A,"Amount (NIS)")+SUMIFS('Source 2026'!$R:$R,'Source 2026'!$B:$B,$A14,'Source 2026'!$A:$A,"Amount (NIS)")+SUMIFS('Source 2026'!$P:$P,'Source 2026'!$B:$B,$A14,'Source 2026'!$A:$A,"Amount (NIS)")+SUMIFS('Source 2026'!$J:$J,'Source 2026'!$B:$B,$A14,'Source 2026'!$A:$A,"Amount (NIS)")+SUMIFS('Source 2026'!$L:$L,'Source 2026'!$B:$B,$A14,'Source 2026'!$A:$A,"Amount (NIS)")</f>
        <v>16530.8</v>
      </c>
      <c r="J14" s="9" t="n">
        <f aca="false">I14*$J$5</f>
        <v>20881.0105263158</v>
      </c>
      <c r="K14" s="9" t="n">
        <f aca="false">J14-H14</f>
        <v>-4124.58947368421</v>
      </c>
      <c r="L14" s="11" t="n">
        <f aca="false">IF(AND(H14=0,J14=0),0,IF(H14=0,"New",(J14-H14)/H14))</f>
        <v>-0.164946630902046</v>
      </c>
    </row>
    <row r="15" customFormat="false" ht="15" hidden="false" customHeight="true" outlineLevel="0" collapsed="false">
      <c r="A15" s="8" t="s">
        <v>100</v>
      </c>
      <c r="B15" s="8" t="str">
        <f aca="false">IFERROR(INDEX('Source 2026'!$C:$C,MATCH($A15,'Source 2026'!$B:$B,0)),IFERROR(INDEX('Source 2025'!$C:$C,MATCH($A15,'Source 2025'!$B:$B,0)),""))</f>
        <v>L מגן ברך לבן</v>
      </c>
      <c r="C15" s="9" t="n">
        <f aca="false">SUMIFS('Source 2025'!$K:$K,'Source 2025'!$B:$B,$A15,'Source 2025'!$A:$A,"Quantity (units)")+SUMIFS('Source 2025'!$O:$O,'Source 2025'!$B:$B,$A15,'Source 2025'!$A:$A,"Quantity (units)")+SUMIFS('Source 2025'!$R:$R,'Source 2025'!$B:$B,$A15,'Source 2025'!$A:$A,"Quantity (units)")+SUMIFS('Source 2025'!$P:$P,'Source 2025'!$B:$B,$A15,'Source 2025'!$A:$A,"Quantity (units)")+SUMIFS('Source 2025'!$J:$J,'Source 2025'!$B:$B,$A15,'Source 2025'!$A:$A,"Quantity (units)")+SUMIFS('Source 2025'!$L:$L,'Source 2025'!$B:$B,$A15,'Source 2025'!$A:$A,"Quantity (units)")</f>
        <v>807</v>
      </c>
      <c r="D15" s="9" t="n">
        <f aca="false">SUMIFS('Source 2026'!$K:$K,'Source 2026'!$B:$B,$A15,'Source 2026'!$A:$A,"Quantity (units)")+SUMIFS('Source 2026'!$O:$O,'Source 2026'!$B:$B,$A15,'Source 2026'!$A:$A,"Quantity (units)")+SUMIFS('Source 2026'!$R:$R,'Source 2026'!$B:$B,$A15,'Source 2026'!$A:$A,"Quantity (units)")+SUMIFS('Source 2026'!$P:$P,'Source 2026'!$B:$B,$A15,'Source 2026'!$A:$A,"Quantity (units)")+SUMIFS('Source 2026'!$J:$J,'Source 2026'!$B:$B,$A15,'Source 2026'!$A:$A,"Quantity (units)")+SUMIFS('Source 2026'!$L:$L,'Source 2026'!$B:$B,$A15,'Source 2026'!$A:$A,"Quantity (units)")</f>
        <v>519</v>
      </c>
      <c r="E15" s="9" t="n">
        <f aca="false">D15*$J$5</f>
        <v>655.578947368421</v>
      </c>
      <c r="F15" s="9" t="n">
        <f aca="false">E15-C15</f>
        <v>-151.421052631579</v>
      </c>
      <c r="G15" s="11" t="n">
        <f aca="false">IF(AND(C15=0,E15=0),0,IF(C15=0,"New",(E15-C15)/C15))</f>
        <v>-0.187634513793778</v>
      </c>
      <c r="H15" s="9" t="n">
        <f aca="false">SUMIFS('Source 2025'!$K:$K,'Source 2025'!$B:$B,$A15,'Source 2025'!$A:$A,"Amount (NIS)")+SUMIFS('Source 2025'!$O:$O,'Source 2025'!$B:$B,$A15,'Source 2025'!$A:$A,"Amount (NIS)")+SUMIFS('Source 2025'!$R:$R,'Source 2025'!$B:$B,$A15,'Source 2025'!$A:$A,"Amount (NIS)")+SUMIFS('Source 2025'!$P:$P,'Source 2025'!$B:$B,$A15,'Source 2025'!$A:$A,"Amount (NIS)")+SUMIFS('Source 2025'!$J:$J,'Source 2025'!$B:$B,$A15,'Source 2025'!$A:$A,"Amount (NIS)")+SUMIFS('Source 2025'!$L:$L,'Source 2025'!$B:$B,$A15,'Source 2025'!$A:$A,"Amount (NIS)")</f>
        <v>22439.8</v>
      </c>
      <c r="I15" s="9" t="n">
        <f aca="false">SUMIFS('Source 2026'!$K:$K,'Source 2026'!$B:$B,$A15,'Source 2026'!$A:$A,"Amount (NIS)")+SUMIFS('Source 2026'!$O:$O,'Source 2026'!$B:$B,$A15,'Source 2026'!$A:$A,"Amount (NIS)")+SUMIFS('Source 2026'!$R:$R,'Source 2026'!$B:$B,$A15,'Source 2026'!$A:$A,"Amount (NIS)")+SUMIFS('Source 2026'!$P:$P,'Source 2026'!$B:$B,$A15,'Source 2026'!$A:$A,"Amount (NIS)")+SUMIFS('Source 2026'!$J:$J,'Source 2026'!$B:$B,$A15,'Source 2026'!$A:$A,"Amount (NIS)")+SUMIFS('Source 2026'!$L:$L,'Source 2026'!$B:$B,$A15,'Source 2026'!$A:$A,"Amount (NIS)")</f>
        <v>14437.2</v>
      </c>
      <c r="J15" s="9" t="n">
        <f aca="false">I15*$J$5</f>
        <v>18236.4631578947</v>
      </c>
      <c r="K15" s="9" t="n">
        <f aca="false">J15-H15</f>
        <v>-4203.33684210526</v>
      </c>
      <c r="L15" s="11" t="n">
        <f aca="false">IF(AND(H15=0,J15=0),0,IF(H15=0,"New",(J15-H15)/H15))</f>
        <v>-0.187316145514009</v>
      </c>
    </row>
    <row r="16" customFormat="false" ht="15" hidden="false" customHeight="true" outlineLevel="0" collapsed="false">
      <c r="A16" s="8" t="s">
        <v>78</v>
      </c>
      <c r="B16" s="8" t="str">
        <f aca="false">IFERROR(INDEX('Source 2026'!$C:$C,MATCH($A16,'Source 2026'!$B:$B,0)),IFERROR(INDEX('Source 2025'!$C:$C,MATCH($A16,'Source 2025'!$B:$B,0)),""))</f>
        <v>S  חבק יד ארוך</v>
      </c>
      <c r="C16" s="9" t="n">
        <f aca="false">SUMIFS('Source 2025'!$K:$K,'Source 2025'!$B:$B,$A16,'Source 2025'!$A:$A,"Quantity (units)")+SUMIFS('Source 2025'!$O:$O,'Source 2025'!$B:$B,$A16,'Source 2025'!$A:$A,"Quantity (units)")+SUMIFS('Source 2025'!$R:$R,'Source 2025'!$B:$B,$A16,'Source 2025'!$A:$A,"Quantity (units)")+SUMIFS('Source 2025'!$P:$P,'Source 2025'!$B:$B,$A16,'Source 2025'!$A:$A,"Quantity (units)")+SUMIFS('Source 2025'!$J:$J,'Source 2025'!$B:$B,$A16,'Source 2025'!$A:$A,"Quantity (units)")+SUMIFS('Source 2025'!$L:$L,'Source 2025'!$B:$B,$A16,'Source 2025'!$A:$A,"Quantity (units)")</f>
        <v>757</v>
      </c>
      <c r="D16" s="9" t="n">
        <f aca="false">SUMIFS('Source 2026'!$K:$K,'Source 2026'!$B:$B,$A16,'Source 2026'!$A:$A,"Quantity (units)")+SUMIFS('Source 2026'!$O:$O,'Source 2026'!$B:$B,$A16,'Source 2026'!$A:$A,"Quantity (units)")+SUMIFS('Source 2026'!$R:$R,'Source 2026'!$B:$B,$A16,'Source 2026'!$A:$A,"Quantity (units)")+SUMIFS('Source 2026'!$P:$P,'Source 2026'!$B:$B,$A16,'Source 2026'!$A:$A,"Quantity (units)")+SUMIFS('Source 2026'!$J:$J,'Source 2026'!$B:$B,$A16,'Source 2026'!$A:$A,"Quantity (units)")+SUMIFS('Source 2026'!$L:$L,'Source 2026'!$B:$B,$A16,'Source 2026'!$A:$A,"Quantity (units)")</f>
        <v>535</v>
      </c>
      <c r="E16" s="9" t="n">
        <f aca="false">D16*$J$5</f>
        <v>675.789473684211</v>
      </c>
      <c r="F16" s="9" t="n">
        <f aca="false">E16-C16</f>
        <v>-81.2105263157895</v>
      </c>
      <c r="G16" s="11" t="n">
        <f aca="false">IF(AND(C16=0,E16=0),0,IF(C16=0,"New",(E16-C16)/C16))</f>
        <v>-0.107279427101439</v>
      </c>
      <c r="H16" s="9" t="n">
        <f aca="false">SUMIFS('Source 2025'!$K:$K,'Source 2025'!$B:$B,$A16,'Source 2025'!$A:$A,"Amount (NIS)")+SUMIFS('Source 2025'!$O:$O,'Source 2025'!$B:$B,$A16,'Source 2025'!$A:$A,"Amount (NIS)")+SUMIFS('Source 2025'!$R:$R,'Source 2025'!$B:$B,$A16,'Source 2025'!$A:$A,"Amount (NIS)")+SUMIFS('Source 2025'!$P:$P,'Source 2025'!$B:$B,$A16,'Source 2025'!$A:$A,"Amount (NIS)")+SUMIFS('Source 2025'!$J:$J,'Source 2025'!$B:$B,$A16,'Source 2025'!$A:$A,"Amount (NIS)")+SUMIFS('Source 2025'!$L:$L,'Source 2025'!$B:$B,$A16,'Source 2025'!$A:$A,"Amount (NIS)")</f>
        <v>26712.1</v>
      </c>
      <c r="I16" s="9" t="n">
        <f aca="false">SUMIFS('Source 2026'!$K:$K,'Source 2026'!$B:$B,$A16,'Source 2026'!$A:$A,"Amount (NIS)")+SUMIFS('Source 2026'!$O:$O,'Source 2026'!$B:$B,$A16,'Source 2026'!$A:$A,"Amount (NIS)")+SUMIFS('Source 2026'!$R:$R,'Source 2026'!$B:$B,$A16,'Source 2026'!$A:$A,"Amount (NIS)")+SUMIFS('Source 2026'!$P:$P,'Source 2026'!$B:$B,$A16,'Source 2026'!$A:$A,"Amount (NIS)")+SUMIFS('Source 2026'!$J:$J,'Source 2026'!$B:$B,$A16,'Source 2026'!$A:$A,"Amount (NIS)")+SUMIFS('Source 2026'!$L:$L,'Source 2026'!$B:$B,$A16,'Source 2026'!$A:$A,"Amount (NIS)")</f>
        <v>18874.1</v>
      </c>
      <c r="J16" s="9" t="n">
        <f aca="false">I16*$J$5</f>
        <v>23840.9684210526</v>
      </c>
      <c r="K16" s="9" t="n">
        <f aca="false">J16-H16</f>
        <v>-2871.13157894737</v>
      </c>
      <c r="L16" s="11" t="n">
        <f aca="false">IF(AND(H16=0,J16=0),0,IF(H16=0,"New",(J16-H16)/H16))</f>
        <v>-0.107484307821076</v>
      </c>
    </row>
    <row r="17" customFormat="false" ht="15" hidden="false" customHeight="true" outlineLevel="0" collapsed="false">
      <c r="A17" s="8" t="s">
        <v>226</v>
      </c>
      <c r="B17" s="8" t="str">
        <f aca="false">IFERROR(INDEX('Source 2026'!$C:$C,MATCH($A17,'Source 2026'!$B:$B,0)),IFERROR(INDEX('Source 2025'!$C:$C,MATCH($A17,'Source 2025'!$B:$B,0)),""))</f>
        <v>S חגורה למנותחי בית החזה</v>
      </c>
      <c r="C17" s="9" t="n">
        <f aca="false">SUMIFS('Source 2025'!$K:$K,'Source 2025'!$B:$B,$A17,'Source 2025'!$A:$A,"Quantity (units)")+SUMIFS('Source 2025'!$O:$O,'Source 2025'!$B:$B,$A17,'Source 2025'!$A:$A,"Quantity (units)")+SUMIFS('Source 2025'!$R:$R,'Source 2025'!$B:$B,$A17,'Source 2025'!$A:$A,"Quantity (units)")+SUMIFS('Source 2025'!$P:$P,'Source 2025'!$B:$B,$A17,'Source 2025'!$A:$A,"Quantity (units)")+SUMIFS('Source 2025'!$J:$J,'Source 2025'!$B:$B,$A17,'Source 2025'!$A:$A,"Quantity (units)")+SUMIFS('Source 2025'!$L:$L,'Source 2025'!$B:$B,$A17,'Source 2025'!$A:$A,"Quantity (units)")</f>
        <v>184</v>
      </c>
      <c r="D17" s="9" t="n">
        <f aca="false">SUMIFS('Source 2026'!$K:$K,'Source 2026'!$B:$B,$A17,'Source 2026'!$A:$A,"Quantity (units)")+SUMIFS('Source 2026'!$O:$O,'Source 2026'!$B:$B,$A17,'Source 2026'!$A:$A,"Quantity (units)")+SUMIFS('Source 2026'!$R:$R,'Source 2026'!$B:$B,$A17,'Source 2026'!$A:$A,"Quantity (units)")+SUMIFS('Source 2026'!$P:$P,'Source 2026'!$B:$B,$A17,'Source 2026'!$A:$A,"Quantity (units)")+SUMIFS('Source 2026'!$J:$J,'Source 2026'!$B:$B,$A17,'Source 2026'!$A:$A,"Quantity (units)")+SUMIFS('Source 2026'!$L:$L,'Source 2026'!$B:$B,$A17,'Source 2026'!$A:$A,"Quantity (units)")</f>
        <v>230</v>
      </c>
      <c r="E17" s="9" t="n">
        <f aca="false">D17*$J$5</f>
        <v>290.526315789474</v>
      </c>
      <c r="F17" s="9" t="n">
        <f aca="false">E17-C17</f>
        <v>106.526315789474</v>
      </c>
      <c r="G17" s="11" t="n">
        <f aca="false">IF(AND(C17=0,E17=0),0,IF(C17=0,"New",(E17-C17)/C17))</f>
        <v>0.578947368421052</v>
      </c>
      <c r="H17" s="9" t="n">
        <f aca="false">SUMIFS('Source 2025'!$K:$K,'Source 2025'!$B:$B,$A17,'Source 2025'!$A:$A,"Amount (NIS)")+SUMIFS('Source 2025'!$O:$O,'Source 2025'!$B:$B,$A17,'Source 2025'!$A:$A,"Amount (NIS)")+SUMIFS('Source 2025'!$R:$R,'Source 2025'!$B:$B,$A17,'Source 2025'!$A:$A,"Amount (NIS)")+SUMIFS('Source 2025'!$P:$P,'Source 2025'!$B:$B,$A17,'Source 2025'!$A:$A,"Amount (NIS)")+SUMIFS('Source 2025'!$J:$J,'Source 2025'!$B:$B,$A17,'Source 2025'!$A:$A,"Amount (NIS)")+SUMIFS('Source 2025'!$L:$L,'Source 2025'!$B:$B,$A17,'Source 2025'!$A:$A,"Amount (NIS)")</f>
        <v>26283.9</v>
      </c>
      <c r="I17" s="9" t="n">
        <f aca="false">SUMIFS('Source 2026'!$K:$K,'Source 2026'!$B:$B,$A17,'Source 2026'!$A:$A,"Amount (NIS)")+SUMIFS('Source 2026'!$O:$O,'Source 2026'!$B:$B,$A17,'Source 2026'!$A:$A,"Amount (NIS)")+SUMIFS('Source 2026'!$R:$R,'Source 2026'!$B:$B,$A17,'Source 2026'!$A:$A,"Amount (NIS)")+SUMIFS('Source 2026'!$P:$P,'Source 2026'!$B:$B,$A17,'Source 2026'!$A:$A,"Amount (NIS)")+SUMIFS('Source 2026'!$J:$J,'Source 2026'!$B:$B,$A17,'Source 2026'!$A:$A,"Amount (NIS)")+SUMIFS('Source 2026'!$L:$L,'Source 2026'!$B:$B,$A17,'Source 2026'!$A:$A,"Amount (NIS)")</f>
        <v>33479</v>
      </c>
      <c r="J17" s="9" t="n">
        <f aca="false">I17*$J$5</f>
        <v>42289.2631578947</v>
      </c>
      <c r="K17" s="9" t="n">
        <f aca="false">J17-H17</f>
        <v>16005.3631578947</v>
      </c>
      <c r="L17" s="11" t="n">
        <f aca="false">IF(AND(H17=0,J17=0),0,IF(H17=0,"New",(J17-H17)/H17))</f>
        <v>0.608941715570929</v>
      </c>
    </row>
    <row r="18" customFormat="false" ht="15" hidden="false" customHeight="true" outlineLevel="0" collapsed="false">
      <c r="A18" s="8" t="s">
        <v>114</v>
      </c>
      <c r="B18" s="8" t="str">
        <f aca="false">IFERROR(INDEX('Source 2026'!$C:$C,MATCH($A18,'Source 2026'!$B:$B,0)),IFERROR(INDEX('Source 2025'!$C:$C,MATCH($A18,'Source 2025'!$B:$B,0)),""))</f>
        <v>Sמגן ברך ארוך לבן</v>
      </c>
      <c r="C18" s="9" t="n">
        <f aca="false">SUMIFS('Source 2025'!$K:$K,'Source 2025'!$B:$B,$A18,'Source 2025'!$A:$A,"Quantity (units)")+SUMIFS('Source 2025'!$O:$O,'Source 2025'!$B:$B,$A18,'Source 2025'!$A:$A,"Quantity (units)")+SUMIFS('Source 2025'!$R:$R,'Source 2025'!$B:$B,$A18,'Source 2025'!$A:$A,"Quantity (units)")+SUMIFS('Source 2025'!$P:$P,'Source 2025'!$B:$B,$A18,'Source 2025'!$A:$A,"Quantity (units)")+SUMIFS('Source 2025'!$J:$J,'Source 2025'!$B:$B,$A18,'Source 2025'!$A:$A,"Quantity (units)")+SUMIFS('Source 2025'!$L:$L,'Source 2025'!$B:$B,$A18,'Source 2025'!$A:$A,"Quantity (units)")</f>
        <v>853</v>
      </c>
      <c r="D18" s="9" t="n">
        <f aca="false">SUMIFS('Source 2026'!$K:$K,'Source 2026'!$B:$B,$A18,'Source 2026'!$A:$A,"Quantity (units)")+SUMIFS('Source 2026'!$O:$O,'Source 2026'!$B:$B,$A18,'Source 2026'!$A:$A,"Quantity (units)")+SUMIFS('Source 2026'!$R:$R,'Source 2026'!$B:$B,$A18,'Source 2026'!$A:$A,"Quantity (units)")+SUMIFS('Source 2026'!$P:$P,'Source 2026'!$B:$B,$A18,'Source 2026'!$A:$A,"Quantity (units)")+SUMIFS('Source 2026'!$J:$J,'Source 2026'!$B:$B,$A18,'Source 2026'!$A:$A,"Quantity (units)")+SUMIFS('Source 2026'!$L:$L,'Source 2026'!$B:$B,$A18,'Source 2026'!$A:$A,"Quantity (units)")</f>
        <v>649</v>
      </c>
      <c r="E18" s="9" t="n">
        <f aca="false">D18*$J$5</f>
        <v>819.789473684211</v>
      </c>
      <c r="F18" s="9" t="n">
        <f aca="false">E18-C18</f>
        <v>-33.2105263157895</v>
      </c>
      <c r="G18" s="11" t="n">
        <f aca="false">IF(AND(C18=0,E18=0),0,IF(C18=0,"New",(E18-C18)/C18))</f>
        <v>-0.0389337940396125</v>
      </c>
      <c r="H18" s="9" t="n">
        <f aca="false">SUMIFS('Source 2025'!$K:$K,'Source 2025'!$B:$B,$A18,'Source 2025'!$A:$A,"Amount (NIS)")+SUMIFS('Source 2025'!$O:$O,'Source 2025'!$B:$B,$A18,'Source 2025'!$A:$A,"Amount (NIS)")+SUMIFS('Source 2025'!$R:$R,'Source 2025'!$B:$B,$A18,'Source 2025'!$A:$A,"Amount (NIS)")+SUMIFS('Source 2025'!$P:$P,'Source 2025'!$B:$B,$A18,'Source 2025'!$A:$A,"Amount (NIS)")+SUMIFS('Source 2025'!$J:$J,'Source 2025'!$B:$B,$A18,'Source 2025'!$A:$A,"Amount (NIS)")+SUMIFS('Source 2025'!$L:$L,'Source 2025'!$B:$B,$A18,'Source 2025'!$A:$A,"Amount (NIS)")</f>
        <v>28635.9</v>
      </c>
      <c r="I18" s="9" t="n">
        <f aca="false">SUMIFS('Source 2026'!$K:$K,'Source 2026'!$B:$B,$A18,'Source 2026'!$A:$A,"Amount (NIS)")+SUMIFS('Source 2026'!$O:$O,'Source 2026'!$B:$B,$A18,'Source 2026'!$A:$A,"Amount (NIS)")+SUMIFS('Source 2026'!$R:$R,'Source 2026'!$B:$B,$A18,'Source 2026'!$A:$A,"Amount (NIS)")+SUMIFS('Source 2026'!$P:$P,'Source 2026'!$B:$B,$A18,'Source 2026'!$A:$A,"Amount (NIS)")+SUMIFS('Source 2026'!$J:$J,'Source 2026'!$B:$B,$A18,'Source 2026'!$A:$A,"Amount (NIS)")+SUMIFS('Source 2026'!$L:$L,'Source 2026'!$B:$B,$A18,'Source 2026'!$A:$A,"Amount (NIS)")</f>
        <v>21758.8</v>
      </c>
      <c r="J18" s="9" t="n">
        <f aca="false">I18*$J$5</f>
        <v>27484.8</v>
      </c>
      <c r="K18" s="9" t="n">
        <f aca="false">J18-H18</f>
        <v>-1151.1</v>
      </c>
      <c r="L18" s="11" t="n">
        <f aca="false">IF(AND(H18=0,J18=0),0,IF(H18=0,"New",(J18-H18)/H18))</f>
        <v>-0.0401977936785644</v>
      </c>
    </row>
    <row r="19" customFormat="false" ht="15" hidden="false" customHeight="true" outlineLevel="0" collapsed="false">
      <c r="A19" s="8" t="s">
        <v>150</v>
      </c>
      <c r="B19" s="8" t="str">
        <f aca="false">IFERROR(INDEX('Source 2026'!$C:$C,MATCH($A19,'Source 2026'!$B:$B,0)),IFERROR(INDEX('Source 2025'!$C:$C,MATCH($A19,'Source 2025'!$B:$B,0)),""))</f>
        <v>S מגן ברך</v>
      </c>
      <c r="C19" s="9" t="n">
        <f aca="false">SUMIFS('Source 2025'!$K:$K,'Source 2025'!$B:$B,$A19,'Source 2025'!$A:$A,"Quantity (units)")+SUMIFS('Source 2025'!$O:$O,'Source 2025'!$B:$B,$A19,'Source 2025'!$A:$A,"Quantity (units)")+SUMIFS('Source 2025'!$R:$R,'Source 2025'!$B:$B,$A19,'Source 2025'!$A:$A,"Quantity (units)")+SUMIFS('Source 2025'!$P:$P,'Source 2025'!$B:$B,$A19,'Source 2025'!$A:$A,"Quantity (units)")+SUMIFS('Source 2025'!$J:$J,'Source 2025'!$B:$B,$A19,'Source 2025'!$A:$A,"Quantity (units)")+SUMIFS('Source 2025'!$L:$L,'Source 2025'!$B:$B,$A19,'Source 2025'!$A:$A,"Quantity (units)")</f>
        <v>14</v>
      </c>
      <c r="D19" s="9" t="n">
        <f aca="false">SUMIFS('Source 2026'!$K:$K,'Source 2026'!$B:$B,$A19,'Source 2026'!$A:$A,"Quantity (units)")+SUMIFS('Source 2026'!$O:$O,'Source 2026'!$B:$B,$A19,'Source 2026'!$A:$A,"Quantity (units)")+SUMIFS('Source 2026'!$R:$R,'Source 2026'!$B:$B,$A19,'Source 2026'!$A:$A,"Quantity (units)")+SUMIFS('Source 2026'!$P:$P,'Source 2026'!$B:$B,$A19,'Source 2026'!$A:$A,"Quantity (units)")+SUMIFS('Source 2026'!$J:$J,'Source 2026'!$B:$B,$A19,'Source 2026'!$A:$A,"Quantity (units)")+SUMIFS('Source 2026'!$L:$L,'Source 2026'!$B:$B,$A19,'Source 2026'!$A:$A,"Quantity (units)")</f>
        <v>55</v>
      </c>
      <c r="E19" s="9" t="n">
        <f aca="false">D19*$J$5</f>
        <v>69.4736842105263</v>
      </c>
      <c r="F19" s="9" t="n">
        <f aca="false">E19-C19</f>
        <v>55.4736842105263</v>
      </c>
      <c r="G19" s="11" t="n">
        <f aca="false">IF(AND(C19=0,E19=0),0,IF(C19=0,"New",(E19-C19)/C19))</f>
        <v>3.96240601503759</v>
      </c>
      <c r="H19" s="9" t="n">
        <f aca="false">SUMIFS('Source 2025'!$K:$K,'Source 2025'!$B:$B,$A19,'Source 2025'!$A:$A,"Amount (NIS)")+SUMIFS('Source 2025'!$O:$O,'Source 2025'!$B:$B,$A19,'Source 2025'!$A:$A,"Amount (NIS)")+SUMIFS('Source 2025'!$R:$R,'Source 2025'!$B:$B,$A19,'Source 2025'!$A:$A,"Amount (NIS)")+SUMIFS('Source 2025'!$P:$P,'Source 2025'!$B:$B,$A19,'Source 2025'!$A:$A,"Amount (NIS)")+SUMIFS('Source 2025'!$J:$J,'Source 2025'!$B:$B,$A19,'Source 2025'!$A:$A,"Amount (NIS)")+SUMIFS('Source 2025'!$L:$L,'Source 2025'!$B:$B,$A19,'Source 2025'!$A:$A,"Amount (NIS)")</f>
        <v>1571.7</v>
      </c>
      <c r="I19" s="9" t="n">
        <f aca="false">SUMIFS('Source 2026'!$K:$K,'Source 2026'!$B:$B,$A19,'Source 2026'!$A:$A,"Amount (NIS)")+SUMIFS('Source 2026'!$O:$O,'Source 2026'!$B:$B,$A19,'Source 2026'!$A:$A,"Amount (NIS)")+SUMIFS('Source 2026'!$R:$R,'Source 2026'!$B:$B,$A19,'Source 2026'!$A:$A,"Amount (NIS)")+SUMIFS('Source 2026'!$P:$P,'Source 2026'!$B:$B,$A19,'Source 2026'!$A:$A,"Amount (NIS)")+SUMIFS('Source 2026'!$J:$J,'Source 2026'!$B:$B,$A19,'Source 2026'!$A:$A,"Amount (NIS)")+SUMIFS('Source 2026'!$L:$L,'Source 2026'!$B:$B,$A19,'Source 2026'!$A:$A,"Amount (NIS)")</f>
        <v>7466.9</v>
      </c>
      <c r="J19" s="9" t="n">
        <f aca="false">I19*$J$5</f>
        <v>9431.87368421053</v>
      </c>
      <c r="K19" s="9" t="n">
        <f aca="false">J19-H19</f>
        <v>7860.17368421053</v>
      </c>
      <c r="L19" s="11" t="n">
        <f aca="false">IF(AND(H19=0,J19=0),0,IF(H19=0,"New",(J19-H19)/H19))</f>
        <v>5.00106488783517</v>
      </c>
    </row>
    <row r="20" customFormat="false" ht="15" hidden="false" customHeight="true" outlineLevel="0" collapsed="false">
      <c r="A20" s="8" t="s">
        <v>129</v>
      </c>
      <c r="B20" s="8" t="str">
        <f aca="false">IFERROR(INDEX('Source 2026'!$C:$C,MATCH($A20,'Source 2026'!$B:$B,0)),IFERROR(INDEX('Source 2025'!$C:$C,MATCH($A20,'Source 2025'!$B:$B,0)),""))</f>
        <v>תחבושת א.נצמ</v>
      </c>
      <c r="C20" s="9" t="n">
        <f aca="false">SUMIFS('Source 2025'!$K:$K,'Source 2025'!$B:$B,$A20,'Source 2025'!$A:$A,"Quantity (units)")+SUMIFS('Source 2025'!$O:$O,'Source 2025'!$B:$B,$A20,'Source 2025'!$A:$A,"Quantity (units)")+SUMIFS('Source 2025'!$R:$R,'Source 2025'!$B:$B,$A20,'Source 2025'!$A:$A,"Quantity (units)")+SUMIFS('Source 2025'!$P:$P,'Source 2025'!$B:$B,$A20,'Source 2025'!$A:$A,"Quantity (units)")+SUMIFS('Source 2025'!$J:$J,'Source 2025'!$B:$B,$A20,'Source 2025'!$A:$A,"Quantity (units)")+SUMIFS('Source 2025'!$L:$L,'Source 2025'!$B:$B,$A20,'Source 2025'!$A:$A,"Quantity (units)")</f>
        <v>797</v>
      </c>
      <c r="D20" s="9" t="n">
        <f aca="false">SUMIFS('Source 2026'!$K:$K,'Source 2026'!$B:$B,$A20,'Source 2026'!$A:$A,"Quantity (units)")+SUMIFS('Source 2026'!$O:$O,'Source 2026'!$B:$B,$A20,'Source 2026'!$A:$A,"Quantity (units)")+SUMIFS('Source 2026'!$R:$R,'Source 2026'!$B:$B,$A20,'Source 2026'!$A:$A,"Quantity (units)")+SUMIFS('Source 2026'!$P:$P,'Source 2026'!$B:$B,$A20,'Source 2026'!$A:$A,"Quantity (units)")+SUMIFS('Source 2026'!$J:$J,'Source 2026'!$B:$B,$A20,'Source 2026'!$A:$A,"Quantity (units)")+SUMIFS('Source 2026'!$L:$L,'Source 2026'!$B:$B,$A20,'Source 2026'!$A:$A,"Quantity (units)")</f>
        <v>283</v>
      </c>
      <c r="E20" s="9" t="n">
        <f aca="false">D20*$J$5</f>
        <v>357.473684210526</v>
      </c>
      <c r="F20" s="9" t="n">
        <f aca="false">E20-C20</f>
        <v>-439.526315789474</v>
      </c>
      <c r="G20" s="11" t="n">
        <f aca="false">IF(AND(C20=0,E20=0),0,IF(C20=0,"New",(E20-C20)/C20))</f>
        <v>-0.551475929472364</v>
      </c>
      <c r="H20" s="9" t="n">
        <f aca="false">SUMIFS('Source 2025'!$K:$K,'Source 2025'!$B:$B,$A20,'Source 2025'!$A:$A,"Amount (NIS)")+SUMIFS('Source 2025'!$O:$O,'Source 2025'!$B:$B,$A20,'Source 2025'!$A:$A,"Amount (NIS)")+SUMIFS('Source 2025'!$R:$R,'Source 2025'!$B:$B,$A20,'Source 2025'!$A:$A,"Amount (NIS)")+SUMIFS('Source 2025'!$P:$P,'Source 2025'!$B:$B,$A20,'Source 2025'!$A:$A,"Amount (NIS)")+SUMIFS('Source 2025'!$J:$J,'Source 2025'!$B:$B,$A20,'Source 2025'!$A:$A,"Amount (NIS)")+SUMIFS('Source 2025'!$L:$L,'Source 2025'!$B:$B,$A20,'Source 2025'!$A:$A,"Amount (NIS)")</f>
        <v>8758.2</v>
      </c>
      <c r="I20" s="9" t="n">
        <f aca="false">SUMIFS('Source 2026'!$K:$K,'Source 2026'!$B:$B,$A20,'Source 2026'!$A:$A,"Amount (NIS)")+SUMIFS('Source 2026'!$O:$O,'Source 2026'!$B:$B,$A20,'Source 2026'!$A:$A,"Amount (NIS)")+SUMIFS('Source 2026'!$R:$R,'Source 2026'!$B:$B,$A20,'Source 2026'!$A:$A,"Amount (NIS)")+SUMIFS('Source 2026'!$P:$P,'Source 2026'!$B:$B,$A20,'Source 2026'!$A:$A,"Amount (NIS)")+SUMIFS('Source 2026'!$J:$J,'Source 2026'!$B:$B,$A20,'Source 2026'!$A:$A,"Amount (NIS)")+SUMIFS('Source 2026'!$L:$L,'Source 2026'!$B:$B,$A20,'Source 2026'!$A:$A,"Amount (NIS)")</f>
        <v>3107.3</v>
      </c>
      <c r="J20" s="9" t="n">
        <f aca="false">I20*$J$5</f>
        <v>3925.01052631579</v>
      </c>
      <c r="K20" s="9" t="n">
        <f aca="false">J20-H20</f>
        <v>-4833.18947368421</v>
      </c>
      <c r="L20" s="11" t="n">
        <f aca="false">IF(AND(H20=0,J20=0),0,IF(H20=0,"New",(J20-H20)/H20))</f>
        <v>-0.551847351474528</v>
      </c>
    </row>
    <row r="21" customFormat="false" ht="15" hidden="false" customHeight="true" outlineLevel="0" collapsed="false">
      <c r="A21" s="8" t="s">
        <v>115</v>
      </c>
      <c r="B21" s="8" t="str">
        <f aca="false">IFERROR(INDEX('Source 2026'!$C:$C,MATCH($A21,'Source 2026'!$B:$B,0)),IFERROR(INDEX('Source 2025'!$C:$C,MATCH($A21,'Source 2025'!$B:$B,0)),""))</f>
        <v>ציפורניים</v>
      </c>
      <c r="C21" s="9" t="n">
        <f aca="false">SUMIFS('Source 2025'!$K:$K,'Source 2025'!$B:$B,$A21,'Source 2025'!$A:$A,"Quantity (units)")+SUMIFS('Source 2025'!$O:$O,'Source 2025'!$B:$B,$A21,'Source 2025'!$A:$A,"Quantity (units)")+SUMIFS('Source 2025'!$R:$R,'Source 2025'!$B:$B,$A21,'Source 2025'!$A:$A,"Quantity (units)")+SUMIFS('Source 2025'!$P:$P,'Source 2025'!$B:$B,$A21,'Source 2025'!$A:$A,"Quantity (units)")+SUMIFS('Source 2025'!$J:$J,'Source 2025'!$B:$B,$A21,'Source 2025'!$A:$A,"Quantity (units)")+SUMIFS('Source 2025'!$L:$L,'Source 2025'!$B:$B,$A21,'Source 2025'!$A:$A,"Quantity (units)")</f>
        <v>928</v>
      </c>
      <c r="D21" s="9" t="n">
        <f aca="false">SUMIFS('Source 2026'!$K:$K,'Source 2026'!$B:$B,$A21,'Source 2026'!$A:$A,"Quantity (units)")+SUMIFS('Source 2026'!$O:$O,'Source 2026'!$B:$B,$A21,'Source 2026'!$A:$A,"Quantity (units)")+SUMIFS('Source 2026'!$R:$R,'Source 2026'!$B:$B,$A21,'Source 2026'!$A:$A,"Quantity (units)")+SUMIFS('Source 2026'!$P:$P,'Source 2026'!$B:$B,$A21,'Source 2026'!$A:$A,"Quantity (units)")+SUMIFS('Source 2026'!$J:$J,'Source 2026'!$B:$B,$A21,'Source 2026'!$A:$A,"Quantity (units)")+SUMIFS('Source 2026'!$L:$L,'Source 2026'!$B:$B,$A21,'Source 2026'!$A:$A,"Quantity (units)")</f>
        <v>514</v>
      </c>
      <c r="E21" s="9" t="n">
        <f aca="false">D21*$J$5</f>
        <v>649.263157894737</v>
      </c>
      <c r="F21" s="9" t="n">
        <f aca="false">E21-C21</f>
        <v>-278.736842105263</v>
      </c>
      <c r="G21" s="11" t="n">
        <f aca="false">IF(AND(C21=0,E21=0),0,IF(C21=0,"New",(E21-C21)/C21))</f>
        <v>-0.300362976406534</v>
      </c>
      <c r="H21" s="9" t="n">
        <f aca="false">SUMIFS('Source 2025'!$K:$K,'Source 2025'!$B:$B,$A21,'Source 2025'!$A:$A,"Amount (NIS)")+SUMIFS('Source 2025'!$O:$O,'Source 2025'!$B:$B,$A21,'Source 2025'!$A:$A,"Amount (NIS)")+SUMIFS('Source 2025'!$R:$R,'Source 2025'!$B:$B,$A21,'Source 2025'!$A:$A,"Amount (NIS)")+SUMIFS('Source 2025'!$P:$P,'Source 2025'!$B:$B,$A21,'Source 2025'!$A:$A,"Amount (NIS)")+SUMIFS('Source 2025'!$J:$J,'Source 2025'!$B:$B,$A21,'Source 2025'!$A:$A,"Amount (NIS)")+SUMIFS('Source 2025'!$L:$L,'Source 2025'!$B:$B,$A21,'Source 2025'!$A:$A,"Amount (NIS)")</f>
        <v>12205.1</v>
      </c>
      <c r="I21" s="9" t="n">
        <f aca="false">SUMIFS('Source 2026'!$K:$K,'Source 2026'!$B:$B,$A21,'Source 2026'!$A:$A,"Amount (NIS)")+SUMIFS('Source 2026'!$O:$O,'Source 2026'!$B:$B,$A21,'Source 2026'!$A:$A,"Amount (NIS)")+SUMIFS('Source 2026'!$R:$R,'Source 2026'!$B:$B,$A21,'Source 2026'!$A:$A,"Amount (NIS)")+SUMIFS('Source 2026'!$P:$P,'Source 2026'!$B:$B,$A21,'Source 2026'!$A:$A,"Amount (NIS)")+SUMIFS('Source 2026'!$J:$J,'Source 2026'!$B:$B,$A21,'Source 2026'!$A:$A,"Amount (NIS)")+SUMIFS('Source 2026'!$L:$L,'Source 2026'!$B:$B,$A21,'Source 2026'!$A:$A,"Amount (NIS)")</f>
        <v>6760.2</v>
      </c>
      <c r="J21" s="9" t="n">
        <f aca="false">I21*$J$5</f>
        <v>8539.2</v>
      </c>
      <c r="K21" s="9" t="n">
        <f aca="false">J21-H21</f>
        <v>-3665.9</v>
      </c>
      <c r="L21" s="11" t="n">
        <f aca="false">IF(AND(H21=0,J21=0),0,IF(H21=0,"New",(J21-H21)/H21))</f>
        <v>-0.300358047045907</v>
      </c>
    </row>
    <row r="22" customFormat="false" ht="15" hidden="false" customHeight="true" outlineLevel="0" collapsed="false">
      <c r="A22" s="8" t="s">
        <v>94</v>
      </c>
      <c r="B22" s="8" t="str">
        <f aca="false">IFERROR(INDEX('Source 2026'!$C:$C,MATCH($A22,'Source 2026'!$B:$B,0)),IFERROR(INDEX('Source 2025'!$C:$C,MATCH($A22,'Source 2025'!$B:$B,0)),""))</f>
        <v>S מגן קרסול חום</v>
      </c>
      <c r="C22" s="9" t="n">
        <f aca="false">SUMIFS('Source 2025'!$K:$K,'Source 2025'!$B:$B,$A22,'Source 2025'!$A:$A,"Quantity (units)")+SUMIFS('Source 2025'!$O:$O,'Source 2025'!$B:$B,$A22,'Source 2025'!$A:$A,"Quantity (units)")+SUMIFS('Source 2025'!$R:$R,'Source 2025'!$B:$B,$A22,'Source 2025'!$A:$A,"Quantity (units)")+SUMIFS('Source 2025'!$P:$P,'Source 2025'!$B:$B,$A22,'Source 2025'!$A:$A,"Quantity (units)")+SUMIFS('Source 2025'!$J:$J,'Source 2025'!$B:$B,$A22,'Source 2025'!$A:$A,"Quantity (units)")+SUMIFS('Source 2025'!$L:$L,'Source 2025'!$B:$B,$A22,'Source 2025'!$A:$A,"Quantity (units)")</f>
        <v>924</v>
      </c>
      <c r="D22" s="9" t="n">
        <f aca="false">SUMIFS('Source 2026'!$K:$K,'Source 2026'!$B:$B,$A22,'Source 2026'!$A:$A,"Quantity (units)")+SUMIFS('Source 2026'!$O:$O,'Source 2026'!$B:$B,$A22,'Source 2026'!$A:$A,"Quantity (units)")+SUMIFS('Source 2026'!$R:$R,'Source 2026'!$B:$B,$A22,'Source 2026'!$A:$A,"Quantity (units)")+SUMIFS('Source 2026'!$P:$P,'Source 2026'!$B:$B,$A22,'Source 2026'!$A:$A,"Quantity (units)")+SUMIFS('Source 2026'!$J:$J,'Source 2026'!$B:$B,$A22,'Source 2026'!$A:$A,"Quantity (units)")+SUMIFS('Source 2026'!$L:$L,'Source 2026'!$B:$B,$A22,'Source 2026'!$A:$A,"Quantity (units)")</f>
        <v>731</v>
      </c>
      <c r="E22" s="9" t="n">
        <f aca="false">D22*$J$5</f>
        <v>923.368421052632</v>
      </c>
      <c r="F22" s="9" t="n">
        <f aca="false">E22-C22</f>
        <v>-0.631578947368439</v>
      </c>
      <c r="G22" s="11" t="n">
        <f aca="false">IF(AND(C22=0,E22=0),0,IF(C22=0,"New",(E22-C22)/C22))</f>
        <v>-0.000683526999316493</v>
      </c>
      <c r="H22" s="9" t="n">
        <f aca="false">SUMIFS('Source 2025'!$K:$K,'Source 2025'!$B:$B,$A22,'Source 2025'!$A:$A,"Amount (NIS)")+SUMIFS('Source 2025'!$O:$O,'Source 2025'!$B:$B,$A22,'Source 2025'!$A:$A,"Amount (NIS)")+SUMIFS('Source 2025'!$R:$R,'Source 2025'!$B:$B,$A22,'Source 2025'!$A:$A,"Amount (NIS)")+SUMIFS('Source 2025'!$P:$P,'Source 2025'!$B:$B,$A22,'Source 2025'!$A:$A,"Amount (NIS)")+SUMIFS('Source 2025'!$J:$J,'Source 2025'!$B:$B,$A22,'Source 2025'!$A:$A,"Amount (NIS)")+SUMIFS('Source 2025'!$L:$L,'Source 2025'!$B:$B,$A22,'Source 2025'!$A:$A,"Amount (NIS)")</f>
        <v>25685.9</v>
      </c>
      <c r="I22" s="9" t="n">
        <f aca="false">SUMIFS('Source 2026'!$K:$K,'Source 2026'!$B:$B,$A22,'Source 2026'!$A:$A,"Amount (NIS)")+SUMIFS('Source 2026'!$O:$O,'Source 2026'!$B:$B,$A22,'Source 2026'!$A:$A,"Amount (NIS)")+SUMIFS('Source 2026'!$R:$R,'Source 2026'!$B:$B,$A22,'Source 2026'!$A:$A,"Amount (NIS)")+SUMIFS('Source 2026'!$P:$P,'Source 2026'!$B:$B,$A22,'Source 2026'!$A:$A,"Amount (NIS)")+SUMIFS('Source 2026'!$J:$J,'Source 2026'!$B:$B,$A22,'Source 2026'!$A:$A,"Amount (NIS)")+SUMIFS('Source 2026'!$L:$L,'Source 2026'!$B:$B,$A22,'Source 2026'!$A:$A,"Amount (NIS)")</f>
        <v>20326.2</v>
      </c>
      <c r="J22" s="9" t="n">
        <f aca="false">I22*$J$5</f>
        <v>25675.2</v>
      </c>
      <c r="K22" s="9" t="n">
        <f aca="false">J22-H22</f>
        <v>-10.7000000000044</v>
      </c>
      <c r="L22" s="11" t="n">
        <f aca="false">IF(AND(H22=0,J22=0),0,IF(H22=0,"New",(J22-H22)/H22))</f>
        <v>-0.000416570959164536</v>
      </c>
    </row>
    <row r="23" customFormat="false" ht="15" hidden="false" customHeight="true" outlineLevel="0" collapsed="false">
      <c r="A23" s="8" t="s">
        <v>96</v>
      </c>
      <c r="B23" s="8" t="str">
        <f aca="false">IFERROR(INDEX('Source 2026'!$C:$C,MATCH($A23,'Source 2026'!$B:$B,0)),IFERROR(INDEX('Source 2025'!$C:$C,MATCH($A23,'Source 2025'!$B:$B,0)),""))</f>
        <v>יד אגודלי</v>
      </c>
      <c r="C23" s="9" t="n">
        <f aca="false">SUMIFS('Source 2025'!$K:$K,'Source 2025'!$B:$B,$A23,'Source 2025'!$A:$A,"Quantity (units)")+SUMIFS('Source 2025'!$O:$O,'Source 2025'!$B:$B,$A23,'Source 2025'!$A:$A,"Quantity (units)")+SUMIFS('Source 2025'!$R:$R,'Source 2025'!$B:$B,$A23,'Source 2025'!$A:$A,"Quantity (units)")+SUMIFS('Source 2025'!$P:$P,'Source 2025'!$B:$B,$A23,'Source 2025'!$A:$A,"Quantity (units)")+SUMIFS('Source 2025'!$J:$J,'Source 2025'!$B:$B,$A23,'Source 2025'!$A:$A,"Quantity (units)")+SUMIFS('Source 2025'!$L:$L,'Source 2025'!$B:$B,$A23,'Source 2025'!$A:$A,"Quantity (units)")</f>
        <v>386</v>
      </c>
      <c r="D23" s="9" t="n">
        <f aca="false">SUMIFS('Source 2026'!$K:$K,'Source 2026'!$B:$B,$A23,'Source 2026'!$A:$A,"Quantity (units)")+SUMIFS('Source 2026'!$O:$O,'Source 2026'!$B:$B,$A23,'Source 2026'!$A:$A,"Quantity (units)")+SUMIFS('Source 2026'!$R:$R,'Source 2026'!$B:$B,$A23,'Source 2026'!$A:$A,"Quantity (units)")+SUMIFS('Source 2026'!$P:$P,'Source 2026'!$B:$B,$A23,'Source 2026'!$A:$A,"Quantity (units)")+SUMIFS('Source 2026'!$J:$J,'Source 2026'!$B:$B,$A23,'Source 2026'!$A:$A,"Quantity (units)")+SUMIFS('Source 2026'!$L:$L,'Source 2026'!$B:$B,$A23,'Source 2026'!$A:$A,"Quantity (units)")</f>
        <v>257</v>
      </c>
      <c r="E23" s="9" t="n">
        <f aca="false">D23*$J$5</f>
        <v>324.631578947368</v>
      </c>
      <c r="F23" s="9" t="n">
        <f aca="false">E23-C23</f>
        <v>-61.3684210526316</v>
      </c>
      <c r="G23" s="11" t="n">
        <f aca="false">IF(AND(C23=0,E23=0),0,IF(C23=0,"New",(E23-C23)/C23))</f>
        <v>-0.158985546768476</v>
      </c>
      <c r="H23" s="9" t="n">
        <f aca="false">SUMIFS('Source 2025'!$K:$K,'Source 2025'!$B:$B,$A23,'Source 2025'!$A:$A,"Amount (NIS)")+SUMIFS('Source 2025'!$O:$O,'Source 2025'!$B:$B,$A23,'Source 2025'!$A:$A,"Amount (NIS)")+SUMIFS('Source 2025'!$R:$R,'Source 2025'!$B:$B,$A23,'Source 2025'!$A:$A,"Amount (NIS)")+SUMIFS('Source 2025'!$P:$P,'Source 2025'!$B:$B,$A23,'Source 2025'!$A:$A,"Amount (NIS)")+SUMIFS('Source 2025'!$J:$J,'Source 2025'!$B:$B,$A23,'Source 2025'!$A:$A,"Amount (NIS)")+SUMIFS('Source 2025'!$L:$L,'Source 2025'!$B:$B,$A23,'Source 2025'!$A:$A,"Amount (NIS)")</f>
        <v>15339.9</v>
      </c>
      <c r="I23" s="9" t="n">
        <f aca="false">SUMIFS('Source 2026'!$K:$K,'Source 2026'!$B:$B,$A23,'Source 2026'!$A:$A,"Amount (NIS)")+SUMIFS('Source 2026'!$O:$O,'Source 2026'!$B:$B,$A23,'Source 2026'!$A:$A,"Amount (NIS)")+SUMIFS('Source 2026'!$R:$R,'Source 2026'!$B:$B,$A23,'Source 2026'!$A:$A,"Amount (NIS)")+SUMIFS('Source 2026'!$P:$P,'Source 2026'!$B:$B,$A23,'Source 2026'!$A:$A,"Amount (NIS)")+SUMIFS('Source 2026'!$J:$J,'Source 2026'!$B:$B,$A23,'Source 2026'!$A:$A,"Amount (NIS)")+SUMIFS('Source 2026'!$L:$L,'Source 2026'!$B:$B,$A23,'Source 2026'!$A:$A,"Amount (NIS)")</f>
        <v>10215.4</v>
      </c>
      <c r="J23" s="9" t="n">
        <f aca="false">I23*$J$5</f>
        <v>12903.6631578947</v>
      </c>
      <c r="K23" s="9" t="n">
        <f aca="false">J23-H23</f>
        <v>-2436.23684210526</v>
      </c>
      <c r="L23" s="11" t="n">
        <f aca="false">IF(AND(H23=0,J23=0),0,IF(H23=0,"New",(J23-H23)/H23))</f>
        <v>-0.158816996336695</v>
      </c>
    </row>
    <row r="24" customFormat="false" ht="15" hidden="false" customHeight="true" outlineLevel="0" collapsed="false">
      <c r="A24" s="8" t="s">
        <v>97</v>
      </c>
      <c r="B24" s="8" t="str">
        <f aca="false">IFERROR(INDEX('Source 2026'!$C:$C,MATCH($A24,'Source 2026'!$B:$B,0)),IFERROR(INDEX('Source 2025'!$C:$C,MATCH($A24,'Source 2025'!$B:$B,0)),""))</f>
        <v>שרוול מסיליקון לאצבע</v>
      </c>
      <c r="C24" s="9" t="n">
        <f aca="false">SUMIFS('Source 2025'!$K:$K,'Source 2025'!$B:$B,$A24,'Source 2025'!$A:$A,"Quantity (units)")+SUMIFS('Source 2025'!$O:$O,'Source 2025'!$B:$B,$A24,'Source 2025'!$A:$A,"Quantity (units)")+SUMIFS('Source 2025'!$R:$R,'Source 2025'!$B:$B,$A24,'Source 2025'!$A:$A,"Quantity (units)")+SUMIFS('Source 2025'!$P:$P,'Source 2025'!$B:$B,$A24,'Source 2025'!$A:$A,"Quantity (units)")+SUMIFS('Source 2025'!$J:$J,'Source 2025'!$B:$B,$A24,'Source 2025'!$A:$A,"Quantity (units)")+SUMIFS('Source 2025'!$L:$L,'Source 2025'!$B:$B,$A24,'Source 2025'!$A:$A,"Quantity (units)")</f>
        <v>885</v>
      </c>
      <c r="D24" s="9" t="n">
        <f aca="false">SUMIFS('Source 2026'!$K:$K,'Source 2026'!$B:$B,$A24,'Source 2026'!$A:$A,"Quantity (units)")+SUMIFS('Source 2026'!$O:$O,'Source 2026'!$B:$B,$A24,'Source 2026'!$A:$A,"Quantity (units)")+SUMIFS('Source 2026'!$R:$R,'Source 2026'!$B:$B,$A24,'Source 2026'!$A:$A,"Quantity (units)")+SUMIFS('Source 2026'!$P:$P,'Source 2026'!$B:$B,$A24,'Source 2026'!$A:$A,"Quantity (units)")+SUMIFS('Source 2026'!$J:$J,'Source 2026'!$B:$B,$A24,'Source 2026'!$A:$A,"Quantity (units)")+SUMIFS('Source 2026'!$L:$L,'Source 2026'!$B:$B,$A24,'Source 2026'!$A:$A,"Quantity (units)")</f>
        <v>617</v>
      </c>
      <c r="E24" s="9" t="n">
        <f aca="false">D24*$J$5</f>
        <v>779.368421052632</v>
      </c>
      <c r="F24" s="9" t="n">
        <f aca="false">E24-C24</f>
        <v>-105.631578947368</v>
      </c>
      <c r="G24" s="11" t="n">
        <f aca="false">IF(AND(C24=0,E24=0),0,IF(C24=0,"New",(E24-C24)/C24))</f>
        <v>-0.11935771632471</v>
      </c>
      <c r="H24" s="9" t="n">
        <f aca="false">SUMIFS('Source 2025'!$K:$K,'Source 2025'!$B:$B,$A24,'Source 2025'!$A:$A,"Amount (NIS)")+SUMIFS('Source 2025'!$O:$O,'Source 2025'!$B:$B,$A24,'Source 2025'!$A:$A,"Amount (NIS)")+SUMIFS('Source 2025'!$R:$R,'Source 2025'!$B:$B,$A24,'Source 2025'!$A:$A,"Amount (NIS)")+SUMIFS('Source 2025'!$P:$P,'Source 2025'!$B:$B,$A24,'Source 2025'!$A:$A,"Amount (NIS)")+SUMIFS('Source 2025'!$J:$J,'Source 2025'!$B:$B,$A24,'Source 2025'!$A:$A,"Amount (NIS)")+SUMIFS('Source 2025'!$L:$L,'Source 2025'!$B:$B,$A24,'Source 2025'!$A:$A,"Amount (NIS)")</f>
        <v>14918.9</v>
      </c>
      <c r="I24" s="9" t="n">
        <f aca="false">SUMIFS('Source 2026'!$K:$K,'Source 2026'!$B:$B,$A24,'Source 2026'!$A:$A,"Amount (NIS)")+SUMIFS('Source 2026'!$O:$O,'Source 2026'!$B:$B,$A24,'Source 2026'!$A:$A,"Amount (NIS)")+SUMIFS('Source 2026'!$R:$R,'Source 2026'!$B:$B,$A24,'Source 2026'!$A:$A,"Amount (NIS)")+SUMIFS('Source 2026'!$P:$P,'Source 2026'!$B:$B,$A24,'Source 2026'!$A:$A,"Amount (NIS)")+SUMIFS('Source 2026'!$J:$J,'Source 2026'!$B:$B,$A24,'Source 2026'!$A:$A,"Amount (NIS)")+SUMIFS('Source 2026'!$L:$L,'Source 2026'!$B:$B,$A24,'Source 2026'!$A:$A,"Amount (NIS)")</f>
        <v>10390.5</v>
      </c>
      <c r="J24" s="9" t="n">
        <f aca="false">I24*$J$5</f>
        <v>13124.8421052632</v>
      </c>
      <c r="K24" s="9" t="n">
        <f aca="false">J24-H24</f>
        <v>-1794.05789473684</v>
      </c>
      <c r="L24" s="11" t="n">
        <f aca="false">IF(AND(H24=0,J24=0),0,IF(H24=0,"New",(J24-H24)/H24))</f>
        <v>-0.120254033121533</v>
      </c>
    </row>
    <row r="25" customFormat="false" ht="15" hidden="false" customHeight="true" outlineLevel="0" collapsed="false">
      <c r="A25" s="8" t="s">
        <v>86</v>
      </c>
      <c r="B25" s="8" t="str">
        <f aca="false">IFERROR(INDEX('Source 2026'!$C:$C,MATCH($A25,'Source 2026'!$B:$B,0)),IFERROR(INDEX('Source 2025'!$C:$C,MATCH($A25,'Source 2025'!$B:$B,0)),""))</f>
        <v>L צוארון ספוגי</v>
      </c>
      <c r="C25" s="9" t="n">
        <f aca="false">SUMIFS('Source 2025'!$K:$K,'Source 2025'!$B:$B,$A25,'Source 2025'!$A:$A,"Quantity (units)")+SUMIFS('Source 2025'!$O:$O,'Source 2025'!$B:$B,$A25,'Source 2025'!$A:$A,"Quantity (units)")+SUMIFS('Source 2025'!$R:$R,'Source 2025'!$B:$B,$A25,'Source 2025'!$A:$A,"Quantity (units)")+SUMIFS('Source 2025'!$P:$P,'Source 2025'!$B:$B,$A25,'Source 2025'!$A:$A,"Quantity (units)")+SUMIFS('Source 2025'!$J:$J,'Source 2025'!$B:$B,$A25,'Source 2025'!$A:$A,"Quantity (units)")+SUMIFS('Source 2025'!$L:$L,'Source 2025'!$B:$B,$A25,'Source 2025'!$A:$A,"Quantity (units)")</f>
        <v>387</v>
      </c>
      <c r="D25" s="9" t="n">
        <f aca="false">SUMIFS('Source 2026'!$K:$K,'Source 2026'!$B:$B,$A25,'Source 2026'!$A:$A,"Quantity (units)")+SUMIFS('Source 2026'!$O:$O,'Source 2026'!$B:$B,$A25,'Source 2026'!$A:$A,"Quantity (units)")+SUMIFS('Source 2026'!$R:$R,'Source 2026'!$B:$B,$A25,'Source 2026'!$A:$A,"Quantity (units)")+SUMIFS('Source 2026'!$P:$P,'Source 2026'!$B:$B,$A25,'Source 2026'!$A:$A,"Quantity (units)")+SUMIFS('Source 2026'!$J:$J,'Source 2026'!$B:$B,$A25,'Source 2026'!$A:$A,"Quantity (units)")+SUMIFS('Source 2026'!$L:$L,'Source 2026'!$B:$B,$A25,'Source 2026'!$A:$A,"Quantity (units)")</f>
        <v>263</v>
      </c>
      <c r="E25" s="9" t="n">
        <f aca="false">D25*$J$5</f>
        <v>332.21052631579</v>
      </c>
      <c r="F25" s="9" t="n">
        <f aca="false">E25-C25</f>
        <v>-54.7894736842105</v>
      </c>
      <c r="G25" s="11" t="n">
        <f aca="false">IF(AND(C25=0,E25=0),0,IF(C25=0,"New",(E25-C25)/C25))</f>
        <v>-0.141574867401061</v>
      </c>
      <c r="H25" s="9" t="n">
        <f aca="false">SUMIFS('Source 2025'!$K:$K,'Source 2025'!$B:$B,$A25,'Source 2025'!$A:$A,"Amount (NIS)")+SUMIFS('Source 2025'!$O:$O,'Source 2025'!$B:$B,$A25,'Source 2025'!$A:$A,"Amount (NIS)")+SUMIFS('Source 2025'!$R:$R,'Source 2025'!$B:$B,$A25,'Source 2025'!$A:$A,"Amount (NIS)")+SUMIFS('Source 2025'!$P:$P,'Source 2025'!$B:$B,$A25,'Source 2025'!$A:$A,"Amount (NIS)")+SUMIFS('Source 2025'!$J:$J,'Source 2025'!$B:$B,$A25,'Source 2025'!$A:$A,"Amount (NIS)")+SUMIFS('Source 2025'!$L:$L,'Source 2025'!$B:$B,$A25,'Source 2025'!$A:$A,"Amount (NIS)")</f>
        <v>12357.8</v>
      </c>
      <c r="I25" s="9" t="n">
        <f aca="false">SUMIFS('Source 2026'!$K:$K,'Source 2026'!$B:$B,$A25,'Source 2026'!$A:$A,"Amount (NIS)")+SUMIFS('Source 2026'!$O:$O,'Source 2026'!$B:$B,$A25,'Source 2026'!$A:$A,"Amount (NIS)")+SUMIFS('Source 2026'!$R:$R,'Source 2026'!$B:$B,$A25,'Source 2026'!$A:$A,"Amount (NIS)")+SUMIFS('Source 2026'!$P:$P,'Source 2026'!$B:$B,$A25,'Source 2026'!$A:$A,"Amount (NIS)")+SUMIFS('Source 2026'!$J:$J,'Source 2026'!$B:$B,$A25,'Source 2026'!$A:$A,"Amount (NIS)")+SUMIFS('Source 2026'!$L:$L,'Source 2026'!$B:$B,$A25,'Source 2026'!$A:$A,"Amount (NIS)")</f>
        <v>8504.4</v>
      </c>
      <c r="J25" s="9" t="n">
        <f aca="false">I25*$J$5</f>
        <v>10742.4</v>
      </c>
      <c r="K25" s="9" t="n">
        <f aca="false">J25-H25</f>
        <v>-1615.4</v>
      </c>
      <c r="L25" s="11" t="n">
        <f aca="false">IF(AND(H25=0,J25=0),0,IF(H25=0,"New",(J25-H25)/H25))</f>
        <v>-0.130719060026866</v>
      </c>
    </row>
    <row r="26" customFormat="false" ht="15" hidden="false" customHeight="true" outlineLevel="0" collapsed="false">
      <c r="A26" s="8" t="s">
        <v>81</v>
      </c>
      <c r="B26" s="8" t="str">
        <f aca="false">IFERROR(INDEX('Source 2026'!$C:$C,MATCH($A26,'Source 2026'!$B:$B,0)),IFERROR(INDEX('Source 2025'!$C:$C,MATCH($A26,'Source 2025'!$B:$B,0)),""))</f>
        <v>מדרס ג'ל לגבר</v>
      </c>
      <c r="C26" s="9" t="n">
        <f aca="false">SUMIFS('Source 2025'!$K:$K,'Source 2025'!$B:$B,$A26,'Source 2025'!$A:$A,"Quantity (units)")+SUMIFS('Source 2025'!$O:$O,'Source 2025'!$B:$B,$A26,'Source 2025'!$A:$A,"Quantity (units)")+SUMIFS('Source 2025'!$R:$R,'Source 2025'!$B:$B,$A26,'Source 2025'!$A:$A,"Quantity (units)")+SUMIFS('Source 2025'!$P:$P,'Source 2025'!$B:$B,$A26,'Source 2025'!$A:$A,"Quantity (units)")+SUMIFS('Source 2025'!$J:$J,'Source 2025'!$B:$B,$A26,'Source 2025'!$A:$A,"Quantity (units)")+SUMIFS('Source 2025'!$L:$L,'Source 2025'!$B:$B,$A26,'Source 2025'!$A:$A,"Quantity (units)")</f>
        <v>286</v>
      </c>
      <c r="D26" s="9" t="n">
        <f aca="false">SUMIFS('Source 2026'!$K:$K,'Source 2026'!$B:$B,$A26,'Source 2026'!$A:$A,"Quantity (units)")+SUMIFS('Source 2026'!$O:$O,'Source 2026'!$B:$B,$A26,'Source 2026'!$A:$A,"Quantity (units)")+SUMIFS('Source 2026'!$R:$R,'Source 2026'!$B:$B,$A26,'Source 2026'!$A:$A,"Quantity (units)")+SUMIFS('Source 2026'!$P:$P,'Source 2026'!$B:$B,$A26,'Source 2026'!$A:$A,"Quantity (units)")+SUMIFS('Source 2026'!$J:$J,'Source 2026'!$B:$B,$A26,'Source 2026'!$A:$A,"Quantity (units)")+SUMIFS('Source 2026'!$L:$L,'Source 2026'!$B:$B,$A26,'Source 2026'!$A:$A,"Quantity (units)")</f>
        <v>224</v>
      </c>
      <c r="E26" s="9" t="n">
        <f aca="false">D26*$J$5</f>
        <v>282.947368421053</v>
      </c>
      <c r="F26" s="9" t="n">
        <f aca="false">E26-C26</f>
        <v>-3.0526315789474</v>
      </c>
      <c r="G26" s="11" t="n">
        <f aca="false">IF(AND(C26=0,E26=0),0,IF(C26=0,"New",(E26-C26)/C26))</f>
        <v>-0.0106735369893266</v>
      </c>
      <c r="H26" s="9" t="n">
        <f aca="false">SUMIFS('Source 2025'!$K:$K,'Source 2025'!$B:$B,$A26,'Source 2025'!$A:$A,"Amount (NIS)")+SUMIFS('Source 2025'!$O:$O,'Source 2025'!$B:$B,$A26,'Source 2025'!$A:$A,"Amount (NIS)")+SUMIFS('Source 2025'!$R:$R,'Source 2025'!$B:$B,$A26,'Source 2025'!$A:$A,"Amount (NIS)")+SUMIFS('Source 2025'!$P:$P,'Source 2025'!$B:$B,$A26,'Source 2025'!$A:$A,"Amount (NIS)")+SUMIFS('Source 2025'!$J:$J,'Source 2025'!$B:$B,$A26,'Source 2025'!$A:$A,"Amount (NIS)")+SUMIFS('Source 2025'!$L:$L,'Source 2025'!$B:$B,$A26,'Source 2025'!$A:$A,"Amount (NIS)")</f>
        <v>18452.4</v>
      </c>
      <c r="I26" s="9" t="n">
        <f aca="false">SUMIFS('Source 2026'!$K:$K,'Source 2026'!$B:$B,$A26,'Source 2026'!$A:$A,"Amount (NIS)")+SUMIFS('Source 2026'!$O:$O,'Source 2026'!$B:$B,$A26,'Source 2026'!$A:$A,"Amount (NIS)")+SUMIFS('Source 2026'!$R:$R,'Source 2026'!$B:$B,$A26,'Source 2026'!$A:$A,"Amount (NIS)")+SUMIFS('Source 2026'!$P:$P,'Source 2026'!$B:$B,$A26,'Source 2026'!$A:$A,"Amount (NIS)")+SUMIFS('Source 2026'!$J:$J,'Source 2026'!$B:$B,$A26,'Source 2026'!$A:$A,"Amount (NIS)")+SUMIFS('Source 2026'!$L:$L,'Source 2026'!$B:$B,$A26,'Source 2026'!$A:$A,"Amount (NIS)")</f>
        <v>14642.5</v>
      </c>
      <c r="J26" s="9" t="n">
        <f aca="false">I26*$J$5</f>
        <v>18495.7894736842</v>
      </c>
      <c r="K26" s="9" t="n">
        <f aca="false">J26-H26</f>
        <v>43.3894736842121</v>
      </c>
      <c r="L26" s="11" t="n">
        <f aca="false">IF(AND(H26=0,J26=0),0,IF(H26=0,"New",(J26-H26)/H26))</f>
        <v>0.00235142711431641</v>
      </c>
    </row>
    <row r="27" customFormat="false" ht="15" hidden="false" customHeight="true" outlineLevel="0" collapsed="false">
      <c r="A27" s="8" t="s">
        <v>117</v>
      </c>
      <c r="B27" s="8" t="str">
        <f aca="false">IFERROR(INDEX('Source 2026'!$C:$C,MATCH($A27,'Source 2026'!$B:$B,0)),IFERROR(INDEX('Source 2025'!$C:$C,MATCH($A27,'Source 2025'!$B:$B,0)),""))</f>
        <v>טייפ קינזיולוגי</v>
      </c>
      <c r="C27" s="9" t="n">
        <f aca="false">SUMIFS('Source 2025'!$K:$K,'Source 2025'!$B:$B,$A27,'Source 2025'!$A:$A,"Quantity (units)")+SUMIFS('Source 2025'!$O:$O,'Source 2025'!$B:$B,$A27,'Source 2025'!$A:$A,"Quantity (units)")+SUMIFS('Source 2025'!$R:$R,'Source 2025'!$B:$B,$A27,'Source 2025'!$A:$A,"Quantity (units)")+SUMIFS('Source 2025'!$P:$P,'Source 2025'!$B:$B,$A27,'Source 2025'!$A:$A,"Quantity (units)")+SUMIFS('Source 2025'!$J:$J,'Source 2025'!$B:$B,$A27,'Source 2025'!$A:$A,"Quantity (units)")+SUMIFS('Source 2025'!$L:$L,'Source 2025'!$B:$B,$A27,'Source 2025'!$A:$A,"Quantity (units)")</f>
        <v>256</v>
      </c>
      <c r="D27" s="9" t="n">
        <f aca="false">SUMIFS('Source 2026'!$K:$K,'Source 2026'!$B:$B,$A27,'Source 2026'!$A:$A,"Quantity (units)")+SUMIFS('Source 2026'!$O:$O,'Source 2026'!$B:$B,$A27,'Source 2026'!$A:$A,"Quantity (units)")+SUMIFS('Source 2026'!$R:$R,'Source 2026'!$B:$B,$A27,'Source 2026'!$A:$A,"Quantity (units)")+SUMIFS('Source 2026'!$P:$P,'Source 2026'!$B:$B,$A27,'Source 2026'!$A:$A,"Quantity (units)")+SUMIFS('Source 2026'!$J:$J,'Source 2026'!$B:$B,$A27,'Source 2026'!$A:$A,"Quantity (units)")+SUMIFS('Source 2026'!$L:$L,'Source 2026'!$B:$B,$A27,'Source 2026'!$A:$A,"Quantity (units)")</f>
        <v>173</v>
      </c>
      <c r="E27" s="9" t="n">
        <f aca="false">D27*$J$5</f>
        <v>218.526315789474</v>
      </c>
      <c r="F27" s="9" t="n">
        <f aca="false">E27-C27</f>
        <v>-37.4736842105263</v>
      </c>
      <c r="G27" s="11" t="n">
        <f aca="false">IF(AND(C27=0,E27=0),0,IF(C27=0,"New",(E27-C27)/C27))</f>
        <v>-0.146381578947368</v>
      </c>
      <c r="H27" s="9" t="n">
        <f aca="false">SUMIFS('Source 2025'!$K:$K,'Source 2025'!$B:$B,$A27,'Source 2025'!$A:$A,"Amount (NIS)")+SUMIFS('Source 2025'!$O:$O,'Source 2025'!$B:$B,$A27,'Source 2025'!$A:$A,"Amount (NIS)")+SUMIFS('Source 2025'!$R:$R,'Source 2025'!$B:$B,$A27,'Source 2025'!$A:$A,"Amount (NIS)")+SUMIFS('Source 2025'!$P:$P,'Source 2025'!$B:$B,$A27,'Source 2025'!$A:$A,"Amount (NIS)")+SUMIFS('Source 2025'!$J:$J,'Source 2025'!$B:$B,$A27,'Source 2025'!$A:$A,"Amount (NIS)")+SUMIFS('Source 2025'!$L:$L,'Source 2025'!$B:$B,$A27,'Source 2025'!$A:$A,"Amount (NIS)")</f>
        <v>11284.4</v>
      </c>
      <c r="I27" s="9" t="n">
        <f aca="false">SUMIFS('Source 2026'!$K:$K,'Source 2026'!$B:$B,$A27,'Source 2026'!$A:$A,"Amount (NIS)")+SUMIFS('Source 2026'!$O:$O,'Source 2026'!$B:$B,$A27,'Source 2026'!$A:$A,"Amount (NIS)")+SUMIFS('Source 2026'!$R:$R,'Source 2026'!$B:$B,$A27,'Source 2026'!$A:$A,"Amount (NIS)")+SUMIFS('Source 2026'!$P:$P,'Source 2026'!$B:$B,$A27,'Source 2026'!$A:$A,"Amount (NIS)")+SUMIFS('Source 2026'!$J:$J,'Source 2026'!$B:$B,$A27,'Source 2026'!$A:$A,"Amount (NIS)")+SUMIFS('Source 2026'!$L:$L,'Source 2026'!$B:$B,$A27,'Source 2026'!$A:$A,"Amount (NIS)")</f>
        <v>7625.8</v>
      </c>
      <c r="J27" s="9" t="n">
        <f aca="false">I27*$J$5</f>
        <v>9632.58947368421</v>
      </c>
      <c r="K27" s="9" t="n">
        <f aca="false">J27-H27</f>
        <v>-1651.81052631579</v>
      </c>
      <c r="L27" s="11" t="n">
        <f aca="false">IF(AND(H27=0,J27=0),0,IF(H27=0,"New",(J27-H27)/H27))</f>
        <v>-0.146380004813352</v>
      </c>
    </row>
    <row r="28" customFormat="false" ht="15" hidden="false" customHeight="true" outlineLevel="0" collapsed="false">
      <c r="A28" s="8" t="s">
        <v>111</v>
      </c>
      <c r="B28" s="8" t="str">
        <f aca="false">IFERROR(INDEX('Source 2026'!$C:$C,MATCH($A28,'Source 2026'!$B:$B,0)),IFERROR(INDEX('Source 2025'!$C:$C,MATCH($A28,'Source 2025'!$B:$B,0)),""))</f>
        <v>מדרס אורטופ.מתכוון35-36</v>
      </c>
      <c r="C28" s="9" t="n">
        <f aca="false">SUMIFS('Source 2025'!$K:$K,'Source 2025'!$B:$B,$A28,'Source 2025'!$A:$A,"Quantity (units)")+SUMIFS('Source 2025'!$O:$O,'Source 2025'!$B:$B,$A28,'Source 2025'!$A:$A,"Quantity (units)")+SUMIFS('Source 2025'!$R:$R,'Source 2025'!$B:$B,$A28,'Source 2025'!$A:$A,"Quantity (units)")+SUMIFS('Source 2025'!$P:$P,'Source 2025'!$B:$B,$A28,'Source 2025'!$A:$A,"Quantity (units)")+SUMIFS('Source 2025'!$J:$J,'Source 2025'!$B:$B,$A28,'Source 2025'!$A:$A,"Quantity (units)")+SUMIFS('Source 2025'!$L:$L,'Source 2025'!$B:$B,$A28,'Source 2025'!$A:$A,"Quantity (units)")</f>
        <v>83</v>
      </c>
      <c r="D28" s="9" t="n">
        <f aca="false">SUMIFS('Source 2026'!$K:$K,'Source 2026'!$B:$B,$A28,'Source 2026'!$A:$A,"Quantity (units)")+SUMIFS('Source 2026'!$O:$O,'Source 2026'!$B:$B,$A28,'Source 2026'!$A:$A,"Quantity (units)")+SUMIFS('Source 2026'!$R:$R,'Source 2026'!$B:$B,$A28,'Source 2026'!$A:$A,"Quantity (units)")+SUMIFS('Source 2026'!$P:$P,'Source 2026'!$B:$B,$A28,'Source 2026'!$A:$A,"Quantity (units)")+SUMIFS('Source 2026'!$J:$J,'Source 2026'!$B:$B,$A28,'Source 2026'!$A:$A,"Quantity (units)")+SUMIFS('Source 2026'!$L:$L,'Source 2026'!$B:$B,$A28,'Source 2026'!$A:$A,"Quantity (units)")</f>
        <v>39</v>
      </c>
      <c r="E28" s="9" t="n">
        <f aca="false">D28*$J$5</f>
        <v>49.2631578947368</v>
      </c>
      <c r="F28" s="9" t="n">
        <f aca="false">E28-C28</f>
        <v>-33.7368421052632</v>
      </c>
      <c r="G28" s="11" t="n">
        <f aca="false">IF(AND(C28=0,E28=0),0,IF(C28=0,"New",(E28-C28)/C28))</f>
        <v>-0.406467977171845</v>
      </c>
      <c r="H28" s="9" t="n">
        <f aca="false">SUMIFS('Source 2025'!$K:$K,'Source 2025'!$B:$B,$A28,'Source 2025'!$A:$A,"Amount (NIS)")+SUMIFS('Source 2025'!$O:$O,'Source 2025'!$B:$B,$A28,'Source 2025'!$A:$A,"Amount (NIS)")+SUMIFS('Source 2025'!$R:$R,'Source 2025'!$B:$B,$A28,'Source 2025'!$A:$A,"Amount (NIS)")+SUMIFS('Source 2025'!$P:$P,'Source 2025'!$B:$B,$A28,'Source 2025'!$A:$A,"Amount (NIS)")+SUMIFS('Source 2025'!$J:$J,'Source 2025'!$B:$B,$A28,'Source 2025'!$A:$A,"Amount (NIS)")+SUMIFS('Source 2025'!$L:$L,'Source 2025'!$B:$B,$A28,'Source 2025'!$A:$A,"Amount (NIS)")</f>
        <v>5750.7</v>
      </c>
      <c r="I28" s="9" t="n">
        <f aca="false">SUMIFS('Source 2026'!$K:$K,'Source 2026'!$B:$B,$A28,'Source 2026'!$A:$A,"Amount (NIS)")+SUMIFS('Source 2026'!$O:$O,'Source 2026'!$B:$B,$A28,'Source 2026'!$A:$A,"Amount (NIS)")+SUMIFS('Source 2026'!$R:$R,'Source 2026'!$B:$B,$A28,'Source 2026'!$A:$A,"Amount (NIS)")+SUMIFS('Source 2026'!$P:$P,'Source 2026'!$B:$B,$A28,'Source 2026'!$A:$A,"Amount (NIS)")+SUMIFS('Source 2026'!$J:$J,'Source 2026'!$B:$B,$A28,'Source 2026'!$A:$A,"Amount (NIS)")+SUMIFS('Source 2026'!$L:$L,'Source 2026'!$B:$B,$A28,'Source 2026'!$A:$A,"Amount (NIS)")</f>
        <v>2673.2</v>
      </c>
      <c r="J28" s="9" t="n">
        <f aca="false">I28*$J$5</f>
        <v>3376.67368421053</v>
      </c>
      <c r="K28" s="9" t="n">
        <f aca="false">J28-H28</f>
        <v>-2374.02631578947</v>
      </c>
      <c r="L28" s="11" t="n">
        <f aca="false">IF(AND(H28=0,J28=0),0,IF(H28=0,"New",(J28-H28)/H28))</f>
        <v>-0.412823885055641</v>
      </c>
    </row>
    <row r="29" customFormat="false" ht="15" hidden="false" customHeight="true" outlineLevel="0" collapsed="false">
      <c r="A29" s="8" t="s">
        <v>158</v>
      </c>
      <c r="B29" s="8" t="str">
        <f aca="false">IFERROR(INDEX('Source 2026'!$C:$C,MATCH($A29,'Source 2026'!$B:$B,0)),IFERROR(INDEX('Source 2025'!$C:$C,MATCH($A29,'Source 2025'!$B:$B,0)),""))</f>
        <v>S מגן קרסול מתכוון עם סקוטש</v>
      </c>
      <c r="C29" s="9" t="n">
        <f aca="false">SUMIFS('Source 2025'!$K:$K,'Source 2025'!$B:$B,$A29,'Source 2025'!$A:$A,"Quantity (units)")+SUMIFS('Source 2025'!$O:$O,'Source 2025'!$B:$B,$A29,'Source 2025'!$A:$A,"Quantity (units)")+SUMIFS('Source 2025'!$R:$R,'Source 2025'!$B:$B,$A29,'Source 2025'!$A:$A,"Quantity (units)")+SUMIFS('Source 2025'!$P:$P,'Source 2025'!$B:$B,$A29,'Source 2025'!$A:$A,"Quantity (units)")+SUMIFS('Source 2025'!$J:$J,'Source 2025'!$B:$B,$A29,'Source 2025'!$A:$A,"Quantity (units)")+SUMIFS('Source 2025'!$L:$L,'Source 2025'!$B:$B,$A29,'Source 2025'!$A:$A,"Quantity (units)")</f>
        <v>39</v>
      </c>
      <c r="D29" s="9" t="n">
        <f aca="false">SUMIFS('Source 2026'!$K:$K,'Source 2026'!$B:$B,$A29,'Source 2026'!$A:$A,"Quantity (units)")+SUMIFS('Source 2026'!$O:$O,'Source 2026'!$B:$B,$A29,'Source 2026'!$A:$A,"Quantity (units)")+SUMIFS('Source 2026'!$R:$R,'Source 2026'!$B:$B,$A29,'Source 2026'!$A:$A,"Quantity (units)")+SUMIFS('Source 2026'!$P:$P,'Source 2026'!$B:$B,$A29,'Source 2026'!$A:$A,"Quantity (units)")+SUMIFS('Source 2026'!$J:$J,'Source 2026'!$B:$B,$A29,'Source 2026'!$A:$A,"Quantity (units)")+SUMIFS('Source 2026'!$L:$L,'Source 2026'!$B:$B,$A29,'Source 2026'!$A:$A,"Quantity (units)")</f>
        <v>-9</v>
      </c>
      <c r="E29" s="9" t="n">
        <f aca="false">D29*$J$5</f>
        <v>-11.3684210526316</v>
      </c>
      <c r="F29" s="9" t="n">
        <f aca="false">E29-C29</f>
        <v>-50.3684210526316</v>
      </c>
      <c r="G29" s="11" t="n">
        <f aca="false">IF(AND(C29=0,E29=0),0,IF(C29=0,"New",(E29-C29)/C29))</f>
        <v>-1.2914979757085</v>
      </c>
      <c r="H29" s="9" t="n">
        <f aca="false">SUMIFS('Source 2025'!$K:$K,'Source 2025'!$B:$B,$A29,'Source 2025'!$A:$A,"Amount (NIS)")+SUMIFS('Source 2025'!$O:$O,'Source 2025'!$B:$B,$A29,'Source 2025'!$A:$A,"Amount (NIS)")+SUMIFS('Source 2025'!$R:$R,'Source 2025'!$B:$B,$A29,'Source 2025'!$A:$A,"Amount (NIS)")+SUMIFS('Source 2025'!$P:$P,'Source 2025'!$B:$B,$A29,'Source 2025'!$A:$A,"Amount (NIS)")+SUMIFS('Source 2025'!$J:$J,'Source 2025'!$B:$B,$A29,'Source 2025'!$A:$A,"Amount (NIS)")+SUMIFS('Source 2025'!$L:$L,'Source 2025'!$B:$B,$A29,'Source 2025'!$A:$A,"Amount (NIS)")</f>
        <v>2306.1</v>
      </c>
      <c r="I29" s="9" t="n">
        <f aca="false">SUMIFS('Source 2026'!$K:$K,'Source 2026'!$B:$B,$A29,'Source 2026'!$A:$A,"Amount (NIS)")+SUMIFS('Source 2026'!$O:$O,'Source 2026'!$B:$B,$A29,'Source 2026'!$A:$A,"Amount (NIS)")+SUMIFS('Source 2026'!$R:$R,'Source 2026'!$B:$B,$A29,'Source 2026'!$A:$A,"Amount (NIS)")+SUMIFS('Source 2026'!$P:$P,'Source 2026'!$B:$B,$A29,'Source 2026'!$A:$A,"Amount (NIS)")+SUMIFS('Source 2026'!$J:$J,'Source 2026'!$B:$B,$A29,'Source 2026'!$A:$A,"Amount (NIS)")+SUMIFS('Source 2026'!$L:$L,'Source 2026'!$B:$B,$A29,'Source 2026'!$A:$A,"Amount (NIS)")</f>
        <v>-555.6</v>
      </c>
      <c r="J29" s="9" t="n">
        <f aca="false">I29*$J$5</f>
        <v>-701.81052631579</v>
      </c>
      <c r="K29" s="9" t="n">
        <f aca="false">J29-H29</f>
        <v>-3007.91052631579</v>
      </c>
      <c r="L29" s="11" t="n">
        <f aca="false">IF(AND(H29=0,J29=0),0,IF(H29=0,"New",(J29-H29)/H29))</f>
        <v>-1.30432788097471</v>
      </c>
    </row>
    <row r="30" customFormat="false" ht="15" hidden="false" customHeight="true" outlineLevel="0" collapsed="false">
      <c r="A30" s="8" t="s">
        <v>108</v>
      </c>
      <c r="B30" s="8" t="str">
        <f aca="false">IFERROR(INDEX('Source 2026'!$C:$C,MATCH($A30,'Source 2026'!$B:$B,0)),IFERROR(INDEX('Source 2025'!$C:$C,MATCH($A30,'Source 2025'!$B:$B,0)),""))</f>
        <v>S""חגורת בטן""אורירית</v>
      </c>
      <c r="C30" s="9" t="n">
        <f aca="false">SUMIFS('Source 2025'!$K:$K,'Source 2025'!$B:$B,$A30,'Source 2025'!$A:$A,"Quantity (units)")+SUMIFS('Source 2025'!$O:$O,'Source 2025'!$B:$B,$A30,'Source 2025'!$A:$A,"Quantity (units)")+SUMIFS('Source 2025'!$R:$R,'Source 2025'!$B:$B,$A30,'Source 2025'!$A:$A,"Quantity (units)")+SUMIFS('Source 2025'!$P:$P,'Source 2025'!$B:$B,$A30,'Source 2025'!$A:$A,"Quantity (units)")+SUMIFS('Source 2025'!$J:$J,'Source 2025'!$B:$B,$A30,'Source 2025'!$A:$A,"Quantity (units)")+SUMIFS('Source 2025'!$L:$L,'Source 2025'!$B:$B,$A30,'Source 2025'!$A:$A,"Quantity (units)")</f>
        <v>227</v>
      </c>
      <c r="D30" s="9" t="n">
        <f aca="false">SUMIFS('Source 2026'!$K:$K,'Source 2026'!$B:$B,$A30,'Source 2026'!$A:$A,"Quantity (units)")+SUMIFS('Source 2026'!$O:$O,'Source 2026'!$B:$B,$A30,'Source 2026'!$A:$A,"Quantity (units)")+SUMIFS('Source 2026'!$R:$R,'Source 2026'!$B:$B,$A30,'Source 2026'!$A:$A,"Quantity (units)")+SUMIFS('Source 2026'!$P:$P,'Source 2026'!$B:$B,$A30,'Source 2026'!$A:$A,"Quantity (units)")+SUMIFS('Source 2026'!$J:$J,'Source 2026'!$B:$B,$A30,'Source 2026'!$A:$A,"Quantity (units)")+SUMIFS('Source 2026'!$L:$L,'Source 2026'!$B:$B,$A30,'Source 2026'!$A:$A,"Quantity (units)")</f>
        <v>195</v>
      </c>
      <c r="E30" s="9" t="n">
        <f aca="false">D30*$J$5</f>
        <v>246.315789473684</v>
      </c>
      <c r="F30" s="9" t="n">
        <f aca="false">E30-C30</f>
        <v>19.3157894736842</v>
      </c>
      <c r="G30" s="11" t="n">
        <f aca="false">IF(AND(C30=0,E30=0),0,IF(C30=0,"New",(E30-C30)/C30))</f>
        <v>0.0850915835845119</v>
      </c>
      <c r="H30" s="9" t="n">
        <f aca="false">SUMIFS('Source 2025'!$K:$K,'Source 2025'!$B:$B,$A30,'Source 2025'!$A:$A,"Amount (NIS)")+SUMIFS('Source 2025'!$O:$O,'Source 2025'!$B:$B,$A30,'Source 2025'!$A:$A,"Amount (NIS)")+SUMIFS('Source 2025'!$R:$R,'Source 2025'!$B:$B,$A30,'Source 2025'!$A:$A,"Amount (NIS)")+SUMIFS('Source 2025'!$P:$P,'Source 2025'!$B:$B,$A30,'Source 2025'!$A:$A,"Amount (NIS)")+SUMIFS('Source 2025'!$J:$J,'Source 2025'!$B:$B,$A30,'Source 2025'!$A:$A,"Amount (NIS)")+SUMIFS('Source 2025'!$L:$L,'Source 2025'!$B:$B,$A30,'Source 2025'!$A:$A,"Amount (NIS)")</f>
        <v>21707</v>
      </c>
      <c r="I30" s="9" t="n">
        <f aca="false">SUMIFS('Source 2026'!$K:$K,'Source 2026'!$B:$B,$A30,'Source 2026'!$A:$A,"Amount (NIS)")+SUMIFS('Source 2026'!$O:$O,'Source 2026'!$B:$B,$A30,'Source 2026'!$A:$A,"Amount (NIS)")+SUMIFS('Source 2026'!$R:$R,'Source 2026'!$B:$B,$A30,'Source 2026'!$A:$A,"Amount (NIS)")+SUMIFS('Source 2026'!$P:$P,'Source 2026'!$B:$B,$A30,'Source 2026'!$A:$A,"Amount (NIS)")+SUMIFS('Source 2026'!$J:$J,'Source 2026'!$B:$B,$A30,'Source 2026'!$A:$A,"Amount (NIS)")+SUMIFS('Source 2026'!$L:$L,'Source 2026'!$B:$B,$A30,'Source 2026'!$A:$A,"Amount (NIS)")</f>
        <v>18920.9</v>
      </c>
      <c r="J30" s="9" t="n">
        <f aca="false">I30*$J$5</f>
        <v>23900.0842105263</v>
      </c>
      <c r="K30" s="9" t="n">
        <f aca="false">J30-H30</f>
        <v>2193.08421052631</v>
      </c>
      <c r="L30" s="11" t="n">
        <f aca="false">IF(AND(H30=0,J30=0),0,IF(H30=0,"New",(J30-H30)/H30))</f>
        <v>0.101031197794551</v>
      </c>
    </row>
    <row r="31" customFormat="false" ht="15" hidden="false" customHeight="true" outlineLevel="0" collapsed="false">
      <c r="A31" s="8" t="s">
        <v>208</v>
      </c>
      <c r="B31" s="8" t="str">
        <f aca="false">IFERROR(INDEX('Source 2026'!$C:$C,MATCH($A31,'Source 2026'!$B:$B,0)),IFERROR(INDEX('Source 2025'!$C:$C,MATCH($A31,'Source 2025'!$B:$B,0)),""))</f>
        <v>חבק ""טניס אלבו רצועה</v>
      </c>
      <c r="C31" s="9" t="n">
        <f aca="false">SUMIFS('Source 2025'!$K:$K,'Source 2025'!$B:$B,$A31,'Source 2025'!$A:$A,"Quantity (units)")+SUMIFS('Source 2025'!$O:$O,'Source 2025'!$B:$B,$A31,'Source 2025'!$A:$A,"Quantity (units)")+SUMIFS('Source 2025'!$R:$R,'Source 2025'!$B:$B,$A31,'Source 2025'!$A:$A,"Quantity (units)")+SUMIFS('Source 2025'!$P:$P,'Source 2025'!$B:$B,$A31,'Source 2025'!$A:$A,"Quantity (units)")+SUMIFS('Source 2025'!$J:$J,'Source 2025'!$B:$B,$A31,'Source 2025'!$A:$A,"Quantity (units)")+SUMIFS('Source 2025'!$L:$L,'Source 2025'!$B:$B,$A31,'Source 2025'!$A:$A,"Quantity (units)")</f>
        <v>31</v>
      </c>
      <c r="D31" s="9" t="n">
        <f aca="false">SUMIFS('Source 2026'!$K:$K,'Source 2026'!$B:$B,$A31,'Source 2026'!$A:$A,"Quantity (units)")+SUMIFS('Source 2026'!$O:$O,'Source 2026'!$B:$B,$A31,'Source 2026'!$A:$A,"Quantity (units)")+SUMIFS('Source 2026'!$R:$R,'Source 2026'!$B:$B,$A31,'Source 2026'!$A:$A,"Quantity (units)")+SUMIFS('Source 2026'!$P:$P,'Source 2026'!$B:$B,$A31,'Source 2026'!$A:$A,"Quantity (units)")+SUMIFS('Source 2026'!$J:$J,'Source 2026'!$B:$B,$A31,'Source 2026'!$A:$A,"Quantity (units)")+SUMIFS('Source 2026'!$L:$L,'Source 2026'!$B:$B,$A31,'Source 2026'!$A:$A,"Quantity (units)")</f>
        <v>-6</v>
      </c>
      <c r="E31" s="9" t="n">
        <f aca="false">D31*$J$5</f>
        <v>-7.57894736842105</v>
      </c>
      <c r="F31" s="9" t="n">
        <f aca="false">E31-C31</f>
        <v>-38.5789473684211</v>
      </c>
      <c r="G31" s="11" t="n">
        <f aca="false">IF(AND(C31=0,E31=0),0,IF(C31=0,"New",(E31-C31)/C31))</f>
        <v>-1.24448217317487</v>
      </c>
      <c r="H31" s="9" t="n">
        <f aca="false">SUMIFS('Source 2025'!$K:$K,'Source 2025'!$B:$B,$A31,'Source 2025'!$A:$A,"Amount (NIS)")+SUMIFS('Source 2025'!$O:$O,'Source 2025'!$B:$B,$A31,'Source 2025'!$A:$A,"Amount (NIS)")+SUMIFS('Source 2025'!$R:$R,'Source 2025'!$B:$B,$A31,'Source 2025'!$A:$A,"Amount (NIS)")+SUMIFS('Source 2025'!$P:$P,'Source 2025'!$B:$B,$A31,'Source 2025'!$A:$A,"Amount (NIS)")+SUMIFS('Source 2025'!$J:$J,'Source 2025'!$B:$B,$A31,'Source 2025'!$A:$A,"Amount (NIS)")+SUMIFS('Source 2025'!$L:$L,'Source 2025'!$B:$B,$A31,'Source 2025'!$A:$A,"Amount (NIS)")</f>
        <v>2307.7</v>
      </c>
      <c r="I31" s="9" t="n">
        <f aca="false">SUMIFS('Source 2026'!$K:$K,'Source 2026'!$B:$B,$A31,'Source 2026'!$A:$A,"Amount (NIS)")+SUMIFS('Source 2026'!$O:$O,'Source 2026'!$B:$B,$A31,'Source 2026'!$A:$A,"Amount (NIS)")+SUMIFS('Source 2026'!$R:$R,'Source 2026'!$B:$B,$A31,'Source 2026'!$A:$A,"Amount (NIS)")+SUMIFS('Source 2026'!$P:$P,'Source 2026'!$B:$B,$A31,'Source 2026'!$A:$A,"Amount (NIS)")+SUMIFS('Source 2026'!$J:$J,'Source 2026'!$B:$B,$A31,'Source 2026'!$A:$A,"Amount (NIS)")+SUMIFS('Source 2026'!$L:$L,'Source 2026'!$B:$B,$A31,'Source 2026'!$A:$A,"Amount (NIS)")</f>
        <v>-449.8</v>
      </c>
      <c r="J31" s="9" t="n">
        <f aca="false">I31*$J$5</f>
        <v>-568.168421052632</v>
      </c>
      <c r="K31" s="9" t="n">
        <f aca="false">J31-H31</f>
        <v>-2875.86842105263</v>
      </c>
      <c r="L31" s="11" t="n">
        <f aca="false">IF(AND(H31=0,J31=0),0,IF(H31=0,"New",(J31-H31)/H31))</f>
        <v>-1.24620549510449</v>
      </c>
    </row>
    <row r="32" customFormat="false" ht="15" hidden="false" customHeight="true" outlineLevel="0" collapsed="false">
      <c r="A32" s="8" t="s">
        <v>127</v>
      </c>
      <c r="B32" s="8" t="str">
        <f aca="false">IFERROR(INDEX('Source 2026'!$C:$C,MATCH($A32,'Source 2026'!$B:$B,0)),IFERROR(INDEX('Source 2025'!$C:$C,MATCH($A32,'Source 2025'!$B:$B,0)),""))</f>
        <v>0 מ.בוניון+מפריד אצבע</v>
      </c>
      <c r="C32" s="9" t="n">
        <f aca="false">SUMIFS('Source 2025'!$K:$K,'Source 2025'!$B:$B,$A32,'Source 2025'!$A:$A,"Quantity (units)")+SUMIFS('Source 2025'!$O:$O,'Source 2025'!$B:$B,$A32,'Source 2025'!$A:$A,"Quantity (units)")+SUMIFS('Source 2025'!$R:$R,'Source 2025'!$B:$B,$A32,'Source 2025'!$A:$A,"Quantity (units)")+SUMIFS('Source 2025'!$P:$P,'Source 2025'!$B:$B,$A32,'Source 2025'!$A:$A,"Quantity (units)")+SUMIFS('Source 2025'!$J:$J,'Source 2025'!$B:$B,$A32,'Source 2025'!$A:$A,"Quantity (units)")+SUMIFS('Source 2025'!$L:$L,'Source 2025'!$B:$B,$A32,'Source 2025'!$A:$A,"Quantity (units)")</f>
        <v>142</v>
      </c>
      <c r="D32" s="9" t="n">
        <f aca="false">SUMIFS('Source 2026'!$K:$K,'Source 2026'!$B:$B,$A32,'Source 2026'!$A:$A,"Quantity (units)")+SUMIFS('Source 2026'!$O:$O,'Source 2026'!$B:$B,$A32,'Source 2026'!$A:$A,"Quantity (units)")+SUMIFS('Source 2026'!$R:$R,'Source 2026'!$B:$B,$A32,'Source 2026'!$A:$A,"Quantity (units)")+SUMIFS('Source 2026'!$P:$P,'Source 2026'!$B:$B,$A32,'Source 2026'!$A:$A,"Quantity (units)")+SUMIFS('Source 2026'!$J:$J,'Source 2026'!$B:$B,$A32,'Source 2026'!$A:$A,"Quantity (units)")+SUMIFS('Source 2026'!$L:$L,'Source 2026'!$B:$B,$A32,'Source 2026'!$A:$A,"Quantity (units)")</f>
        <v>70</v>
      </c>
      <c r="E32" s="9" t="n">
        <f aca="false">D32*$J$5</f>
        <v>88.421052631579</v>
      </c>
      <c r="F32" s="9" t="n">
        <f aca="false">E32-C32</f>
        <v>-53.5789473684211</v>
      </c>
      <c r="G32" s="11" t="n">
        <f aca="false">IF(AND(C32=0,E32=0),0,IF(C32=0,"New",(E32-C32)/C32))</f>
        <v>-0.377316530763529</v>
      </c>
      <c r="H32" s="9" t="n">
        <f aca="false">SUMIFS('Source 2025'!$K:$K,'Source 2025'!$B:$B,$A32,'Source 2025'!$A:$A,"Amount (NIS)")+SUMIFS('Source 2025'!$O:$O,'Source 2025'!$B:$B,$A32,'Source 2025'!$A:$A,"Amount (NIS)")+SUMIFS('Source 2025'!$R:$R,'Source 2025'!$B:$B,$A32,'Source 2025'!$A:$A,"Amount (NIS)")+SUMIFS('Source 2025'!$P:$P,'Source 2025'!$B:$B,$A32,'Source 2025'!$A:$A,"Amount (NIS)")+SUMIFS('Source 2025'!$J:$J,'Source 2025'!$B:$B,$A32,'Source 2025'!$A:$A,"Amount (NIS)")+SUMIFS('Source 2025'!$L:$L,'Source 2025'!$B:$B,$A32,'Source 2025'!$A:$A,"Amount (NIS)")</f>
        <v>5326.8</v>
      </c>
      <c r="I32" s="9" t="n">
        <f aca="false">SUMIFS('Source 2026'!$K:$K,'Source 2026'!$B:$B,$A32,'Source 2026'!$A:$A,"Amount (NIS)")+SUMIFS('Source 2026'!$O:$O,'Source 2026'!$B:$B,$A32,'Source 2026'!$A:$A,"Amount (NIS)")+SUMIFS('Source 2026'!$R:$R,'Source 2026'!$B:$B,$A32,'Source 2026'!$A:$A,"Amount (NIS)")+SUMIFS('Source 2026'!$P:$P,'Source 2026'!$B:$B,$A32,'Source 2026'!$A:$A,"Amount (NIS)")+SUMIFS('Source 2026'!$J:$J,'Source 2026'!$B:$B,$A32,'Source 2026'!$A:$A,"Amount (NIS)")+SUMIFS('Source 2026'!$L:$L,'Source 2026'!$B:$B,$A32,'Source 2026'!$A:$A,"Amount (NIS)")</f>
        <v>2618</v>
      </c>
      <c r="J32" s="9" t="n">
        <f aca="false">I32*$J$5</f>
        <v>3306.94736842105</v>
      </c>
      <c r="K32" s="9" t="n">
        <f aca="false">J32-H32</f>
        <v>-2019.85263157895</v>
      </c>
      <c r="L32" s="11" t="n">
        <f aca="false">IF(AND(H32=0,J32=0),0,IF(H32=0,"New",(J32-H32)/H32))</f>
        <v>-0.379186872339669</v>
      </c>
    </row>
    <row r="33" customFormat="false" ht="15" hidden="false" customHeight="true" outlineLevel="0" collapsed="false">
      <c r="A33" s="8" t="s">
        <v>88</v>
      </c>
      <c r="B33" s="8" t="str">
        <f aca="false">IFERROR(INDEX('Source 2026'!$C:$C,MATCH($A33,'Source 2026'!$B:$B,0)),IFERROR(INDEX('Source 2025'!$C:$C,MATCH($A33,'Source 2025'!$B:$B,0)),""))</f>
        <v>סד ליד דו צדדי</v>
      </c>
      <c r="C33" s="9" t="n">
        <f aca="false">SUMIFS('Source 2025'!$K:$K,'Source 2025'!$B:$B,$A33,'Source 2025'!$A:$A,"Quantity (units)")+SUMIFS('Source 2025'!$O:$O,'Source 2025'!$B:$B,$A33,'Source 2025'!$A:$A,"Quantity (units)")+SUMIFS('Source 2025'!$R:$R,'Source 2025'!$B:$B,$A33,'Source 2025'!$A:$A,"Quantity (units)")+SUMIFS('Source 2025'!$P:$P,'Source 2025'!$B:$B,$A33,'Source 2025'!$A:$A,"Quantity (units)")+SUMIFS('Source 2025'!$J:$J,'Source 2025'!$B:$B,$A33,'Source 2025'!$A:$A,"Quantity (units)")+SUMIFS('Source 2025'!$L:$L,'Source 2025'!$B:$B,$A33,'Source 2025'!$A:$A,"Quantity (units)")</f>
        <v>367</v>
      </c>
      <c r="D33" s="9" t="n">
        <f aca="false">SUMIFS('Source 2026'!$K:$K,'Source 2026'!$B:$B,$A33,'Source 2026'!$A:$A,"Quantity (units)")+SUMIFS('Source 2026'!$O:$O,'Source 2026'!$B:$B,$A33,'Source 2026'!$A:$A,"Quantity (units)")+SUMIFS('Source 2026'!$R:$R,'Source 2026'!$B:$B,$A33,'Source 2026'!$A:$A,"Quantity (units)")+SUMIFS('Source 2026'!$P:$P,'Source 2026'!$B:$B,$A33,'Source 2026'!$A:$A,"Quantity (units)")+SUMIFS('Source 2026'!$J:$J,'Source 2026'!$B:$B,$A33,'Source 2026'!$A:$A,"Quantity (units)")+SUMIFS('Source 2026'!$L:$L,'Source 2026'!$B:$B,$A33,'Source 2026'!$A:$A,"Quantity (units)")</f>
        <v>331</v>
      </c>
      <c r="E33" s="9" t="n">
        <f aca="false">D33*$J$5</f>
        <v>418.105263157895</v>
      </c>
      <c r="F33" s="9" t="n">
        <f aca="false">E33-C33</f>
        <v>51.1052631578947</v>
      </c>
      <c r="G33" s="11" t="n">
        <f aca="false">IF(AND(C33=0,E33=0),0,IF(C33=0,"New",(E33-C33)/C33))</f>
        <v>0.139251398250394</v>
      </c>
      <c r="H33" s="9" t="n">
        <f aca="false">SUMIFS('Source 2025'!$K:$K,'Source 2025'!$B:$B,$A33,'Source 2025'!$A:$A,"Amount (NIS)")+SUMIFS('Source 2025'!$O:$O,'Source 2025'!$B:$B,$A33,'Source 2025'!$A:$A,"Amount (NIS)")+SUMIFS('Source 2025'!$R:$R,'Source 2025'!$B:$B,$A33,'Source 2025'!$A:$A,"Amount (NIS)")+SUMIFS('Source 2025'!$P:$P,'Source 2025'!$B:$B,$A33,'Source 2025'!$A:$A,"Amount (NIS)")+SUMIFS('Source 2025'!$J:$J,'Source 2025'!$B:$B,$A33,'Source 2025'!$A:$A,"Amount (NIS)")+SUMIFS('Source 2025'!$L:$L,'Source 2025'!$B:$B,$A33,'Source 2025'!$A:$A,"Amount (NIS)")</f>
        <v>26702.9</v>
      </c>
      <c r="I33" s="9" t="n">
        <f aca="false">SUMIFS('Source 2026'!$K:$K,'Source 2026'!$B:$B,$A33,'Source 2026'!$A:$A,"Amount (NIS)")+SUMIFS('Source 2026'!$O:$O,'Source 2026'!$B:$B,$A33,'Source 2026'!$A:$A,"Amount (NIS)")+SUMIFS('Source 2026'!$R:$R,'Source 2026'!$B:$B,$A33,'Source 2026'!$A:$A,"Amount (NIS)")+SUMIFS('Source 2026'!$P:$P,'Source 2026'!$B:$B,$A33,'Source 2026'!$A:$A,"Amount (NIS)")+SUMIFS('Source 2026'!$J:$J,'Source 2026'!$B:$B,$A33,'Source 2026'!$A:$A,"Amount (NIS)")+SUMIFS('Source 2026'!$L:$L,'Source 2026'!$B:$B,$A33,'Source 2026'!$A:$A,"Amount (NIS)")</f>
        <v>24083.6</v>
      </c>
      <c r="J33" s="9" t="n">
        <f aca="false">I33*$J$5</f>
        <v>30421.3894736842</v>
      </c>
      <c r="K33" s="9" t="n">
        <f aca="false">J33-H33</f>
        <v>3718.48947368421</v>
      </c>
      <c r="L33" s="11" t="n">
        <f aca="false">IF(AND(H33=0,J33=0),0,IF(H33=0,"New",(J33-H33)/H33))</f>
        <v>0.139254143695412</v>
      </c>
    </row>
    <row r="34" customFormat="false" ht="15" hidden="false" customHeight="true" outlineLevel="0" collapsed="false">
      <c r="A34" s="8" t="s">
        <v>132</v>
      </c>
      <c r="B34" s="8" t="str">
        <f aca="false">IFERROR(INDEX('Source 2026'!$C:$C,MATCH($A34,'Source 2026'!$B:$B,0)),IFERROR(INDEX('Source 2025'!$C:$C,MATCH($A34,'Source 2025'!$B:$B,0)),""))</f>
        <v>למניעת שפשוף 5 יח</v>
      </c>
      <c r="C34" s="9" t="n">
        <f aca="false">SUMIFS('Source 2025'!$K:$K,'Source 2025'!$B:$B,$A34,'Source 2025'!$A:$A,"Quantity (units)")+SUMIFS('Source 2025'!$O:$O,'Source 2025'!$B:$B,$A34,'Source 2025'!$A:$A,"Quantity (units)")+SUMIFS('Source 2025'!$R:$R,'Source 2025'!$B:$B,$A34,'Source 2025'!$A:$A,"Quantity (units)")+SUMIFS('Source 2025'!$P:$P,'Source 2025'!$B:$B,$A34,'Source 2025'!$A:$A,"Quantity (units)")+SUMIFS('Source 2025'!$J:$J,'Source 2025'!$B:$B,$A34,'Source 2025'!$A:$A,"Quantity (units)")+SUMIFS('Source 2025'!$L:$L,'Source 2025'!$B:$B,$A34,'Source 2025'!$A:$A,"Quantity (units)")</f>
        <v>562</v>
      </c>
      <c r="D34" s="9" t="n">
        <f aca="false">SUMIFS('Source 2026'!$K:$K,'Source 2026'!$B:$B,$A34,'Source 2026'!$A:$A,"Quantity (units)")+SUMIFS('Source 2026'!$O:$O,'Source 2026'!$B:$B,$A34,'Source 2026'!$A:$A,"Quantity (units)")+SUMIFS('Source 2026'!$R:$R,'Source 2026'!$B:$B,$A34,'Source 2026'!$A:$A,"Quantity (units)")+SUMIFS('Source 2026'!$P:$P,'Source 2026'!$B:$B,$A34,'Source 2026'!$A:$A,"Quantity (units)")+SUMIFS('Source 2026'!$J:$J,'Source 2026'!$B:$B,$A34,'Source 2026'!$A:$A,"Quantity (units)")+SUMIFS('Source 2026'!$L:$L,'Source 2026'!$B:$B,$A34,'Source 2026'!$A:$A,"Quantity (units)")</f>
        <v>368</v>
      </c>
      <c r="E34" s="9" t="n">
        <f aca="false">D34*$J$5</f>
        <v>464.842105263158</v>
      </c>
      <c r="F34" s="9" t="n">
        <f aca="false">E34-C34</f>
        <v>-97.1578947368421</v>
      </c>
      <c r="G34" s="11" t="n">
        <f aca="false">IF(AND(C34=0,E34=0),0,IF(C34=0,"New",(E34-C34)/C34))</f>
        <v>-0.172878816257726</v>
      </c>
      <c r="H34" s="9" t="n">
        <f aca="false">SUMIFS('Source 2025'!$K:$K,'Source 2025'!$B:$B,$A34,'Source 2025'!$A:$A,"Amount (NIS)")+SUMIFS('Source 2025'!$O:$O,'Source 2025'!$B:$B,$A34,'Source 2025'!$A:$A,"Amount (NIS)")+SUMIFS('Source 2025'!$R:$R,'Source 2025'!$B:$B,$A34,'Source 2025'!$A:$A,"Amount (NIS)")+SUMIFS('Source 2025'!$P:$P,'Source 2025'!$B:$B,$A34,'Source 2025'!$A:$A,"Amount (NIS)")+SUMIFS('Source 2025'!$J:$J,'Source 2025'!$B:$B,$A34,'Source 2025'!$A:$A,"Amount (NIS)")+SUMIFS('Source 2025'!$L:$L,'Source 2025'!$B:$B,$A34,'Source 2025'!$A:$A,"Amount (NIS)")</f>
        <v>7497.4</v>
      </c>
      <c r="I34" s="9" t="n">
        <f aca="false">SUMIFS('Source 2026'!$K:$K,'Source 2026'!$B:$B,$A34,'Source 2026'!$A:$A,"Amount (NIS)")+SUMIFS('Source 2026'!$O:$O,'Source 2026'!$B:$B,$A34,'Source 2026'!$A:$A,"Amount (NIS)")+SUMIFS('Source 2026'!$R:$R,'Source 2026'!$B:$B,$A34,'Source 2026'!$A:$A,"Amount (NIS)")+SUMIFS('Source 2026'!$P:$P,'Source 2026'!$B:$B,$A34,'Source 2026'!$A:$A,"Amount (NIS)")+SUMIFS('Source 2026'!$J:$J,'Source 2026'!$B:$B,$A34,'Source 2026'!$A:$A,"Amount (NIS)")+SUMIFS('Source 2026'!$L:$L,'Source 2026'!$B:$B,$A34,'Source 2026'!$A:$A,"Amount (NIS)")</f>
        <v>4909.2</v>
      </c>
      <c r="J34" s="9" t="n">
        <f aca="false">I34*$J$5</f>
        <v>6201.09473684211</v>
      </c>
      <c r="K34" s="9" t="n">
        <f aca="false">J34-H34</f>
        <v>-1296.30526315789</v>
      </c>
      <c r="L34" s="11" t="n">
        <f aca="false">IF(AND(H34=0,J34=0),0,IF(H34=0,"New",(J34-H34)/H34))</f>
        <v>-0.172900640643142</v>
      </c>
    </row>
    <row r="35" customFormat="false" ht="15" hidden="false" customHeight="true" outlineLevel="0" collapsed="false">
      <c r="A35" s="8" t="s">
        <v>131</v>
      </c>
      <c r="B35" s="8" t="str">
        <f aca="false">IFERROR(INDEX('Source 2026'!$C:$C,MATCH($A35,'Source 2026'!$B:$B,0)),IFERROR(INDEX('Source 2025'!$C:$C,MATCH($A35,'Source 2025'!$B:$B,0)),""))</f>
        <v>S-L אצבעון מסיליקון יחידה</v>
      </c>
      <c r="C35" s="9" t="n">
        <f aca="false">SUMIFS('Source 2025'!$K:$K,'Source 2025'!$B:$B,$A35,'Source 2025'!$A:$A,"Quantity (units)")+SUMIFS('Source 2025'!$O:$O,'Source 2025'!$B:$B,$A35,'Source 2025'!$A:$A,"Quantity (units)")+SUMIFS('Source 2025'!$R:$R,'Source 2025'!$B:$B,$A35,'Source 2025'!$A:$A,"Quantity (units)")+SUMIFS('Source 2025'!$P:$P,'Source 2025'!$B:$B,$A35,'Source 2025'!$A:$A,"Quantity (units)")+SUMIFS('Source 2025'!$J:$J,'Source 2025'!$B:$B,$A35,'Source 2025'!$A:$A,"Quantity (units)")+SUMIFS('Source 2025'!$L:$L,'Source 2025'!$B:$B,$A35,'Source 2025'!$A:$A,"Quantity (units)")</f>
        <v>302</v>
      </c>
      <c r="D35" s="9" t="n">
        <f aca="false">SUMIFS('Source 2026'!$K:$K,'Source 2026'!$B:$B,$A35,'Source 2026'!$A:$A,"Quantity (units)")+SUMIFS('Source 2026'!$O:$O,'Source 2026'!$B:$B,$A35,'Source 2026'!$A:$A,"Quantity (units)")+SUMIFS('Source 2026'!$R:$R,'Source 2026'!$B:$B,$A35,'Source 2026'!$A:$A,"Quantity (units)")+SUMIFS('Source 2026'!$P:$P,'Source 2026'!$B:$B,$A35,'Source 2026'!$A:$A,"Quantity (units)")+SUMIFS('Source 2026'!$J:$J,'Source 2026'!$B:$B,$A35,'Source 2026'!$A:$A,"Quantity (units)")+SUMIFS('Source 2026'!$L:$L,'Source 2026'!$B:$B,$A35,'Source 2026'!$A:$A,"Quantity (units)")</f>
        <v>181</v>
      </c>
      <c r="E35" s="9" t="n">
        <f aca="false">D35*$J$5</f>
        <v>228.631578947368</v>
      </c>
      <c r="F35" s="9" t="n">
        <f aca="false">E35-C35</f>
        <v>-73.3684210526316</v>
      </c>
      <c r="G35" s="11" t="n">
        <f aca="false">IF(AND(C35=0,E35=0),0,IF(C35=0,"New",(E35-C35)/C35))</f>
        <v>-0.242941791565005</v>
      </c>
      <c r="H35" s="9" t="n">
        <f aca="false">SUMIFS('Source 2025'!$K:$K,'Source 2025'!$B:$B,$A35,'Source 2025'!$A:$A,"Amount (NIS)")+SUMIFS('Source 2025'!$O:$O,'Source 2025'!$B:$B,$A35,'Source 2025'!$A:$A,"Amount (NIS)")+SUMIFS('Source 2025'!$R:$R,'Source 2025'!$B:$B,$A35,'Source 2025'!$A:$A,"Amount (NIS)")+SUMIFS('Source 2025'!$P:$P,'Source 2025'!$B:$B,$A35,'Source 2025'!$A:$A,"Amount (NIS)")+SUMIFS('Source 2025'!$J:$J,'Source 2025'!$B:$B,$A35,'Source 2025'!$A:$A,"Amount (NIS)")+SUMIFS('Source 2025'!$L:$L,'Source 2025'!$B:$B,$A35,'Source 2025'!$A:$A,"Amount (NIS)")</f>
        <v>6389.2</v>
      </c>
      <c r="I35" s="9" t="n">
        <f aca="false">SUMIFS('Source 2026'!$K:$K,'Source 2026'!$B:$B,$A35,'Source 2026'!$A:$A,"Amount (NIS)")+SUMIFS('Source 2026'!$O:$O,'Source 2026'!$B:$B,$A35,'Source 2026'!$A:$A,"Amount (NIS)")+SUMIFS('Source 2026'!$R:$R,'Source 2026'!$B:$B,$A35,'Source 2026'!$A:$A,"Amount (NIS)")+SUMIFS('Source 2026'!$P:$P,'Source 2026'!$B:$B,$A35,'Source 2026'!$A:$A,"Amount (NIS)")+SUMIFS('Source 2026'!$J:$J,'Source 2026'!$B:$B,$A35,'Source 2026'!$A:$A,"Amount (NIS)")+SUMIFS('Source 2026'!$L:$L,'Source 2026'!$B:$B,$A35,'Source 2026'!$A:$A,"Amount (NIS)")</f>
        <v>3813.9</v>
      </c>
      <c r="J35" s="9" t="n">
        <f aca="false">I35*$J$5</f>
        <v>4817.55789473684</v>
      </c>
      <c r="K35" s="9" t="n">
        <f aca="false">J35-H35</f>
        <v>-1571.64210526316</v>
      </c>
      <c r="L35" s="11" t="n">
        <f aca="false">IF(AND(H35=0,J35=0),0,IF(H35=0,"New",(J35-H35)/H35))</f>
        <v>-0.245984177246472</v>
      </c>
    </row>
    <row r="36" customFormat="false" ht="15" hidden="false" customHeight="true" outlineLevel="0" collapsed="false">
      <c r="A36" s="8" t="s">
        <v>161</v>
      </c>
      <c r="B36" s="8" t="str">
        <f aca="false">IFERROR(INDEX('Source 2026'!$C:$C,MATCH($A36,'Source 2026'!$B:$B,0)),IFERROR(INDEX('Source 2025'!$C:$C,MATCH($A36,'Source 2025'!$B:$B,0)),""))</f>
        <v>בוהן סיליקון קשיח</v>
      </c>
      <c r="C36" s="9" t="n">
        <f aca="false">SUMIFS('Source 2025'!$K:$K,'Source 2025'!$B:$B,$A36,'Source 2025'!$A:$A,"Quantity (units)")+SUMIFS('Source 2025'!$O:$O,'Source 2025'!$B:$B,$A36,'Source 2025'!$A:$A,"Quantity (units)")+SUMIFS('Source 2025'!$R:$R,'Source 2025'!$B:$B,$A36,'Source 2025'!$A:$A,"Quantity (units)")+SUMIFS('Source 2025'!$P:$P,'Source 2025'!$B:$B,$A36,'Source 2025'!$A:$A,"Quantity (units)")+SUMIFS('Source 2025'!$J:$J,'Source 2025'!$B:$B,$A36,'Source 2025'!$A:$A,"Quantity (units)")+SUMIFS('Source 2025'!$L:$L,'Source 2025'!$B:$B,$A36,'Source 2025'!$A:$A,"Quantity (units)")</f>
        <v>150</v>
      </c>
      <c r="D36" s="9" t="n">
        <f aca="false">SUMIFS('Source 2026'!$K:$K,'Source 2026'!$B:$B,$A36,'Source 2026'!$A:$A,"Quantity (units)")+SUMIFS('Source 2026'!$O:$O,'Source 2026'!$B:$B,$A36,'Source 2026'!$A:$A,"Quantity (units)")+SUMIFS('Source 2026'!$R:$R,'Source 2026'!$B:$B,$A36,'Source 2026'!$A:$A,"Quantity (units)")+SUMIFS('Source 2026'!$P:$P,'Source 2026'!$B:$B,$A36,'Source 2026'!$A:$A,"Quantity (units)")+SUMIFS('Source 2026'!$J:$J,'Source 2026'!$B:$B,$A36,'Source 2026'!$A:$A,"Quantity (units)")+SUMIFS('Source 2026'!$L:$L,'Source 2026'!$B:$B,$A36,'Source 2026'!$A:$A,"Quantity (units)")</f>
        <v>25</v>
      </c>
      <c r="E36" s="9" t="n">
        <f aca="false">D36*$J$5</f>
        <v>31.5789473684211</v>
      </c>
      <c r="F36" s="9" t="n">
        <f aca="false">E36-C36</f>
        <v>-118.421052631579</v>
      </c>
      <c r="G36" s="11" t="n">
        <f aca="false">IF(AND(C36=0,E36=0),0,IF(C36=0,"New",(E36-C36)/C36))</f>
        <v>-0.789473684210526</v>
      </c>
      <c r="H36" s="9" t="n">
        <f aca="false">SUMIFS('Source 2025'!$K:$K,'Source 2025'!$B:$B,$A36,'Source 2025'!$A:$A,"Amount (NIS)")+SUMIFS('Source 2025'!$O:$O,'Source 2025'!$B:$B,$A36,'Source 2025'!$A:$A,"Amount (NIS)")+SUMIFS('Source 2025'!$R:$R,'Source 2025'!$B:$B,$A36,'Source 2025'!$A:$A,"Amount (NIS)")+SUMIFS('Source 2025'!$P:$P,'Source 2025'!$B:$B,$A36,'Source 2025'!$A:$A,"Amount (NIS)")+SUMIFS('Source 2025'!$J:$J,'Source 2025'!$B:$B,$A36,'Source 2025'!$A:$A,"Amount (NIS)")+SUMIFS('Source 2025'!$L:$L,'Source 2025'!$B:$B,$A36,'Source 2025'!$A:$A,"Amount (NIS)")</f>
        <v>2970.1</v>
      </c>
      <c r="I36" s="9" t="n">
        <f aca="false">SUMIFS('Source 2026'!$K:$K,'Source 2026'!$B:$B,$A36,'Source 2026'!$A:$A,"Amount (NIS)")+SUMIFS('Source 2026'!$O:$O,'Source 2026'!$B:$B,$A36,'Source 2026'!$A:$A,"Amount (NIS)")+SUMIFS('Source 2026'!$R:$R,'Source 2026'!$B:$B,$A36,'Source 2026'!$A:$A,"Amount (NIS)")+SUMIFS('Source 2026'!$P:$P,'Source 2026'!$B:$B,$A36,'Source 2026'!$A:$A,"Amount (NIS)")+SUMIFS('Source 2026'!$J:$J,'Source 2026'!$B:$B,$A36,'Source 2026'!$A:$A,"Amount (NIS)")+SUMIFS('Source 2026'!$L:$L,'Source 2026'!$B:$B,$A36,'Source 2026'!$A:$A,"Amount (NIS)")</f>
        <v>493.6</v>
      </c>
      <c r="J36" s="9" t="n">
        <f aca="false">I36*$J$5</f>
        <v>623.494736842105</v>
      </c>
      <c r="K36" s="9" t="n">
        <f aca="false">J36-H36</f>
        <v>-2346.60526315789</v>
      </c>
      <c r="L36" s="11" t="n">
        <f aca="false">IF(AND(H36=0,J36=0),0,IF(H36=0,"New",(J36-H36)/H36))</f>
        <v>-0.790076180316452</v>
      </c>
    </row>
    <row r="37" customFormat="false" ht="15" hidden="false" customHeight="true" outlineLevel="0" collapsed="false">
      <c r="A37" s="8" t="s">
        <v>266</v>
      </c>
      <c r="B37" s="8" t="str">
        <f aca="false">IFERROR(INDEX('Source 2026'!$C:$C,MATCH($A37,'Source 2026'!$B:$B,0)),IFERROR(INDEX('Source 2025'!$C:$C,MATCH($A37,'Source 2025'!$B:$B,0)),""))</f>
        <v>Sחגורה למנותחי בטן</v>
      </c>
      <c r="C37" s="9" t="n">
        <f aca="false">SUMIFS('Source 2025'!$K:$K,'Source 2025'!$B:$B,$A37,'Source 2025'!$A:$A,"Quantity (units)")+SUMIFS('Source 2025'!$O:$O,'Source 2025'!$B:$B,$A37,'Source 2025'!$A:$A,"Quantity (units)")+SUMIFS('Source 2025'!$R:$R,'Source 2025'!$B:$B,$A37,'Source 2025'!$A:$A,"Quantity (units)")+SUMIFS('Source 2025'!$P:$P,'Source 2025'!$B:$B,$A37,'Source 2025'!$A:$A,"Quantity (units)")+SUMIFS('Source 2025'!$J:$J,'Source 2025'!$B:$B,$A37,'Source 2025'!$A:$A,"Quantity (units)")+SUMIFS('Source 2025'!$L:$L,'Source 2025'!$B:$B,$A37,'Source 2025'!$A:$A,"Quantity (units)")</f>
        <v>23</v>
      </c>
      <c r="D37" s="9" t="n">
        <f aca="false">SUMIFS('Source 2026'!$K:$K,'Source 2026'!$B:$B,$A37,'Source 2026'!$A:$A,"Quantity (units)")+SUMIFS('Source 2026'!$O:$O,'Source 2026'!$B:$B,$A37,'Source 2026'!$A:$A,"Quantity (units)")+SUMIFS('Source 2026'!$R:$R,'Source 2026'!$B:$B,$A37,'Source 2026'!$A:$A,"Quantity (units)")+SUMIFS('Source 2026'!$P:$P,'Source 2026'!$B:$B,$A37,'Source 2026'!$A:$A,"Quantity (units)")+SUMIFS('Source 2026'!$J:$J,'Source 2026'!$B:$B,$A37,'Source 2026'!$A:$A,"Quantity (units)")+SUMIFS('Source 2026'!$L:$L,'Source 2026'!$B:$B,$A37,'Source 2026'!$A:$A,"Quantity (units)")</f>
        <v>3</v>
      </c>
      <c r="E37" s="9" t="n">
        <f aca="false">D37*$J$5</f>
        <v>3.78947368421053</v>
      </c>
      <c r="F37" s="9" t="n">
        <f aca="false">E37-C37</f>
        <v>-19.2105263157895</v>
      </c>
      <c r="G37" s="11" t="n">
        <f aca="false">IF(AND(C37=0,E37=0),0,IF(C37=0,"New",(E37-C37)/C37))</f>
        <v>-0.835240274599542</v>
      </c>
      <c r="H37" s="9" t="n">
        <f aca="false">SUMIFS('Source 2025'!$K:$K,'Source 2025'!$B:$B,$A37,'Source 2025'!$A:$A,"Amount (NIS)")+SUMIFS('Source 2025'!$O:$O,'Source 2025'!$B:$B,$A37,'Source 2025'!$A:$A,"Amount (NIS)")+SUMIFS('Source 2025'!$R:$R,'Source 2025'!$B:$B,$A37,'Source 2025'!$A:$A,"Amount (NIS)")+SUMIFS('Source 2025'!$P:$P,'Source 2025'!$B:$B,$A37,'Source 2025'!$A:$A,"Amount (NIS)")+SUMIFS('Source 2025'!$J:$J,'Source 2025'!$B:$B,$A37,'Source 2025'!$A:$A,"Amount (NIS)")+SUMIFS('Source 2025'!$L:$L,'Source 2025'!$B:$B,$A37,'Source 2025'!$A:$A,"Amount (NIS)")</f>
        <v>2728.7</v>
      </c>
      <c r="I37" s="9" t="n">
        <f aca="false">SUMIFS('Source 2026'!$K:$K,'Source 2026'!$B:$B,$A37,'Source 2026'!$A:$A,"Amount (NIS)")+SUMIFS('Source 2026'!$O:$O,'Source 2026'!$B:$B,$A37,'Source 2026'!$A:$A,"Amount (NIS)")+SUMIFS('Source 2026'!$R:$R,'Source 2026'!$B:$B,$A37,'Source 2026'!$A:$A,"Amount (NIS)")+SUMIFS('Source 2026'!$P:$P,'Source 2026'!$B:$B,$A37,'Source 2026'!$A:$A,"Amount (NIS)")+SUMIFS('Source 2026'!$J:$J,'Source 2026'!$B:$B,$A37,'Source 2026'!$A:$A,"Amount (NIS)")+SUMIFS('Source 2026'!$L:$L,'Source 2026'!$B:$B,$A37,'Source 2026'!$A:$A,"Amount (NIS)")</f>
        <v>355.9</v>
      </c>
      <c r="J37" s="9" t="n">
        <f aca="false">I37*$J$5</f>
        <v>449.557894736842</v>
      </c>
      <c r="K37" s="9" t="n">
        <f aca="false">J37-H37</f>
        <v>-2279.14210526316</v>
      </c>
      <c r="L37" s="11" t="n">
        <f aca="false">IF(AND(H37=0,J37=0),0,IF(H37=0,"New",(J37-H37)/H37))</f>
        <v>-0.835248325306248</v>
      </c>
    </row>
    <row r="38" customFormat="false" ht="15" hidden="false" customHeight="true" outlineLevel="0" collapsed="false">
      <c r="A38" s="8" t="s">
        <v>159</v>
      </c>
      <c r="B38" s="8" t="str">
        <f aca="false">IFERROR(INDEX('Source 2026'!$C:$C,MATCH($A38,'Source 2026'!$B:$B,0)),IFERROR(INDEX('Source 2025'!$C:$C,MATCH($A38,'Source 2025'!$B:$B,0)),""))</f>
        <v>S-Lטבעת אלסטית מסיליקון</v>
      </c>
      <c r="C38" s="9" t="n">
        <f aca="false">SUMIFS('Source 2025'!$K:$K,'Source 2025'!$B:$B,$A38,'Source 2025'!$A:$A,"Quantity (units)")+SUMIFS('Source 2025'!$O:$O,'Source 2025'!$B:$B,$A38,'Source 2025'!$A:$A,"Quantity (units)")+SUMIFS('Source 2025'!$R:$R,'Source 2025'!$B:$B,$A38,'Source 2025'!$A:$A,"Quantity (units)")+SUMIFS('Source 2025'!$P:$P,'Source 2025'!$B:$B,$A38,'Source 2025'!$A:$A,"Quantity (units)")+SUMIFS('Source 2025'!$J:$J,'Source 2025'!$B:$B,$A38,'Source 2025'!$A:$A,"Quantity (units)")+SUMIFS('Source 2025'!$L:$L,'Source 2025'!$B:$B,$A38,'Source 2025'!$A:$A,"Quantity (units)")</f>
        <v>359</v>
      </c>
      <c r="D38" s="9" t="n">
        <f aca="false">SUMIFS('Source 2026'!$K:$K,'Source 2026'!$B:$B,$A38,'Source 2026'!$A:$A,"Quantity (units)")+SUMIFS('Source 2026'!$O:$O,'Source 2026'!$B:$B,$A38,'Source 2026'!$A:$A,"Quantity (units)")+SUMIFS('Source 2026'!$R:$R,'Source 2026'!$B:$B,$A38,'Source 2026'!$A:$A,"Quantity (units)")+SUMIFS('Source 2026'!$P:$P,'Source 2026'!$B:$B,$A38,'Source 2026'!$A:$A,"Quantity (units)")+SUMIFS('Source 2026'!$J:$J,'Source 2026'!$B:$B,$A38,'Source 2026'!$A:$A,"Quantity (units)")+SUMIFS('Source 2026'!$L:$L,'Source 2026'!$B:$B,$A38,'Source 2026'!$A:$A,"Quantity (units)")</f>
        <v>176</v>
      </c>
      <c r="E38" s="9" t="n">
        <f aca="false">D38*$J$5</f>
        <v>222.315789473684</v>
      </c>
      <c r="F38" s="9" t="n">
        <f aca="false">E38-C38</f>
        <v>-136.684210526316</v>
      </c>
      <c r="G38" s="11" t="n">
        <f aca="false">IF(AND(C38=0,E38=0),0,IF(C38=0,"New",(E38-C38)/C38))</f>
        <v>-0.380735962468846</v>
      </c>
      <c r="H38" s="9" t="n">
        <f aca="false">SUMIFS('Source 2025'!$K:$K,'Source 2025'!$B:$B,$A38,'Source 2025'!$A:$A,"Amount (NIS)")+SUMIFS('Source 2025'!$O:$O,'Source 2025'!$B:$B,$A38,'Source 2025'!$A:$A,"Amount (NIS)")+SUMIFS('Source 2025'!$R:$R,'Source 2025'!$B:$B,$A38,'Source 2025'!$A:$A,"Amount (NIS)")+SUMIFS('Source 2025'!$P:$P,'Source 2025'!$B:$B,$A38,'Source 2025'!$A:$A,"Amount (NIS)")+SUMIFS('Source 2025'!$J:$J,'Source 2025'!$B:$B,$A38,'Source 2025'!$A:$A,"Amount (NIS)")+SUMIFS('Source 2025'!$L:$L,'Source 2025'!$B:$B,$A38,'Source 2025'!$A:$A,"Amount (NIS)")</f>
        <v>4504.4</v>
      </c>
      <c r="I38" s="9" t="n">
        <f aca="false">SUMIFS('Source 2026'!$K:$K,'Source 2026'!$B:$B,$A38,'Source 2026'!$A:$A,"Amount (NIS)")+SUMIFS('Source 2026'!$O:$O,'Source 2026'!$B:$B,$A38,'Source 2026'!$A:$A,"Amount (NIS)")+SUMIFS('Source 2026'!$R:$R,'Source 2026'!$B:$B,$A38,'Source 2026'!$A:$A,"Amount (NIS)")+SUMIFS('Source 2026'!$P:$P,'Source 2026'!$B:$B,$A38,'Source 2026'!$A:$A,"Amount (NIS)")+SUMIFS('Source 2026'!$J:$J,'Source 2026'!$B:$B,$A38,'Source 2026'!$A:$A,"Amount (NIS)")+SUMIFS('Source 2026'!$L:$L,'Source 2026'!$B:$B,$A38,'Source 2026'!$A:$A,"Amount (NIS)")</f>
        <v>2168.2</v>
      </c>
      <c r="J38" s="9" t="n">
        <f aca="false">I38*$J$5</f>
        <v>2738.77894736842</v>
      </c>
      <c r="K38" s="9" t="n">
        <f aca="false">J38-H38</f>
        <v>-1765.62105263158</v>
      </c>
      <c r="L38" s="11" t="n">
        <f aca="false">IF(AND(H38=0,J38=0),0,IF(H38=0,"New",(J38-H38)/H38))</f>
        <v>-0.391976967549858</v>
      </c>
    </row>
    <row r="39" customFormat="false" ht="15" hidden="false" customHeight="true" outlineLevel="0" collapsed="false">
      <c r="A39" s="8" t="s">
        <v>187</v>
      </c>
      <c r="B39" s="8" t="str">
        <f aca="false">IFERROR(INDEX('Source 2026'!$C:$C,MATCH($A39,'Source 2026'!$B:$B,0)),IFERROR(INDEX('Source 2025'!$C:$C,MATCH($A39,'Source 2025'!$B:$B,0)),""))</f>
        <v>S מגן ברך מחמם</v>
      </c>
      <c r="C39" s="9" t="n">
        <f aca="false">SUMIFS('Source 2025'!$K:$K,'Source 2025'!$B:$B,$A39,'Source 2025'!$A:$A,"Quantity (units)")+SUMIFS('Source 2025'!$O:$O,'Source 2025'!$B:$B,$A39,'Source 2025'!$A:$A,"Quantity (units)")+SUMIFS('Source 2025'!$R:$R,'Source 2025'!$B:$B,$A39,'Source 2025'!$A:$A,"Quantity (units)")+SUMIFS('Source 2025'!$P:$P,'Source 2025'!$B:$B,$A39,'Source 2025'!$A:$A,"Quantity (units)")+SUMIFS('Source 2025'!$J:$J,'Source 2025'!$B:$B,$A39,'Source 2025'!$A:$A,"Quantity (units)")+SUMIFS('Source 2025'!$L:$L,'Source 2025'!$B:$B,$A39,'Source 2025'!$A:$A,"Quantity (units)")</f>
        <v>43</v>
      </c>
      <c r="D39" s="9" t="n">
        <f aca="false">SUMIFS('Source 2026'!$K:$K,'Source 2026'!$B:$B,$A39,'Source 2026'!$A:$A,"Quantity (units)")+SUMIFS('Source 2026'!$O:$O,'Source 2026'!$B:$B,$A39,'Source 2026'!$A:$A,"Quantity (units)")+SUMIFS('Source 2026'!$R:$R,'Source 2026'!$B:$B,$A39,'Source 2026'!$A:$A,"Quantity (units)")+SUMIFS('Source 2026'!$P:$P,'Source 2026'!$B:$B,$A39,'Source 2026'!$A:$A,"Quantity (units)")+SUMIFS('Source 2026'!$J:$J,'Source 2026'!$B:$B,$A39,'Source 2026'!$A:$A,"Quantity (units)")+SUMIFS('Source 2026'!$L:$L,'Source 2026'!$B:$B,$A39,'Source 2026'!$A:$A,"Quantity (units)")</f>
        <v>0</v>
      </c>
      <c r="E39" s="9" t="n">
        <f aca="false">D39*$J$5</f>
        <v>0</v>
      </c>
      <c r="F39" s="9" t="n">
        <f aca="false">E39-C39</f>
        <v>-43</v>
      </c>
      <c r="G39" s="11" t="n">
        <f aca="false">IF(AND(C39=0,E39=0),0,IF(C39=0,"New",(E39-C39)/C39))</f>
        <v>-1</v>
      </c>
      <c r="H39" s="9" t="n">
        <f aca="false">SUMIFS('Source 2025'!$K:$K,'Source 2025'!$B:$B,$A39,'Source 2025'!$A:$A,"Amount (NIS)")+SUMIFS('Source 2025'!$O:$O,'Source 2025'!$B:$B,$A39,'Source 2025'!$A:$A,"Amount (NIS)")+SUMIFS('Source 2025'!$R:$R,'Source 2025'!$B:$B,$A39,'Source 2025'!$A:$A,"Amount (NIS)")+SUMIFS('Source 2025'!$P:$P,'Source 2025'!$B:$B,$A39,'Source 2025'!$A:$A,"Amount (NIS)")+SUMIFS('Source 2025'!$J:$J,'Source 2025'!$B:$B,$A39,'Source 2025'!$A:$A,"Amount (NIS)")+SUMIFS('Source 2025'!$L:$L,'Source 2025'!$B:$B,$A39,'Source 2025'!$A:$A,"Amount (NIS)")</f>
        <v>2251.3</v>
      </c>
      <c r="I39" s="9" t="n">
        <f aca="false">SUMIFS('Source 2026'!$K:$K,'Source 2026'!$B:$B,$A39,'Source 2026'!$A:$A,"Amount (NIS)")+SUMIFS('Source 2026'!$O:$O,'Source 2026'!$B:$B,$A39,'Source 2026'!$A:$A,"Amount (NIS)")+SUMIFS('Source 2026'!$R:$R,'Source 2026'!$B:$B,$A39,'Source 2026'!$A:$A,"Amount (NIS)")+SUMIFS('Source 2026'!$P:$P,'Source 2026'!$B:$B,$A39,'Source 2026'!$A:$A,"Amount (NIS)")+SUMIFS('Source 2026'!$J:$J,'Source 2026'!$B:$B,$A39,'Source 2026'!$A:$A,"Amount (NIS)")+SUMIFS('Source 2026'!$L:$L,'Source 2026'!$B:$B,$A39,'Source 2026'!$A:$A,"Amount (NIS)")</f>
        <v>0</v>
      </c>
      <c r="J39" s="9" t="n">
        <f aca="false">I39*$J$5</f>
        <v>0</v>
      </c>
      <c r="K39" s="9" t="n">
        <f aca="false">J39-H39</f>
        <v>-2251.3</v>
      </c>
      <c r="L39" s="11" t="n">
        <f aca="false">IF(AND(H39=0,J39=0),0,IF(H39=0,"New",(J39-H39)/H39))</f>
        <v>-1</v>
      </c>
    </row>
    <row r="40" customFormat="false" ht="15" hidden="false" customHeight="true" outlineLevel="0" collapsed="false">
      <c r="A40" s="8" t="s">
        <v>89</v>
      </c>
      <c r="B40" s="8" t="str">
        <f aca="false">IFERROR(INDEX('Source 2026'!$C:$C,MATCH($A40,'Source 2026'!$B:$B,0)),IFERROR(INDEX('Source 2025'!$C:$C,MATCH($A40,'Source 2025'!$B:$B,0)),""))</f>
        <v>L סד לאגודל לאחר שבר</v>
      </c>
      <c r="C40" s="9" t="n">
        <f aca="false">SUMIFS('Source 2025'!$K:$K,'Source 2025'!$B:$B,$A40,'Source 2025'!$A:$A,"Quantity (units)")+SUMIFS('Source 2025'!$O:$O,'Source 2025'!$B:$B,$A40,'Source 2025'!$A:$A,"Quantity (units)")+SUMIFS('Source 2025'!$R:$R,'Source 2025'!$B:$B,$A40,'Source 2025'!$A:$A,"Quantity (units)")+SUMIFS('Source 2025'!$P:$P,'Source 2025'!$B:$B,$A40,'Source 2025'!$A:$A,"Quantity (units)")+SUMIFS('Source 2025'!$J:$J,'Source 2025'!$B:$B,$A40,'Source 2025'!$A:$A,"Quantity (units)")+SUMIFS('Source 2025'!$L:$L,'Source 2025'!$B:$B,$A40,'Source 2025'!$A:$A,"Quantity (units)")</f>
        <v>207</v>
      </c>
      <c r="D40" s="9" t="n">
        <f aca="false">SUMIFS('Source 2026'!$K:$K,'Source 2026'!$B:$B,$A40,'Source 2026'!$A:$A,"Quantity (units)")+SUMIFS('Source 2026'!$O:$O,'Source 2026'!$B:$B,$A40,'Source 2026'!$A:$A,"Quantity (units)")+SUMIFS('Source 2026'!$R:$R,'Source 2026'!$B:$B,$A40,'Source 2026'!$A:$A,"Quantity (units)")+SUMIFS('Source 2026'!$P:$P,'Source 2026'!$B:$B,$A40,'Source 2026'!$A:$A,"Quantity (units)")+SUMIFS('Source 2026'!$J:$J,'Source 2026'!$B:$B,$A40,'Source 2026'!$A:$A,"Quantity (units)")+SUMIFS('Source 2026'!$L:$L,'Source 2026'!$B:$B,$A40,'Source 2026'!$A:$A,"Quantity (units)")</f>
        <v>181</v>
      </c>
      <c r="E40" s="9" t="n">
        <f aca="false">D40*$J$5</f>
        <v>228.631578947368</v>
      </c>
      <c r="F40" s="9" t="n">
        <f aca="false">E40-C40</f>
        <v>21.6315789473684</v>
      </c>
      <c r="G40" s="11" t="n">
        <f aca="false">IF(AND(C40=0,E40=0),0,IF(C40=0,"New",(E40-C40)/C40))</f>
        <v>0.104500381388253</v>
      </c>
      <c r="H40" s="9" t="n">
        <f aca="false">SUMIFS('Source 2025'!$K:$K,'Source 2025'!$B:$B,$A40,'Source 2025'!$A:$A,"Amount (NIS)")+SUMIFS('Source 2025'!$O:$O,'Source 2025'!$B:$B,$A40,'Source 2025'!$A:$A,"Amount (NIS)")+SUMIFS('Source 2025'!$R:$R,'Source 2025'!$B:$B,$A40,'Source 2025'!$A:$A,"Amount (NIS)")+SUMIFS('Source 2025'!$P:$P,'Source 2025'!$B:$B,$A40,'Source 2025'!$A:$A,"Amount (NIS)")+SUMIFS('Source 2025'!$J:$J,'Source 2025'!$B:$B,$A40,'Source 2025'!$A:$A,"Amount (NIS)")+SUMIFS('Source 2025'!$L:$L,'Source 2025'!$B:$B,$A40,'Source 2025'!$A:$A,"Amount (NIS)")</f>
        <v>18144</v>
      </c>
      <c r="I40" s="9" t="n">
        <f aca="false">SUMIFS('Source 2026'!$K:$K,'Source 2026'!$B:$B,$A40,'Source 2026'!$A:$A,"Amount (NIS)")+SUMIFS('Source 2026'!$O:$O,'Source 2026'!$B:$B,$A40,'Source 2026'!$A:$A,"Amount (NIS)")+SUMIFS('Source 2026'!$R:$R,'Source 2026'!$B:$B,$A40,'Source 2026'!$A:$A,"Amount (NIS)")+SUMIFS('Source 2026'!$P:$P,'Source 2026'!$B:$B,$A40,'Source 2026'!$A:$A,"Amount (NIS)")+SUMIFS('Source 2026'!$J:$J,'Source 2026'!$B:$B,$A40,'Source 2026'!$A:$A,"Amount (NIS)")+SUMIFS('Source 2026'!$L:$L,'Source 2026'!$B:$B,$A40,'Source 2026'!$A:$A,"Amount (NIS)")</f>
        <v>15964.2</v>
      </c>
      <c r="J40" s="9" t="n">
        <f aca="false">I40*$J$5</f>
        <v>20165.3052631579</v>
      </c>
      <c r="K40" s="9" t="n">
        <f aca="false">J40-H40</f>
        <v>2021.3052631579</v>
      </c>
      <c r="L40" s="11" t="n">
        <f aca="false">IF(AND(H40=0,J40=0),0,IF(H40=0,"New",(J40-H40)/H40))</f>
        <v>0.11140350877193</v>
      </c>
    </row>
    <row r="41" customFormat="false" ht="15" hidden="false" customHeight="true" outlineLevel="0" collapsed="false">
      <c r="A41" s="8" t="s">
        <v>186</v>
      </c>
      <c r="B41" s="8" t="str">
        <f aca="false">IFERROR(INDEX('Source 2026'!$C:$C,MATCH($A41,'Source 2026'!$B:$B,0)),IFERROR(INDEX('Source 2025'!$C:$C,MATCH($A41,'Source 2025'!$B:$B,0)),""))</f>
        <v>שרוול מגן לבוניון</v>
      </c>
      <c r="C41" s="9" t="n">
        <f aca="false">SUMIFS('Source 2025'!$K:$K,'Source 2025'!$B:$B,$A41,'Source 2025'!$A:$A,"Quantity (units)")+SUMIFS('Source 2025'!$O:$O,'Source 2025'!$B:$B,$A41,'Source 2025'!$A:$A,"Quantity (units)")+SUMIFS('Source 2025'!$R:$R,'Source 2025'!$B:$B,$A41,'Source 2025'!$A:$A,"Quantity (units)")+SUMIFS('Source 2025'!$P:$P,'Source 2025'!$B:$B,$A41,'Source 2025'!$A:$A,"Quantity (units)")+SUMIFS('Source 2025'!$J:$J,'Source 2025'!$B:$B,$A41,'Source 2025'!$A:$A,"Quantity (units)")+SUMIFS('Source 2025'!$L:$L,'Source 2025'!$B:$B,$A41,'Source 2025'!$A:$A,"Quantity (units)")</f>
        <v>98</v>
      </c>
      <c r="D41" s="9" t="n">
        <f aca="false">SUMIFS('Source 2026'!$K:$K,'Source 2026'!$B:$B,$A41,'Source 2026'!$A:$A,"Quantity (units)")+SUMIFS('Source 2026'!$O:$O,'Source 2026'!$B:$B,$A41,'Source 2026'!$A:$A,"Quantity (units)")+SUMIFS('Source 2026'!$R:$R,'Source 2026'!$B:$B,$A41,'Source 2026'!$A:$A,"Quantity (units)")+SUMIFS('Source 2026'!$P:$P,'Source 2026'!$B:$B,$A41,'Source 2026'!$A:$A,"Quantity (units)")+SUMIFS('Source 2026'!$J:$J,'Source 2026'!$B:$B,$A41,'Source 2026'!$A:$A,"Quantity (units)")+SUMIFS('Source 2026'!$L:$L,'Source 2026'!$B:$B,$A41,'Source 2026'!$A:$A,"Quantity (units)")</f>
        <v>30</v>
      </c>
      <c r="E41" s="9" t="n">
        <f aca="false">D41*$J$5</f>
        <v>37.8947368421053</v>
      </c>
      <c r="F41" s="9" t="n">
        <f aca="false">E41-C41</f>
        <v>-60.1052631578947</v>
      </c>
      <c r="G41" s="11" t="n">
        <f aca="false">IF(AND(C41=0,E41=0),0,IF(C41=0,"New",(E41-C41)/C41))</f>
        <v>-0.613319011815253</v>
      </c>
      <c r="H41" s="9" t="n">
        <f aca="false">SUMIFS('Source 2025'!$K:$K,'Source 2025'!$B:$B,$A41,'Source 2025'!$A:$A,"Amount (NIS)")+SUMIFS('Source 2025'!$O:$O,'Source 2025'!$B:$B,$A41,'Source 2025'!$A:$A,"Amount (NIS)")+SUMIFS('Source 2025'!$R:$R,'Source 2025'!$B:$B,$A41,'Source 2025'!$A:$A,"Amount (NIS)")+SUMIFS('Source 2025'!$P:$P,'Source 2025'!$B:$B,$A41,'Source 2025'!$A:$A,"Amount (NIS)")+SUMIFS('Source 2025'!$J:$J,'Source 2025'!$B:$B,$A41,'Source 2025'!$A:$A,"Amount (NIS)")+SUMIFS('Source 2025'!$L:$L,'Source 2025'!$B:$B,$A41,'Source 2025'!$A:$A,"Amount (NIS)")</f>
        <v>3049.7</v>
      </c>
      <c r="I41" s="9" t="n">
        <f aca="false">SUMIFS('Source 2026'!$K:$K,'Source 2026'!$B:$B,$A41,'Source 2026'!$A:$A,"Amount (NIS)")+SUMIFS('Source 2026'!$O:$O,'Source 2026'!$B:$B,$A41,'Source 2026'!$A:$A,"Amount (NIS)")+SUMIFS('Source 2026'!$R:$R,'Source 2026'!$B:$B,$A41,'Source 2026'!$A:$A,"Amount (NIS)")+SUMIFS('Source 2026'!$P:$P,'Source 2026'!$B:$B,$A41,'Source 2026'!$A:$A,"Amount (NIS)")+SUMIFS('Source 2026'!$J:$J,'Source 2026'!$B:$B,$A41,'Source 2026'!$A:$A,"Amount (NIS)")+SUMIFS('Source 2026'!$L:$L,'Source 2026'!$B:$B,$A41,'Source 2026'!$A:$A,"Amount (NIS)")</f>
        <v>877.1</v>
      </c>
      <c r="J41" s="9" t="n">
        <f aca="false">I41*$J$5</f>
        <v>1107.91578947368</v>
      </c>
      <c r="K41" s="9" t="n">
        <f aca="false">J41-H41</f>
        <v>-1941.78421052632</v>
      </c>
      <c r="L41" s="11" t="n">
        <f aca="false">IF(AND(H41=0,J41=0),0,IF(H41=0,"New",(J41-H41)/H41))</f>
        <v>-0.636713188355024</v>
      </c>
    </row>
    <row r="42" customFormat="false" ht="15" hidden="false" customHeight="true" outlineLevel="0" collapsed="false">
      <c r="A42" s="8" t="s">
        <v>167</v>
      </c>
      <c r="B42" s="8" t="str">
        <f aca="false">IFERROR(INDEX('Source 2026'!$C:$C,MATCH($A42,'Source 2026'!$B:$B,0)),IFERROR(INDEX('Source 2025'!$C:$C,MATCH($A42,'Source 2025'!$B:$B,0)),""))</f>
        <v>בליסטר פלסטר</v>
      </c>
      <c r="C42" s="9" t="n">
        <f aca="false">SUMIFS('Source 2025'!$K:$K,'Source 2025'!$B:$B,$A42,'Source 2025'!$A:$A,"Quantity (units)")+SUMIFS('Source 2025'!$O:$O,'Source 2025'!$B:$B,$A42,'Source 2025'!$A:$A,"Quantity (units)")+SUMIFS('Source 2025'!$R:$R,'Source 2025'!$B:$B,$A42,'Source 2025'!$A:$A,"Quantity (units)")+SUMIFS('Source 2025'!$P:$P,'Source 2025'!$B:$B,$A42,'Source 2025'!$A:$A,"Quantity (units)")+SUMIFS('Source 2025'!$J:$J,'Source 2025'!$B:$B,$A42,'Source 2025'!$A:$A,"Quantity (units)")+SUMIFS('Source 2025'!$L:$L,'Source 2025'!$B:$B,$A42,'Source 2025'!$A:$A,"Quantity (units)")</f>
        <v>148</v>
      </c>
      <c r="D42" s="9" t="n">
        <f aca="false">SUMIFS('Source 2026'!$K:$K,'Source 2026'!$B:$B,$A42,'Source 2026'!$A:$A,"Quantity (units)")+SUMIFS('Source 2026'!$O:$O,'Source 2026'!$B:$B,$A42,'Source 2026'!$A:$A,"Quantity (units)")+SUMIFS('Source 2026'!$R:$R,'Source 2026'!$B:$B,$A42,'Source 2026'!$A:$A,"Quantity (units)")+SUMIFS('Source 2026'!$P:$P,'Source 2026'!$B:$B,$A42,'Source 2026'!$A:$A,"Quantity (units)")+SUMIFS('Source 2026'!$J:$J,'Source 2026'!$B:$B,$A42,'Source 2026'!$A:$A,"Quantity (units)")+SUMIFS('Source 2026'!$L:$L,'Source 2026'!$B:$B,$A42,'Source 2026'!$A:$A,"Quantity (units)")</f>
        <v>40</v>
      </c>
      <c r="E42" s="9" t="n">
        <f aca="false">D42*$J$5</f>
        <v>50.5263157894737</v>
      </c>
      <c r="F42" s="9" t="n">
        <f aca="false">E42-C42</f>
        <v>-97.4736842105263</v>
      </c>
      <c r="G42" s="11" t="n">
        <f aca="false">IF(AND(C42=0,E42=0),0,IF(C42=0,"New",(E42-C42)/C42))</f>
        <v>-0.658605974395448</v>
      </c>
      <c r="H42" s="9" t="n">
        <f aca="false">SUMIFS('Source 2025'!$K:$K,'Source 2025'!$B:$B,$A42,'Source 2025'!$A:$A,"Amount (NIS)")+SUMIFS('Source 2025'!$O:$O,'Source 2025'!$B:$B,$A42,'Source 2025'!$A:$A,"Amount (NIS)")+SUMIFS('Source 2025'!$R:$R,'Source 2025'!$B:$B,$A42,'Source 2025'!$A:$A,"Amount (NIS)")+SUMIFS('Source 2025'!$P:$P,'Source 2025'!$B:$B,$A42,'Source 2025'!$A:$A,"Amount (NIS)")+SUMIFS('Source 2025'!$J:$J,'Source 2025'!$B:$B,$A42,'Source 2025'!$A:$A,"Amount (NIS)")+SUMIFS('Source 2025'!$L:$L,'Source 2025'!$B:$B,$A42,'Source 2025'!$A:$A,"Amount (NIS)")</f>
        <v>2837.2</v>
      </c>
      <c r="I42" s="9" t="n">
        <f aca="false">SUMIFS('Source 2026'!$K:$K,'Source 2026'!$B:$B,$A42,'Source 2026'!$A:$A,"Amount (NIS)")+SUMIFS('Source 2026'!$O:$O,'Source 2026'!$B:$B,$A42,'Source 2026'!$A:$A,"Amount (NIS)")+SUMIFS('Source 2026'!$R:$R,'Source 2026'!$B:$B,$A42,'Source 2026'!$A:$A,"Amount (NIS)")+SUMIFS('Source 2026'!$P:$P,'Source 2026'!$B:$B,$A42,'Source 2026'!$A:$A,"Amount (NIS)")+SUMIFS('Source 2026'!$J:$J,'Source 2026'!$B:$B,$A42,'Source 2026'!$A:$A,"Amount (NIS)")+SUMIFS('Source 2026'!$L:$L,'Source 2026'!$B:$B,$A42,'Source 2026'!$A:$A,"Amount (NIS)")</f>
        <v>766.8</v>
      </c>
      <c r="J42" s="9" t="n">
        <f aca="false">I42*$J$5</f>
        <v>968.58947368421</v>
      </c>
      <c r="K42" s="9" t="n">
        <f aca="false">J42-H42</f>
        <v>-1868.61052631579</v>
      </c>
      <c r="L42" s="11" t="n">
        <f aca="false">IF(AND(H42=0,J42=0),0,IF(H42=0,"New",(J42-H42)/H42))</f>
        <v>-0.658610787507328</v>
      </c>
    </row>
    <row r="43" customFormat="false" ht="15" hidden="false" customHeight="true" outlineLevel="0" collapsed="false">
      <c r="A43" s="8" t="s">
        <v>180</v>
      </c>
      <c r="B43" s="8" t="str">
        <f aca="false">IFERROR(INDEX('Source 2026'!$C:$C,MATCH($A43,'Source 2026'!$B:$B,0)),IFERROR(INDEX('Source 2025'!$C:$C,MATCH($A43,'Source 2025'!$B:$B,0)),""))</f>
        <v>להסרת עור קשה</v>
      </c>
      <c r="C43" s="9" t="n">
        <f aca="false">SUMIFS('Source 2025'!$K:$K,'Source 2025'!$B:$B,$A43,'Source 2025'!$A:$A,"Quantity (units)")+SUMIFS('Source 2025'!$O:$O,'Source 2025'!$B:$B,$A43,'Source 2025'!$A:$A,"Quantity (units)")+SUMIFS('Source 2025'!$R:$R,'Source 2025'!$B:$B,$A43,'Source 2025'!$A:$A,"Quantity (units)")+SUMIFS('Source 2025'!$P:$P,'Source 2025'!$B:$B,$A43,'Source 2025'!$A:$A,"Quantity (units)")+SUMIFS('Source 2025'!$J:$J,'Source 2025'!$B:$B,$A43,'Source 2025'!$A:$A,"Quantity (units)")+SUMIFS('Source 2025'!$L:$L,'Source 2025'!$B:$B,$A43,'Source 2025'!$A:$A,"Quantity (units)")</f>
        <v>196</v>
      </c>
      <c r="D43" s="9" t="n">
        <f aca="false">SUMIFS('Source 2026'!$K:$K,'Source 2026'!$B:$B,$A43,'Source 2026'!$A:$A,"Quantity (units)")+SUMIFS('Source 2026'!$O:$O,'Source 2026'!$B:$B,$A43,'Source 2026'!$A:$A,"Quantity (units)")+SUMIFS('Source 2026'!$R:$R,'Source 2026'!$B:$B,$A43,'Source 2026'!$A:$A,"Quantity (units)")+SUMIFS('Source 2026'!$P:$P,'Source 2026'!$B:$B,$A43,'Source 2026'!$A:$A,"Quantity (units)")+SUMIFS('Source 2026'!$J:$J,'Source 2026'!$B:$B,$A43,'Source 2026'!$A:$A,"Quantity (units)")+SUMIFS('Source 2026'!$L:$L,'Source 2026'!$B:$B,$A43,'Source 2026'!$A:$A,"Quantity (units)")</f>
        <v>103</v>
      </c>
      <c r="E43" s="9" t="n">
        <f aca="false">D43*$J$5</f>
        <v>130.105263157895</v>
      </c>
      <c r="F43" s="9" t="n">
        <f aca="false">E43-C43</f>
        <v>-65.8947368421053</v>
      </c>
      <c r="G43" s="11" t="n">
        <f aca="false">IF(AND(C43=0,E43=0),0,IF(C43=0,"New",(E43-C43)/C43))</f>
        <v>-0.336197636949517</v>
      </c>
      <c r="H43" s="9" t="n">
        <f aca="false">SUMIFS('Source 2025'!$K:$K,'Source 2025'!$B:$B,$A43,'Source 2025'!$A:$A,"Amount (NIS)")+SUMIFS('Source 2025'!$O:$O,'Source 2025'!$B:$B,$A43,'Source 2025'!$A:$A,"Amount (NIS)")+SUMIFS('Source 2025'!$R:$R,'Source 2025'!$B:$B,$A43,'Source 2025'!$A:$A,"Amount (NIS)")+SUMIFS('Source 2025'!$P:$P,'Source 2025'!$B:$B,$A43,'Source 2025'!$A:$A,"Amount (NIS)")+SUMIFS('Source 2025'!$J:$J,'Source 2025'!$B:$B,$A43,'Source 2025'!$A:$A,"Amount (NIS)")+SUMIFS('Source 2025'!$L:$L,'Source 2025'!$B:$B,$A43,'Source 2025'!$A:$A,"Amount (NIS)")</f>
        <v>4287.3</v>
      </c>
      <c r="I43" s="9" t="n">
        <f aca="false">SUMIFS('Source 2026'!$K:$K,'Source 2026'!$B:$B,$A43,'Source 2026'!$A:$A,"Amount (NIS)")+SUMIFS('Source 2026'!$O:$O,'Source 2026'!$B:$B,$A43,'Source 2026'!$A:$A,"Amount (NIS)")+SUMIFS('Source 2026'!$R:$R,'Source 2026'!$B:$B,$A43,'Source 2026'!$A:$A,"Amount (NIS)")+SUMIFS('Source 2026'!$P:$P,'Source 2026'!$B:$B,$A43,'Source 2026'!$A:$A,"Amount (NIS)")+SUMIFS('Source 2026'!$J:$J,'Source 2026'!$B:$B,$A43,'Source 2026'!$A:$A,"Amount (NIS)")+SUMIFS('Source 2026'!$L:$L,'Source 2026'!$B:$B,$A43,'Source 2026'!$A:$A,"Amount (NIS)")</f>
        <v>2253</v>
      </c>
      <c r="J43" s="9" t="n">
        <f aca="false">I43*$J$5</f>
        <v>2845.89473684211</v>
      </c>
      <c r="K43" s="9" t="n">
        <f aca="false">J43-H43</f>
        <v>-1441.4052631579</v>
      </c>
      <c r="L43" s="11" t="n">
        <f aca="false">IF(AND(H43=0,J43=0),0,IF(H43=0,"New",(J43-H43)/H43))</f>
        <v>-0.336203499442049</v>
      </c>
    </row>
    <row r="44" customFormat="false" ht="15" hidden="false" customHeight="true" outlineLevel="0" collapsed="false">
      <c r="A44" s="8" t="s">
        <v>193</v>
      </c>
      <c r="B44" s="8" t="str">
        <f aca="false">IFERROR(INDEX('Source 2026'!$C:$C,MATCH($A44,'Source 2026'!$B:$B,0)),IFERROR(INDEX('Source 2025'!$C:$C,MATCH($A44,'Source 2025'!$B:$B,0)),""))</f>
        <v>סד ליישור אצבע</v>
      </c>
      <c r="C44" s="9" t="n">
        <f aca="false">SUMIFS('Source 2025'!$K:$K,'Source 2025'!$B:$B,$A44,'Source 2025'!$A:$A,"Quantity (units)")+SUMIFS('Source 2025'!$O:$O,'Source 2025'!$B:$B,$A44,'Source 2025'!$A:$A,"Quantity (units)")+SUMIFS('Source 2025'!$R:$R,'Source 2025'!$B:$B,$A44,'Source 2025'!$A:$A,"Quantity (units)")+SUMIFS('Source 2025'!$P:$P,'Source 2025'!$B:$B,$A44,'Source 2025'!$A:$A,"Quantity (units)")+SUMIFS('Source 2025'!$J:$J,'Source 2025'!$B:$B,$A44,'Source 2025'!$A:$A,"Quantity (units)")+SUMIFS('Source 2025'!$L:$L,'Source 2025'!$B:$B,$A44,'Source 2025'!$A:$A,"Quantity (units)")</f>
        <v>596</v>
      </c>
      <c r="D44" s="9" t="n">
        <f aca="false">SUMIFS('Source 2026'!$K:$K,'Source 2026'!$B:$B,$A44,'Source 2026'!$A:$A,"Quantity (units)")+SUMIFS('Source 2026'!$O:$O,'Source 2026'!$B:$B,$A44,'Source 2026'!$A:$A,"Quantity (units)")+SUMIFS('Source 2026'!$R:$R,'Source 2026'!$B:$B,$A44,'Source 2026'!$A:$A,"Quantity (units)")+SUMIFS('Source 2026'!$P:$P,'Source 2026'!$B:$B,$A44,'Source 2026'!$A:$A,"Quantity (units)")+SUMIFS('Source 2026'!$J:$J,'Source 2026'!$B:$B,$A44,'Source 2026'!$A:$A,"Quantity (units)")+SUMIFS('Source 2026'!$L:$L,'Source 2026'!$B:$B,$A44,'Source 2026'!$A:$A,"Quantity (units)")</f>
        <v>470</v>
      </c>
      <c r="E44" s="9" t="n">
        <f aca="false">D44*$J$5</f>
        <v>593.684210526316</v>
      </c>
      <c r="F44" s="9" t="n">
        <f aca="false">E44-C44</f>
        <v>-2.31578947368428</v>
      </c>
      <c r="G44" s="11" t="n">
        <f aca="false">IF(AND(C44=0,E44=0),0,IF(C44=0,"New",(E44-C44)/C44))</f>
        <v>-0.00388555280819509</v>
      </c>
      <c r="H44" s="9" t="n">
        <f aca="false">SUMIFS('Source 2025'!$K:$K,'Source 2025'!$B:$B,$A44,'Source 2025'!$A:$A,"Amount (NIS)")+SUMIFS('Source 2025'!$O:$O,'Source 2025'!$B:$B,$A44,'Source 2025'!$A:$A,"Amount (NIS)")+SUMIFS('Source 2025'!$R:$R,'Source 2025'!$B:$B,$A44,'Source 2025'!$A:$A,"Amount (NIS)")+SUMIFS('Source 2025'!$P:$P,'Source 2025'!$B:$B,$A44,'Source 2025'!$A:$A,"Amount (NIS)")+SUMIFS('Source 2025'!$J:$J,'Source 2025'!$B:$B,$A44,'Source 2025'!$A:$A,"Amount (NIS)")+SUMIFS('Source 2025'!$L:$L,'Source 2025'!$B:$B,$A44,'Source 2025'!$A:$A,"Amount (NIS)")</f>
        <v>9178.4</v>
      </c>
      <c r="I44" s="9" t="n">
        <f aca="false">SUMIFS('Source 2026'!$K:$K,'Source 2026'!$B:$B,$A44,'Source 2026'!$A:$A,"Amount (NIS)")+SUMIFS('Source 2026'!$O:$O,'Source 2026'!$B:$B,$A44,'Source 2026'!$A:$A,"Amount (NIS)")+SUMIFS('Source 2026'!$R:$R,'Source 2026'!$B:$B,$A44,'Source 2026'!$A:$A,"Amount (NIS)")+SUMIFS('Source 2026'!$P:$P,'Source 2026'!$B:$B,$A44,'Source 2026'!$A:$A,"Amount (NIS)")+SUMIFS('Source 2026'!$J:$J,'Source 2026'!$B:$B,$A44,'Source 2026'!$A:$A,"Amount (NIS)")+SUMIFS('Source 2026'!$L:$L,'Source 2026'!$B:$B,$A44,'Source 2026'!$A:$A,"Amount (NIS)")</f>
        <v>7238</v>
      </c>
      <c r="J44" s="9" t="n">
        <f aca="false">I44*$J$5</f>
        <v>9142.73684210526</v>
      </c>
      <c r="K44" s="9" t="n">
        <f aca="false">J44-H44</f>
        <v>-35.6631578947363</v>
      </c>
      <c r="L44" s="11" t="n">
        <f aca="false">IF(AND(H44=0,J44=0),0,IF(H44=0,"New",(J44-H44)/H44))</f>
        <v>-0.00388555280819492</v>
      </c>
    </row>
    <row r="45" customFormat="false" ht="15" hidden="false" customHeight="true" outlineLevel="0" collapsed="false">
      <c r="A45" s="8" t="s">
        <v>349</v>
      </c>
      <c r="B45" s="8" t="str">
        <f aca="false">IFERROR(INDEX('Source 2026'!$C:$C,MATCH($A45,'Source 2026'!$B:$B,0)),IFERROR(INDEX('Source 2025'!$C:$C,MATCH($A45,'Source 2025'!$B:$B,0)),""))</f>
        <v>חגורת גב אפורה</v>
      </c>
      <c r="C45" s="9" t="n">
        <f aca="false">SUMIFS('Source 2025'!$K:$K,'Source 2025'!$B:$B,$A45,'Source 2025'!$A:$A,"Quantity (units)")+SUMIFS('Source 2025'!$O:$O,'Source 2025'!$B:$B,$A45,'Source 2025'!$A:$A,"Quantity (units)")+SUMIFS('Source 2025'!$R:$R,'Source 2025'!$B:$B,$A45,'Source 2025'!$A:$A,"Quantity (units)")+SUMIFS('Source 2025'!$P:$P,'Source 2025'!$B:$B,$A45,'Source 2025'!$A:$A,"Quantity (units)")+SUMIFS('Source 2025'!$J:$J,'Source 2025'!$B:$B,$A45,'Source 2025'!$A:$A,"Quantity (units)")+SUMIFS('Source 2025'!$L:$L,'Source 2025'!$B:$B,$A45,'Source 2025'!$A:$A,"Quantity (units)")</f>
        <v>78</v>
      </c>
      <c r="D45" s="9" t="n">
        <f aca="false">SUMIFS('Source 2026'!$K:$K,'Source 2026'!$B:$B,$A45,'Source 2026'!$A:$A,"Quantity (units)")+SUMIFS('Source 2026'!$O:$O,'Source 2026'!$B:$B,$A45,'Source 2026'!$A:$A,"Quantity (units)")+SUMIFS('Source 2026'!$R:$R,'Source 2026'!$B:$B,$A45,'Source 2026'!$A:$A,"Quantity (units)")+SUMIFS('Source 2026'!$P:$P,'Source 2026'!$B:$B,$A45,'Source 2026'!$A:$A,"Quantity (units)")+SUMIFS('Source 2026'!$J:$J,'Source 2026'!$B:$B,$A45,'Source 2026'!$A:$A,"Quantity (units)")+SUMIFS('Source 2026'!$L:$L,'Source 2026'!$B:$B,$A45,'Source 2026'!$A:$A,"Quantity (units)")</f>
        <v>59</v>
      </c>
      <c r="E45" s="9" t="n">
        <f aca="false">D45*$J$5</f>
        <v>74.5263157894737</v>
      </c>
      <c r="F45" s="9" t="n">
        <f aca="false">E45-C45</f>
        <v>-3.47368421052632</v>
      </c>
      <c r="G45" s="11" t="n">
        <f aca="false">IF(AND(C45=0,E45=0),0,IF(C45=0,"New",(E45-C45)/C45))</f>
        <v>-0.0445344129554656</v>
      </c>
      <c r="H45" s="9" t="n">
        <f aca="false">SUMIFS('Source 2025'!$K:$K,'Source 2025'!$B:$B,$A45,'Source 2025'!$A:$A,"Amount (NIS)")+SUMIFS('Source 2025'!$O:$O,'Source 2025'!$B:$B,$A45,'Source 2025'!$A:$A,"Amount (NIS)")+SUMIFS('Source 2025'!$R:$R,'Source 2025'!$B:$B,$A45,'Source 2025'!$A:$A,"Amount (NIS)")+SUMIFS('Source 2025'!$P:$P,'Source 2025'!$B:$B,$A45,'Source 2025'!$A:$A,"Amount (NIS)")+SUMIFS('Source 2025'!$J:$J,'Source 2025'!$B:$B,$A45,'Source 2025'!$A:$A,"Amount (NIS)")+SUMIFS('Source 2025'!$L:$L,'Source 2025'!$B:$B,$A45,'Source 2025'!$A:$A,"Amount (NIS)")</f>
        <v>7740</v>
      </c>
      <c r="I45" s="9" t="n">
        <f aca="false">SUMIFS('Source 2026'!$K:$K,'Source 2026'!$B:$B,$A45,'Source 2026'!$A:$A,"Amount (NIS)")+SUMIFS('Source 2026'!$O:$O,'Source 2026'!$B:$B,$A45,'Source 2026'!$A:$A,"Amount (NIS)")+SUMIFS('Source 2026'!$R:$R,'Source 2026'!$B:$B,$A45,'Source 2026'!$A:$A,"Amount (NIS)")+SUMIFS('Source 2026'!$P:$P,'Source 2026'!$B:$B,$A45,'Source 2026'!$A:$A,"Amount (NIS)")+SUMIFS('Source 2026'!$J:$J,'Source 2026'!$B:$B,$A45,'Source 2026'!$A:$A,"Amount (NIS)")+SUMIFS('Source 2026'!$L:$L,'Source 2026'!$B:$B,$A45,'Source 2026'!$A:$A,"Amount (NIS)")</f>
        <v>5854.6</v>
      </c>
      <c r="J45" s="9" t="n">
        <f aca="false">I45*$J$5</f>
        <v>7395.28421052632</v>
      </c>
      <c r="K45" s="9" t="n">
        <f aca="false">J45-H45</f>
        <v>-344.715789473685</v>
      </c>
      <c r="L45" s="11" t="n">
        <f aca="false">IF(AND(H45=0,J45=0),0,IF(H45=0,"New",(J45-H45)/H45))</f>
        <v>-0.0445369237046104</v>
      </c>
    </row>
    <row r="46" customFormat="false" ht="15" hidden="false" customHeight="true" outlineLevel="0" collapsed="false">
      <c r="A46" s="8" t="s">
        <v>136</v>
      </c>
      <c r="B46" s="8" t="str">
        <f aca="false">IFERROR(INDEX('Source 2026'!$C:$C,MATCH($A46,'Source 2026'!$B:$B,0)),IFERROR(INDEX('Source 2025'!$C:$C,MATCH($A46,'Source 2025'!$B:$B,0)),""))</f>
        <v>L מגן מרפק רגיל לבן</v>
      </c>
      <c r="C46" s="9" t="n">
        <f aca="false">SUMIFS('Source 2025'!$K:$K,'Source 2025'!$B:$B,$A46,'Source 2025'!$A:$A,"Quantity (units)")+SUMIFS('Source 2025'!$O:$O,'Source 2025'!$B:$B,$A46,'Source 2025'!$A:$A,"Quantity (units)")+SUMIFS('Source 2025'!$R:$R,'Source 2025'!$B:$B,$A46,'Source 2025'!$A:$A,"Quantity (units)")+SUMIFS('Source 2025'!$P:$P,'Source 2025'!$B:$B,$A46,'Source 2025'!$A:$A,"Quantity (units)")+SUMIFS('Source 2025'!$J:$J,'Source 2025'!$B:$B,$A46,'Source 2025'!$A:$A,"Quantity (units)")+SUMIFS('Source 2025'!$L:$L,'Source 2025'!$B:$B,$A46,'Source 2025'!$A:$A,"Quantity (units)")</f>
        <v>334</v>
      </c>
      <c r="D46" s="9" t="n">
        <f aca="false">SUMIFS('Source 2026'!$K:$K,'Source 2026'!$B:$B,$A46,'Source 2026'!$A:$A,"Quantity (units)")+SUMIFS('Source 2026'!$O:$O,'Source 2026'!$B:$B,$A46,'Source 2026'!$A:$A,"Quantity (units)")+SUMIFS('Source 2026'!$R:$R,'Source 2026'!$B:$B,$A46,'Source 2026'!$A:$A,"Quantity (units)")+SUMIFS('Source 2026'!$P:$P,'Source 2026'!$B:$B,$A46,'Source 2026'!$A:$A,"Quantity (units)")+SUMIFS('Source 2026'!$J:$J,'Source 2026'!$B:$B,$A46,'Source 2026'!$A:$A,"Quantity (units)")+SUMIFS('Source 2026'!$L:$L,'Source 2026'!$B:$B,$A46,'Source 2026'!$A:$A,"Quantity (units)")</f>
        <v>267</v>
      </c>
      <c r="E46" s="9" t="n">
        <f aca="false">D46*$J$5</f>
        <v>337.263157894737</v>
      </c>
      <c r="F46" s="9" t="n">
        <f aca="false">E46-C46</f>
        <v>3.26315789473682</v>
      </c>
      <c r="G46" s="11" t="n">
        <f aca="false">IF(AND(C46=0,E46=0),0,IF(C46=0,"New",(E46-C46)/C46))</f>
        <v>0.00976993381657731</v>
      </c>
      <c r="H46" s="9" t="n">
        <f aca="false">SUMIFS('Source 2025'!$K:$K,'Source 2025'!$B:$B,$A46,'Source 2025'!$A:$A,"Amount (NIS)")+SUMIFS('Source 2025'!$O:$O,'Source 2025'!$B:$B,$A46,'Source 2025'!$A:$A,"Amount (NIS)")+SUMIFS('Source 2025'!$R:$R,'Source 2025'!$B:$B,$A46,'Source 2025'!$A:$A,"Amount (NIS)")+SUMIFS('Source 2025'!$P:$P,'Source 2025'!$B:$B,$A46,'Source 2025'!$A:$A,"Amount (NIS)")+SUMIFS('Source 2025'!$J:$J,'Source 2025'!$B:$B,$A46,'Source 2025'!$A:$A,"Amount (NIS)")+SUMIFS('Source 2025'!$L:$L,'Source 2025'!$B:$B,$A46,'Source 2025'!$A:$A,"Amount (NIS)")</f>
        <v>9291.7</v>
      </c>
      <c r="I46" s="9" t="n">
        <f aca="false">SUMIFS('Source 2026'!$K:$K,'Source 2026'!$B:$B,$A46,'Source 2026'!$A:$A,"Amount (NIS)")+SUMIFS('Source 2026'!$O:$O,'Source 2026'!$B:$B,$A46,'Source 2026'!$A:$A,"Amount (NIS)")+SUMIFS('Source 2026'!$R:$R,'Source 2026'!$B:$B,$A46,'Source 2026'!$A:$A,"Amount (NIS)")+SUMIFS('Source 2026'!$P:$P,'Source 2026'!$B:$B,$A46,'Source 2026'!$A:$A,"Amount (NIS)")+SUMIFS('Source 2026'!$J:$J,'Source 2026'!$B:$B,$A46,'Source 2026'!$A:$A,"Amount (NIS)")+SUMIFS('Source 2026'!$L:$L,'Source 2026'!$B:$B,$A46,'Source 2026'!$A:$A,"Amount (NIS)")</f>
        <v>7419.9</v>
      </c>
      <c r="J46" s="9" t="n">
        <f aca="false">I46*$J$5</f>
        <v>9372.5052631579</v>
      </c>
      <c r="K46" s="9" t="n">
        <f aca="false">J46-H46</f>
        <v>80.8052631578939</v>
      </c>
      <c r="L46" s="11" t="n">
        <f aca="false">IF(AND(H46=0,J46=0),0,IF(H46=0,"New",(J46-H46)/H46))</f>
        <v>0.00869649936587427</v>
      </c>
    </row>
    <row r="47" customFormat="false" ht="15" hidden="false" customHeight="true" outlineLevel="0" collapsed="false">
      <c r="A47" s="8" t="s">
        <v>130</v>
      </c>
      <c r="B47" s="8" t="str">
        <f aca="false">IFERROR(INDEX('Source 2026'!$C:$C,MATCH($A47,'Source 2026'!$B:$B,0)),IFERROR(INDEX('Source 2025'!$C:$C,MATCH($A47,'Source 2025'!$B:$B,0)),""))</f>
        <v>Lמפר.אצבע סיליק. ליבל.זוג</v>
      </c>
      <c r="C47" s="9" t="n">
        <f aca="false">SUMIFS('Source 2025'!$K:$K,'Source 2025'!$B:$B,$A47,'Source 2025'!$A:$A,"Quantity (units)")+SUMIFS('Source 2025'!$O:$O,'Source 2025'!$B:$B,$A47,'Source 2025'!$A:$A,"Quantity (units)")+SUMIFS('Source 2025'!$R:$R,'Source 2025'!$B:$B,$A47,'Source 2025'!$A:$A,"Quantity (units)")+SUMIFS('Source 2025'!$P:$P,'Source 2025'!$B:$B,$A47,'Source 2025'!$A:$A,"Quantity (units)")+SUMIFS('Source 2025'!$J:$J,'Source 2025'!$B:$B,$A47,'Source 2025'!$A:$A,"Quantity (units)")+SUMIFS('Source 2025'!$L:$L,'Source 2025'!$B:$B,$A47,'Source 2025'!$A:$A,"Quantity (units)")</f>
        <v>662</v>
      </c>
      <c r="D47" s="9" t="n">
        <f aca="false">SUMIFS('Source 2026'!$K:$K,'Source 2026'!$B:$B,$A47,'Source 2026'!$A:$A,"Quantity (units)")+SUMIFS('Source 2026'!$O:$O,'Source 2026'!$B:$B,$A47,'Source 2026'!$A:$A,"Quantity (units)")+SUMIFS('Source 2026'!$R:$R,'Source 2026'!$B:$B,$A47,'Source 2026'!$A:$A,"Quantity (units)")+SUMIFS('Source 2026'!$P:$P,'Source 2026'!$B:$B,$A47,'Source 2026'!$A:$A,"Quantity (units)")+SUMIFS('Source 2026'!$J:$J,'Source 2026'!$B:$B,$A47,'Source 2026'!$A:$A,"Quantity (units)")+SUMIFS('Source 2026'!$L:$L,'Source 2026'!$B:$B,$A47,'Source 2026'!$A:$A,"Quantity (units)")</f>
        <v>523</v>
      </c>
      <c r="E47" s="9" t="n">
        <f aca="false">D47*$J$5</f>
        <v>660.631578947368</v>
      </c>
      <c r="F47" s="9" t="n">
        <f aca="false">E47-C47</f>
        <v>-1.36842105263156</v>
      </c>
      <c r="G47" s="11" t="n">
        <f aca="false">IF(AND(C47=0,E47=0),0,IF(C47=0,"New",(E47-C47)/C47))</f>
        <v>-0.00206710128796308</v>
      </c>
      <c r="H47" s="9" t="n">
        <f aca="false">SUMIFS('Source 2025'!$K:$K,'Source 2025'!$B:$B,$A47,'Source 2025'!$A:$A,"Amount (NIS)")+SUMIFS('Source 2025'!$O:$O,'Source 2025'!$B:$B,$A47,'Source 2025'!$A:$A,"Amount (NIS)")+SUMIFS('Source 2025'!$R:$R,'Source 2025'!$B:$B,$A47,'Source 2025'!$A:$A,"Amount (NIS)")+SUMIFS('Source 2025'!$P:$P,'Source 2025'!$B:$B,$A47,'Source 2025'!$A:$A,"Amount (NIS)")+SUMIFS('Source 2025'!$J:$J,'Source 2025'!$B:$B,$A47,'Source 2025'!$A:$A,"Amount (NIS)")+SUMIFS('Source 2025'!$L:$L,'Source 2025'!$B:$B,$A47,'Source 2025'!$A:$A,"Amount (NIS)")</f>
        <v>8957.3</v>
      </c>
      <c r="I47" s="9" t="n">
        <f aca="false">SUMIFS('Source 2026'!$K:$K,'Source 2026'!$B:$B,$A47,'Source 2026'!$A:$A,"Amount (NIS)")+SUMIFS('Source 2026'!$O:$O,'Source 2026'!$B:$B,$A47,'Source 2026'!$A:$A,"Amount (NIS)")+SUMIFS('Source 2026'!$R:$R,'Source 2026'!$B:$B,$A47,'Source 2026'!$A:$A,"Amount (NIS)")+SUMIFS('Source 2026'!$P:$P,'Source 2026'!$B:$B,$A47,'Source 2026'!$A:$A,"Amount (NIS)")+SUMIFS('Source 2026'!$J:$J,'Source 2026'!$B:$B,$A47,'Source 2026'!$A:$A,"Amount (NIS)")+SUMIFS('Source 2026'!$L:$L,'Source 2026'!$B:$B,$A47,'Source 2026'!$A:$A,"Amount (NIS)")</f>
        <v>7090.7</v>
      </c>
      <c r="J47" s="9" t="n">
        <f aca="false">I47*$J$5</f>
        <v>8956.67368421053</v>
      </c>
      <c r="K47" s="9" t="n">
        <f aca="false">J47-H47</f>
        <v>-0.626315789473665</v>
      </c>
      <c r="L47" s="11" t="n">
        <f aca="false">IF(AND(H47=0,J47=0),0,IF(H47=0,"New",(J47-H47)/H47))</f>
        <v>-6.99223861513698E-005</v>
      </c>
    </row>
    <row r="48" customFormat="false" ht="15" hidden="false" customHeight="true" outlineLevel="0" collapsed="false">
      <c r="A48" s="8" t="s">
        <v>239</v>
      </c>
      <c r="B48" s="8" t="str">
        <f aca="false">IFERROR(INDEX('Source 2026'!$C:$C,MATCH($A48,'Source 2026'!$B:$B,0)),IFERROR(INDEX('Source 2025'!$C:$C,MATCH($A48,'Source 2025'!$B:$B,0)),""))</f>
        <v>S מגן קרסול ימין</v>
      </c>
      <c r="C48" s="9" t="n">
        <f aca="false">SUMIFS('Source 2025'!$K:$K,'Source 2025'!$B:$B,$A48,'Source 2025'!$A:$A,"Quantity (units)")+SUMIFS('Source 2025'!$O:$O,'Source 2025'!$B:$B,$A48,'Source 2025'!$A:$A,"Quantity (units)")+SUMIFS('Source 2025'!$R:$R,'Source 2025'!$B:$B,$A48,'Source 2025'!$A:$A,"Quantity (units)")+SUMIFS('Source 2025'!$P:$P,'Source 2025'!$B:$B,$A48,'Source 2025'!$A:$A,"Quantity (units)")+SUMIFS('Source 2025'!$J:$J,'Source 2025'!$B:$B,$A48,'Source 2025'!$A:$A,"Quantity (units)")+SUMIFS('Source 2025'!$L:$L,'Source 2025'!$B:$B,$A48,'Source 2025'!$A:$A,"Quantity (units)")</f>
        <v>-4</v>
      </c>
      <c r="D48" s="9" t="n">
        <f aca="false">SUMIFS('Source 2026'!$K:$K,'Source 2026'!$B:$B,$A48,'Source 2026'!$A:$A,"Quantity (units)")+SUMIFS('Source 2026'!$O:$O,'Source 2026'!$B:$B,$A48,'Source 2026'!$A:$A,"Quantity (units)")+SUMIFS('Source 2026'!$R:$R,'Source 2026'!$B:$B,$A48,'Source 2026'!$A:$A,"Quantity (units)")+SUMIFS('Source 2026'!$P:$P,'Source 2026'!$B:$B,$A48,'Source 2026'!$A:$A,"Quantity (units)")+SUMIFS('Source 2026'!$J:$J,'Source 2026'!$B:$B,$A48,'Source 2026'!$A:$A,"Quantity (units)")+SUMIFS('Source 2026'!$L:$L,'Source 2026'!$B:$B,$A48,'Source 2026'!$A:$A,"Quantity (units)")</f>
        <v>19</v>
      </c>
      <c r="E48" s="9" t="n">
        <f aca="false">D48*$J$5</f>
        <v>24</v>
      </c>
      <c r="F48" s="9" t="n">
        <f aca="false">E48-C48</f>
        <v>28</v>
      </c>
      <c r="G48" s="11" t="n">
        <f aca="false">IF(AND(C48=0,E48=0),0,IF(C48=0,"New",(E48-C48)/C48))</f>
        <v>-7</v>
      </c>
      <c r="H48" s="9" t="n">
        <f aca="false">SUMIFS('Source 2025'!$K:$K,'Source 2025'!$B:$B,$A48,'Source 2025'!$A:$A,"Amount (NIS)")+SUMIFS('Source 2025'!$O:$O,'Source 2025'!$B:$B,$A48,'Source 2025'!$A:$A,"Amount (NIS)")+SUMIFS('Source 2025'!$R:$R,'Source 2025'!$B:$B,$A48,'Source 2025'!$A:$A,"Amount (NIS)")+SUMIFS('Source 2025'!$P:$P,'Source 2025'!$B:$B,$A48,'Source 2025'!$A:$A,"Amount (NIS)")+SUMIFS('Source 2025'!$J:$J,'Source 2025'!$B:$B,$A48,'Source 2025'!$A:$A,"Amount (NIS)")+SUMIFS('Source 2025'!$L:$L,'Source 2025'!$B:$B,$A48,'Source 2025'!$A:$A,"Amount (NIS)")</f>
        <v>-429.5</v>
      </c>
      <c r="I48" s="9" t="n">
        <f aca="false">SUMIFS('Source 2026'!$K:$K,'Source 2026'!$B:$B,$A48,'Source 2026'!$A:$A,"Amount (NIS)")+SUMIFS('Source 2026'!$O:$O,'Source 2026'!$B:$B,$A48,'Source 2026'!$A:$A,"Amount (NIS)")+SUMIFS('Source 2026'!$R:$R,'Source 2026'!$B:$B,$A48,'Source 2026'!$A:$A,"Amount (NIS)")+SUMIFS('Source 2026'!$P:$P,'Source 2026'!$B:$B,$A48,'Source 2026'!$A:$A,"Amount (NIS)")+SUMIFS('Source 2026'!$J:$J,'Source 2026'!$B:$B,$A48,'Source 2026'!$A:$A,"Amount (NIS)")+SUMIFS('Source 2026'!$L:$L,'Source 2026'!$B:$B,$A48,'Source 2026'!$A:$A,"Amount (NIS)")</f>
        <v>1415.5</v>
      </c>
      <c r="J48" s="9" t="n">
        <f aca="false">I48*$J$5</f>
        <v>1788</v>
      </c>
      <c r="K48" s="9" t="n">
        <f aca="false">J48-H48</f>
        <v>2217.5</v>
      </c>
      <c r="L48" s="11" t="n">
        <f aca="false">IF(AND(H48=0,J48=0),0,IF(H48=0,"New",(J48-H48)/H48))</f>
        <v>-5.16298020954598</v>
      </c>
    </row>
    <row r="49" customFormat="false" ht="15" hidden="false" customHeight="true" outlineLevel="0" collapsed="false">
      <c r="A49" s="8" t="s">
        <v>104</v>
      </c>
      <c r="B49" s="8" t="str">
        <f aca="false">IFERROR(INDEX('Source 2026'!$C:$C,MATCH($A49,'Source 2026'!$B:$B,0)),IFERROR(INDEX('Source 2025'!$C:$C,MATCH($A49,'Source 2025'!$B:$B,0)),""))</f>
        <v>L חבק יד מתכוון עם צמדן</v>
      </c>
      <c r="C49" s="9" t="n">
        <f aca="false">SUMIFS('Source 2025'!$K:$K,'Source 2025'!$B:$B,$A49,'Source 2025'!$A:$A,"Quantity (units)")+SUMIFS('Source 2025'!$O:$O,'Source 2025'!$B:$B,$A49,'Source 2025'!$A:$A,"Quantity (units)")+SUMIFS('Source 2025'!$R:$R,'Source 2025'!$B:$B,$A49,'Source 2025'!$A:$A,"Quantity (units)")+SUMIFS('Source 2025'!$P:$P,'Source 2025'!$B:$B,$A49,'Source 2025'!$A:$A,"Quantity (units)")+SUMIFS('Source 2025'!$J:$J,'Source 2025'!$B:$B,$A49,'Source 2025'!$A:$A,"Quantity (units)")+SUMIFS('Source 2025'!$L:$L,'Source 2025'!$B:$B,$A49,'Source 2025'!$A:$A,"Quantity (units)")</f>
        <v>344</v>
      </c>
      <c r="D49" s="9" t="n">
        <f aca="false">SUMIFS('Source 2026'!$K:$K,'Source 2026'!$B:$B,$A49,'Source 2026'!$A:$A,"Quantity (units)")+SUMIFS('Source 2026'!$O:$O,'Source 2026'!$B:$B,$A49,'Source 2026'!$A:$A,"Quantity (units)")+SUMIFS('Source 2026'!$R:$R,'Source 2026'!$B:$B,$A49,'Source 2026'!$A:$A,"Quantity (units)")+SUMIFS('Source 2026'!$P:$P,'Source 2026'!$B:$B,$A49,'Source 2026'!$A:$A,"Quantity (units)")+SUMIFS('Source 2026'!$J:$J,'Source 2026'!$B:$B,$A49,'Source 2026'!$A:$A,"Quantity (units)")+SUMIFS('Source 2026'!$L:$L,'Source 2026'!$B:$B,$A49,'Source 2026'!$A:$A,"Quantity (units)")</f>
        <v>277</v>
      </c>
      <c r="E49" s="9" t="n">
        <f aca="false">D49*$J$5</f>
        <v>349.894736842105</v>
      </c>
      <c r="F49" s="9" t="n">
        <f aca="false">E49-C49</f>
        <v>5.89473684210526</v>
      </c>
      <c r="G49" s="11" t="n">
        <f aca="false">IF(AND(C49=0,E49=0),0,IF(C49=0,"New",(E49-C49)/C49))</f>
        <v>0.0171358629130967</v>
      </c>
      <c r="H49" s="9" t="n">
        <f aca="false">SUMIFS('Source 2025'!$K:$K,'Source 2025'!$B:$B,$A49,'Source 2025'!$A:$A,"Amount (NIS)")+SUMIFS('Source 2025'!$O:$O,'Source 2025'!$B:$B,$A49,'Source 2025'!$A:$A,"Amount (NIS)")+SUMIFS('Source 2025'!$R:$R,'Source 2025'!$B:$B,$A49,'Source 2025'!$A:$A,"Amount (NIS)")+SUMIFS('Source 2025'!$P:$P,'Source 2025'!$B:$B,$A49,'Source 2025'!$A:$A,"Amount (NIS)")+SUMIFS('Source 2025'!$J:$J,'Source 2025'!$B:$B,$A49,'Source 2025'!$A:$A,"Amount (NIS)")+SUMIFS('Source 2025'!$L:$L,'Source 2025'!$B:$B,$A49,'Source 2025'!$A:$A,"Amount (NIS)")</f>
        <v>9343.1</v>
      </c>
      <c r="I49" s="9" t="n">
        <f aca="false">SUMIFS('Source 2026'!$K:$K,'Source 2026'!$B:$B,$A49,'Source 2026'!$A:$A,"Amount (NIS)")+SUMIFS('Source 2026'!$O:$O,'Source 2026'!$B:$B,$A49,'Source 2026'!$A:$A,"Amount (NIS)")+SUMIFS('Source 2026'!$R:$R,'Source 2026'!$B:$B,$A49,'Source 2026'!$A:$A,"Amount (NIS)")+SUMIFS('Source 2026'!$P:$P,'Source 2026'!$B:$B,$A49,'Source 2026'!$A:$A,"Amount (NIS)")+SUMIFS('Source 2026'!$J:$J,'Source 2026'!$B:$B,$A49,'Source 2026'!$A:$A,"Amount (NIS)")+SUMIFS('Source 2026'!$L:$L,'Source 2026'!$B:$B,$A49,'Source 2026'!$A:$A,"Amount (NIS)")</f>
        <v>7528.7</v>
      </c>
      <c r="J49" s="9" t="n">
        <f aca="false">I49*$J$5</f>
        <v>9509.93684210526</v>
      </c>
      <c r="K49" s="9" t="n">
        <f aca="false">J49-H49</f>
        <v>166.836842105262</v>
      </c>
      <c r="L49" s="11" t="n">
        <f aca="false">IF(AND(H49=0,J49=0),0,IF(H49=0,"New",(J49-H49)/H49))</f>
        <v>0.0178566901890445</v>
      </c>
    </row>
    <row r="50" customFormat="false" ht="15" hidden="false" customHeight="true" outlineLevel="0" collapsed="false">
      <c r="A50" s="8" t="s">
        <v>181</v>
      </c>
      <c r="B50" s="8" t="str">
        <f aca="false">IFERROR(INDEX('Source 2026'!$C:$C,MATCH($A50,'Source 2026'!$B:$B,0)),IFERROR(INDEX('Source 2025'!$C:$C,MATCH($A50,'Source 2025'!$B:$B,0)),""))</f>
        <v>37-38 מדרסי סיליק.לח.סכרת</v>
      </c>
      <c r="C50" s="9" t="n">
        <f aca="false">SUMIFS('Source 2025'!$K:$K,'Source 2025'!$B:$B,$A50,'Source 2025'!$A:$A,"Quantity (units)")+SUMIFS('Source 2025'!$O:$O,'Source 2025'!$B:$B,$A50,'Source 2025'!$A:$A,"Quantity (units)")+SUMIFS('Source 2025'!$R:$R,'Source 2025'!$B:$B,$A50,'Source 2025'!$A:$A,"Quantity (units)")+SUMIFS('Source 2025'!$P:$P,'Source 2025'!$B:$B,$A50,'Source 2025'!$A:$A,"Quantity (units)")+SUMIFS('Source 2025'!$J:$J,'Source 2025'!$B:$B,$A50,'Source 2025'!$A:$A,"Quantity (units)")+SUMIFS('Source 2025'!$L:$L,'Source 2025'!$B:$B,$A50,'Source 2025'!$A:$A,"Quantity (units)")</f>
        <v>17</v>
      </c>
      <c r="D50" s="9" t="n">
        <f aca="false">SUMIFS('Source 2026'!$K:$K,'Source 2026'!$B:$B,$A50,'Source 2026'!$A:$A,"Quantity (units)")+SUMIFS('Source 2026'!$O:$O,'Source 2026'!$B:$B,$A50,'Source 2026'!$A:$A,"Quantity (units)")+SUMIFS('Source 2026'!$R:$R,'Source 2026'!$B:$B,$A50,'Source 2026'!$A:$A,"Quantity (units)")+SUMIFS('Source 2026'!$P:$P,'Source 2026'!$B:$B,$A50,'Source 2026'!$A:$A,"Quantity (units)")+SUMIFS('Source 2026'!$J:$J,'Source 2026'!$B:$B,$A50,'Source 2026'!$A:$A,"Quantity (units)")+SUMIFS('Source 2026'!$L:$L,'Source 2026'!$B:$B,$A50,'Source 2026'!$A:$A,"Quantity (units)")</f>
        <v>1</v>
      </c>
      <c r="E50" s="9" t="n">
        <f aca="false">D50*$J$5</f>
        <v>1.26315789473684</v>
      </c>
      <c r="F50" s="9" t="n">
        <f aca="false">E50-C50</f>
        <v>-15.7368421052632</v>
      </c>
      <c r="G50" s="11" t="n">
        <f aca="false">IF(AND(C50=0,E50=0),0,IF(C50=0,"New",(E50-C50)/C50))</f>
        <v>-0.925696594427245</v>
      </c>
      <c r="H50" s="9" t="n">
        <f aca="false">SUMIFS('Source 2025'!$K:$K,'Source 2025'!$B:$B,$A50,'Source 2025'!$A:$A,"Amount (NIS)")+SUMIFS('Source 2025'!$O:$O,'Source 2025'!$B:$B,$A50,'Source 2025'!$A:$A,"Amount (NIS)")+SUMIFS('Source 2025'!$R:$R,'Source 2025'!$B:$B,$A50,'Source 2025'!$A:$A,"Amount (NIS)")+SUMIFS('Source 2025'!$P:$P,'Source 2025'!$B:$B,$A50,'Source 2025'!$A:$A,"Amount (NIS)")+SUMIFS('Source 2025'!$J:$J,'Source 2025'!$B:$B,$A50,'Source 2025'!$A:$A,"Amount (NIS)")+SUMIFS('Source 2025'!$L:$L,'Source 2025'!$B:$B,$A50,'Source 2025'!$A:$A,"Amount (NIS)")</f>
        <v>1878.3</v>
      </c>
      <c r="I50" s="9" t="n">
        <f aca="false">SUMIFS('Source 2026'!$K:$K,'Source 2026'!$B:$B,$A50,'Source 2026'!$A:$A,"Amount (NIS)")+SUMIFS('Source 2026'!$O:$O,'Source 2026'!$B:$B,$A50,'Source 2026'!$A:$A,"Amount (NIS)")+SUMIFS('Source 2026'!$R:$R,'Source 2026'!$B:$B,$A50,'Source 2026'!$A:$A,"Amount (NIS)")+SUMIFS('Source 2026'!$P:$P,'Source 2026'!$B:$B,$A50,'Source 2026'!$A:$A,"Amount (NIS)")+SUMIFS('Source 2026'!$J:$J,'Source 2026'!$B:$B,$A50,'Source 2026'!$A:$A,"Amount (NIS)")+SUMIFS('Source 2026'!$L:$L,'Source 2026'!$B:$B,$A50,'Source 2026'!$A:$A,"Amount (NIS)")</f>
        <v>110.5</v>
      </c>
      <c r="J50" s="9" t="n">
        <f aca="false">I50*$J$5</f>
        <v>139.578947368421</v>
      </c>
      <c r="K50" s="9" t="n">
        <f aca="false">J50-H50</f>
        <v>-1738.72105263158</v>
      </c>
      <c r="L50" s="11" t="n">
        <f aca="false">IF(AND(H50=0,J50=0),0,IF(H50=0,"New",(J50-H50)/H50))</f>
        <v>-0.925688682655369</v>
      </c>
    </row>
    <row r="51" customFormat="false" ht="15" hidden="false" customHeight="true" outlineLevel="0" collapsed="false">
      <c r="A51" s="8" t="s">
        <v>269</v>
      </c>
      <c r="B51" s="8" t="str">
        <f aca="false">IFERROR(INDEX('Source 2026'!$C:$C,MATCH($A51,'Source 2026'!$B:$B,0)),IFERROR(INDEX('Source 2025'!$C:$C,MATCH($A51,'Source 2025'!$B:$B,0)),""))</f>
        <v>טייפ חבישה לספורט</v>
      </c>
      <c r="C51" s="9" t="n">
        <f aca="false">SUMIFS('Source 2025'!$K:$K,'Source 2025'!$B:$B,$A51,'Source 2025'!$A:$A,"Quantity (units)")+SUMIFS('Source 2025'!$O:$O,'Source 2025'!$B:$B,$A51,'Source 2025'!$A:$A,"Quantity (units)")+SUMIFS('Source 2025'!$R:$R,'Source 2025'!$B:$B,$A51,'Source 2025'!$A:$A,"Quantity (units)")+SUMIFS('Source 2025'!$P:$P,'Source 2025'!$B:$B,$A51,'Source 2025'!$A:$A,"Quantity (units)")+SUMIFS('Source 2025'!$J:$J,'Source 2025'!$B:$B,$A51,'Source 2025'!$A:$A,"Quantity (units)")+SUMIFS('Source 2025'!$L:$L,'Source 2025'!$B:$B,$A51,'Source 2025'!$A:$A,"Quantity (units)")</f>
        <v>282</v>
      </c>
      <c r="D51" s="9" t="n">
        <f aca="false">SUMIFS('Source 2026'!$K:$K,'Source 2026'!$B:$B,$A51,'Source 2026'!$A:$A,"Quantity (units)")+SUMIFS('Source 2026'!$O:$O,'Source 2026'!$B:$B,$A51,'Source 2026'!$A:$A,"Quantity (units)")+SUMIFS('Source 2026'!$R:$R,'Source 2026'!$B:$B,$A51,'Source 2026'!$A:$A,"Quantity (units)")+SUMIFS('Source 2026'!$P:$P,'Source 2026'!$B:$B,$A51,'Source 2026'!$A:$A,"Quantity (units)")+SUMIFS('Source 2026'!$J:$J,'Source 2026'!$B:$B,$A51,'Source 2026'!$A:$A,"Quantity (units)")+SUMIFS('Source 2026'!$L:$L,'Source 2026'!$B:$B,$A51,'Source 2026'!$A:$A,"Quantity (units)")</f>
        <v>168</v>
      </c>
      <c r="E51" s="9" t="n">
        <f aca="false">D51*$J$5</f>
        <v>212.210526315789</v>
      </c>
      <c r="F51" s="9" t="n">
        <f aca="false">E51-C51</f>
        <v>-69.7894736842106</v>
      </c>
      <c r="G51" s="11" t="n">
        <f aca="false">IF(AND(C51=0,E51=0),0,IF(C51=0,"New",(E51-C51)/C51))</f>
        <v>-0.247480403135498</v>
      </c>
      <c r="H51" s="9" t="n">
        <f aca="false">SUMIFS('Source 2025'!$K:$K,'Source 2025'!$B:$B,$A51,'Source 2025'!$A:$A,"Amount (NIS)")+SUMIFS('Source 2025'!$O:$O,'Source 2025'!$B:$B,$A51,'Source 2025'!$A:$A,"Amount (NIS)")+SUMIFS('Source 2025'!$R:$R,'Source 2025'!$B:$B,$A51,'Source 2025'!$A:$A,"Amount (NIS)")+SUMIFS('Source 2025'!$P:$P,'Source 2025'!$B:$B,$A51,'Source 2025'!$A:$A,"Amount (NIS)")+SUMIFS('Source 2025'!$J:$J,'Source 2025'!$B:$B,$A51,'Source 2025'!$A:$A,"Amount (NIS)")+SUMIFS('Source 2025'!$L:$L,'Source 2025'!$B:$B,$A51,'Source 2025'!$A:$A,"Amount (NIS)")</f>
        <v>4342.8</v>
      </c>
      <c r="I51" s="9" t="n">
        <f aca="false">SUMIFS('Source 2026'!$K:$K,'Source 2026'!$B:$B,$A51,'Source 2026'!$A:$A,"Amount (NIS)")+SUMIFS('Source 2026'!$O:$O,'Source 2026'!$B:$B,$A51,'Source 2026'!$A:$A,"Amount (NIS)")+SUMIFS('Source 2026'!$R:$R,'Source 2026'!$B:$B,$A51,'Source 2026'!$A:$A,"Amount (NIS)")+SUMIFS('Source 2026'!$P:$P,'Source 2026'!$B:$B,$A51,'Source 2026'!$A:$A,"Amount (NIS)")+SUMIFS('Source 2026'!$J:$J,'Source 2026'!$B:$B,$A51,'Source 2026'!$A:$A,"Amount (NIS)")+SUMIFS('Source 2026'!$L:$L,'Source 2026'!$B:$B,$A51,'Source 2026'!$A:$A,"Amount (NIS)")</f>
        <v>2587.2</v>
      </c>
      <c r="J51" s="9" t="n">
        <f aca="false">I51*$J$5</f>
        <v>3268.04210526316</v>
      </c>
      <c r="K51" s="9" t="n">
        <f aca="false">J51-H51</f>
        <v>-1074.75789473684</v>
      </c>
      <c r="L51" s="11" t="n">
        <f aca="false">IF(AND(H51=0,J51=0),0,IF(H51=0,"New",(J51-H51)/H51))</f>
        <v>-0.247480403135498</v>
      </c>
    </row>
    <row r="52" customFormat="false" ht="15" hidden="false" customHeight="true" outlineLevel="0" collapsed="false">
      <c r="A52" s="8" t="s">
        <v>227</v>
      </c>
      <c r="B52" s="8" t="str">
        <f aca="false">IFERROR(INDEX('Source 2026'!$C:$C,MATCH($A52,'Source 2026'!$B:$B,0)),IFERROR(INDEX('Source 2025'!$C:$C,MATCH($A52,'Source 2025'!$B:$B,0)),""))</f>
        <v>להסרת עור קשה</v>
      </c>
      <c r="C52" s="9" t="n">
        <f aca="false">SUMIFS('Source 2025'!$K:$K,'Source 2025'!$B:$B,$A52,'Source 2025'!$A:$A,"Quantity (units)")+SUMIFS('Source 2025'!$O:$O,'Source 2025'!$B:$B,$A52,'Source 2025'!$A:$A,"Quantity (units)")+SUMIFS('Source 2025'!$R:$R,'Source 2025'!$B:$B,$A52,'Source 2025'!$A:$A,"Quantity (units)")+SUMIFS('Source 2025'!$P:$P,'Source 2025'!$B:$B,$A52,'Source 2025'!$A:$A,"Quantity (units)")+SUMIFS('Source 2025'!$J:$J,'Source 2025'!$B:$B,$A52,'Source 2025'!$A:$A,"Quantity (units)")+SUMIFS('Source 2025'!$L:$L,'Source 2025'!$B:$B,$A52,'Source 2025'!$A:$A,"Quantity (units)")</f>
        <v>111</v>
      </c>
      <c r="D52" s="9" t="n">
        <f aca="false">SUMIFS('Source 2026'!$K:$K,'Source 2026'!$B:$B,$A52,'Source 2026'!$A:$A,"Quantity (units)")+SUMIFS('Source 2026'!$O:$O,'Source 2026'!$B:$B,$A52,'Source 2026'!$A:$A,"Quantity (units)")+SUMIFS('Source 2026'!$R:$R,'Source 2026'!$B:$B,$A52,'Source 2026'!$A:$A,"Quantity (units)")+SUMIFS('Source 2026'!$P:$P,'Source 2026'!$B:$B,$A52,'Source 2026'!$A:$A,"Quantity (units)")+SUMIFS('Source 2026'!$J:$J,'Source 2026'!$B:$B,$A52,'Source 2026'!$A:$A,"Quantity (units)")+SUMIFS('Source 2026'!$L:$L,'Source 2026'!$B:$B,$A52,'Source 2026'!$A:$A,"Quantity (units)")</f>
        <v>46</v>
      </c>
      <c r="E52" s="9" t="n">
        <f aca="false">D52*$J$5</f>
        <v>58.1052631578947</v>
      </c>
      <c r="F52" s="9" t="n">
        <f aca="false">E52-C52</f>
        <v>-52.8947368421053</v>
      </c>
      <c r="G52" s="11" t="n">
        <f aca="false">IF(AND(C52=0,E52=0),0,IF(C52=0,"New",(E52-C52)/C52))</f>
        <v>-0.476529160739687</v>
      </c>
      <c r="H52" s="9" t="n">
        <f aca="false">SUMIFS('Source 2025'!$K:$K,'Source 2025'!$B:$B,$A52,'Source 2025'!$A:$A,"Amount (NIS)")+SUMIFS('Source 2025'!$O:$O,'Source 2025'!$B:$B,$A52,'Source 2025'!$A:$A,"Amount (NIS)")+SUMIFS('Source 2025'!$R:$R,'Source 2025'!$B:$B,$A52,'Source 2025'!$A:$A,"Amount (NIS)")+SUMIFS('Source 2025'!$P:$P,'Source 2025'!$B:$B,$A52,'Source 2025'!$A:$A,"Amount (NIS)")+SUMIFS('Source 2025'!$J:$J,'Source 2025'!$B:$B,$A52,'Source 2025'!$A:$A,"Amount (NIS)")+SUMIFS('Source 2025'!$L:$L,'Source 2025'!$B:$B,$A52,'Source 2025'!$A:$A,"Amount (NIS)")</f>
        <v>2961.7</v>
      </c>
      <c r="I52" s="9" t="n">
        <f aca="false">SUMIFS('Source 2026'!$K:$K,'Source 2026'!$B:$B,$A52,'Source 2026'!$A:$A,"Amount (NIS)")+SUMIFS('Source 2026'!$O:$O,'Source 2026'!$B:$B,$A52,'Source 2026'!$A:$A,"Amount (NIS)")+SUMIFS('Source 2026'!$R:$R,'Source 2026'!$B:$B,$A52,'Source 2026'!$A:$A,"Amount (NIS)")+SUMIFS('Source 2026'!$P:$P,'Source 2026'!$B:$B,$A52,'Source 2026'!$A:$A,"Amount (NIS)")+SUMIFS('Source 2026'!$J:$J,'Source 2026'!$B:$B,$A52,'Source 2026'!$A:$A,"Amount (NIS)")+SUMIFS('Source 2026'!$L:$L,'Source 2026'!$B:$B,$A52,'Source 2026'!$A:$A,"Amount (NIS)")</f>
        <v>1227.4</v>
      </c>
      <c r="J52" s="9" t="n">
        <f aca="false">I52*$J$5</f>
        <v>1550.4</v>
      </c>
      <c r="K52" s="9" t="n">
        <f aca="false">J52-H52</f>
        <v>-1411.3</v>
      </c>
      <c r="L52" s="11" t="n">
        <f aca="false">IF(AND(H52=0,J52=0),0,IF(H52=0,"New",(J52-H52)/H52))</f>
        <v>-0.47651686531384</v>
      </c>
    </row>
    <row r="53" customFormat="false" ht="15" hidden="false" customHeight="true" outlineLevel="0" collapsed="false">
      <c r="A53" s="8" t="s">
        <v>154</v>
      </c>
      <c r="B53" s="8" t="str">
        <f aca="false">IFERROR(INDEX('Source 2026'!$C:$C,MATCH($A53,'Source 2026'!$B:$B,0)),IFERROR(INDEX('Source 2025'!$C:$C,MATCH($A53,'Source 2025'!$B:$B,0)),""))</f>
        <v>מגן ברך + צירים</v>
      </c>
      <c r="C53" s="9" t="n">
        <f aca="false">SUMIFS('Source 2025'!$K:$K,'Source 2025'!$B:$B,$A53,'Source 2025'!$A:$A,"Quantity (units)")+SUMIFS('Source 2025'!$O:$O,'Source 2025'!$B:$B,$A53,'Source 2025'!$A:$A,"Quantity (units)")+SUMIFS('Source 2025'!$R:$R,'Source 2025'!$B:$B,$A53,'Source 2025'!$A:$A,"Quantity (units)")+SUMIFS('Source 2025'!$P:$P,'Source 2025'!$B:$B,$A53,'Source 2025'!$A:$A,"Quantity (units)")+SUMIFS('Source 2025'!$J:$J,'Source 2025'!$B:$B,$A53,'Source 2025'!$A:$A,"Quantity (units)")+SUMIFS('Source 2025'!$L:$L,'Source 2025'!$B:$B,$A53,'Source 2025'!$A:$A,"Quantity (units)")</f>
        <v>3</v>
      </c>
      <c r="D53" s="9" t="n">
        <f aca="false">SUMIFS('Source 2026'!$K:$K,'Source 2026'!$B:$B,$A53,'Source 2026'!$A:$A,"Quantity (units)")+SUMIFS('Source 2026'!$O:$O,'Source 2026'!$B:$B,$A53,'Source 2026'!$A:$A,"Quantity (units)")+SUMIFS('Source 2026'!$R:$R,'Source 2026'!$B:$B,$A53,'Source 2026'!$A:$A,"Quantity (units)")+SUMIFS('Source 2026'!$P:$P,'Source 2026'!$B:$B,$A53,'Source 2026'!$A:$A,"Quantity (units)")+SUMIFS('Source 2026'!$J:$J,'Source 2026'!$B:$B,$A53,'Source 2026'!$A:$A,"Quantity (units)")+SUMIFS('Source 2026'!$L:$L,'Source 2026'!$B:$B,$A53,'Source 2026'!$A:$A,"Quantity (units)")</f>
        <v>22</v>
      </c>
      <c r="E53" s="9" t="n">
        <f aca="false">D53*$J$5</f>
        <v>27.7894736842105</v>
      </c>
      <c r="F53" s="9" t="n">
        <f aca="false">E53-C53</f>
        <v>24.7894736842105</v>
      </c>
      <c r="G53" s="11" t="n">
        <f aca="false">IF(AND(C53=0,E53=0),0,IF(C53=0,"New",(E53-C53)/C53))</f>
        <v>8.26315789473684</v>
      </c>
      <c r="H53" s="9" t="n">
        <f aca="false">SUMIFS('Source 2025'!$K:$K,'Source 2025'!$B:$B,$A53,'Source 2025'!$A:$A,"Amount (NIS)")+SUMIFS('Source 2025'!$O:$O,'Source 2025'!$B:$B,$A53,'Source 2025'!$A:$A,"Amount (NIS)")+SUMIFS('Source 2025'!$R:$R,'Source 2025'!$B:$B,$A53,'Source 2025'!$A:$A,"Amount (NIS)")+SUMIFS('Source 2025'!$P:$P,'Source 2025'!$B:$B,$A53,'Source 2025'!$A:$A,"Amount (NIS)")+SUMIFS('Source 2025'!$J:$J,'Source 2025'!$B:$B,$A53,'Source 2025'!$A:$A,"Amount (NIS)")+SUMIFS('Source 2025'!$L:$L,'Source 2025'!$B:$B,$A53,'Source 2025'!$A:$A,"Amount (NIS)")</f>
        <v>270.3</v>
      </c>
      <c r="I53" s="9" t="n">
        <f aca="false">SUMIFS('Source 2026'!$K:$K,'Source 2026'!$B:$B,$A53,'Source 2026'!$A:$A,"Amount (NIS)")+SUMIFS('Source 2026'!$O:$O,'Source 2026'!$B:$B,$A53,'Source 2026'!$A:$A,"Amount (NIS)")+SUMIFS('Source 2026'!$R:$R,'Source 2026'!$B:$B,$A53,'Source 2026'!$A:$A,"Amount (NIS)")+SUMIFS('Source 2026'!$P:$P,'Source 2026'!$B:$B,$A53,'Source 2026'!$A:$A,"Amount (NIS)")+SUMIFS('Source 2026'!$J:$J,'Source 2026'!$B:$B,$A53,'Source 2026'!$A:$A,"Amount (NIS)")+SUMIFS('Source 2026'!$L:$L,'Source 2026'!$B:$B,$A53,'Source 2026'!$A:$A,"Amount (NIS)")</f>
        <v>1982.6</v>
      </c>
      <c r="J53" s="9" t="n">
        <f aca="false">I53*$J$5</f>
        <v>2504.33684210526</v>
      </c>
      <c r="K53" s="9" t="n">
        <f aca="false">J53-H53</f>
        <v>2234.03684210526</v>
      </c>
      <c r="L53" s="11" t="n">
        <f aca="false">IF(AND(H53=0,J53=0),0,IF(H53=0,"New",(J53-H53)/H53))</f>
        <v>8.26502716280157</v>
      </c>
    </row>
    <row r="54" customFormat="false" ht="15" hidden="false" customHeight="true" outlineLevel="0" collapsed="false">
      <c r="A54" s="8" t="s">
        <v>123</v>
      </c>
      <c r="B54" s="8" t="str">
        <f aca="false">IFERROR(INDEX('Source 2026'!$C:$C,MATCH($A54,'Source 2026'!$B:$B,0)),IFERROR(INDEX('Source 2025'!$C:$C,MATCH($A54,'Source 2025'!$B:$B,0)),""))</f>
        <v>Lעקבים סיליקון כחול לדורבן</v>
      </c>
      <c r="C54" s="9" t="n">
        <f aca="false">SUMIFS('Source 2025'!$K:$K,'Source 2025'!$B:$B,$A54,'Source 2025'!$A:$A,"Quantity (units)")+SUMIFS('Source 2025'!$O:$O,'Source 2025'!$B:$B,$A54,'Source 2025'!$A:$A,"Quantity (units)")+SUMIFS('Source 2025'!$R:$R,'Source 2025'!$B:$B,$A54,'Source 2025'!$A:$A,"Quantity (units)")+SUMIFS('Source 2025'!$P:$P,'Source 2025'!$B:$B,$A54,'Source 2025'!$A:$A,"Quantity (units)")+SUMIFS('Source 2025'!$J:$J,'Source 2025'!$B:$B,$A54,'Source 2025'!$A:$A,"Quantity (units)")+SUMIFS('Source 2025'!$L:$L,'Source 2025'!$B:$B,$A54,'Source 2025'!$A:$A,"Quantity (units)")</f>
        <v>212</v>
      </c>
      <c r="D54" s="9" t="n">
        <f aca="false">SUMIFS('Source 2026'!$K:$K,'Source 2026'!$B:$B,$A54,'Source 2026'!$A:$A,"Quantity (units)")+SUMIFS('Source 2026'!$O:$O,'Source 2026'!$B:$B,$A54,'Source 2026'!$A:$A,"Quantity (units)")+SUMIFS('Source 2026'!$R:$R,'Source 2026'!$B:$B,$A54,'Source 2026'!$A:$A,"Quantity (units)")+SUMIFS('Source 2026'!$P:$P,'Source 2026'!$B:$B,$A54,'Source 2026'!$A:$A,"Quantity (units)")+SUMIFS('Source 2026'!$J:$J,'Source 2026'!$B:$B,$A54,'Source 2026'!$A:$A,"Quantity (units)")+SUMIFS('Source 2026'!$L:$L,'Source 2026'!$B:$B,$A54,'Source 2026'!$A:$A,"Quantity (units)")</f>
        <v>182</v>
      </c>
      <c r="E54" s="9" t="n">
        <f aca="false">D54*$J$5</f>
        <v>229.894736842105</v>
      </c>
      <c r="F54" s="9" t="n">
        <f aca="false">E54-C54</f>
        <v>17.8947368421053</v>
      </c>
      <c r="G54" s="11" t="n">
        <f aca="false">IF(AND(C54=0,E54=0),0,IF(C54=0,"New",(E54-C54)/C54))</f>
        <v>0.0844091360476663</v>
      </c>
      <c r="H54" s="9" t="n">
        <f aca="false">SUMIFS('Source 2025'!$K:$K,'Source 2025'!$B:$B,$A54,'Source 2025'!$A:$A,"Amount (NIS)")+SUMIFS('Source 2025'!$O:$O,'Source 2025'!$B:$B,$A54,'Source 2025'!$A:$A,"Amount (NIS)")+SUMIFS('Source 2025'!$R:$R,'Source 2025'!$B:$B,$A54,'Source 2025'!$A:$A,"Amount (NIS)")+SUMIFS('Source 2025'!$P:$P,'Source 2025'!$B:$B,$A54,'Source 2025'!$A:$A,"Amount (NIS)")+SUMIFS('Source 2025'!$J:$J,'Source 2025'!$B:$B,$A54,'Source 2025'!$A:$A,"Amount (NIS)")+SUMIFS('Source 2025'!$L:$L,'Source 2025'!$B:$B,$A54,'Source 2025'!$A:$A,"Amount (NIS)")</f>
        <v>11581.6</v>
      </c>
      <c r="I54" s="9" t="n">
        <f aca="false">SUMIFS('Source 2026'!$K:$K,'Source 2026'!$B:$B,$A54,'Source 2026'!$A:$A,"Amount (NIS)")+SUMIFS('Source 2026'!$O:$O,'Source 2026'!$B:$B,$A54,'Source 2026'!$A:$A,"Amount (NIS)")+SUMIFS('Source 2026'!$R:$R,'Source 2026'!$B:$B,$A54,'Source 2026'!$A:$A,"Amount (NIS)")+SUMIFS('Source 2026'!$P:$P,'Source 2026'!$B:$B,$A54,'Source 2026'!$A:$A,"Amount (NIS)")+SUMIFS('Source 2026'!$J:$J,'Source 2026'!$B:$B,$A54,'Source 2026'!$A:$A,"Amount (NIS)")+SUMIFS('Source 2026'!$L:$L,'Source 2026'!$B:$B,$A54,'Source 2026'!$A:$A,"Amount (NIS)")</f>
        <v>9922.7</v>
      </c>
      <c r="J54" s="9" t="n">
        <f aca="false">I54*$J$5</f>
        <v>12533.9368421053</v>
      </c>
      <c r="K54" s="9" t="n">
        <f aca="false">J54-H54</f>
        <v>952.336842105264</v>
      </c>
      <c r="L54" s="11" t="n">
        <f aca="false">IF(AND(H54=0,J54=0),0,IF(H54=0,"New",(J54-H54)/H54))</f>
        <v>0.0822284349403592</v>
      </c>
    </row>
    <row r="55" customFormat="false" ht="15" hidden="false" customHeight="true" outlineLevel="0" collapsed="false">
      <c r="A55" s="8" t="s">
        <v>183</v>
      </c>
      <c r="B55" s="8" t="str">
        <f aca="false">IFERROR(INDEX('Source 2026'!$C:$C,MATCH($A55,'Source 2026'!$B:$B,0)),IFERROR(INDEX('Source 2025'!$C:$C,MATCH($A55,'Source 2025'!$B:$B,0)),""))</f>
        <v>S מגן שוק</v>
      </c>
      <c r="C55" s="9" t="n">
        <f aca="false">SUMIFS('Source 2025'!$K:$K,'Source 2025'!$B:$B,$A55,'Source 2025'!$A:$A,"Quantity (units)")+SUMIFS('Source 2025'!$O:$O,'Source 2025'!$B:$B,$A55,'Source 2025'!$A:$A,"Quantity (units)")+SUMIFS('Source 2025'!$R:$R,'Source 2025'!$B:$B,$A55,'Source 2025'!$A:$A,"Quantity (units)")+SUMIFS('Source 2025'!$P:$P,'Source 2025'!$B:$B,$A55,'Source 2025'!$A:$A,"Quantity (units)")+SUMIFS('Source 2025'!$J:$J,'Source 2025'!$B:$B,$A55,'Source 2025'!$A:$A,"Quantity (units)")+SUMIFS('Source 2025'!$L:$L,'Source 2025'!$B:$B,$A55,'Source 2025'!$A:$A,"Quantity (units)")</f>
        <v>13</v>
      </c>
      <c r="D55" s="9" t="n">
        <f aca="false">SUMIFS('Source 2026'!$K:$K,'Source 2026'!$B:$B,$A55,'Source 2026'!$A:$A,"Quantity (units)")+SUMIFS('Source 2026'!$O:$O,'Source 2026'!$B:$B,$A55,'Source 2026'!$A:$A,"Quantity (units)")+SUMIFS('Source 2026'!$R:$R,'Source 2026'!$B:$B,$A55,'Source 2026'!$A:$A,"Quantity (units)")+SUMIFS('Source 2026'!$P:$P,'Source 2026'!$B:$B,$A55,'Source 2026'!$A:$A,"Quantity (units)")+SUMIFS('Source 2026'!$J:$J,'Source 2026'!$B:$B,$A55,'Source 2026'!$A:$A,"Quantity (units)")+SUMIFS('Source 2026'!$L:$L,'Source 2026'!$B:$B,$A55,'Source 2026'!$A:$A,"Quantity (units)")</f>
        <v>23</v>
      </c>
      <c r="E55" s="9" t="n">
        <f aca="false">D55*$J$5</f>
        <v>29.0526315789474</v>
      </c>
      <c r="F55" s="9" t="n">
        <f aca="false">E55-C55</f>
        <v>16.0526315789474</v>
      </c>
      <c r="G55" s="11" t="n">
        <f aca="false">IF(AND(C55=0,E55=0),0,IF(C55=0,"New",(E55-C55)/C55))</f>
        <v>1.23481781376518</v>
      </c>
      <c r="H55" s="9" t="n">
        <f aca="false">SUMIFS('Source 2025'!$K:$K,'Source 2025'!$B:$B,$A55,'Source 2025'!$A:$A,"Amount (NIS)")+SUMIFS('Source 2025'!$O:$O,'Source 2025'!$B:$B,$A55,'Source 2025'!$A:$A,"Amount (NIS)")+SUMIFS('Source 2025'!$R:$R,'Source 2025'!$B:$B,$A55,'Source 2025'!$A:$A,"Amount (NIS)")+SUMIFS('Source 2025'!$P:$P,'Source 2025'!$B:$B,$A55,'Source 2025'!$A:$A,"Amount (NIS)")+SUMIFS('Source 2025'!$J:$J,'Source 2025'!$B:$B,$A55,'Source 2025'!$A:$A,"Amount (NIS)")+SUMIFS('Source 2025'!$L:$L,'Source 2025'!$B:$B,$A55,'Source 2025'!$A:$A,"Amount (NIS)")</f>
        <v>1483.1</v>
      </c>
      <c r="I55" s="9" t="n">
        <f aca="false">SUMIFS('Source 2026'!$K:$K,'Source 2026'!$B:$B,$A55,'Source 2026'!$A:$A,"Amount (NIS)")+SUMIFS('Source 2026'!$O:$O,'Source 2026'!$B:$B,$A55,'Source 2026'!$A:$A,"Amount (NIS)")+SUMIFS('Source 2026'!$R:$R,'Source 2026'!$B:$B,$A55,'Source 2026'!$A:$A,"Amount (NIS)")+SUMIFS('Source 2026'!$P:$P,'Source 2026'!$B:$B,$A55,'Source 2026'!$A:$A,"Amount (NIS)")+SUMIFS('Source 2026'!$J:$J,'Source 2026'!$B:$B,$A55,'Source 2026'!$A:$A,"Amount (NIS)")+SUMIFS('Source 2026'!$L:$L,'Source 2026'!$B:$B,$A55,'Source 2026'!$A:$A,"Amount (NIS)")</f>
        <v>3122.3</v>
      </c>
      <c r="J55" s="9" t="n">
        <f aca="false">I55*$J$5</f>
        <v>3943.95789473684</v>
      </c>
      <c r="K55" s="9" t="n">
        <f aca="false">J55-H55</f>
        <v>2460.85789473684</v>
      </c>
      <c r="L55" s="11" t="n">
        <f aca="false">IF(AND(H55=0,J55=0),0,IF(H55=0,"New",(J55-H55)/H55))</f>
        <v>1.65926633048132</v>
      </c>
    </row>
    <row r="56" customFormat="false" ht="15" hidden="false" customHeight="true" outlineLevel="0" collapsed="false">
      <c r="A56" s="8" t="s">
        <v>206</v>
      </c>
      <c r="B56" s="8" t="str">
        <f aca="false">IFERROR(INDEX('Source 2026'!$C:$C,MATCH($A56,'Source 2026'!$B:$B,0)),IFERROR(INDEX('Source 2025'!$C:$C,MATCH($A56,'Source 2025'!$B:$B,0)),""))</f>
        <v>XLמפריד אצבע סיליקון ליבלת</v>
      </c>
      <c r="C56" s="9" t="n">
        <f aca="false">SUMIFS('Source 2025'!$K:$K,'Source 2025'!$B:$B,$A56,'Source 2025'!$A:$A,"Quantity (units)")+SUMIFS('Source 2025'!$O:$O,'Source 2025'!$B:$B,$A56,'Source 2025'!$A:$A,"Quantity (units)")+SUMIFS('Source 2025'!$R:$R,'Source 2025'!$B:$B,$A56,'Source 2025'!$A:$A,"Quantity (units)")+SUMIFS('Source 2025'!$P:$P,'Source 2025'!$B:$B,$A56,'Source 2025'!$A:$A,"Quantity (units)")+SUMIFS('Source 2025'!$J:$J,'Source 2025'!$B:$B,$A56,'Source 2025'!$A:$A,"Quantity (units)")+SUMIFS('Source 2025'!$L:$L,'Source 2025'!$B:$B,$A56,'Source 2025'!$A:$A,"Quantity (units)")</f>
        <v>336</v>
      </c>
      <c r="D56" s="9" t="n">
        <f aca="false">SUMIFS('Source 2026'!$K:$K,'Source 2026'!$B:$B,$A56,'Source 2026'!$A:$A,"Quantity (units)")+SUMIFS('Source 2026'!$O:$O,'Source 2026'!$B:$B,$A56,'Source 2026'!$A:$A,"Quantity (units)")+SUMIFS('Source 2026'!$R:$R,'Source 2026'!$B:$B,$A56,'Source 2026'!$A:$A,"Quantity (units)")+SUMIFS('Source 2026'!$P:$P,'Source 2026'!$B:$B,$A56,'Source 2026'!$A:$A,"Quantity (units)")+SUMIFS('Source 2026'!$J:$J,'Source 2026'!$B:$B,$A56,'Source 2026'!$A:$A,"Quantity (units)")+SUMIFS('Source 2026'!$L:$L,'Source 2026'!$B:$B,$A56,'Source 2026'!$A:$A,"Quantity (units)")</f>
        <v>217</v>
      </c>
      <c r="E56" s="9" t="n">
        <f aca="false">D56*$J$5</f>
        <v>274.105263157895</v>
      </c>
      <c r="F56" s="9" t="n">
        <f aca="false">E56-C56</f>
        <v>-61.8947368421053</v>
      </c>
      <c r="G56" s="11" t="n">
        <f aca="false">IF(AND(C56=0,E56=0),0,IF(C56=0,"New",(E56-C56)/C56))</f>
        <v>-0.184210526315789</v>
      </c>
      <c r="H56" s="9" t="n">
        <f aca="false">SUMIFS('Source 2025'!$K:$K,'Source 2025'!$B:$B,$A56,'Source 2025'!$A:$A,"Amount (NIS)")+SUMIFS('Source 2025'!$O:$O,'Source 2025'!$B:$B,$A56,'Source 2025'!$A:$A,"Amount (NIS)")+SUMIFS('Source 2025'!$R:$R,'Source 2025'!$B:$B,$A56,'Source 2025'!$A:$A,"Amount (NIS)")+SUMIFS('Source 2025'!$P:$P,'Source 2025'!$B:$B,$A56,'Source 2025'!$A:$A,"Amount (NIS)")+SUMIFS('Source 2025'!$J:$J,'Source 2025'!$B:$B,$A56,'Source 2025'!$A:$A,"Amount (NIS)")+SUMIFS('Source 2025'!$L:$L,'Source 2025'!$B:$B,$A56,'Source 2025'!$A:$A,"Amount (NIS)")</f>
        <v>4548.4</v>
      </c>
      <c r="I56" s="9" t="n">
        <f aca="false">SUMIFS('Source 2026'!$K:$K,'Source 2026'!$B:$B,$A56,'Source 2026'!$A:$A,"Amount (NIS)")+SUMIFS('Source 2026'!$O:$O,'Source 2026'!$B:$B,$A56,'Source 2026'!$A:$A,"Amount (NIS)")+SUMIFS('Source 2026'!$R:$R,'Source 2026'!$B:$B,$A56,'Source 2026'!$A:$A,"Amount (NIS)")+SUMIFS('Source 2026'!$P:$P,'Source 2026'!$B:$B,$A56,'Source 2026'!$A:$A,"Amount (NIS)")+SUMIFS('Source 2026'!$J:$J,'Source 2026'!$B:$B,$A56,'Source 2026'!$A:$A,"Amount (NIS)")+SUMIFS('Source 2026'!$L:$L,'Source 2026'!$B:$B,$A56,'Source 2026'!$A:$A,"Amount (NIS)")</f>
        <v>2943.7</v>
      </c>
      <c r="J56" s="9" t="n">
        <f aca="false">I56*$J$5</f>
        <v>3718.35789473684</v>
      </c>
      <c r="K56" s="9" t="n">
        <f aca="false">J56-H56</f>
        <v>-830.042105263158</v>
      </c>
      <c r="L56" s="11" t="n">
        <f aca="false">IF(AND(H56=0,J56=0),0,IF(H56=0,"New",(J56-H56)/H56))</f>
        <v>-0.182491008984073</v>
      </c>
    </row>
    <row r="57" customFormat="false" ht="15" hidden="false" customHeight="true" outlineLevel="0" collapsed="false">
      <c r="A57" s="8" t="s">
        <v>139</v>
      </c>
      <c r="B57" s="8" t="str">
        <f aca="false">IFERROR(INDEX('Source 2026'!$C:$C,MATCH($A57,'Source 2026'!$B:$B,0)),IFERROR(INDEX('Source 2025'!$C:$C,MATCH($A57,'Source 2025'!$B:$B,0)),""))</f>
        <v>S מגן קרסול עקב סגור+רצוע</v>
      </c>
      <c r="C57" s="9" t="n">
        <f aca="false">SUMIFS('Source 2025'!$K:$K,'Source 2025'!$B:$B,$A57,'Source 2025'!$A:$A,"Quantity (units)")+SUMIFS('Source 2025'!$O:$O,'Source 2025'!$B:$B,$A57,'Source 2025'!$A:$A,"Quantity (units)")+SUMIFS('Source 2025'!$R:$R,'Source 2025'!$B:$B,$A57,'Source 2025'!$A:$A,"Quantity (units)")+SUMIFS('Source 2025'!$P:$P,'Source 2025'!$B:$B,$A57,'Source 2025'!$A:$A,"Quantity (units)")+SUMIFS('Source 2025'!$J:$J,'Source 2025'!$B:$B,$A57,'Source 2025'!$A:$A,"Quantity (units)")+SUMIFS('Source 2025'!$L:$L,'Source 2025'!$B:$B,$A57,'Source 2025'!$A:$A,"Quantity (units)")</f>
        <v>303</v>
      </c>
      <c r="D57" s="9" t="n">
        <f aca="false">SUMIFS('Source 2026'!$K:$K,'Source 2026'!$B:$B,$A57,'Source 2026'!$A:$A,"Quantity (units)")+SUMIFS('Source 2026'!$O:$O,'Source 2026'!$B:$B,$A57,'Source 2026'!$A:$A,"Quantity (units)")+SUMIFS('Source 2026'!$R:$R,'Source 2026'!$B:$B,$A57,'Source 2026'!$A:$A,"Quantity (units)")+SUMIFS('Source 2026'!$P:$P,'Source 2026'!$B:$B,$A57,'Source 2026'!$A:$A,"Quantity (units)")+SUMIFS('Source 2026'!$J:$J,'Source 2026'!$B:$B,$A57,'Source 2026'!$A:$A,"Quantity (units)")+SUMIFS('Source 2026'!$L:$L,'Source 2026'!$B:$B,$A57,'Source 2026'!$A:$A,"Quantity (units)")</f>
        <v>275</v>
      </c>
      <c r="E57" s="9" t="n">
        <f aca="false">D57*$J$5</f>
        <v>347.368421052632</v>
      </c>
      <c r="F57" s="9" t="n">
        <f aca="false">E57-C57</f>
        <v>44.3684210526316</v>
      </c>
      <c r="G57" s="11" t="n">
        <f aca="false">IF(AND(C57=0,E57=0),0,IF(C57=0,"New",(E57-C57)/C57))</f>
        <v>0.146430432516936</v>
      </c>
      <c r="H57" s="9" t="n">
        <f aca="false">SUMIFS('Source 2025'!$K:$K,'Source 2025'!$B:$B,$A57,'Source 2025'!$A:$A,"Amount (NIS)")+SUMIFS('Source 2025'!$O:$O,'Source 2025'!$B:$B,$A57,'Source 2025'!$A:$A,"Amount (NIS)")+SUMIFS('Source 2025'!$R:$R,'Source 2025'!$B:$B,$A57,'Source 2025'!$A:$A,"Amount (NIS)")+SUMIFS('Source 2025'!$P:$P,'Source 2025'!$B:$B,$A57,'Source 2025'!$A:$A,"Amount (NIS)")+SUMIFS('Source 2025'!$J:$J,'Source 2025'!$B:$B,$A57,'Source 2025'!$A:$A,"Amount (NIS)")+SUMIFS('Source 2025'!$L:$L,'Source 2025'!$B:$B,$A57,'Source 2025'!$A:$A,"Amount (NIS)")</f>
        <v>17364.9</v>
      </c>
      <c r="I57" s="9" t="n">
        <f aca="false">SUMIFS('Source 2026'!$K:$K,'Source 2026'!$B:$B,$A57,'Source 2026'!$A:$A,"Amount (NIS)")+SUMIFS('Source 2026'!$O:$O,'Source 2026'!$B:$B,$A57,'Source 2026'!$A:$A,"Amount (NIS)")+SUMIFS('Source 2026'!$R:$R,'Source 2026'!$B:$B,$A57,'Source 2026'!$A:$A,"Amount (NIS)")+SUMIFS('Source 2026'!$P:$P,'Source 2026'!$B:$B,$A57,'Source 2026'!$A:$A,"Amount (NIS)")+SUMIFS('Source 2026'!$J:$J,'Source 2026'!$B:$B,$A57,'Source 2026'!$A:$A,"Amount (NIS)")+SUMIFS('Source 2026'!$L:$L,'Source 2026'!$B:$B,$A57,'Source 2026'!$A:$A,"Amount (NIS)")</f>
        <v>15760.3</v>
      </c>
      <c r="J57" s="9" t="n">
        <f aca="false">I57*$J$5</f>
        <v>19907.7473684211</v>
      </c>
      <c r="K57" s="9" t="n">
        <f aca="false">J57-H57</f>
        <v>2542.84736842105</v>
      </c>
      <c r="L57" s="11" t="n">
        <f aca="false">IF(AND(H57=0,J57=0),0,IF(H57=0,"New",(J57-H57)/H57))</f>
        <v>0.146436050217453</v>
      </c>
    </row>
    <row r="58" customFormat="false" ht="15" hidden="false" customHeight="true" outlineLevel="0" collapsed="false">
      <c r="A58" s="8" t="s">
        <v>165</v>
      </c>
      <c r="B58" s="8" t="str">
        <f aca="false">IFERROR(INDEX('Source 2026'!$C:$C,MATCH($A58,'Source 2026'!$B:$B,0)),IFERROR(INDEX('Source 2025'!$C:$C,MATCH($A58,'Source 2025'!$B:$B,0)),""))</f>
        <v>S חבק יד</v>
      </c>
      <c r="C58" s="9" t="n">
        <f aca="false">SUMIFS('Source 2025'!$K:$K,'Source 2025'!$B:$B,$A58,'Source 2025'!$A:$A,"Quantity (units)")+SUMIFS('Source 2025'!$O:$O,'Source 2025'!$B:$B,$A58,'Source 2025'!$A:$A,"Quantity (units)")+SUMIFS('Source 2025'!$R:$R,'Source 2025'!$B:$B,$A58,'Source 2025'!$A:$A,"Quantity (units)")+SUMIFS('Source 2025'!$P:$P,'Source 2025'!$B:$B,$A58,'Source 2025'!$A:$A,"Quantity (units)")+SUMIFS('Source 2025'!$J:$J,'Source 2025'!$B:$B,$A58,'Source 2025'!$A:$A,"Quantity (units)")+SUMIFS('Source 2025'!$L:$L,'Source 2025'!$B:$B,$A58,'Source 2025'!$A:$A,"Quantity (units)")</f>
        <v>5</v>
      </c>
      <c r="D58" s="9" t="n">
        <f aca="false">SUMIFS('Source 2026'!$K:$K,'Source 2026'!$B:$B,$A58,'Source 2026'!$A:$A,"Quantity (units)")+SUMIFS('Source 2026'!$O:$O,'Source 2026'!$B:$B,$A58,'Source 2026'!$A:$A,"Quantity (units)")+SUMIFS('Source 2026'!$R:$R,'Source 2026'!$B:$B,$A58,'Source 2026'!$A:$A,"Quantity (units)")+SUMIFS('Source 2026'!$P:$P,'Source 2026'!$B:$B,$A58,'Source 2026'!$A:$A,"Quantity (units)")+SUMIFS('Source 2026'!$J:$J,'Source 2026'!$B:$B,$A58,'Source 2026'!$A:$A,"Quantity (units)")+SUMIFS('Source 2026'!$L:$L,'Source 2026'!$B:$B,$A58,'Source 2026'!$A:$A,"Quantity (units)")</f>
        <v>24</v>
      </c>
      <c r="E58" s="9" t="n">
        <f aca="false">D58*$J$5</f>
        <v>30.3157894736842</v>
      </c>
      <c r="F58" s="9" t="n">
        <f aca="false">E58-C58</f>
        <v>25.3157894736842</v>
      </c>
      <c r="G58" s="11" t="n">
        <f aca="false">IF(AND(C58=0,E58=0),0,IF(C58=0,"New",(E58-C58)/C58))</f>
        <v>5.06315789473684</v>
      </c>
      <c r="H58" s="9" t="n">
        <f aca="false">SUMIFS('Source 2025'!$K:$K,'Source 2025'!$B:$B,$A58,'Source 2025'!$A:$A,"Amount (NIS)")+SUMIFS('Source 2025'!$O:$O,'Source 2025'!$B:$B,$A58,'Source 2025'!$A:$A,"Amount (NIS)")+SUMIFS('Source 2025'!$R:$R,'Source 2025'!$B:$B,$A58,'Source 2025'!$A:$A,"Amount (NIS)")+SUMIFS('Source 2025'!$P:$P,'Source 2025'!$B:$B,$A58,'Source 2025'!$A:$A,"Amount (NIS)")+SUMIFS('Source 2025'!$J:$J,'Source 2025'!$B:$B,$A58,'Source 2025'!$A:$A,"Amount (NIS)")+SUMIFS('Source 2025'!$L:$L,'Source 2025'!$B:$B,$A58,'Source 2025'!$A:$A,"Amount (NIS)")</f>
        <v>184.2</v>
      </c>
      <c r="I58" s="9" t="n">
        <f aca="false">SUMIFS('Source 2026'!$K:$K,'Source 2026'!$B:$B,$A58,'Source 2026'!$A:$A,"Amount (NIS)")+SUMIFS('Source 2026'!$O:$O,'Source 2026'!$B:$B,$A58,'Source 2026'!$A:$A,"Amount (NIS)")+SUMIFS('Source 2026'!$R:$R,'Source 2026'!$B:$B,$A58,'Source 2026'!$A:$A,"Amount (NIS)")+SUMIFS('Source 2026'!$P:$P,'Source 2026'!$B:$B,$A58,'Source 2026'!$A:$A,"Amount (NIS)")+SUMIFS('Source 2026'!$J:$J,'Source 2026'!$B:$B,$A58,'Source 2026'!$A:$A,"Amount (NIS)")+SUMIFS('Source 2026'!$L:$L,'Source 2026'!$B:$B,$A58,'Source 2026'!$A:$A,"Amount (NIS)")</f>
        <v>1779.9</v>
      </c>
      <c r="J58" s="9" t="n">
        <f aca="false">I58*$J$5</f>
        <v>2248.29473684211</v>
      </c>
      <c r="K58" s="9" t="n">
        <f aca="false">J58-H58</f>
        <v>2064.09473684211</v>
      </c>
      <c r="L58" s="11" t="n">
        <f aca="false">IF(AND(H58=0,J58=0),0,IF(H58=0,"New",(J58-H58)/H58))</f>
        <v>11.2057260414881</v>
      </c>
    </row>
    <row r="59" customFormat="false" ht="15" hidden="false" customHeight="true" outlineLevel="0" collapsed="false">
      <c r="A59" s="8" t="s">
        <v>279</v>
      </c>
      <c r="B59" s="8" t="str">
        <f aca="false">IFERROR(INDEX('Source 2026'!$C:$C,MATCH($A59,'Source 2026'!$B:$B,0)),IFERROR(INDEX('Source 2025'!$C:$C,MATCH($A59,'Source 2025'!$B:$B,0)),""))</f>
        <v>L מגן ברך מוצלב+מוט</v>
      </c>
      <c r="C59" s="9" t="n">
        <f aca="false">SUMIFS('Source 2025'!$K:$K,'Source 2025'!$B:$B,$A59,'Source 2025'!$A:$A,"Quantity (units)")+SUMIFS('Source 2025'!$O:$O,'Source 2025'!$B:$B,$A59,'Source 2025'!$A:$A,"Quantity (units)")+SUMIFS('Source 2025'!$R:$R,'Source 2025'!$B:$B,$A59,'Source 2025'!$A:$A,"Quantity (units)")+SUMIFS('Source 2025'!$P:$P,'Source 2025'!$B:$B,$A59,'Source 2025'!$A:$A,"Quantity (units)")+SUMIFS('Source 2025'!$J:$J,'Source 2025'!$B:$B,$A59,'Source 2025'!$A:$A,"Quantity (units)")+SUMIFS('Source 2025'!$L:$L,'Source 2025'!$B:$B,$A59,'Source 2025'!$A:$A,"Quantity (units)")</f>
        <v>9</v>
      </c>
      <c r="D59" s="9" t="n">
        <f aca="false">SUMIFS('Source 2026'!$K:$K,'Source 2026'!$B:$B,$A59,'Source 2026'!$A:$A,"Quantity (units)")+SUMIFS('Source 2026'!$O:$O,'Source 2026'!$B:$B,$A59,'Source 2026'!$A:$A,"Quantity (units)")+SUMIFS('Source 2026'!$R:$R,'Source 2026'!$B:$B,$A59,'Source 2026'!$A:$A,"Quantity (units)")+SUMIFS('Source 2026'!$P:$P,'Source 2026'!$B:$B,$A59,'Source 2026'!$A:$A,"Quantity (units)")+SUMIFS('Source 2026'!$J:$J,'Source 2026'!$B:$B,$A59,'Source 2026'!$A:$A,"Quantity (units)")+SUMIFS('Source 2026'!$L:$L,'Source 2026'!$B:$B,$A59,'Source 2026'!$A:$A,"Quantity (units)")</f>
        <v>-3</v>
      </c>
      <c r="E59" s="9" t="n">
        <f aca="false">D59*$J$5</f>
        <v>-3.78947368421053</v>
      </c>
      <c r="F59" s="9" t="n">
        <f aca="false">E59-C59</f>
        <v>-12.7894736842105</v>
      </c>
      <c r="G59" s="11" t="n">
        <f aca="false">IF(AND(C59=0,E59=0),0,IF(C59=0,"New",(E59-C59)/C59))</f>
        <v>-1.42105263157895</v>
      </c>
      <c r="H59" s="9" t="n">
        <f aca="false">SUMIFS('Source 2025'!$K:$K,'Source 2025'!$B:$B,$A59,'Source 2025'!$A:$A,"Amount (NIS)")+SUMIFS('Source 2025'!$O:$O,'Source 2025'!$B:$B,$A59,'Source 2025'!$A:$A,"Amount (NIS)")+SUMIFS('Source 2025'!$R:$R,'Source 2025'!$B:$B,$A59,'Source 2025'!$A:$A,"Amount (NIS)")+SUMIFS('Source 2025'!$P:$P,'Source 2025'!$B:$B,$A59,'Source 2025'!$A:$A,"Amount (NIS)")+SUMIFS('Source 2025'!$J:$J,'Source 2025'!$B:$B,$A59,'Source 2025'!$A:$A,"Amount (NIS)")+SUMIFS('Source 2025'!$L:$L,'Source 2025'!$B:$B,$A59,'Source 2025'!$A:$A,"Amount (NIS)")</f>
        <v>1131.3</v>
      </c>
      <c r="I59" s="9" t="n">
        <f aca="false">SUMIFS('Source 2026'!$K:$K,'Source 2026'!$B:$B,$A59,'Source 2026'!$A:$A,"Amount (NIS)")+SUMIFS('Source 2026'!$O:$O,'Source 2026'!$B:$B,$A59,'Source 2026'!$A:$A,"Amount (NIS)")+SUMIFS('Source 2026'!$R:$R,'Source 2026'!$B:$B,$A59,'Source 2026'!$A:$A,"Amount (NIS)")+SUMIFS('Source 2026'!$P:$P,'Source 2026'!$B:$B,$A59,'Source 2026'!$A:$A,"Amount (NIS)")+SUMIFS('Source 2026'!$J:$J,'Source 2026'!$B:$B,$A59,'Source 2026'!$A:$A,"Amount (NIS)")+SUMIFS('Source 2026'!$L:$L,'Source 2026'!$B:$B,$A59,'Source 2026'!$A:$A,"Amount (NIS)")</f>
        <v>-437.1</v>
      </c>
      <c r="J59" s="9" t="n">
        <f aca="false">I59*$J$5</f>
        <v>-552.126315789474</v>
      </c>
      <c r="K59" s="9" t="n">
        <f aca="false">J59-H59</f>
        <v>-1683.42631578947</v>
      </c>
      <c r="L59" s="11" t="n">
        <f aca="false">IF(AND(H59=0,J59=0),0,IF(H59=0,"New",(J59-H59)/H59))</f>
        <v>-1.48804589038228</v>
      </c>
    </row>
    <row r="60" customFormat="false" ht="15" hidden="false" customHeight="true" outlineLevel="0" collapsed="false">
      <c r="A60" s="8" t="s">
        <v>125</v>
      </c>
      <c r="B60" s="8" t="str">
        <f aca="false">IFERROR(INDEX('Source 2026'!$C:$C,MATCH($A60,'Source 2026'!$B:$B,0)),IFERROR(INDEX('Source 2025'!$C:$C,MATCH($A60,'Source 2025'!$B:$B,0)),""))</f>
        <v>יד אגודלי</v>
      </c>
      <c r="C60" s="9" t="n">
        <f aca="false">SUMIFS('Source 2025'!$K:$K,'Source 2025'!$B:$B,$A60,'Source 2025'!$A:$A,"Quantity (units)")+SUMIFS('Source 2025'!$O:$O,'Source 2025'!$B:$B,$A60,'Source 2025'!$A:$A,"Quantity (units)")+SUMIFS('Source 2025'!$R:$R,'Source 2025'!$B:$B,$A60,'Source 2025'!$A:$A,"Quantity (units)")+SUMIFS('Source 2025'!$P:$P,'Source 2025'!$B:$B,$A60,'Source 2025'!$A:$A,"Quantity (units)")+SUMIFS('Source 2025'!$J:$J,'Source 2025'!$B:$B,$A60,'Source 2025'!$A:$A,"Quantity (units)")+SUMIFS('Source 2025'!$L:$L,'Source 2025'!$B:$B,$A60,'Source 2025'!$A:$A,"Quantity (units)")</f>
        <v>322</v>
      </c>
      <c r="D60" s="9" t="n">
        <f aca="false">SUMIFS('Source 2026'!$K:$K,'Source 2026'!$B:$B,$A60,'Source 2026'!$A:$A,"Quantity (units)")+SUMIFS('Source 2026'!$O:$O,'Source 2026'!$B:$B,$A60,'Source 2026'!$A:$A,"Quantity (units)")+SUMIFS('Source 2026'!$R:$R,'Source 2026'!$B:$B,$A60,'Source 2026'!$A:$A,"Quantity (units)")+SUMIFS('Source 2026'!$P:$P,'Source 2026'!$B:$B,$A60,'Source 2026'!$A:$A,"Quantity (units)")+SUMIFS('Source 2026'!$J:$J,'Source 2026'!$B:$B,$A60,'Source 2026'!$A:$A,"Quantity (units)")+SUMIFS('Source 2026'!$L:$L,'Source 2026'!$B:$B,$A60,'Source 2026'!$A:$A,"Quantity (units)")</f>
        <v>283</v>
      </c>
      <c r="E60" s="9" t="n">
        <f aca="false">D60*$J$5</f>
        <v>357.473684210526</v>
      </c>
      <c r="F60" s="9" t="n">
        <f aca="false">E60-C60</f>
        <v>35.4736842105263</v>
      </c>
      <c r="G60" s="11" t="n">
        <f aca="false">IF(AND(C60=0,E60=0),0,IF(C60=0,"New",(E60-C60)/C60))</f>
        <v>0.110166721150703</v>
      </c>
      <c r="H60" s="9" t="n">
        <f aca="false">SUMIFS('Source 2025'!$K:$K,'Source 2025'!$B:$B,$A60,'Source 2025'!$A:$A,"Amount (NIS)")+SUMIFS('Source 2025'!$O:$O,'Source 2025'!$B:$B,$A60,'Source 2025'!$A:$A,"Amount (NIS)")+SUMIFS('Source 2025'!$R:$R,'Source 2025'!$B:$B,$A60,'Source 2025'!$A:$A,"Amount (NIS)")+SUMIFS('Source 2025'!$P:$P,'Source 2025'!$B:$B,$A60,'Source 2025'!$A:$A,"Amount (NIS)")+SUMIFS('Source 2025'!$J:$J,'Source 2025'!$B:$B,$A60,'Source 2025'!$A:$A,"Amount (NIS)")+SUMIFS('Source 2025'!$L:$L,'Source 2025'!$B:$B,$A60,'Source 2025'!$A:$A,"Amount (NIS)")</f>
        <v>12779.1</v>
      </c>
      <c r="I60" s="9" t="n">
        <f aca="false">SUMIFS('Source 2026'!$K:$K,'Source 2026'!$B:$B,$A60,'Source 2026'!$A:$A,"Amount (NIS)")+SUMIFS('Source 2026'!$O:$O,'Source 2026'!$B:$B,$A60,'Source 2026'!$A:$A,"Amount (NIS)")+SUMIFS('Source 2026'!$R:$R,'Source 2026'!$B:$B,$A60,'Source 2026'!$A:$A,"Amount (NIS)")+SUMIFS('Source 2026'!$P:$P,'Source 2026'!$B:$B,$A60,'Source 2026'!$A:$A,"Amount (NIS)")+SUMIFS('Source 2026'!$J:$J,'Source 2026'!$B:$B,$A60,'Source 2026'!$A:$A,"Amount (NIS)")+SUMIFS('Source 2026'!$L:$L,'Source 2026'!$B:$B,$A60,'Source 2026'!$A:$A,"Amount (NIS)")</f>
        <v>11246.5</v>
      </c>
      <c r="J60" s="9" t="n">
        <f aca="false">I60*$J$5</f>
        <v>14206.1052631579</v>
      </c>
      <c r="K60" s="9" t="n">
        <f aca="false">J60-H60</f>
        <v>1427.00526315789</v>
      </c>
      <c r="L60" s="11" t="n">
        <f aca="false">IF(AND(H60=0,J60=0),0,IF(H60=0,"New",(J60-H60)/H60))</f>
        <v>0.111667117649748</v>
      </c>
    </row>
    <row r="61" customFormat="false" ht="15" hidden="false" customHeight="true" outlineLevel="0" collapsed="false">
      <c r="A61" s="8" t="s">
        <v>157</v>
      </c>
      <c r="B61" s="8" t="str">
        <f aca="false">IFERROR(INDEX('Source 2026'!$C:$C,MATCH($A61,'Source 2026'!$B:$B,0)),IFERROR(INDEX('Source 2025'!$C:$C,MATCH($A61,'Source 2025'!$B:$B,0)),""))</f>
        <v>תחבושת א.נצמ</v>
      </c>
      <c r="C61" s="9" t="n">
        <f aca="false">SUMIFS('Source 2025'!$K:$K,'Source 2025'!$B:$B,$A61,'Source 2025'!$A:$A,"Quantity (units)")+SUMIFS('Source 2025'!$O:$O,'Source 2025'!$B:$B,$A61,'Source 2025'!$A:$A,"Quantity (units)")+SUMIFS('Source 2025'!$R:$R,'Source 2025'!$B:$B,$A61,'Source 2025'!$A:$A,"Quantity (units)")+SUMIFS('Source 2025'!$P:$P,'Source 2025'!$B:$B,$A61,'Source 2025'!$A:$A,"Quantity (units)")+SUMIFS('Source 2025'!$J:$J,'Source 2025'!$B:$B,$A61,'Source 2025'!$A:$A,"Quantity (units)")+SUMIFS('Source 2025'!$L:$L,'Source 2025'!$B:$B,$A61,'Source 2025'!$A:$A,"Quantity (units)")</f>
        <v>273</v>
      </c>
      <c r="D61" s="9" t="n">
        <f aca="false">SUMIFS('Source 2026'!$K:$K,'Source 2026'!$B:$B,$A61,'Source 2026'!$A:$A,"Quantity (units)")+SUMIFS('Source 2026'!$O:$O,'Source 2026'!$B:$B,$A61,'Source 2026'!$A:$A,"Quantity (units)")+SUMIFS('Source 2026'!$R:$R,'Source 2026'!$B:$B,$A61,'Source 2026'!$A:$A,"Quantity (units)")+SUMIFS('Source 2026'!$P:$P,'Source 2026'!$B:$B,$A61,'Source 2026'!$A:$A,"Quantity (units)")+SUMIFS('Source 2026'!$J:$J,'Source 2026'!$B:$B,$A61,'Source 2026'!$A:$A,"Quantity (units)")+SUMIFS('Source 2026'!$L:$L,'Source 2026'!$B:$B,$A61,'Source 2026'!$A:$A,"Quantity (units)")</f>
        <v>134</v>
      </c>
      <c r="E61" s="9" t="n">
        <f aca="false">D61*$J$5</f>
        <v>169.263157894737</v>
      </c>
      <c r="F61" s="9" t="n">
        <f aca="false">E61-C61</f>
        <v>-103.736842105263</v>
      </c>
      <c r="G61" s="11" t="n">
        <f aca="false">IF(AND(C61=0,E61=0),0,IF(C61=0,"New",(E61-C61)/C61))</f>
        <v>-0.379988432620012</v>
      </c>
      <c r="H61" s="9" t="n">
        <f aca="false">SUMIFS('Source 2025'!$K:$K,'Source 2025'!$B:$B,$A61,'Source 2025'!$A:$A,"Amount (NIS)")+SUMIFS('Source 2025'!$O:$O,'Source 2025'!$B:$B,$A61,'Source 2025'!$A:$A,"Amount (NIS)")+SUMIFS('Source 2025'!$R:$R,'Source 2025'!$B:$B,$A61,'Source 2025'!$A:$A,"Amount (NIS)")+SUMIFS('Source 2025'!$P:$P,'Source 2025'!$B:$B,$A61,'Source 2025'!$A:$A,"Amount (NIS)")+SUMIFS('Source 2025'!$J:$J,'Source 2025'!$B:$B,$A61,'Source 2025'!$A:$A,"Amount (NIS)")+SUMIFS('Source 2025'!$L:$L,'Source 2025'!$B:$B,$A61,'Source 2025'!$A:$A,"Amount (NIS)")</f>
        <v>2997.5</v>
      </c>
      <c r="I61" s="9" t="n">
        <f aca="false">SUMIFS('Source 2026'!$K:$K,'Source 2026'!$B:$B,$A61,'Source 2026'!$A:$A,"Amount (NIS)")+SUMIFS('Source 2026'!$O:$O,'Source 2026'!$B:$B,$A61,'Source 2026'!$A:$A,"Amount (NIS)")+SUMIFS('Source 2026'!$R:$R,'Source 2026'!$B:$B,$A61,'Source 2026'!$A:$A,"Amount (NIS)")+SUMIFS('Source 2026'!$P:$P,'Source 2026'!$B:$B,$A61,'Source 2026'!$A:$A,"Amount (NIS)")+SUMIFS('Source 2026'!$J:$J,'Source 2026'!$B:$B,$A61,'Source 2026'!$A:$A,"Amount (NIS)")+SUMIFS('Source 2026'!$L:$L,'Source 2026'!$B:$B,$A61,'Source 2026'!$A:$A,"Amount (NIS)")</f>
        <v>1471.3</v>
      </c>
      <c r="J61" s="9" t="n">
        <f aca="false">I61*$J$5</f>
        <v>1858.48421052632</v>
      </c>
      <c r="K61" s="9" t="n">
        <f aca="false">J61-H61</f>
        <v>-1139.01578947368</v>
      </c>
      <c r="L61" s="11" t="n">
        <f aca="false">IF(AND(H61=0,J61=0),0,IF(H61=0,"New",(J61-H61)/H61))</f>
        <v>-0.379988586980378</v>
      </c>
    </row>
    <row r="62" customFormat="false" ht="15" hidden="false" customHeight="true" outlineLevel="0" collapsed="false">
      <c r="A62" s="8" t="s">
        <v>217</v>
      </c>
      <c r="B62" s="8" t="str">
        <f aca="false">IFERROR(INDEX('Source 2026'!$C:$C,MATCH($A62,'Source 2026'!$B:$B,0)),IFERROR(INDEX('Source 2025'!$C:$C,MATCH($A62,'Source 2025'!$B:$B,0)),""))</f>
        <v>סד ליישור אצבע</v>
      </c>
      <c r="C62" s="9" t="n">
        <f aca="false">SUMIFS('Source 2025'!$K:$K,'Source 2025'!$B:$B,$A62,'Source 2025'!$A:$A,"Quantity (units)")+SUMIFS('Source 2025'!$O:$O,'Source 2025'!$B:$B,$A62,'Source 2025'!$A:$A,"Quantity (units)")+SUMIFS('Source 2025'!$R:$R,'Source 2025'!$B:$B,$A62,'Source 2025'!$A:$A,"Quantity (units)")+SUMIFS('Source 2025'!$P:$P,'Source 2025'!$B:$B,$A62,'Source 2025'!$A:$A,"Quantity (units)")+SUMIFS('Source 2025'!$J:$J,'Source 2025'!$B:$B,$A62,'Source 2025'!$A:$A,"Quantity (units)")+SUMIFS('Source 2025'!$L:$L,'Source 2025'!$B:$B,$A62,'Source 2025'!$A:$A,"Quantity (units)")</f>
        <v>470</v>
      </c>
      <c r="D62" s="9" t="n">
        <f aca="false">SUMIFS('Source 2026'!$K:$K,'Source 2026'!$B:$B,$A62,'Source 2026'!$A:$A,"Quantity (units)")+SUMIFS('Source 2026'!$O:$O,'Source 2026'!$B:$B,$A62,'Source 2026'!$A:$A,"Quantity (units)")+SUMIFS('Source 2026'!$R:$R,'Source 2026'!$B:$B,$A62,'Source 2026'!$A:$A,"Quantity (units)")+SUMIFS('Source 2026'!$P:$P,'Source 2026'!$B:$B,$A62,'Source 2026'!$A:$A,"Quantity (units)")+SUMIFS('Source 2026'!$J:$J,'Source 2026'!$B:$B,$A62,'Source 2026'!$A:$A,"Quantity (units)")+SUMIFS('Source 2026'!$L:$L,'Source 2026'!$B:$B,$A62,'Source 2026'!$A:$A,"Quantity (units)")</f>
        <v>373</v>
      </c>
      <c r="E62" s="9" t="n">
        <f aca="false">D62*$J$5</f>
        <v>471.157894736842</v>
      </c>
      <c r="F62" s="9" t="n">
        <f aca="false">E62-C62</f>
        <v>1.15789473684208</v>
      </c>
      <c r="G62" s="11" t="n">
        <f aca="false">IF(AND(C62=0,E62=0),0,IF(C62=0,"New",(E62-C62)/C62))</f>
        <v>0.00246360582306826</v>
      </c>
      <c r="H62" s="9" t="n">
        <f aca="false">SUMIFS('Source 2025'!$K:$K,'Source 2025'!$B:$B,$A62,'Source 2025'!$A:$A,"Amount (NIS)")+SUMIFS('Source 2025'!$O:$O,'Source 2025'!$B:$B,$A62,'Source 2025'!$A:$A,"Amount (NIS)")+SUMIFS('Source 2025'!$R:$R,'Source 2025'!$B:$B,$A62,'Source 2025'!$A:$A,"Amount (NIS)")+SUMIFS('Source 2025'!$P:$P,'Source 2025'!$B:$B,$A62,'Source 2025'!$A:$A,"Amount (NIS)")+SUMIFS('Source 2025'!$J:$J,'Source 2025'!$B:$B,$A62,'Source 2025'!$A:$A,"Amount (NIS)")+SUMIFS('Source 2025'!$L:$L,'Source 2025'!$B:$B,$A62,'Source 2025'!$A:$A,"Amount (NIS)")</f>
        <v>7238</v>
      </c>
      <c r="I62" s="9" t="n">
        <f aca="false">SUMIFS('Source 2026'!$K:$K,'Source 2026'!$B:$B,$A62,'Source 2026'!$A:$A,"Amount (NIS)")+SUMIFS('Source 2026'!$O:$O,'Source 2026'!$B:$B,$A62,'Source 2026'!$A:$A,"Amount (NIS)")+SUMIFS('Source 2026'!$R:$R,'Source 2026'!$B:$B,$A62,'Source 2026'!$A:$A,"Amount (NIS)")+SUMIFS('Source 2026'!$P:$P,'Source 2026'!$B:$B,$A62,'Source 2026'!$A:$A,"Amount (NIS)")+SUMIFS('Source 2026'!$J:$J,'Source 2026'!$B:$B,$A62,'Source 2026'!$A:$A,"Amount (NIS)")+SUMIFS('Source 2026'!$L:$L,'Source 2026'!$B:$B,$A62,'Source 2026'!$A:$A,"Amount (NIS)")</f>
        <v>5744.2</v>
      </c>
      <c r="J62" s="9" t="n">
        <f aca="false">I62*$J$5</f>
        <v>7255.83157894737</v>
      </c>
      <c r="K62" s="9" t="n">
        <f aca="false">J62-H62</f>
        <v>17.8315789473681</v>
      </c>
      <c r="L62" s="11" t="n">
        <f aca="false">IF(AND(H62=0,J62=0),0,IF(H62=0,"New",(J62-H62)/H62))</f>
        <v>0.00246360582306827</v>
      </c>
    </row>
    <row r="63" customFormat="false" ht="15" hidden="false" customHeight="true" outlineLevel="0" collapsed="false">
      <c r="A63" s="8" t="s">
        <v>137</v>
      </c>
      <c r="B63" s="8" t="str">
        <f aca="false">IFERROR(INDEX('Source 2026'!$C:$C,MATCH($A63,'Source 2026'!$B:$B,0)),IFERROR(INDEX('Source 2025'!$C:$C,MATCH($A63,'Source 2025'!$B:$B,0)),""))</f>
        <v>S ח.בטן לאחר ניתוח</v>
      </c>
      <c r="C63" s="9" t="n">
        <f aca="false">SUMIFS('Source 2025'!$K:$K,'Source 2025'!$B:$B,$A63,'Source 2025'!$A:$A,"Quantity (units)")+SUMIFS('Source 2025'!$O:$O,'Source 2025'!$B:$B,$A63,'Source 2025'!$A:$A,"Quantity (units)")+SUMIFS('Source 2025'!$R:$R,'Source 2025'!$B:$B,$A63,'Source 2025'!$A:$A,"Quantity (units)")+SUMIFS('Source 2025'!$P:$P,'Source 2025'!$B:$B,$A63,'Source 2025'!$A:$A,"Quantity (units)")+SUMIFS('Source 2025'!$J:$J,'Source 2025'!$B:$B,$A63,'Source 2025'!$A:$A,"Quantity (units)")+SUMIFS('Source 2025'!$L:$L,'Source 2025'!$B:$B,$A63,'Source 2025'!$A:$A,"Quantity (units)")</f>
        <v>74</v>
      </c>
      <c r="D63" s="9" t="n">
        <f aca="false">SUMIFS('Source 2026'!$K:$K,'Source 2026'!$B:$B,$A63,'Source 2026'!$A:$A,"Quantity (units)")+SUMIFS('Source 2026'!$O:$O,'Source 2026'!$B:$B,$A63,'Source 2026'!$A:$A,"Quantity (units)")+SUMIFS('Source 2026'!$R:$R,'Source 2026'!$B:$B,$A63,'Source 2026'!$A:$A,"Quantity (units)")+SUMIFS('Source 2026'!$P:$P,'Source 2026'!$B:$B,$A63,'Source 2026'!$A:$A,"Quantity (units)")+SUMIFS('Source 2026'!$J:$J,'Source 2026'!$B:$B,$A63,'Source 2026'!$A:$A,"Quantity (units)")+SUMIFS('Source 2026'!$L:$L,'Source 2026'!$B:$B,$A63,'Source 2026'!$A:$A,"Quantity (units)")</f>
        <v>89</v>
      </c>
      <c r="E63" s="9" t="n">
        <f aca="false">D63*$J$5</f>
        <v>112.421052631579</v>
      </c>
      <c r="F63" s="9" t="n">
        <f aca="false">E63-C63</f>
        <v>38.4210526315789</v>
      </c>
      <c r="G63" s="11" t="n">
        <f aca="false">IF(AND(C63=0,E63=0),0,IF(C63=0,"New",(E63-C63)/C63))</f>
        <v>0.519203413940256</v>
      </c>
      <c r="H63" s="9" t="n">
        <f aca="false">SUMIFS('Source 2025'!$K:$K,'Source 2025'!$B:$B,$A63,'Source 2025'!$A:$A,"Amount (NIS)")+SUMIFS('Source 2025'!$O:$O,'Source 2025'!$B:$B,$A63,'Source 2025'!$A:$A,"Amount (NIS)")+SUMIFS('Source 2025'!$R:$R,'Source 2025'!$B:$B,$A63,'Source 2025'!$A:$A,"Amount (NIS)")+SUMIFS('Source 2025'!$P:$P,'Source 2025'!$B:$B,$A63,'Source 2025'!$A:$A,"Amount (NIS)")+SUMIFS('Source 2025'!$J:$J,'Source 2025'!$B:$B,$A63,'Source 2025'!$A:$A,"Amount (NIS)")+SUMIFS('Source 2025'!$L:$L,'Source 2025'!$B:$B,$A63,'Source 2025'!$A:$A,"Amount (NIS)")</f>
        <v>7115.3</v>
      </c>
      <c r="I63" s="9" t="n">
        <f aca="false">SUMIFS('Source 2026'!$K:$K,'Source 2026'!$B:$B,$A63,'Source 2026'!$A:$A,"Amount (NIS)")+SUMIFS('Source 2026'!$O:$O,'Source 2026'!$B:$B,$A63,'Source 2026'!$A:$A,"Amount (NIS)")+SUMIFS('Source 2026'!$R:$R,'Source 2026'!$B:$B,$A63,'Source 2026'!$A:$A,"Amount (NIS)")+SUMIFS('Source 2026'!$P:$P,'Source 2026'!$B:$B,$A63,'Source 2026'!$A:$A,"Amount (NIS)")+SUMIFS('Source 2026'!$J:$J,'Source 2026'!$B:$B,$A63,'Source 2026'!$A:$A,"Amount (NIS)")+SUMIFS('Source 2026'!$L:$L,'Source 2026'!$B:$B,$A63,'Source 2026'!$A:$A,"Amount (NIS)")</f>
        <v>8568.8</v>
      </c>
      <c r="J63" s="9" t="n">
        <f aca="false">I63*$J$5</f>
        <v>10823.7473684211</v>
      </c>
      <c r="K63" s="9" t="n">
        <f aca="false">J63-H63</f>
        <v>3708.44736842105</v>
      </c>
      <c r="L63" s="11" t="n">
        <f aca="false">IF(AND(H63=0,J63=0),0,IF(H63=0,"New",(J63-H63)/H63))</f>
        <v>0.521193395699556</v>
      </c>
    </row>
    <row r="64" customFormat="false" ht="15" hidden="false" customHeight="true" outlineLevel="0" collapsed="false">
      <c r="A64" s="8" t="s">
        <v>185</v>
      </c>
      <c r="B64" s="8" t="str">
        <f aca="false">IFERROR(INDEX('Source 2026'!$C:$C,MATCH($A64,'Source 2026'!$B:$B,0)),IFERROR(INDEX('Source 2025'!$C:$C,MATCH($A64,'Source 2025'!$B:$B,0)),""))</f>
        <v>סד לאגודל</v>
      </c>
      <c r="C64" s="9" t="n">
        <f aca="false">SUMIFS('Source 2025'!$K:$K,'Source 2025'!$B:$B,$A64,'Source 2025'!$A:$A,"Quantity (units)")+SUMIFS('Source 2025'!$O:$O,'Source 2025'!$B:$B,$A64,'Source 2025'!$A:$A,"Quantity (units)")+SUMIFS('Source 2025'!$R:$R,'Source 2025'!$B:$B,$A64,'Source 2025'!$A:$A,"Quantity (units)")+SUMIFS('Source 2025'!$P:$P,'Source 2025'!$B:$B,$A64,'Source 2025'!$A:$A,"Quantity (units)")+SUMIFS('Source 2025'!$J:$J,'Source 2025'!$B:$B,$A64,'Source 2025'!$A:$A,"Quantity (units)")+SUMIFS('Source 2025'!$L:$L,'Source 2025'!$B:$B,$A64,'Source 2025'!$A:$A,"Quantity (units)")</f>
        <v>43</v>
      </c>
      <c r="D64" s="9" t="n">
        <f aca="false">SUMIFS('Source 2026'!$K:$K,'Source 2026'!$B:$B,$A64,'Source 2026'!$A:$A,"Quantity (units)")+SUMIFS('Source 2026'!$O:$O,'Source 2026'!$B:$B,$A64,'Source 2026'!$A:$A,"Quantity (units)")+SUMIFS('Source 2026'!$R:$R,'Source 2026'!$B:$B,$A64,'Source 2026'!$A:$A,"Quantity (units)")+SUMIFS('Source 2026'!$P:$P,'Source 2026'!$B:$B,$A64,'Source 2026'!$A:$A,"Quantity (units)")+SUMIFS('Source 2026'!$J:$J,'Source 2026'!$B:$B,$A64,'Source 2026'!$A:$A,"Quantity (units)")+SUMIFS('Source 2026'!$L:$L,'Source 2026'!$B:$B,$A64,'Source 2026'!$A:$A,"Quantity (units)")</f>
        <v>30</v>
      </c>
      <c r="E64" s="9" t="n">
        <f aca="false">D64*$J$5</f>
        <v>37.8947368421053</v>
      </c>
      <c r="F64" s="9" t="n">
        <f aca="false">E64-C64</f>
        <v>-5.10526315789474</v>
      </c>
      <c r="G64" s="11" t="n">
        <f aca="false">IF(AND(C64=0,E64=0),0,IF(C64=0,"New",(E64-C64)/C64))</f>
        <v>-0.118727050183599</v>
      </c>
      <c r="H64" s="9" t="n">
        <f aca="false">SUMIFS('Source 2025'!$K:$K,'Source 2025'!$B:$B,$A64,'Source 2025'!$A:$A,"Amount (NIS)")+SUMIFS('Source 2025'!$O:$O,'Source 2025'!$B:$B,$A64,'Source 2025'!$A:$A,"Amount (NIS)")+SUMIFS('Source 2025'!$R:$R,'Source 2025'!$B:$B,$A64,'Source 2025'!$A:$A,"Amount (NIS)")+SUMIFS('Source 2025'!$P:$P,'Source 2025'!$B:$B,$A64,'Source 2025'!$A:$A,"Amount (NIS)")+SUMIFS('Source 2025'!$J:$J,'Source 2025'!$B:$B,$A64,'Source 2025'!$A:$A,"Amount (NIS)")+SUMIFS('Source 2025'!$L:$L,'Source 2025'!$B:$B,$A64,'Source 2025'!$A:$A,"Amount (NIS)")</f>
        <v>4740.9</v>
      </c>
      <c r="I64" s="9" t="n">
        <f aca="false">SUMIFS('Source 2026'!$K:$K,'Source 2026'!$B:$B,$A64,'Source 2026'!$A:$A,"Amount (NIS)")+SUMIFS('Source 2026'!$O:$O,'Source 2026'!$B:$B,$A64,'Source 2026'!$A:$A,"Amount (NIS)")+SUMIFS('Source 2026'!$R:$R,'Source 2026'!$B:$B,$A64,'Source 2026'!$A:$A,"Amount (NIS)")+SUMIFS('Source 2026'!$P:$P,'Source 2026'!$B:$B,$A64,'Source 2026'!$A:$A,"Amount (NIS)")+SUMIFS('Source 2026'!$J:$J,'Source 2026'!$B:$B,$A64,'Source 2026'!$A:$A,"Amount (NIS)")+SUMIFS('Source 2026'!$L:$L,'Source 2026'!$B:$B,$A64,'Source 2026'!$A:$A,"Amount (NIS)")</f>
        <v>3307.6</v>
      </c>
      <c r="J64" s="9" t="n">
        <f aca="false">I64*$J$5</f>
        <v>4178.02105263158</v>
      </c>
      <c r="K64" s="9" t="n">
        <f aca="false">J64-H64</f>
        <v>-562.878947368421</v>
      </c>
      <c r="L64" s="11" t="n">
        <f aca="false">IF(AND(H64=0,J64=0),0,IF(H64=0,"New",(J64-H64)/H64))</f>
        <v>-0.118728289432053</v>
      </c>
    </row>
    <row r="65" customFormat="false" ht="15" hidden="false" customHeight="true" outlineLevel="0" collapsed="false">
      <c r="A65" s="8" t="s">
        <v>176</v>
      </c>
      <c r="B65" s="8" t="str">
        <f aca="false">IFERROR(INDEX('Source 2026'!$C:$C,MATCH($A65,'Source 2026'!$B:$B,0)),IFERROR(INDEX('Source 2025'!$C:$C,MATCH($A65,'Source 2025'!$B:$B,0)),""))</f>
        <v>L-XL חגורת הריון</v>
      </c>
      <c r="C65" s="9" t="n">
        <f aca="false">SUMIFS('Source 2025'!$K:$K,'Source 2025'!$B:$B,$A65,'Source 2025'!$A:$A,"Quantity (units)")+SUMIFS('Source 2025'!$O:$O,'Source 2025'!$B:$B,$A65,'Source 2025'!$A:$A,"Quantity (units)")+SUMIFS('Source 2025'!$R:$R,'Source 2025'!$B:$B,$A65,'Source 2025'!$A:$A,"Quantity (units)")+SUMIFS('Source 2025'!$P:$P,'Source 2025'!$B:$B,$A65,'Source 2025'!$A:$A,"Quantity (units)")+SUMIFS('Source 2025'!$J:$J,'Source 2025'!$B:$B,$A65,'Source 2025'!$A:$A,"Quantity (units)")+SUMIFS('Source 2025'!$L:$L,'Source 2025'!$B:$B,$A65,'Source 2025'!$A:$A,"Quantity (units)")</f>
        <v>7</v>
      </c>
      <c r="D65" s="9" t="n">
        <f aca="false">SUMIFS('Source 2026'!$K:$K,'Source 2026'!$B:$B,$A65,'Source 2026'!$A:$A,"Quantity (units)")+SUMIFS('Source 2026'!$O:$O,'Source 2026'!$B:$B,$A65,'Source 2026'!$A:$A,"Quantity (units)")+SUMIFS('Source 2026'!$R:$R,'Source 2026'!$B:$B,$A65,'Source 2026'!$A:$A,"Quantity (units)")+SUMIFS('Source 2026'!$P:$P,'Source 2026'!$B:$B,$A65,'Source 2026'!$A:$A,"Quantity (units)")+SUMIFS('Source 2026'!$J:$J,'Source 2026'!$B:$B,$A65,'Source 2026'!$A:$A,"Quantity (units)")+SUMIFS('Source 2026'!$L:$L,'Source 2026'!$B:$B,$A65,'Source 2026'!$A:$A,"Quantity (units)")</f>
        <v>20</v>
      </c>
      <c r="E65" s="9" t="n">
        <f aca="false">D65*$J$5</f>
        <v>25.2631578947368</v>
      </c>
      <c r="F65" s="9" t="n">
        <f aca="false">E65-C65</f>
        <v>18.2631578947368</v>
      </c>
      <c r="G65" s="11" t="n">
        <f aca="false">IF(AND(C65=0,E65=0),0,IF(C65=0,"New",(E65-C65)/C65))</f>
        <v>2.60902255639098</v>
      </c>
      <c r="H65" s="9" t="n">
        <f aca="false">SUMIFS('Source 2025'!$K:$K,'Source 2025'!$B:$B,$A65,'Source 2025'!$A:$A,"Amount (NIS)")+SUMIFS('Source 2025'!$O:$O,'Source 2025'!$B:$B,$A65,'Source 2025'!$A:$A,"Amount (NIS)")+SUMIFS('Source 2025'!$R:$R,'Source 2025'!$B:$B,$A65,'Source 2025'!$A:$A,"Amount (NIS)")+SUMIFS('Source 2025'!$P:$P,'Source 2025'!$B:$B,$A65,'Source 2025'!$A:$A,"Amount (NIS)")+SUMIFS('Source 2025'!$J:$J,'Source 2025'!$B:$B,$A65,'Source 2025'!$A:$A,"Amount (NIS)")+SUMIFS('Source 2025'!$L:$L,'Source 2025'!$B:$B,$A65,'Source 2025'!$A:$A,"Amount (NIS)")</f>
        <v>762.5</v>
      </c>
      <c r="I65" s="9" t="n">
        <f aca="false">SUMIFS('Source 2026'!$K:$K,'Source 2026'!$B:$B,$A65,'Source 2026'!$A:$A,"Amount (NIS)")+SUMIFS('Source 2026'!$O:$O,'Source 2026'!$B:$B,$A65,'Source 2026'!$A:$A,"Amount (NIS)")+SUMIFS('Source 2026'!$R:$R,'Source 2026'!$B:$B,$A65,'Source 2026'!$A:$A,"Amount (NIS)")+SUMIFS('Source 2026'!$P:$P,'Source 2026'!$B:$B,$A65,'Source 2026'!$A:$A,"Amount (NIS)")+SUMIFS('Source 2026'!$J:$J,'Source 2026'!$B:$B,$A65,'Source 2026'!$A:$A,"Amount (NIS)")+SUMIFS('Source 2026'!$L:$L,'Source 2026'!$B:$B,$A65,'Source 2026'!$A:$A,"Amount (NIS)")</f>
        <v>2178.6</v>
      </c>
      <c r="J65" s="9" t="n">
        <f aca="false">I65*$J$5</f>
        <v>2751.91578947368</v>
      </c>
      <c r="K65" s="9" t="n">
        <f aca="false">J65-H65</f>
        <v>1989.41578947368</v>
      </c>
      <c r="L65" s="11" t="n">
        <f aca="false">IF(AND(H65=0,J65=0),0,IF(H65=0,"New",(J65-H65)/H65))</f>
        <v>2.60906988783434</v>
      </c>
    </row>
    <row r="66" customFormat="false" ht="15" hidden="false" customHeight="true" outlineLevel="0" collapsed="false">
      <c r="A66" s="8" t="s">
        <v>175</v>
      </c>
      <c r="B66" s="8" t="str">
        <f aca="false">IFERROR(INDEX('Source 2026'!$C:$C,MATCH($A66,'Source 2026'!$B:$B,0)),IFERROR(INDEX('Source 2025'!$C:$C,MATCH($A66,'Source 2025'!$B:$B,0)),""))</f>
        <v>גב אפורה</v>
      </c>
      <c r="C66" s="9" t="n">
        <f aca="false">SUMIFS('Source 2025'!$K:$K,'Source 2025'!$B:$B,$A66,'Source 2025'!$A:$A,"Quantity (units)")+SUMIFS('Source 2025'!$O:$O,'Source 2025'!$B:$B,$A66,'Source 2025'!$A:$A,"Quantity (units)")+SUMIFS('Source 2025'!$R:$R,'Source 2025'!$B:$B,$A66,'Source 2025'!$A:$A,"Quantity (units)")+SUMIFS('Source 2025'!$P:$P,'Source 2025'!$B:$B,$A66,'Source 2025'!$A:$A,"Quantity (units)")+SUMIFS('Source 2025'!$J:$J,'Source 2025'!$B:$B,$A66,'Source 2025'!$A:$A,"Quantity (units)")+SUMIFS('Source 2025'!$L:$L,'Source 2025'!$B:$B,$A66,'Source 2025'!$A:$A,"Quantity (units)")</f>
        <v>60</v>
      </c>
      <c r="D66" s="9" t="n">
        <f aca="false">SUMIFS('Source 2026'!$K:$K,'Source 2026'!$B:$B,$A66,'Source 2026'!$A:$A,"Quantity (units)")+SUMIFS('Source 2026'!$O:$O,'Source 2026'!$B:$B,$A66,'Source 2026'!$A:$A,"Quantity (units)")+SUMIFS('Source 2026'!$R:$R,'Source 2026'!$B:$B,$A66,'Source 2026'!$A:$A,"Quantity (units)")+SUMIFS('Source 2026'!$P:$P,'Source 2026'!$B:$B,$A66,'Source 2026'!$A:$A,"Quantity (units)")+SUMIFS('Source 2026'!$J:$J,'Source 2026'!$B:$B,$A66,'Source 2026'!$A:$A,"Quantity (units)")+SUMIFS('Source 2026'!$L:$L,'Source 2026'!$B:$B,$A66,'Source 2026'!$A:$A,"Quantity (units)")</f>
        <v>46</v>
      </c>
      <c r="E66" s="9" t="n">
        <f aca="false">D66*$J$5</f>
        <v>58.1052631578947</v>
      </c>
      <c r="F66" s="9" t="n">
        <f aca="false">E66-C66</f>
        <v>-1.89473684210527</v>
      </c>
      <c r="G66" s="11" t="n">
        <f aca="false">IF(AND(C66=0,E66=0),0,IF(C66=0,"New",(E66-C66)/C66))</f>
        <v>-0.0315789473684211</v>
      </c>
      <c r="H66" s="9" t="n">
        <f aca="false">SUMIFS('Source 2025'!$K:$K,'Source 2025'!$B:$B,$A66,'Source 2025'!$A:$A,"Amount (NIS)")+SUMIFS('Source 2025'!$O:$O,'Source 2025'!$B:$B,$A66,'Source 2025'!$A:$A,"Amount (NIS)")+SUMIFS('Source 2025'!$R:$R,'Source 2025'!$B:$B,$A66,'Source 2025'!$A:$A,"Amount (NIS)")+SUMIFS('Source 2025'!$P:$P,'Source 2025'!$B:$B,$A66,'Source 2025'!$A:$A,"Amount (NIS)")+SUMIFS('Source 2025'!$J:$J,'Source 2025'!$B:$B,$A66,'Source 2025'!$A:$A,"Amount (NIS)")+SUMIFS('Source 2025'!$L:$L,'Source 2025'!$B:$B,$A66,'Source 2025'!$A:$A,"Amount (NIS)")</f>
        <v>5953.8</v>
      </c>
      <c r="I66" s="9" t="n">
        <f aca="false">SUMIFS('Source 2026'!$K:$K,'Source 2026'!$B:$B,$A66,'Source 2026'!$A:$A,"Amount (NIS)")+SUMIFS('Source 2026'!$O:$O,'Source 2026'!$B:$B,$A66,'Source 2026'!$A:$A,"Amount (NIS)")+SUMIFS('Source 2026'!$R:$R,'Source 2026'!$B:$B,$A66,'Source 2026'!$A:$A,"Amount (NIS)")+SUMIFS('Source 2026'!$P:$P,'Source 2026'!$B:$B,$A66,'Source 2026'!$A:$A,"Amount (NIS)")+SUMIFS('Source 2026'!$J:$J,'Source 2026'!$B:$B,$A66,'Source 2026'!$A:$A,"Amount (NIS)")+SUMIFS('Source 2026'!$L:$L,'Source 2026'!$B:$B,$A66,'Source 2026'!$A:$A,"Amount (NIS)")</f>
        <v>4564.6</v>
      </c>
      <c r="J66" s="9" t="n">
        <f aca="false">I66*$J$5</f>
        <v>5765.81052631579</v>
      </c>
      <c r="K66" s="9" t="n">
        <f aca="false">J66-H66</f>
        <v>-187.98947368421</v>
      </c>
      <c r="L66" s="11" t="n">
        <f aca="false">IF(AND(H66=0,J66=0),0,IF(H66=0,"New",(J66-H66)/H66))</f>
        <v>-0.0315747041694732</v>
      </c>
    </row>
    <row r="67" customFormat="false" ht="15" hidden="false" customHeight="true" outlineLevel="0" collapsed="false">
      <c r="A67" s="8" t="s">
        <v>207</v>
      </c>
      <c r="B67" s="8" t="str">
        <f aca="false">IFERROR(INDEX('Source 2026'!$C:$C,MATCH($A67,'Source 2026'!$B:$B,0)),IFERROR(INDEX('Source 2025'!$C:$C,MATCH($A67,'Source 2025'!$B:$B,0)),""))</f>
        <v>רפידת נוחות-זוג</v>
      </c>
      <c r="C67" s="9" t="n">
        <f aca="false">SUMIFS('Source 2025'!$K:$K,'Source 2025'!$B:$B,$A67,'Source 2025'!$A:$A,"Quantity (units)")+SUMIFS('Source 2025'!$O:$O,'Source 2025'!$B:$B,$A67,'Source 2025'!$A:$A,"Quantity (units)")+SUMIFS('Source 2025'!$R:$R,'Source 2025'!$B:$B,$A67,'Source 2025'!$A:$A,"Quantity (units)")+SUMIFS('Source 2025'!$P:$P,'Source 2025'!$B:$B,$A67,'Source 2025'!$A:$A,"Quantity (units)")+SUMIFS('Source 2025'!$J:$J,'Source 2025'!$B:$B,$A67,'Source 2025'!$A:$A,"Quantity (units)")+SUMIFS('Source 2025'!$L:$L,'Source 2025'!$B:$B,$A67,'Source 2025'!$A:$A,"Quantity (units)")</f>
        <v>330</v>
      </c>
      <c r="D67" s="9" t="n">
        <f aca="false">SUMIFS('Source 2026'!$K:$K,'Source 2026'!$B:$B,$A67,'Source 2026'!$A:$A,"Quantity (units)")+SUMIFS('Source 2026'!$O:$O,'Source 2026'!$B:$B,$A67,'Source 2026'!$A:$A,"Quantity (units)")+SUMIFS('Source 2026'!$R:$R,'Source 2026'!$B:$B,$A67,'Source 2026'!$A:$A,"Quantity (units)")+SUMIFS('Source 2026'!$P:$P,'Source 2026'!$B:$B,$A67,'Source 2026'!$A:$A,"Quantity (units)")+SUMIFS('Source 2026'!$J:$J,'Source 2026'!$B:$B,$A67,'Source 2026'!$A:$A,"Quantity (units)")+SUMIFS('Source 2026'!$L:$L,'Source 2026'!$B:$B,$A67,'Source 2026'!$A:$A,"Quantity (units)")</f>
        <v>200</v>
      </c>
      <c r="E67" s="9" t="n">
        <f aca="false">D67*$J$5</f>
        <v>252.631578947368</v>
      </c>
      <c r="F67" s="9" t="n">
        <f aca="false">E67-C67</f>
        <v>-77.3684210526316</v>
      </c>
      <c r="G67" s="11" t="n">
        <f aca="false">IF(AND(C67=0,E67=0),0,IF(C67=0,"New",(E67-C67)/C67))</f>
        <v>-0.23444976076555</v>
      </c>
      <c r="H67" s="9" t="n">
        <f aca="false">SUMIFS('Source 2025'!$K:$K,'Source 2025'!$B:$B,$A67,'Source 2025'!$A:$A,"Amount (NIS)")+SUMIFS('Source 2025'!$O:$O,'Source 2025'!$B:$B,$A67,'Source 2025'!$A:$A,"Amount (NIS)")+SUMIFS('Source 2025'!$R:$R,'Source 2025'!$B:$B,$A67,'Source 2025'!$A:$A,"Amount (NIS)")+SUMIFS('Source 2025'!$P:$P,'Source 2025'!$B:$B,$A67,'Source 2025'!$A:$A,"Amount (NIS)")+SUMIFS('Source 2025'!$J:$J,'Source 2025'!$B:$B,$A67,'Source 2025'!$A:$A,"Amount (NIS)")+SUMIFS('Source 2025'!$L:$L,'Source 2025'!$B:$B,$A67,'Source 2025'!$A:$A,"Amount (NIS)")</f>
        <v>3524.3</v>
      </c>
      <c r="I67" s="9" t="n">
        <f aca="false">SUMIFS('Source 2026'!$K:$K,'Source 2026'!$B:$B,$A67,'Source 2026'!$A:$A,"Amount (NIS)")+SUMIFS('Source 2026'!$O:$O,'Source 2026'!$B:$B,$A67,'Source 2026'!$A:$A,"Amount (NIS)")+SUMIFS('Source 2026'!$R:$R,'Source 2026'!$B:$B,$A67,'Source 2026'!$A:$A,"Amount (NIS)")+SUMIFS('Source 2026'!$P:$P,'Source 2026'!$B:$B,$A67,'Source 2026'!$A:$A,"Amount (NIS)")+SUMIFS('Source 2026'!$J:$J,'Source 2026'!$B:$B,$A67,'Source 2026'!$A:$A,"Amount (NIS)")+SUMIFS('Source 2026'!$L:$L,'Source 2026'!$B:$B,$A67,'Source 2026'!$A:$A,"Amount (NIS)")</f>
        <v>2136.1</v>
      </c>
      <c r="J67" s="9" t="n">
        <f aca="false">I67*$J$5</f>
        <v>2698.23157894737</v>
      </c>
      <c r="K67" s="9" t="n">
        <f aca="false">J67-H67</f>
        <v>-826.068421052632</v>
      </c>
      <c r="L67" s="11" t="n">
        <f aca="false">IF(AND(H67=0,J67=0),0,IF(H67=0,"New",(J67-H67)/H67))</f>
        <v>-0.234392197330713</v>
      </c>
    </row>
    <row r="68" customFormat="false" ht="15" hidden="false" customHeight="true" outlineLevel="0" collapsed="false">
      <c r="A68" s="8" t="s">
        <v>113</v>
      </c>
      <c r="B68" s="8" t="str">
        <f aca="false">IFERROR(INDEX('Source 2026'!$C:$C,MATCH($A68,'Source 2026'!$B:$B,0)),IFERROR(INDEX('Source 2025'!$C:$C,MATCH($A68,'Source 2025'!$B:$B,0)),""))</f>
        <v>M 'מגן מרפק בז</v>
      </c>
      <c r="C68" s="9" t="n">
        <f aca="false">SUMIFS('Source 2025'!$K:$K,'Source 2025'!$B:$B,$A68,'Source 2025'!$A:$A,"Quantity (units)")+SUMIFS('Source 2025'!$O:$O,'Source 2025'!$B:$B,$A68,'Source 2025'!$A:$A,"Quantity (units)")+SUMIFS('Source 2025'!$R:$R,'Source 2025'!$B:$B,$A68,'Source 2025'!$A:$A,"Quantity (units)")+SUMIFS('Source 2025'!$P:$P,'Source 2025'!$B:$B,$A68,'Source 2025'!$A:$A,"Quantity (units)")+SUMIFS('Source 2025'!$J:$J,'Source 2025'!$B:$B,$A68,'Source 2025'!$A:$A,"Quantity (units)")+SUMIFS('Source 2025'!$L:$L,'Source 2025'!$B:$B,$A68,'Source 2025'!$A:$A,"Quantity (units)")</f>
        <v>428</v>
      </c>
      <c r="D68" s="9" t="n">
        <f aca="false">SUMIFS('Source 2026'!$K:$K,'Source 2026'!$B:$B,$A68,'Source 2026'!$A:$A,"Quantity (units)")+SUMIFS('Source 2026'!$O:$O,'Source 2026'!$B:$B,$A68,'Source 2026'!$A:$A,"Quantity (units)")+SUMIFS('Source 2026'!$R:$R,'Source 2026'!$B:$B,$A68,'Source 2026'!$A:$A,"Quantity (units)")+SUMIFS('Source 2026'!$P:$P,'Source 2026'!$B:$B,$A68,'Source 2026'!$A:$A,"Quantity (units)")+SUMIFS('Source 2026'!$J:$J,'Source 2026'!$B:$B,$A68,'Source 2026'!$A:$A,"Quantity (units)")+SUMIFS('Source 2026'!$L:$L,'Source 2026'!$B:$B,$A68,'Source 2026'!$A:$A,"Quantity (units)")</f>
        <v>378</v>
      </c>
      <c r="E68" s="9" t="n">
        <f aca="false">D68*$J$5</f>
        <v>477.473684210526</v>
      </c>
      <c r="F68" s="9" t="n">
        <f aca="false">E68-C68</f>
        <v>49.4736842105263</v>
      </c>
      <c r="G68" s="11" t="n">
        <f aca="false">IF(AND(C68=0,E68=0),0,IF(C68=0,"New",(E68-C68)/C68))</f>
        <v>0.115592720118052</v>
      </c>
      <c r="H68" s="9" t="n">
        <f aca="false">SUMIFS('Source 2025'!$K:$K,'Source 2025'!$B:$B,$A68,'Source 2025'!$A:$A,"Amount (NIS)")+SUMIFS('Source 2025'!$O:$O,'Source 2025'!$B:$B,$A68,'Source 2025'!$A:$A,"Amount (NIS)")+SUMIFS('Source 2025'!$R:$R,'Source 2025'!$B:$B,$A68,'Source 2025'!$A:$A,"Amount (NIS)")+SUMIFS('Source 2025'!$P:$P,'Source 2025'!$B:$B,$A68,'Source 2025'!$A:$A,"Amount (NIS)")+SUMIFS('Source 2025'!$J:$J,'Source 2025'!$B:$B,$A68,'Source 2025'!$A:$A,"Amount (NIS)")+SUMIFS('Source 2025'!$L:$L,'Source 2025'!$B:$B,$A68,'Source 2025'!$A:$A,"Amount (NIS)")</f>
        <v>11873.4</v>
      </c>
      <c r="I68" s="9" t="n">
        <f aca="false">SUMIFS('Source 2026'!$K:$K,'Source 2026'!$B:$B,$A68,'Source 2026'!$A:$A,"Amount (NIS)")+SUMIFS('Source 2026'!$O:$O,'Source 2026'!$B:$B,$A68,'Source 2026'!$A:$A,"Amount (NIS)")+SUMIFS('Source 2026'!$R:$R,'Source 2026'!$B:$B,$A68,'Source 2026'!$A:$A,"Amount (NIS)")+SUMIFS('Source 2026'!$P:$P,'Source 2026'!$B:$B,$A68,'Source 2026'!$A:$A,"Amount (NIS)")+SUMIFS('Source 2026'!$J:$J,'Source 2026'!$B:$B,$A68,'Source 2026'!$A:$A,"Amount (NIS)")+SUMIFS('Source 2026'!$L:$L,'Source 2026'!$B:$B,$A68,'Source 2026'!$A:$A,"Amount (NIS)")</f>
        <v>10499.4</v>
      </c>
      <c r="J68" s="9" t="n">
        <f aca="false">I68*$J$5</f>
        <v>13262.4</v>
      </c>
      <c r="K68" s="9" t="n">
        <f aca="false">J68-H68</f>
        <v>1389</v>
      </c>
      <c r="L68" s="11" t="n">
        <f aca="false">IF(AND(H68=0,J68=0),0,IF(H68=0,"New",(J68-H68)/H68))</f>
        <v>0.116984183132043</v>
      </c>
    </row>
    <row r="69" customFormat="false" ht="15" hidden="false" customHeight="true" outlineLevel="0" collapsed="false">
      <c r="A69" s="8" t="s">
        <v>205</v>
      </c>
      <c r="B69" s="8" t="str">
        <f aca="false">IFERROR(INDEX('Source 2026'!$C:$C,MATCH($A69,'Source 2026'!$B:$B,0)),IFERROR(INDEX('Source 2025'!$C:$C,MATCH($A69,'Source 2025'!$B:$B,0)),""))</f>
        <v>Sמ.ברך מוצלב+ספירלות בצדדים</v>
      </c>
      <c r="C69" s="9" t="n">
        <f aca="false">SUMIFS('Source 2025'!$K:$K,'Source 2025'!$B:$B,$A69,'Source 2025'!$A:$A,"Quantity (units)")+SUMIFS('Source 2025'!$O:$O,'Source 2025'!$B:$B,$A69,'Source 2025'!$A:$A,"Quantity (units)")+SUMIFS('Source 2025'!$R:$R,'Source 2025'!$B:$B,$A69,'Source 2025'!$A:$A,"Quantity (units)")+SUMIFS('Source 2025'!$P:$P,'Source 2025'!$B:$B,$A69,'Source 2025'!$A:$A,"Quantity (units)")+SUMIFS('Source 2025'!$J:$J,'Source 2025'!$B:$B,$A69,'Source 2025'!$A:$A,"Quantity (units)")+SUMIFS('Source 2025'!$L:$L,'Source 2025'!$B:$B,$A69,'Source 2025'!$A:$A,"Quantity (units)")</f>
        <v>18</v>
      </c>
      <c r="D69" s="9" t="n">
        <f aca="false">SUMIFS('Source 2026'!$K:$K,'Source 2026'!$B:$B,$A69,'Source 2026'!$A:$A,"Quantity (units)")+SUMIFS('Source 2026'!$O:$O,'Source 2026'!$B:$B,$A69,'Source 2026'!$A:$A,"Quantity (units)")+SUMIFS('Source 2026'!$R:$R,'Source 2026'!$B:$B,$A69,'Source 2026'!$A:$A,"Quantity (units)")+SUMIFS('Source 2026'!$P:$P,'Source 2026'!$B:$B,$A69,'Source 2026'!$A:$A,"Quantity (units)")+SUMIFS('Source 2026'!$J:$J,'Source 2026'!$B:$B,$A69,'Source 2026'!$A:$A,"Quantity (units)")+SUMIFS('Source 2026'!$L:$L,'Source 2026'!$B:$B,$A69,'Source 2026'!$A:$A,"Quantity (units)")</f>
        <v>7</v>
      </c>
      <c r="E69" s="9" t="n">
        <f aca="false">D69*$J$5</f>
        <v>8.84210526315789</v>
      </c>
      <c r="F69" s="9" t="n">
        <f aca="false">E69-C69</f>
        <v>-9.15789473684211</v>
      </c>
      <c r="G69" s="11" t="n">
        <f aca="false">IF(AND(C69=0,E69=0),0,IF(C69=0,"New",(E69-C69)/C69))</f>
        <v>-0.508771929824561</v>
      </c>
      <c r="H69" s="9" t="n">
        <f aca="false">SUMIFS('Source 2025'!$K:$K,'Source 2025'!$B:$B,$A69,'Source 2025'!$A:$A,"Amount (NIS)")+SUMIFS('Source 2025'!$O:$O,'Source 2025'!$B:$B,$A69,'Source 2025'!$A:$A,"Amount (NIS)")+SUMIFS('Source 2025'!$R:$R,'Source 2025'!$B:$B,$A69,'Source 2025'!$A:$A,"Amount (NIS)")+SUMIFS('Source 2025'!$P:$P,'Source 2025'!$B:$B,$A69,'Source 2025'!$A:$A,"Amount (NIS)")+SUMIFS('Source 2025'!$J:$J,'Source 2025'!$B:$B,$A69,'Source 2025'!$A:$A,"Amount (NIS)")+SUMIFS('Source 2025'!$L:$L,'Source 2025'!$B:$B,$A69,'Source 2025'!$A:$A,"Amount (NIS)")</f>
        <v>2064</v>
      </c>
      <c r="I69" s="9" t="n">
        <f aca="false">SUMIFS('Source 2026'!$K:$K,'Source 2026'!$B:$B,$A69,'Source 2026'!$A:$A,"Amount (NIS)")+SUMIFS('Source 2026'!$O:$O,'Source 2026'!$B:$B,$A69,'Source 2026'!$A:$A,"Amount (NIS)")+SUMIFS('Source 2026'!$R:$R,'Source 2026'!$B:$B,$A69,'Source 2026'!$A:$A,"Amount (NIS)")+SUMIFS('Source 2026'!$P:$P,'Source 2026'!$B:$B,$A69,'Source 2026'!$A:$A,"Amount (NIS)")+SUMIFS('Source 2026'!$J:$J,'Source 2026'!$B:$B,$A69,'Source 2026'!$A:$A,"Amount (NIS)")+SUMIFS('Source 2026'!$L:$L,'Source 2026'!$B:$B,$A69,'Source 2026'!$A:$A,"Amount (NIS)")</f>
        <v>694.6</v>
      </c>
      <c r="J69" s="9" t="n">
        <f aca="false">I69*$J$5</f>
        <v>877.389473684211</v>
      </c>
      <c r="K69" s="9" t="n">
        <f aca="false">J69-H69</f>
        <v>-1186.61052631579</v>
      </c>
      <c r="L69" s="11" t="n">
        <f aca="false">IF(AND(H69=0,J69=0),0,IF(H69=0,"New",(J69-H69)/H69))</f>
        <v>-0.574908200734394</v>
      </c>
    </row>
    <row r="70" customFormat="false" ht="15" hidden="false" customHeight="true" outlineLevel="0" collapsed="false">
      <c r="A70" s="8" t="s">
        <v>173</v>
      </c>
      <c r="B70" s="8" t="str">
        <f aca="false">IFERROR(INDEX('Source 2026'!$C:$C,MATCH($A70,'Source 2026'!$B:$B,0)),IFERROR(INDEX('Source 2025'!$C:$C,MATCH($A70,'Source 2025'!$B:$B,0)),""))</f>
        <v>גב אפורה</v>
      </c>
      <c r="C70" s="9" t="n">
        <f aca="false">SUMIFS('Source 2025'!$K:$K,'Source 2025'!$B:$B,$A70,'Source 2025'!$A:$A,"Quantity (units)")+SUMIFS('Source 2025'!$O:$O,'Source 2025'!$B:$B,$A70,'Source 2025'!$A:$A,"Quantity (units)")+SUMIFS('Source 2025'!$R:$R,'Source 2025'!$B:$B,$A70,'Source 2025'!$A:$A,"Quantity (units)")+SUMIFS('Source 2025'!$P:$P,'Source 2025'!$B:$B,$A70,'Source 2025'!$A:$A,"Quantity (units)")+SUMIFS('Source 2025'!$J:$J,'Source 2025'!$B:$B,$A70,'Source 2025'!$A:$A,"Quantity (units)")+SUMIFS('Source 2025'!$L:$L,'Source 2025'!$B:$B,$A70,'Source 2025'!$A:$A,"Quantity (units)")</f>
        <v>97</v>
      </c>
      <c r="D70" s="9" t="n">
        <f aca="false">SUMIFS('Source 2026'!$K:$K,'Source 2026'!$B:$B,$A70,'Source 2026'!$A:$A,"Quantity (units)")+SUMIFS('Source 2026'!$O:$O,'Source 2026'!$B:$B,$A70,'Source 2026'!$A:$A,"Quantity (units)")+SUMIFS('Source 2026'!$R:$R,'Source 2026'!$B:$B,$A70,'Source 2026'!$A:$A,"Quantity (units)")+SUMIFS('Source 2026'!$P:$P,'Source 2026'!$B:$B,$A70,'Source 2026'!$A:$A,"Quantity (units)")+SUMIFS('Source 2026'!$J:$J,'Source 2026'!$B:$B,$A70,'Source 2026'!$A:$A,"Quantity (units)")+SUMIFS('Source 2026'!$L:$L,'Source 2026'!$B:$B,$A70,'Source 2026'!$A:$A,"Quantity (units)")</f>
        <v>110</v>
      </c>
      <c r="E70" s="9" t="n">
        <f aca="false">D70*$J$5</f>
        <v>138.947368421053</v>
      </c>
      <c r="F70" s="9" t="n">
        <f aca="false">E70-C70</f>
        <v>41.9473684210526</v>
      </c>
      <c r="G70" s="11" t="n">
        <f aca="false">IF(AND(C70=0,E70=0),0,IF(C70=0,"New",(E70-C70)/C70))</f>
        <v>0.432447097124254</v>
      </c>
      <c r="H70" s="9" t="n">
        <f aca="false">SUMIFS('Source 2025'!$K:$K,'Source 2025'!$B:$B,$A70,'Source 2025'!$A:$A,"Amount (NIS)")+SUMIFS('Source 2025'!$O:$O,'Source 2025'!$B:$B,$A70,'Source 2025'!$A:$A,"Amount (NIS)")+SUMIFS('Source 2025'!$R:$R,'Source 2025'!$B:$B,$A70,'Source 2025'!$A:$A,"Amount (NIS)")+SUMIFS('Source 2025'!$P:$P,'Source 2025'!$B:$B,$A70,'Source 2025'!$A:$A,"Amount (NIS)")+SUMIFS('Source 2025'!$J:$J,'Source 2025'!$B:$B,$A70,'Source 2025'!$A:$A,"Amount (NIS)")+SUMIFS('Source 2025'!$L:$L,'Source 2025'!$B:$B,$A70,'Source 2025'!$A:$A,"Amount (NIS)")</f>
        <v>9625.3</v>
      </c>
      <c r="I70" s="9" t="n">
        <f aca="false">SUMIFS('Source 2026'!$K:$K,'Source 2026'!$B:$B,$A70,'Source 2026'!$A:$A,"Amount (NIS)")+SUMIFS('Source 2026'!$O:$O,'Source 2026'!$B:$B,$A70,'Source 2026'!$A:$A,"Amount (NIS)")+SUMIFS('Source 2026'!$R:$R,'Source 2026'!$B:$B,$A70,'Source 2026'!$A:$A,"Amount (NIS)")+SUMIFS('Source 2026'!$P:$P,'Source 2026'!$B:$B,$A70,'Source 2026'!$A:$A,"Amount (NIS)")+SUMIFS('Source 2026'!$J:$J,'Source 2026'!$B:$B,$A70,'Source 2026'!$A:$A,"Amount (NIS)")+SUMIFS('Source 2026'!$L:$L,'Source 2026'!$B:$B,$A70,'Source 2026'!$A:$A,"Amount (NIS)")</f>
        <v>10915.3</v>
      </c>
      <c r="J70" s="9" t="n">
        <f aca="false">I70*$J$5</f>
        <v>13787.7473684211</v>
      </c>
      <c r="K70" s="9" t="n">
        <f aca="false">J70-H70</f>
        <v>4162.44736842105</v>
      </c>
      <c r="L70" s="11" t="n">
        <f aca="false">IF(AND(H70=0,J70=0),0,IF(H70=0,"New",(J70-H70)/H70))</f>
        <v>0.432448585334592</v>
      </c>
    </row>
    <row r="71" customFormat="false" ht="15" hidden="false" customHeight="true" outlineLevel="0" collapsed="false">
      <c r="A71" s="8" t="s">
        <v>141</v>
      </c>
      <c r="B71" s="8" t="str">
        <f aca="false">IFERROR(INDEX('Source 2026'!$C:$C,MATCH($A71,'Source 2026'!$B:$B,0)),IFERROR(INDEX('Source 2025'!$C:$C,MATCH($A71,'Source 2025'!$B:$B,0)),""))</f>
        <v>מטטרזלי סיליקון362</v>
      </c>
      <c r="C71" s="9" t="n">
        <f aca="false">SUMIFS('Source 2025'!$K:$K,'Source 2025'!$B:$B,$A71,'Source 2025'!$A:$A,"Quantity (units)")+SUMIFS('Source 2025'!$O:$O,'Source 2025'!$B:$B,$A71,'Source 2025'!$A:$A,"Quantity (units)")+SUMIFS('Source 2025'!$R:$R,'Source 2025'!$B:$B,$A71,'Source 2025'!$A:$A,"Quantity (units)")+SUMIFS('Source 2025'!$P:$P,'Source 2025'!$B:$B,$A71,'Source 2025'!$A:$A,"Quantity (units)")+SUMIFS('Source 2025'!$J:$J,'Source 2025'!$B:$B,$A71,'Source 2025'!$A:$A,"Quantity (units)")+SUMIFS('Source 2025'!$L:$L,'Source 2025'!$B:$B,$A71,'Source 2025'!$A:$A,"Quantity (units)")</f>
        <v>155</v>
      </c>
      <c r="D71" s="9" t="n">
        <f aca="false">SUMIFS('Source 2026'!$K:$K,'Source 2026'!$B:$B,$A71,'Source 2026'!$A:$A,"Quantity (units)")+SUMIFS('Source 2026'!$O:$O,'Source 2026'!$B:$B,$A71,'Source 2026'!$A:$A,"Quantity (units)")+SUMIFS('Source 2026'!$R:$R,'Source 2026'!$B:$B,$A71,'Source 2026'!$A:$A,"Quantity (units)")+SUMIFS('Source 2026'!$P:$P,'Source 2026'!$B:$B,$A71,'Source 2026'!$A:$A,"Quantity (units)")+SUMIFS('Source 2026'!$J:$J,'Source 2026'!$B:$B,$A71,'Source 2026'!$A:$A,"Quantity (units)")+SUMIFS('Source 2026'!$L:$L,'Source 2026'!$B:$B,$A71,'Source 2026'!$A:$A,"Quantity (units)")</f>
        <v>105</v>
      </c>
      <c r="E71" s="9" t="n">
        <f aca="false">D71*$J$5</f>
        <v>132.631578947368</v>
      </c>
      <c r="F71" s="9" t="n">
        <f aca="false">E71-C71</f>
        <v>-22.3684210526316</v>
      </c>
      <c r="G71" s="11" t="n">
        <f aca="false">IF(AND(C71=0,E71=0),0,IF(C71=0,"New",(E71-C71)/C71))</f>
        <v>-0.144312393887946</v>
      </c>
      <c r="H71" s="9" t="n">
        <f aca="false">SUMIFS('Source 2025'!$K:$K,'Source 2025'!$B:$B,$A71,'Source 2025'!$A:$A,"Amount (NIS)")+SUMIFS('Source 2025'!$O:$O,'Source 2025'!$B:$B,$A71,'Source 2025'!$A:$A,"Amount (NIS)")+SUMIFS('Source 2025'!$R:$R,'Source 2025'!$B:$B,$A71,'Source 2025'!$A:$A,"Amount (NIS)")+SUMIFS('Source 2025'!$P:$P,'Source 2025'!$B:$B,$A71,'Source 2025'!$A:$A,"Amount (NIS)")+SUMIFS('Source 2025'!$J:$J,'Source 2025'!$B:$B,$A71,'Source 2025'!$A:$A,"Amount (NIS)")+SUMIFS('Source 2025'!$L:$L,'Source 2025'!$B:$B,$A71,'Source 2025'!$A:$A,"Amount (NIS)")</f>
        <v>3879.7</v>
      </c>
      <c r="I71" s="9" t="n">
        <f aca="false">SUMIFS('Source 2026'!$K:$K,'Source 2026'!$B:$B,$A71,'Source 2026'!$A:$A,"Amount (NIS)")+SUMIFS('Source 2026'!$O:$O,'Source 2026'!$B:$B,$A71,'Source 2026'!$A:$A,"Amount (NIS)")+SUMIFS('Source 2026'!$R:$R,'Source 2026'!$B:$B,$A71,'Source 2026'!$A:$A,"Amount (NIS)")+SUMIFS('Source 2026'!$P:$P,'Source 2026'!$B:$B,$A71,'Source 2026'!$A:$A,"Amount (NIS)")+SUMIFS('Source 2026'!$J:$J,'Source 2026'!$B:$B,$A71,'Source 2026'!$A:$A,"Amount (NIS)")+SUMIFS('Source 2026'!$L:$L,'Source 2026'!$B:$B,$A71,'Source 2026'!$A:$A,"Amount (NIS)")</f>
        <v>2628.3</v>
      </c>
      <c r="J71" s="9" t="n">
        <f aca="false">I71*$J$5</f>
        <v>3319.95789473684</v>
      </c>
      <c r="K71" s="9" t="n">
        <f aca="false">J71-H71</f>
        <v>-559.742105263159</v>
      </c>
      <c r="L71" s="11" t="n">
        <f aca="false">IF(AND(H71=0,J71=0),0,IF(H71=0,"New",(J71-H71)/H71))</f>
        <v>-0.14427458444291</v>
      </c>
    </row>
    <row r="72" customFormat="false" ht="15" hidden="false" customHeight="true" outlineLevel="0" collapsed="false">
      <c r="A72" s="8" t="s">
        <v>145</v>
      </c>
      <c r="B72" s="8" t="str">
        <f aca="false">IFERROR(INDEX('Source 2026'!$C:$C,MATCH($A72,'Source 2026'!$B:$B,0)),IFERROR(INDEX('Source 2025'!$C:$C,MATCH($A72,'Source 2025'!$B:$B,0)),""))</f>
        <v>תחבושת א.נצמ</v>
      </c>
      <c r="C72" s="9" t="n">
        <f aca="false">SUMIFS('Source 2025'!$K:$K,'Source 2025'!$B:$B,$A72,'Source 2025'!$A:$A,"Quantity (units)")+SUMIFS('Source 2025'!$O:$O,'Source 2025'!$B:$B,$A72,'Source 2025'!$A:$A,"Quantity (units)")+SUMIFS('Source 2025'!$R:$R,'Source 2025'!$B:$B,$A72,'Source 2025'!$A:$A,"Quantity (units)")+SUMIFS('Source 2025'!$P:$P,'Source 2025'!$B:$B,$A72,'Source 2025'!$A:$A,"Quantity (units)")+SUMIFS('Source 2025'!$J:$J,'Source 2025'!$B:$B,$A72,'Source 2025'!$A:$A,"Quantity (units)")+SUMIFS('Source 2025'!$L:$L,'Source 2025'!$B:$B,$A72,'Source 2025'!$A:$A,"Quantity (units)")</f>
        <v>602</v>
      </c>
      <c r="D72" s="9" t="n">
        <f aca="false">SUMIFS('Source 2026'!$K:$K,'Source 2026'!$B:$B,$A72,'Source 2026'!$A:$A,"Quantity (units)")+SUMIFS('Source 2026'!$O:$O,'Source 2026'!$B:$B,$A72,'Source 2026'!$A:$A,"Quantity (units)")+SUMIFS('Source 2026'!$R:$R,'Source 2026'!$B:$B,$A72,'Source 2026'!$A:$A,"Quantity (units)")+SUMIFS('Source 2026'!$P:$P,'Source 2026'!$B:$B,$A72,'Source 2026'!$A:$A,"Quantity (units)")+SUMIFS('Source 2026'!$J:$J,'Source 2026'!$B:$B,$A72,'Source 2026'!$A:$A,"Quantity (units)")+SUMIFS('Source 2026'!$L:$L,'Source 2026'!$B:$B,$A72,'Source 2026'!$A:$A,"Quantity (units)")</f>
        <v>490</v>
      </c>
      <c r="E72" s="9" t="n">
        <f aca="false">D72*$J$5</f>
        <v>618.947368421053</v>
      </c>
      <c r="F72" s="9" t="n">
        <f aca="false">E72-C72</f>
        <v>16.9473684210526</v>
      </c>
      <c r="G72" s="11" t="n">
        <f aca="false">IF(AND(C72=0,E72=0),0,IF(C72=0,"New",(E72-C72)/C72))</f>
        <v>0.0281517747858017</v>
      </c>
      <c r="H72" s="9" t="n">
        <f aca="false">SUMIFS('Source 2025'!$K:$K,'Source 2025'!$B:$B,$A72,'Source 2025'!$A:$A,"Amount (NIS)")+SUMIFS('Source 2025'!$O:$O,'Source 2025'!$B:$B,$A72,'Source 2025'!$A:$A,"Amount (NIS)")+SUMIFS('Source 2025'!$R:$R,'Source 2025'!$B:$B,$A72,'Source 2025'!$A:$A,"Amount (NIS)")+SUMIFS('Source 2025'!$P:$P,'Source 2025'!$B:$B,$A72,'Source 2025'!$A:$A,"Amount (NIS)")+SUMIFS('Source 2025'!$J:$J,'Source 2025'!$B:$B,$A72,'Source 2025'!$A:$A,"Amount (NIS)")+SUMIFS('Source 2025'!$L:$L,'Source 2025'!$B:$B,$A72,'Source 2025'!$A:$A,"Amount (NIS)")</f>
        <v>6613.9</v>
      </c>
      <c r="I72" s="9" t="n">
        <f aca="false">SUMIFS('Source 2026'!$K:$K,'Source 2026'!$B:$B,$A72,'Source 2026'!$A:$A,"Amount (NIS)")+SUMIFS('Source 2026'!$O:$O,'Source 2026'!$B:$B,$A72,'Source 2026'!$A:$A,"Amount (NIS)")+SUMIFS('Source 2026'!$R:$R,'Source 2026'!$B:$B,$A72,'Source 2026'!$A:$A,"Amount (NIS)")+SUMIFS('Source 2026'!$P:$P,'Source 2026'!$B:$B,$A72,'Source 2026'!$A:$A,"Amount (NIS)")+SUMIFS('Source 2026'!$J:$J,'Source 2026'!$B:$B,$A72,'Source 2026'!$A:$A,"Amount (NIS)")+SUMIFS('Source 2026'!$L:$L,'Source 2026'!$B:$B,$A72,'Source 2026'!$A:$A,"Amount (NIS)")</f>
        <v>5384.1</v>
      </c>
      <c r="J72" s="9" t="n">
        <f aca="false">I72*$J$5</f>
        <v>6800.96842105263</v>
      </c>
      <c r="K72" s="9" t="n">
        <f aca="false">J72-H72</f>
        <v>187.068421052632</v>
      </c>
      <c r="L72" s="11" t="n">
        <f aca="false">IF(AND(H72=0,J72=0),0,IF(H72=0,"New",(J72-H72)/H72))</f>
        <v>0.0282841320631749</v>
      </c>
    </row>
    <row r="73" customFormat="false" ht="15" hidden="false" customHeight="true" outlineLevel="0" collapsed="false">
      <c r="A73" s="8" t="s">
        <v>251</v>
      </c>
      <c r="B73" s="8" t="str">
        <f aca="false">IFERROR(INDEX('Source 2026'!$C:$C,MATCH($A73,'Source 2026'!$B:$B,0)),IFERROR(INDEX('Source 2025'!$C:$C,MATCH($A73,'Source 2025'!$B:$B,0)),""))</f>
        <v>45 M מגן ברך רגיל</v>
      </c>
      <c r="C73" s="9" t="n">
        <f aca="false">SUMIFS('Source 2025'!$K:$K,'Source 2025'!$B:$B,$A73,'Source 2025'!$A:$A,"Quantity (units)")+SUMIFS('Source 2025'!$O:$O,'Source 2025'!$B:$B,$A73,'Source 2025'!$A:$A,"Quantity (units)")+SUMIFS('Source 2025'!$R:$R,'Source 2025'!$B:$B,$A73,'Source 2025'!$A:$A,"Quantity (units)")+SUMIFS('Source 2025'!$P:$P,'Source 2025'!$B:$B,$A73,'Source 2025'!$A:$A,"Quantity (units)")+SUMIFS('Source 2025'!$J:$J,'Source 2025'!$B:$B,$A73,'Source 2025'!$A:$A,"Quantity (units)")+SUMIFS('Source 2025'!$L:$L,'Source 2025'!$B:$B,$A73,'Source 2025'!$A:$A,"Quantity (units)")</f>
        <v>42</v>
      </c>
      <c r="D73" s="9" t="n">
        <f aca="false">SUMIFS('Source 2026'!$K:$K,'Source 2026'!$B:$B,$A73,'Source 2026'!$A:$A,"Quantity (units)")+SUMIFS('Source 2026'!$O:$O,'Source 2026'!$B:$B,$A73,'Source 2026'!$A:$A,"Quantity (units)")+SUMIFS('Source 2026'!$R:$R,'Source 2026'!$B:$B,$A73,'Source 2026'!$A:$A,"Quantity (units)")+SUMIFS('Source 2026'!$P:$P,'Source 2026'!$B:$B,$A73,'Source 2026'!$A:$A,"Quantity (units)")+SUMIFS('Source 2026'!$J:$J,'Source 2026'!$B:$B,$A73,'Source 2026'!$A:$A,"Quantity (units)")+SUMIFS('Source 2026'!$L:$L,'Source 2026'!$B:$B,$A73,'Source 2026'!$A:$A,"Quantity (units)")</f>
        <v>30</v>
      </c>
      <c r="E73" s="9" t="n">
        <f aca="false">D73*$J$5</f>
        <v>37.8947368421053</v>
      </c>
      <c r="F73" s="9" t="n">
        <f aca="false">E73-C73</f>
        <v>-4.10526315789474</v>
      </c>
      <c r="G73" s="11" t="n">
        <f aca="false">IF(AND(C73=0,E73=0),0,IF(C73=0,"New",(E73-C73)/C73))</f>
        <v>-0.0977443609022557</v>
      </c>
      <c r="H73" s="9" t="n">
        <f aca="false">SUMIFS('Source 2025'!$K:$K,'Source 2025'!$B:$B,$A73,'Source 2025'!$A:$A,"Amount (NIS)")+SUMIFS('Source 2025'!$O:$O,'Source 2025'!$B:$B,$A73,'Source 2025'!$A:$A,"Amount (NIS)")+SUMIFS('Source 2025'!$R:$R,'Source 2025'!$B:$B,$A73,'Source 2025'!$A:$A,"Amount (NIS)")+SUMIFS('Source 2025'!$P:$P,'Source 2025'!$B:$B,$A73,'Source 2025'!$A:$A,"Amount (NIS)")+SUMIFS('Source 2025'!$J:$J,'Source 2025'!$B:$B,$A73,'Source 2025'!$A:$A,"Amount (NIS)")+SUMIFS('Source 2025'!$L:$L,'Source 2025'!$B:$B,$A73,'Source 2025'!$A:$A,"Amount (NIS)")</f>
        <v>4075.3</v>
      </c>
      <c r="I73" s="9" t="n">
        <f aca="false">SUMIFS('Source 2026'!$K:$K,'Source 2026'!$B:$B,$A73,'Source 2026'!$A:$A,"Amount (NIS)")+SUMIFS('Source 2026'!$O:$O,'Source 2026'!$B:$B,$A73,'Source 2026'!$A:$A,"Amount (NIS)")+SUMIFS('Source 2026'!$R:$R,'Source 2026'!$B:$B,$A73,'Source 2026'!$A:$A,"Amount (NIS)")+SUMIFS('Source 2026'!$P:$P,'Source 2026'!$B:$B,$A73,'Source 2026'!$A:$A,"Amount (NIS)")+SUMIFS('Source 2026'!$J:$J,'Source 2026'!$B:$B,$A73,'Source 2026'!$A:$A,"Amount (NIS)")+SUMIFS('Source 2026'!$L:$L,'Source 2026'!$B:$B,$A73,'Source 2026'!$A:$A,"Amount (NIS)")</f>
        <v>2910.9</v>
      </c>
      <c r="J73" s="9" t="n">
        <f aca="false">I73*$J$5</f>
        <v>3676.92631578947</v>
      </c>
      <c r="K73" s="9" t="n">
        <f aca="false">J73-H73</f>
        <v>-398.373684210527</v>
      </c>
      <c r="L73" s="11" t="n">
        <f aca="false">IF(AND(H73=0,J73=0),0,IF(H73=0,"New",(J73-H73)/H73))</f>
        <v>-0.0977532167473626</v>
      </c>
    </row>
    <row r="74" customFormat="false" ht="15" hidden="false" customHeight="true" outlineLevel="0" collapsed="false">
      <c r="A74" s="8" t="s">
        <v>122</v>
      </c>
      <c r="B74" s="8" t="str">
        <f aca="false">IFERROR(INDEX('Source 2026'!$C:$C,MATCH($A74,'Source 2026'!$B:$B,0)),IFERROR(INDEX('Source 2025'!$C:$C,MATCH($A74,'Source 2025'!$B:$B,0)),""))</f>
        <v>Sמיישר כתף יציב יישור גב צר</v>
      </c>
      <c r="C74" s="9" t="n">
        <f aca="false">SUMIFS('Source 2025'!$K:$K,'Source 2025'!$B:$B,$A74,'Source 2025'!$A:$A,"Quantity (units)")+SUMIFS('Source 2025'!$O:$O,'Source 2025'!$B:$B,$A74,'Source 2025'!$A:$A,"Quantity (units)")+SUMIFS('Source 2025'!$R:$R,'Source 2025'!$B:$B,$A74,'Source 2025'!$A:$A,"Quantity (units)")+SUMIFS('Source 2025'!$P:$P,'Source 2025'!$B:$B,$A74,'Source 2025'!$A:$A,"Quantity (units)")+SUMIFS('Source 2025'!$J:$J,'Source 2025'!$B:$B,$A74,'Source 2025'!$A:$A,"Quantity (units)")+SUMIFS('Source 2025'!$L:$L,'Source 2025'!$B:$B,$A74,'Source 2025'!$A:$A,"Quantity (units)")</f>
        <v>112</v>
      </c>
      <c r="D74" s="9" t="n">
        <f aca="false">SUMIFS('Source 2026'!$K:$K,'Source 2026'!$B:$B,$A74,'Source 2026'!$A:$A,"Quantity (units)")+SUMIFS('Source 2026'!$O:$O,'Source 2026'!$B:$B,$A74,'Source 2026'!$A:$A,"Quantity (units)")+SUMIFS('Source 2026'!$R:$R,'Source 2026'!$B:$B,$A74,'Source 2026'!$A:$A,"Quantity (units)")+SUMIFS('Source 2026'!$P:$P,'Source 2026'!$B:$B,$A74,'Source 2026'!$A:$A,"Quantity (units)")+SUMIFS('Source 2026'!$J:$J,'Source 2026'!$B:$B,$A74,'Source 2026'!$A:$A,"Quantity (units)")+SUMIFS('Source 2026'!$L:$L,'Source 2026'!$B:$B,$A74,'Source 2026'!$A:$A,"Quantity (units)")</f>
        <v>119</v>
      </c>
      <c r="E74" s="9" t="n">
        <f aca="false">D74*$J$5</f>
        <v>150.315789473684</v>
      </c>
      <c r="F74" s="9" t="n">
        <f aca="false">E74-C74</f>
        <v>38.3157894736842</v>
      </c>
      <c r="G74" s="11" t="n">
        <f aca="false">IF(AND(C74=0,E74=0),0,IF(C74=0,"New",(E74-C74)/C74))</f>
        <v>0.342105263157895</v>
      </c>
      <c r="H74" s="9" t="n">
        <f aca="false">SUMIFS('Source 2025'!$K:$K,'Source 2025'!$B:$B,$A74,'Source 2025'!$A:$A,"Amount (NIS)")+SUMIFS('Source 2025'!$O:$O,'Source 2025'!$B:$B,$A74,'Source 2025'!$A:$A,"Amount (NIS)")+SUMIFS('Source 2025'!$R:$R,'Source 2025'!$B:$B,$A74,'Source 2025'!$A:$A,"Amount (NIS)")+SUMIFS('Source 2025'!$P:$P,'Source 2025'!$B:$B,$A74,'Source 2025'!$A:$A,"Amount (NIS)")+SUMIFS('Source 2025'!$J:$J,'Source 2025'!$B:$B,$A74,'Source 2025'!$A:$A,"Amount (NIS)")+SUMIFS('Source 2025'!$L:$L,'Source 2025'!$B:$B,$A74,'Source 2025'!$A:$A,"Amount (NIS)")</f>
        <v>15567</v>
      </c>
      <c r="I74" s="9" t="n">
        <f aca="false">SUMIFS('Source 2026'!$K:$K,'Source 2026'!$B:$B,$A74,'Source 2026'!$A:$A,"Amount (NIS)")+SUMIFS('Source 2026'!$O:$O,'Source 2026'!$B:$B,$A74,'Source 2026'!$A:$A,"Amount (NIS)")+SUMIFS('Source 2026'!$R:$R,'Source 2026'!$B:$B,$A74,'Source 2026'!$A:$A,"Amount (NIS)")+SUMIFS('Source 2026'!$P:$P,'Source 2026'!$B:$B,$A74,'Source 2026'!$A:$A,"Amount (NIS)")+SUMIFS('Source 2026'!$J:$J,'Source 2026'!$B:$B,$A74,'Source 2026'!$A:$A,"Amount (NIS)")+SUMIFS('Source 2026'!$L:$L,'Source 2026'!$B:$B,$A74,'Source 2026'!$A:$A,"Amount (NIS)")</f>
        <v>16719.4</v>
      </c>
      <c r="J74" s="9" t="n">
        <f aca="false">I74*$J$5</f>
        <v>21119.2421052632</v>
      </c>
      <c r="K74" s="9" t="n">
        <f aca="false">J74-H74</f>
        <v>5552.24210526316</v>
      </c>
      <c r="L74" s="11" t="n">
        <f aca="false">IF(AND(H74=0,J74=0),0,IF(H74=0,"New",(J74-H74)/H74))</f>
        <v>0.356667444290047</v>
      </c>
    </row>
    <row r="75" customFormat="false" ht="15" hidden="false" customHeight="true" outlineLevel="0" collapsed="false">
      <c r="A75" s="8" t="s">
        <v>195</v>
      </c>
      <c r="B75" s="8" t="str">
        <f aca="false">IFERROR(INDEX('Source 2026'!$C:$C,MATCH($A75,'Source 2026'!$B:$B,0)),IFERROR(INDEX('Source 2025'!$C:$C,MATCH($A75,'Source 2025'!$B:$B,0)),""))</f>
        <v>S-M סד לאגודל</v>
      </c>
      <c r="C75" s="9" t="n">
        <f aca="false">SUMIFS('Source 2025'!$K:$K,'Source 2025'!$B:$B,$A75,'Source 2025'!$A:$A,"Quantity (units)")+SUMIFS('Source 2025'!$O:$O,'Source 2025'!$B:$B,$A75,'Source 2025'!$A:$A,"Quantity (units)")+SUMIFS('Source 2025'!$R:$R,'Source 2025'!$B:$B,$A75,'Source 2025'!$A:$A,"Quantity (units)")+SUMIFS('Source 2025'!$P:$P,'Source 2025'!$B:$B,$A75,'Source 2025'!$A:$A,"Quantity (units)")+SUMIFS('Source 2025'!$J:$J,'Source 2025'!$B:$B,$A75,'Source 2025'!$A:$A,"Quantity (units)")+SUMIFS('Source 2025'!$L:$L,'Source 2025'!$B:$B,$A75,'Source 2025'!$A:$A,"Quantity (units)")</f>
        <v>190</v>
      </c>
      <c r="D75" s="9" t="n">
        <f aca="false">SUMIFS('Source 2026'!$K:$K,'Source 2026'!$B:$B,$A75,'Source 2026'!$A:$A,"Quantity (units)")+SUMIFS('Source 2026'!$O:$O,'Source 2026'!$B:$B,$A75,'Source 2026'!$A:$A,"Quantity (units)")+SUMIFS('Source 2026'!$R:$R,'Source 2026'!$B:$B,$A75,'Source 2026'!$A:$A,"Quantity (units)")+SUMIFS('Source 2026'!$P:$P,'Source 2026'!$B:$B,$A75,'Source 2026'!$A:$A,"Quantity (units)")+SUMIFS('Source 2026'!$J:$J,'Source 2026'!$B:$B,$A75,'Source 2026'!$A:$A,"Quantity (units)")+SUMIFS('Source 2026'!$L:$L,'Source 2026'!$B:$B,$A75,'Source 2026'!$A:$A,"Quantity (units)")</f>
        <v>172</v>
      </c>
      <c r="E75" s="9" t="n">
        <f aca="false">D75*$J$5</f>
        <v>217.263157894737</v>
      </c>
      <c r="F75" s="9" t="n">
        <f aca="false">E75-C75</f>
        <v>27.2631578947368</v>
      </c>
      <c r="G75" s="11" t="n">
        <f aca="false">IF(AND(C75=0,E75=0),0,IF(C75=0,"New",(E75-C75)/C75))</f>
        <v>0.143490304709141</v>
      </c>
      <c r="H75" s="9" t="n">
        <f aca="false">SUMIFS('Source 2025'!$K:$K,'Source 2025'!$B:$B,$A75,'Source 2025'!$A:$A,"Amount (NIS)")+SUMIFS('Source 2025'!$O:$O,'Source 2025'!$B:$B,$A75,'Source 2025'!$A:$A,"Amount (NIS)")+SUMIFS('Source 2025'!$R:$R,'Source 2025'!$B:$B,$A75,'Source 2025'!$A:$A,"Amount (NIS)")+SUMIFS('Source 2025'!$P:$P,'Source 2025'!$B:$B,$A75,'Source 2025'!$A:$A,"Amount (NIS)")+SUMIFS('Source 2025'!$J:$J,'Source 2025'!$B:$B,$A75,'Source 2025'!$A:$A,"Amount (NIS)")+SUMIFS('Source 2025'!$L:$L,'Source 2025'!$B:$B,$A75,'Source 2025'!$A:$A,"Amount (NIS)")</f>
        <v>12002.2</v>
      </c>
      <c r="I75" s="9" t="n">
        <f aca="false">SUMIFS('Source 2026'!$K:$K,'Source 2026'!$B:$B,$A75,'Source 2026'!$A:$A,"Amount (NIS)")+SUMIFS('Source 2026'!$O:$O,'Source 2026'!$B:$B,$A75,'Source 2026'!$A:$A,"Amount (NIS)")+SUMIFS('Source 2026'!$R:$R,'Source 2026'!$B:$B,$A75,'Source 2026'!$A:$A,"Amount (NIS)")+SUMIFS('Source 2026'!$P:$P,'Source 2026'!$B:$B,$A75,'Source 2026'!$A:$A,"Amount (NIS)")+SUMIFS('Source 2026'!$J:$J,'Source 2026'!$B:$B,$A75,'Source 2026'!$A:$A,"Amount (NIS)")+SUMIFS('Source 2026'!$L:$L,'Source 2026'!$B:$B,$A75,'Source 2026'!$A:$A,"Amount (NIS)")</f>
        <v>10853.8</v>
      </c>
      <c r="J75" s="9" t="n">
        <f aca="false">I75*$J$5</f>
        <v>13710.0631578947</v>
      </c>
      <c r="K75" s="9" t="n">
        <f aca="false">J75-H75</f>
        <v>1707.86315789474</v>
      </c>
      <c r="L75" s="11" t="n">
        <f aca="false">IF(AND(H75=0,J75=0),0,IF(H75=0,"New",(J75-H75)/H75))</f>
        <v>0.142295842253482</v>
      </c>
    </row>
    <row r="76" customFormat="false" ht="15" hidden="false" customHeight="true" outlineLevel="0" collapsed="false">
      <c r="A76" s="8" t="s">
        <v>148</v>
      </c>
      <c r="B76" s="8" t="str">
        <f aca="false">IFERROR(INDEX('Source 2026'!$C:$C,MATCH($A76,'Source 2026'!$B:$B,0)),IFERROR(INDEX('Source 2025'!$C:$C,MATCH($A76,'Source 2025'!$B:$B,0)),""))</f>
        <v>רפידת אנטי ריח -זוג</v>
      </c>
      <c r="C76" s="9" t="n">
        <f aca="false">SUMIFS('Source 2025'!$K:$K,'Source 2025'!$B:$B,$A76,'Source 2025'!$A:$A,"Quantity (units)")+SUMIFS('Source 2025'!$O:$O,'Source 2025'!$B:$B,$A76,'Source 2025'!$A:$A,"Quantity (units)")+SUMIFS('Source 2025'!$R:$R,'Source 2025'!$B:$B,$A76,'Source 2025'!$A:$A,"Quantity (units)")+SUMIFS('Source 2025'!$P:$P,'Source 2025'!$B:$B,$A76,'Source 2025'!$A:$A,"Quantity (units)")+SUMIFS('Source 2025'!$J:$J,'Source 2025'!$B:$B,$A76,'Source 2025'!$A:$A,"Quantity (units)")+SUMIFS('Source 2025'!$L:$L,'Source 2025'!$B:$B,$A76,'Source 2025'!$A:$A,"Quantity (units)")</f>
        <v>234</v>
      </c>
      <c r="D76" s="9" t="n">
        <f aca="false">SUMIFS('Source 2026'!$K:$K,'Source 2026'!$B:$B,$A76,'Source 2026'!$A:$A,"Quantity (units)")+SUMIFS('Source 2026'!$O:$O,'Source 2026'!$B:$B,$A76,'Source 2026'!$A:$A,"Quantity (units)")+SUMIFS('Source 2026'!$R:$R,'Source 2026'!$B:$B,$A76,'Source 2026'!$A:$A,"Quantity (units)")+SUMIFS('Source 2026'!$P:$P,'Source 2026'!$B:$B,$A76,'Source 2026'!$A:$A,"Quantity (units)")+SUMIFS('Source 2026'!$J:$J,'Source 2026'!$B:$B,$A76,'Source 2026'!$A:$A,"Quantity (units)")+SUMIFS('Source 2026'!$L:$L,'Source 2026'!$B:$B,$A76,'Source 2026'!$A:$A,"Quantity (units)")</f>
        <v>151</v>
      </c>
      <c r="E76" s="9" t="n">
        <f aca="false">D76*$J$5</f>
        <v>190.736842105263</v>
      </c>
      <c r="F76" s="9" t="n">
        <f aca="false">E76-C76</f>
        <v>-43.2631578947369</v>
      </c>
      <c r="G76" s="11" t="n">
        <f aca="false">IF(AND(C76=0,E76=0),0,IF(C76=0,"New",(E76-C76)/C76))</f>
        <v>-0.184885290148448</v>
      </c>
      <c r="H76" s="9" t="n">
        <f aca="false">SUMIFS('Source 2025'!$K:$K,'Source 2025'!$B:$B,$A76,'Source 2025'!$A:$A,"Amount (NIS)")+SUMIFS('Source 2025'!$O:$O,'Source 2025'!$B:$B,$A76,'Source 2025'!$A:$A,"Amount (NIS)")+SUMIFS('Source 2025'!$R:$R,'Source 2025'!$B:$B,$A76,'Source 2025'!$A:$A,"Amount (NIS)")+SUMIFS('Source 2025'!$P:$P,'Source 2025'!$B:$B,$A76,'Source 2025'!$A:$A,"Amount (NIS)")+SUMIFS('Source 2025'!$J:$J,'Source 2025'!$B:$B,$A76,'Source 2025'!$A:$A,"Amount (NIS)")+SUMIFS('Source 2025'!$L:$L,'Source 2025'!$B:$B,$A76,'Source 2025'!$A:$A,"Amount (NIS)")</f>
        <v>3171.8</v>
      </c>
      <c r="I76" s="9" t="n">
        <f aca="false">SUMIFS('Source 2026'!$K:$K,'Source 2026'!$B:$B,$A76,'Source 2026'!$A:$A,"Amount (NIS)")+SUMIFS('Source 2026'!$O:$O,'Source 2026'!$B:$B,$A76,'Source 2026'!$A:$A,"Amount (NIS)")+SUMIFS('Source 2026'!$R:$R,'Source 2026'!$B:$B,$A76,'Source 2026'!$A:$A,"Amount (NIS)")+SUMIFS('Source 2026'!$P:$P,'Source 2026'!$B:$B,$A76,'Source 2026'!$A:$A,"Amount (NIS)")+SUMIFS('Source 2026'!$J:$J,'Source 2026'!$B:$B,$A76,'Source 2026'!$A:$A,"Amount (NIS)")+SUMIFS('Source 2026'!$L:$L,'Source 2026'!$B:$B,$A76,'Source 2026'!$A:$A,"Amount (NIS)")</f>
        <v>2047.6</v>
      </c>
      <c r="J76" s="9" t="n">
        <f aca="false">I76*$J$5</f>
        <v>2586.44210526316</v>
      </c>
      <c r="K76" s="9" t="n">
        <f aca="false">J76-H76</f>
        <v>-585.357894736842</v>
      </c>
      <c r="L76" s="11" t="n">
        <f aca="false">IF(AND(H76=0,J76=0),0,IF(H76=0,"New",(J76-H76)/H76))</f>
        <v>-0.184550695105884</v>
      </c>
    </row>
    <row r="77" customFormat="false" ht="15" hidden="false" customHeight="true" outlineLevel="0" collapsed="false">
      <c r="A77" s="8" t="s">
        <v>287</v>
      </c>
      <c r="B77" s="8" t="str">
        <f aca="false">IFERROR(INDEX('Source 2026'!$C:$C,MATCH($A77,'Source 2026'!$B:$B,0)),IFERROR(INDEX('Source 2025'!$C:$C,MATCH($A77,'Source 2025'!$B:$B,0)),""))</f>
        <v>פיקה לברך</v>
      </c>
      <c r="C77" s="9" t="n">
        <f aca="false">SUMIFS('Source 2025'!$K:$K,'Source 2025'!$B:$B,$A77,'Source 2025'!$A:$A,"Quantity (units)")+SUMIFS('Source 2025'!$O:$O,'Source 2025'!$B:$B,$A77,'Source 2025'!$A:$A,"Quantity (units)")+SUMIFS('Source 2025'!$R:$R,'Source 2025'!$B:$B,$A77,'Source 2025'!$A:$A,"Quantity (units)")+SUMIFS('Source 2025'!$P:$P,'Source 2025'!$B:$B,$A77,'Source 2025'!$A:$A,"Quantity (units)")+SUMIFS('Source 2025'!$J:$J,'Source 2025'!$B:$B,$A77,'Source 2025'!$A:$A,"Quantity (units)")+SUMIFS('Source 2025'!$L:$L,'Source 2025'!$B:$B,$A77,'Source 2025'!$A:$A,"Quantity (units)")</f>
        <v>56</v>
      </c>
      <c r="D77" s="9" t="n">
        <f aca="false">SUMIFS('Source 2026'!$K:$K,'Source 2026'!$B:$B,$A77,'Source 2026'!$A:$A,"Quantity (units)")+SUMIFS('Source 2026'!$O:$O,'Source 2026'!$B:$B,$A77,'Source 2026'!$A:$A,"Quantity (units)")+SUMIFS('Source 2026'!$R:$R,'Source 2026'!$B:$B,$A77,'Source 2026'!$A:$A,"Quantity (units)")+SUMIFS('Source 2026'!$P:$P,'Source 2026'!$B:$B,$A77,'Source 2026'!$A:$A,"Quantity (units)")+SUMIFS('Source 2026'!$J:$J,'Source 2026'!$B:$B,$A77,'Source 2026'!$A:$A,"Quantity (units)")+SUMIFS('Source 2026'!$L:$L,'Source 2026'!$B:$B,$A77,'Source 2026'!$A:$A,"Quantity (units)")</f>
        <v>33</v>
      </c>
      <c r="E77" s="9" t="n">
        <f aca="false">D77*$J$5</f>
        <v>41.6842105263158</v>
      </c>
      <c r="F77" s="9" t="n">
        <f aca="false">E77-C77</f>
        <v>-14.3157894736842</v>
      </c>
      <c r="G77" s="11" t="n">
        <f aca="false">IF(AND(C77=0,E77=0),0,IF(C77=0,"New",(E77-C77)/C77))</f>
        <v>-0.255639097744361</v>
      </c>
      <c r="H77" s="9" t="n">
        <f aca="false">SUMIFS('Source 2025'!$K:$K,'Source 2025'!$B:$B,$A77,'Source 2025'!$A:$A,"Amount (NIS)")+SUMIFS('Source 2025'!$O:$O,'Source 2025'!$B:$B,$A77,'Source 2025'!$A:$A,"Amount (NIS)")+SUMIFS('Source 2025'!$R:$R,'Source 2025'!$B:$B,$A77,'Source 2025'!$A:$A,"Amount (NIS)")+SUMIFS('Source 2025'!$P:$P,'Source 2025'!$B:$B,$A77,'Source 2025'!$A:$A,"Amount (NIS)")+SUMIFS('Source 2025'!$J:$J,'Source 2025'!$B:$B,$A77,'Source 2025'!$A:$A,"Amount (NIS)")+SUMIFS('Source 2025'!$L:$L,'Source 2025'!$B:$B,$A77,'Source 2025'!$A:$A,"Amount (NIS)")</f>
        <v>2715.5</v>
      </c>
      <c r="I77" s="9" t="n">
        <f aca="false">SUMIFS('Source 2026'!$K:$K,'Source 2026'!$B:$B,$A77,'Source 2026'!$A:$A,"Amount (NIS)")+SUMIFS('Source 2026'!$O:$O,'Source 2026'!$B:$B,$A77,'Source 2026'!$A:$A,"Amount (NIS)")+SUMIFS('Source 2026'!$R:$R,'Source 2026'!$B:$B,$A77,'Source 2026'!$A:$A,"Amount (NIS)")+SUMIFS('Source 2026'!$P:$P,'Source 2026'!$B:$B,$A77,'Source 2026'!$A:$A,"Amount (NIS)")+SUMIFS('Source 2026'!$J:$J,'Source 2026'!$B:$B,$A77,'Source 2026'!$A:$A,"Amount (NIS)")+SUMIFS('Source 2026'!$L:$L,'Source 2026'!$B:$B,$A77,'Source 2026'!$A:$A,"Amount (NIS)")</f>
        <v>1600.2</v>
      </c>
      <c r="J77" s="9" t="n">
        <f aca="false">I77*$J$5</f>
        <v>2021.30526315789</v>
      </c>
      <c r="K77" s="9" t="n">
        <f aca="false">J77-H77</f>
        <v>-694.194736842105</v>
      </c>
      <c r="L77" s="11" t="n">
        <f aca="false">IF(AND(H77=0,J77=0),0,IF(H77=0,"New",(J77-H77)/H77))</f>
        <v>-0.255641589704329</v>
      </c>
    </row>
    <row r="78" customFormat="false" ht="15" hidden="false" customHeight="true" outlineLevel="0" collapsed="false">
      <c r="A78" s="8" t="s">
        <v>353</v>
      </c>
      <c r="B78" s="8" t="str">
        <f aca="false">IFERROR(INDEX('Source 2026'!$C:$C,MATCH($A78,'Source 2026'!$B:$B,0)),IFERROR(INDEX('Source 2025'!$C:$C,MATCH($A78,'Source 2025'!$B:$B,0)),""))</f>
        <v>חגורת גב אפורה</v>
      </c>
      <c r="C78" s="9" t="n">
        <f aca="false">SUMIFS('Source 2025'!$K:$K,'Source 2025'!$B:$B,$A78,'Source 2025'!$A:$A,"Quantity (units)")+SUMIFS('Source 2025'!$O:$O,'Source 2025'!$B:$B,$A78,'Source 2025'!$A:$A,"Quantity (units)")+SUMIFS('Source 2025'!$R:$R,'Source 2025'!$B:$B,$A78,'Source 2025'!$A:$A,"Quantity (units)")+SUMIFS('Source 2025'!$P:$P,'Source 2025'!$B:$B,$A78,'Source 2025'!$A:$A,"Quantity (units)")+SUMIFS('Source 2025'!$J:$J,'Source 2025'!$B:$B,$A78,'Source 2025'!$A:$A,"Quantity (units)")+SUMIFS('Source 2025'!$L:$L,'Source 2025'!$B:$B,$A78,'Source 2025'!$A:$A,"Quantity (units)")</f>
        <v>18</v>
      </c>
      <c r="D78" s="9" t="n">
        <f aca="false">SUMIFS('Source 2026'!$K:$K,'Source 2026'!$B:$B,$A78,'Source 2026'!$A:$A,"Quantity (units)")+SUMIFS('Source 2026'!$O:$O,'Source 2026'!$B:$B,$A78,'Source 2026'!$A:$A,"Quantity (units)")+SUMIFS('Source 2026'!$R:$R,'Source 2026'!$B:$B,$A78,'Source 2026'!$A:$A,"Quantity (units)")+SUMIFS('Source 2026'!$P:$P,'Source 2026'!$B:$B,$A78,'Source 2026'!$A:$A,"Quantity (units)")+SUMIFS('Source 2026'!$J:$J,'Source 2026'!$B:$B,$A78,'Source 2026'!$A:$A,"Quantity (units)")+SUMIFS('Source 2026'!$L:$L,'Source 2026'!$B:$B,$A78,'Source 2026'!$A:$A,"Quantity (units)")</f>
        <v>27</v>
      </c>
      <c r="E78" s="9" t="n">
        <f aca="false">D78*$J$5</f>
        <v>34.1052631578947</v>
      </c>
      <c r="F78" s="9" t="n">
        <f aca="false">E78-C78</f>
        <v>16.1052631578947</v>
      </c>
      <c r="G78" s="11" t="n">
        <f aca="false">IF(AND(C78=0,E78=0),0,IF(C78=0,"New",(E78-C78)/C78))</f>
        <v>0.894736842105263</v>
      </c>
      <c r="H78" s="9" t="n">
        <f aca="false">SUMIFS('Source 2025'!$K:$K,'Source 2025'!$B:$B,$A78,'Source 2025'!$A:$A,"Amount (NIS)")+SUMIFS('Source 2025'!$O:$O,'Source 2025'!$B:$B,$A78,'Source 2025'!$A:$A,"Amount (NIS)")+SUMIFS('Source 2025'!$R:$R,'Source 2025'!$B:$B,$A78,'Source 2025'!$A:$A,"Amount (NIS)")+SUMIFS('Source 2025'!$P:$P,'Source 2025'!$B:$B,$A78,'Source 2025'!$A:$A,"Amount (NIS)")+SUMIFS('Source 2025'!$J:$J,'Source 2025'!$B:$B,$A78,'Source 2025'!$A:$A,"Amount (NIS)")+SUMIFS('Source 2025'!$L:$L,'Source 2025'!$B:$B,$A78,'Source 2025'!$A:$A,"Amount (NIS)")</f>
        <v>1603.4</v>
      </c>
      <c r="I78" s="9" t="n">
        <f aca="false">SUMIFS('Source 2026'!$K:$K,'Source 2026'!$B:$B,$A78,'Source 2026'!$A:$A,"Amount (NIS)")+SUMIFS('Source 2026'!$O:$O,'Source 2026'!$B:$B,$A78,'Source 2026'!$A:$A,"Amount (NIS)")+SUMIFS('Source 2026'!$R:$R,'Source 2026'!$B:$B,$A78,'Source 2026'!$A:$A,"Amount (NIS)")+SUMIFS('Source 2026'!$P:$P,'Source 2026'!$B:$B,$A78,'Source 2026'!$A:$A,"Amount (NIS)")+SUMIFS('Source 2026'!$J:$J,'Source 2026'!$B:$B,$A78,'Source 2026'!$A:$A,"Amount (NIS)")+SUMIFS('Source 2026'!$L:$L,'Source 2026'!$B:$B,$A78,'Source 2026'!$A:$A,"Amount (NIS)")</f>
        <v>2679.2</v>
      </c>
      <c r="J78" s="9" t="n">
        <f aca="false">I78*$J$5</f>
        <v>3384.25263157895</v>
      </c>
      <c r="K78" s="9" t="n">
        <f aca="false">J78-H78</f>
        <v>1780.85263157895</v>
      </c>
      <c r="L78" s="11" t="n">
        <f aca="false">IF(AND(H78=0,J78=0),0,IF(H78=0,"New",(J78-H78)/H78))</f>
        <v>1.11067271521701</v>
      </c>
    </row>
    <row r="79" customFormat="false" ht="15" hidden="false" customHeight="true" outlineLevel="0" collapsed="false">
      <c r="A79" s="8" t="s">
        <v>219</v>
      </c>
      <c r="B79" s="8" t="str">
        <f aca="false">IFERROR(INDEX('Source 2026'!$C:$C,MATCH($A79,'Source 2026'!$B:$B,0)),IFERROR(INDEX('Source 2025'!$C:$C,MATCH($A79,'Source 2025'!$B:$B,0)),""))</f>
        <v>מדבקה לשחרור לחץ 2 יח</v>
      </c>
      <c r="C79" s="9" t="n">
        <f aca="false">SUMIFS('Source 2025'!$K:$K,'Source 2025'!$B:$B,$A79,'Source 2025'!$A:$A,"Quantity (units)")+SUMIFS('Source 2025'!$O:$O,'Source 2025'!$B:$B,$A79,'Source 2025'!$A:$A,"Quantity (units)")+SUMIFS('Source 2025'!$R:$R,'Source 2025'!$B:$B,$A79,'Source 2025'!$A:$A,"Quantity (units)")+SUMIFS('Source 2025'!$P:$P,'Source 2025'!$B:$B,$A79,'Source 2025'!$A:$A,"Quantity (units)")+SUMIFS('Source 2025'!$J:$J,'Source 2025'!$B:$B,$A79,'Source 2025'!$A:$A,"Quantity (units)")+SUMIFS('Source 2025'!$L:$L,'Source 2025'!$B:$B,$A79,'Source 2025'!$A:$A,"Quantity (units)")</f>
        <v>84</v>
      </c>
      <c r="D79" s="9" t="n">
        <f aca="false">SUMIFS('Source 2026'!$K:$K,'Source 2026'!$B:$B,$A79,'Source 2026'!$A:$A,"Quantity (units)")+SUMIFS('Source 2026'!$O:$O,'Source 2026'!$B:$B,$A79,'Source 2026'!$A:$A,"Quantity (units)")+SUMIFS('Source 2026'!$R:$R,'Source 2026'!$B:$B,$A79,'Source 2026'!$A:$A,"Quantity (units)")+SUMIFS('Source 2026'!$P:$P,'Source 2026'!$B:$B,$A79,'Source 2026'!$A:$A,"Quantity (units)")+SUMIFS('Source 2026'!$J:$J,'Source 2026'!$B:$B,$A79,'Source 2026'!$A:$A,"Quantity (units)")+SUMIFS('Source 2026'!$L:$L,'Source 2026'!$B:$B,$A79,'Source 2026'!$A:$A,"Quantity (units)")</f>
        <v>47</v>
      </c>
      <c r="E79" s="9" t="n">
        <f aca="false">D79*$J$5</f>
        <v>59.3684210526316</v>
      </c>
      <c r="F79" s="9" t="n">
        <f aca="false">E79-C79</f>
        <v>-24.6315789473684</v>
      </c>
      <c r="G79" s="11" t="n">
        <f aca="false">IF(AND(C79=0,E79=0),0,IF(C79=0,"New",(E79-C79)/C79))</f>
        <v>-0.293233082706767</v>
      </c>
      <c r="H79" s="9" t="n">
        <f aca="false">SUMIFS('Source 2025'!$K:$K,'Source 2025'!$B:$B,$A79,'Source 2025'!$A:$A,"Amount (NIS)")+SUMIFS('Source 2025'!$O:$O,'Source 2025'!$B:$B,$A79,'Source 2025'!$A:$A,"Amount (NIS)")+SUMIFS('Source 2025'!$R:$R,'Source 2025'!$B:$B,$A79,'Source 2025'!$A:$A,"Amount (NIS)")+SUMIFS('Source 2025'!$P:$P,'Source 2025'!$B:$B,$A79,'Source 2025'!$A:$A,"Amount (NIS)")+SUMIFS('Source 2025'!$J:$J,'Source 2025'!$B:$B,$A79,'Source 2025'!$A:$A,"Amount (NIS)")+SUMIFS('Source 2025'!$L:$L,'Source 2025'!$B:$B,$A79,'Source 2025'!$A:$A,"Amount (NIS)")</f>
        <v>2425.3</v>
      </c>
      <c r="I79" s="9" t="n">
        <f aca="false">SUMIFS('Source 2026'!$K:$K,'Source 2026'!$B:$B,$A79,'Source 2026'!$A:$A,"Amount (NIS)")+SUMIFS('Source 2026'!$O:$O,'Source 2026'!$B:$B,$A79,'Source 2026'!$A:$A,"Amount (NIS)")+SUMIFS('Source 2026'!$R:$R,'Source 2026'!$B:$B,$A79,'Source 2026'!$A:$A,"Amount (NIS)")+SUMIFS('Source 2026'!$P:$P,'Source 2026'!$B:$B,$A79,'Source 2026'!$A:$A,"Amount (NIS)")+SUMIFS('Source 2026'!$J:$J,'Source 2026'!$B:$B,$A79,'Source 2026'!$A:$A,"Amount (NIS)")+SUMIFS('Source 2026'!$L:$L,'Source 2026'!$B:$B,$A79,'Source 2026'!$A:$A,"Amount (NIS)")</f>
        <v>1357.1</v>
      </c>
      <c r="J79" s="9" t="n">
        <f aca="false">I79*$J$5</f>
        <v>1714.23157894737</v>
      </c>
      <c r="K79" s="9" t="n">
        <f aca="false">J79-H79</f>
        <v>-711.068421052632</v>
      </c>
      <c r="L79" s="11" t="n">
        <f aca="false">IF(AND(H79=0,J79=0),0,IF(H79=0,"New",(J79-H79)/H79))</f>
        <v>-0.293187820497518</v>
      </c>
    </row>
    <row r="80" customFormat="false" ht="15" hidden="false" customHeight="true" outlineLevel="0" collapsed="false">
      <c r="A80" s="8" t="s">
        <v>95</v>
      </c>
      <c r="B80" s="8" t="str">
        <f aca="false">IFERROR(INDEX('Source 2026'!$C:$C,MATCH($A80,'Source 2026'!$B:$B,0)),IFERROR(INDEX('Source 2025'!$C:$C,MATCH($A80,'Source 2025'!$B:$B,0)),""))</f>
        <v>מישר כתפיים אקטיב</v>
      </c>
      <c r="C80" s="9" t="n">
        <f aca="false">SUMIFS('Source 2025'!$K:$K,'Source 2025'!$B:$B,$A80,'Source 2025'!$A:$A,"Quantity (units)")+SUMIFS('Source 2025'!$O:$O,'Source 2025'!$B:$B,$A80,'Source 2025'!$A:$A,"Quantity (units)")+SUMIFS('Source 2025'!$R:$R,'Source 2025'!$B:$B,$A80,'Source 2025'!$A:$A,"Quantity (units)")+SUMIFS('Source 2025'!$P:$P,'Source 2025'!$B:$B,$A80,'Source 2025'!$A:$A,"Quantity (units)")+SUMIFS('Source 2025'!$J:$J,'Source 2025'!$B:$B,$A80,'Source 2025'!$A:$A,"Quantity (units)")+SUMIFS('Source 2025'!$L:$L,'Source 2025'!$B:$B,$A80,'Source 2025'!$A:$A,"Quantity (units)")</f>
        <v>66</v>
      </c>
      <c r="D80" s="9" t="n">
        <f aca="false">SUMIFS('Source 2026'!$K:$K,'Source 2026'!$B:$B,$A80,'Source 2026'!$A:$A,"Quantity (units)")+SUMIFS('Source 2026'!$O:$O,'Source 2026'!$B:$B,$A80,'Source 2026'!$A:$A,"Quantity (units)")+SUMIFS('Source 2026'!$R:$R,'Source 2026'!$B:$B,$A80,'Source 2026'!$A:$A,"Quantity (units)")+SUMIFS('Source 2026'!$P:$P,'Source 2026'!$B:$B,$A80,'Source 2026'!$A:$A,"Quantity (units)")+SUMIFS('Source 2026'!$J:$J,'Source 2026'!$B:$B,$A80,'Source 2026'!$A:$A,"Quantity (units)")+SUMIFS('Source 2026'!$L:$L,'Source 2026'!$B:$B,$A80,'Source 2026'!$A:$A,"Quantity (units)")</f>
        <v>79</v>
      </c>
      <c r="E80" s="9" t="n">
        <f aca="false">D80*$J$5</f>
        <v>99.7894736842105</v>
      </c>
      <c r="F80" s="9" t="n">
        <f aca="false">E80-C80</f>
        <v>33.7894736842105</v>
      </c>
      <c r="G80" s="11" t="n">
        <f aca="false">IF(AND(C80=0,E80=0),0,IF(C80=0,"New",(E80-C80)/C80))</f>
        <v>0.511961722488038</v>
      </c>
      <c r="H80" s="9" t="n">
        <f aca="false">SUMIFS('Source 2025'!$K:$K,'Source 2025'!$B:$B,$A80,'Source 2025'!$A:$A,"Amount (NIS)")+SUMIFS('Source 2025'!$O:$O,'Source 2025'!$B:$B,$A80,'Source 2025'!$A:$A,"Amount (NIS)")+SUMIFS('Source 2025'!$R:$R,'Source 2025'!$B:$B,$A80,'Source 2025'!$A:$A,"Amount (NIS)")+SUMIFS('Source 2025'!$P:$P,'Source 2025'!$B:$B,$A80,'Source 2025'!$A:$A,"Amount (NIS)")+SUMIFS('Source 2025'!$J:$J,'Source 2025'!$B:$B,$A80,'Source 2025'!$A:$A,"Amount (NIS)")+SUMIFS('Source 2025'!$L:$L,'Source 2025'!$B:$B,$A80,'Source 2025'!$A:$A,"Amount (NIS)")</f>
        <v>5247</v>
      </c>
      <c r="I80" s="9" t="n">
        <f aca="false">SUMIFS('Source 2026'!$K:$K,'Source 2026'!$B:$B,$A80,'Source 2026'!$A:$A,"Amount (NIS)")+SUMIFS('Source 2026'!$O:$O,'Source 2026'!$B:$B,$A80,'Source 2026'!$A:$A,"Amount (NIS)")+SUMIFS('Source 2026'!$R:$R,'Source 2026'!$B:$B,$A80,'Source 2026'!$A:$A,"Amount (NIS)")+SUMIFS('Source 2026'!$P:$P,'Source 2026'!$B:$B,$A80,'Source 2026'!$A:$A,"Amount (NIS)")+SUMIFS('Source 2026'!$J:$J,'Source 2026'!$B:$B,$A80,'Source 2026'!$A:$A,"Amount (NIS)")+SUMIFS('Source 2026'!$L:$L,'Source 2026'!$B:$B,$A80,'Source 2026'!$A:$A,"Amount (NIS)")</f>
        <v>6280.5</v>
      </c>
      <c r="J80" s="9" t="n">
        <f aca="false">I80*$J$5</f>
        <v>7933.26315789474</v>
      </c>
      <c r="K80" s="9" t="n">
        <f aca="false">J80-H80</f>
        <v>2686.26315789474</v>
      </c>
      <c r="L80" s="11" t="n">
        <f aca="false">IF(AND(H80=0,J80=0),0,IF(H80=0,"New",(J80-H80)/H80))</f>
        <v>0.511961722488038</v>
      </c>
    </row>
    <row r="81" customFormat="false" ht="15" hidden="false" customHeight="true" outlineLevel="0" collapsed="false">
      <c r="A81" s="8" t="s">
        <v>264</v>
      </c>
      <c r="B81" s="8" t="str">
        <f aca="false">IFERROR(INDEX('Source 2026'!$C:$C,MATCH($A81,'Source 2026'!$B:$B,0)),IFERROR(INDEX('Source 2025'!$C:$C,MATCH($A81,'Source 2025'!$B:$B,0)),""))</f>
        <v>S חגורת שבר דו צדדי</v>
      </c>
      <c r="C81" s="9" t="n">
        <f aca="false">SUMIFS('Source 2025'!$K:$K,'Source 2025'!$B:$B,$A81,'Source 2025'!$A:$A,"Quantity (units)")+SUMIFS('Source 2025'!$O:$O,'Source 2025'!$B:$B,$A81,'Source 2025'!$A:$A,"Quantity (units)")+SUMIFS('Source 2025'!$R:$R,'Source 2025'!$B:$B,$A81,'Source 2025'!$A:$A,"Quantity (units)")+SUMIFS('Source 2025'!$P:$P,'Source 2025'!$B:$B,$A81,'Source 2025'!$A:$A,"Quantity (units)")+SUMIFS('Source 2025'!$J:$J,'Source 2025'!$B:$B,$A81,'Source 2025'!$A:$A,"Quantity (units)")+SUMIFS('Source 2025'!$L:$L,'Source 2025'!$B:$B,$A81,'Source 2025'!$A:$A,"Quantity (units)")</f>
        <v>6</v>
      </c>
      <c r="D81" s="9" t="n">
        <f aca="false">SUMIFS('Source 2026'!$K:$K,'Source 2026'!$B:$B,$A81,'Source 2026'!$A:$A,"Quantity (units)")+SUMIFS('Source 2026'!$O:$O,'Source 2026'!$B:$B,$A81,'Source 2026'!$A:$A,"Quantity (units)")+SUMIFS('Source 2026'!$R:$R,'Source 2026'!$B:$B,$A81,'Source 2026'!$A:$A,"Quantity (units)")+SUMIFS('Source 2026'!$P:$P,'Source 2026'!$B:$B,$A81,'Source 2026'!$A:$A,"Quantity (units)")+SUMIFS('Source 2026'!$J:$J,'Source 2026'!$B:$B,$A81,'Source 2026'!$A:$A,"Quantity (units)")+SUMIFS('Source 2026'!$L:$L,'Source 2026'!$B:$B,$A81,'Source 2026'!$A:$A,"Quantity (units)")</f>
        <v>9</v>
      </c>
      <c r="E81" s="9" t="n">
        <f aca="false">D81*$J$5</f>
        <v>11.3684210526316</v>
      </c>
      <c r="F81" s="9" t="n">
        <f aca="false">E81-C81</f>
        <v>5.36842105263158</v>
      </c>
      <c r="G81" s="11" t="n">
        <f aca="false">IF(AND(C81=0,E81=0),0,IF(C81=0,"New",(E81-C81)/C81))</f>
        <v>0.894736842105263</v>
      </c>
      <c r="H81" s="9" t="n">
        <f aca="false">SUMIFS('Source 2025'!$K:$K,'Source 2025'!$B:$B,$A81,'Source 2025'!$A:$A,"Amount (NIS)")+SUMIFS('Source 2025'!$O:$O,'Source 2025'!$B:$B,$A81,'Source 2025'!$A:$A,"Amount (NIS)")+SUMIFS('Source 2025'!$R:$R,'Source 2025'!$B:$B,$A81,'Source 2025'!$A:$A,"Amount (NIS)")+SUMIFS('Source 2025'!$P:$P,'Source 2025'!$B:$B,$A81,'Source 2025'!$A:$A,"Amount (NIS)")+SUMIFS('Source 2025'!$J:$J,'Source 2025'!$B:$B,$A81,'Source 2025'!$A:$A,"Amount (NIS)")+SUMIFS('Source 2025'!$L:$L,'Source 2025'!$B:$B,$A81,'Source 2025'!$A:$A,"Amount (NIS)")</f>
        <v>1810.2</v>
      </c>
      <c r="I81" s="9" t="n">
        <f aca="false">SUMIFS('Source 2026'!$K:$K,'Source 2026'!$B:$B,$A81,'Source 2026'!$A:$A,"Amount (NIS)")+SUMIFS('Source 2026'!$O:$O,'Source 2026'!$B:$B,$A81,'Source 2026'!$A:$A,"Amount (NIS)")+SUMIFS('Source 2026'!$R:$R,'Source 2026'!$B:$B,$A81,'Source 2026'!$A:$A,"Amount (NIS)")+SUMIFS('Source 2026'!$P:$P,'Source 2026'!$B:$B,$A81,'Source 2026'!$A:$A,"Amount (NIS)")+SUMIFS('Source 2026'!$J:$J,'Source 2026'!$B:$B,$A81,'Source 2026'!$A:$A,"Amount (NIS)")+SUMIFS('Source 2026'!$L:$L,'Source 2026'!$B:$B,$A81,'Source 2026'!$A:$A,"Amount (NIS)")</f>
        <v>2715.4</v>
      </c>
      <c r="J81" s="9" t="n">
        <f aca="false">I81*$J$5</f>
        <v>3429.97894736842</v>
      </c>
      <c r="K81" s="9" t="n">
        <f aca="false">J81-H81</f>
        <v>1619.77894736842</v>
      </c>
      <c r="L81" s="11" t="n">
        <f aca="false">IF(AND(H81=0,J81=0),0,IF(H81=0,"New",(J81-H81)/H81))</f>
        <v>0.894806622123755</v>
      </c>
    </row>
    <row r="82" customFormat="false" ht="15" hidden="false" customHeight="true" outlineLevel="0" collapsed="false">
      <c r="A82" s="8" t="s">
        <v>202</v>
      </c>
      <c r="B82" s="8" t="str">
        <f aca="false">IFERROR(INDEX('Source 2026'!$C:$C,MATCH($A82,'Source 2026'!$B:$B,0)),IFERROR(INDEX('Source 2025'!$C:$C,MATCH($A82,'Source 2025'!$B:$B,0)),""))</f>
        <v>רפידת בולמת זעזועים -זוג</v>
      </c>
      <c r="C82" s="9" t="n">
        <f aca="false">SUMIFS('Source 2025'!$K:$K,'Source 2025'!$B:$B,$A82,'Source 2025'!$A:$A,"Quantity (units)")+SUMIFS('Source 2025'!$O:$O,'Source 2025'!$B:$B,$A82,'Source 2025'!$A:$A,"Quantity (units)")+SUMIFS('Source 2025'!$R:$R,'Source 2025'!$B:$B,$A82,'Source 2025'!$A:$A,"Quantity (units)")+SUMIFS('Source 2025'!$P:$P,'Source 2025'!$B:$B,$A82,'Source 2025'!$A:$A,"Quantity (units)")+SUMIFS('Source 2025'!$J:$J,'Source 2025'!$B:$B,$A82,'Source 2025'!$A:$A,"Quantity (units)")+SUMIFS('Source 2025'!$L:$L,'Source 2025'!$B:$B,$A82,'Source 2025'!$A:$A,"Quantity (units)")</f>
        <v>168</v>
      </c>
      <c r="D82" s="9" t="n">
        <f aca="false">SUMIFS('Source 2026'!$K:$K,'Source 2026'!$B:$B,$A82,'Source 2026'!$A:$A,"Quantity (units)")+SUMIFS('Source 2026'!$O:$O,'Source 2026'!$B:$B,$A82,'Source 2026'!$A:$A,"Quantity (units)")+SUMIFS('Source 2026'!$R:$R,'Source 2026'!$B:$B,$A82,'Source 2026'!$A:$A,"Quantity (units)")+SUMIFS('Source 2026'!$P:$P,'Source 2026'!$B:$B,$A82,'Source 2026'!$A:$A,"Quantity (units)")+SUMIFS('Source 2026'!$J:$J,'Source 2026'!$B:$B,$A82,'Source 2026'!$A:$A,"Quantity (units)")+SUMIFS('Source 2026'!$L:$L,'Source 2026'!$B:$B,$A82,'Source 2026'!$A:$A,"Quantity (units)")</f>
        <v>101</v>
      </c>
      <c r="E82" s="9" t="n">
        <f aca="false">D82*$J$5</f>
        <v>127.578947368421</v>
      </c>
      <c r="F82" s="9" t="n">
        <f aca="false">E82-C82</f>
        <v>-40.421052631579</v>
      </c>
      <c r="G82" s="11" t="n">
        <f aca="false">IF(AND(C82=0,E82=0),0,IF(C82=0,"New",(E82-C82)/C82))</f>
        <v>-0.240601503759399</v>
      </c>
      <c r="H82" s="9" t="n">
        <f aca="false">SUMIFS('Source 2025'!$K:$K,'Source 2025'!$B:$B,$A82,'Source 2025'!$A:$A,"Amount (NIS)")+SUMIFS('Source 2025'!$O:$O,'Source 2025'!$B:$B,$A82,'Source 2025'!$A:$A,"Amount (NIS)")+SUMIFS('Source 2025'!$R:$R,'Source 2025'!$B:$B,$A82,'Source 2025'!$A:$A,"Amount (NIS)")+SUMIFS('Source 2025'!$P:$P,'Source 2025'!$B:$B,$A82,'Source 2025'!$A:$A,"Amount (NIS)")+SUMIFS('Source 2025'!$J:$J,'Source 2025'!$B:$B,$A82,'Source 2025'!$A:$A,"Amount (NIS)")+SUMIFS('Source 2025'!$L:$L,'Source 2025'!$B:$B,$A82,'Source 2025'!$A:$A,"Amount (NIS)")</f>
        <v>2246.9</v>
      </c>
      <c r="I82" s="9" t="n">
        <f aca="false">SUMIFS('Source 2026'!$K:$K,'Source 2026'!$B:$B,$A82,'Source 2026'!$A:$A,"Amount (NIS)")+SUMIFS('Source 2026'!$O:$O,'Source 2026'!$B:$B,$A82,'Source 2026'!$A:$A,"Amount (NIS)")+SUMIFS('Source 2026'!$R:$R,'Source 2026'!$B:$B,$A82,'Source 2026'!$A:$A,"Amount (NIS)")+SUMIFS('Source 2026'!$P:$P,'Source 2026'!$B:$B,$A82,'Source 2026'!$A:$A,"Amount (NIS)")+SUMIFS('Source 2026'!$J:$J,'Source 2026'!$B:$B,$A82,'Source 2026'!$A:$A,"Amount (NIS)")+SUMIFS('Source 2026'!$L:$L,'Source 2026'!$B:$B,$A82,'Source 2026'!$A:$A,"Amount (NIS)")</f>
        <v>1347.3</v>
      </c>
      <c r="J82" s="9" t="n">
        <f aca="false">I82*$J$5</f>
        <v>1701.85263157895</v>
      </c>
      <c r="K82" s="9" t="n">
        <f aca="false">J82-H82</f>
        <v>-545.047368421053</v>
      </c>
      <c r="L82" s="11" t="n">
        <f aca="false">IF(AND(H82=0,J82=0),0,IF(H82=0,"New",(J82-H82)/H82))</f>
        <v>-0.242577492732677</v>
      </c>
    </row>
    <row r="83" customFormat="false" ht="15" hidden="false" customHeight="true" outlineLevel="0" collapsed="false">
      <c r="A83" s="8" t="s">
        <v>144</v>
      </c>
      <c r="B83" s="8" t="str">
        <f aca="false">IFERROR(INDEX('Source 2026'!$C:$C,MATCH($A83,'Source 2026'!$B:$B,0)),IFERROR(INDEX('Source 2025'!$C:$C,MATCH($A83,'Source 2025'!$B:$B,0)),""))</f>
        <v>שרוול מטטרזלי מסיליקון</v>
      </c>
      <c r="C83" s="9" t="n">
        <f aca="false">SUMIFS('Source 2025'!$K:$K,'Source 2025'!$B:$B,$A83,'Source 2025'!$A:$A,"Quantity (units)")+SUMIFS('Source 2025'!$O:$O,'Source 2025'!$B:$B,$A83,'Source 2025'!$A:$A,"Quantity (units)")+SUMIFS('Source 2025'!$R:$R,'Source 2025'!$B:$B,$A83,'Source 2025'!$A:$A,"Quantity (units)")+SUMIFS('Source 2025'!$P:$P,'Source 2025'!$B:$B,$A83,'Source 2025'!$A:$A,"Quantity (units)")+SUMIFS('Source 2025'!$J:$J,'Source 2025'!$B:$B,$A83,'Source 2025'!$A:$A,"Quantity (units)")+SUMIFS('Source 2025'!$L:$L,'Source 2025'!$B:$B,$A83,'Source 2025'!$A:$A,"Quantity (units)")</f>
        <v>59</v>
      </c>
      <c r="D83" s="9" t="n">
        <f aca="false">SUMIFS('Source 2026'!$K:$K,'Source 2026'!$B:$B,$A83,'Source 2026'!$A:$A,"Quantity (units)")+SUMIFS('Source 2026'!$O:$O,'Source 2026'!$B:$B,$A83,'Source 2026'!$A:$A,"Quantity (units)")+SUMIFS('Source 2026'!$R:$R,'Source 2026'!$B:$B,$A83,'Source 2026'!$A:$A,"Quantity (units)")+SUMIFS('Source 2026'!$P:$P,'Source 2026'!$B:$B,$A83,'Source 2026'!$A:$A,"Quantity (units)")+SUMIFS('Source 2026'!$J:$J,'Source 2026'!$B:$B,$A83,'Source 2026'!$A:$A,"Quantity (units)")+SUMIFS('Source 2026'!$L:$L,'Source 2026'!$B:$B,$A83,'Source 2026'!$A:$A,"Quantity (units)")</f>
        <v>43</v>
      </c>
      <c r="E83" s="9" t="n">
        <f aca="false">D83*$J$5</f>
        <v>54.3157894736842</v>
      </c>
      <c r="F83" s="9" t="n">
        <f aca="false">E83-C83</f>
        <v>-4.6842105263158</v>
      </c>
      <c r="G83" s="11" t="n">
        <f aca="false">IF(AND(C83=0,E83=0),0,IF(C83=0,"New",(E83-C83)/C83))</f>
        <v>-0.0793933987511152</v>
      </c>
      <c r="H83" s="9" t="n">
        <f aca="false">SUMIFS('Source 2025'!$K:$K,'Source 2025'!$B:$B,$A83,'Source 2025'!$A:$A,"Amount (NIS)")+SUMIFS('Source 2025'!$O:$O,'Source 2025'!$B:$B,$A83,'Source 2025'!$A:$A,"Amount (NIS)")+SUMIFS('Source 2025'!$R:$R,'Source 2025'!$B:$B,$A83,'Source 2025'!$A:$A,"Amount (NIS)")+SUMIFS('Source 2025'!$P:$P,'Source 2025'!$B:$B,$A83,'Source 2025'!$A:$A,"Amount (NIS)")+SUMIFS('Source 2025'!$J:$J,'Source 2025'!$B:$B,$A83,'Source 2025'!$A:$A,"Amount (NIS)")+SUMIFS('Source 2025'!$L:$L,'Source 2025'!$B:$B,$A83,'Source 2025'!$A:$A,"Amount (NIS)")</f>
        <v>3304</v>
      </c>
      <c r="I83" s="9" t="n">
        <f aca="false">SUMIFS('Source 2026'!$K:$K,'Source 2026'!$B:$B,$A83,'Source 2026'!$A:$A,"Amount (NIS)")+SUMIFS('Source 2026'!$O:$O,'Source 2026'!$B:$B,$A83,'Source 2026'!$A:$A,"Amount (NIS)")+SUMIFS('Source 2026'!$R:$R,'Source 2026'!$B:$B,$A83,'Source 2026'!$A:$A,"Amount (NIS)")+SUMIFS('Source 2026'!$P:$P,'Source 2026'!$B:$B,$A83,'Source 2026'!$A:$A,"Amount (NIS)")+SUMIFS('Source 2026'!$J:$J,'Source 2026'!$B:$B,$A83,'Source 2026'!$A:$A,"Amount (NIS)")+SUMIFS('Source 2026'!$L:$L,'Source 2026'!$B:$B,$A83,'Source 2026'!$A:$A,"Amount (NIS)")</f>
        <v>2408</v>
      </c>
      <c r="J83" s="9" t="n">
        <f aca="false">I83*$J$5</f>
        <v>3041.68421052632</v>
      </c>
      <c r="K83" s="9" t="n">
        <f aca="false">J83-H83</f>
        <v>-262.315789473684</v>
      </c>
      <c r="L83" s="11" t="n">
        <f aca="false">IF(AND(H83=0,J83=0),0,IF(H83=0,"New",(J83-H83)/H83))</f>
        <v>-0.0793933987511151</v>
      </c>
    </row>
    <row r="84" customFormat="false" ht="15" hidden="false" customHeight="true" outlineLevel="0" collapsed="false">
      <c r="A84" s="8" t="s">
        <v>249</v>
      </c>
      <c r="B84" s="8" t="str">
        <f aca="false">IFERROR(INDEX('Source 2026'!$C:$C,MATCH($A84,'Source 2026'!$B:$B,0)),IFERROR(INDEX('Source 2025'!$C:$C,MATCH($A84,'Source 2025'!$B:$B,0)),""))</f>
        <v>מפריד הלוקס</v>
      </c>
      <c r="C84" s="9" t="n">
        <f aca="false">SUMIFS('Source 2025'!$K:$K,'Source 2025'!$B:$B,$A84,'Source 2025'!$A:$A,"Quantity (units)")+SUMIFS('Source 2025'!$O:$O,'Source 2025'!$B:$B,$A84,'Source 2025'!$A:$A,"Quantity (units)")+SUMIFS('Source 2025'!$R:$R,'Source 2025'!$B:$B,$A84,'Source 2025'!$A:$A,"Quantity (units)")+SUMIFS('Source 2025'!$P:$P,'Source 2025'!$B:$B,$A84,'Source 2025'!$A:$A,"Quantity (units)")+SUMIFS('Source 2025'!$J:$J,'Source 2025'!$B:$B,$A84,'Source 2025'!$A:$A,"Quantity (units)")+SUMIFS('Source 2025'!$L:$L,'Source 2025'!$B:$B,$A84,'Source 2025'!$A:$A,"Quantity (units)")</f>
        <v>28</v>
      </c>
      <c r="D84" s="9" t="n">
        <f aca="false">SUMIFS('Source 2026'!$K:$K,'Source 2026'!$B:$B,$A84,'Source 2026'!$A:$A,"Quantity (units)")+SUMIFS('Source 2026'!$O:$O,'Source 2026'!$B:$B,$A84,'Source 2026'!$A:$A,"Quantity (units)")+SUMIFS('Source 2026'!$R:$R,'Source 2026'!$B:$B,$A84,'Source 2026'!$A:$A,"Quantity (units)")+SUMIFS('Source 2026'!$P:$P,'Source 2026'!$B:$B,$A84,'Source 2026'!$A:$A,"Quantity (units)")+SUMIFS('Source 2026'!$J:$J,'Source 2026'!$B:$B,$A84,'Source 2026'!$A:$A,"Quantity (units)")+SUMIFS('Source 2026'!$L:$L,'Source 2026'!$B:$B,$A84,'Source 2026'!$A:$A,"Quantity (units)")</f>
        <v>8</v>
      </c>
      <c r="E84" s="9" t="n">
        <f aca="false">D84*$J$5</f>
        <v>10.1052631578947</v>
      </c>
      <c r="F84" s="9" t="n">
        <f aca="false">E84-C84</f>
        <v>-17.8947368421053</v>
      </c>
      <c r="G84" s="11" t="n">
        <f aca="false">IF(AND(C84=0,E84=0),0,IF(C84=0,"New",(E84-C84)/C84))</f>
        <v>-0.639097744360902</v>
      </c>
      <c r="H84" s="9" t="n">
        <f aca="false">SUMIFS('Source 2025'!$K:$K,'Source 2025'!$B:$B,$A84,'Source 2025'!$A:$A,"Amount (NIS)")+SUMIFS('Source 2025'!$O:$O,'Source 2025'!$B:$B,$A84,'Source 2025'!$A:$A,"Amount (NIS)")+SUMIFS('Source 2025'!$R:$R,'Source 2025'!$B:$B,$A84,'Source 2025'!$A:$A,"Amount (NIS)")+SUMIFS('Source 2025'!$P:$P,'Source 2025'!$B:$B,$A84,'Source 2025'!$A:$A,"Amount (NIS)")+SUMIFS('Source 2025'!$J:$J,'Source 2025'!$B:$B,$A84,'Source 2025'!$A:$A,"Amount (NIS)")+SUMIFS('Source 2025'!$L:$L,'Source 2025'!$B:$B,$A84,'Source 2025'!$A:$A,"Amount (NIS)")</f>
        <v>1223.6</v>
      </c>
      <c r="I84" s="9" t="n">
        <f aca="false">SUMIFS('Source 2026'!$K:$K,'Source 2026'!$B:$B,$A84,'Source 2026'!$A:$A,"Amount (NIS)")+SUMIFS('Source 2026'!$O:$O,'Source 2026'!$B:$B,$A84,'Source 2026'!$A:$A,"Amount (NIS)")+SUMIFS('Source 2026'!$R:$R,'Source 2026'!$B:$B,$A84,'Source 2026'!$A:$A,"Amount (NIS)")+SUMIFS('Source 2026'!$P:$P,'Source 2026'!$B:$B,$A84,'Source 2026'!$A:$A,"Amount (NIS)")+SUMIFS('Source 2026'!$J:$J,'Source 2026'!$B:$B,$A84,'Source 2026'!$A:$A,"Amount (NIS)")+SUMIFS('Source 2026'!$L:$L,'Source 2026'!$B:$B,$A84,'Source 2026'!$A:$A,"Amount (NIS)")</f>
        <v>349.6</v>
      </c>
      <c r="J84" s="9" t="n">
        <f aca="false">I84*$J$5</f>
        <v>441.6</v>
      </c>
      <c r="K84" s="9" t="n">
        <f aca="false">J84-H84</f>
        <v>-782</v>
      </c>
      <c r="L84" s="11" t="n">
        <f aca="false">IF(AND(H84=0,J84=0),0,IF(H84=0,"New",(J84-H84)/H84))</f>
        <v>-0.639097744360902</v>
      </c>
    </row>
    <row r="85" customFormat="false" ht="15" hidden="false" customHeight="true" outlineLevel="0" collapsed="false">
      <c r="A85" s="8" t="s">
        <v>233</v>
      </c>
      <c r="B85" s="8" t="str">
        <f aca="false">IFERROR(INDEX('Source 2026'!$C:$C,MATCH($A85,'Source 2026'!$B:$B,0)),IFERROR(INDEX('Source 2025'!$C:$C,MATCH($A85,'Source 2025'!$B:$B,0)),""))</f>
        <v>S ח.הריון מכנס למניעת כאבים</v>
      </c>
      <c r="C85" s="9" t="n">
        <f aca="false">SUMIFS('Source 2025'!$K:$K,'Source 2025'!$B:$B,$A85,'Source 2025'!$A:$A,"Quantity (units)")+SUMIFS('Source 2025'!$O:$O,'Source 2025'!$B:$B,$A85,'Source 2025'!$A:$A,"Quantity (units)")+SUMIFS('Source 2025'!$R:$R,'Source 2025'!$B:$B,$A85,'Source 2025'!$A:$A,"Quantity (units)")+SUMIFS('Source 2025'!$P:$P,'Source 2025'!$B:$B,$A85,'Source 2025'!$A:$A,"Quantity (units)")+SUMIFS('Source 2025'!$J:$J,'Source 2025'!$B:$B,$A85,'Source 2025'!$A:$A,"Quantity (units)")+SUMIFS('Source 2025'!$L:$L,'Source 2025'!$B:$B,$A85,'Source 2025'!$A:$A,"Quantity (units)")</f>
        <v>2</v>
      </c>
      <c r="D85" s="9" t="n">
        <f aca="false">SUMIFS('Source 2026'!$K:$K,'Source 2026'!$B:$B,$A85,'Source 2026'!$A:$A,"Quantity (units)")+SUMIFS('Source 2026'!$O:$O,'Source 2026'!$B:$B,$A85,'Source 2026'!$A:$A,"Quantity (units)")+SUMIFS('Source 2026'!$R:$R,'Source 2026'!$B:$B,$A85,'Source 2026'!$A:$A,"Quantity (units)")+SUMIFS('Source 2026'!$P:$P,'Source 2026'!$B:$B,$A85,'Source 2026'!$A:$A,"Quantity (units)")+SUMIFS('Source 2026'!$J:$J,'Source 2026'!$B:$B,$A85,'Source 2026'!$A:$A,"Quantity (units)")+SUMIFS('Source 2026'!$L:$L,'Source 2026'!$B:$B,$A85,'Source 2026'!$A:$A,"Quantity (units)")</f>
        <v>-1</v>
      </c>
      <c r="E85" s="9" t="n">
        <f aca="false">D85*$J$5</f>
        <v>-1.26315789473684</v>
      </c>
      <c r="F85" s="9" t="n">
        <f aca="false">E85-C85</f>
        <v>-3.26315789473684</v>
      </c>
      <c r="G85" s="11" t="n">
        <f aca="false">IF(AND(C85=0,E85=0),0,IF(C85=0,"New",(E85-C85)/C85))</f>
        <v>-1.63157894736842</v>
      </c>
      <c r="H85" s="9" t="n">
        <f aca="false">SUMIFS('Source 2025'!$K:$K,'Source 2025'!$B:$B,$A85,'Source 2025'!$A:$A,"Amount (NIS)")+SUMIFS('Source 2025'!$O:$O,'Source 2025'!$B:$B,$A85,'Source 2025'!$A:$A,"Amount (NIS)")+SUMIFS('Source 2025'!$R:$R,'Source 2025'!$B:$B,$A85,'Source 2025'!$A:$A,"Amount (NIS)")+SUMIFS('Source 2025'!$P:$P,'Source 2025'!$B:$B,$A85,'Source 2025'!$A:$A,"Amount (NIS)")+SUMIFS('Source 2025'!$J:$J,'Source 2025'!$B:$B,$A85,'Source 2025'!$A:$A,"Amount (NIS)")+SUMIFS('Source 2025'!$L:$L,'Source 2025'!$B:$B,$A85,'Source 2025'!$A:$A,"Amount (NIS)")</f>
        <v>573.6</v>
      </c>
      <c r="I85" s="9" t="n">
        <f aca="false">SUMIFS('Source 2026'!$K:$K,'Source 2026'!$B:$B,$A85,'Source 2026'!$A:$A,"Amount (NIS)")+SUMIFS('Source 2026'!$O:$O,'Source 2026'!$B:$B,$A85,'Source 2026'!$A:$A,"Amount (NIS)")+SUMIFS('Source 2026'!$R:$R,'Source 2026'!$B:$B,$A85,'Source 2026'!$A:$A,"Amount (NIS)")+SUMIFS('Source 2026'!$P:$P,'Source 2026'!$B:$B,$A85,'Source 2026'!$A:$A,"Amount (NIS)")+SUMIFS('Source 2026'!$J:$J,'Source 2026'!$B:$B,$A85,'Source 2026'!$A:$A,"Amount (NIS)")+SUMIFS('Source 2026'!$L:$L,'Source 2026'!$B:$B,$A85,'Source 2026'!$A:$A,"Amount (NIS)")</f>
        <v>-286.8</v>
      </c>
      <c r="J85" s="9" t="n">
        <f aca="false">I85*$J$5</f>
        <v>-362.273684210526</v>
      </c>
      <c r="K85" s="9" t="n">
        <f aca="false">J85-H85</f>
        <v>-935.873684210526</v>
      </c>
      <c r="L85" s="11" t="n">
        <f aca="false">IF(AND(H85=0,J85=0),0,IF(H85=0,"New",(J85-H85)/H85))</f>
        <v>-1.63157894736842</v>
      </c>
    </row>
    <row r="86" customFormat="false" ht="15" hidden="false" customHeight="true" outlineLevel="0" collapsed="false">
      <c r="A86" s="8" t="s">
        <v>214</v>
      </c>
      <c r="B86" s="8" t="str">
        <f aca="false">IFERROR(INDEX('Source 2026'!$C:$C,MATCH($A86,'Source 2026'!$B:$B,0)),IFERROR(INDEX('Source 2025'!$C:$C,MATCH($A86,'Source 2025'!$B:$B,0)),""))</f>
        <v>S-M חבק יד עם צמדן</v>
      </c>
      <c r="C86" s="9" t="n">
        <f aca="false">SUMIFS('Source 2025'!$K:$K,'Source 2025'!$B:$B,$A86,'Source 2025'!$A:$A,"Quantity (units)")+SUMIFS('Source 2025'!$O:$O,'Source 2025'!$B:$B,$A86,'Source 2025'!$A:$A,"Quantity (units)")+SUMIFS('Source 2025'!$R:$R,'Source 2025'!$B:$B,$A86,'Source 2025'!$A:$A,"Quantity (units)")+SUMIFS('Source 2025'!$P:$P,'Source 2025'!$B:$B,$A86,'Source 2025'!$A:$A,"Quantity (units)")+SUMIFS('Source 2025'!$J:$J,'Source 2025'!$B:$B,$A86,'Source 2025'!$A:$A,"Quantity (units)")+SUMIFS('Source 2025'!$L:$L,'Source 2025'!$B:$B,$A86,'Source 2025'!$A:$A,"Quantity (units)")</f>
        <v>73</v>
      </c>
      <c r="D86" s="9" t="n">
        <f aca="false">SUMIFS('Source 2026'!$K:$K,'Source 2026'!$B:$B,$A86,'Source 2026'!$A:$A,"Quantity (units)")+SUMIFS('Source 2026'!$O:$O,'Source 2026'!$B:$B,$A86,'Source 2026'!$A:$A,"Quantity (units)")+SUMIFS('Source 2026'!$R:$R,'Source 2026'!$B:$B,$A86,'Source 2026'!$A:$A,"Quantity (units)")+SUMIFS('Source 2026'!$P:$P,'Source 2026'!$B:$B,$A86,'Source 2026'!$A:$A,"Quantity (units)")+SUMIFS('Source 2026'!$J:$J,'Source 2026'!$B:$B,$A86,'Source 2026'!$A:$A,"Quantity (units)")+SUMIFS('Source 2026'!$L:$L,'Source 2026'!$B:$B,$A86,'Source 2026'!$A:$A,"Quantity (units)")</f>
        <v>48</v>
      </c>
      <c r="E86" s="9" t="n">
        <f aca="false">D86*$J$5</f>
        <v>60.6315789473684</v>
      </c>
      <c r="F86" s="9" t="n">
        <f aca="false">E86-C86</f>
        <v>-12.3684210526316</v>
      </c>
      <c r="G86" s="11" t="n">
        <f aca="false">IF(AND(C86=0,E86=0),0,IF(C86=0,"New",(E86-C86)/C86))</f>
        <v>-0.169430425378515</v>
      </c>
      <c r="H86" s="9" t="n">
        <f aca="false">SUMIFS('Source 2025'!$K:$K,'Source 2025'!$B:$B,$A86,'Source 2025'!$A:$A,"Amount (NIS)")+SUMIFS('Source 2025'!$O:$O,'Source 2025'!$B:$B,$A86,'Source 2025'!$A:$A,"Amount (NIS)")+SUMIFS('Source 2025'!$R:$R,'Source 2025'!$B:$B,$A86,'Source 2025'!$A:$A,"Amount (NIS)")+SUMIFS('Source 2025'!$P:$P,'Source 2025'!$B:$B,$A86,'Source 2025'!$A:$A,"Amount (NIS)")+SUMIFS('Source 2025'!$J:$J,'Source 2025'!$B:$B,$A86,'Source 2025'!$A:$A,"Amount (NIS)")+SUMIFS('Source 2025'!$L:$L,'Source 2025'!$B:$B,$A86,'Source 2025'!$A:$A,"Amount (NIS)")</f>
        <v>2509</v>
      </c>
      <c r="I86" s="9" t="n">
        <f aca="false">SUMIFS('Source 2026'!$K:$K,'Source 2026'!$B:$B,$A86,'Source 2026'!$A:$A,"Amount (NIS)")+SUMIFS('Source 2026'!$O:$O,'Source 2026'!$B:$B,$A86,'Source 2026'!$A:$A,"Amount (NIS)")+SUMIFS('Source 2026'!$R:$R,'Source 2026'!$B:$B,$A86,'Source 2026'!$A:$A,"Amount (NIS)")+SUMIFS('Source 2026'!$P:$P,'Source 2026'!$B:$B,$A86,'Source 2026'!$A:$A,"Amount (NIS)")+SUMIFS('Source 2026'!$J:$J,'Source 2026'!$B:$B,$A86,'Source 2026'!$A:$A,"Amount (NIS)")+SUMIFS('Source 2026'!$L:$L,'Source 2026'!$B:$B,$A86,'Source 2026'!$A:$A,"Amount (NIS)")</f>
        <v>1652.1</v>
      </c>
      <c r="J86" s="9" t="n">
        <f aca="false">I86*$J$5</f>
        <v>2086.86315789474</v>
      </c>
      <c r="K86" s="9" t="n">
        <f aca="false">J86-H86</f>
        <v>-422.136842105263</v>
      </c>
      <c r="L86" s="11" t="n">
        <f aca="false">IF(AND(H86=0,J86=0),0,IF(H86=0,"New",(J86-H86)/H86))</f>
        <v>-0.168249040297036</v>
      </c>
    </row>
    <row r="87" customFormat="false" ht="15" hidden="false" customHeight="true" outlineLevel="0" collapsed="false">
      <c r="A87" s="8" t="s">
        <v>156</v>
      </c>
      <c r="B87" s="8" t="str">
        <f aca="false">IFERROR(INDEX('Source 2026'!$C:$C,MATCH($A87,'Source 2026'!$B:$B,0)),IFERROR(INDEX('Source 2025'!$C:$C,MATCH($A87,'Source 2025'!$B:$B,0)),""))</f>
        <v>תחבושת א.נצמ</v>
      </c>
      <c r="C87" s="9" t="n">
        <f aca="false">SUMIFS('Source 2025'!$K:$K,'Source 2025'!$B:$B,$A87,'Source 2025'!$A:$A,"Quantity (units)")+SUMIFS('Source 2025'!$O:$O,'Source 2025'!$B:$B,$A87,'Source 2025'!$A:$A,"Quantity (units)")+SUMIFS('Source 2025'!$R:$R,'Source 2025'!$B:$B,$A87,'Source 2025'!$A:$A,"Quantity (units)")+SUMIFS('Source 2025'!$P:$P,'Source 2025'!$B:$B,$A87,'Source 2025'!$A:$A,"Quantity (units)")+SUMIFS('Source 2025'!$J:$J,'Source 2025'!$B:$B,$A87,'Source 2025'!$A:$A,"Quantity (units)")+SUMIFS('Source 2025'!$L:$L,'Source 2025'!$B:$B,$A87,'Source 2025'!$A:$A,"Quantity (units)")</f>
        <v>355</v>
      </c>
      <c r="D87" s="9" t="n">
        <f aca="false">SUMIFS('Source 2026'!$K:$K,'Source 2026'!$B:$B,$A87,'Source 2026'!$A:$A,"Quantity (units)")+SUMIFS('Source 2026'!$O:$O,'Source 2026'!$B:$B,$A87,'Source 2026'!$A:$A,"Quantity (units)")+SUMIFS('Source 2026'!$R:$R,'Source 2026'!$B:$B,$A87,'Source 2026'!$A:$A,"Quantity (units)")+SUMIFS('Source 2026'!$P:$P,'Source 2026'!$B:$B,$A87,'Source 2026'!$A:$A,"Quantity (units)")+SUMIFS('Source 2026'!$J:$J,'Source 2026'!$B:$B,$A87,'Source 2026'!$A:$A,"Quantity (units)")+SUMIFS('Source 2026'!$L:$L,'Source 2026'!$B:$B,$A87,'Source 2026'!$A:$A,"Quantity (units)")</f>
        <v>277</v>
      </c>
      <c r="E87" s="9" t="n">
        <f aca="false">D87*$J$5</f>
        <v>349.894736842105</v>
      </c>
      <c r="F87" s="9" t="n">
        <f aca="false">E87-C87</f>
        <v>-5.10526315789474</v>
      </c>
      <c r="G87" s="11" t="n">
        <f aca="false">IF(AND(C87=0,E87=0),0,IF(C87=0,"New",(E87-C87)/C87))</f>
        <v>-0.0143810229799852</v>
      </c>
      <c r="H87" s="9" t="n">
        <f aca="false">SUMIFS('Source 2025'!$K:$K,'Source 2025'!$B:$B,$A87,'Source 2025'!$A:$A,"Amount (NIS)")+SUMIFS('Source 2025'!$O:$O,'Source 2025'!$B:$B,$A87,'Source 2025'!$A:$A,"Amount (NIS)")+SUMIFS('Source 2025'!$R:$R,'Source 2025'!$B:$B,$A87,'Source 2025'!$A:$A,"Amount (NIS)")+SUMIFS('Source 2025'!$P:$P,'Source 2025'!$B:$B,$A87,'Source 2025'!$A:$A,"Amount (NIS)")+SUMIFS('Source 2025'!$J:$J,'Source 2025'!$B:$B,$A87,'Source 2025'!$A:$A,"Amount (NIS)")+SUMIFS('Source 2025'!$L:$L,'Source 2025'!$B:$B,$A87,'Source 2025'!$A:$A,"Amount (NIS)")</f>
        <v>3897.9</v>
      </c>
      <c r="I87" s="9" t="n">
        <f aca="false">SUMIFS('Source 2026'!$K:$K,'Source 2026'!$B:$B,$A87,'Source 2026'!$A:$A,"Amount (NIS)")+SUMIFS('Source 2026'!$O:$O,'Source 2026'!$B:$B,$A87,'Source 2026'!$A:$A,"Amount (NIS)")+SUMIFS('Source 2026'!$R:$R,'Source 2026'!$B:$B,$A87,'Source 2026'!$A:$A,"Amount (NIS)")+SUMIFS('Source 2026'!$P:$P,'Source 2026'!$B:$B,$A87,'Source 2026'!$A:$A,"Amount (NIS)")+SUMIFS('Source 2026'!$J:$J,'Source 2026'!$B:$B,$A87,'Source 2026'!$A:$A,"Amount (NIS)")+SUMIFS('Source 2026'!$L:$L,'Source 2026'!$B:$B,$A87,'Source 2026'!$A:$A,"Amount (NIS)")</f>
        <v>3041.5</v>
      </c>
      <c r="J87" s="9" t="n">
        <f aca="false">I87*$J$5</f>
        <v>3841.89473684211</v>
      </c>
      <c r="K87" s="9" t="n">
        <f aca="false">J87-H87</f>
        <v>-56.0052631578951</v>
      </c>
      <c r="L87" s="11" t="n">
        <f aca="false">IF(AND(H87=0,J87=0),0,IF(H87=0,"New",(J87-H87)/H87))</f>
        <v>-0.01436806053462</v>
      </c>
    </row>
    <row r="88" customFormat="false" ht="15" hidden="false" customHeight="true" outlineLevel="0" collapsed="false">
      <c r="A88" s="8" t="s">
        <v>343</v>
      </c>
      <c r="B88" s="8" t="str">
        <f aca="false">IFERROR(INDEX('Source 2026'!$C:$C,MATCH($A88,'Source 2026'!$B:$B,0)),IFERROR(INDEX('Source 2025'!$C:$C,MATCH($A88,'Source 2025'!$B:$B,0)),""))</f>
        <v>תחבושת אלסטית מקררת</v>
      </c>
      <c r="C88" s="9" t="n">
        <f aca="false">SUMIFS('Source 2025'!$K:$K,'Source 2025'!$B:$B,$A88,'Source 2025'!$A:$A,"Quantity (units)")+SUMIFS('Source 2025'!$O:$O,'Source 2025'!$B:$B,$A88,'Source 2025'!$A:$A,"Quantity (units)")+SUMIFS('Source 2025'!$R:$R,'Source 2025'!$B:$B,$A88,'Source 2025'!$A:$A,"Quantity (units)")+SUMIFS('Source 2025'!$P:$P,'Source 2025'!$B:$B,$A88,'Source 2025'!$A:$A,"Quantity (units)")+SUMIFS('Source 2025'!$J:$J,'Source 2025'!$B:$B,$A88,'Source 2025'!$A:$A,"Quantity (units)")+SUMIFS('Source 2025'!$L:$L,'Source 2025'!$B:$B,$A88,'Source 2025'!$A:$A,"Quantity (units)")</f>
        <v>134</v>
      </c>
      <c r="D88" s="9" t="n">
        <f aca="false">SUMIFS('Source 2026'!$K:$K,'Source 2026'!$B:$B,$A88,'Source 2026'!$A:$A,"Quantity (units)")+SUMIFS('Source 2026'!$O:$O,'Source 2026'!$B:$B,$A88,'Source 2026'!$A:$A,"Quantity (units)")+SUMIFS('Source 2026'!$R:$R,'Source 2026'!$B:$B,$A88,'Source 2026'!$A:$A,"Quantity (units)")+SUMIFS('Source 2026'!$P:$P,'Source 2026'!$B:$B,$A88,'Source 2026'!$A:$A,"Quantity (units)")+SUMIFS('Source 2026'!$J:$J,'Source 2026'!$B:$B,$A88,'Source 2026'!$A:$A,"Quantity (units)")+SUMIFS('Source 2026'!$L:$L,'Source 2026'!$B:$B,$A88,'Source 2026'!$A:$A,"Quantity (units)")</f>
        <v>87</v>
      </c>
      <c r="E88" s="9" t="n">
        <f aca="false">D88*$J$5</f>
        <v>109.894736842105</v>
      </c>
      <c r="F88" s="9" t="n">
        <f aca="false">E88-C88</f>
        <v>-24.1052631578947</v>
      </c>
      <c r="G88" s="11" t="n">
        <f aca="false">IF(AND(C88=0,E88=0),0,IF(C88=0,"New",(E88-C88)/C88))</f>
        <v>-0.179890023566379</v>
      </c>
      <c r="H88" s="9" t="n">
        <f aca="false">SUMIFS('Source 2025'!$K:$K,'Source 2025'!$B:$B,$A88,'Source 2025'!$A:$A,"Amount (NIS)")+SUMIFS('Source 2025'!$O:$O,'Source 2025'!$B:$B,$A88,'Source 2025'!$A:$A,"Amount (NIS)")+SUMIFS('Source 2025'!$R:$R,'Source 2025'!$B:$B,$A88,'Source 2025'!$A:$A,"Amount (NIS)")+SUMIFS('Source 2025'!$P:$P,'Source 2025'!$B:$B,$A88,'Source 2025'!$A:$A,"Amount (NIS)")+SUMIFS('Source 2025'!$J:$J,'Source 2025'!$B:$B,$A88,'Source 2025'!$A:$A,"Amount (NIS)")+SUMIFS('Source 2025'!$L:$L,'Source 2025'!$B:$B,$A88,'Source 2025'!$A:$A,"Amount (NIS)")</f>
        <v>2363.5</v>
      </c>
      <c r="I88" s="9" t="n">
        <f aca="false">SUMIFS('Source 2026'!$K:$K,'Source 2026'!$B:$B,$A88,'Source 2026'!$A:$A,"Amount (NIS)")+SUMIFS('Source 2026'!$O:$O,'Source 2026'!$B:$B,$A88,'Source 2026'!$A:$A,"Amount (NIS)")+SUMIFS('Source 2026'!$R:$R,'Source 2026'!$B:$B,$A88,'Source 2026'!$A:$A,"Amount (NIS)")+SUMIFS('Source 2026'!$P:$P,'Source 2026'!$B:$B,$A88,'Source 2026'!$A:$A,"Amount (NIS)")+SUMIFS('Source 2026'!$J:$J,'Source 2026'!$B:$B,$A88,'Source 2026'!$A:$A,"Amount (NIS)")+SUMIFS('Source 2026'!$L:$L,'Source 2026'!$B:$B,$A88,'Source 2026'!$A:$A,"Amount (NIS)")</f>
        <v>1525</v>
      </c>
      <c r="J88" s="9" t="n">
        <f aca="false">I88*$J$5</f>
        <v>1926.31578947368</v>
      </c>
      <c r="K88" s="9" t="n">
        <f aca="false">J88-H88</f>
        <v>-437.184210526316</v>
      </c>
      <c r="L88" s="11" t="n">
        <f aca="false">IF(AND(H88=0,J88=0),0,IF(H88=0,"New",(J88-H88)/H88))</f>
        <v>-0.184973222139334</v>
      </c>
    </row>
    <row r="89" customFormat="false" ht="15" hidden="false" customHeight="true" outlineLevel="0" collapsed="false">
      <c r="A89" s="8" t="s">
        <v>259</v>
      </c>
      <c r="B89" s="8" t="str">
        <f aca="false">IFERROR(INDEX('Source 2026'!$C:$C,MATCH($A89,'Source 2026'!$B:$B,0)),IFERROR(INDEX('Source 2025'!$C:$C,MATCH($A89,'Source 2025'!$B:$B,0)),""))</f>
        <v>סיליק.לכרית כף הרגל373</v>
      </c>
      <c r="C89" s="9" t="n">
        <f aca="false">SUMIFS('Source 2025'!$K:$K,'Source 2025'!$B:$B,$A89,'Source 2025'!$A:$A,"Quantity (units)")+SUMIFS('Source 2025'!$O:$O,'Source 2025'!$B:$B,$A89,'Source 2025'!$A:$A,"Quantity (units)")+SUMIFS('Source 2025'!$R:$R,'Source 2025'!$B:$B,$A89,'Source 2025'!$A:$A,"Quantity (units)")+SUMIFS('Source 2025'!$P:$P,'Source 2025'!$B:$B,$A89,'Source 2025'!$A:$A,"Quantity (units)")+SUMIFS('Source 2025'!$J:$J,'Source 2025'!$B:$B,$A89,'Source 2025'!$A:$A,"Quantity (units)")+SUMIFS('Source 2025'!$L:$L,'Source 2025'!$B:$B,$A89,'Source 2025'!$A:$A,"Quantity (units)")</f>
        <v>57</v>
      </c>
      <c r="D89" s="9" t="n">
        <f aca="false">SUMIFS('Source 2026'!$K:$K,'Source 2026'!$B:$B,$A89,'Source 2026'!$A:$A,"Quantity (units)")+SUMIFS('Source 2026'!$O:$O,'Source 2026'!$B:$B,$A89,'Source 2026'!$A:$A,"Quantity (units)")+SUMIFS('Source 2026'!$R:$R,'Source 2026'!$B:$B,$A89,'Source 2026'!$A:$A,"Quantity (units)")+SUMIFS('Source 2026'!$P:$P,'Source 2026'!$B:$B,$A89,'Source 2026'!$A:$A,"Quantity (units)")+SUMIFS('Source 2026'!$J:$J,'Source 2026'!$B:$B,$A89,'Source 2026'!$A:$A,"Quantity (units)")+SUMIFS('Source 2026'!$L:$L,'Source 2026'!$B:$B,$A89,'Source 2026'!$A:$A,"Quantity (units)")</f>
        <v>18</v>
      </c>
      <c r="E89" s="9" t="n">
        <f aca="false">D89*$J$5</f>
        <v>22.7368421052632</v>
      </c>
      <c r="F89" s="9" t="n">
        <f aca="false">E89-C89</f>
        <v>-34.2631578947368</v>
      </c>
      <c r="G89" s="11" t="n">
        <f aca="false">IF(AND(C89=0,E89=0),0,IF(C89=0,"New",(E89-C89)/C89))</f>
        <v>-0.601108033240997</v>
      </c>
      <c r="H89" s="9" t="n">
        <f aca="false">SUMIFS('Source 2025'!$K:$K,'Source 2025'!$B:$B,$A89,'Source 2025'!$A:$A,"Amount (NIS)")+SUMIFS('Source 2025'!$O:$O,'Source 2025'!$B:$B,$A89,'Source 2025'!$A:$A,"Amount (NIS)")+SUMIFS('Source 2025'!$R:$R,'Source 2025'!$B:$B,$A89,'Source 2025'!$A:$A,"Amount (NIS)")+SUMIFS('Source 2025'!$P:$P,'Source 2025'!$B:$B,$A89,'Source 2025'!$A:$A,"Amount (NIS)")+SUMIFS('Source 2025'!$J:$J,'Source 2025'!$B:$B,$A89,'Source 2025'!$A:$A,"Amount (NIS)")+SUMIFS('Source 2025'!$L:$L,'Source 2025'!$B:$B,$A89,'Source 2025'!$A:$A,"Amount (NIS)")</f>
        <v>1110.8</v>
      </c>
      <c r="I89" s="9" t="n">
        <f aca="false">SUMIFS('Source 2026'!$K:$K,'Source 2026'!$B:$B,$A89,'Source 2026'!$A:$A,"Amount (NIS)")+SUMIFS('Source 2026'!$O:$O,'Source 2026'!$B:$B,$A89,'Source 2026'!$A:$A,"Amount (NIS)")+SUMIFS('Source 2026'!$R:$R,'Source 2026'!$B:$B,$A89,'Source 2026'!$A:$A,"Amount (NIS)")+SUMIFS('Source 2026'!$P:$P,'Source 2026'!$B:$B,$A89,'Source 2026'!$A:$A,"Amount (NIS)")+SUMIFS('Source 2026'!$J:$J,'Source 2026'!$B:$B,$A89,'Source 2026'!$A:$A,"Amount (NIS)")+SUMIFS('Source 2026'!$L:$L,'Source 2026'!$B:$B,$A89,'Source 2026'!$A:$A,"Amount (NIS)")</f>
        <v>344.5</v>
      </c>
      <c r="J89" s="9" t="n">
        <f aca="false">I89*$J$5</f>
        <v>435.157894736842</v>
      </c>
      <c r="K89" s="9" t="n">
        <f aca="false">J89-H89</f>
        <v>-675.642105263158</v>
      </c>
      <c r="L89" s="11" t="n">
        <f aca="false">IF(AND(H89=0,J89=0),0,IF(H89=0,"New",(J89-H89)/H89))</f>
        <v>-0.608248204234028</v>
      </c>
    </row>
    <row r="90" customFormat="false" ht="15" hidden="false" customHeight="true" outlineLevel="0" collapsed="false">
      <c r="A90" s="8" t="s">
        <v>155</v>
      </c>
      <c r="B90" s="8" t="str">
        <f aca="false">IFERROR(INDEX('Source 2026'!$C:$C,MATCH($A90,'Source 2026'!$B:$B,0)),IFERROR(INDEX('Source 2025'!$C:$C,MATCH($A90,'Source 2025'!$B:$B,0)),""))</f>
        <v>גרב.כסף לסכרתים שחור35-38</v>
      </c>
      <c r="C90" s="9" t="n">
        <f aca="false">SUMIFS('Source 2025'!$K:$K,'Source 2025'!$B:$B,$A90,'Source 2025'!$A:$A,"Quantity (units)")+SUMIFS('Source 2025'!$O:$O,'Source 2025'!$B:$B,$A90,'Source 2025'!$A:$A,"Quantity (units)")+SUMIFS('Source 2025'!$R:$R,'Source 2025'!$B:$B,$A90,'Source 2025'!$A:$A,"Quantity (units)")+SUMIFS('Source 2025'!$P:$P,'Source 2025'!$B:$B,$A90,'Source 2025'!$A:$A,"Quantity (units)")+SUMIFS('Source 2025'!$J:$J,'Source 2025'!$B:$B,$A90,'Source 2025'!$A:$A,"Quantity (units)")+SUMIFS('Source 2025'!$L:$L,'Source 2025'!$B:$B,$A90,'Source 2025'!$A:$A,"Quantity (units)")</f>
        <v>32</v>
      </c>
      <c r="D90" s="9" t="n">
        <f aca="false">SUMIFS('Source 2026'!$K:$K,'Source 2026'!$B:$B,$A90,'Source 2026'!$A:$A,"Quantity (units)")+SUMIFS('Source 2026'!$O:$O,'Source 2026'!$B:$B,$A90,'Source 2026'!$A:$A,"Quantity (units)")+SUMIFS('Source 2026'!$R:$R,'Source 2026'!$B:$B,$A90,'Source 2026'!$A:$A,"Quantity (units)")+SUMIFS('Source 2026'!$P:$P,'Source 2026'!$B:$B,$A90,'Source 2026'!$A:$A,"Quantity (units)")+SUMIFS('Source 2026'!$J:$J,'Source 2026'!$B:$B,$A90,'Source 2026'!$A:$A,"Quantity (units)")+SUMIFS('Source 2026'!$L:$L,'Source 2026'!$B:$B,$A90,'Source 2026'!$A:$A,"Quantity (units)")</f>
        <v>8</v>
      </c>
      <c r="E90" s="9" t="n">
        <f aca="false">D90*$J$5</f>
        <v>10.1052631578947</v>
      </c>
      <c r="F90" s="9" t="n">
        <f aca="false">E90-C90</f>
        <v>-21.8947368421053</v>
      </c>
      <c r="G90" s="11" t="n">
        <f aca="false">IF(AND(C90=0,E90=0),0,IF(C90=0,"New",(E90-C90)/C90))</f>
        <v>-0.68421052631579</v>
      </c>
      <c r="H90" s="9" t="n">
        <f aca="false">SUMIFS('Source 2025'!$K:$K,'Source 2025'!$B:$B,$A90,'Source 2025'!$A:$A,"Amount (NIS)")+SUMIFS('Source 2025'!$O:$O,'Source 2025'!$B:$B,$A90,'Source 2025'!$A:$A,"Amount (NIS)")+SUMIFS('Source 2025'!$R:$R,'Source 2025'!$B:$B,$A90,'Source 2025'!$A:$A,"Amount (NIS)")+SUMIFS('Source 2025'!$P:$P,'Source 2025'!$B:$B,$A90,'Source 2025'!$A:$A,"Amount (NIS)")+SUMIFS('Source 2025'!$J:$J,'Source 2025'!$B:$B,$A90,'Source 2025'!$A:$A,"Amount (NIS)")+SUMIFS('Source 2025'!$L:$L,'Source 2025'!$B:$B,$A90,'Source 2025'!$A:$A,"Amount (NIS)")</f>
        <v>1006.7</v>
      </c>
      <c r="I90" s="9" t="n">
        <f aca="false">SUMIFS('Source 2026'!$K:$K,'Source 2026'!$B:$B,$A90,'Source 2026'!$A:$A,"Amount (NIS)")+SUMIFS('Source 2026'!$O:$O,'Source 2026'!$B:$B,$A90,'Source 2026'!$A:$A,"Amount (NIS)")+SUMIFS('Source 2026'!$R:$R,'Source 2026'!$B:$B,$A90,'Source 2026'!$A:$A,"Amount (NIS)")+SUMIFS('Source 2026'!$P:$P,'Source 2026'!$B:$B,$A90,'Source 2026'!$A:$A,"Amount (NIS)")+SUMIFS('Source 2026'!$J:$J,'Source 2026'!$B:$B,$A90,'Source 2026'!$A:$A,"Amount (NIS)")+SUMIFS('Source 2026'!$L:$L,'Source 2026'!$B:$B,$A90,'Source 2026'!$A:$A,"Amount (NIS)")</f>
        <v>251.6</v>
      </c>
      <c r="J90" s="9" t="n">
        <f aca="false">I90*$J$5</f>
        <v>317.810526315789</v>
      </c>
      <c r="K90" s="9" t="n">
        <f aca="false">J90-H90</f>
        <v>-688.889473684211</v>
      </c>
      <c r="L90" s="11" t="n">
        <f aca="false">IF(AND(H90=0,J90=0),0,IF(H90=0,"New",(J90-H90)/H90))</f>
        <v>-0.684304632645486</v>
      </c>
    </row>
    <row r="91" customFormat="false" ht="15" hidden="false" customHeight="true" outlineLevel="0" collapsed="false">
      <c r="A91" s="8" t="s">
        <v>153</v>
      </c>
      <c r="B91" s="8" t="str">
        <f aca="false">IFERROR(INDEX('Source 2026'!$C:$C,MATCH($A91,'Source 2026'!$B:$B,0)),IFERROR(INDEX('Source 2025'!$C:$C,MATCH($A91,'Source 2025'!$B:$B,0)),""))</f>
        <v>S ח.גב ""איטלקית"" אורירית</v>
      </c>
      <c r="C91" s="9" t="n">
        <f aca="false">SUMIFS('Source 2025'!$K:$K,'Source 2025'!$B:$B,$A91,'Source 2025'!$A:$A,"Quantity (units)")+SUMIFS('Source 2025'!$O:$O,'Source 2025'!$B:$B,$A91,'Source 2025'!$A:$A,"Quantity (units)")+SUMIFS('Source 2025'!$R:$R,'Source 2025'!$B:$B,$A91,'Source 2025'!$A:$A,"Quantity (units)")+SUMIFS('Source 2025'!$P:$P,'Source 2025'!$B:$B,$A91,'Source 2025'!$A:$A,"Quantity (units)")+SUMIFS('Source 2025'!$J:$J,'Source 2025'!$B:$B,$A91,'Source 2025'!$A:$A,"Quantity (units)")+SUMIFS('Source 2025'!$L:$L,'Source 2025'!$B:$B,$A91,'Source 2025'!$A:$A,"Quantity (units)")</f>
        <v>3</v>
      </c>
      <c r="D91" s="9" t="n">
        <f aca="false">SUMIFS('Source 2026'!$K:$K,'Source 2026'!$B:$B,$A91,'Source 2026'!$A:$A,"Quantity (units)")+SUMIFS('Source 2026'!$O:$O,'Source 2026'!$B:$B,$A91,'Source 2026'!$A:$A,"Quantity (units)")+SUMIFS('Source 2026'!$R:$R,'Source 2026'!$B:$B,$A91,'Source 2026'!$A:$A,"Quantity (units)")+SUMIFS('Source 2026'!$P:$P,'Source 2026'!$B:$B,$A91,'Source 2026'!$A:$A,"Quantity (units)")+SUMIFS('Source 2026'!$J:$J,'Source 2026'!$B:$B,$A91,'Source 2026'!$A:$A,"Quantity (units)")+SUMIFS('Source 2026'!$L:$L,'Source 2026'!$B:$B,$A91,'Source 2026'!$A:$A,"Quantity (units)")</f>
        <v>0</v>
      </c>
      <c r="E91" s="9" t="n">
        <f aca="false">D91*$J$5</f>
        <v>0</v>
      </c>
      <c r="F91" s="9" t="n">
        <f aca="false">E91-C91</f>
        <v>-3</v>
      </c>
      <c r="G91" s="11" t="n">
        <f aca="false">IF(AND(C91=0,E91=0),0,IF(C91=0,"New",(E91-C91)/C91))</f>
        <v>-1</v>
      </c>
      <c r="H91" s="9" t="n">
        <f aca="false">SUMIFS('Source 2025'!$K:$K,'Source 2025'!$B:$B,$A91,'Source 2025'!$A:$A,"Amount (NIS)")+SUMIFS('Source 2025'!$O:$O,'Source 2025'!$B:$B,$A91,'Source 2025'!$A:$A,"Amount (NIS)")+SUMIFS('Source 2025'!$R:$R,'Source 2025'!$B:$B,$A91,'Source 2025'!$A:$A,"Amount (NIS)")+SUMIFS('Source 2025'!$P:$P,'Source 2025'!$B:$B,$A91,'Source 2025'!$A:$A,"Amount (NIS)")+SUMIFS('Source 2025'!$J:$J,'Source 2025'!$B:$B,$A91,'Source 2025'!$A:$A,"Amount (NIS)")+SUMIFS('Source 2025'!$L:$L,'Source 2025'!$B:$B,$A91,'Source 2025'!$A:$A,"Amount (NIS)")</f>
        <v>732.6</v>
      </c>
      <c r="I91" s="9" t="n">
        <f aca="false">SUMIFS('Source 2026'!$K:$K,'Source 2026'!$B:$B,$A91,'Source 2026'!$A:$A,"Amount (NIS)")+SUMIFS('Source 2026'!$O:$O,'Source 2026'!$B:$B,$A91,'Source 2026'!$A:$A,"Amount (NIS)")+SUMIFS('Source 2026'!$R:$R,'Source 2026'!$B:$B,$A91,'Source 2026'!$A:$A,"Amount (NIS)")+SUMIFS('Source 2026'!$P:$P,'Source 2026'!$B:$B,$A91,'Source 2026'!$A:$A,"Amount (NIS)")+SUMIFS('Source 2026'!$J:$J,'Source 2026'!$B:$B,$A91,'Source 2026'!$A:$A,"Amount (NIS)")+SUMIFS('Source 2026'!$L:$L,'Source 2026'!$B:$B,$A91,'Source 2026'!$A:$A,"Amount (NIS)")</f>
        <v>0</v>
      </c>
      <c r="J91" s="9" t="n">
        <f aca="false">I91*$J$5</f>
        <v>0</v>
      </c>
      <c r="K91" s="9" t="n">
        <f aca="false">J91-H91</f>
        <v>-732.6</v>
      </c>
      <c r="L91" s="11" t="n">
        <f aca="false">IF(AND(H91=0,J91=0),0,IF(H91=0,"New",(J91-H91)/H91))</f>
        <v>-1</v>
      </c>
    </row>
    <row r="92" customFormat="false" ht="15" hidden="false" customHeight="true" outlineLevel="0" collapsed="false">
      <c r="A92" s="8" t="s">
        <v>168</v>
      </c>
      <c r="B92" s="8" t="str">
        <f aca="false">IFERROR(INDEX('Source 2026'!$C:$C,MATCH($A92,'Source 2026'!$B:$B,0)),IFERROR(INDEX('Source 2025'!$C:$C,MATCH($A92,'Source 2025'!$B:$B,0)),""))</f>
        <v>S מגן ירך</v>
      </c>
      <c r="C92" s="9" t="n">
        <f aca="false">SUMIFS('Source 2025'!$K:$K,'Source 2025'!$B:$B,$A92,'Source 2025'!$A:$A,"Quantity (units)")+SUMIFS('Source 2025'!$O:$O,'Source 2025'!$B:$B,$A92,'Source 2025'!$A:$A,"Quantity (units)")+SUMIFS('Source 2025'!$R:$R,'Source 2025'!$B:$B,$A92,'Source 2025'!$A:$A,"Quantity (units)")+SUMIFS('Source 2025'!$P:$P,'Source 2025'!$B:$B,$A92,'Source 2025'!$A:$A,"Quantity (units)")+SUMIFS('Source 2025'!$J:$J,'Source 2025'!$B:$B,$A92,'Source 2025'!$A:$A,"Quantity (units)")+SUMIFS('Source 2025'!$L:$L,'Source 2025'!$B:$B,$A92,'Source 2025'!$A:$A,"Quantity (units)")</f>
        <v>62</v>
      </c>
      <c r="D92" s="9" t="n">
        <f aca="false">SUMIFS('Source 2026'!$K:$K,'Source 2026'!$B:$B,$A92,'Source 2026'!$A:$A,"Quantity (units)")+SUMIFS('Source 2026'!$O:$O,'Source 2026'!$B:$B,$A92,'Source 2026'!$A:$A,"Quantity (units)")+SUMIFS('Source 2026'!$R:$R,'Source 2026'!$B:$B,$A92,'Source 2026'!$A:$A,"Quantity (units)")+SUMIFS('Source 2026'!$P:$P,'Source 2026'!$B:$B,$A92,'Source 2026'!$A:$A,"Quantity (units)")+SUMIFS('Source 2026'!$J:$J,'Source 2026'!$B:$B,$A92,'Source 2026'!$A:$A,"Quantity (units)")+SUMIFS('Source 2026'!$L:$L,'Source 2026'!$B:$B,$A92,'Source 2026'!$A:$A,"Quantity (units)")</f>
        <v>40</v>
      </c>
      <c r="E92" s="9" t="n">
        <f aca="false">D92*$J$5</f>
        <v>50.5263157894737</v>
      </c>
      <c r="F92" s="9" t="n">
        <f aca="false">E92-C92</f>
        <v>-11.4736842105263</v>
      </c>
      <c r="G92" s="11" t="n">
        <f aca="false">IF(AND(C92=0,E92=0),0,IF(C92=0,"New",(E92-C92)/C92))</f>
        <v>-0.185059422750424</v>
      </c>
      <c r="H92" s="9" t="n">
        <f aca="false">SUMIFS('Source 2025'!$K:$K,'Source 2025'!$B:$B,$A92,'Source 2025'!$A:$A,"Amount (NIS)")+SUMIFS('Source 2025'!$O:$O,'Source 2025'!$B:$B,$A92,'Source 2025'!$A:$A,"Amount (NIS)")+SUMIFS('Source 2025'!$R:$R,'Source 2025'!$B:$B,$A92,'Source 2025'!$A:$A,"Amount (NIS)")+SUMIFS('Source 2025'!$P:$P,'Source 2025'!$B:$B,$A92,'Source 2025'!$A:$A,"Amount (NIS)")+SUMIFS('Source 2025'!$J:$J,'Source 2025'!$B:$B,$A92,'Source 2025'!$A:$A,"Amount (NIS)")+SUMIFS('Source 2025'!$L:$L,'Source 2025'!$B:$B,$A92,'Source 2025'!$A:$A,"Amount (NIS)")</f>
        <v>1888.5</v>
      </c>
      <c r="I92" s="9" t="n">
        <f aca="false">SUMIFS('Source 2026'!$K:$K,'Source 2026'!$B:$B,$A92,'Source 2026'!$A:$A,"Amount (NIS)")+SUMIFS('Source 2026'!$O:$O,'Source 2026'!$B:$B,$A92,'Source 2026'!$A:$A,"Amount (NIS)")+SUMIFS('Source 2026'!$R:$R,'Source 2026'!$B:$B,$A92,'Source 2026'!$A:$A,"Amount (NIS)")+SUMIFS('Source 2026'!$P:$P,'Source 2026'!$B:$B,$A92,'Source 2026'!$A:$A,"Amount (NIS)")+SUMIFS('Source 2026'!$J:$J,'Source 2026'!$B:$B,$A92,'Source 2026'!$A:$A,"Amount (NIS)")+SUMIFS('Source 2026'!$L:$L,'Source 2026'!$B:$B,$A92,'Source 2026'!$A:$A,"Amount (NIS)")</f>
        <v>1171.1</v>
      </c>
      <c r="J92" s="9" t="n">
        <f aca="false">I92*$J$5</f>
        <v>1479.28421052632</v>
      </c>
      <c r="K92" s="9" t="n">
        <f aca="false">J92-H92</f>
        <v>-409.215789473685</v>
      </c>
      <c r="L92" s="11" t="n">
        <f aca="false">IF(AND(H92=0,J92=0),0,IF(H92=0,"New",(J92-H92)/H92))</f>
        <v>-0.216688265540738</v>
      </c>
    </row>
    <row r="93" customFormat="false" ht="15" hidden="false" customHeight="true" outlineLevel="0" collapsed="false">
      <c r="A93" s="8" t="s">
        <v>192</v>
      </c>
      <c r="B93" s="8" t="str">
        <f aca="false">IFERROR(INDEX('Source 2026'!$C:$C,MATCH($A93,'Source 2026'!$B:$B,0)),IFERROR(INDEX('Source 2025'!$C:$C,MATCH($A93,'Source 2025'!$B:$B,0)),""))</f>
        <v>S חגורת שבר לצד ימין</v>
      </c>
      <c r="C93" s="9" t="n">
        <f aca="false">SUMIFS('Source 2025'!$K:$K,'Source 2025'!$B:$B,$A93,'Source 2025'!$A:$A,"Quantity (units)")+SUMIFS('Source 2025'!$O:$O,'Source 2025'!$B:$B,$A93,'Source 2025'!$A:$A,"Quantity (units)")+SUMIFS('Source 2025'!$R:$R,'Source 2025'!$B:$B,$A93,'Source 2025'!$A:$A,"Quantity (units)")+SUMIFS('Source 2025'!$P:$P,'Source 2025'!$B:$B,$A93,'Source 2025'!$A:$A,"Quantity (units)")+SUMIFS('Source 2025'!$J:$J,'Source 2025'!$B:$B,$A93,'Source 2025'!$A:$A,"Quantity (units)")+SUMIFS('Source 2025'!$L:$L,'Source 2025'!$B:$B,$A93,'Source 2025'!$A:$A,"Quantity (units)")</f>
        <v>5</v>
      </c>
      <c r="D93" s="9" t="n">
        <f aca="false">SUMIFS('Source 2026'!$K:$K,'Source 2026'!$B:$B,$A93,'Source 2026'!$A:$A,"Quantity (units)")+SUMIFS('Source 2026'!$O:$O,'Source 2026'!$B:$B,$A93,'Source 2026'!$A:$A,"Quantity (units)")+SUMIFS('Source 2026'!$R:$R,'Source 2026'!$B:$B,$A93,'Source 2026'!$A:$A,"Quantity (units)")+SUMIFS('Source 2026'!$P:$P,'Source 2026'!$B:$B,$A93,'Source 2026'!$A:$A,"Quantity (units)")+SUMIFS('Source 2026'!$J:$J,'Source 2026'!$B:$B,$A93,'Source 2026'!$A:$A,"Quantity (units)")+SUMIFS('Source 2026'!$L:$L,'Source 2026'!$B:$B,$A93,'Source 2026'!$A:$A,"Quantity (units)")</f>
        <v>1</v>
      </c>
      <c r="E93" s="9" t="n">
        <f aca="false">D93*$J$5</f>
        <v>1.26315789473684</v>
      </c>
      <c r="F93" s="9" t="n">
        <f aca="false">E93-C93</f>
        <v>-3.73684210526316</v>
      </c>
      <c r="G93" s="11" t="n">
        <f aca="false">IF(AND(C93=0,E93=0),0,IF(C93=0,"New",(E93-C93)/C93))</f>
        <v>-0.747368421052632</v>
      </c>
      <c r="H93" s="9" t="n">
        <f aca="false">SUMIFS('Source 2025'!$K:$K,'Source 2025'!$B:$B,$A93,'Source 2025'!$A:$A,"Amount (NIS)")+SUMIFS('Source 2025'!$O:$O,'Source 2025'!$B:$B,$A93,'Source 2025'!$A:$A,"Amount (NIS)")+SUMIFS('Source 2025'!$R:$R,'Source 2025'!$B:$B,$A93,'Source 2025'!$A:$A,"Amount (NIS)")+SUMIFS('Source 2025'!$P:$P,'Source 2025'!$B:$B,$A93,'Source 2025'!$A:$A,"Amount (NIS)")+SUMIFS('Source 2025'!$J:$J,'Source 2025'!$B:$B,$A93,'Source 2025'!$A:$A,"Amount (NIS)")+SUMIFS('Source 2025'!$L:$L,'Source 2025'!$B:$B,$A93,'Source 2025'!$A:$A,"Amount (NIS)")</f>
        <v>894.4</v>
      </c>
      <c r="I93" s="9" t="n">
        <f aca="false">SUMIFS('Source 2026'!$K:$K,'Source 2026'!$B:$B,$A93,'Source 2026'!$A:$A,"Amount (NIS)")+SUMIFS('Source 2026'!$O:$O,'Source 2026'!$B:$B,$A93,'Source 2026'!$A:$A,"Amount (NIS)")+SUMIFS('Source 2026'!$R:$R,'Source 2026'!$B:$B,$A93,'Source 2026'!$A:$A,"Amount (NIS)")+SUMIFS('Source 2026'!$P:$P,'Source 2026'!$B:$B,$A93,'Source 2026'!$A:$A,"Amount (NIS)")+SUMIFS('Source 2026'!$J:$J,'Source 2026'!$B:$B,$A93,'Source 2026'!$A:$A,"Amount (NIS)")+SUMIFS('Source 2026'!$L:$L,'Source 2026'!$B:$B,$A93,'Source 2026'!$A:$A,"Amount (NIS)")</f>
        <v>178.9</v>
      </c>
      <c r="J93" s="9" t="n">
        <f aca="false">I93*$J$5</f>
        <v>225.978947368421</v>
      </c>
      <c r="K93" s="9" t="n">
        <f aca="false">J93-H93</f>
        <v>-668.421052631579</v>
      </c>
      <c r="L93" s="11" t="n">
        <f aca="false">IF(AND(H93=0,J93=0),0,IF(H93=0,"New",(J93-H93)/H93))</f>
        <v>-0.747340175124753</v>
      </c>
    </row>
    <row r="94" customFormat="false" ht="15" hidden="false" customHeight="true" outlineLevel="0" collapsed="false">
      <c r="A94" s="8" t="s">
        <v>352</v>
      </c>
      <c r="B94" s="8" t="str">
        <f aca="false">IFERROR(INDEX('Source 2026'!$C:$C,MATCH($A94,'Source 2026'!$B:$B,0)),IFERROR(INDEX('Source 2025'!$C:$C,MATCH($A94,'Source 2025'!$B:$B,0)),""))</f>
        <v>XXL מגן ברך ארוך עם כרית</v>
      </c>
      <c r="C94" s="9" t="n">
        <f aca="false">SUMIFS('Source 2025'!$K:$K,'Source 2025'!$B:$B,$A94,'Source 2025'!$A:$A,"Quantity (units)")+SUMIFS('Source 2025'!$O:$O,'Source 2025'!$B:$B,$A94,'Source 2025'!$A:$A,"Quantity (units)")+SUMIFS('Source 2025'!$R:$R,'Source 2025'!$B:$B,$A94,'Source 2025'!$A:$A,"Quantity (units)")+SUMIFS('Source 2025'!$P:$P,'Source 2025'!$B:$B,$A94,'Source 2025'!$A:$A,"Quantity (units)")+SUMIFS('Source 2025'!$J:$J,'Source 2025'!$B:$B,$A94,'Source 2025'!$A:$A,"Quantity (units)")+SUMIFS('Source 2025'!$L:$L,'Source 2025'!$B:$B,$A94,'Source 2025'!$A:$A,"Quantity (units)")</f>
        <v>1</v>
      </c>
      <c r="D94" s="9" t="n">
        <f aca="false">SUMIFS('Source 2026'!$K:$K,'Source 2026'!$B:$B,$A94,'Source 2026'!$A:$A,"Quantity (units)")+SUMIFS('Source 2026'!$O:$O,'Source 2026'!$B:$B,$A94,'Source 2026'!$A:$A,"Quantity (units)")+SUMIFS('Source 2026'!$R:$R,'Source 2026'!$B:$B,$A94,'Source 2026'!$A:$A,"Quantity (units)")+SUMIFS('Source 2026'!$P:$P,'Source 2026'!$B:$B,$A94,'Source 2026'!$A:$A,"Quantity (units)")+SUMIFS('Source 2026'!$J:$J,'Source 2026'!$B:$B,$A94,'Source 2026'!$A:$A,"Quantity (units)")+SUMIFS('Source 2026'!$L:$L,'Source 2026'!$B:$B,$A94,'Source 2026'!$A:$A,"Quantity (units)")</f>
        <v>-3</v>
      </c>
      <c r="E94" s="9" t="n">
        <f aca="false">D94*$J$5</f>
        <v>-3.78947368421053</v>
      </c>
      <c r="F94" s="9" t="n">
        <f aca="false">E94-C94</f>
        <v>-4.78947368421053</v>
      </c>
      <c r="G94" s="11" t="n">
        <f aca="false">IF(AND(C94=0,E94=0),0,IF(C94=0,"New",(E94-C94)/C94))</f>
        <v>-4.78947368421053</v>
      </c>
      <c r="H94" s="9" t="n">
        <f aca="false">SUMIFS('Source 2025'!$K:$K,'Source 2025'!$B:$B,$A94,'Source 2025'!$A:$A,"Amount (NIS)")+SUMIFS('Source 2025'!$O:$O,'Source 2025'!$B:$B,$A94,'Source 2025'!$A:$A,"Amount (NIS)")+SUMIFS('Source 2025'!$R:$R,'Source 2025'!$B:$B,$A94,'Source 2025'!$A:$A,"Amount (NIS)")+SUMIFS('Source 2025'!$P:$P,'Source 2025'!$B:$B,$A94,'Source 2025'!$A:$A,"Amount (NIS)")+SUMIFS('Source 2025'!$J:$J,'Source 2025'!$B:$B,$A94,'Source 2025'!$A:$A,"Amount (NIS)")+SUMIFS('Source 2025'!$L:$L,'Source 2025'!$B:$B,$A94,'Source 2025'!$A:$A,"Amount (NIS)")</f>
        <v>122.5</v>
      </c>
      <c r="I94" s="9" t="n">
        <f aca="false">SUMIFS('Source 2026'!$K:$K,'Source 2026'!$B:$B,$A94,'Source 2026'!$A:$A,"Amount (NIS)")+SUMIFS('Source 2026'!$O:$O,'Source 2026'!$B:$B,$A94,'Source 2026'!$A:$A,"Amount (NIS)")+SUMIFS('Source 2026'!$R:$R,'Source 2026'!$B:$B,$A94,'Source 2026'!$A:$A,"Amount (NIS)")+SUMIFS('Source 2026'!$P:$P,'Source 2026'!$B:$B,$A94,'Source 2026'!$A:$A,"Amount (NIS)")+SUMIFS('Source 2026'!$J:$J,'Source 2026'!$B:$B,$A94,'Source 2026'!$A:$A,"Amount (NIS)")+SUMIFS('Source 2026'!$L:$L,'Source 2026'!$B:$B,$A94,'Source 2026'!$A:$A,"Amount (NIS)")</f>
        <v>-590.2</v>
      </c>
      <c r="J94" s="9" t="n">
        <f aca="false">I94*$J$5</f>
        <v>-745.515789473684</v>
      </c>
      <c r="K94" s="9" t="n">
        <f aca="false">J94-H94</f>
        <v>-868.015789473684</v>
      </c>
      <c r="L94" s="11" t="n">
        <f aca="false">IF(AND(H94=0,J94=0),0,IF(H94=0,"New",(J94-H94)/H94))</f>
        <v>-7.08584317937701</v>
      </c>
    </row>
    <row r="95" customFormat="false" ht="15" hidden="false" customHeight="true" outlineLevel="0" collapsed="false">
      <c r="A95" s="8" t="s">
        <v>270</v>
      </c>
      <c r="B95" s="8" t="str">
        <f aca="false">IFERROR(INDEX('Source 2026'!$C:$C,MATCH($A95,'Source 2026'!$B:$B,0)),IFERROR(INDEX('Source 2025'!$C:$C,MATCH($A95,'Source 2025'!$B:$B,0)),""))</f>
        <v>S מקבע כתף ויד</v>
      </c>
      <c r="C95" s="9" t="n">
        <f aca="false">SUMIFS('Source 2025'!$K:$K,'Source 2025'!$B:$B,$A95,'Source 2025'!$A:$A,"Quantity (units)")+SUMIFS('Source 2025'!$O:$O,'Source 2025'!$B:$B,$A95,'Source 2025'!$A:$A,"Quantity (units)")+SUMIFS('Source 2025'!$R:$R,'Source 2025'!$B:$B,$A95,'Source 2025'!$A:$A,"Quantity (units)")+SUMIFS('Source 2025'!$P:$P,'Source 2025'!$B:$B,$A95,'Source 2025'!$A:$A,"Quantity (units)")+SUMIFS('Source 2025'!$J:$J,'Source 2025'!$B:$B,$A95,'Source 2025'!$A:$A,"Quantity (units)")+SUMIFS('Source 2025'!$L:$L,'Source 2025'!$B:$B,$A95,'Source 2025'!$A:$A,"Quantity (units)")</f>
        <v>33</v>
      </c>
      <c r="D95" s="9" t="n">
        <f aca="false">SUMIFS('Source 2026'!$K:$K,'Source 2026'!$B:$B,$A95,'Source 2026'!$A:$A,"Quantity (units)")+SUMIFS('Source 2026'!$O:$O,'Source 2026'!$B:$B,$A95,'Source 2026'!$A:$A,"Quantity (units)")+SUMIFS('Source 2026'!$R:$R,'Source 2026'!$B:$B,$A95,'Source 2026'!$A:$A,"Quantity (units)")+SUMIFS('Source 2026'!$P:$P,'Source 2026'!$B:$B,$A95,'Source 2026'!$A:$A,"Quantity (units)")+SUMIFS('Source 2026'!$J:$J,'Source 2026'!$B:$B,$A95,'Source 2026'!$A:$A,"Quantity (units)")+SUMIFS('Source 2026'!$L:$L,'Source 2026'!$B:$B,$A95,'Source 2026'!$A:$A,"Quantity (units)")</f>
        <v>29</v>
      </c>
      <c r="E95" s="9" t="n">
        <f aca="false">D95*$J$5</f>
        <v>36.6315789473684</v>
      </c>
      <c r="F95" s="9" t="n">
        <f aca="false">E95-C95</f>
        <v>3.63157894736842</v>
      </c>
      <c r="G95" s="11" t="n">
        <f aca="false">IF(AND(C95=0,E95=0),0,IF(C95=0,"New",(E95-C95)/C95))</f>
        <v>0.110047846889952</v>
      </c>
      <c r="H95" s="9" t="n">
        <f aca="false">SUMIFS('Source 2025'!$K:$K,'Source 2025'!$B:$B,$A95,'Source 2025'!$A:$A,"Amount (NIS)")+SUMIFS('Source 2025'!$O:$O,'Source 2025'!$B:$B,$A95,'Source 2025'!$A:$A,"Amount (NIS)")+SUMIFS('Source 2025'!$R:$R,'Source 2025'!$B:$B,$A95,'Source 2025'!$A:$A,"Amount (NIS)")+SUMIFS('Source 2025'!$P:$P,'Source 2025'!$B:$B,$A95,'Source 2025'!$A:$A,"Amount (NIS)")+SUMIFS('Source 2025'!$J:$J,'Source 2025'!$B:$B,$A95,'Source 2025'!$A:$A,"Amount (NIS)")+SUMIFS('Source 2025'!$L:$L,'Source 2025'!$B:$B,$A95,'Source 2025'!$A:$A,"Amount (NIS)")</f>
        <v>5822.7</v>
      </c>
      <c r="I95" s="9" t="n">
        <f aca="false">SUMIFS('Source 2026'!$K:$K,'Source 2026'!$B:$B,$A95,'Source 2026'!$A:$A,"Amount (NIS)")+SUMIFS('Source 2026'!$O:$O,'Source 2026'!$B:$B,$A95,'Source 2026'!$A:$A,"Amount (NIS)")+SUMIFS('Source 2026'!$R:$R,'Source 2026'!$B:$B,$A95,'Source 2026'!$A:$A,"Amount (NIS)")+SUMIFS('Source 2026'!$P:$P,'Source 2026'!$B:$B,$A95,'Source 2026'!$A:$A,"Amount (NIS)")+SUMIFS('Source 2026'!$J:$J,'Source 2026'!$B:$B,$A95,'Source 2026'!$A:$A,"Amount (NIS)")+SUMIFS('Source 2026'!$L:$L,'Source 2026'!$B:$B,$A95,'Source 2026'!$A:$A,"Amount (NIS)")</f>
        <v>5116.8</v>
      </c>
      <c r="J95" s="9" t="n">
        <f aca="false">I95*$J$5</f>
        <v>6463.32631578947</v>
      </c>
      <c r="K95" s="9" t="n">
        <f aca="false">J95-H95</f>
        <v>640.626315789474</v>
      </c>
      <c r="L95" s="11" t="n">
        <f aca="false">IF(AND(H95=0,J95=0),0,IF(H95=0,"New",(J95-H95)/H95))</f>
        <v>0.110022208904713</v>
      </c>
    </row>
    <row r="96" customFormat="false" ht="15" hidden="false" customHeight="true" outlineLevel="0" collapsed="false">
      <c r="A96" s="8" t="s">
        <v>242</v>
      </c>
      <c r="B96" s="8" t="str">
        <f aca="false">IFERROR(INDEX('Source 2026'!$C:$C,MATCH($A96,'Source 2026'!$B:$B,0)),IFERROR(INDEX('Source 2025'!$C:$C,MATCH($A96,'Source 2025'!$B:$B,0)),""))</f>
        <v>S ""חגורת גב ""לומבו</v>
      </c>
      <c r="C96" s="9" t="n">
        <f aca="false">SUMIFS('Source 2025'!$K:$K,'Source 2025'!$B:$B,$A96,'Source 2025'!$A:$A,"Quantity (units)")+SUMIFS('Source 2025'!$O:$O,'Source 2025'!$B:$B,$A96,'Source 2025'!$A:$A,"Quantity (units)")+SUMIFS('Source 2025'!$R:$R,'Source 2025'!$B:$B,$A96,'Source 2025'!$A:$A,"Quantity (units)")+SUMIFS('Source 2025'!$P:$P,'Source 2025'!$B:$B,$A96,'Source 2025'!$A:$A,"Quantity (units)")+SUMIFS('Source 2025'!$J:$J,'Source 2025'!$B:$B,$A96,'Source 2025'!$A:$A,"Quantity (units)")+SUMIFS('Source 2025'!$L:$L,'Source 2025'!$B:$B,$A96,'Source 2025'!$A:$A,"Quantity (units)")</f>
        <v>7</v>
      </c>
      <c r="D96" s="9" t="n">
        <f aca="false">SUMIFS('Source 2026'!$K:$K,'Source 2026'!$B:$B,$A96,'Source 2026'!$A:$A,"Quantity (units)")+SUMIFS('Source 2026'!$O:$O,'Source 2026'!$B:$B,$A96,'Source 2026'!$A:$A,"Quantity (units)")+SUMIFS('Source 2026'!$R:$R,'Source 2026'!$B:$B,$A96,'Source 2026'!$A:$A,"Quantity (units)")+SUMIFS('Source 2026'!$P:$P,'Source 2026'!$B:$B,$A96,'Source 2026'!$A:$A,"Quantity (units)")+SUMIFS('Source 2026'!$J:$J,'Source 2026'!$B:$B,$A96,'Source 2026'!$A:$A,"Quantity (units)")+SUMIFS('Source 2026'!$L:$L,'Source 2026'!$B:$B,$A96,'Source 2026'!$A:$A,"Quantity (units)")</f>
        <v>12</v>
      </c>
      <c r="E96" s="9" t="n">
        <f aca="false">D96*$J$5</f>
        <v>15.1578947368421</v>
      </c>
      <c r="F96" s="9" t="n">
        <f aca="false">E96-C96</f>
        <v>8.1578947368421</v>
      </c>
      <c r="G96" s="11" t="n">
        <f aca="false">IF(AND(C96=0,E96=0),0,IF(C96=0,"New",(E96-C96)/C96))</f>
        <v>1.16541353383459</v>
      </c>
      <c r="H96" s="9" t="n">
        <f aca="false">SUMIFS('Source 2025'!$K:$K,'Source 2025'!$B:$B,$A96,'Source 2025'!$A:$A,"Amount (NIS)")+SUMIFS('Source 2025'!$O:$O,'Source 2025'!$B:$B,$A96,'Source 2025'!$A:$A,"Amount (NIS)")+SUMIFS('Source 2025'!$R:$R,'Source 2025'!$B:$B,$A96,'Source 2025'!$A:$A,"Amount (NIS)")+SUMIFS('Source 2025'!$P:$P,'Source 2025'!$B:$B,$A96,'Source 2025'!$A:$A,"Amount (NIS)")+SUMIFS('Source 2025'!$J:$J,'Source 2025'!$B:$B,$A96,'Source 2025'!$A:$A,"Amount (NIS)")+SUMIFS('Source 2025'!$L:$L,'Source 2025'!$B:$B,$A96,'Source 2025'!$A:$A,"Amount (NIS)")</f>
        <v>988.1</v>
      </c>
      <c r="I96" s="9" t="n">
        <f aca="false">SUMIFS('Source 2026'!$K:$K,'Source 2026'!$B:$B,$A96,'Source 2026'!$A:$A,"Amount (NIS)")+SUMIFS('Source 2026'!$O:$O,'Source 2026'!$B:$B,$A96,'Source 2026'!$A:$A,"Amount (NIS)")+SUMIFS('Source 2026'!$R:$R,'Source 2026'!$B:$B,$A96,'Source 2026'!$A:$A,"Amount (NIS)")+SUMIFS('Source 2026'!$P:$P,'Source 2026'!$B:$B,$A96,'Source 2026'!$A:$A,"Amount (NIS)")+SUMIFS('Source 2026'!$J:$J,'Source 2026'!$B:$B,$A96,'Source 2026'!$A:$A,"Amount (NIS)")+SUMIFS('Source 2026'!$L:$L,'Source 2026'!$B:$B,$A96,'Source 2026'!$A:$A,"Amount (NIS)")</f>
        <v>1693.8</v>
      </c>
      <c r="J96" s="9" t="n">
        <f aca="false">I96*$J$5</f>
        <v>2139.53684210526</v>
      </c>
      <c r="K96" s="9" t="n">
        <f aca="false">J96-H96</f>
        <v>1151.43684210526</v>
      </c>
      <c r="L96" s="11" t="n">
        <f aca="false">IF(AND(H96=0,J96=0),0,IF(H96=0,"New",(J96-H96)/H96))</f>
        <v>1.16530395921998</v>
      </c>
    </row>
    <row r="97" customFormat="false" ht="15" hidden="false" customHeight="true" outlineLevel="0" collapsed="false">
      <c r="A97" s="8" t="s">
        <v>184</v>
      </c>
      <c r="B97" s="8" t="str">
        <f aca="false">IFERROR(INDEX('Source 2026'!$C:$C,MATCH($A97,'Source 2026'!$B:$B,0)),IFERROR(INDEX('Source 2025'!$C:$C,MATCH($A97,'Source 2025'!$B:$B,0)),""))</f>
        <v>S ח.גב סג. כפולה שחור+אדום</v>
      </c>
      <c r="C97" s="9" t="n">
        <f aca="false">SUMIFS('Source 2025'!$K:$K,'Source 2025'!$B:$B,$A97,'Source 2025'!$A:$A,"Quantity (units)")+SUMIFS('Source 2025'!$O:$O,'Source 2025'!$B:$B,$A97,'Source 2025'!$A:$A,"Quantity (units)")+SUMIFS('Source 2025'!$R:$R,'Source 2025'!$B:$B,$A97,'Source 2025'!$A:$A,"Quantity (units)")+SUMIFS('Source 2025'!$P:$P,'Source 2025'!$B:$B,$A97,'Source 2025'!$A:$A,"Quantity (units)")+SUMIFS('Source 2025'!$J:$J,'Source 2025'!$B:$B,$A97,'Source 2025'!$A:$A,"Quantity (units)")+SUMIFS('Source 2025'!$L:$L,'Source 2025'!$B:$B,$A97,'Source 2025'!$A:$A,"Quantity (units)")</f>
        <v>3</v>
      </c>
      <c r="D97" s="9" t="n">
        <f aca="false">SUMIFS('Source 2026'!$K:$K,'Source 2026'!$B:$B,$A97,'Source 2026'!$A:$A,"Quantity (units)")+SUMIFS('Source 2026'!$O:$O,'Source 2026'!$B:$B,$A97,'Source 2026'!$A:$A,"Quantity (units)")+SUMIFS('Source 2026'!$R:$R,'Source 2026'!$B:$B,$A97,'Source 2026'!$A:$A,"Quantity (units)")+SUMIFS('Source 2026'!$P:$P,'Source 2026'!$B:$B,$A97,'Source 2026'!$A:$A,"Quantity (units)")+SUMIFS('Source 2026'!$J:$J,'Source 2026'!$B:$B,$A97,'Source 2026'!$A:$A,"Quantity (units)")+SUMIFS('Source 2026'!$L:$L,'Source 2026'!$B:$B,$A97,'Source 2026'!$A:$A,"Quantity (units)")</f>
        <v>-4</v>
      </c>
      <c r="E97" s="9" t="n">
        <f aca="false">D97*$J$5</f>
        <v>-5.05263157894737</v>
      </c>
      <c r="F97" s="9" t="n">
        <f aca="false">E97-C97</f>
        <v>-8.05263157894737</v>
      </c>
      <c r="G97" s="11" t="n">
        <f aca="false">IF(AND(C97=0,E97=0),0,IF(C97=0,"New",(E97-C97)/C97))</f>
        <v>-2.68421052631579</v>
      </c>
      <c r="H97" s="9" t="n">
        <f aca="false">SUMIFS('Source 2025'!$K:$K,'Source 2025'!$B:$B,$A97,'Source 2025'!$A:$A,"Amount (NIS)")+SUMIFS('Source 2025'!$O:$O,'Source 2025'!$B:$B,$A97,'Source 2025'!$A:$A,"Amount (NIS)")+SUMIFS('Source 2025'!$R:$R,'Source 2025'!$B:$B,$A97,'Source 2025'!$A:$A,"Amount (NIS)")+SUMIFS('Source 2025'!$P:$P,'Source 2025'!$B:$B,$A97,'Source 2025'!$A:$A,"Amount (NIS)")+SUMIFS('Source 2025'!$J:$J,'Source 2025'!$B:$B,$A97,'Source 2025'!$A:$A,"Amount (NIS)")+SUMIFS('Source 2025'!$L:$L,'Source 2025'!$B:$B,$A97,'Source 2025'!$A:$A,"Amount (NIS)")</f>
        <v>297.7</v>
      </c>
      <c r="I97" s="9" t="n">
        <f aca="false">SUMIFS('Source 2026'!$K:$K,'Source 2026'!$B:$B,$A97,'Source 2026'!$A:$A,"Amount (NIS)")+SUMIFS('Source 2026'!$O:$O,'Source 2026'!$B:$B,$A97,'Source 2026'!$A:$A,"Amount (NIS)")+SUMIFS('Source 2026'!$R:$R,'Source 2026'!$B:$B,$A97,'Source 2026'!$A:$A,"Amount (NIS)")+SUMIFS('Source 2026'!$P:$P,'Source 2026'!$B:$B,$A97,'Source 2026'!$A:$A,"Amount (NIS)")+SUMIFS('Source 2026'!$J:$J,'Source 2026'!$B:$B,$A97,'Source 2026'!$A:$A,"Amount (NIS)")+SUMIFS('Source 2026'!$L:$L,'Source 2026'!$B:$B,$A97,'Source 2026'!$A:$A,"Amount (NIS)")</f>
        <v>-396.9</v>
      </c>
      <c r="J97" s="9" t="n">
        <f aca="false">I97*$J$5</f>
        <v>-501.347368421053</v>
      </c>
      <c r="K97" s="9" t="n">
        <f aca="false">J97-H97</f>
        <v>-799.047368421052</v>
      </c>
      <c r="L97" s="11" t="n">
        <f aca="false">IF(AND(H97=0,J97=0),0,IF(H97=0,"New",(J97-H97)/H97))</f>
        <v>-2.68406909110196</v>
      </c>
    </row>
    <row r="98" customFormat="false" ht="15" hidden="false" customHeight="true" outlineLevel="0" collapsed="false">
      <c r="A98" s="8" t="s">
        <v>314</v>
      </c>
      <c r="B98" s="8" t="str">
        <f aca="false">IFERROR(INDEX('Source 2026'!$C:$C,MATCH($A98,'Source 2026'!$B:$B,0)),IFERROR(INDEX('Source 2025'!$C:$C,MATCH($A98,'Source 2025'!$B:$B,0)),""))</f>
        <v>קיבוע לאצבע הדק</v>
      </c>
      <c r="C98" s="9" t="n">
        <f aca="false">SUMIFS('Source 2025'!$K:$K,'Source 2025'!$B:$B,$A98,'Source 2025'!$A:$A,"Quantity (units)")+SUMIFS('Source 2025'!$O:$O,'Source 2025'!$B:$B,$A98,'Source 2025'!$A:$A,"Quantity (units)")+SUMIFS('Source 2025'!$R:$R,'Source 2025'!$B:$B,$A98,'Source 2025'!$A:$A,"Quantity (units)")+SUMIFS('Source 2025'!$P:$P,'Source 2025'!$B:$B,$A98,'Source 2025'!$A:$A,"Quantity (units)")+SUMIFS('Source 2025'!$J:$J,'Source 2025'!$B:$B,$A98,'Source 2025'!$A:$A,"Quantity (units)")+SUMIFS('Source 2025'!$L:$L,'Source 2025'!$B:$B,$A98,'Source 2025'!$A:$A,"Quantity (units)")</f>
        <v>13</v>
      </c>
      <c r="D98" s="9" t="n">
        <f aca="false">SUMIFS('Source 2026'!$K:$K,'Source 2026'!$B:$B,$A98,'Source 2026'!$A:$A,"Quantity (units)")+SUMIFS('Source 2026'!$O:$O,'Source 2026'!$B:$B,$A98,'Source 2026'!$A:$A,"Quantity (units)")+SUMIFS('Source 2026'!$R:$R,'Source 2026'!$B:$B,$A98,'Source 2026'!$A:$A,"Quantity (units)")+SUMIFS('Source 2026'!$P:$P,'Source 2026'!$B:$B,$A98,'Source 2026'!$A:$A,"Quantity (units)")+SUMIFS('Source 2026'!$J:$J,'Source 2026'!$B:$B,$A98,'Source 2026'!$A:$A,"Quantity (units)")+SUMIFS('Source 2026'!$L:$L,'Source 2026'!$B:$B,$A98,'Source 2026'!$A:$A,"Quantity (units)")</f>
        <v>30</v>
      </c>
      <c r="E98" s="9" t="n">
        <f aca="false">D98*$J$5</f>
        <v>37.8947368421053</v>
      </c>
      <c r="F98" s="9" t="n">
        <f aca="false">E98-C98</f>
        <v>24.8947368421053</v>
      </c>
      <c r="G98" s="11" t="n">
        <f aca="false">IF(AND(C98=0,E98=0),0,IF(C98=0,"New",(E98-C98)/C98))</f>
        <v>1.91497975708502</v>
      </c>
      <c r="H98" s="9" t="n">
        <f aca="false">SUMIFS('Source 2025'!$K:$K,'Source 2025'!$B:$B,$A98,'Source 2025'!$A:$A,"Amount (NIS)")+SUMIFS('Source 2025'!$O:$O,'Source 2025'!$B:$B,$A98,'Source 2025'!$A:$A,"Amount (NIS)")+SUMIFS('Source 2025'!$R:$R,'Source 2025'!$B:$B,$A98,'Source 2025'!$A:$A,"Amount (NIS)")+SUMIFS('Source 2025'!$P:$P,'Source 2025'!$B:$B,$A98,'Source 2025'!$A:$A,"Amount (NIS)")+SUMIFS('Source 2025'!$J:$J,'Source 2025'!$B:$B,$A98,'Source 2025'!$A:$A,"Amount (NIS)")+SUMIFS('Source 2025'!$L:$L,'Source 2025'!$B:$B,$A98,'Source 2025'!$A:$A,"Amount (NIS)")</f>
        <v>527.2</v>
      </c>
      <c r="I98" s="9" t="n">
        <f aca="false">SUMIFS('Source 2026'!$K:$K,'Source 2026'!$B:$B,$A98,'Source 2026'!$A:$A,"Amount (NIS)")+SUMIFS('Source 2026'!$O:$O,'Source 2026'!$B:$B,$A98,'Source 2026'!$A:$A,"Amount (NIS)")+SUMIFS('Source 2026'!$R:$R,'Source 2026'!$B:$B,$A98,'Source 2026'!$A:$A,"Amount (NIS)")+SUMIFS('Source 2026'!$P:$P,'Source 2026'!$B:$B,$A98,'Source 2026'!$A:$A,"Amount (NIS)")+SUMIFS('Source 2026'!$J:$J,'Source 2026'!$B:$B,$A98,'Source 2026'!$A:$A,"Amount (NIS)")+SUMIFS('Source 2026'!$L:$L,'Source 2026'!$B:$B,$A98,'Source 2026'!$A:$A,"Amount (NIS)")</f>
        <v>1216.8</v>
      </c>
      <c r="J98" s="9" t="n">
        <f aca="false">I98*$J$5</f>
        <v>1537.01052631579</v>
      </c>
      <c r="K98" s="9" t="n">
        <f aca="false">J98-H98</f>
        <v>1009.81052631579</v>
      </c>
      <c r="L98" s="11" t="n">
        <f aca="false">IF(AND(H98=0,J98=0),0,IF(H98=0,"New",(J98-H98)/H98))</f>
        <v>1.91542209088731</v>
      </c>
    </row>
    <row r="99" customFormat="false" ht="15" hidden="false" customHeight="true" outlineLevel="0" collapsed="false">
      <c r="A99" s="8" t="s">
        <v>256</v>
      </c>
      <c r="B99" s="8" t="str">
        <f aca="false">IFERROR(INDEX('Source 2026'!$C:$C,MATCH($A99,'Source 2026'!$B:$B,0)),IFERROR(INDEX('Source 2025'!$C:$C,MATCH($A99,'Source 2025'!$B:$B,0)),""))</f>
        <v>בננה לתמיכת אצבעות ז.כרית</v>
      </c>
      <c r="C99" s="9" t="n">
        <f aca="false">SUMIFS('Source 2025'!$K:$K,'Source 2025'!$B:$B,$A99,'Source 2025'!$A:$A,"Quantity (units)")+SUMIFS('Source 2025'!$O:$O,'Source 2025'!$B:$B,$A99,'Source 2025'!$A:$A,"Quantity (units)")+SUMIFS('Source 2025'!$R:$R,'Source 2025'!$B:$B,$A99,'Source 2025'!$A:$A,"Quantity (units)")+SUMIFS('Source 2025'!$P:$P,'Source 2025'!$B:$B,$A99,'Source 2025'!$A:$A,"Quantity (units)")+SUMIFS('Source 2025'!$J:$J,'Source 2025'!$B:$B,$A99,'Source 2025'!$A:$A,"Quantity (units)")+SUMIFS('Source 2025'!$L:$L,'Source 2025'!$B:$B,$A99,'Source 2025'!$A:$A,"Quantity (units)")</f>
        <v>53</v>
      </c>
      <c r="D99" s="9" t="n">
        <f aca="false">SUMIFS('Source 2026'!$K:$K,'Source 2026'!$B:$B,$A99,'Source 2026'!$A:$A,"Quantity (units)")+SUMIFS('Source 2026'!$O:$O,'Source 2026'!$B:$B,$A99,'Source 2026'!$A:$A,"Quantity (units)")+SUMIFS('Source 2026'!$R:$R,'Source 2026'!$B:$B,$A99,'Source 2026'!$A:$A,"Quantity (units)")+SUMIFS('Source 2026'!$P:$P,'Source 2026'!$B:$B,$A99,'Source 2026'!$A:$A,"Quantity (units)")+SUMIFS('Source 2026'!$J:$J,'Source 2026'!$B:$B,$A99,'Source 2026'!$A:$A,"Quantity (units)")+SUMIFS('Source 2026'!$L:$L,'Source 2026'!$B:$B,$A99,'Source 2026'!$A:$A,"Quantity (units)")</f>
        <v>24</v>
      </c>
      <c r="E99" s="9" t="n">
        <f aca="false">D99*$J$5</f>
        <v>30.3157894736842</v>
      </c>
      <c r="F99" s="9" t="n">
        <f aca="false">E99-C99</f>
        <v>-22.6842105263158</v>
      </c>
      <c r="G99" s="11" t="n">
        <f aca="false">IF(AND(C99=0,E99=0),0,IF(C99=0,"New",(E99-C99)/C99))</f>
        <v>-0.428003972194638</v>
      </c>
      <c r="H99" s="9" t="n">
        <f aca="false">SUMIFS('Source 2025'!$K:$K,'Source 2025'!$B:$B,$A99,'Source 2025'!$A:$A,"Amount (NIS)")+SUMIFS('Source 2025'!$O:$O,'Source 2025'!$B:$B,$A99,'Source 2025'!$A:$A,"Amount (NIS)")+SUMIFS('Source 2025'!$R:$R,'Source 2025'!$B:$B,$A99,'Source 2025'!$A:$A,"Amount (NIS)")+SUMIFS('Source 2025'!$P:$P,'Source 2025'!$B:$B,$A99,'Source 2025'!$A:$A,"Amount (NIS)")+SUMIFS('Source 2025'!$J:$J,'Source 2025'!$B:$B,$A99,'Source 2025'!$A:$A,"Amount (NIS)")+SUMIFS('Source 2025'!$L:$L,'Source 2025'!$B:$B,$A99,'Source 2025'!$A:$A,"Amount (NIS)")</f>
        <v>1249.8</v>
      </c>
      <c r="I99" s="9" t="n">
        <f aca="false">SUMIFS('Source 2026'!$K:$K,'Source 2026'!$B:$B,$A99,'Source 2026'!$A:$A,"Amount (NIS)")+SUMIFS('Source 2026'!$O:$O,'Source 2026'!$B:$B,$A99,'Source 2026'!$A:$A,"Amount (NIS)")+SUMIFS('Source 2026'!$R:$R,'Source 2026'!$B:$B,$A99,'Source 2026'!$A:$A,"Amount (NIS)")+SUMIFS('Source 2026'!$P:$P,'Source 2026'!$B:$B,$A99,'Source 2026'!$A:$A,"Amount (NIS)")+SUMIFS('Source 2026'!$J:$J,'Source 2026'!$B:$B,$A99,'Source 2026'!$A:$A,"Amount (NIS)")+SUMIFS('Source 2026'!$L:$L,'Source 2026'!$B:$B,$A99,'Source 2026'!$A:$A,"Amount (NIS)")</f>
        <v>565.9</v>
      </c>
      <c r="J99" s="9" t="n">
        <f aca="false">I99*$J$5</f>
        <v>714.821052631579</v>
      </c>
      <c r="K99" s="9" t="n">
        <f aca="false">J99-H99</f>
        <v>-534.978947368421</v>
      </c>
      <c r="L99" s="11" t="n">
        <f aca="false">IF(AND(H99=0,J99=0),0,IF(H99=0,"New",(J99-H99)/H99))</f>
        <v>-0.428051646158122</v>
      </c>
    </row>
    <row r="100" customFormat="false" ht="15" hidden="false" customHeight="true" outlineLevel="0" collapsed="false">
      <c r="A100" s="8" t="s">
        <v>250</v>
      </c>
      <c r="B100" s="8" t="str">
        <f aca="false">IFERROR(INDEX('Source 2026'!$C:$C,MATCH($A100,'Source 2026'!$B:$B,0)),IFERROR(INDEX('Source 2025'!$C:$C,MATCH($A100,'Source 2025'!$B:$B,0)),""))</f>
        <v>סד ליישור אצבע</v>
      </c>
      <c r="C100" s="9" t="n">
        <f aca="false">SUMIFS('Source 2025'!$K:$K,'Source 2025'!$B:$B,$A100,'Source 2025'!$A:$A,"Quantity (units)")+SUMIFS('Source 2025'!$O:$O,'Source 2025'!$B:$B,$A100,'Source 2025'!$A:$A,"Quantity (units)")+SUMIFS('Source 2025'!$R:$R,'Source 2025'!$B:$B,$A100,'Source 2025'!$A:$A,"Quantity (units)")+SUMIFS('Source 2025'!$P:$P,'Source 2025'!$B:$B,$A100,'Source 2025'!$A:$A,"Quantity (units)")+SUMIFS('Source 2025'!$J:$J,'Source 2025'!$B:$B,$A100,'Source 2025'!$A:$A,"Quantity (units)")+SUMIFS('Source 2025'!$L:$L,'Source 2025'!$B:$B,$A100,'Source 2025'!$A:$A,"Quantity (units)")</f>
        <v>577</v>
      </c>
      <c r="D100" s="9" t="n">
        <f aca="false">SUMIFS('Source 2026'!$K:$K,'Source 2026'!$B:$B,$A100,'Source 2026'!$A:$A,"Quantity (units)")+SUMIFS('Source 2026'!$O:$O,'Source 2026'!$B:$B,$A100,'Source 2026'!$A:$A,"Quantity (units)")+SUMIFS('Source 2026'!$R:$R,'Source 2026'!$B:$B,$A100,'Source 2026'!$A:$A,"Quantity (units)")+SUMIFS('Source 2026'!$P:$P,'Source 2026'!$B:$B,$A100,'Source 2026'!$A:$A,"Quantity (units)")+SUMIFS('Source 2026'!$J:$J,'Source 2026'!$B:$B,$A100,'Source 2026'!$A:$A,"Quantity (units)")+SUMIFS('Source 2026'!$L:$L,'Source 2026'!$B:$B,$A100,'Source 2026'!$A:$A,"Quantity (units)")</f>
        <v>533</v>
      </c>
      <c r="E100" s="9" t="n">
        <f aca="false">D100*$J$5</f>
        <v>673.263157894737</v>
      </c>
      <c r="F100" s="9" t="n">
        <f aca="false">E100-C100</f>
        <v>96.2631578947368</v>
      </c>
      <c r="G100" s="11" t="n">
        <f aca="false">IF(AND(C100=0,E100=0),0,IF(C100=0,"New",(E100-C100)/C100))</f>
        <v>0.166833895831433</v>
      </c>
      <c r="H100" s="9" t="n">
        <f aca="false">SUMIFS('Source 2025'!$K:$K,'Source 2025'!$B:$B,$A100,'Source 2025'!$A:$A,"Amount (NIS)")+SUMIFS('Source 2025'!$O:$O,'Source 2025'!$B:$B,$A100,'Source 2025'!$A:$A,"Amount (NIS)")+SUMIFS('Source 2025'!$R:$R,'Source 2025'!$B:$B,$A100,'Source 2025'!$A:$A,"Amount (NIS)")+SUMIFS('Source 2025'!$P:$P,'Source 2025'!$B:$B,$A100,'Source 2025'!$A:$A,"Amount (NIS)")+SUMIFS('Source 2025'!$J:$J,'Source 2025'!$B:$B,$A100,'Source 2025'!$A:$A,"Amount (NIS)")+SUMIFS('Source 2025'!$L:$L,'Source 2025'!$B:$B,$A100,'Source 2025'!$A:$A,"Amount (NIS)")</f>
        <v>8885.8</v>
      </c>
      <c r="I100" s="9" t="n">
        <f aca="false">SUMIFS('Source 2026'!$K:$K,'Source 2026'!$B:$B,$A100,'Source 2026'!$A:$A,"Amount (NIS)")+SUMIFS('Source 2026'!$O:$O,'Source 2026'!$B:$B,$A100,'Source 2026'!$A:$A,"Amount (NIS)")+SUMIFS('Source 2026'!$R:$R,'Source 2026'!$B:$B,$A100,'Source 2026'!$A:$A,"Amount (NIS)")+SUMIFS('Source 2026'!$P:$P,'Source 2026'!$B:$B,$A100,'Source 2026'!$A:$A,"Amount (NIS)")+SUMIFS('Source 2026'!$J:$J,'Source 2026'!$B:$B,$A100,'Source 2026'!$A:$A,"Amount (NIS)")+SUMIFS('Source 2026'!$L:$L,'Source 2026'!$B:$B,$A100,'Source 2026'!$A:$A,"Amount (NIS)")</f>
        <v>8208.2</v>
      </c>
      <c r="J100" s="9" t="n">
        <f aca="false">I100*$J$5</f>
        <v>10368.2526315789</v>
      </c>
      <c r="K100" s="9" t="n">
        <f aca="false">J100-H100</f>
        <v>1482.45263157895</v>
      </c>
      <c r="L100" s="11" t="n">
        <f aca="false">IF(AND(H100=0,J100=0),0,IF(H100=0,"New",(J100-H100)/H100))</f>
        <v>0.166833895831433</v>
      </c>
    </row>
    <row r="101" customFormat="false" ht="15" hidden="false" customHeight="true" outlineLevel="0" collapsed="false">
      <c r="A101" s="8" t="s">
        <v>90</v>
      </c>
      <c r="B101" s="8" t="str">
        <f aca="false">IFERROR(INDEX('Source 2026'!$C:$C,MATCH($A101,'Source 2026'!$B:$B,0)),IFERROR(INDEX('Source 2025'!$C:$C,MATCH($A101,'Source 2025'!$B:$B,0)),""))</f>
        <v>L מגן ברך שחור</v>
      </c>
      <c r="C101" s="9" t="n">
        <f aca="false">SUMIFS('Source 2025'!$K:$K,'Source 2025'!$B:$B,$A101,'Source 2025'!$A:$A,"Quantity (units)")+SUMIFS('Source 2025'!$O:$O,'Source 2025'!$B:$B,$A101,'Source 2025'!$A:$A,"Quantity (units)")+SUMIFS('Source 2025'!$R:$R,'Source 2025'!$B:$B,$A101,'Source 2025'!$A:$A,"Quantity (units)")+SUMIFS('Source 2025'!$P:$P,'Source 2025'!$B:$B,$A101,'Source 2025'!$A:$A,"Quantity (units)")+SUMIFS('Source 2025'!$J:$J,'Source 2025'!$B:$B,$A101,'Source 2025'!$A:$A,"Quantity (units)")+SUMIFS('Source 2025'!$L:$L,'Source 2025'!$B:$B,$A101,'Source 2025'!$A:$A,"Quantity (units)")</f>
        <v>129</v>
      </c>
      <c r="D101" s="9" t="n">
        <f aca="false">SUMIFS('Source 2026'!$K:$K,'Source 2026'!$B:$B,$A101,'Source 2026'!$A:$A,"Quantity (units)")+SUMIFS('Source 2026'!$O:$O,'Source 2026'!$B:$B,$A101,'Source 2026'!$A:$A,"Quantity (units)")+SUMIFS('Source 2026'!$R:$R,'Source 2026'!$B:$B,$A101,'Source 2026'!$A:$A,"Quantity (units)")+SUMIFS('Source 2026'!$P:$P,'Source 2026'!$B:$B,$A101,'Source 2026'!$A:$A,"Quantity (units)")+SUMIFS('Source 2026'!$J:$J,'Source 2026'!$B:$B,$A101,'Source 2026'!$A:$A,"Quantity (units)")+SUMIFS('Source 2026'!$L:$L,'Source 2026'!$B:$B,$A101,'Source 2026'!$A:$A,"Quantity (units)")</f>
        <v>105</v>
      </c>
      <c r="E101" s="9" t="n">
        <f aca="false">D101*$J$5</f>
        <v>132.631578947368</v>
      </c>
      <c r="F101" s="9" t="n">
        <f aca="false">E101-C101</f>
        <v>3.63157894736841</v>
      </c>
      <c r="G101" s="11" t="n">
        <f aca="false">IF(AND(C101=0,E101=0),0,IF(C101=0,"New",(E101-C101)/C101))</f>
        <v>0.0281517747858016</v>
      </c>
      <c r="H101" s="9" t="n">
        <f aca="false">SUMIFS('Source 2025'!$K:$K,'Source 2025'!$B:$B,$A101,'Source 2025'!$A:$A,"Amount (NIS)")+SUMIFS('Source 2025'!$O:$O,'Source 2025'!$B:$B,$A101,'Source 2025'!$A:$A,"Amount (NIS)")+SUMIFS('Source 2025'!$R:$R,'Source 2025'!$B:$B,$A101,'Source 2025'!$A:$A,"Amount (NIS)")+SUMIFS('Source 2025'!$P:$P,'Source 2025'!$B:$B,$A101,'Source 2025'!$A:$A,"Amount (NIS)")+SUMIFS('Source 2025'!$J:$J,'Source 2025'!$B:$B,$A101,'Source 2025'!$A:$A,"Amount (NIS)")+SUMIFS('Source 2025'!$L:$L,'Source 2025'!$B:$B,$A101,'Source 2025'!$A:$A,"Amount (NIS)")</f>
        <v>3579.9</v>
      </c>
      <c r="I101" s="9" t="n">
        <f aca="false">SUMIFS('Source 2026'!$K:$K,'Source 2026'!$B:$B,$A101,'Source 2026'!$A:$A,"Amount (NIS)")+SUMIFS('Source 2026'!$O:$O,'Source 2026'!$B:$B,$A101,'Source 2026'!$A:$A,"Amount (NIS)")+SUMIFS('Source 2026'!$R:$R,'Source 2026'!$B:$B,$A101,'Source 2026'!$A:$A,"Amount (NIS)")+SUMIFS('Source 2026'!$P:$P,'Source 2026'!$B:$B,$A101,'Source 2026'!$A:$A,"Amount (NIS)")+SUMIFS('Source 2026'!$J:$J,'Source 2026'!$B:$B,$A101,'Source 2026'!$A:$A,"Amount (NIS)")+SUMIFS('Source 2026'!$L:$L,'Source 2026'!$B:$B,$A101,'Source 2026'!$A:$A,"Amount (NIS)")</f>
        <v>2914.1</v>
      </c>
      <c r="J101" s="9" t="n">
        <f aca="false">I101*$J$5</f>
        <v>3680.96842105263</v>
      </c>
      <c r="K101" s="9" t="n">
        <f aca="false">J101-H101</f>
        <v>101.068421052631</v>
      </c>
      <c r="L101" s="11" t="n">
        <f aca="false">IF(AND(H101=0,J101=0),0,IF(H101=0,"New",(J101-H101)/H101))</f>
        <v>0.0282321911373589</v>
      </c>
    </row>
    <row r="102" customFormat="false" ht="15" hidden="false" customHeight="true" outlineLevel="0" collapsed="false">
      <c r="A102" s="8" t="s">
        <v>109</v>
      </c>
      <c r="B102" s="8" t="str">
        <f aca="false">IFERROR(INDEX('Source 2026'!$C:$C,MATCH($A102,'Source 2026'!$B:$B,0)),IFERROR(INDEX('Source 2025'!$C:$C,MATCH($A102,'Source 2025'!$B:$B,0)),""))</f>
        <v>לציפורן חודרנית</v>
      </c>
      <c r="C102" s="9" t="n">
        <f aca="false">SUMIFS('Source 2025'!$K:$K,'Source 2025'!$B:$B,$A102,'Source 2025'!$A:$A,"Quantity (units)")+SUMIFS('Source 2025'!$O:$O,'Source 2025'!$B:$B,$A102,'Source 2025'!$A:$A,"Quantity (units)")+SUMIFS('Source 2025'!$R:$R,'Source 2025'!$B:$B,$A102,'Source 2025'!$A:$A,"Quantity (units)")+SUMIFS('Source 2025'!$P:$P,'Source 2025'!$B:$B,$A102,'Source 2025'!$A:$A,"Quantity (units)")+SUMIFS('Source 2025'!$J:$J,'Source 2025'!$B:$B,$A102,'Source 2025'!$A:$A,"Quantity (units)")+SUMIFS('Source 2025'!$L:$L,'Source 2025'!$B:$B,$A102,'Source 2025'!$A:$A,"Quantity (units)")</f>
        <v>185</v>
      </c>
      <c r="D102" s="9" t="n">
        <f aca="false">SUMIFS('Source 2026'!$K:$K,'Source 2026'!$B:$B,$A102,'Source 2026'!$A:$A,"Quantity (units)")+SUMIFS('Source 2026'!$O:$O,'Source 2026'!$B:$B,$A102,'Source 2026'!$A:$A,"Quantity (units)")+SUMIFS('Source 2026'!$R:$R,'Source 2026'!$B:$B,$A102,'Source 2026'!$A:$A,"Quantity (units)")+SUMIFS('Source 2026'!$P:$P,'Source 2026'!$B:$B,$A102,'Source 2026'!$A:$A,"Quantity (units)")+SUMIFS('Source 2026'!$J:$J,'Source 2026'!$B:$B,$A102,'Source 2026'!$A:$A,"Quantity (units)")+SUMIFS('Source 2026'!$L:$L,'Source 2026'!$B:$B,$A102,'Source 2026'!$A:$A,"Quantity (units)")</f>
        <v>164</v>
      </c>
      <c r="E102" s="9" t="n">
        <f aca="false">D102*$J$5</f>
        <v>207.157894736842</v>
      </c>
      <c r="F102" s="9" t="n">
        <f aca="false">E102-C102</f>
        <v>22.1578947368421</v>
      </c>
      <c r="G102" s="11" t="n">
        <f aca="false">IF(AND(C102=0,E102=0),0,IF(C102=0,"New",(E102-C102)/C102))</f>
        <v>0.11977240398293</v>
      </c>
      <c r="H102" s="9" t="n">
        <f aca="false">SUMIFS('Source 2025'!$K:$K,'Source 2025'!$B:$B,$A102,'Source 2025'!$A:$A,"Amount (NIS)")+SUMIFS('Source 2025'!$O:$O,'Source 2025'!$B:$B,$A102,'Source 2025'!$A:$A,"Amount (NIS)")+SUMIFS('Source 2025'!$R:$R,'Source 2025'!$B:$B,$A102,'Source 2025'!$A:$A,"Amount (NIS)")+SUMIFS('Source 2025'!$P:$P,'Source 2025'!$B:$B,$A102,'Source 2025'!$A:$A,"Amount (NIS)")+SUMIFS('Source 2025'!$J:$J,'Source 2025'!$B:$B,$A102,'Source 2025'!$A:$A,"Amount (NIS)")+SUMIFS('Source 2025'!$L:$L,'Source 2025'!$B:$B,$A102,'Source 2025'!$A:$A,"Amount (NIS)")</f>
        <v>6186.6</v>
      </c>
      <c r="I102" s="9" t="n">
        <f aca="false">SUMIFS('Source 2026'!$K:$K,'Source 2026'!$B:$B,$A102,'Source 2026'!$A:$A,"Amount (NIS)")+SUMIFS('Source 2026'!$O:$O,'Source 2026'!$B:$B,$A102,'Source 2026'!$A:$A,"Amount (NIS)")+SUMIFS('Source 2026'!$R:$R,'Source 2026'!$B:$B,$A102,'Source 2026'!$A:$A,"Amount (NIS)")+SUMIFS('Source 2026'!$P:$P,'Source 2026'!$B:$B,$A102,'Source 2026'!$A:$A,"Amount (NIS)")+SUMIFS('Source 2026'!$J:$J,'Source 2026'!$B:$B,$A102,'Source 2026'!$A:$A,"Amount (NIS)")+SUMIFS('Source 2026'!$L:$L,'Source 2026'!$B:$B,$A102,'Source 2026'!$A:$A,"Amount (NIS)")</f>
        <v>5523.8</v>
      </c>
      <c r="J102" s="9" t="n">
        <f aca="false">I102*$J$5</f>
        <v>6977.43157894737</v>
      </c>
      <c r="K102" s="9" t="n">
        <f aca="false">J102-H102</f>
        <v>790.831578947368</v>
      </c>
      <c r="L102" s="11" t="n">
        <f aca="false">IF(AND(H102=0,J102=0),0,IF(H102=0,"New",(J102-H102)/H102))</f>
        <v>0.127829757693623</v>
      </c>
    </row>
    <row r="103" customFormat="false" ht="15" hidden="false" customHeight="true" outlineLevel="0" collapsed="false">
      <c r="A103" s="8" t="s">
        <v>85</v>
      </c>
      <c r="B103" s="8" t="str">
        <f aca="false">IFERROR(INDEX('Source 2026'!$C:$C,MATCH($A103,'Source 2026'!$B:$B,0)),IFERROR(INDEX('Source 2025'!$C:$C,MATCH($A103,'Source 2025'!$B:$B,0)),""))</f>
        <v>L סד ליד דו צדדי לאחר שבר</v>
      </c>
      <c r="C103" s="9" t="n">
        <f aca="false">SUMIFS('Source 2025'!$K:$K,'Source 2025'!$B:$B,$A103,'Source 2025'!$A:$A,"Quantity (units)")+SUMIFS('Source 2025'!$O:$O,'Source 2025'!$B:$B,$A103,'Source 2025'!$A:$A,"Quantity (units)")+SUMIFS('Source 2025'!$R:$R,'Source 2025'!$B:$B,$A103,'Source 2025'!$A:$A,"Quantity (units)")+SUMIFS('Source 2025'!$P:$P,'Source 2025'!$B:$B,$A103,'Source 2025'!$A:$A,"Quantity (units)")+SUMIFS('Source 2025'!$J:$J,'Source 2025'!$B:$B,$A103,'Source 2025'!$A:$A,"Quantity (units)")+SUMIFS('Source 2025'!$L:$L,'Source 2025'!$B:$B,$A103,'Source 2025'!$A:$A,"Quantity (units)")</f>
        <v>183</v>
      </c>
      <c r="D103" s="9" t="n">
        <f aca="false">SUMIFS('Source 2026'!$K:$K,'Source 2026'!$B:$B,$A103,'Source 2026'!$A:$A,"Quantity (units)")+SUMIFS('Source 2026'!$O:$O,'Source 2026'!$B:$B,$A103,'Source 2026'!$A:$A,"Quantity (units)")+SUMIFS('Source 2026'!$R:$R,'Source 2026'!$B:$B,$A103,'Source 2026'!$A:$A,"Quantity (units)")+SUMIFS('Source 2026'!$P:$P,'Source 2026'!$B:$B,$A103,'Source 2026'!$A:$A,"Quantity (units)")+SUMIFS('Source 2026'!$J:$J,'Source 2026'!$B:$B,$A103,'Source 2026'!$A:$A,"Quantity (units)")+SUMIFS('Source 2026'!$L:$L,'Source 2026'!$B:$B,$A103,'Source 2026'!$A:$A,"Quantity (units)")</f>
        <v>189</v>
      </c>
      <c r="E103" s="9" t="n">
        <f aca="false">D103*$J$5</f>
        <v>238.736842105263</v>
      </c>
      <c r="F103" s="9" t="n">
        <f aca="false">E103-C103</f>
        <v>55.7368421052632</v>
      </c>
      <c r="G103" s="11" t="n">
        <f aca="false">IF(AND(C103=0,E103=0),0,IF(C103=0,"New",(E103-C103)/C103))</f>
        <v>0.304572907679034</v>
      </c>
      <c r="H103" s="9" t="n">
        <f aca="false">SUMIFS('Source 2025'!$K:$K,'Source 2025'!$B:$B,$A103,'Source 2025'!$A:$A,"Amount (NIS)")+SUMIFS('Source 2025'!$O:$O,'Source 2025'!$B:$B,$A103,'Source 2025'!$A:$A,"Amount (NIS)")+SUMIFS('Source 2025'!$R:$R,'Source 2025'!$B:$B,$A103,'Source 2025'!$A:$A,"Amount (NIS)")+SUMIFS('Source 2025'!$P:$P,'Source 2025'!$B:$B,$A103,'Source 2025'!$A:$A,"Amount (NIS)")+SUMIFS('Source 2025'!$J:$J,'Source 2025'!$B:$B,$A103,'Source 2025'!$A:$A,"Amount (NIS)")+SUMIFS('Source 2025'!$L:$L,'Source 2025'!$B:$B,$A103,'Source 2025'!$A:$A,"Amount (NIS)")</f>
        <v>15986.6</v>
      </c>
      <c r="I103" s="9" t="n">
        <f aca="false">SUMIFS('Source 2026'!$K:$K,'Source 2026'!$B:$B,$A103,'Source 2026'!$A:$A,"Amount (NIS)")+SUMIFS('Source 2026'!$O:$O,'Source 2026'!$B:$B,$A103,'Source 2026'!$A:$A,"Amount (NIS)")+SUMIFS('Source 2026'!$R:$R,'Source 2026'!$B:$B,$A103,'Source 2026'!$A:$A,"Amount (NIS)")+SUMIFS('Source 2026'!$P:$P,'Source 2026'!$B:$B,$A103,'Source 2026'!$A:$A,"Amount (NIS)")+SUMIFS('Source 2026'!$J:$J,'Source 2026'!$B:$B,$A103,'Source 2026'!$A:$A,"Amount (NIS)")+SUMIFS('Source 2026'!$L:$L,'Source 2026'!$B:$B,$A103,'Source 2026'!$A:$A,"Amount (NIS)")</f>
        <v>16626.9</v>
      </c>
      <c r="J103" s="9" t="n">
        <f aca="false">I103*$J$5</f>
        <v>21002.4</v>
      </c>
      <c r="K103" s="9" t="n">
        <f aca="false">J103-H103</f>
        <v>5015.8</v>
      </c>
      <c r="L103" s="11" t="n">
        <f aca="false">IF(AND(H103=0,J103=0),0,IF(H103=0,"New",(J103-H103)/H103))</f>
        <v>0.313750265847648</v>
      </c>
    </row>
    <row r="104" customFormat="false" ht="15" hidden="false" customHeight="true" outlineLevel="0" collapsed="false">
      <c r="A104" s="8" t="s">
        <v>301</v>
      </c>
      <c r="B104" s="8" t="str">
        <f aca="false">IFERROR(INDEX('Source 2026'!$C:$C,MATCH($A104,'Source 2026'!$B:$B,0)),IFERROR(INDEX('Source 2025'!$C:$C,MATCH($A104,'Source 2025'!$B:$B,0)),""))</f>
        <v>סד לאגודל לאחר שבר</v>
      </c>
      <c r="C104" s="9" t="n">
        <f aca="false">SUMIFS('Source 2025'!$K:$K,'Source 2025'!$B:$B,$A104,'Source 2025'!$A:$A,"Quantity (units)")+SUMIFS('Source 2025'!$O:$O,'Source 2025'!$B:$B,$A104,'Source 2025'!$A:$A,"Quantity (units)")+SUMIFS('Source 2025'!$R:$R,'Source 2025'!$B:$B,$A104,'Source 2025'!$A:$A,"Quantity (units)")+SUMIFS('Source 2025'!$P:$P,'Source 2025'!$B:$B,$A104,'Source 2025'!$A:$A,"Quantity (units)")+SUMIFS('Source 2025'!$J:$J,'Source 2025'!$B:$B,$A104,'Source 2025'!$A:$A,"Quantity (units)")+SUMIFS('Source 2025'!$L:$L,'Source 2025'!$B:$B,$A104,'Source 2025'!$A:$A,"Quantity (units)")</f>
        <v>0</v>
      </c>
      <c r="D104" s="9" t="n">
        <f aca="false">SUMIFS('Source 2026'!$K:$K,'Source 2026'!$B:$B,$A104,'Source 2026'!$A:$A,"Quantity (units)")+SUMIFS('Source 2026'!$O:$O,'Source 2026'!$B:$B,$A104,'Source 2026'!$A:$A,"Quantity (units)")+SUMIFS('Source 2026'!$R:$R,'Source 2026'!$B:$B,$A104,'Source 2026'!$A:$A,"Quantity (units)")+SUMIFS('Source 2026'!$P:$P,'Source 2026'!$B:$B,$A104,'Source 2026'!$A:$A,"Quantity (units)")+SUMIFS('Source 2026'!$J:$J,'Source 2026'!$B:$B,$A104,'Source 2026'!$A:$A,"Quantity (units)")+SUMIFS('Source 2026'!$L:$L,'Source 2026'!$B:$B,$A104,'Source 2026'!$A:$A,"Quantity (units)")</f>
        <v>7</v>
      </c>
      <c r="E104" s="9" t="n">
        <f aca="false">D104*$J$5</f>
        <v>8.84210526315789</v>
      </c>
      <c r="F104" s="9" t="n">
        <f aca="false">E104-C104</f>
        <v>8.84210526315789</v>
      </c>
      <c r="G104" s="11" t="str">
        <f aca="false">IF(AND(C104=0,E104=0),0,IF(C104=0,"New",(E104-C104)/C104))</f>
        <v>New</v>
      </c>
      <c r="H104" s="9" t="n">
        <f aca="false">SUMIFS('Source 2025'!$K:$K,'Source 2025'!$B:$B,$A104,'Source 2025'!$A:$A,"Amount (NIS)")+SUMIFS('Source 2025'!$O:$O,'Source 2025'!$B:$B,$A104,'Source 2025'!$A:$A,"Amount (NIS)")+SUMIFS('Source 2025'!$R:$R,'Source 2025'!$B:$B,$A104,'Source 2025'!$A:$A,"Amount (NIS)")+SUMIFS('Source 2025'!$P:$P,'Source 2025'!$B:$B,$A104,'Source 2025'!$A:$A,"Amount (NIS)")+SUMIFS('Source 2025'!$J:$J,'Source 2025'!$B:$B,$A104,'Source 2025'!$A:$A,"Amount (NIS)")+SUMIFS('Source 2025'!$L:$L,'Source 2025'!$B:$B,$A104,'Source 2025'!$A:$A,"Amount (NIS)")</f>
        <v>0</v>
      </c>
      <c r="I104" s="9" t="n">
        <f aca="false">SUMIFS('Source 2026'!$K:$K,'Source 2026'!$B:$B,$A104,'Source 2026'!$A:$A,"Amount (NIS)")+SUMIFS('Source 2026'!$O:$O,'Source 2026'!$B:$B,$A104,'Source 2026'!$A:$A,"Amount (NIS)")+SUMIFS('Source 2026'!$R:$R,'Source 2026'!$B:$B,$A104,'Source 2026'!$A:$A,"Amount (NIS)")+SUMIFS('Source 2026'!$P:$P,'Source 2026'!$B:$B,$A104,'Source 2026'!$A:$A,"Amount (NIS)")+SUMIFS('Source 2026'!$J:$J,'Source 2026'!$B:$B,$A104,'Source 2026'!$A:$A,"Amount (NIS)")+SUMIFS('Source 2026'!$L:$L,'Source 2026'!$B:$B,$A104,'Source 2026'!$A:$A,"Amount (NIS)")</f>
        <v>617.4</v>
      </c>
      <c r="J104" s="9" t="n">
        <f aca="false">I104*$J$5</f>
        <v>779.873684210526</v>
      </c>
      <c r="K104" s="9" t="n">
        <f aca="false">J104-H104</f>
        <v>779.873684210526</v>
      </c>
      <c r="L104" s="11" t="str">
        <f aca="false">IF(AND(H104=0,J104=0),0,IF(H104=0,"New",(J104-H104)/H104))</f>
        <v>New</v>
      </c>
    </row>
    <row r="105" customFormat="false" ht="15" hidden="false" customHeight="true" outlineLevel="0" collapsed="false">
      <c r="A105" s="8" t="s">
        <v>236</v>
      </c>
      <c r="B105" s="8" t="str">
        <f aca="false">IFERROR(INDEX('Source 2026'!$C:$C,MATCH($A105,'Source 2026'!$B:$B,0)),IFERROR(INDEX('Source 2025'!$C:$C,MATCH($A105,'Source 2025'!$B:$B,0)),""))</f>
        <v>רפ.אורטופדית ספורט זוג35</v>
      </c>
      <c r="C105" s="9" t="n">
        <f aca="false">SUMIFS('Source 2025'!$K:$K,'Source 2025'!$B:$B,$A105,'Source 2025'!$A:$A,"Quantity (units)")+SUMIFS('Source 2025'!$O:$O,'Source 2025'!$B:$B,$A105,'Source 2025'!$A:$A,"Quantity (units)")+SUMIFS('Source 2025'!$R:$R,'Source 2025'!$B:$B,$A105,'Source 2025'!$A:$A,"Quantity (units)")+SUMIFS('Source 2025'!$P:$P,'Source 2025'!$B:$B,$A105,'Source 2025'!$A:$A,"Quantity (units)")+SUMIFS('Source 2025'!$J:$J,'Source 2025'!$B:$B,$A105,'Source 2025'!$A:$A,"Quantity (units)")+SUMIFS('Source 2025'!$L:$L,'Source 2025'!$B:$B,$A105,'Source 2025'!$A:$A,"Quantity (units)")</f>
        <v>16</v>
      </c>
      <c r="D105" s="9" t="n">
        <f aca="false">SUMIFS('Source 2026'!$K:$K,'Source 2026'!$B:$B,$A105,'Source 2026'!$A:$A,"Quantity (units)")+SUMIFS('Source 2026'!$O:$O,'Source 2026'!$B:$B,$A105,'Source 2026'!$A:$A,"Quantity (units)")+SUMIFS('Source 2026'!$R:$R,'Source 2026'!$B:$B,$A105,'Source 2026'!$A:$A,"Quantity (units)")+SUMIFS('Source 2026'!$P:$P,'Source 2026'!$B:$B,$A105,'Source 2026'!$A:$A,"Quantity (units)")+SUMIFS('Source 2026'!$J:$J,'Source 2026'!$B:$B,$A105,'Source 2026'!$A:$A,"Quantity (units)")+SUMIFS('Source 2026'!$L:$L,'Source 2026'!$B:$B,$A105,'Source 2026'!$A:$A,"Quantity (units)")</f>
        <v>0</v>
      </c>
      <c r="E105" s="9" t="n">
        <f aca="false">D105*$J$5</f>
        <v>0</v>
      </c>
      <c r="F105" s="9" t="n">
        <f aca="false">E105-C105</f>
        <v>-16</v>
      </c>
      <c r="G105" s="11" t="n">
        <f aca="false">IF(AND(C105=0,E105=0),0,IF(C105=0,"New",(E105-C105)/C105))</f>
        <v>-1</v>
      </c>
      <c r="H105" s="9" t="n">
        <f aca="false">SUMIFS('Source 2025'!$K:$K,'Source 2025'!$B:$B,$A105,'Source 2025'!$A:$A,"Amount (NIS)")+SUMIFS('Source 2025'!$O:$O,'Source 2025'!$B:$B,$A105,'Source 2025'!$A:$A,"Amount (NIS)")+SUMIFS('Source 2025'!$R:$R,'Source 2025'!$B:$B,$A105,'Source 2025'!$A:$A,"Amount (NIS)")+SUMIFS('Source 2025'!$P:$P,'Source 2025'!$B:$B,$A105,'Source 2025'!$A:$A,"Amount (NIS)")+SUMIFS('Source 2025'!$J:$J,'Source 2025'!$B:$B,$A105,'Source 2025'!$A:$A,"Amount (NIS)")+SUMIFS('Source 2025'!$L:$L,'Source 2025'!$B:$B,$A105,'Source 2025'!$A:$A,"Amount (NIS)")</f>
        <v>605.5</v>
      </c>
      <c r="I105" s="9" t="n">
        <f aca="false">SUMIFS('Source 2026'!$K:$K,'Source 2026'!$B:$B,$A105,'Source 2026'!$A:$A,"Amount (NIS)")+SUMIFS('Source 2026'!$O:$O,'Source 2026'!$B:$B,$A105,'Source 2026'!$A:$A,"Amount (NIS)")+SUMIFS('Source 2026'!$R:$R,'Source 2026'!$B:$B,$A105,'Source 2026'!$A:$A,"Amount (NIS)")+SUMIFS('Source 2026'!$P:$P,'Source 2026'!$B:$B,$A105,'Source 2026'!$A:$A,"Amount (NIS)")+SUMIFS('Source 2026'!$J:$J,'Source 2026'!$B:$B,$A105,'Source 2026'!$A:$A,"Amount (NIS)")+SUMIFS('Source 2026'!$L:$L,'Source 2026'!$B:$B,$A105,'Source 2026'!$A:$A,"Amount (NIS)")</f>
        <v>0</v>
      </c>
      <c r="J105" s="9" t="n">
        <f aca="false">I105*$J$5</f>
        <v>0</v>
      </c>
      <c r="K105" s="9" t="n">
        <f aca="false">J105-H105</f>
        <v>-605.5</v>
      </c>
      <c r="L105" s="11" t="n">
        <f aca="false">IF(AND(H105=0,J105=0),0,IF(H105=0,"New",(J105-H105)/H105))</f>
        <v>-1</v>
      </c>
    </row>
    <row r="106" customFormat="false" ht="15" hidden="false" customHeight="true" outlineLevel="0" collapsed="false">
      <c r="A106" s="8" t="s">
        <v>128</v>
      </c>
      <c r="B106" s="8" t="str">
        <f aca="false">IFERROR(INDEX('Source 2026'!$C:$C,MATCH($A106,'Source 2026'!$B:$B,0)),IFERROR(INDEX('Source 2025'!$C:$C,MATCH($A106,'Source 2025'!$B:$B,0)),""))</f>
        <v>גרב.כסף לסכרתים שחור35-38</v>
      </c>
      <c r="C106" s="9" t="n">
        <f aca="false">SUMIFS('Source 2025'!$K:$K,'Source 2025'!$B:$B,$A106,'Source 2025'!$A:$A,"Quantity (units)")+SUMIFS('Source 2025'!$O:$O,'Source 2025'!$B:$B,$A106,'Source 2025'!$A:$A,"Quantity (units)")+SUMIFS('Source 2025'!$R:$R,'Source 2025'!$B:$B,$A106,'Source 2025'!$A:$A,"Quantity (units)")+SUMIFS('Source 2025'!$P:$P,'Source 2025'!$B:$B,$A106,'Source 2025'!$A:$A,"Quantity (units)")+SUMIFS('Source 2025'!$J:$J,'Source 2025'!$B:$B,$A106,'Source 2025'!$A:$A,"Quantity (units)")+SUMIFS('Source 2025'!$L:$L,'Source 2025'!$B:$B,$A106,'Source 2025'!$A:$A,"Quantity (units)")</f>
        <v>25</v>
      </c>
      <c r="D106" s="9" t="n">
        <f aca="false">SUMIFS('Source 2026'!$K:$K,'Source 2026'!$B:$B,$A106,'Source 2026'!$A:$A,"Quantity (units)")+SUMIFS('Source 2026'!$O:$O,'Source 2026'!$B:$B,$A106,'Source 2026'!$A:$A,"Quantity (units)")+SUMIFS('Source 2026'!$R:$R,'Source 2026'!$B:$B,$A106,'Source 2026'!$A:$A,"Quantity (units)")+SUMIFS('Source 2026'!$P:$P,'Source 2026'!$B:$B,$A106,'Source 2026'!$A:$A,"Quantity (units)")+SUMIFS('Source 2026'!$J:$J,'Source 2026'!$B:$B,$A106,'Source 2026'!$A:$A,"Quantity (units)")+SUMIFS('Source 2026'!$L:$L,'Source 2026'!$B:$B,$A106,'Source 2026'!$A:$A,"Quantity (units)")</f>
        <v>2</v>
      </c>
      <c r="E106" s="9" t="n">
        <f aca="false">D106*$J$5</f>
        <v>2.52631578947368</v>
      </c>
      <c r="F106" s="9" t="n">
        <f aca="false">E106-C106</f>
        <v>-22.4736842105263</v>
      </c>
      <c r="G106" s="11" t="n">
        <f aca="false">IF(AND(C106=0,E106=0),0,IF(C106=0,"New",(E106-C106)/C106))</f>
        <v>-0.898947368421053</v>
      </c>
      <c r="H106" s="9" t="n">
        <f aca="false">SUMIFS('Source 2025'!$K:$K,'Source 2025'!$B:$B,$A106,'Source 2025'!$A:$A,"Amount (NIS)")+SUMIFS('Source 2025'!$O:$O,'Source 2025'!$B:$B,$A106,'Source 2025'!$A:$A,"Amount (NIS)")+SUMIFS('Source 2025'!$R:$R,'Source 2025'!$B:$B,$A106,'Source 2025'!$A:$A,"Amount (NIS)")+SUMIFS('Source 2025'!$P:$P,'Source 2025'!$B:$B,$A106,'Source 2025'!$A:$A,"Amount (NIS)")+SUMIFS('Source 2025'!$J:$J,'Source 2025'!$B:$B,$A106,'Source 2025'!$A:$A,"Amount (NIS)")+SUMIFS('Source 2025'!$L:$L,'Source 2025'!$B:$B,$A106,'Source 2025'!$A:$A,"Amount (NIS)")</f>
        <v>600.5</v>
      </c>
      <c r="I106" s="9" t="n">
        <f aca="false">SUMIFS('Source 2026'!$K:$K,'Source 2026'!$B:$B,$A106,'Source 2026'!$A:$A,"Amount (NIS)")+SUMIFS('Source 2026'!$O:$O,'Source 2026'!$B:$B,$A106,'Source 2026'!$A:$A,"Amount (NIS)")+SUMIFS('Source 2026'!$R:$R,'Source 2026'!$B:$B,$A106,'Source 2026'!$A:$A,"Amount (NIS)")+SUMIFS('Source 2026'!$P:$P,'Source 2026'!$B:$B,$A106,'Source 2026'!$A:$A,"Amount (NIS)")+SUMIFS('Source 2026'!$J:$J,'Source 2026'!$B:$B,$A106,'Source 2026'!$A:$A,"Amount (NIS)")+SUMIFS('Source 2026'!$L:$L,'Source 2026'!$B:$B,$A106,'Source 2026'!$A:$A,"Amount (NIS)")</f>
        <v>21.1</v>
      </c>
      <c r="J106" s="9" t="n">
        <f aca="false">I106*$J$5</f>
        <v>26.6526315789474</v>
      </c>
      <c r="K106" s="9" t="n">
        <f aca="false">J106-H106</f>
        <v>-573.847368421053</v>
      </c>
      <c r="L106" s="11" t="n">
        <f aca="false">IF(AND(H106=0,J106=0),0,IF(H106=0,"New",(J106-H106)/H106))</f>
        <v>-0.955615934090013</v>
      </c>
    </row>
    <row r="107" customFormat="false" ht="15" hidden="false" customHeight="true" outlineLevel="0" collapsed="false">
      <c r="A107" s="8" t="s">
        <v>120</v>
      </c>
      <c r="B107" s="8" t="str">
        <f aca="false">IFERROR(INDEX('Source 2026'!$C:$C,MATCH($A107,'Source 2026'!$B:$B,0)),IFERROR(INDEX('Source 2025'!$C:$C,MATCH($A107,'Source 2025'!$B:$B,0)),""))</f>
        <v>S תומך זרוע וכתף</v>
      </c>
      <c r="C107" s="9" t="n">
        <f aca="false">SUMIFS('Source 2025'!$K:$K,'Source 2025'!$B:$B,$A107,'Source 2025'!$A:$A,"Quantity (units)")+SUMIFS('Source 2025'!$O:$O,'Source 2025'!$B:$B,$A107,'Source 2025'!$A:$A,"Quantity (units)")+SUMIFS('Source 2025'!$R:$R,'Source 2025'!$B:$B,$A107,'Source 2025'!$A:$A,"Quantity (units)")+SUMIFS('Source 2025'!$P:$P,'Source 2025'!$B:$B,$A107,'Source 2025'!$A:$A,"Quantity (units)")+SUMIFS('Source 2025'!$J:$J,'Source 2025'!$B:$B,$A107,'Source 2025'!$A:$A,"Quantity (units)")+SUMIFS('Source 2025'!$L:$L,'Source 2025'!$B:$B,$A107,'Source 2025'!$A:$A,"Quantity (units)")</f>
        <v>7</v>
      </c>
      <c r="D107" s="9" t="n">
        <f aca="false">SUMIFS('Source 2026'!$K:$K,'Source 2026'!$B:$B,$A107,'Source 2026'!$A:$A,"Quantity (units)")+SUMIFS('Source 2026'!$O:$O,'Source 2026'!$B:$B,$A107,'Source 2026'!$A:$A,"Quantity (units)")+SUMIFS('Source 2026'!$R:$R,'Source 2026'!$B:$B,$A107,'Source 2026'!$A:$A,"Quantity (units)")+SUMIFS('Source 2026'!$P:$P,'Source 2026'!$B:$B,$A107,'Source 2026'!$A:$A,"Quantity (units)")+SUMIFS('Source 2026'!$J:$J,'Source 2026'!$B:$B,$A107,'Source 2026'!$A:$A,"Quantity (units)")+SUMIFS('Source 2026'!$L:$L,'Source 2026'!$B:$B,$A107,'Source 2026'!$A:$A,"Quantity (units)")</f>
        <v>4</v>
      </c>
      <c r="E107" s="9" t="n">
        <f aca="false">D107*$J$5</f>
        <v>5.05263157894737</v>
      </c>
      <c r="F107" s="9" t="n">
        <f aca="false">E107-C107</f>
        <v>-1.94736842105263</v>
      </c>
      <c r="G107" s="11" t="n">
        <f aca="false">IF(AND(C107=0,E107=0),0,IF(C107=0,"New",(E107-C107)/C107))</f>
        <v>-0.278195488721805</v>
      </c>
      <c r="H107" s="9" t="n">
        <f aca="false">SUMIFS('Source 2025'!$K:$K,'Source 2025'!$B:$B,$A107,'Source 2025'!$A:$A,"Amount (NIS)")+SUMIFS('Source 2025'!$O:$O,'Source 2025'!$B:$B,$A107,'Source 2025'!$A:$A,"Amount (NIS)")+SUMIFS('Source 2025'!$R:$R,'Source 2025'!$B:$B,$A107,'Source 2025'!$A:$A,"Amount (NIS)")+SUMIFS('Source 2025'!$P:$P,'Source 2025'!$B:$B,$A107,'Source 2025'!$A:$A,"Amount (NIS)")+SUMIFS('Source 2025'!$J:$J,'Source 2025'!$B:$B,$A107,'Source 2025'!$A:$A,"Amount (NIS)")+SUMIFS('Source 2025'!$L:$L,'Source 2025'!$B:$B,$A107,'Source 2025'!$A:$A,"Amount (NIS)")</f>
        <v>1311.1</v>
      </c>
      <c r="I107" s="9" t="n">
        <f aca="false">SUMIFS('Source 2026'!$K:$K,'Source 2026'!$B:$B,$A107,'Source 2026'!$A:$A,"Amount (NIS)")+SUMIFS('Source 2026'!$O:$O,'Source 2026'!$B:$B,$A107,'Source 2026'!$A:$A,"Amount (NIS)")+SUMIFS('Source 2026'!$R:$R,'Source 2026'!$B:$B,$A107,'Source 2026'!$A:$A,"Amount (NIS)")+SUMIFS('Source 2026'!$P:$P,'Source 2026'!$B:$B,$A107,'Source 2026'!$A:$A,"Amount (NIS)")+SUMIFS('Source 2026'!$J:$J,'Source 2026'!$B:$B,$A107,'Source 2026'!$A:$A,"Amount (NIS)")+SUMIFS('Source 2026'!$L:$L,'Source 2026'!$B:$B,$A107,'Source 2026'!$A:$A,"Amount (NIS)")</f>
        <v>749.2</v>
      </c>
      <c r="J107" s="9" t="n">
        <f aca="false">I107*$J$5</f>
        <v>946.357894736842</v>
      </c>
      <c r="K107" s="9" t="n">
        <f aca="false">J107-H107</f>
        <v>-364.742105263158</v>
      </c>
      <c r="L107" s="11" t="n">
        <f aca="false">IF(AND(H107=0,J107=0),0,IF(H107=0,"New",(J107-H107)/H107))</f>
        <v>-0.278195488721804</v>
      </c>
    </row>
    <row r="108" customFormat="false" ht="15" hidden="false" customHeight="true" outlineLevel="0" collapsed="false">
      <c r="A108" s="8" t="s">
        <v>182</v>
      </c>
      <c r="B108" s="8" t="str">
        <f aca="false">IFERROR(INDEX('Source 2026'!$C:$C,MATCH($A108,'Source 2026'!$B:$B,0)),IFERROR(INDEX('Source 2025'!$C:$C,MATCH($A108,'Source 2025'!$B:$B,0)),""))</f>
        <v>3667 מגן בוניון</v>
      </c>
      <c r="C108" s="9" t="n">
        <f aca="false">SUMIFS('Source 2025'!$K:$K,'Source 2025'!$B:$B,$A108,'Source 2025'!$A:$A,"Quantity (units)")+SUMIFS('Source 2025'!$O:$O,'Source 2025'!$B:$B,$A108,'Source 2025'!$A:$A,"Quantity (units)")+SUMIFS('Source 2025'!$R:$R,'Source 2025'!$B:$B,$A108,'Source 2025'!$A:$A,"Quantity (units)")+SUMIFS('Source 2025'!$P:$P,'Source 2025'!$B:$B,$A108,'Source 2025'!$A:$A,"Quantity (units)")+SUMIFS('Source 2025'!$J:$J,'Source 2025'!$B:$B,$A108,'Source 2025'!$A:$A,"Quantity (units)")+SUMIFS('Source 2025'!$L:$L,'Source 2025'!$B:$B,$A108,'Source 2025'!$A:$A,"Quantity (units)")</f>
        <v>79</v>
      </c>
      <c r="D108" s="9" t="n">
        <f aca="false">SUMIFS('Source 2026'!$K:$K,'Source 2026'!$B:$B,$A108,'Source 2026'!$A:$A,"Quantity (units)")+SUMIFS('Source 2026'!$O:$O,'Source 2026'!$B:$B,$A108,'Source 2026'!$A:$A,"Quantity (units)")+SUMIFS('Source 2026'!$R:$R,'Source 2026'!$B:$B,$A108,'Source 2026'!$A:$A,"Quantity (units)")+SUMIFS('Source 2026'!$P:$P,'Source 2026'!$B:$B,$A108,'Source 2026'!$A:$A,"Quantity (units)")+SUMIFS('Source 2026'!$J:$J,'Source 2026'!$B:$B,$A108,'Source 2026'!$A:$A,"Quantity (units)")+SUMIFS('Source 2026'!$L:$L,'Source 2026'!$B:$B,$A108,'Source 2026'!$A:$A,"Quantity (units)")</f>
        <v>60</v>
      </c>
      <c r="E108" s="9" t="n">
        <f aca="false">D108*$J$5</f>
        <v>75.7894736842105</v>
      </c>
      <c r="F108" s="9" t="n">
        <f aca="false">E108-C108</f>
        <v>-3.21052631578948</v>
      </c>
      <c r="G108" s="11" t="n">
        <f aca="false">IF(AND(C108=0,E108=0),0,IF(C108=0,"New",(E108-C108)/C108))</f>
        <v>-0.0406395736175884</v>
      </c>
      <c r="H108" s="9" t="n">
        <f aca="false">SUMIFS('Source 2025'!$K:$K,'Source 2025'!$B:$B,$A108,'Source 2025'!$A:$A,"Amount (NIS)")+SUMIFS('Source 2025'!$O:$O,'Source 2025'!$B:$B,$A108,'Source 2025'!$A:$A,"Amount (NIS)")+SUMIFS('Source 2025'!$R:$R,'Source 2025'!$B:$B,$A108,'Source 2025'!$A:$A,"Amount (NIS)")+SUMIFS('Source 2025'!$P:$P,'Source 2025'!$B:$B,$A108,'Source 2025'!$A:$A,"Amount (NIS)")+SUMIFS('Source 2025'!$J:$J,'Source 2025'!$B:$B,$A108,'Source 2025'!$A:$A,"Amount (NIS)")+SUMIFS('Source 2025'!$L:$L,'Source 2025'!$B:$B,$A108,'Source 2025'!$A:$A,"Amount (NIS)")</f>
        <v>2285.5</v>
      </c>
      <c r="I108" s="9" t="n">
        <f aca="false">SUMIFS('Source 2026'!$K:$K,'Source 2026'!$B:$B,$A108,'Source 2026'!$A:$A,"Amount (NIS)")+SUMIFS('Source 2026'!$O:$O,'Source 2026'!$B:$B,$A108,'Source 2026'!$A:$A,"Amount (NIS)")+SUMIFS('Source 2026'!$R:$R,'Source 2026'!$B:$B,$A108,'Source 2026'!$A:$A,"Amount (NIS)")+SUMIFS('Source 2026'!$P:$P,'Source 2026'!$B:$B,$A108,'Source 2026'!$A:$A,"Amount (NIS)")+SUMIFS('Source 2026'!$J:$J,'Source 2026'!$B:$B,$A108,'Source 2026'!$A:$A,"Amount (NIS)")+SUMIFS('Source 2026'!$L:$L,'Source 2026'!$B:$B,$A108,'Source 2026'!$A:$A,"Amount (NIS)")</f>
        <v>1729.8</v>
      </c>
      <c r="J108" s="9" t="n">
        <f aca="false">I108*$J$5</f>
        <v>2185.01052631579</v>
      </c>
      <c r="K108" s="9" t="n">
        <f aca="false">J108-H108</f>
        <v>-100.48947368421</v>
      </c>
      <c r="L108" s="11" t="n">
        <f aca="false">IF(AND(H108=0,J108=0),0,IF(H108=0,"New",(J108-H108)/H108))</f>
        <v>-0.0439682667618509</v>
      </c>
    </row>
    <row r="109" customFormat="false" ht="15" hidden="false" customHeight="true" outlineLevel="0" collapsed="false">
      <c r="A109" s="8" t="s">
        <v>199</v>
      </c>
      <c r="B109" s="8" t="str">
        <f aca="false">IFERROR(INDEX('Source 2026'!$C:$C,MATCH($A109,'Source 2026'!$B:$B,0)),IFERROR(INDEX('Source 2025'!$C:$C,MATCH($A109,'Source 2025'!$B:$B,0)),""))</f>
        <v>סד ליישור אצבע</v>
      </c>
      <c r="C109" s="9" t="n">
        <f aca="false">SUMIFS('Source 2025'!$K:$K,'Source 2025'!$B:$B,$A109,'Source 2025'!$A:$A,"Quantity (units)")+SUMIFS('Source 2025'!$O:$O,'Source 2025'!$B:$B,$A109,'Source 2025'!$A:$A,"Quantity (units)")+SUMIFS('Source 2025'!$R:$R,'Source 2025'!$B:$B,$A109,'Source 2025'!$A:$A,"Quantity (units)")+SUMIFS('Source 2025'!$P:$P,'Source 2025'!$B:$B,$A109,'Source 2025'!$A:$A,"Quantity (units)")+SUMIFS('Source 2025'!$J:$J,'Source 2025'!$B:$B,$A109,'Source 2025'!$A:$A,"Quantity (units)")+SUMIFS('Source 2025'!$L:$L,'Source 2025'!$B:$B,$A109,'Source 2025'!$A:$A,"Quantity (units)")</f>
        <v>249</v>
      </c>
      <c r="D109" s="9" t="n">
        <f aca="false">SUMIFS('Source 2026'!$K:$K,'Source 2026'!$B:$B,$A109,'Source 2026'!$A:$A,"Quantity (units)")+SUMIFS('Source 2026'!$O:$O,'Source 2026'!$B:$B,$A109,'Source 2026'!$A:$A,"Quantity (units)")+SUMIFS('Source 2026'!$R:$R,'Source 2026'!$B:$B,$A109,'Source 2026'!$A:$A,"Quantity (units)")+SUMIFS('Source 2026'!$P:$P,'Source 2026'!$B:$B,$A109,'Source 2026'!$A:$A,"Quantity (units)")+SUMIFS('Source 2026'!$J:$J,'Source 2026'!$B:$B,$A109,'Source 2026'!$A:$A,"Quantity (units)")+SUMIFS('Source 2026'!$L:$L,'Source 2026'!$B:$B,$A109,'Source 2026'!$A:$A,"Quantity (units)")</f>
        <v>215</v>
      </c>
      <c r="E109" s="9" t="n">
        <f aca="false">D109*$J$5</f>
        <v>271.578947368421</v>
      </c>
      <c r="F109" s="9" t="n">
        <f aca="false">E109-C109</f>
        <v>22.578947368421</v>
      </c>
      <c r="G109" s="11" t="n">
        <f aca="false">IF(AND(C109=0,E109=0),0,IF(C109=0,"New",(E109-C109)/C109))</f>
        <v>0.0906785034876347</v>
      </c>
      <c r="H109" s="9" t="n">
        <f aca="false">SUMIFS('Source 2025'!$K:$K,'Source 2025'!$B:$B,$A109,'Source 2025'!$A:$A,"Amount (NIS)")+SUMIFS('Source 2025'!$O:$O,'Source 2025'!$B:$B,$A109,'Source 2025'!$A:$A,"Amount (NIS)")+SUMIFS('Source 2025'!$R:$R,'Source 2025'!$B:$B,$A109,'Source 2025'!$A:$A,"Amount (NIS)")+SUMIFS('Source 2025'!$P:$P,'Source 2025'!$B:$B,$A109,'Source 2025'!$A:$A,"Amount (NIS)")+SUMIFS('Source 2025'!$J:$J,'Source 2025'!$B:$B,$A109,'Source 2025'!$A:$A,"Amount (NIS)")+SUMIFS('Source 2025'!$L:$L,'Source 2025'!$B:$B,$A109,'Source 2025'!$A:$A,"Amount (NIS)")</f>
        <v>3834.6</v>
      </c>
      <c r="I109" s="9" t="n">
        <f aca="false">SUMIFS('Source 2026'!$K:$K,'Source 2026'!$B:$B,$A109,'Source 2026'!$A:$A,"Amount (NIS)")+SUMIFS('Source 2026'!$O:$O,'Source 2026'!$B:$B,$A109,'Source 2026'!$A:$A,"Amount (NIS)")+SUMIFS('Source 2026'!$R:$R,'Source 2026'!$B:$B,$A109,'Source 2026'!$A:$A,"Amount (NIS)")+SUMIFS('Source 2026'!$P:$P,'Source 2026'!$B:$B,$A109,'Source 2026'!$A:$A,"Amount (NIS)")+SUMIFS('Source 2026'!$J:$J,'Source 2026'!$B:$B,$A109,'Source 2026'!$A:$A,"Amount (NIS)")+SUMIFS('Source 2026'!$L:$L,'Source 2026'!$B:$B,$A109,'Source 2026'!$A:$A,"Amount (NIS)")</f>
        <v>3311</v>
      </c>
      <c r="J109" s="9" t="n">
        <f aca="false">I109*$J$5</f>
        <v>4182.31578947368</v>
      </c>
      <c r="K109" s="9" t="n">
        <f aca="false">J109-H109</f>
        <v>347.715789473684</v>
      </c>
      <c r="L109" s="11" t="n">
        <f aca="false">IF(AND(H109=0,J109=0),0,IF(H109=0,"New",(J109-H109)/H109))</f>
        <v>0.0906785034876346</v>
      </c>
    </row>
    <row r="110" customFormat="false" ht="15" hidden="false" customHeight="true" outlineLevel="0" collapsed="false">
      <c r="A110" s="8" t="s">
        <v>84</v>
      </c>
      <c r="B110" s="8" t="str">
        <f aca="false">IFERROR(INDEX('Source 2026'!$C:$C,MATCH($A110,'Source 2026'!$B:$B,0)),IFERROR(INDEX('Source 2025'!$C:$C,MATCH($A110,'Source 2025'!$B:$B,0)),""))</f>
        <v>L עקבים לדורבן-זוג כריות</v>
      </c>
      <c r="C110" s="9" t="n">
        <f aca="false">SUMIFS('Source 2025'!$K:$K,'Source 2025'!$B:$B,$A110,'Source 2025'!$A:$A,"Quantity (units)")+SUMIFS('Source 2025'!$O:$O,'Source 2025'!$B:$B,$A110,'Source 2025'!$A:$A,"Quantity (units)")+SUMIFS('Source 2025'!$R:$R,'Source 2025'!$B:$B,$A110,'Source 2025'!$A:$A,"Quantity (units)")+SUMIFS('Source 2025'!$P:$P,'Source 2025'!$B:$B,$A110,'Source 2025'!$A:$A,"Quantity (units)")+SUMIFS('Source 2025'!$J:$J,'Source 2025'!$B:$B,$A110,'Source 2025'!$A:$A,"Quantity (units)")+SUMIFS('Source 2025'!$L:$L,'Source 2025'!$B:$B,$A110,'Source 2025'!$A:$A,"Quantity (units)")</f>
        <v>295</v>
      </c>
      <c r="D110" s="9" t="n">
        <f aca="false">SUMIFS('Source 2026'!$K:$K,'Source 2026'!$B:$B,$A110,'Source 2026'!$A:$A,"Quantity (units)")+SUMIFS('Source 2026'!$O:$O,'Source 2026'!$B:$B,$A110,'Source 2026'!$A:$A,"Quantity (units)")+SUMIFS('Source 2026'!$R:$R,'Source 2026'!$B:$B,$A110,'Source 2026'!$A:$A,"Quantity (units)")+SUMIFS('Source 2026'!$P:$P,'Source 2026'!$B:$B,$A110,'Source 2026'!$A:$A,"Quantity (units)")+SUMIFS('Source 2026'!$J:$J,'Source 2026'!$B:$B,$A110,'Source 2026'!$A:$A,"Quantity (units)")+SUMIFS('Source 2026'!$L:$L,'Source 2026'!$B:$B,$A110,'Source 2026'!$A:$A,"Quantity (units)")</f>
        <v>288</v>
      </c>
      <c r="E110" s="9" t="n">
        <f aca="false">D110*$J$5</f>
        <v>363.789473684211</v>
      </c>
      <c r="F110" s="9" t="n">
        <f aca="false">E110-C110</f>
        <v>68.7894736842105</v>
      </c>
      <c r="G110" s="11" t="n">
        <f aca="false">IF(AND(C110=0,E110=0),0,IF(C110=0,"New",(E110-C110)/C110))</f>
        <v>0.233184656556646</v>
      </c>
      <c r="H110" s="9" t="n">
        <f aca="false">SUMIFS('Source 2025'!$K:$K,'Source 2025'!$B:$B,$A110,'Source 2025'!$A:$A,"Amount (NIS)")+SUMIFS('Source 2025'!$O:$O,'Source 2025'!$B:$B,$A110,'Source 2025'!$A:$A,"Amount (NIS)")+SUMIFS('Source 2025'!$R:$R,'Source 2025'!$B:$B,$A110,'Source 2025'!$A:$A,"Amount (NIS)")+SUMIFS('Source 2025'!$P:$P,'Source 2025'!$B:$B,$A110,'Source 2025'!$A:$A,"Amount (NIS)")+SUMIFS('Source 2025'!$J:$J,'Source 2025'!$B:$B,$A110,'Source 2025'!$A:$A,"Amount (NIS)")+SUMIFS('Source 2025'!$L:$L,'Source 2025'!$B:$B,$A110,'Source 2025'!$A:$A,"Amount (NIS)")</f>
        <v>25755.1</v>
      </c>
      <c r="I110" s="9" t="n">
        <f aca="false">SUMIFS('Source 2026'!$K:$K,'Source 2026'!$B:$B,$A110,'Source 2026'!$A:$A,"Amount (NIS)")+SUMIFS('Source 2026'!$O:$O,'Source 2026'!$B:$B,$A110,'Source 2026'!$A:$A,"Amount (NIS)")+SUMIFS('Source 2026'!$R:$R,'Source 2026'!$B:$B,$A110,'Source 2026'!$A:$A,"Amount (NIS)")+SUMIFS('Source 2026'!$P:$P,'Source 2026'!$B:$B,$A110,'Source 2026'!$A:$A,"Amount (NIS)")+SUMIFS('Source 2026'!$J:$J,'Source 2026'!$B:$B,$A110,'Source 2026'!$A:$A,"Amount (NIS)")+SUMIFS('Source 2026'!$L:$L,'Source 2026'!$B:$B,$A110,'Source 2026'!$A:$A,"Amount (NIS)")</f>
        <v>25241.6</v>
      </c>
      <c r="J110" s="9" t="n">
        <f aca="false">I110*$J$5</f>
        <v>31884.1263157895</v>
      </c>
      <c r="K110" s="9" t="n">
        <f aca="false">J110-H110</f>
        <v>6129.02631578947</v>
      </c>
      <c r="L110" s="11" t="n">
        <f aca="false">IF(AND(H110=0,J110=0),0,IF(H110=0,"New",(J110-H110)/H110))</f>
        <v>0.237973306870852</v>
      </c>
    </row>
    <row r="111" customFormat="false" ht="15" hidden="false" customHeight="true" outlineLevel="0" collapsed="false">
      <c r="A111" s="8" t="s">
        <v>232</v>
      </c>
      <c r="B111" s="8" t="str">
        <f aca="false">IFERROR(INDEX('Source 2026'!$C:$C,MATCH($A111,'Source 2026'!$B:$B,0)),IFERROR(INDEX('Source 2025'!$C:$C,MATCH($A111,'Source 2025'!$B:$B,0)),""))</f>
        <v>0 חגורה למנותחי בית חזה</v>
      </c>
      <c r="C111" s="9" t="n">
        <f aca="false">SUMIFS('Source 2025'!$K:$K,'Source 2025'!$B:$B,$A111,'Source 2025'!$A:$A,"Quantity (units)")+SUMIFS('Source 2025'!$O:$O,'Source 2025'!$B:$B,$A111,'Source 2025'!$A:$A,"Quantity (units)")+SUMIFS('Source 2025'!$R:$R,'Source 2025'!$B:$B,$A111,'Source 2025'!$A:$A,"Quantity (units)")+SUMIFS('Source 2025'!$P:$P,'Source 2025'!$B:$B,$A111,'Source 2025'!$A:$A,"Quantity (units)")+SUMIFS('Source 2025'!$J:$J,'Source 2025'!$B:$B,$A111,'Source 2025'!$A:$A,"Quantity (units)")+SUMIFS('Source 2025'!$L:$L,'Source 2025'!$B:$B,$A111,'Source 2025'!$A:$A,"Quantity (units)")</f>
        <v>0</v>
      </c>
      <c r="D111" s="9" t="n">
        <f aca="false">SUMIFS('Source 2026'!$K:$K,'Source 2026'!$B:$B,$A111,'Source 2026'!$A:$A,"Quantity (units)")+SUMIFS('Source 2026'!$O:$O,'Source 2026'!$B:$B,$A111,'Source 2026'!$A:$A,"Quantity (units)")+SUMIFS('Source 2026'!$R:$R,'Source 2026'!$B:$B,$A111,'Source 2026'!$A:$A,"Quantity (units)")+SUMIFS('Source 2026'!$P:$P,'Source 2026'!$B:$B,$A111,'Source 2026'!$A:$A,"Quantity (units)")+SUMIFS('Source 2026'!$J:$J,'Source 2026'!$B:$B,$A111,'Source 2026'!$A:$A,"Quantity (units)")+SUMIFS('Source 2026'!$L:$L,'Source 2026'!$B:$B,$A111,'Source 2026'!$A:$A,"Quantity (units)")</f>
        <v>2</v>
      </c>
      <c r="E111" s="9" t="n">
        <f aca="false">D111*$J$5</f>
        <v>2.52631578947368</v>
      </c>
      <c r="F111" s="9" t="n">
        <f aca="false">E111-C111</f>
        <v>2.52631578947368</v>
      </c>
      <c r="G111" s="11" t="str">
        <f aca="false">IF(AND(C111=0,E111=0),0,IF(C111=0,"New",(E111-C111)/C111))</f>
        <v>New</v>
      </c>
      <c r="H111" s="9" t="n">
        <f aca="false">SUMIFS('Source 2025'!$K:$K,'Source 2025'!$B:$B,$A111,'Source 2025'!$A:$A,"Amount (NIS)")+SUMIFS('Source 2025'!$O:$O,'Source 2025'!$B:$B,$A111,'Source 2025'!$A:$A,"Amount (NIS)")+SUMIFS('Source 2025'!$R:$R,'Source 2025'!$B:$B,$A111,'Source 2025'!$A:$A,"Amount (NIS)")+SUMIFS('Source 2025'!$P:$P,'Source 2025'!$B:$B,$A111,'Source 2025'!$A:$A,"Amount (NIS)")+SUMIFS('Source 2025'!$J:$J,'Source 2025'!$B:$B,$A111,'Source 2025'!$A:$A,"Amount (NIS)")+SUMIFS('Source 2025'!$L:$L,'Source 2025'!$B:$B,$A111,'Source 2025'!$A:$A,"Amount (NIS)")</f>
        <v>0</v>
      </c>
      <c r="I111" s="9" t="n">
        <f aca="false">SUMIFS('Source 2026'!$K:$K,'Source 2026'!$B:$B,$A111,'Source 2026'!$A:$A,"Amount (NIS)")+SUMIFS('Source 2026'!$O:$O,'Source 2026'!$B:$B,$A111,'Source 2026'!$A:$A,"Amount (NIS)")+SUMIFS('Source 2026'!$R:$R,'Source 2026'!$B:$B,$A111,'Source 2026'!$A:$A,"Amount (NIS)")+SUMIFS('Source 2026'!$P:$P,'Source 2026'!$B:$B,$A111,'Source 2026'!$A:$A,"Amount (NIS)")+SUMIFS('Source 2026'!$J:$J,'Source 2026'!$B:$B,$A111,'Source 2026'!$A:$A,"Amount (NIS)")+SUMIFS('Source 2026'!$L:$L,'Source 2026'!$B:$B,$A111,'Source 2026'!$A:$A,"Amount (NIS)")</f>
        <v>502.9</v>
      </c>
      <c r="J111" s="9" t="n">
        <f aca="false">I111*$J$5</f>
        <v>635.242105263158</v>
      </c>
      <c r="K111" s="9" t="n">
        <f aca="false">J111-H111</f>
        <v>635.242105263158</v>
      </c>
      <c r="L111" s="11" t="str">
        <f aca="false">IF(AND(H111=0,J111=0),0,IF(H111=0,"New",(J111-H111)/H111))</f>
        <v>New</v>
      </c>
    </row>
    <row r="112" customFormat="false" ht="15" hidden="false" customHeight="true" outlineLevel="0" collapsed="false">
      <c r="A112" s="8" t="s">
        <v>152</v>
      </c>
      <c r="B112" s="8" t="str">
        <f aca="false">IFERROR(INDEX('Source 2026'!$C:$C,MATCH($A112,'Source 2026'!$B:$B,0)),IFERROR(INDEX('Source 2025'!$C:$C,MATCH($A112,'Source 2025'!$B:$B,0)),""))</f>
        <v>Lמ.ברך+כרית סיל.סביב לפיקה</v>
      </c>
      <c r="C112" s="9" t="n">
        <f aca="false">SUMIFS('Source 2025'!$K:$K,'Source 2025'!$B:$B,$A112,'Source 2025'!$A:$A,"Quantity (units)")+SUMIFS('Source 2025'!$O:$O,'Source 2025'!$B:$B,$A112,'Source 2025'!$A:$A,"Quantity (units)")+SUMIFS('Source 2025'!$R:$R,'Source 2025'!$B:$B,$A112,'Source 2025'!$A:$A,"Quantity (units)")+SUMIFS('Source 2025'!$P:$P,'Source 2025'!$B:$B,$A112,'Source 2025'!$A:$A,"Quantity (units)")+SUMIFS('Source 2025'!$J:$J,'Source 2025'!$B:$B,$A112,'Source 2025'!$A:$A,"Quantity (units)")+SUMIFS('Source 2025'!$L:$L,'Source 2025'!$B:$B,$A112,'Source 2025'!$A:$A,"Quantity (units)")</f>
        <v>3</v>
      </c>
      <c r="D112" s="9" t="n">
        <f aca="false">SUMIFS('Source 2026'!$K:$K,'Source 2026'!$B:$B,$A112,'Source 2026'!$A:$A,"Quantity (units)")+SUMIFS('Source 2026'!$O:$O,'Source 2026'!$B:$B,$A112,'Source 2026'!$A:$A,"Quantity (units)")+SUMIFS('Source 2026'!$R:$R,'Source 2026'!$B:$B,$A112,'Source 2026'!$A:$A,"Quantity (units)")+SUMIFS('Source 2026'!$P:$P,'Source 2026'!$B:$B,$A112,'Source 2026'!$A:$A,"Quantity (units)")+SUMIFS('Source 2026'!$J:$J,'Source 2026'!$B:$B,$A112,'Source 2026'!$A:$A,"Quantity (units)")+SUMIFS('Source 2026'!$L:$L,'Source 2026'!$B:$B,$A112,'Source 2026'!$A:$A,"Quantity (units)")</f>
        <v>0</v>
      </c>
      <c r="E112" s="9" t="n">
        <f aca="false">D112*$J$5</f>
        <v>0</v>
      </c>
      <c r="F112" s="9" t="n">
        <f aca="false">E112-C112</f>
        <v>-3</v>
      </c>
      <c r="G112" s="11" t="n">
        <f aca="false">IF(AND(C112=0,E112=0),0,IF(C112=0,"New",(E112-C112)/C112))</f>
        <v>-1</v>
      </c>
      <c r="H112" s="9" t="n">
        <f aca="false">SUMIFS('Source 2025'!$K:$K,'Source 2025'!$B:$B,$A112,'Source 2025'!$A:$A,"Amount (NIS)")+SUMIFS('Source 2025'!$O:$O,'Source 2025'!$B:$B,$A112,'Source 2025'!$A:$A,"Amount (NIS)")+SUMIFS('Source 2025'!$R:$R,'Source 2025'!$B:$B,$A112,'Source 2025'!$A:$A,"Amount (NIS)")+SUMIFS('Source 2025'!$P:$P,'Source 2025'!$B:$B,$A112,'Source 2025'!$A:$A,"Amount (NIS)")+SUMIFS('Source 2025'!$J:$J,'Source 2025'!$B:$B,$A112,'Source 2025'!$A:$A,"Amount (NIS)")+SUMIFS('Source 2025'!$L:$L,'Source 2025'!$B:$B,$A112,'Source 2025'!$A:$A,"Amount (NIS)")</f>
        <v>489.6</v>
      </c>
      <c r="I112" s="9" t="n">
        <f aca="false">SUMIFS('Source 2026'!$K:$K,'Source 2026'!$B:$B,$A112,'Source 2026'!$A:$A,"Amount (NIS)")+SUMIFS('Source 2026'!$O:$O,'Source 2026'!$B:$B,$A112,'Source 2026'!$A:$A,"Amount (NIS)")+SUMIFS('Source 2026'!$R:$R,'Source 2026'!$B:$B,$A112,'Source 2026'!$A:$A,"Amount (NIS)")+SUMIFS('Source 2026'!$P:$P,'Source 2026'!$B:$B,$A112,'Source 2026'!$A:$A,"Amount (NIS)")+SUMIFS('Source 2026'!$J:$J,'Source 2026'!$B:$B,$A112,'Source 2026'!$A:$A,"Amount (NIS)")+SUMIFS('Source 2026'!$L:$L,'Source 2026'!$B:$B,$A112,'Source 2026'!$A:$A,"Amount (NIS)")</f>
        <v>0</v>
      </c>
      <c r="J112" s="9" t="n">
        <f aca="false">I112*$J$5</f>
        <v>0</v>
      </c>
      <c r="K112" s="9" t="n">
        <f aca="false">J112-H112</f>
        <v>-489.6</v>
      </c>
      <c r="L112" s="11" t="n">
        <f aca="false">IF(AND(H112=0,J112=0),0,IF(H112=0,"New",(J112-H112)/H112))</f>
        <v>-1</v>
      </c>
    </row>
    <row r="113" customFormat="false" ht="15" hidden="false" customHeight="true" outlineLevel="0" collapsed="false">
      <c r="A113" s="8" t="s">
        <v>311</v>
      </c>
      <c r="B113" s="8" t="str">
        <f aca="false">IFERROR(INDEX('Source 2026'!$C:$C,MATCH($A113,'Source 2026'!$B:$B,0)),IFERROR(INDEX('Source 2025'!$C:$C,MATCH($A113,'Source 2025'!$B:$B,0)),""))</f>
        <v>S מגן קרסול שמאל</v>
      </c>
      <c r="C113" s="9" t="n">
        <f aca="false">SUMIFS('Source 2025'!$K:$K,'Source 2025'!$B:$B,$A113,'Source 2025'!$A:$A,"Quantity (units)")+SUMIFS('Source 2025'!$O:$O,'Source 2025'!$B:$B,$A113,'Source 2025'!$A:$A,"Quantity (units)")+SUMIFS('Source 2025'!$R:$R,'Source 2025'!$B:$B,$A113,'Source 2025'!$A:$A,"Quantity (units)")+SUMIFS('Source 2025'!$P:$P,'Source 2025'!$B:$B,$A113,'Source 2025'!$A:$A,"Quantity (units)")+SUMIFS('Source 2025'!$J:$J,'Source 2025'!$B:$B,$A113,'Source 2025'!$A:$A,"Quantity (units)")+SUMIFS('Source 2025'!$L:$L,'Source 2025'!$B:$B,$A113,'Source 2025'!$A:$A,"Quantity (units)")</f>
        <v>20</v>
      </c>
      <c r="D113" s="9" t="n">
        <f aca="false">SUMIFS('Source 2026'!$K:$K,'Source 2026'!$B:$B,$A113,'Source 2026'!$A:$A,"Quantity (units)")+SUMIFS('Source 2026'!$O:$O,'Source 2026'!$B:$B,$A113,'Source 2026'!$A:$A,"Quantity (units)")+SUMIFS('Source 2026'!$R:$R,'Source 2026'!$B:$B,$A113,'Source 2026'!$A:$A,"Quantity (units)")+SUMIFS('Source 2026'!$P:$P,'Source 2026'!$B:$B,$A113,'Source 2026'!$A:$A,"Quantity (units)")+SUMIFS('Source 2026'!$J:$J,'Source 2026'!$B:$B,$A113,'Source 2026'!$A:$A,"Quantity (units)")+SUMIFS('Source 2026'!$L:$L,'Source 2026'!$B:$B,$A113,'Source 2026'!$A:$A,"Quantity (units)")</f>
        <v>25</v>
      </c>
      <c r="E113" s="9" t="n">
        <f aca="false">D113*$J$5</f>
        <v>31.5789473684211</v>
      </c>
      <c r="F113" s="9" t="n">
        <f aca="false">E113-C113</f>
        <v>11.5789473684211</v>
      </c>
      <c r="G113" s="11" t="n">
        <f aca="false">IF(AND(C113=0,E113=0),0,IF(C113=0,"New",(E113-C113)/C113))</f>
        <v>0.578947368421053</v>
      </c>
      <c r="H113" s="9" t="n">
        <f aca="false">SUMIFS('Source 2025'!$K:$K,'Source 2025'!$B:$B,$A113,'Source 2025'!$A:$A,"Amount (NIS)")+SUMIFS('Source 2025'!$O:$O,'Source 2025'!$B:$B,$A113,'Source 2025'!$A:$A,"Amount (NIS)")+SUMIFS('Source 2025'!$R:$R,'Source 2025'!$B:$B,$A113,'Source 2025'!$A:$A,"Amount (NIS)")+SUMIFS('Source 2025'!$P:$P,'Source 2025'!$B:$B,$A113,'Source 2025'!$A:$A,"Amount (NIS)")+SUMIFS('Source 2025'!$J:$J,'Source 2025'!$B:$B,$A113,'Source 2025'!$A:$A,"Amount (NIS)")+SUMIFS('Source 2025'!$L:$L,'Source 2025'!$B:$B,$A113,'Source 2025'!$A:$A,"Amount (NIS)")</f>
        <v>1384.7</v>
      </c>
      <c r="I113" s="9" t="n">
        <f aca="false">SUMIFS('Source 2026'!$K:$K,'Source 2026'!$B:$B,$A113,'Source 2026'!$A:$A,"Amount (NIS)")+SUMIFS('Source 2026'!$O:$O,'Source 2026'!$B:$B,$A113,'Source 2026'!$A:$A,"Amount (NIS)")+SUMIFS('Source 2026'!$R:$R,'Source 2026'!$B:$B,$A113,'Source 2026'!$A:$A,"Amount (NIS)")+SUMIFS('Source 2026'!$P:$P,'Source 2026'!$B:$B,$A113,'Source 2026'!$A:$A,"Amount (NIS)")+SUMIFS('Source 2026'!$J:$J,'Source 2026'!$B:$B,$A113,'Source 2026'!$A:$A,"Amount (NIS)")+SUMIFS('Source 2026'!$L:$L,'Source 2026'!$B:$B,$A113,'Source 2026'!$A:$A,"Amount (NIS)")</f>
        <v>1862.2</v>
      </c>
      <c r="J113" s="9" t="n">
        <f aca="false">I113*$J$5</f>
        <v>2352.25263157895</v>
      </c>
      <c r="K113" s="9" t="n">
        <f aca="false">J113-H113</f>
        <v>967.552631578947</v>
      </c>
      <c r="L113" s="11" t="n">
        <f aca="false">IF(AND(H113=0,J113=0),0,IF(H113=0,"New",(J113-H113)/H113))</f>
        <v>0.698745310593592</v>
      </c>
    </row>
    <row r="114" customFormat="false" ht="15" hidden="false" customHeight="true" outlineLevel="0" collapsed="false">
      <c r="A114" s="8" t="s">
        <v>143</v>
      </c>
      <c r="B114" s="8" t="str">
        <f aca="false">IFERROR(INDEX('Source 2026'!$C:$C,MATCH($A114,'Source 2026'!$B:$B,0)),IFERROR(INDEX('Source 2025'!$C:$C,MATCH($A114,'Source 2025'!$B:$B,0)),""))</f>
        <v>אמבט לכף הרגל</v>
      </c>
      <c r="C114" s="9" t="n">
        <f aca="false">SUMIFS('Source 2025'!$K:$K,'Source 2025'!$B:$B,$A114,'Source 2025'!$A:$A,"Quantity (units)")+SUMIFS('Source 2025'!$O:$O,'Source 2025'!$B:$B,$A114,'Source 2025'!$A:$A,"Quantity (units)")+SUMIFS('Source 2025'!$R:$R,'Source 2025'!$B:$B,$A114,'Source 2025'!$A:$A,"Quantity (units)")+SUMIFS('Source 2025'!$P:$P,'Source 2025'!$B:$B,$A114,'Source 2025'!$A:$A,"Quantity (units)")+SUMIFS('Source 2025'!$J:$J,'Source 2025'!$B:$B,$A114,'Source 2025'!$A:$A,"Quantity (units)")+SUMIFS('Source 2025'!$L:$L,'Source 2025'!$B:$B,$A114,'Source 2025'!$A:$A,"Quantity (units)")</f>
        <v>201</v>
      </c>
      <c r="D114" s="9" t="n">
        <f aca="false">SUMIFS('Source 2026'!$K:$K,'Source 2026'!$B:$B,$A114,'Source 2026'!$A:$A,"Quantity (units)")+SUMIFS('Source 2026'!$O:$O,'Source 2026'!$B:$B,$A114,'Source 2026'!$A:$A,"Quantity (units)")+SUMIFS('Source 2026'!$R:$R,'Source 2026'!$B:$B,$A114,'Source 2026'!$A:$A,"Quantity (units)")+SUMIFS('Source 2026'!$P:$P,'Source 2026'!$B:$B,$A114,'Source 2026'!$A:$A,"Quantity (units)")+SUMIFS('Source 2026'!$J:$J,'Source 2026'!$B:$B,$A114,'Source 2026'!$A:$A,"Quantity (units)")+SUMIFS('Source 2026'!$L:$L,'Source 2026'!$B:$B,$A114,'Source 2026'!$A:$A,"Quantity (units)")</f>
        <v>157</v>
      </c>
      <c r="E114" s="9" t="n">
        <f aca="false">D114*$J$5</f>
        <v>198.315789473684</v>
      </c>
      <c r="F114" s="9" t="n">
        <f aca="false">E114-C114</f>
        <v>-2.68421052631581</v>
      </c>
      <c r="G114" s="11" t="n">
        <f aca="false">IF(AND(C114=0,E114=0),0,IF(C114=0,"New",(E114-C114)/C114))</f>
        <v>-0.0133542812254518</v>
      </c>
      <c r="H114" s="9" t="n">
        <f aca="false">SUMIFS('Source 2025'!$K:$K,'Source 2025'!$B:$B,$A114,'Source 2025'!$A:$A,"Amount (NIS)")+SUMIFS('Source 2025'!$O:$O,'Source 2025'!$B:$B,$A114,'Source 2025'!$A:$A,"Amount (NIS)")+SUMIFS('Source 2025'!$R:$R,'Source 2025'!$B:$B,$A114,'Source 2025'!$A:$A,"Amount (NIS)")+SUMIFS('Source 2025'!$P:$P,'Source 2025'!$B:$B,$A114,'Source 2025'!$A:$A,"Amount (NIS)")+SUMIFS('Source 2025'!$J:$J,'Source 2025'!$B:$B,$A114,'Source 2025'!$A:$A,"Amount (NIS)")+SUMIFS('Source 2025'!$L:$L,'Source 2025'!$B:$B,$A114,'Source 2025'!$A:$A,"Amount (NIS)")</f>
        <v>2183.4</v>
      </c>
      <c r="I114" s="9" t="n">
        <f aca="false">SUMIFS('Source 2026'!$K:$K,'Source 2026'!$B:$B,$A114,'Source 2026'!$A:$A,"Amount (NIS)")+SUMIFS('Source 2026'!$O:$O,'Source 2026'!$B:$B,$A114,'Source 2026'!$A:$A,"Amount (NIS)")+SUMIFS('Source 2026'!$R:$R,'Source 2026'!$B:$B,$A114,'Source 2026'!$A:$A,"Amount (NIS)")+SUMIFS('Source 2026'!$P:$P,'Source 2026'!$B:$B,$A114,'Source 2026'!$A:$A,"Amount (NIS)")+SUMIFS('Source 2026'!$J:$J,'Source 2026'!$B:$B,$A114,'Source 2026'!$A:$A,"Amount (NIS)")+SUMIFS('Source 2026'!$L:$L,'Source 2026'!$B:$B,$A114,'Source 2026'!$A:$A,"Amount (NIS)")</f>
        <v>1717.6</v>
      </c>
      <c r="J114" s="9" t="n">
        <f aca="false">I114*$J$5</f>
        <v>2169.6</v>
      </c>
      <c r="K114" s="9" t="n">
        <f aca="false">J114-H114</f>
        <v>-13.8000000000002</v>
      </c>
      <c r="L114" s="11" t="n">
        <f aca="false">IF(AND(H114=0,J114=0),0,IF(H114=0,"New",(J114-H114)/H114))</f>
        <v>-0.00632041769716964</v>
      </c>
    </row>
    <row r="115" customFormat="false" ht="15" hidden="false" customHeight="true" outlineLevel="0" collapsed="false">
      <c r="A115" s="8" t="s">
        <v>364</v>
      </c>
      <c r="B115" s="8" t="str">
        <f aca="false">IFERROR(INDEX('Source 2026'!$C:$C,MATCH($A115,'Source 2026'!$B:$B,0)),IFERROR(INDEX('Source 2025'!$C:$C,MATCH($A115,'Source 2025'!$B:$B,0)),""))</f>
        <v>Mמגן קרסול+ צמדן</v>
      </c>
      <c r="C115" s="9" t="n">
        <f aca="false">SUMIFS('Source 2025'!$K:$K,'Source 2025'!$B:$B,$A115,'Source 2025'!$A:$A,"Quantity (units)")+SUMIFS('Source 2025'!$O:$O,'Source 2025'!$B:$B,$A115,'Source 2025'!$A:$A,"Quantity (units)")+SUMIFS('Source 2025'!$R:$R,'Source 2025'!$B:$B,$A115,'Source 2025'!$A:$A,"Quantity (units)")+SUMIFS('Source 2025'!$P:$P,'Source 2025'!$B:$B,$A115,'Source 2025'!$A:$A,"Quantity (units)")+SUMIFS('Source 2025'!$J:$J,'Source 2025'!$B:$B,$A115,'Source 2025'!$A:$A,"Quantity (units)")+SUMIFS('Source 2025'!$L:$L,'Source 2025'!$B:$B,$A115,'Source 2025'!$A:$A,"Quantity (units)")</f>
        <v>-7</v>
      </c>
      <c r="D115" s="9" t="n">
        <f aca="false">SUMIFS('Source 2026'!$K:$K,'Source 2026'!$B:$B,$A115,'Source 2026'!$A:$A,"Quantity (units)")+SUMIFS('Source 2026'!$O:$O,'Source 2026'!$B:$B,$A115,'Source 2026'!$A:$A,"Quantity (units)")+SUMIFS('Source 2026'!$R:$R,'Source 2026'!$B:$B,$A115,'Source 2026'!$A:$A,"Quantity (units)")+SUMIFS('Source 2026'!$P:$P,'Source 2026'!$B:$B,$A115,'Source 2026'!$A:$A,"Quantity (units)")+SUMIFS('Source 2026'!$J:$J,'Source 2026'!$B:$B,$A115,'Source 2026'!$A:$A,"Quantity (units)")+SUMIFS('Source 2026'!$L:$L,'Source 2026'!$B:$B,$A115,'Source 2026'!$A:$A,"Quantity (units)")</f>
        <v>0</v>
      </c>
      <c r="E115" s="9" t="n">
        <f aca="false">D115*$J$5</f>
        <v>0</v>
      </c>
      <c r="F115" s="9" t="n">
        <f aca="false">E115-C115</f>
        <v>7</v>
      </c>
      <c r="G115" s="11" t="n">
        <f aca="false">IF(AND(C115=0,E115=0),0,IF(C115=0,"New",(E115-C115)/C115))</f>
        <v>-1</v>
      </c>
      <c r="H115" s="9" t="n">
        <f aca="false">SUMIFS('Source 2025'!$K:$K,'Source 2025'!$B:$B,$A115,'Source 2025'!$A:$A,"Amount (NIS)")+SUMIFS('Source 2025'!$O:$O,'Source 2025'!$B:$B,$A115,'Source 2025'!$A:$A,"Amount (NIS)")+SUMIFS('Source 2025'!$R:$R,'Source 2025'!$B:$B,$A115,'Source 2025'!$A:$A,"Amount (NIS)")+SUMIFS('Source 2025'!$P:$P,'Source 2025'!$B:$B,$A115,'Source 2025'!$A:$A,"Amount (NIS)")+SUMIFS('Source 2025'!$J:$J,'Source 2025'!$B:$B,$A115,'Source 2025'!$A:$A,"Amount (NIS)")+SUMIFS('Source 2025'!$L:$L,'Source 2025'!$B:$B,$A115,'Source 2025'!$A:$A,"Amount (NIS)")</f>
        <v>-448.2</v>
      </c>
      <c r="I115" s="9" t="n">
        <f aca="false">SUMIFS('Source 2026'!$K:$K,'Source 2026'!$B:$B,$A115,'Source 2026'!$A:$A,"Amount (NIS)")+SUMIFS('Source 2026'!$O:$O,'Source 2026'!$B:$B,$A115,'Source 2026'!$A:$A,"Amount (NIS)")+SUMIFS('Source 2026'!$R:$R,'Source 2026'!$B:$B,$A115,'Source 2026'!$A:$A,"Amount (NIS)")+SUMIFS('Source 2026'!$P:$P,'Source 2026'!$B:$B,$A115,'Source 2026'!$A:$A,"Amount (NIS)")+SUMIFS('Source 2026'!$J:$J,'Source 2026'!$B:$B,$A115,'Source 2026'!$A:$A,"Amount (NIS)")+SUMIFS('Source 2026'!$L:$L,'Source 2026'!$B:$B,$A115,'Source 2026'!$A:$A,"Amount (NIS)")</f>
        <v>0</v>
      </c>
      <c r="J115" s="9" t="n">
        <f aca="false">I115*$J$5</f>
        <v>0</v>
      </c>
      <c r="K115" s="9" t="n">
        <f aca="false">J115-H115</f>
        <v>448.2</v>
      </c>
      <c r="L115" s="11" t="n">
        <f aca="false">IF(AND(H115=0,J115=0),0,IF(H115=0,"New",(J115-H115)/H115))</f>
        <v>-1</v>
      </c>
    </row>
    <row r="116" customFormat="false" ht="15" hidden="false" customHeight="true" outlineLevel="0" collapsed="false">
      <c r="A116" s="8" t="s">
        <v>248</v>
      </c>
      <c r="B116" s="8" t="str">
        <f aca="false">IFERROR(INDEX('Source 2026'!$C:$C,MATCH($A116,'Source 2026'!$B:$B,0)),IFERROR(INDEX('Source 2025'!$C:$C,MATCH($A116,'Source 2025'!$B:$B,0)),""))</f>
        <v>טייפ חבישה לספורט</v>
      </c>
      <c r="C116" s="9" t="n">
        <f aca="false">SUMIFS('Source 2025'!$K:$K,'Source 2025'!$B:$B,$A116,'Source 2025'!$A:$A,"Quantity (units)")+SUMIFS('Source 2025'!$O:$O,'Source 2025'!$B:$B,$A116,'Source 2025'!$A:$A,"Quantity (units)")+SUMIFS('Source 2025'!$R:$R,'Source 2025'!$B:$B,$A116,'Source 2025'!$A:$A,"Quantity (units)")+SUMIFS('Source 2025'!$P:$P,'Source 2025'!$B:$B,$A116,'Source 2025'!$A:$A,"Quantity (units)")+SUMIFS('Source 2025'!$J:$J,'Source 2025'!$B:$B,$A116,'Source 2025'!$A:$A,"Quantity (units)")+SUMIFS('Source 2025'!$L:$L,'Source 2025'!$B:$B,$A116,'Source 2025'!$A:$A,"Quantity (units)")</f>
        <v>218</v>
      </c>
      <c r="D116" s="9" t="n">
        <f aca="false">SUMIFS('Source 2026'!$K:$K,'Source 2026'!$B:$B,$A116,'Source 2026'!$A:$A,"Quantity (units)")+SUMIFS('Source 2026'!$O:$O,'Source 2026'!$B:$B,$A116,'Source 2026'!$A:$A,"Quantity (units)")+SUMIFS('Source 2026'!$R:$R,'Source 2026'!$B:$B,$A116,'Source 2026'!$A:$A,"Quantity (units)")+SUMIFS('Source 2026'!$P:$P,'Source 2026'!$B:$B,$A116,'Source 2026'!$A:$A,"Quantity (units)")+SUMIFS('Source 2026'!$J:$J,'Source 2026'!$B:$B,$A116,'Source 2026'!$A:$A,"Quantity (units)")+SUMIFS('Source 2026'!$L:$L,'Source 2026'!$B:$B,$A116,'Source 2026'!$A:$A,"Quantity (units)")</f>
        <v>189</v>
      </c>
      <c r="E116" s="9" t="n">
        <f aca="false">D116*$J$5</f>
        <v>238.736842105263</v>
      </c>
      <c r="F116" s="9" t="n">
        <f aca="false">E116-C116</f>
        <v>20.7368421052632</v>
      </c>
      <c r="G116" s="11" t="n">
        <f aca="false">IF(AND(C116=0,E116=0),0,IF(C116=0,"New",(E116-C116)/C116))</f>
        <v>0.0951231289232255</v>
      </c>
      <c r="H116" s="9" t="n">
        <f aca="false">SUMIFS('Source 2025'!$K:$K,'Source 2025'!$B:$B,$A116,'Source 2025'!$A:$A,"Amount (NIS)")+SUMIFS('Source 2025'!$O:$O,'Source 2025'!$B:$B,$A116,'Source 2025'!$A:$A,"Amount (NIS)")+SUMIFS('Source 2025'!$R:$R,'Source 2025'!$B:$B,$A116,'Source 2025'!$A:$A,"Amount (NIS)")+SUMIFS('Source 2025'!$P:$P,'Source 2025'!$B:$B,$A116,'Source 2025'!$A:$A,"Amount (NIS)")+SUMIFS('Source 2025'!$J:$J,'Source 2025'!$B:$B,$A116,'Source 2025'!$A:$A,"Amount (NIS)")+SUMIFS('Source 2025'!$L:$L,'Source 2025'!$B:$B,$A116,'Source 2025'!$A:$A,"Amount (NIS)")</f>
        <v>3357.2</v>
      </c>
      <c r="I116" s="9" t="n">
        <f aca="false">SUMIFS('Source 2026'!$K:$K,'Source 2026'!$B:$B,$A116,'Source 2026'!$A:$A,"Amount (NIS)")+SUMIFS('Source 2026'!$O:$O,'Source 2026'!$B:$B,$A116,'Source 2026'!$A:$A,"Amount (NIS)")+SUMIFS('Source 2026'!$R:$R,'Source 2026'!$B:$B,$A116,'Source 2026'!$A:$A,"Amount (NIS)")+SUMIFS('Source 2026'!$P:$P,'Source 2026'!$B:$B,$A116,'Source 2026'!$A:$A,"Amount (NIS)")+SUMIFS('Source 2026'!$J:$J,'Source 2026'!$B:$B,$A116,'Source 2026'!$A:$A,"Amount (NIS)")+SUMIFS('Source 2026'!$L:$L,'Source 2026'!$B:$B,$A116,'Source 2026'!$A:$A,"Amount (NIS)")</f>
        <v>2910.6</v>
      </c>
      <c r="J116" s="9" t="n">
        <f aca="false">I116*$J$5</f>
        <v>3676.54736842105</v>
      </c>
      <c r="K116" s="9" t="n">
        <f aca="false">J116-H116</f>
        <v>319.347368421053</v>
      </c>
      <c r="L116" s="11" t="n">
        <f aca="false">IF(AND(H116=0,J116=0),0,IF(H116=0,"New",(J116-H116)/H116))</f>
        <v>0.0951231289232255</v>
      </c>
    </row>
    <row r="117" customFormat="false" ht="15" hidden="false" customHeight="true" outlineLevel="0" collapsed="false">
      <c r="A117" s="8" t="s">
        <v>306</v>
      </c>
      <c r="B117" s="8" t="str">
        <f aca="false">IFERROR(INDEX('Source 2026'!$C:$C,MATCH($A117,'Source 2026'!$B:$B,0)),IFERROR(INDEX('Source 2025'!$C:$C,MATCH($A117,'Source 2025'!$B:$B,0)),""))</f>
        <v>מגן זרת מסיליקון</v>
      </c>
      <c r="C117" s="9" t="n">
        <f aca="false">SUMIFS('Source 2025'!$K:$K,'Source 2025'!$B:$B,$A117,'Source 2025'!$A:$A,"Quantity (units)")+SUMIFS('Source 2025'!$O:$O,'Source 2025'!$B:$B,$A117,'Source 2025'!$A:$A,"Quantity (units)")+SUMIFS('Source 2025'!$R:$R,'Source 2025'!$B:$B,$A117,'Source 2025'!$A:$A,"Quantity (units)")+SUMIFS('Source 2025'!$P:$P,'Source 2025'!$B:$B,$A117,'Source 2025'!$A:$A,"Quantity (units)")+SUMIFS('Source 2025'!$J:$J,'Source 2025'!$B:$B,$A117,'Source 2025'!$A:$A,"Quantity (units)")+SUMIFS('Source 2025'!$L:$L,'Source 2025'!$B:$B,$A117,'Source 2025'!$A:$A,"Quantity (units)")</f>
        <v>17</v>
      </c>
      <c r="D117" s="9" t="n">
        <f aca="false">SUMIFS('Source 2026'!$K:$K,'Source 2026'!$B:$B,$A117,'Source 2026'!$A:$A,"Quantity (units)")+SUMIFS('Source 2026'!$O:$O,'Source 2026'!$B:$B,$A117,'Source 2026'!$A:$A,"Quantity (units)")+SUMIFS('Source 2026'!$R:$R,'Source 2026'!$B:$B,$A117,'Source 2026'!$A:$A,"Quantity (units)")+SUMIFS('Source 2026'!$P:$P,'Source 2026'!$B:$B,$A117,'Source 2026'!$A:$A,"Quantity (units)")+SUMIFS('Source 2026'!$J:$J,'Source 2026'!$B:$B,$A117,'Source 2026'!$A:$A,"Quantity (units)")+SUMIFS('Source 2026'!$L:$L,'Source 2026'!$B:$B,$A117,'Source 2026'!$A:$A,"Quantity (units)")</f>
        <v>32</v>
      </c>
      <c r="E117" s="9" t="n">
        <f aca="false">D117*$J$5</f>
        <v>40.4210526315789</v>
      </c>
      <c r="F117" s="9" t="n">
        <f aca="false">E117-C117</f>
        <v>23.4210526315789</v>
      </c>
      <c r="G117" s="11" t="n">
        <f aca="false">IF(AND(C117=0,E117=0),0,IF(C117=0,"New",(E117-C117)/C117))</f>
        <v>1.37770897832817</v>
      </c>
      <c r="H117" s="9" t="n">
        <f aca="false">SUMIFS('Source 2025'!$K:$K,'Source 2025'!$B:$B,$A117,'Source 2025'!$A:$A,"Amount (NIS)")+SUMIFS('Source 2025'!$O:$O,'Source 2025'!$B:$B,$A117,'Source 2025'!$A:$A,"Amount (NIS)")+SUMIFS('Source 2025'!$R:$R,'Source 2025'!$B:$B,$A117,'Source 2025'!$A:$A,"Amount (NIS)")+SUMIFS('Source 2025'!$P:$P,'Source 2025'!$B:$B,$A117,'Source 2025'!$A:$A,"Amount (NIS)")+SUMIFS('Source 2025'!$J:$J,'Source 2025'!$B:$B,$A117,'Source 2025'!$A:$A,"Amount (NIS)")+SUMIFS('Source 2025'!$L:$L,'Source 2025'!$B:$B,$A117,'Source 2025'!$A:$A,"Amount (NIS)")</f>
        <v>467.8</v>
      </c>
      <c r="I117" s="9" t="n">
        <f aca="false">SUMIFS('Source 2026'!$K:$K,'Source 2026'!$B:$B,$A117,'Source 2026'!$A:$A,"Amount (NIS)")+SUMIFS('Source 2026'!$O:$O,'Source 2026'!$B:$B,$A117,'Source 2026'!$A:$A,"Amount (NIS)")+SUMIFS('Source 2026'!$R:$R,'Source 2026'!$B:$B,$A117,'Source 2026'!$A:$A,"Amount (NIS)")+SUMIFS('Source 2026'!$P:$P,'Source 2026'!$B:$B,$A117,'Source 2026'!$A:$A,"Amount (NIS)")+SUMIFS('Source 2026'!$J:$J,'Source 2026'!$B:$B,$A117,'Source 2026'!$A:$A,"Amount (NIS)")+SUMIFS('Source 2026'!$L:$L,'Source 2026'!$B:$B,$A117,'Source 2026'!$A:$A,"Amount (NIS)")</f>
        <v>880.7</v>
      </c>
      <c r="J117" s="9" t="n">
        <f aca="false">I117*$J$5</f>
        <v>1112.46315789474</v>
      </c>
      <c r="K117" s="9" t="n">
        <f aca="false">J117-H117</f>
        <v>644.663157894737</v>
      </c>
      <c r="L117" s="11" t="n">
        <f aca="false">IF(AND(H117=0,J117=0),0,IF(H117=0,"New",(J117-H117)/H117))</f>
        <v>1.37807430075831</v>
      </c>
    </row>
    <row r="118" customFormat="false" ht="15" hidden="false" customHeight="true" outlineLevel="0" collapsed="false">
      <c r="A118" s="8" t="s">
        <v>169</v>
      </c>
      <c r="B118" s="8" t="str">
        <f aca="false">IFERROR(INDEX('Source 2026'!$C:$C,MATCH($A118,'Source 2026'!$B:$B,0)),IFERROR(INDEX('Source 2025'!$C:$C,MATCH($A118,'Source 2025'!$B:$B,0)),""))</f>
        <v>כרית ליישור אצבע פטיש</v>
      </c>
      <c r="C118" s="9" t="n">
        <f aca="false">SUMIFS('Source 2025'!$K:$K,'Source 2025'!$B:$B,$A118,'Source 2025'!$A:$A,"Quantity (units)")+SUMIFS('Source 2025'!$O:$O,'Source 2025'!$B:$B,$A118,'Source 2025'!$A:$A,"Quantity (units)")+SUMIFS('Source 2025'!$R:$R,'Source 2025'!$B:$B,$A118,'Source 2025'!$A:$A,"Quantity (units)")+SUMIFS('Source 2025'!$P:$P,'Source 2025'!$B:$B,$A118,'Source 2025'!$A:$A,"Quantity (units)")+SUMIFS('Source 2025'!$J:$J,'Source 2025'!$B:$B,$A118,'Source 2025'!$A:$A,"Quantity (units)")+SUMIFS('Source 2025'!$L:$L,'Source 2025'!$B:$B,$A118,'Source 2025'!$A:$A,"Quantity (units)")</f>
        <v>66</v>
      </c>
      <c r="D118" s="9" t="n">
        <f aca="false">SUMIFS('Source 2026'!$K:$K,'Source 2026'!$B:$B,$A118,'Source 2026'!$A:$A,"Quantity (units)")+SUMIFS('Source 2026'!$O:$O,'Source 2026'!$B:$B,$A118,'Source 2026'!$A:$A,"Quantity (units)")+SUMIFS('Source 2026'!$R:$R,'Source 2026'!$B:$B,$A118,'Source 2026'!$A:$A,"Quantity (units)")+SUMIFS('Source 2026'!$P:$P,'Source 2026'!$B:$B,$A118,'Source 2026'!$A:$A,"Quantity (units)")+SUMIFS('Source 2026'!$J:$J,'Source 2026'!$B:$B,$A118,'Source 2026'!$A:$A,"Quantity (units)")+SUMIFS('Source 2026'!$L:$L,'Source 2026'!$B:$B,$A118,'Source 2026'!$A:$A,"Quantity (units)")</f>
        <v>81</v>
      </c>
      <c r="E118" s="9" t="n">
        <f aca="false">D118*$J$5</f>
        <v>102.315789473684</v>
      </c>
      <c r="F118" s="9" t="n">
        <f aca="false">E118-C118</f>
        <v>36.3157894736842</v>
      </c>
      <c r="G118" s="11" t="n">
        <f aca="false">IF(AND(C118=0,E118=0),0,IF(C118=0,"New",(E118-C118)/C118))</f>
        <v>0.550239234449761</v>
      </c>
      <c r="H118" s="9" t="n">
        <f aca="false">SUMIFS('Source 2025'!$K:$K,'Source 2025'!$B:$B,$A118,'Source 2025'!$A:$A,"Amount (NIS)")+SUMIFS('Source 2025'!$O:$O,'Source 2025'!$B:$B,$A118,'Source 2025'!$A:$A,"Amount (NIS)")+SUMIFS('Source 2025'!$R:$R,'Source 2025'!$B:$B,$A118,'Source 2025'!$A:$A,"Amount (NIS)")+SUMIFS('Source 2025'!$P:$P,'Source 2025'!$B:$B,$A118,'Source 2025'!$A:$A,"Amount (NIS)")+SUMIFS('Source 2025'!$J:$J,'Source 2025'!$B:$B,$A118,'Source 2025'!$A:$A,"Amount (NIS)")+SUMIFS('Source 2025'!$L:$L,'Source 2025'!$B:$B,$A118,'Source 2025'!$A:$A,"Amount (NIS)")</f>
        <v>1727.3</v>
      </c>
      <c r="I118" s="9" t="n">
        <f aca="false">SUMIFS('Source 2026'!$K:$K,'Source 2026'!$B:$B,$A118,'Source 2026'!$A:$A,"Amount (NIS)")+SUMIFS('Source 2026'!$O:$O,'Source 2026'!$B:$B,$A118,'Source 2026'!$A:$A,"Amount (NIS)")+SUMIFS('Source 2026'!$R:$R,'Source 2026'!$B:$B,$A118,'Source 2026'!$A:$A,"Amount (NIS)")+SUMIFS('Source 2026'!$P:$P,'Source 2026'!$B:$B,$A118,'Source 2026'!$A:$A,"Amount (NIS)")+SUMIFS('Source 2026'!$J:$J,'Source 2026'!$B:$B,$A118,'Source 2026'!$A:$A,"Amount (NIS)")+SUMIFS('Source 2026'!$L:$L,'Source 2026'!$B:$B,$A118,'Source 2026'!$A:$A,"Amount (NIS)")</f>
        <v>2128.2</v>
      </c>
      <c r="J118" s="9" t="n">
        <f aca="false">I118*$J$5</f>
        <v>2688.25263157895</v>
      </c>
      <c r="K118" s="9" t="n">
        <f aca="false">J118-H118</f>
        <v>960.952631578947</v>
      </c>
      <c r="L118" s="11" t="n">
        <f aca="false">IF(AND(H118=0,J118=0),0,IF(H118=0,"New",(J118-H118)/H118))</f>
        <v>0.556332213037079</v>
      </c>
    </row>
    <row r="119" customFormat="false" ht="15" hidden="false" customHeight="true" outlineLevel="0" collapsed="false">
      <c r="A119" s="8" t="s">
        <v>332</v>
      </c>
      <c r="B119" s="8" t="str">
        <f aca="false">IFERROR(INDEX('Source 2026'!$C:$C,MATCH($A119,'Source 2026'!$B:$B,0)),IFERROR(INDEX('Source 2025'!$C:$C,MATCH($A119,'Source 2025'!$B:$B,0)),""))</f>
        <v>S מגן מרפק רגיל</v>
      </c>
      <c r="C119" s="9" t="n">
        <f aca="false">SUMIFS('Source 2025'!$K:$K,'Source 2025'!$B:$B,$A119,'Source 2025'!$A:$A,"Quantity (units)")+SUMIFS('Source 2025'!$O:$O,'Source 2025'!$B:$B,$A119,'Source 2025'!$A:$A,"Quantity (units)")+SUMIFS('Source 2025'!$R:$R,'Source 2025'!$B:$B,$A119,'Source 2025'!$A:$A,"Quantity (units)")+SUMIFS('Source 2025'!$P:$P,'Source 2025'!$B:$B,$A119,'Source 2025'!$A:$A,"Quantity (units)")+SUMIFS('Source 2025'!$J:$J,'Source 2025'!$B:$B,$A119,'Source 2025'!$A:$A,"Quantity (units)")+SUMIFS('Source 2025'!$L:$L,'Source 2025'!$B:$B,$A119,'Source 2025'!$A:$A,"Quantity (units)")</f>
        <v>-4</v>
      </c>
      <c r="D119" s="9" t="n">
        <f aca="false">SUMIFS('Source 2026'!$K:$K,'Source 2026'!$B:$B,$A119,'Source 2026'!$A:$A,"Quantity (units)")+SUMIFS('Source 2026'!$O:$O,'Source 2026'!$B:$B,$A119,'Source 2026'!$A:$A,"Quantity (units)")+SUMIFS('Source 2026'!$R:$R,'Source 2026'!$B:$B,$A119,'Source 2026'!$A:$A,"Quantity (units)")+SUMIFS('Source 2026'!$P:$P,'Source 2026'!$B:$B,$A119,'Source 2026'!$A:$A,"Quantity (units)")+SUMIFS('Source 2026'!$J:$J,'Source 2026'!$B:$B,$A119,'Source 2026'!$A:$A,"Quantity (units)")+SUMIFS('Source 2026'!$L:$L,'Source 2026'!$B:$B,$A119,'Source 2026'!$A:$A,"Quantity (units)")</f>
        <v>0</v>
      </c>
      <c r="E119" s="9" t="n">
        <f aca="false">D119*$J$5</f>
        <v>0</v>
      </c>
      <c r="F119" s="9" t="n">
        <f aca="false">E119-C119</f>
        <v>4</v>
      </c>
      <c r="G119" s="11" t="n">
        <f aca="false">IF(AND(C119=0,E119=0),0,IF(C119=0,"New",(E119-C119)/C119))</f>
        <v>-1</v>
      </c>
      <c r="H119" s="9" t="n">
        <f aca="false">SUMIFS('Source 2025'!$K:$K,'Source 2025'!$B:$B,$A119,'Source 2025'!$A:$A,"Amount (NIS)")+SUMIFS('Source 2025'!$O:$O,'Source 2025'!$B:$B,$A119,'Source 2025'!$A:$A,"Amount (NIS)")+SUMIFS('Source 2025'!$R:$R,'Source 2025'!$B:$B,$A119,'Source 2025'!$A:$A,"Amount (NIS)")+SUMIFS('Source 2025'!$P:$P,'Source 2025'!$B:$B,$A119,'Source 2025'!$A:$A,"Amount (NIS)")+SUMIFS('Source 2025'!$J:$J,'Source 2025'!$B:$B,$A119,'Source 2025'!$A:$A,"Amount (NIS)")+SUMIFS('Source 2025'!$L:$L,'Source 2025'!$B:$B,$A119,'Source 2025'!$A:$A,"Amount (NIS)")</f>
        <v>-390.6</v>
      </c>
      <c r="I119" s="9" t="n">
        <f aca="false">SUMIFS('Source 2026'!$K:$K,'Source 2026'!$B:$B,$A119,'Source 2026'!$A:$A,"Amount (NIS)")+SUMIFS('Source 2026'!$O:$O,'Source 2026'!$B:$B,$A119,'Source 2026'!$A:$A,"Amount (NIS)")+SUMIFS('Source 2026'!$R:$R,'Source 2026'!$B:$B,$A119,'Source 2026'!$A:$A,"Amount (NIS)")+SUMIFS('Source 2026'!$P:$P,'Source 2026'!$B:$B,$A119,'Source 2026'!$A:$A,"Amount (NIS)")+SUMIFS('Source 2026'!$J:$J,'Source 2026'!$B:$B,$A119,'Source 2026'!$A:$A,"Amount (NIS)")+SUMIFS('Source 2026'!$L:$L,'Source 2026'!$B:$B,$A119,'Source 2026'!$A:$A,"Amount (NIS)")</f>
        <v>0</v>
      </c>
      <c r="J119" s="9" t="n">
        <f aca="false">I119*$J$5</f>
        <v>0</v>
      </c>
      <c r="K119" s="9" t="n">
        <f aca="false">J119-H119</f>
        <v>390.6</v>
      </c>
      <c r="L119" s="11" t="n">
        <f aca="false">IF(AND(H119=0,J119=0),0,IF(H119=0,"New",(J119-H119)/H119))</f>
        <v>-1</v>
      </c>
    </row>
    <row r="120" customFormat="false" ht="15" hidden="false" customHeight="true" outlineLevel="0" collapsed="false">
      <c r="A120" s="8" t="s">
        <v>228</v>
      </c>
      <c r="B120" s="8" t="str">
        <f aca="false">IFERROR(INDEX('Source 2026'!$C:$C,MATCH($A120,'Source 2026'!$B:$B,0)),IFERROR(INDEX('Source 2025'!$C:$C,MATCH($A120,'Source 2025'!$B:$B,0)),""))</f>
        <v>סכינים למקצוע</v>
      </c>
      <c r="C120" s="9" t="n">
        <f aca="false">SUMIFS('Source 2025'!$K:$K,'Source 2025'!$B:$B,$A120,'Source 2025'!$A:$A,"Quantity (units)")+SUMIFS('Source 2025'!$O:$O,'Source 2025'!$B:$B,$A120,'Source 2025'!$A:$A,"Quantity (units)")+SUMIFS('Source 2025'!$R:$R,'Source 2025'!$B:$B,$A120,'Source 2025'!$A:$A,"Quantity (units)")+SUMIFS('Source 2025'!$P:$P,'Source 2025'!$B:$B,$A120,'Source 2025'!$A:$A,"Quantity (units)")+SUMIFS('Source 2025'!$J:$J,'Source 2025'!$B:$B,$A120,'Source 2025'!$A:$A,"Quantity (units)")+SUMIFS('Source 2025'!$L:$L,'Source 2025'!$B:$B,$A120,'Source 2025'!$A:$A,"Quantity (units)")</f>
        <v>69</v>
      </c>
      <c r="D120" s="9" t="n">
        <f aca="false">SUMIFS('Source 2026'!$K:$K,'Source 2026'!$B:$B,$A120,'Source 2026'!$A:$A,"Quantity (units)")+SUMIFS('Source 2026'!$O:$O,'Source 2026'!$B:$B,$A120,'Source 2026'!$A:$A,"Quantity (units)")+SUMIFS('Source 2026'!$R:$R,'Source 2026'!$B:$B,$A120,'Source 2026'!$A:$A,"Quantity (units)")+SUMIFS('Source 2026'!$P:$P,'Source 2026'!$B:$B,$A120,'Source 2026'!$A:$A,"Quantity (units)")+SUMIFS('Source 2026'!$J:$J,'Source 2026'!$B:$B,$A120,'Source 2026'!$A:$A,"Quantity (units)")+SUMIFS('Source 2026'!$L:$L,'Source 2026'!$B:$B,$A120,'Source 2026'!$A:$A,"Quantity (units)")</f>
        <v>23</v>
      </c>
      <c r="E120" s="9" t="n">
        <f aca="false">D120*$J$5</f>
        <v>29.0526315789474</v>
      </c>
      <c r="F120" s="9" t="n">
        <f aca="false">E120-C120</f>
        <v>-39.9473684210526</v>
      </c>
      <c r="G120" s="11" t="n">
        <f aca="false">IF(AND(C120=0,E120=0),0,IF(C120=0,"New",(E120-C120)/C120))</f>
        <v>-0.578947368421053</v>
      </c>
      <c r="H120" s="9" t="n">
        <f aca="false">SUMIFS('Source 2025'!$K:$K,'Source 2025'!$B:$B,$A120,'Source 2025'!$A:$A,"Amount (NIS)")+SUMIFS('Source 2025'!$O:$O,'Source 2025'!$B:$B,$A120,'Source 2025'!$A:$A,"Amount (NIS)")+SUMIFS('Source 2025'!$R:$R,'Source 2025'!$B:$B,$A120,'Source 2025'!$A:$A,"Amount (NIS)")+SUMIFS('Source 2025'!$P:$P,'Source 2025'!$B:$B,$A120,'Source 2025'!$A:$A,"Amount (NIS)")+SUMIFS('Source 2025'!$J:$J,'Source 2025'!$B:$B,$A120,'Source 2025'!$A:$A,"Amount (NIS)")+SUMIFS('Source 2025'!$L:$L,'Source 2025'!$B:$B,$A120,'Source 2025'!$A:$A,"Amount (NIS)")</f>
        <v>564.4</v>
      </c>
      <c r="I120" s="9" t="n">
        <f aca="false">SUMIFS('Source 2026'!$K:$K,'Source 2026'!$B:$B,$A120,'Source 2026'!$A:$A,"Amount (NIS)")+SUMIFS('Source 2026'!$O:$O,'Source 2026'!$B:$B,$A120,'Source 2026'!$A:$A,"Amount (NIS)")+SUMIFS('Source 2026'!$R:$R,'Source 2026'!$B:$B,$A120,'Source 2026'!$A:$A,"Amount (NIS)")+SUMIFS('Source 2026'!$P:$P,'Source 2026'!$B:$B,$A120,'Source 2026'!$A:$A,"Amount (NIS)")+SUMIFS('Source 2026'!$J:$J,'Source 2026'!$B:$B,$A120,'Source 2026'!$A:$A,"Amount (NIS)")+SUMIFS('Source 2026'!$L:$L,'Source 2026'!$B:$B,$A120,'Source 2026'!$A:$A,"Amount (NIS)")</f>
        <v>188.1</v>
      </c>
      <c r="J120" s="9" t="n">
        <f aca="false">I120*$J$5</f>
        <v>237.6</v>
      </c>
      <c r="K120" s="9" t="n">
        <f aca="false">J120-H120</f>
        <v>-326.8</v>
      </c>
      <c r="L120" s="11" t="n">
        <f aca="false">IF(AND(H120=0,J120=0),0,IF(H120=0,"New",(J120-H120)/H120))</f>
        <v>-0.579021970233877</v>
      </c>
    </row>
    <row r="121" customFormat="false" ht="15" hidden="false" customHeight="true" outlineLevel="0" collapsed="false">
      <c r="A121" s="8" t="s">
        <v>124</v>
      </c>
      <c r="B121" s="8" t="str">
        <f aca="false">IFERROR(INDEX('Source 2026'!$C:$C,MATCH($A121,'Source 2026'!$B:$B,0)),IFERROR(INDEX('Source 2025'!$C:$C,MATCH($A121,'Source 2025'!$B:$B,0)),""))</f>
        <v>Sמיישר כתף יציב יישור ג.רחב</v>
      </c>
      <c r="C121" s="9" t="n">
        <f aca="false">SUMIFS('Source 2025'!$K:$K,'Source 2025'!$B:$B,$A121,'Source 2025'!$A:$A,"Quantity (units)")+SUMIFS('Source 2025'!$O:$O,'Source 2025'!$B:$B,$A121,'Source 2025'!$A:$A,"Quantity (units)")+SUMIFS('Source 2025'!$R:$R,'Source 2025'!$B:$B,$A121,'Source 2025'!$A:$A,"Quantity (units)")+SUMIFS('Source 2025'!$P:$P,'Source 2025'!$B:$B,$A121,'Source 2025'!$A:$A,"Quantity (units)")+SUMIFS('Source 2025'!$J:$J,'Source 2025'!$B:$B,$A121,'Source 2025'!$A:$A,"Quantity (units)")+SUMIFS('Source 2025'!$L:$L,'Source 2025'!$B:$B,$A121,'Source 2025'!$A:$A,"Quantity (units)")</f>
        <v>8</v>
      </c>
      <c r="D121" s="9" t="n">
        <f aca="false">SUMIFS('Source 2026'!$K:$K,'Source 2026'!$B:$B,$A121,'Source 2026'!$A:$A,"Quantity (units)")+SUMIFS('Source 2026'!$O:$O,'Source 2026'!$B:$B,$A121,'Source 2026'!$A:$A,"Quantity (units)")+SUMIFS('Source 2026'!$R:$R,'Source 2026'!$B:$B,$A121,'Source 2026'!$A:$A,"Quantity (units)")+SUMIFS('Source 2026'!$P:$P,'Source 2026'!$B:$B,$A121,'Source 2026'!$A:$A,"Quantity (units)")+SUMIFS('Source 2026'!$J:$J,'Source 2026'!$B:$B,$A121,'Source 2026'!$A:$A,"Quantity (units)")+SUMIFS('Source 2026'!$L:$L,'Source 2026'!$B:$B,$A121,'Source 2026'!$A:$A,"Quantity (units)")</f>
        <v>6</v>
      </c>
      <c r="E121" s="9" t="n">
        <f aca="false">D121*$J$5</f>
        <v>7.57894736842105</v>
      </c>
      <c r="F121" s="9" t="n">
        <f aca="false">E121-C121</f>
        <v>-0.421052631578948</v>
      </c>
      <c r="G121" s="11" t="n">
        <f aca="false">IF(AND(C121=0,E121=0),0,IF(C121=0,"New",(E121-C121)/C121))</f>
        <v>-0.0526315789473685</v>
      </c>
      <c r="H121" s="9" t="n">
        <f aca="false">SUMIFS('Source 2025'!$K:$K,'Source 2025'!$B:$B,$A121,'Source 2025'!$A:$A,"Amount (NIS)")+SUMIFS('Source 2025'!$O:$O,'Source 2025'!$B:$B,$A121,'Source 2025'!$A:$A,"Amount (NIS)")+SUMIFS('Source 2025'!$R:$R,'Source 2025'!$B:$B,$A121,'Source 2025'!$A:$A,"Amount (NIS)")+SUMIFS('Source 2025'!$P:$P,'Source 2025'!$B:$B,$A121,'Source 2025'!$A:$A,"Amount (NIS)")+SUMIFS('Source 2025'!$J:$J,'Source 2025'!$B:$B,$A121,'Source 2025'!$A:$A,"Amount (NIS)")+SUMIFS('Source 2025'!$L:$L,'Source 2025'!$B:$B,$A121,'Source 2025'!$A:$A,"Amount (NIS)")</f>
        <v>1344</v>
      </c>
      <c r="I121" s="9" t="n">
        <f aca="false">SUMIFS('Source 2026'!$K:$K,'Source 2026'!$B:$B,$A121,'Source 2026'!$A:$A,"Amount (NIS)")+SUMIFS('Source 2026'!$O:$O,'Source 2026'!$B:$B,$A121,'Source 2026'!$A:$A,"Amount (NIS)")+SUMIFS('Source 2026'!$R:$R,'Source 2026'!$B:$B,$A121,'Source 2026'!$A:$A,"Amount (NIS)")+SUMIFS('Source 2026'!$P:$P,'Source 2026'!$B:$B,$A121,'Source 2026'!$A:$A,"Amount (NIS)")+SUMIFS('Source 2026'!$J:$J,'Source 2026'!$B:$B,$A121,'Source 2026'!$A:$A,"Amount (NIS)")+SUMIFS('Source 2026'!$L:$L,'Source 2026'!$B:$B,$A121,'Source 2026'!$A:$A,"Amount (NIS)")</f>
        <v>968.6</v>
      </c>
      <c r="J121" s="9" t="n">
        <f aca="false">I121*$J$5</f>
        <v>1223.49473684211</v>
      </c>
      <c r="K121" s="9" t="n">
        <f aca="false">J121-H121</f>
        <v>-120.505263157895</v>
      </c>
      <c r="L121" s="11" t="n">
        <f aca="false">IF(AND(H121=0,J121=0),0,IF(H121=0,"New",(J121-H121)/H121))</f>
        <v>-0.0896616541353383</v>
      </c>
    </row>
    <row r="122" customFormat="false" ht="15" hidden="false" customHeight="true" outlineLevel="0" collapsed="false">
      <c r="A122" s="8" t="s">
        <v>102</v>
      </c>
      <c r="B122" s="8" t="str">
        <f aca="false">IFERROR(INDEX('Source 2026'!$C:$C,MATCH($A122,'Source 2026'!$B:$B,0)),IFERROR(INDEX('Source 2025'!$C:$C,MATCH($A122,'Source 2025'!$B:$B,0)),""))</f>
        <v>חבק לשורש כף היד</v>
      </c>
      <c r="C122" s="9" t="n">
        <f aca="false">SUMIFS('Source 2025'!$K:$K,'Source 2025'!$B:$B,$A122,'Source 2025'!$A:$A,"Quantity (units)")+SUMIFS('Source 2025'!$O:$O,'Source 2025'!$B:$B,$A122,'Source 2025'!$A:$A,"Quantity (units)")+SUMIFS('Source 2025'!$R:$R,'Source 2025'!$B:$B,$A122,'Source 2025'!$A:$A,"Quantity (units)")+SUMIFS('Source 2025'!$P:$P,'Source 2025'!$B:$B,$A122,'Source 2025'!$A:$A,"Quantity (units)")+SUMIFS('Source 2025'!$J:$J,'Source 2025'!$B:$B,$A122,'Source 2025'!$A:$A,"Quantity (units)")+SUMIFS('Source 2025'!$L:$L,'Source 2025'!$B:$B,$A122,'Source 2025'!$A:$A,"Quantity (units)")</f>
        <v>60</v>
      </c>
      <c r="D122" s="9" t="n">
        <f aca="false">SUMIFS('Source 2026'!$K:$K,'Source 2026'!$B:$B,$A122,'Source 2026'!$A:$A,"Quantity (units)")+SUMIFS('Source 2026'!$O:$O,'Source 2026'!$B:$B,$A122,'Source 2026'!$A:$A,"Quantity (units)")+SUMIFS('Source 2026'!$R:$R,'Source 2026'!$B:$B,$A122,'Source 2026'!$A:$A,"Quantity (units)")+SUMIFS('Source 2026'!$P:$P,'Source 2026'!$B:$B,$A122,'Source 2026'!$A:$A,"Quantity (units)")+SUMIFS('Source 2026'!$J:$J,'Source 2026'!$B:$B,$A122,'Source 2026'!$A:$A,"Quantity (units)")+SUMIFS('Source 2026'!$L:$L,'Source 2026'!$B:$B,$A122,'Source 2026'!$A:$A,"Quantity (units)")</f>
        <v>45</v>
      </c>
      <c r="E122" s="9" t="n">
        <f aca="false">D122*$J$5</f>
        <v>56.8421052631579</v>
      </c>
      <c r="F122" s="9" t="n">
        <f aca="false">E122-C122</f>
        <v>-3.15789473684211</v>
      </c>
      <c r="G122" s="11" t="n">
        <f aca="false">IF(AND(C122=0,E122=0),0,IF(C122=0,"New",(E122-C122)/C122))</f>
        <v>-0.0526315789473685</v>
      </c>
      <c r="H122" s="9" t="n">
        <f aca="false">SUMIFS('Source 2025'!$K:$K,'Source 2025'!$B:$B,$A122,'Source 2025'!$A:$A,"Amount (NIS)")+SUMIFS('Source 2025'!$O:$O,'Source 2025'!$B:$B,$A122,'Source 2025'!$A:$A,"Amount (NIS)")+SUMIFS('Source 2025'!$R:$R,'Source 2025'!$B:$B,$A122,'Source 2025'!$A:$A,"Amount (NIS)")+SUMIFS('Source 2025'!$P:$P,'Source 2025'!$B:$B,$A122,'Source 2025'!$A:$A,"Amount (NIS)")+SUMIFS('Source 2025'!$J:$J,'Source 2025'!$B:$B,$A122,'Source 2025'!$A:$A,"Amount (NIS)")+SUMIFS('Source 2025'!$L:$L,'Source 2025'!$B:$B,$A122,'Source 2025'!$A:$A,"Amount (NIS)")</f>
        <v>1495.8</v>
      </c>
      <c r="I122" s="9" t="n">
        <f aca="false">SUMIFS('Source 2026'!$K:$K,'Source 2026'!$B:$B,$A122,'Source 2026'!$A:$A,"Amount (NIS)")+SUMIFS('Source 2026'!$O:$O,'Source 2026'!$B:$B,$A122,'Source 2026'!$A:$A,"Amount (NIS)")+SUMIFS('Source 2026'!$R:$R,'Source 2026'!$B:$B,$A122,'Source 2026'!$A:$A,"Amount (NIS)")+SUMIFS('Source 2026'!$P:$P,'Source 2026'!$B:$B,$A122,'Source 2026'!$A:$A,"Amount (NIS)")+SUMIFS('Source 2026'!$J:$J,'Source 2026'!$B:$B,$A122,'Source 2026'!$A:$A,"Amount (NIS)")+SUMIFS('Source 2026'!$L:$L,'Source 2026'!$B:$B,$A122,'Source 2026'!$A:$A,"Amount (NIS)")</f>
        <v>1121.9</v>
      </c>
      <c r="J122" s="9" t="n">
        <f aca="false">I122*$J$5</f>
        <v>1417.13684210526</v>
      </c>
      <c r="K122" s="9" t="n">
        <f aca="false">J122-H122</f>
        <v>-78.6631578947367</v>
      </c>
      <c r="L122" s="11" t="n">
        <f aca="false">IF(AND(H122=0,J122=0),0,IF(H122=0,"New",(J122-H122)/H122))</f>
        <v>-0.0525893554584415</v>
      </c>
    </row>
    <row r="123" customFormat="false" ht="15" hidden="false" customHeight="true" outlineLevel="0" collapsed="false">
      <c r="A123" s="8" t="s">
        <v>234</v>
      </c>
      <c r="B123" s="8" t="str">
        <f aca="false">IFERROR(INDEX('Source 2026'!$C:$C,MATCH($A123,'Source 2026'!$B:$B,0)),IFERROR(INDEX('Source 2025'!$C:$C,MATCH($A123,'Source 2025'!$B:$B,0)),""))</f>
        <v>S  חגורת גב פוג'יאמה</v>
      </c>
      <c r="C123" s="9" t="n">
        <f aca="false">SUMIFS('Source 2025'!$K:$K,'Source 2025'!$B:$B,$A123,'Source 2025'!$A:$A,"Quantity (units)")+SUMIFS('Source 2025'!$O:$O,'Source 2025'!$B:$B,$A123,'Source 2025'!$A:$A,"Quantity (units)")+SUMIFS('Source 2025'!$R:$R,'Source 2025'!$B:$B,$A123,'Source 2025'!$A:$A,"Quantity (units)")+SUMIFS('Source 2025'!$P:$P,'Source 2025'!$B:$B,$A123,'Source 2025'!$A:$A,"Quantity (units)")+SUMIFS('Source 2025'!$J:$J,'Source 2025'!$B:$B,$A123,'Source 2025'!$A:$A,"Quantity (units)")+SUMIFS('Source 2025'!$L:$L,'Source 2025'!$B:$B,$A123,'Source 2025'!$A:$A,"Quantity (units)")</f>
        <v>12</v>
      </c>
      <c r="D123" s="9" t="n">
        <f aca="false">SUMIFS('Source 2026'!$K:$K,'Source 2026'!$B:$B,$A123,'Source 2026'!$A:$A,"Quantity (units)")+SUMIFS('Source 2026'!$O:$O,'Source 2026'!$B:$B,$A123,'Source 2026'!$A:$A,"Quantity (units)")+SUMIFS('Source 2026'!$R:$R,'Source 2026'!$B:$B,$A123,'Source 2026'!$A:$A,"Quantity (units)")+SUMIFS('Source 2026'!$P:$P,'Source 2026'!$B:$B,$A123,'Source 2026'!$A:$A,"Quantity (units)")+SUMIFS('Source 2026'!$J:$J,'Source 2026'!$B:$B,$A123,'Source 2026'!$A:$A,"Quantity (units)")+SUMIFS('Source 2026'!$L:$L,'Source 2026'!$B:$B,$A123,'Source 2026'!$A:$A,"Quantity (units)")</f>
        <v>8</v>
      </c>
      <c r="E123" s="9" t="n">
        <f aca="false">D123*$J$5</f>
        <v>10.1052631578947</v>
      </c>
      <c r="F123" s="9" t="n">
        <f aca="false">E123-C123</f>
        <v>-1.89473684210526</v>
      </c>
      <c r="G123" s="11" t="n">
        <f aca="false">IF(AND(C123=0,E123=0),0,IF(C123=0,"New",(E123-C123)/C123))</f>
        <v>-0.157894736842105</v>
      </c>
      <c r="H123" s="9" t="n">
        <f aca="false">SUMIFS('Source 2025'!$K:$K,'Source 2025'!$B:$B,$A123,'Source 2025'!$A:$A,"Amount (NIS)")+SUMIFS('Source 2025'!$O:$O,'Source 2025'!$B:$B,$A123,'Source 2025'!$A:$A,"Amount (NIS)")+SUMIFS('Source 2025'!$R:$R,'Source 2025'!$B:$B,$A123,'Source 2025'!$A:$A,"Amount (NIS)")+SUMIFS('Source 2025'!$P:$P,'Source 2025'!$B:$B,$A123,'Source 2025'!$A:$A,"Amount (NIS)")+SUMIFS('Source 2025'!$J:$J,'Source 2025'!$B:$B,$A123,'Source 2025'!$A:$A,"Amount (NIS)")+SUMIFS('Source 2025'!$L:$L,'Source 2025'!$B:$B,$A123,'Source 2025'!$A:$A,"Amount (NIS)")</f>
        <v>1058.4</v>
      </c>
      <c r="I123" s="9" t="n">
        <f aca="false">SUMIFS('Source 2026'!$K:$K,'Source 2026'!$B:$B,$A123,'Source 2026'!$A:$A,"Amount (NIS)")+SUMIFS('Source 2026'!$O:$O,'Source 2026'!$B:$B,$A123,'Source 2026'!$A:$A,"Amount (NIS)")+SUMIFS('Source 2026'!$R:$R,'Source 2026'!$B:$B,$A123,'Source 2026'!$A:$A,"Amount (NIS)")+SUMIFS('Source 2026'!$P:$P,'Source 2026'!$B:$B,$A123,'Source 2026'!$A:$A,"Amount (NIS)")+SUMIFS('Source 2026'!$J:$J,'Source 2026'!$B:$B,$A123,'Source 2026'!$A:$A,"Amount (NIS)")+SUMIFS('Source 2026'!$L:$L,'Source 2026'!$B:$B,$A123,'Source 2026'!$A:$A,"Amount (NIS)")</f>
        <v>705.6</v>
      </c>
      <c r="J123" s="9" t="n">
        <f aca="false">I123*$J$5</f>
        <v>891.284210526316</v>
      </c>
      <c r="K123" s="9" t="n">
        <f aca="false">J123-H123</f>
        <v>-167.115789473684</v>
      </c>
      <c r="L123" s="11" t="n">
        <f aca="false">IF(AND(H123=0,J123=0),0,IF(H123=0,"New",(J123-H123)/H123))</f>
        <v>-0.157894736842105</v>
      </c>
    </row>
    <row r="124" customFormat="false" ht="15" hidden="false" customHeight="true" outlineLevel="0" collapsed="false">
      <c r="A124" s="8" t="s">
        <v>302</v>
      </c>
      <c r="B124" s="8" t="str">
        <f aca="false">IFERROR(INDEX('Source 2026'!$C:$C,MATCH($A124,'Source 2026'!$B:$B,0)),IFERROR(INDEX('Source 2025'!$C:$C,MATCH($A124,'Source 2025'!$B:$B,0)),""))</f>
        <v>S חגורת שבר לצד שמאל</v>
      </c>
      <c r="C124" s="9" t="n">
        <f aca="false">SUMIFS('Source 2025'!$K:$K,'Source 2025'!$B:$B,$A124,'Source 2025'!$A:$A,"Quantity (units)")+SUMIFS('Source 2025'!$O:$O,'Source 2025'!$B:$B,$A124,'Source 2025'!$A:$A,"Quantity (units)")+SUMIFS('Source 2025'!$R:$R,'Source 2025'!$B:$B,$A124,'Source 2025'!$A:$A,"Quantity (units)")+SUMIFS('Source 2025'!$P:$P,'Source 2025'!$B:$B,$A124,'Source 2025'!$A:$A,"Quantity (units)")+SUMIFS('Source 2025'!$J:$J,'Source 2025'!$B:$B,$A124,'Source 2025'!$A:$A,"Quantity (units)")+SUMIFS('Source 2025'!$L:$L,'Source 2025'!$B:$B,$A124,'Source 2025'!$A:$A,"Quantity (units)")</f>
        <v>-1</v>
      </c>
      <c r="D124" s="9" t="n">
        <f aca="false">SUMIFS('Source 2026'!$K:$K,'Source 2026'!$B:$B,$A124,'Source 2026'!$A:$A,"Quantity (units)")+SUMIFS('Source 2026'!$O:$O,'Source 2026'!$B:$B,$A124,'Source 2026'!$A:$A,"Quantity (units)")+SUMIFS('Source 2026'!$R:$R,'Source 2026'!$B:$B,$A124,'Source 2026'!$A:$A,"Quantity (units)")+SUMIFS('Source 2026'!$P:$P,'Source 2026'!$B:$B,$A124,'Source 2026'!$A:$A,"Quantity (units)")+SUMIFS('Source 2026'!$J:$J,'Source 2026'!$B:$B,$A124,'Source 2026'!$A:$A,"Quantity (units)")+SUMIFS('Source 2026'!$L:$L,'Source 2026'!$B:$B,$A124,'Source 2026'!$A:$A,"Quantity (units)")</f>
        <v>1</v>
      </c>
      <c r="E124" s="9" t="n">
        <f aca="false">D124*$J$5</f>
        <v>1.26315789473684</v>
      </c>
      <c r="F124" s="9" t="n">
        <f aca="false">E124-C124</f>
        <v>2.26315789473684</v>
      </c>
      <c r="G124" s="11" t="n">
        <f aca="false">IF(AND(C124=0,E124=0),0,IF(C124=0,"New",(E124-C124)/C124))</f>
        <v>-2.26315789473684</v>
      </c>
      <c r="H124" s="9" t="n">
        <f aca="false">SUMIFS('Source 2025'!$K:$K,'Source 2025'!$B:$B,$A124,'Source 2025'!$A:$A,"Amount (NIS)")+SUMIFS('Source 2025'!$O:$O,'Source 2025'!$B:$B,$A124,'Source 2025'!$A:$A,"Amount (NIS)")+SUMIFS('Source 2025'!$R:$R,'Source 2025'!$B:$B,$A124,'Source 2025'!$A:$A,"Amount (NIS)")+SUMIFS('Source 2025'!$P:$P,'Source 2025'!$B:$B,$A124,'Source 2025'!$A:$A,"Amount (NIS)")+SUMIFS('Source 2025'!$J:$J,'Source 2025'!$B:$B,$A124,'Source 2025'!$A:$A,"Amount (NIS)")+SUMIFS('Source 2025'!$L:$L,'Source 2025'!$B:$B,$A124,'Source 2025'!$A:$A,"Amount (NIS)")</f>
        <v>-178.9</v>
      </c>
      <c r="I124" s="9" t="n">
        <f aca="false">SUMIFS('Source 2026'!$K:$K,'Source 2026'!$B:$B,$A124,'Source 2026'!$A:$A,"Amount (NIS)")+SUMIFS('Source 2026'!$O:$O,'Source 2026'!$B:$B,$A124,'Source 2026'!$A:$A,"Amount (NIS)")+SUMIFS('Source 2026'!$R:$R,'Source 2026'!$B:$B,$A124,'Source 2026'!$A:$A,"Amount (NIS)")+SUMIFS('Source 2026'!$P:$P,'Source 2026'!$B:$B,$A124,'Source 2026'!$A:$A,"Amount (NIS)")+SUMIFS('Source 2026'!$J:$J,'Source 2026'!$B:$B,$A124,'Source 2026'!$A:$A,"Amount (NIS)")+SUMIFS('Source 2026'!$L:$L,'Source 2026'!$B:$B,$A124,'Source 2026'!$A:$A,"Amount (NIS)")</f>
        <v>172</v>
      </c>
      <c r="J124" s="9" t="n">
        <f aca="false">I124*$J$5</f>
        <v>217.263157894737</v>
      </c>
      <c r="K124" s="9" t="n">
        <f aca="false">J124-H124</f>
        <v>396.163157894737</v>
      </c>
      <c r="L124" s="11" t="n">
        <f aca="false">IF(AND(H124=0,J124=0),0,IF(H124=0,"New",(J124-H124)/H124))</f>
        <v>-2.21443911623665</v>
      </c>
    </row>
    <row r="125" customFormat="false" ht="15" hidden="false" customHeight="true" outlineLevel="0" collapsed="false">
      <c r="A125" s="8" t="s">
        <v>312</v>
      </c>
      <c r="B125" s="8" t="str">
        <f aca="false">IFERROR(INDEX('Source 2026'!$C:$C,MATCH($A125,'Source 2026'!$B:$B,0)),IFERROR(INDEX('Source 2025'!$C:$C,MATCH($A125,'Source 2025'!$B:$B,0)),""))</f>
        <v>L-מדרס סיליקון לנעלי עקב</v>
      </c>
      <c r="C125" s="9" t="n">
        <f aca="false">SUMIFS('Source 2025'!$K:$K,'Source 2025'!$B:$B,$A125,'Source 2025'!$A:$A,"Quantity (units)")+SUMIFS('Source 2025'!$O:$O,'Source 2025'!$B:$B,$A125,'Source 2025'!$A:$A,"Quantity (units)")+SUMIFS('Source 2025'!$R:$R,'Source 2025'!$B:$B,$A125,'Source 2025'!$A:$A,"Quantity (units)")+SUMIFS('Source 2025'!$P:$P,'Source 2025'!$B:$B,$A125,'Source 2025'!$A:$A,"Quantity (units)")+SUMIFS('Source 2025'!$J:$J,'Source 2025'!$B:$B,$A125,'Source 2025'!$A:$A,"Quantity (units)")+SUMIFS('Source 2025'!$L:$L,'Source 2025'!$B:$B,$A125,'Source 2025'!$A:$A,"Quantity (units)")</f>
        <v>1</v>
      </c>
      <c r="D125" s="9" t="n">
        <f aca="false">SUMIFS('Source 2026'!$K:$K,'Source 2026'!$B:$B,$A125,'Source 2026'!$A:$A,"Quantity (units)")+SUMIFS('Source 2026'!$O:$O,'Source 2026'!$B:$B,$A125,'Source 2026'!$A:$A,"Quantity (units)")+SUMIFS('Source 2026'!$R:$R,'Source 2026'!$B:$B,$A125,'Source 2026'!$A:$A,"Quantity (units)")+SUMIFS('Source 2026'!$P:$P,'Source 2026'!$B:$B,$A125,'Source 2026'!$A:$A,"Quantity (units)")+SUMIFS('Source 2026'!$J:$J,'Source 2026'!$B:$B,$A125,'Source 2026'!$A:$A,"Quantity (units)")+SUMIFS('Source 2026'!$L:$L,'Source 2026'!$B:$B,$A125,'Source 2026'!$A:$A,"Quantity (units)")</f>
        <v>8</v>
      </c>
      <c r="E125" s="9" t="n">
        <f aca="false">D125*$J$5</f>
        <v>10.1052631578947</v>
      </c>
      <c r="F125" s="9" t="n">
        <f aca="false">E125-C125</f>
        <v>9.10526315789474</v>
      </c>
      <c r="G125" s="11" t="n">
        <f aca="false">IF(AND(C125=0,E125=0),0,IF(C125=0,"New",(E125-C125)/C125))</f>
        <v>9.10526315789474</v>
      </c>
      <c r="H125" s="9" t="n">
        <f aca="false">SUMIFS('Source 2025'!$K:$K,'Source 2025'!$B:$B,$A125,'Source 2025'!$A:$A,"Amount (NIS)")+SUMIFS('Source 2025'!$O:$O,'Source 2025'!$B:$B,$A125,'Source 2025'!$A:$A,"Amount (NIS)")+SUMIFS('Source 2025'!$R:$R,'Source 2025'!$B:$B,$A125,'Source 2025'!$A:$A,"Amount (NIS)")+SUMIFS('Source 2025'!$P:$P,'Source 2025'!$B:$B,$A125,'Source 2025'!$A:$A,"Amount (NIS)")+SUMIFS('Source 2025'!$J:$J,'Source 2025'!$B:$B,$A125,'Source 2025'!$A:$A,"Amount (NIS)")+SUMIFS('Source 2025'!$L:$L,'Source 2025'!$B:$B,$A125,'Source 2025'!$A:$A,"Amount (NIS)")</f>
        <v>-33.7</v>
      </c>
      <c r="I125" s="9" t="n">
        <f aca="false">SUMIFS('Source 2026'!$K:$K,'Source 2026'!$B:$B,$A125,'Source 2026'!$A:$A,"Amount (NIS)")+SUMIFS('Source 2026'!$O:$O,'Source 2026'!$B:$B,$A125,'Source 2026'!$A:$A,"Amount (NIS)")+SUMIFS('Source 2026'!$R:$R,'Source 2026'!$B:$B,$A125,'Source 2026'!$A:$A,"Amount (NIS)")+SUMIFS('Source 2026'!$P:$P,'Source 2026'!$B:$B,$A125,'Source 2026'!$A:$A,"Amount (NIS)")+SUMIFS('Source 2026'!$J:$J,'Source 2026'!$B:$B,$A125,'Source 2026'!$A:$A,"Amount (NIS)")+SUMIFS('Source 2026'!$L:$L,'Source 2026'!$B:$B,$A125,'Source 2026'!$A:$A,"Amount (NIS)")</f>
        <v>310.9</v>
      </c>
      <c r="J125" s="9" t="n">
        <f aca="false">I125*$J$5</f>
        <v>392.715789473684</v>
      </c>
      <c r="K125" s="9" t="n">
        <f aca="false">J125-H125</f>
        <v>426.415789473684</v>
      </c>
      <c r="L125" s="11" t="n">
        <f aca="false">IF(AND(H125=0,J125=0),0,IF(H125=0,"New",(J125-H125)/H125))</f>
        <v>-12.6532875214743</v>
      </c>
    </row>
    <row r="126" customFormat="false" ht="15" hidden="false" customHeight="true" outlineLevel="0" collapsed="false">
      <c r="A126" s="8" t="s">
        <v>188</v>
      </c>
      <c r="B126" s="8" t="str">
        <f aca="false">IFERROR(INDEX('Source 2026'!$C:$C,MATCH($A126,'Source 2026'!$B:$B,0)),IFERROR(INDEX('Source 2025'!$C:$C,MATCH($A126,'Source 2025'!$B:$B,0)),""))</f>
        <v>מגן קרסול עקב סגור+רצוע</v>
      </c>
      <c r="C126" s="9" t="n">
        <f aca="false">SUMIFS('Source 2025'!$K:$K,'Source 2025'!$B:$B,$A126,'Source 2025'!$A:$A,"Quantity (units)")+SUMIFS('Source 2025'!$O:$O,'Source 2025'!$B:$B,$A126,'Source 2025'!$A:$A,"Quantity (units)")+SUMIFS('Source 2025'!$R:$R,'Source 2025'!$B:$B,$A126,'Source 2025'!$A:$A,"Quantity (units)")+SUMIFS('Source 2025'!$P:$P,'Source 2025'!$B:$B,$A126,'Source 2025'!$A:$A,"Quantity (units)")+SUMIFS('Source 2025'!$J:$J,'Source 2025'!$B:$B,$A126,'Source 2025'!$A:$A,"Quantity (units)")+SUMIFS('Source 2025'!$L:$L,'Source 2025'!$B:$B,$A126,'Source 2025'!$A:$A,"Quantity (units)")</f>
        <v>116</v>
      </c>
      <c r="D126" s="9" t="n">
        <f aca="false">SUMIFS('Source 2026'!$K:$K,'Source 2026'!$B:$B,$A126,'Source 2026'!$A:$A,"Quantity (units)")+SUMIFS('Source 2026'!$O:$O,'Source 2026'!$B:$B,$A126,'Source 2026'!$A:$A,"Quantity (units)")+SUMIFS('Source 2026'!$R:$R,'Source 2026'!$B:$B,$A126,'Source 2026'!$A:$A,"Quantity (units)")+SUMIFS('Source 2026'!$P:$P,'Source 2026'!$B:$B,$A126,'Source 2026'!$A:$A,"Quantity (units)")+SUMIFS('Source 2026'!$J:$J,'Source 2026'!$B:$B,$A126,'Source 2026'!$A:$A,"Quantity (units)")+SUMIFS('Source 2026'!$L:$L,'Source 2026'!$B:$B,$A126,'Source 2026'!$A:$A,"Quantity (units)")</f>
        <v>110</v>
      </c>
      <c r="E126" s="9" t="n">
        <f aca="false">D126*$J$5</f>
        <v>138.947368421053</v>
      </c>
      <c r="F126" s="9" t="n">
        <f aca="false">E126-C126</f>
        <v>22.9473684210526</v>
      </c>
      <c r="G126" s="11" t="n">
        <f aca="false">IF(AND(C126=0,E126=0),0,IF(C126=0,"New",(E126-C126)/C126))</f>
        <v>0.197822141560799</v>
      </c>
      <c r="H126" s="9" t="n">
        <f aca="false">SUMIFS('Source 2025'!$K:$K,'Source 2025'!$B:$B,$A126,'Source 2025'!$A:$A,"Amount (NIS)")+SUMIFS('Source 2025'!$O:$O,'Source 2025'!$B:$B,$A126,'Source 2025'!$A:$A,"Amount (NIS)")+SUMIFS('Source 2025'!$R:$R,'Source 2025'!$B:$B,$A126,'Source 2025'!$A:$A,"Amount (NIS)")+SUMIFS('Source 2025'!$P:$P,'Source 2025'!$B:$B,$A126,'Source 2025'!$A:$A,"Amount (NIS)")+SUMIFS('Source 2025'!$J:$J,'Source 2025'!$B:$B,$A126,'Source 2025'!$A:$A,"Amount (NIS)")+SUMIFS('Source 2025'!$L:$L,'Source 2025'!$B:$B,$A126,'Source 2025'!$A:$A,"Amount (NIS)")</f>
        <v>6647.9</v>
      </c>
      <c r="I126" s="9" t="n">
        <f aca="false">SUMIFS('Source 2026'!$K:$K,'Source 2026'!$B:$B,$A126,'Source 2026'!$A:$A,"Amount (NIS)")+SUMIFS('Source 2026'!$O:$O,'Source 2026'!$B:$B,$A126,'Source 2026'!$A:$A,"Amount (NIS)")+SUMIFS('Source 2026'!$R:$R,'Source 2026'!$B:$B,$A126,'Source 2026'!$A:$A,"Amount (NIS)")+SUMIFS('Source 2026'!$P:$P,'Source 2026'!$B:$B,$A126,'Source 2026'!$A:$A,"Amount (NIS)")+SUMIFS('Source 2026'!$J:$J,'Source 2026'!$B:$B,$A126,'Source 2026'!$A:$A,"Amount (NIS)")+SUMIFS('Source 2026'!$L:$L,'Source 2026'!$B:$B,$A126,'Source 2026'!$A:$A,"Amount (NIS)")</f>
        <v>6304.1</v>
      </c>
      <c r="J126" s="9" t="n">
        <f aca="false">I126*$J$5</f>
        <v>7963.07368421053</v>
      </c>
      <c r="K126" s="9" t="n">
        <f aca="false">J126-H126</f>
        <v>1315.17368421052</v>
      </c>
      <c r="L126" s="11" t="n">
        <f aca="false">IF(AND(H126=0,J126=0),0,IF(H126=0,"New",(J126-H126)/H126))</f>
        <v>0.197832952392564</v>
      </c>
    </row>
    <row r="127" customFormat="false" ht="15" hidden="false" customHeight="true" outlineLevel="0" collapsed="false">
      <c r="A127" s="8" t="s">
        <v>365</v>
      </c>
      <c r="B127" s="8" t="str">
        <f aca="false">IFERROR(INDEX('Source 2026'!$C:$C,MATCH($A127,'Source 2026'!$B:$B,0)),IFERROR(INDEX('Source 2025'!$C:$C,MATCH($A127,'Source 2025'!$B:$B,0)),""))</f>
        <v>L-XL רצועת טניס אלבו</v>
      </c>
      <c r="C127" s="9" t="n">
        <f aca="false">SUMIFS('Source 2025'!$K:$K,'Source 2025'!$B:$B,$A127,'Source 2025'!$A:$A,"Quantity (units)")+SUMIFS('Source 2025'!$O:$O,'Source 2025'!$B:$B,$A127,'Source 2025'!$A:$A,"Quantity (units)")+SUMIFS('Source 2025'!$R:$R,'Source 2025'!$B:$B,$A127,'Source 2025'!$A:$A,"Quantity (units)")+SUMIFS('Source 2025'!$P:$P,'Source 2025'!$B:$B,$A127,'Source 2025'!$A:$A,"Quantity (units)")+SUMIFS('Source 2025'!$J:$J,'Source 2025'!$B:$B,$A127,'Source 2025'!$A:$A,"Quantity (units)")+SUMIFS('Source 2025'!$L:$L,'Source 2025'!$B:$B,$A127,'Source 2025'!$A:$A,"Quantity (units)")</f>
        <v>-6</v>
      </c>
      <c r="D127" s="9" t="n">
        <f aca="false">SUMIFS('Source 2026'!$K:$K,'Source 2026'!$B:$B,$A127,'Source 2026'!$A:$A,"Quantity (units)")+SUMIFS('Source 2026'!$O:$O,'Source 2026'!$B:$B,$A127,'Source 2026'!$A:$A,"Quantity (units)")+SUMIFS('Source 2026'!$R:$R,'Source 2026'!$B:$B,$A127,'Source 2026'!$A:$A,"Quantity (units)")+SUMIFS('Source 2026'!$P:$P,'Source 2026'!$B:$B,$A127,'Source 2026'!$A:$A,"Quantity (units)")+SUMIFS('Source 2026'!$J:$J,'Source 2026'!$B:$B,$A127,'Source 2026'!$A:$A,"Quantity (units)")+SUMIFS('Source 2026'!$L:$L,'Source 2026'!$B:$B,$A127,'Source 2026'!$A:$A,"Quantity (units)")</f>
        <v>0</v>
      </c>
      <c r="E127" s="9" t="n">
        <f aca="false">D127*$J$5</f>
        <v>0</v>
      </c>
      <c r="F127" s="9" t="n">
        <f aca="false">E127-C127</f>
        <v>6</v>
      </c>
      <c r="G127" s="11" t="n">
        <f aca="false">IF(AND(C127=0,E127=0),0,IF(C127=0,"New",(E127-C127)/C127))</f>
        <v>-1</v>
      </c>
      <c r="H127" s="9" t="n">
        <f aca="false">SUMIFS('Source 2025'!$K:$K,'Source 2025'!$B:$B,$A127,'Source 2025'!$A:$A,"Amount (NIS)")+SUMIFS('Source 2025'!$O:$O,'Source 2025'!$B:$B,$A127,'Source 2025'!$A:$A,"Amount (NIS)")+SUMIFS('Source 2025'!$R:$R,'Source 2025'!$B:$B,$A127,'Source 2025'!$A:$A,"Amount (NIS)")+SUMIFS('Source 2025'!$P:$P,'Source 2025'!$B:$B,$A127,'Source 2025'!$A:$A,"Amount (NIS)")+SUMIFS('Source 2025'!$J:$J,'Source 2025'!$B:$B,$A127,'Source 2025'!$A:$A,"Amount (NIS)")+SUMIFS('Source 2025'!$L:$L,'Source 2025'!$B:$B,$A127,'Source 2025'!$A:$A,"Amount (NIS)")</f>
        <v>-317.4</v>
      </c>
      <c r="I127" s="9" t="n">
        <f aca="false">SUMIFS('Source 2026'!$K:$K,'Source 2026'!$B:$B,$A127,'Source 2026'!$A:$A,"Amount (NIS)")+SUMIFS('Source 2026'!$O:$O,'Source 2026'!$B:$B,$A127,'Source 2026'!$A:$A,"Amount (NIS)")+SUMIFS('Source 2026'!$R:$R,'Source 2026'!$B:$B,$A127,'Source 2026'!$A:$A,"Amount (NIS)")+SUMIFS('Source 2026'!$P:$P,'Source 2026'!$B:$B,$A127,'Source 2026'!$A:$A,"Amount (NIS)")+SUMIFS('Source 2026'!$J:$J,'Source 2026'!$B:$B,$A127,'Source 2026'!$A:$A,"Amount (NIS)")+SUMIFS('Source 2026'!$L:$L,'Source 2026'!$B:$B,$A127,'Source 2026'!$A:$A,"Amount (NIS)")</f>
        <v>0</v>
      </c>
      <c r="J127" s="9" t="n">
        <f aca="false">I127*$J$5</f>
        <v>0</v>
      </c>
      <c r="K127" s="9" t="n">
        <f aca="false">J127-H127</f>
        <v>317.4</v>
      </c>
      <c r="L127" s="11" t="n">
        <f aca="false">IF(AND(H127=0,J127=0),0,IF(H127=0,"New",(J127-H127)/H127))</f>
        <v>-1</v>
      </c>
    </row>
    <row r="128" customFormat="false" ht="15" hidden="false" customHeight="true" outlineLevel="0" collapsed="false">
      <c r="A128" s="8" t="s">
        <v>230</v>
      </c>
      <c r="B128" s="8" t="str">
        <f aca="false">IFERROR(INDEX('Source 2026'!$C:$C,MATCH($A128,'Source 2026'!$B:$B,0)),IFERROR(INDEX('Source 2025'!$C:$C,MATCH($A128,'Source 2025'!$B:$B,0)),""))</f>
        <v>נגד פטרת הציפורן</v>
      </c>
      <c r="C128" s="9" t="n">
        <f aca="false">SUMIFS('Source 2025'!$K:$K,'Source 2025'!$B:$B,$A128,'Source 2025'!$A:$A,"Quantity (units)")+SUMIFS('Source 2025'!$O:$O,'Source 2025'!$B:$B,$A128,'Source 2025'!$A:$A,"Quantity (units)")+SUMIFS('Source 2025'!$R:$R,'Source 2025'!$B:$B,$A128,'Source 2025'!$A:$A,"Quantity (units)")+SUMIFS('Source 2025'!$P:$P,'Source 2025'!$B:$B,$A128,'Source 2025'!$A:$A,"Quantity (units)")+SUMIFS('Source 2025'!$J:$J,'Source 2025'!$B:$B,$A128,'Source 2025'!$A:$A,"Quantity (units)")+SUMIFS('Source 2025'!$L:$L,'Source 2025'!$B:$B,$A128,'Source 2025'!$A:$A,"Quantity (units)")</f>
        <v>-15</v>
      </c>
      <c r="D128" s="9" t="n">
        <f aca="false">SUMIFS('Source 2026'!$K:$K,'Source 2026'!$B:$B,$A128,'Source 2026'!$A:$A,"Quantity (units)")+SUMIFS('Source 2026'!$O:$O,'Source 2026'!$B:$B,$A128,'Source 2026'!$A:$A,"Quantity (units)")+SUMIFS('Source 2026'!$R:$R,'Source 2026'!$B:$B,$A128,'Source 2026'!$A:$A,"Quantity (units)")+SUMIFS('Source 2026'!$P:$P,'Source 2026'!$B:$B,$A128,'Source 2026'!$A:$A,"Quantity (units)")+SUMIFS('Source 2026'!$J:$J,'Source 2026'!$B:$B,$A128,'Source 2026'!$A:$A,"Quantity (units)")+SUMIFS('Source 2026'!$L:$L,'Source 2026'!$B:$B,$A128,'Source 2026'!$A:$A,"Quantity (units)")</f>
        <v>-6</v>
      </c>
      <c r="E128" s="9" t="n">
        <f aca="false">D128*$J$5</f>
        <v>-7.57894736842105</v>
      </c>
      <c r="F128" s="9" t="n">
        <f aca="false">E128-C128</f>
        <v>7.42105263157895</v>
      </c>
      <c r="G128" s="11" t="n">
        <f aca="false">IF(AND(C128=0,E128=0),0,IF(C128=0,"New",(E128-C128)/C128))</f>
        <v>-0.494736842105263</v>
      </c>
      <c r="H128" s="9" t="n">
        <f aca="false">SUMIFS('Source 2025'!$K:$K,'Source 2025'!$B:$B,$A128,'Source 2025'!$A:$A,"Amount (NIS)")+SUMIFS('Source 2025'!$O:$O,'Source 2025'!$B:$B,$A128,'Source 2025'!$A:$A,"Amount (NIS)")+SUMIFS('Source 2025'!$R:$R,'Source 2025'!$B:$B,$A128,'Source 2025'!$A:$A,"Amount (NIS)")+SUMIFS('Source 2025'!$P:$P,'Source 2025'!$B:$B,$A128,'Source 2025'!$A:$A,"Amount (NIS)")+SUMIFS('Source 2025'!$J:$J,'Source 2025'!$B:$B,$A128,'Source 2025'!$A:$A,"Amount (NIS)")+SUMIFS('Source 2025'!$L:$L,'Source 2025'!$B:$B,$A128,'Source 2025'!$A:$A,"Amount (NIS)")</f>
        <v>-507.9</v>
      </c>
      <c r="I128" s="9" t="n">
        <f aca="false">SUMIFS('Source 2026'!$K:$K,'Source 2026'!$B:$B,$A128,'Source 2026'!$A:$A,"Amount (NIS)")+SUMIFS('Source 2026'!$O:$O,'Source 2026'!$B:$B,$A128,'Source 2026'!$A:$A,"Amount (NIS)")+SUMIFS('Source 2026'!$R:$R,'Source 2026'!$B:$B,$A128,'Source 2026'!$A:$A,"Amount (NIS)")+SUMIFS('Source 2026'!$P:$P,'Source 2026'!$B:$B,$A128,'Source 2026'!$A:$A,"Amount (NIS)")+SUMIFS('Source 2026'!$J:$J,'Source 2026'!$B:$B,$A128,'Source 2026'!$A:$A,"Amount (NIS)")+SUMIFS('Source 2026'!$L:$L,'Source 2026'!$B:$B,$A128,'Source 2026'!$A:$A,"Amount (NIS)")</f>
        <v>-191.6</v>
      </c>
      <c r="J128" s="9" t="n">
        <f aca="false">I128*$J$5</f>
        <v>-242.021052631579</v>
      </c>
      <c r="K128" s="9" t="n">
        <f aca="false">J128-H128</f>
        <v>265.878947368421</v>
      </c>
      <c r="L128" s="11" t="n">
        <f aca="false">IF(AND(H128=0,J128=0),0,IF(H128=0,"New",(J128-H128)/H128))</f>
        <v>-0.523486803245562</v>
      </c>
    </row>
    <row r="129" customFormat="false" ht="15" hidden="false" customHeight="true" outlineLevel="0" collapsed="false">
      <c r="A129" s="8" t="s">
        <v>235</v>
      </c>
      <c r="B129" s="8" t="str">
        <f aca="false">IFERROR(INDEX('Source 2026'!$C:$C,MATCH($A129,'Source 2026'!$B:$B,0)),IFERROR(INDEX('Source 2025'!$C:$C,MATCH($A129,'Source 2025'!$B:$B,0)),""))</f>
        <v>344-אבן טבעית להסרת עור קשה</v>
      </c>
      <c r="C129" s="9" t="n">
        <f aca="false">SUMIFS('Source 2025'!$K:$K,'Source 2025'!$B:$B,$A129,'Source 2025'!$A:$A,"Quantity (units)")+SUMIFS('Source 2025'!$O:$O,'Source 2025'!$B:$B,$A129,'Source 2025'!$A:$A,"Quantity (units)")+SUMIFS('Source 2025'!$R:$R,'Source 2025'!$B:$B,$A129,'Source 2025'!$A:$A,"Quantity (units)")+SUMIFS('Source 2025'!$P:$P,'Source 2025'!$B:$B,$A129,'Source 2025'!$A:$A,"Quantity (units)")+SUMIFS('Source 2025'!$J:$J,'Source 2025'!$B:$B,$A129,'Source 2025'!$A:$A,"Quantity (units)")+SUMIFS('Source 2025'!$L:$L,'Source 2025'!$B:$B,$A129,'Source 2025'!$A:$A,"Quantity (units)")</f>
        <v>118</v>
      </c>
      <c r="D129" s="9" t="n">
        <f aca="false">SUMIFS('Source 2026'!$K:$K,'Source 2026'!$B:$B,$A129,'Source 2026'!$A:$A,"Quantity (units)")+SUMIFS('Source 2026'!$O:$O,'Source 2026'!$B:$B,$A129,'Source 2026'!$A:$A,"Quantity (units)")+SUMIFS('Source 2026'!$R:$R,'Source 2026'!$B:$B,$A129,'Source 2026'!$A:$A,"Quantity (units)")+SUMIFS('Source 2026'!$P:$P,'Source 2026'!$B:$B,$A129,'Source 2026'!$A:$A,"Quantity (units)")+SUMIFS('Source 2026'!$J:$J,'Source 2026'!$B:$B,$A129,'Source 2026'!$A:$A,"Quantity (units)")+SUMIFS('Source 2026'!$L:$L,'Source 2026'!$B:$B,$A129,'Source 2026'!$A:$A,"Quantity (units)")</f>
        <v>160</v>
      </c>
      <c r="E129" s="9" t="n">
        <f aca="false">D129*$J$5</f>
        <v>202.105263157895</v>
      </c>
      <c r="F129" s="9" t="n">
        <f aca="false">E129-C129</f>
        <v>84.1052631578947</v>
      </c>
      <c r="G129" s="11" t="n">
        <f aca="false">IF(AND(C129=0,E129=0),0,IF(C129=0,"New",(E129-C129)/C129))</f>
        <v>0.712756467439786</v>
      </c>
      <c r="H129" s="9" t="n">
        <f aca="false">SUMIFS('Source 2025'!$K:$K,'Source 2025'!$B:$B,$A129,'Source 2025'!$A:$A,"Amount (NIS)")+SUMIFS('Source 2025'!$O:$O,'Source 2025'!$B:$B,$A129,'Source 2025'!$A:$A,"Amount (NIS)")+SUMIFS('Source 2025'!$R:$R,'Source 2025'!$B:$B,$A129,'Source 2025'!$A:$A,"Amount (NIS)")+SUMIFS('Source 2025'!$P:$P,'Source 2025'!$B:$B,$A129,'Source 2025'!$A:$A,"Amount (NIS)")+SUMIFS('Source 2025'!$J:$J,'Source 2025'!$B:$B,$A129,'Source 2025'!$A:$A,"Amount (NIS)")+SUMIFS('Source 2025'!$L:$L,'Source 2025'!$B:$B,$A129,'Source 2025'!$A:$A,"Amount (NIS)")</f>
        <v>852</v>
      </c>
      <c r="I129" s="9" t="n">
        <f aca="false">SUMIFS('Source 2026'!$K:$K,'Source 2026'!$B:$B,$A129,'Source 2026'!$A:$A,"Amount (NIS)")+SUMIFS('Source 2026'!$O:$O,'Source 2026'!$B:$B,$A129,'Source 2026'!$A:$A,"Amount (NIS)")+SUMIFS('Source 2026'!$R:$R,'Source 2026'!$B:$B,$A129,'Source 2026'!$A:$A,"Amount (NIS)")+SUMIFS('Source 2026'!$P:$P,'Source 2026'!$B:$B,$A129,'Source 2026'!$A:$A,"Amount (NIS)")+SUMIFS('Source 2026'!$J:$J,'Source 2026'!$B:$B,$A129,'Source 2026'!$A:$A,"Amount (NIS)")+SUMIFS('Source 2026'!$L:$L,'Source 2026'!$B:$B,$A129,'Source 2026'!$A:$A,"Amount (NIS)")</f>
        <v>1155.2</v>
      </c>
      <c r="J129" s="9" t="n">
        <f aca="false">I129*$J$5</f>
        <v>1459.2</v>
      </c>
      <c r="K129" s="9" t="n">
        <f aca="false">J129-H129</f>
        <v>607.2</v>
      </c>
      <c r="L129" s="11" t="n">
        <f aca="false">IF(AND(H129=0,J129=0),0,IF(H129=0,"New",(J129-H129)/H129))</f>
        <v>0.712676056338028</v>
      </c>
    </row>
    <row r="130" customFormat="false" ht="15" hidden="false" customHeight="true" outlineLevel="0" collapsed="false">
      <c r="A130" s="8" t="s">
        <v>366</v>
      </c>
      <c r="B130" s="8" t="str">
        <f aca="false">IFERROR(INDEX('Source 2026'!$C:$C,MATCH($A130,'Source 2026'!$B:$B,0)),IFERROR(INDEX('Source 2025'!$C:$C,MATCH($A130,'Source 2025'!$B:$B,0)),""))</f>
        <v>תתמדרס.ציפוי עור גבר זו43</v>
      </c>
      <c r="C130" s="9" t="n">
        <f aca="false">SUMIFS('Source 2025'!$K:$K,'Source 2025'!$B:$B,$A130,'Source 2025'!$A:$A,"Quantity (units)")+SUMIFS('Source 2025'!$O:$O,'Source 2025'!$B:$B,$A130,'Source 2025'!$A:$A,"Quantity (units)")+SUMIFS('Source 2025'!$R:$R,'Source 2025'!$B:$B,$A130,'Source 2025'!$A:$A,"Quantity (units)")+SUMIFS('Source 2025'!$P:$P,'Source 2025'!$B:$B,$A130,'Source 2025'!$A:$A,"Quantity (units)")+SUMIFS('Source 2025'!$J:$J,'Source 2025'!$B:$B,$A130,'Source 2025'!$A:$A,"Quantity (units)")+SUMIFS('Source 2025'!$L:$L,'Source 2025'!$B:$B,$A130,'Source 2025'!$A:$A,"Quantity (units)")</f>
        <v>-4</v>
      </c>
      <c r="D130" s="9" t="n">
        <f aca="false">SUMIFS('Source 2026'!$K:$K,'Source 2026'!$B:$B,$A130,'Source 2026'!$A:$A,"Quantity (units)")+SUMIFS('Source 2026'!$O:$O,'Source 2026'!$B:$B,$A130,'Source 2026'!$A:$A,"Quantity (units)")+SUMIFS('Source 2026'!$R:$R,'Source 2026'!$B:$B,$A130,'Source 2026'!$A:$A,"Quantity (units)")+SUMIFS('Source 2026'!$P:$P,'Source 2026'!$B:$B,$A130,'Source 2026'!$A:$A,"Quantity (units)")+SUMIFS('Source 2026'!$J:$J,'Source 2026'!$B:$B,$A130,'Source 2026'!$A:$A,"Quantity (units)")+SUMIFS('Source 2026'!$L:$L,'Source 2026'!$B:$B,$A130,'Source 2026'!$A:$A,"Quantity (units)")</f>
        <v>-1</v>
      </c>
      <c r="E130" s="9" t="n">
        <f aca="false">D130*$J$5</f>
        <v>-1.26315789473684</v>
      </c>
      <c r="F130" s="9" t="n">
        <f aca="false">E130-C130</f>
        <v>2.73684210526316</v>
      </c>
      <c r="G130" s="11" t="n">
        <f aca="false">IF(AND(C130=0,E130=0),0,IF(C130=0,"New",(E130-C130)/C130))</f>
        <v>-0.68421052631579</v>
      </c>
      <c r="H130" s="9" t="n">
        <f aca="false">SUMIFS('Source 2025'!$K:$K,'Source 2025'!$B:$B,$A130,'Source 2025'!$A:$A,"Amount (NIS)")+SUMIFS('Source 2025'!$O:$O,'Source 2025'!$B:$B,$A130,'Source 2025'!$A:$A,"Amount (NIS)")+SUMIFS('Source 2025'!$R:$R,'Source 2025'!$B:$B,$A130,'Source 2025'!$A:$A,"Amount (NIS)")+SUMIFS('Source 2025'!$P:$P,'Source 2025'!$B:$B,$A130,'Source 2025'!$A:$A,"Amount (NIS)")+SUMIFS('Source 2025'!$J:$J,'Source 2025'!$B:$B,$A130,'Source 2025'!$A:$A,"Amount (NIS)")+SUMIFS('Source 2025'!$L:$L,'Source 2025'!$B:$B,$A130,'Source 2025'!$A:$A,"Amount (NIS)")</f>
        <v>-387</v>
      </c>
      <c r="I130" s="9" t="n">
        <f aca="false">SUMIFS('Source 2026'!$K:$K,'Source 2026'!$B:$B,$A130,'Source 2026'!$A:$A,"Amount (NIS)")+SUMIFS('Source 2026'!$O:$O,'Source 2026'!$B:$B,$A130,'Source 2026'!$A:$A,"Amount (NIS)")+SUMIFS('Source 2026'!$R:$R,'Source 2026'!$B:$B,$A130,'Source 2026'!$A:$A,"Amount (NIS)")+SUMIFS('Source 2026'!$P:$P,'Source 2026'!$B:$B,$A130,'Source 2026'!$A:$A,"Amount (NIS)")+SUMIFS('Source 2026'!$J:$J,'Source 2026'!$B:$B,$A130,'Source 2026'!$A:$A,"Amount (NIS)")+SUMIFS('Source 2026'!$L:$L,'Source 2026'!$B:$B,$A130,'Source 2026'!$A:$A,"Amount (NIS)")</f>
        <v>-96.7</v>
      </c>
      <c r="J130" s="9" t="n">
        <f aca="false">I130*$J$5</f>
        <v>-122.147368421053</v>
      </c>
      <c r="K130" s="9" t="n">
        <f aca="false">J130-H130</f>
        <v>264.852631578947</v>
      </c>
      <c r="L130" s="11" t="n">
        <f aca="false">IF(AND(H130=0,J130=0),0,IF(H130=0,"New",(J130-H130)/H130))</f>
        <v>-0.6843737250102</v>
      </c>
    </row>
    <row r="131" customFormat="false" ht="15" hidden="false" customHeight="true" outlineLevel="0" collapsed="false">
      <c r="A131" s="8" t="s">
        <v>198</v>
      </c>
      <c r="B131" s="8" t="str">
        <f aca="false">IFERROR(INDEX('Source 2026'!$C:$C,MATCH($A131,'Source 2026'!$B:$B,0)),IFERROR(INDEX('Source 2025'!$C:$C,MATCH($A131,'Source 2025'!$B:$B,0)),""))</f>
        <v>לחץ מיבלת2יח</v>
      </c>
      <c r="C131" s="9" t="n">
        <f aca="false">SUMIFS('Source 2025'!$K:$K,'Source 2025'!$B:$B,$A131,'Source 2025'!$A:$A,"Quantity (units)")+SUMIFS('Source 2025'!$O:$O,'Source 2025'!$B:$B,$A131,'Source 2025'!$A:$A,"Quantity (units)")+SUMIFS('Source 2025'!$R:$R,'Source 2025'!$B:$B,$A131,'Source 2025'!$A:$A,"Quantity (units)")+SUMIFS('Source 2025'!$P:$P,'Source 2025'!$B:$B,$A131,'Source 2025'!$A:$A,"Quantity (units)")+SUMIFS('Source 2025'!$J:$J,'Source 2025'!$B:$B,$A131,'Source 2025'!$A:$A,"Quantity (units)")+SUMIFS('Source 2025'!$L:$L,'Source 2025'!$B:$B,$A131,'Source 2025'!$A:$A,"Quantity (units)")</f>
        <v>88</v>
      </c>
      <c r="D131" s="9" t="n">
        <f aca="false">SUMIFS('Source 2026'!$K:$K,'Source 2026'!$B:$B,$A131,'Source 2026'!$A:$A,"Quantity (units)")+SUMIFS('Source 2026'!$O:$O,'Source 2026'!$B:$B,$A131,'Source 2026'!$A:$A,"Quantity (units)")+SUMIFS('Source 2026'!$R:$R,'Source 2026'!$B:$B,$A131,'Source 2026'!$A:$A,"Quantity (units)")+SUMIFS('Source 2026'!$P:$P,'Source 2026'!$B:$B,$A131,'Source 2026'!$A:$A,"Quantity (units)")+SUMIFS('Source 2026'!$J:$J,'Source 2026'!$B:$B,$A131,'Source 2026'!$A:$A,"Quantity (units)")+SUMIFS('Source 2026'!$L:$L,'Source 2026'!$B:$B,$A131,'Source 2026'!$A:$A,"Quantity (units)")</f>
        <v>67</v>
      </c>
      <c r="E131" s="9" t="n">
        <f aca="false">D131*$J$5</f>
        <v>84.6315789473684</v>
      </c>
      <c r="F131" s="9" t="n">
        <f aca="false">E131-C131</f>
        <v>-3.36842105263159</v>
      </c>
      <c r="G131" s="11" t="n">
        <f aca="false">IF(AND(C131=0,E131=0),0,IF(C131=0,"New",(E131-C131)/C131))</f>
        <v>-0.0382775119617226</v>
      </c>
      <c r="H131" s="9" t="n">
        <f aca="false">SUMIFS('Source 2025'!$K:$K,'Source 2025'!$B:$B,$A131,'Source 2025'!$A:$A,"Amount (NIS)")+SUMIFS('Source 2025'!$O:$O,'Source 2025'!$B:$B,$A131,'Source 2025'!$A:$A,"Amount (NIS)")+SUMIFS('Source 2025'!$R:$R,'Source 2025'!$B:$B,$A131,'Source 2025'!$A:$A,"Amount (NIS)")+SUMIFS('Source 2025'!$P:$P,'Source 2025'!$B:$B,$A131,'Source 2025'!$A:$A,"Amount (NIS)")+SUMIFS('Source 2025'!$J:$J,'Source 2025'!$B:$B,$A131,'Source 2025'!$A:$A,"Amount (NIS)")+SUMIFS('Source 2025'!$L:$L,'Source 2025'!$B:$B,$A131,'Source 2025'!$A:$A,"Amount (NIS)")</f>
        <v>1149.1</v>
      </c>
      <c r="I131" s="9" t="n">
        <f aca="false">SUMIFS('Source 2026'!$K:$K,'Source 2026'!$B:$B,$A131,'Source 2026'!$A:$A,"Amount (NIS)")+SUMIFS('Source 2026'!$O:$O,'Source 2026'!$B:$B,$A131,'Source 2026'!$A:$A,"Amount (NIS)")+SUMIFS('Source 2026'!$R:$R,'Source 2026'!$B:$B,$A131,'Source 2026'!$A:$A,"Amount (NIS)")+SUMIFS('Source 2026'!$P:$P,'Source 2026'!$B:$B,$A131,'Source 2026'!$A:$A,"Amount (NIS)")+SUMIFS('Source 2026'!$J:$J,'Source 2026'!$B:$B,$A131,'Source 2026'!$A:$A,"Amount (NIS)")+SUMIFS('Source 2026'!$L:$L,'Source 2026'!$B:$B,$A131,'Source 2026'!$A:$A,"Amount (NIS)")</f>
        <v>891.3</v>
      </c>
      <c r="J131" s="9" t="n">
        <f aca="false">I131*$J$5</f>
        <v>1125.85263157895</v>
      </c>
      <c r="K131" s="9" t="n">
        <f aca="false">J131-H131</f>
        <v>-23.2473684210527</v>
      </c>
      <c r="L131" s="11" t="n">
        <f aca="false">IF(AND(H131=0,J131=0),0,IF(H131=0,"New",(J131-H131)/H131))</f>
        <v>-0.0202309358811702</v>
      </c>
    </row>
    <row r="132" customFormat="false" ht="15" hidden="false" customHeight="true" outlineLevel="0" collapsed="false">
      <c r="A132" s="8" t="s">
        <v>170</v>
      </c>
      <c r="B132" s="8" t="str">
        <f aca="false">IFERROR(INDEX('Source 2026'!$C:$C,MATCH($A132,'Source 2026'!$B:$B,0)),IFERROR(INDEX('Source 2025'!$C:$C,MATCH($A132,'Source 2025'!$B:$B,0)),""))</f>
        <v>גרב.כסף לסכרתים אפור35-38</v>
      </c>
      <c r="C132" s="9" t="n">
        <f aca="false">SUMIFS('Source 2025'!$K:$K,'Source 2025'!$B:$B,$A132,'Source 2025'!$A:$A,"Quantity (units)")+SUMIFS('Source 2025'!$O:$O,'Source 2025'!$B:$B,$A132,'Source 2025'!$A:$A,"Quantity (units)")+SUMIFS('Source 2025'!$R:$R,'Source 2025'!$B:$B,$A132,'Source 2025'!$A:$A,"Quantity (units)")+SUMIFS('Source 2025'!$P:$P,'Source 2025'!$B:$B,$A132,'Source 2025'!$A:$A,"Quantity (units)")+SUMIFS('Source 2025'!$J:$J,'Source 2025'!$B:$B,$A132,'Source 2025'!$A:$A,"Quantity (units)")+SUMIFS('Source 2025'!$L:$L,'Source 2025'!$B:$B,$A132,'Source 2025'!$A:$A,"Quantity (units)")</f>
        <v>4</v>
      </c>
      <c r="D132" s="9" t="n">
        <f aca="false">SUMIFS('Source 2026'!$K:$K,'Source 2026'!$B:$B,$A132,'Source 2026'!$A:$A,"Quantity (units)")+SUMIFS('Source 2026'!$O:$O,'Source 2026'!$B:$B,$A132,'Source 2026'!$A:$A,"Quantity (units)")+SUMIFS('Source 2026'!$R:$R,'Source 2026'!$B:$B,$A132,'Source 2026'!$A:$A,"Quantity (units)")+SUMIFS('Source 2026'!$P:$P,'Source 2026'!$B:$B,$A132,'Source 2026'!$A:$A,"Quantity (units)")+SUMIFS('Source 2026'!$J:$J,'Source 2026'!$B:$B,$A132,'Source 2026'!$A:$A,"Quantity (units)")+SUMIFS('Source 2026'!$L:$L,'Source 2026'!$B:$B,$A132,'Source 2026'!$A:$A,"Quantity (units)")</f>
        <v>-4</v>
      </c>
      <c r="E132" s="9" t="n">
        <f aca="false">D132*$J$5</f>
        <v>-5.05263157894737</v>
      </c>
      <c r="F132" s="9" t="n">
        <f aca="false">E132-C132</f>
        <v>-9.05263157894737</v>
      </c>
      <c r="G132" s="11" t="n">
        <f aca="false">IF(AND(C132=0,E132=0),0,IF(C132=0,"New",(E132-C132)/C132))</f>
        <v>-2.26315789473684</v>
      </c>
      <c r="H132" s="9" t="n">
        <f aca="false">SUMIFS('Source 2025'!$K:$K,'Source 2025'!$B:$B,$A132,'Source 2025'!$A:$A,"Amount (NIS)")+SUMIFS('Source 2025'!$O:$O,'Source 2025'!$B:$B,$A132,'Source 2025'!$A:$A,"Amount (NIS)")+SUMIFS('Source 2025'!$R:$R,'Source 2025'!$B:$B,$A132,'Source 2025'!$A:$A,"Amount (NIS)")+SUMIFS('Source 2025'!$P:$P,'Source 2025'!$B:$B,$A132,'Source 2025'!$A:$A,"Amount (NIS)")+SUMIFS('Source 2025'!$J:$J,'Source 2025'!$B:$B,$A132,'Source 2025'!$A:$A,"Amount (NIS)")+SUMIFS('Source 2025'!$L:$L,'Source 2025'!$B:$B,$A132,'Source 2025'!$A:$A,"Amount (NIS)")</f>
        <v>96.1</v>
      </c>
      <c r="I132" s="9" t="n">
        <f aca="false">SUMIFS('Source 2026'!$K:$K,'Source 2026'!$B:$B,$A132,'Source 2026'!$A:$A,"Amount (NIS)")+SUMIFS('Source 2026'!$O:$O,'Source 2026'!$B:$B,$A132,'Source 2026'!$A:$A,"Amount (NIS)")+SUMIFS('Source 2026'!$R:$R,'Source 2026'!$B:$B,$A132,'Source 2026'!$A:$A,"Amount (NIS)")+SUMIFS('Source 2026'!$P:$P,'Source 2026'!$B:$B,$A132,'Source 2026'!$A:$A,"Amount (NIS)")+SUMIFS('Source 2026'!$J:$J,'Source 2026'!$B:$B,$A132,'Source 2026'!$A:$A,"Amount (NIS)")+SUMIFS('Source 2026'!$L:$L,'Source 2026'!$B:$B,$A132,'Source 2026'!$A:$A,"Amount (NIS)")</f>
        <v>-136.3</v>
      </c>
      <c r="J132" s="9" t="n">
        <f aca="false">I132*$J$5</f>
        <v>-172.168421052632</v>
      </c>
      <c r="K132" s="9" t="n">
        <f aca="false">J132-H132</f>
        <v>-268.268421052632</v>
      </c>
      <c r="L132" s="11" t="n">
        <f aca="false">IF(AND(H132=0,J132=0),0,IF(H132=0,"New",(J132-H132)/H132))</f>
        <v>-2.79155484966318</v>
      </c>
    </row>
    <row r="133" customFormat="false" ht="15" hidden="false" customHeight="true" outlineLevel="0" collapsed="false">
      <c r="A133" s="8" t="s">
        <v>140</v>
      </c>
      <c r="B133" s="8" t="str">
        <f aca="false">IFERROR(INDEX('Source 2026'!$C:$C,MATCH($A133,'Source 2026'!$B:$B,0)),IFERROR(INDEX('Source 2025'!$C:$C,MATCH($A133,'Source 2025'!$B:$B,0)),""))</f>
        <v>חגורת בטן קלה</v>
      </c>
      <c r="C133" s="9" t="n">
        <f aca="false">SUMIFS('Source 2025'!$K:$K,'Source 2025'!$B:$B,$A133,'Source 2025'!$A:$A,"Quantity (units)")+SUMIFS('Source 2025'!$O:$O,'Source 2025'!$B:$B,$A133,'Source 2025'!$A:$A,"Quantity (units)")+SUMIFS('Source 2025'!$R:$R,'Source 2025'!$B:$B,$A133,'Source 2025'!$A:$A,"Quantity (units)")+SUMIFS('Source 2025'!$P:$P,'Source 2025'!$B:$B,$A133,'Source 2025'!$A:$A,"Quantity (units)")+SUMIFS('Source 2025'!$J:$J,'Source 2025'!$B:$B,$A133,'Source 2025'!$A:$A,"Quantity (units)")+SUMIFS('Source 2025'!$L:$L,'Source 2025'!$B:$B,$A133,'Source 2025'!$A:$A,"Quantity (units)")</f>
        <v>-1</v>
      </c>
      <c r="D133" s="9" t="n">
        <f aca="false">SUMIFS('Source 2026'!$K:$K,'Source 2026'!$B:$B,$A133,'Source 2026'!$A:$A,"Quantity (units)")+SUMIFS('Source 2026'!$O:$O,'Source 2026'!$B:$B,$A133,'Source 2026'!$A:$A,"Quantity (units)")+SUMIFS('Source 2026'!$R:$R,'Source 2026'!$B:$B,$A133,'Source 2026'!$A:$A,"Quantity (units)")+SUMIFS('Source 2026'!$P:$P,'Source 2026'!$B:$B,$A133,'Source 2026'!$A:$A,"Quantity (units)")+SUMIFS('Source 2026'!$J:$J,'Source 2026'!$B:$B,$A133,'Source 2026'!$A:$A,"Quantity (units)")+SUMIFS('Source 2026'!$L:$L,'Source 2026'!$B:$B,$A133,'Source 2026'!$A:$A,"Quantity (units)")</f>
        <v>2</v>
      </c>
      <c r="E133" s="9" t="n">
        <f aca="false">D133*$J$5</f>
        <v>2.52631578947368</v>
      </c>
      <c r="F133" s="9" t="n">
        <f aca="false">E133-C133</f>
        <v>3.52631578947368</v>
      </c>
      <c r="G133" s="11" t="n">
        <f aca="false">IF(AND(C133=0,E133=0),0,IF(C133=0,"New",(E133-C133)/C133))</f>
        <v>-3.52631578947368</v>
      </c>
      <c r="H133" s="9" t="n">
        <f aca="false">SUMIFS('Source 2025'!$K:$K,'Source 2025'!$B:$B,$A133,'Source 2025'!$A:$A,"Amount (NIS)")+SUMIFS('Source 2025'!$O:$O,'Source 2025'!$B:$B,$A133,'Source 2025'!$A:$A,"Amount (NIS)")+SUMIFS('Source 2025'!$R:$R,'Source 2025'!$B:$B,$A133,'Source 2025'!$A:$A,"Amount (NIS)")+SUMIFS('Source 2025'!$P:$P,'Source 2025'!$B:$B,$A133,'Source 2025'!$A:$A,"Amount (NIS)")+SUMIFS('Source 2025'!$J:$J,'Source 2025'!$B:$B,$A133,'Source 2025'!$A:$A,"Amount (NIS)")+SUMIFS('Source 2025'!$L:$L,'Source 2025'!$B:$B,$A133,'Source 2025'!$A:$A,"Amount (NIS)")</f>
        <v>-75.3</v>
      </c>
      <c r="I133" s="9" t="n">
        <f aca="false">SUMIFS('Source 2026'!$K:$K,'Source 2026'!$B:$B,$A133,'Source 2026'!$A:$A,"Amount (NIS)")+SUMIFS('Source 2026'!$O:$O,'Source 2026'!$B:$B,$A133,'Source 2026'!$A:$A,"Amount (NIS)")+SUMIFS('Source 2026'!$R:$R,'Source 2026'!$B:$B,$A133,'Source 2026'!$A:$A,"Amount (NIS)")+SUMIFS('Source 2026'!$P:$P,'Source 2026'!$B:$B,$A133,'Source 2026'!$A:$A,"Amount (NIS)")+SUMIFS('Source 2026'!$J:$J,'Source 2026'!$B:$B,$A133,'Source 2026'!$A:$A,"Amount (NIS)")+SUMIFS('Source 2026'!$L:$L,'Source 2026'!$B:$B,$A133,'Source 2026'!$A:$A,"Amount (NIS)")</f>
        <v>150.5</v>
      </c>
      <c r="J133" s="9" t="n">
        <f aca="false">I133*$J$5</f>
        <v>190.105263157895</v>
      </c>
      <c r="K133" s="9" t="n">
        <f aca="false">J133-H133</f>
        <v>265.405263157895</v>
      </c>
      <c r="L133" s="11" t="n">
        <f aca="false">IF(AND(H133=0,J133=0),0,IF(H133=0,"New",(J133-H133)/H133))</f>
        <v>-3.52463828894947</v>
      </c>
    </row>
    <row r="134" customFormat="false" ht="15" hidden="false" customHeight="true" outlineLevel="0" collapsed="false">
      <c r="A134" s="8" t="s">
        <v>296</v>
      </c>
      <c r="B134" s="8" t="str">
        <f aca="false">IFERROR(INDEX('Source 2026'!$C:$C,MATCH($A134,'Source 2026'!$B:$B,0)),IFERROR(INDEX('Source 2025'!$C:$C,MATCH($A134,'Source 2025'!$B:$B,0)),""))</f>
        <v>L-XLחגורת הריון בכאב.חזק</v>
      </c>
      <c r="C134" s="9" t="n">
        <f aca="false">SUMIFS('Source 2025'!$K:$K,'Source 2025'!$B:$B,$A134,'Source 2025'!$A:$A,"Quantity (units)")+SUMIFS('Source 2025'!$O:$O,'Source 2025'!$B:$B,$A134,'Source 2025'!$A:$A,"Quantity (units)")+SUMIFS('Source 2025'!$R:$R,'Source 2025'!$B:$B,$A134,'Source 2025'!$A:$A,"Quantity (units)")+SUMIFS('Source 2025'!$P:$P,'Source 2025'!$B:$B,$A134,'Source 2025'!$A:$A,"Quantity (units)")+SUMIFS('Source 2025'!$J:$J,'Source 2025'!$B:$B,$A134,'Source 2025'!$A:$A,"Quantity (units)")+SUMIFS('Source 2025'!$L:$L,'Source 2025'!$B:$B,$A134,'Source 2025'!$A:$A,"Quantity (units)")</f>
        <v>0</v>
      </c>
      <c r="D134" s="9" t="n">
        <f aca="false">SUMIFS('Source 2026'!$K:$K,'Source 2026'!$B:$B,$A134,'Source 2026'!$A:$A,"Quantity (units)")+SUMIFS('Source 2026'!$O:$O,'Source 2026'!$B:$B,$A134,'Source 2026'!$A:$A,"Quantity (units)")+SUMIFS('Source 2026'!$R:$R,'Source 2026'!$B:$B,$A134,'Source 2026'!$A:$A,"Quantity (units)")+SUMIFS('Source 2026'!$P:$P,'Source 2026'!$B:$B,$A134,'Source 2026'!$A:$A,"Quantity (units)")+SUMIFS('Source 2026'!$J:$J,'Source 2026'!$B:$B,$A134,'Source 2026'!$A:$A,"Quantity (units)")+SUMIFS('Source 2026'!$L:$L,'Source 2026'!$B:$B,$A134,'Source 2026'!$A:$A,"Quantity (units)")</f>
        <v>-1</v>
      </c>
      <c r="E134" s="9" t="n">
        <f aca="false">D134*$J$5</f>
        <v>-1.26315789473684</v>
      </c>
      <c r="F134" s="9" t="n">
        <f aca="false">E134-C134</f>
        <v>-1.26315789473684</v>
      </c>
      <c r="G134" s="11" t="str">
        <f aca="false">IF(AND(C134=0,E134=0),0,IF(C134=0,"New",(E134-C134)/C134))</f>
        <v>New</v>
      </c>
      <c r="H134" s="9" t="n">
        <f aca="false">SUMIFS('Source 2025'!$K:$K,'Source 2025'!$B:$B,$A134,'Source 2025'!$A:$A,"Amount (NIS)")+SUMIFS('Source 2025'!$O:$O,'Source 2025'!$B:$B,$A134,'Source 2025'!$A:$A,"Amount (NIS)")+SUMIFS('Source 2025'!$R:$R,'Source 2025'!$B:$B,$A134,'Source 2025'!$A:$A,"Amount (NIS)")+SUMIFS('Source 2025'!$P:$P,'Source 2025'!$B:$B,$A134,'Source 2025'!$A:$A,"Amount (NIS)")+SUMIFS('Source 2025'!$J:$J,'Source 2025'!$B:$B,$A134,'Source 2025'!$A:$A,"Amount (NIS)")+SUMIFS('Source 2025'!$L:$L,'Source 2025'!$B:$B,$A134,'Source 2025'!$A:$A,"Amount (NIS)")</f>
        <v>0</v>
      </c>
      <c r="I134" s="9" t="n">
        <f aca="false">SUMIFS('Source 2026'!$K:$K,'Source 2026'!$B:$B,$A134,'Source 2026'!$A:$A,"Amount (NIS)")+SUMIFS('Source 2026'!$O:$O,'Source 2026'!$B:$B,$A134,'Source 2026'!$A:$A,"Amount (NIS)")+SUMIFS('Source 2026'!$R:$R,'Source 2026'!$B:$B,$A134,'Source 2026'!$A:$A,"Amount (NIS)")+SUMIFS('Source 2026'!$P:$P,'Source 2026'!$B:$B,$A134,'Source 2026'!$A:$A,"Amount (NIS)")+SUMIFS('Source 2026'!$J:$J,'Source 2026'!$B:$B,$A134,'Source 2026'!$A:$A,"Amount (NIS)")+SUMIFS('Source 2026'!$L:$L,'Source 2026'!$B:$B,$A134,'Source 2026'!$A:$A,"Amount (NIS)")</f>
        <v>-223.2</v>
      </c>
      <c r="J134" s="9" t="n">
        <f aca="false">I134*$J$5</f>
        <v>-281.936842105263</v>
      </c>
      <c r="K134" s="9" t="n">
        <f aca="false">J134-H134</f>
        <v>-281.936842105263</v>
      </c>
      <c r="L134" s="11" t="str">
        <f aca="false">IF(AND(H134=0,J134=0),0,IF(H134=0,"New",(J134-H134)/H134))</f>
        <v>New</v>
      </c>
    </row>
    <row r="135" customFormat="false" ht="15" hidden="false" customHeight="true" outlineLevel="0" collapsed="false">
      <c r="A135" s="8" t="s">
        <v>162</v>
      </c>
      <c r="B135" s="8" t="str">
        <f aca="false">IFERROR(INDEX('Source 2026'!$C:$C,MATCH($A135,'Source 2026'!$B:$B,0)),IFERROR(INDEX('Source 2025'!$C:$C,MATCH($A135,'Source 2025'!$B:$B,0)),""))</f>
        <v>חבק טניס</v>
      </c>
      <c r="C135" s="9" t="n">
        <f aca="false">SUMIFS('Source 2025'!$K:$K,'Source 2025'!$B:$B,$A135,'Source 2025'!$A:$A,"Quantity (units)")+SUMIFS('Source 2025'!$O:$O,'Source 2025'!$B:$B,$A135,'Source 2025'!$A:$A,"Quantity (units)")+SUMIFS('Source 2025'!$R:$R,'Source 2025'!$B:$B,$A135,'Source 2025'!$A:$A,"Quantity (units)")+SUMIFS('Source 2025'!$P:$P,'Source 2025'!$B:$B,$A135,'Source 2025'!$A:$A,"Quantity (units)")+SUMIFS('Source 2025'!$J:$J,'Source 2025'!$B:$B,$A135,'Source 2025'!$A:$A,"Quantity (units)")+SUMIFS('Source 2025'!$L:$L,'Source 2025'!$B:$B,$A135,'Source 2025'!$A:$A,"Quantity (units)")</f>
        <v>123</v>
      </c>
      <c r="D135" s="9" t="n">
        <f aca="false">SUMIFS('Source 2026'!$K:$K,'Source 2026'!$B:$B,$A135,'Source 2026'!$A:$A,"Quantity (units)")+SUMIFS('Source 2026'!$O:$O,'Source 2026'!$B:$B,$A135,'Source 2026'!$A:$A,"Quantity (units)")+SUMIFS('Source 2026'!$R:$R,'Source 2026'!$B:$B,$A135,'Source 2026'!$A:$A,"Quantity (units)")+SUMIFS('Source 2026'!$P:$P,'Source 2026'!$B:$B,$A135,'Source 2026'!$A:$A,"Quantity (units)")+SUMIFS('Source 2026'!$J:$J,'Source 2026'!$B:$B,$A135,'Source 2026'!$A:$A,"Quantity (units)")+SUMIFS('Source 2026'!$L:$L,'Source 2026'!$B:$B,$A135,'Source 2026'!$A:$A,"Quantity (units)")</f>
        <v>116</v>
      </c>
      <c r="E135" s="9" t="n">
        <f aca="false">D135*$J$5</f>
        <v>146.526315789474</v>
      </c>
      <c r="F135" s="9" t="n">
        <f aca="false">E135-C135</f>
        <v>23.5263157894737</v>
      </c>
      <c r="G135" s="11" t="n">
        <f aca="false">IF(AND(C135=0,E135=0),0,IF(C135=0,"New",(E135-C135)/C135))</f>
        <v>0.191270860077022</v>
      </c>
      <c r="H135" s="9" t="n">
        <f aca="false">SUMIFS('Source 2025'!$K:$K,'Source 2025'!$B:$B,$A135,'Source 2025'!$A:$A,"Amount (NIS)")+SUMIFS('Source 2025'!$O:$O,'Source 2025'!$B:$B,$A135,'Source 2025'!$A:$A,"Amount (NIS)")+SUMIFS('Source 2025'!$R:$R,'Source 2025'!$B:$B,$A135,'Source 2025'!$A:$A,"Amount (NIS)")+SUMIFS('Source 2025'!$P:$P,'Source 2025'!$B:$B,$A135,'Source 2025'!$A:$A,"Amount (NIS)")+SUMIFS('Source 2025'!$J:$J,'Source 2025'!$B:$B,$A135,'Source 2025'!$A:$A,"Amount (NIS)")+SUMIFS('Source 2025'!$L:$L,'Source 2025'!$B:$B,$A135,'Source 2025'!$A:$A,"Amount (NIS)")</f>
        <v>3539</v>
      </c>
      <c r="I135" s="9" t="n">
        <f aca="false">SUMIFS('Source 2026'!$K:$K,'Source 2026'!$B:$B,$A135,'Source 2026'!$A:$A,"Amount (NIS)")+SUMIFS('Source 2026'!$O:$O,'Source 2026'!$B:$B,$A135,'Source 2026'!$A:$A,"Amount (NIS)")+SUMIFS('Source 2026'!$R:$R,'Source 2026'!$B:$B,$A135,'Source 2026'!$A:$A,"Amount (NIS)")+SUMIFS('Source 2026'!$P:$P,'Source 2026'!$B:$B,$A135,'Source 2026'!$A:$A,"Amount (NIS)")+SUMIFS('Source 2026'!$J:$J,'Source 2026'!$B:$B,$A135,'Source 2026'!$A:$A,"Amount (NIS)")+SUMIFS('Source 2026'!$L:$L,'Source 2026'!$B:$B,$A135,'Source 2026'!$A:$A,"Amount (NIS)")</f>
        <v>3323</v>
      </c>
      <c r="J135" s="9" t="n">
        <f aca="false">I135*$J$5</f>
        <v>4197.47368421053</v>
      </c>
      <c r="K135" s="9" t="n">
        <f aca="false">J135-H135</f>
        <v>658.473684210526</v>
      </c>
      <c r="L135" s="11" t="n">
        <f aca="false">IF(AND(H135=0,J135=0),0,IF(H135=0,"New",(J135-H135)/H135))</f>
        <v>0.186062075221963</v>
      </c>
    </row>
    <row r="136" customFormat="false" ht="15" hidden="false" customHeight="true" outlineLevel="0" collapsed="false">
      <c r="A136" s="8" t="s">
        <v>237</v>
      </c>
      <c r="B136" s="8" t="str">
        <f aca="false">IFERROR(INDEX('Source 2026'!$C:$C,MATCH($A136,'Source 2026'!$B:$B,0)),IFERROR(INDEX('Source 2025'!$C:$C,MATCH($A136,'Source 2025'!$B:$B,0)),""))</f>
        <v>רפידת מגבת כותנה-זוג</v>
      </c>
      <c r="C136" s="9" t="n">
        <f aca="false">SUMIFS('Source 2025'!$K:$K,'Source 2025'!$B:$B,$A136,'Source 2025'!$A:$A,"Quantity (units)")+SUMIFS('Source 2025'!$O:$O,'Source 2025'!$B:$B,$A136,'Source 2025'!$A:$A,"Quantity (units)")+SUMIFS('Source 2025'!$R:$R,'Source 2025'!$B:$B,$A136,'Source 2025'!$A:$A,"Quantity (units)")+SUMIFS('Source 2025'!$P:$P,'Source 2025'!$B:$B,$A136,'Source 2025'!$A:$A,"Quantity (units)")+SUMIFS('Source 2025'!$J:$J,'Source 2025'!$B:$B,$A136,'Source 2025'!$A:$A,"Quantity (units)")+SUMIFS('Source 2025'!$L:$L,'Source 2025'!$B:$B,$A136,'Source 2025'!$A:$A,"Quantity (units)")</f>
        <v>54</v>
      </c>
      <c r="D136" s="9" t="n">
        <f aca="false">SUMIFS('Source 2026'!$K:$K,'Source 2026'!$B:$B,$A136,'Source 2026'!$A:$A,"Quantity (units)")+SUMIFS('Source 2026'!$O:$O,'Source 2026'!$B:$B,$A136,'Source 2026'!$A:$A,"Quantity (units)")+SUMIFS('Source 2026'!$R:$R,'Source 2026'!$B:$B,$A136,'Source 2026'!$A:$A,"Quantity (units)")+SUMIFS('Source 2026'!$P:$P,'Source 2026'!$B:$B,$A136,'Source 2026'!$A:$A,"Quantity (units)")+SUMIFS('Source 2026'!$J:$J,'Source 2026'!$B:$B,$A136,'Source 2026'!$A:$A,"Quantity (units)")+SUMIFS('Source 2026'!$L:$L,'Source 2026'!$B:$B,$A136,'Source 2026'!$A:$A,"Quantity (units)")</f>
        <v>34</v>
      </c>
      <c r="E136" s="9" t="n">
        <f aca="false">D136*$J$5</f>
        <v>42.9473684210526</v>
      </c>
      <c r="F136" s="9" t="n">
        <f aca="false">E136-C136</f>
        <v>-11.0526315789474</v>
      </c>
      <c r="G136" s="11" t="n">
        <f aca="false">IF(AND(C136=0,E136=0),0,IF(C136=0,"New",(E136-C136)/C136))</f>
        <v>-0.204678362573099</v>
      </c>
      <c r="H136" s="9" t="n">
        <f aca="false">SUMIFS('Source 2025'!$K:$K,'Source 2025'!$B:$B,$A136,'Source 2025'!$A:$A,"Amount (NIS)")+SUMIFS('Source 2025'!$O:$O,'Source 2025'!$B:$B,$A136,'Source 2025'!$A:$A,"Amount (NIS)")+SUMIFS('Source 2025'!$R:$R,'Source 2025'!$B:$B,$A136,'Source 2025'!$A:$A,"Amount (NIS)")+SUMIFS('Source 2025'!$P:$P,'Source 2025'!$B:$B,$A136,'Source 2025'!$A:$A,"Amount (NIS)")+SUMIFS('Source 2025'!$J:$J,'Source 2025'!$B:$B,$A136,'Source 2025'!$A:$A,"Amount (NIS)")+SUMIFS('Source 2025'!$L:$L,'Source 2025'!$B:$B,$A136,'Source 2025'!$A:$A,"Amount (NIS)")</f>
        <v>576.7</v>
      </c>
      <c r="I136" s="9" t="n">
        <f aca="false">SUMIFS('Source 2026'!$K:$K,'Source 2026'!$B:$B,$A136,'Source 2026'!$A:$A,"Amount (NIS)")+SUMIFS('Source 2026'!$O:$O,'Source 2026'!$B:$B,$A136,'Source 2026'!$A:$A,"Amount (NIS)")+SUMIFS('Source 2026'!$R:$R,'Source 2026'!$B:$B,$A136,'Source 2026'!$A:$A,"Amount (NIS)")+SUMIFS('Source 2026'!$P:$P,'Source 2026'!$B:$B,$A136,'Source 2026'!$A:$A,"Amount (NIS)")+SUMIFS('Source 2026'!$J:$J,'Source 2026'!$B:$B,$A136,'Source 2026'!$A:$A,"Amount (NIS)")+SUMIFS('Source 2026'!$L:$L,'Source 2026'!$B:$B,$A136,'Source 2026'!$A:$A,"Amount (NIS)")</f>
        <v>363.1</v>
      </c>
      <c r="J136" s="9" t="n">
        <f aca="false">I136*$J$5</f>
        <v>458.652631578947</v>
      </c>
      <c r="K136" s="9" t="n">
        <f aca="false">J136-H136</f>
        <v>-118.047368421053</v>
      </c>
      <c r="L136" s="11" t="n">
        <f aca="false">IF(AND(H136=0,J136=0),0,IF(H136=0,"New",(J136-H136)/H136))</f>
        <v>-0.204694587170197</v>
      </c>
    </row>
    <row r="137" customFormat="false" ht="15" hidden="false" customHeight="true" outlineLevel="0" collapsed="false">
      <c r="A137" s="8" t="s">
        <v>258</v>
      </c>
      <c r="B137" s="8" t="str">
        <f aca="false">IFERROR(INDEX('Source 2026'!$C:$C,MATCH($A137,'Source 2026'!$B:$B,0)),IFERROR(INDEX('Source 2025'!$C:$C,MATCH($A137,'Source 2025'!$B:$B,0)),""))</f>
        <v>S מגן מרפק</v>
      </c>
      <c r="C137" s="9" t="n">
        <f aca="false">SUMIFS('Source 2025'!$K:$K,'Source 2025'!$B:$B,$A137,'Source 2025'!$A:$A,"Quantity (units)")+SUMIFS('Source 2025'!$O:$O,'Source 2025'!$B:$B,$A137,'Source 2025'!$A:$A,"Quantity (units)")+SUMIFS('Source 2025'!$R:$R,'Source 2025'!$B:$B,$A137,'Source 2025'!$A:$A,"Quantity (units)")+SUMIFS('Source 2025'!$P:$P,'Source 2025'!$B:$B,$A137,'Source 2025'!$A:$A,"Quantity (units)")+SUMIFS('Source 2025'!$J:$J,'Source 2025'!$B:$B,$A137,'Source 2025'!$A:$A,"Quantity (units)")+SUMIFS('Source 2025'!$L:$L,'Source 2025'!$B:$B,$A137,'Source 2025'!$A:$A,"Quantity (units)")</f>
        <v>10</v>
      </c>
      <c r="D137" s="9" t="n">
        <f aca="false">SUMIFS('Source 2026'!$K:$K,'Source 2026'!$B:$B,$A137,'Source 2026'!$A:$A,"Quantity (units)")+SUMIFS('Source 2026'!$O:$O,'Source 2026'!$B:$B,$A137,'Source 2026'!$A:$A,"Quantity (units)")+SUMIFS('Source 2026'!$R:$R,'Source 2026'!$B:$B,$A137,'Source 2026'!$A:$A,"Quantity (units)")+SUMIFS('Source 2026'!$P:$P,'Source 2026'!$B:$B,$A137,'Source 2026'!$A:$A,"Quantity (units)")+SUMIFS('Source 2026'!$J:$J,'Source 2026'!$B:$B,$A137,'Source 2026'!$A:$A,"Quantity (units)")+SUMIFS('Source 2026'!$L:$L,'Source 2026'!$B:$B,$A137,'Source 2026'!$A:$A,"Quantity (units)")</f>
        <v>6</v>
      </c>
      <c r="E137" s="9" t="n">
        <f aca="false">D137*$J$5</f>
        <v>7.57894736842105</v>
      </c>
      <c r="F137" s="9" t="n">
        <f aca="false">E137-C137</f>
        <v>-2.42105263157895</v>
      </c>
      <c r="G137" s="11" t="n">
        <f aca="false">IF(AND(C137=0,E137=0),0,IF(C137=0,"New",(E137-C137)/C137))</f>
        <v>-0.242105263157895</v>
      </c>
      <c r="H137" s="9" t="n">
        <f aca="false">SUMIFS('Source 2025'!$K:$K,'Source 2025'!$B:$B,$A137,'Source 2025'!$A:$A,"Amount (NIS)")+SUMIFS('Source 2025'!$O:$O,'Source 2025'!$B:$B,$A137,'Source 2025'!$A:$A,"Amount (NIS)")+SUMIFS('Source 2025'!$R:$R,'Source 2025'!$B:$B,$A137,'Source 2025'!$A:$A,"Amount (NIS)")+SUMIFS('Source 2025'!$P:$P,'Source 2025'!$B:$B,$A137,'Source 2025'!$A:$A,"Amount (NIS)")+SUMIFS('Source 2025'!$J:$J,'Source 2025'!$B:$B,$A137,'Source 2025'!$A:$A,"Amount (NIS)")+SUMIFS('Source 2025'!$L:$L,'Source 2025'!$B:$B,$A137,'Source 2025'!$A:$A,"Amount (NIS)")</f>
        <v>647.5</v>
      </c>
      <c r="I137" s="9" t="n">
        <f aca="false">SUMIFS('Source 2026'!$K:$K,'Source 2026'!$B:$B,$A137,'Source 2026'!$A:$A,"Amount (NIS)")+SUMIFS('Source 2026'!$O:$O,'Source 2026'!$B:$B,$A137,'Source 2026'!$A:$A,"Amount (NIS)")+SUMIFS('Source 2026'!$R:$R,'Source 2026'!$B:$B,$A137,'Source 2026'!$A:$A,"Amount (NIS)")+SUMIFS('Source 2026'!$P:$P,'Source 2026'!$B:$B,$A137,'Source 2026'!$A:$A,"Amount (NIS)")+SUMIFS('Source 2026'!$J:$J,'Source 2026'!$B:$B,$A137,'Source 2026'!$A:$A,"Amount (NIS)")+SUMIFS('Source 2026'!$L:$L,'Source 2026'!$B:$B,$A137,'Source 2026'!$A:$A,"Amount (NIS)")</f>
        <v>447</v>
      </c>
      <c r="J137" s="9" t="n">
        <f aca="false">I137*$J$5</f>
        <v>564.631578947368</v>
      </c>
      <c r="K137" s="9" t="n">
        <f aca="false">J137-H137</f>
        <v>-82.8684210526313</v>
      </c>
      <c r="L137" s="11" t="n">
        <f aca="false">IF(AND(H137=0,J137=0),0,IF(H137=0,"New",(J137-H137)/H137))</f>
        <v>-0.127982117455801</v>
      </c>
    </row>
    <row r="138" customFormat="false" ht="15" hidden="false" customHeight="true" outlineLevel="0" collapsed="false">
      <c r="A138" s="8" t="s">
        <v>190</v>
      </c>
      <c r="B138" s="8" t="str">
        <f aca="false">IFERROR(INDEX('Source 2026'!$C:$C,MATCH($A138,'Source 2026'!$B:$B,0)),IFERROR(INDEX('Source 2025'!$C:$C,MATCH($A138,'Source 2025'!$B:$B,0)),""))</f>
        <v>לחץ א.הבוניון</v>
      </c>
      <c r="C138" s="9" t="n">
        <f aca="false">SUMIFS('Source 2025'!$K:$K,'Source 2025'!$B:$B,$A138,'Source 2025'!$A:$A,"Quantity (units)")+SUMIFS('Source 2025'!$O:$O,'Source 2025'!$B:$B,$A138,'Source 2025'!$A:$A,"Quantity (units)")+SUMIFS('Source 2025'!$R:$R,'Source 2025'!$B:$B,$A138,'Source 2025'!$A:$A,"Quantity (units)")+SUMIFS('Source 2025'!$P:$P,'Source 2025'!$B:$B,$A138,'Source 2025'!$A:$A,"Quantity (units)")+SUMIFS('Source 2025'!$J:$J,'Source 2025'!$B:$B,$A138,'Source 2025'!$A:$A,"Quantity (units)")+SUMIFS('Source 2025'!$L:$L,'Source 2025'!$B:$B,$A138,'Source 2025'!$A:$A,"Quantity (units)")</f>
        <v>35</v>
      </c>
      <c r="D138" s="9" t="n">
        <f aca="false">SUMIFS('Source 2026'!$K:$K,'Source 2026'!$B:$B,$A138,'Source 2026'!$A:$A,"Quantity (units)")+SUMIFS('Source 2026'!$O:$O,'Source 2026'!$B:$B,$A138,'Source 2026'!$A:$A,"Quantity (units)")+SUMIFS('Source 2026'!$R:$R,'Source 2026'!$B:$B,$A138,'Source 2026'!$A:$A,"Quantity (units)")+SUMIFS('Source 2026'!$P:$P,'Source 2026'!$B:$B,$A138,'Source 2026'!$A:$A,"Quantity (units)")+SUMIFS('Source 2026'!$J:$J,'Source 2026'!$B:$B,$A138,'Source 2026'!$A:$A,"Quantity (units)")+SUMIFS('Source 2026'!$L:$L,'Source 2026'!$B:$B,$A138,'Source 2026'!$A:$A,"Quantity (units)")</f>
        <v>26</v>
      </c>
      <c r="E138" s="9" t="n">
        <f aca="false">D138*$J$5</f>
        <v>32.8421052631579</v>
      </c>
      <c r="F138" s="9" t="n">
        <f aca="false">E138-C138</f>
        <v>-2.15789473684211</v>
      </c>
      <c r="G138" s="11" t="n">
        <f aca="false">IF(AND(C138=0,E138=0),0,IF(C138=0,"New",(E138-C138)/C138))</f>
        <v>-0.061654135338346</v>
      </c>
      <c r="H138" s="9" t="n">
        <f aca="false">SUMIFS('Source 2025'!$K:$K,'Source 2025'!$B:$B,$A138,'Source 2025'!$A:$A,"Amount (NIS)")+SUMIFS('Source 2025'!$O:$O,'Source 2025'!$B:$B,$A138,'Source 2025'!$A:$A,"Amount (NIS)")+SUMIFS('Source 2025'!$R:$R,'Source 2025'!$B:$B,$A138,'Source 2025'!$A:$A,"Amount (NIS)")+SUMIFS('Source 2025'!$P:$P,'Source 2025'!$B:$B,$A138,'Source 2025'!$A:$A,"Amount (NIS)")+SUMIFS('Source 2025'!$J:$J,'Source 2025'!$B:$B,$A138,'Source 2025'!$A:$A,"Amount (NIS)")+SUMIFS('Source 2025'!$L:$L,'Source 2025'!$B:$B,$A138,'Source 2025'!$A:$A,"Amount (NIS)")</f>
        <v>658.2</v>
      </c>
      <c r="I138" s="9" t="n">
        <f aca="false">SUMIFS('Source 2026'!$K:$K,'Source 2026'!$B:$B,$A138,'Source 2026'!$A:$A,"Amount (NIS)")+SUMIFS('Source 2026'!$O:$O,'Source 2026'!$B:$B,$A138,'Source 2026'!$A:$A,"Amount (NIS)")+SUMIFS('Source 2026'!$R:$R,'Source 2026'!$B:$B,$A138,'Source 2026'!$A:$A,"Amount (NIS)")+SUMIFS('Source 2026'!$P:$P,'Source 2026'!$B:$B,$A138,'Source 2026'!$A:$A,"Amount (NIS)")+SUMIFS('Source 2026'!$J:$J,'Source 2026'!$B:$B,$A138,'Source 2026'!$A:$A,"Amount (NIS)")+SUMIFS('Source 2026'!$L:$L,'Source 2026'!$B:$B,$A138,'Source 2026'!$A:$A,"Amount (NIS)")</f>
        <v>463</v>
      </c>
      <c r="J138" s="9" t="n">
        <f aca="false">I138*$J$5</f>
        <v>584.842105263158</v>
      </c>
      <c r="K138" s="9" t="n">
        <f aca="false">J138-H138</f>
        <v>-73.357894736842</v>
      </c>
      <c r="L138" s="11" t="n">
        <f aca="false">IF(AND(H138=0,J138=0),0,IF(H138=0,"New",(J138-H138)/H138))</f>
        <v>-0.111452286139231</v>
      </c>
    </row>
    <row r="139" customFormat="false" ht="15" hidden="false" customHeight="true" outlineLevel="0" collapsed="false">
      <c r="A139" s="8" t="s">
        <v>272</v>
      </c>
      <c r="B139" s="8" t="str">
        <f aca="false">IFERROR(INDEX('Source 2026'!$C:$C,MATCH($A139,'Source 2026'!$B:$B,0)),IFERROR(INDEX('Source 2025'!$C:$C,MATCH($A139,'Source 2025'!$B:$B,0)),""))</f>
        <v>S מגן ברך רגיל</v>
      </c>
      <c r="C139" s="9" t="n">
        <f aca="false">SUMIFS('Source 2025'!$K:$K,'Source 2025'!$B:$B,$A139,'Source 2025'!$A:$A,"Quantity (units)")+SUMIFS('Source 2025'!$O:$O,'Source 2025'!$B:$B,$A139,'Source 2025'!$A:$A,"Quantity (units)")+SUMIFS('Source 2025'!$R:$R,'Source 2025'!$B:$B,$A139,'Source 2025'!$A:$A,"Quantity (units)")+SUMIFS('Source 2025'!$P:$P,'Source 2025'!$B:$B,$A139,'Source 2025'!$A:$A,"Quantity (units)")+SUMIFS('Source 2025'!$J:$J,'Source 2025'!$B:$B,$A139,'Source 2025'!$A:$A,"Quantity (units)")+SUMIFS('Source 2025'!$L:$L,'Source 2025'!$B:$B,$A139,'Source 2025'!$A:$A,"Quantity (units)")</f>
        <v>0</v>
      </c>
      <c r="D139" s="9" t="n">
        <f aca="false">SUMIFS('Source 2026'!$K:$K,'Source 2026'!$B:$B,$A139,'Source 2026'!$A:$A,"Quantity (units)")+SUMIFS('Source 2026'!$O:$O,'Source 2026'!$B:$B,$A139,'Source 2026'!$A:$A,"Quantity (units)")+SUMIFS('Source 2026'!$R:$R,'Source 2026'!$B:$B,$A139,'Source 2026'!$A:$A,"Quantity (units)")+SUMIFS('Source 2026'!$P:$P,'Source 2026'!$B:$B,$A139,'Source 2026'!$A:$A,"Quantity (units)")+SUMIFS('Source 2026'!$J:$J,'Source 2026'!$B:$B,$A139,'Source 2026'!$A:$A,"Quantity (units)")+SUMIFS('Source 2026'!$L:$L,'Source 2026'!$B:$B,$A139,'Source 2026'!$A:$A,"Quantity (units)")</f>
        <v>2</v>
      </c>
      <c r="E139" s="9" t="n">
        <f aca="false">D139*$J$5</f>
        <v>2.52631578947368</v>
      </c>
      <c r="F139" s="9" t="n">
        <f aca="false">E139-C139</f>
        <v>2.52631578947368</v>
      </c>
      <c r="G139" s="11" t="str">
        <f aca="false">IF(AND(C139=0,E139=0),0,IF(C139=0,"New",(E139-C139)/C139))</f>
        <v>New</v>
      </c>
      <c r="H139" s="9" t="n">
        <f aca="false">SUMIFS('Source 2025'!$K:$K,'Source 2025'!$B:$B,$A139,'Source 2025'!$A:$A,"Amount (NIS)")+SUMIFS('Source 2025'!$O:$O,'Source 2025'!$B:$B,$A139,'Source 2025'!$A:$A,"Amount (NIS)")+SUMIFS('Source 2025'!$R:$R,'Source 2025'!$B:$B,$A139,'Source 2025'!$A:$A,"Amount (NIS)")+SUMIFS('Source 2025'!$P:$P,'Source 2025'!$B:$B,$A139,'Source 2025'!$A:$A,"Amount (NIS)")+SUMIFS('Source 2025'!$J:$J,'Source 2025'!$B:$B,$A139,'Source 2025'!$A:$A,"Amount (NIS)")+SUMIFS('Source 2025'!$L:$L,'Source 2025'!$B:$B,$A139,'Source 2025'!$A:$A,"Amount (NIS)")</f>
        <v>0</v>
      </c>
      <c r="I139" s="9" t="n">
        <f aca="false">SUMIFS('Source 2026'!$K:$K,'Source 2026'!$B:$B,$A139,'Source 2026'!$A:$A,"Amount (NIS)")+SUMIFS('Source 2026'!$O:$O,'Source 2026'!$B:$B,$A139,'Source 2026'!$A:$A,"Amount (NIS)")+SUMIFS('Source 2026'!$R:$R,'Source 2026'!$B:$B,$A139,'Source 2026'!$A:$A,"Amount (NIS)")+SUMIFS('Source 2026'!$P:$P,'Source 2026'!$B:$B,$A139,'Source 2026'!$A:$A,"Amount (NIS)")+SUMIFS('Source 2026'!$J:$J,'Source 2026'!$B:$B,$A139,'Source 2026'!$A:$A,"Amount (NIS)")+SUMIFS('Source 2026'!$L:$L,'Source 2026'!$B:$B,$A139,'Source 2026'!$A:$A,"Amount (NIS)")</f>
        <v>194.1</v>
      </c>
      <c r="J139" s="9" t="n">
        <f aca="false">I139*$J$5</f>
        <v>245.178947368421</v>
      </c>
      <c r="K139" s="9" t="n">
        <f aca="false">J139-H139</f>
        <v>245.178947368421</v>
      </c>
      <c r="L139" s="11" t="str">
        <f aca="false">IF(AND(H139=0,J139=0),0,IF(H139=0,"New",(J139-H139)/H139))</f>
        <v>New</v>
      </c>
    </row>
    <row r="140" customFormat="false" ht="15" hidden="false" customHeight="true" outlineLevel="0" collapsed="false">
      <c r="A140" s="8" t="s">
        <v>265</v>
      </c>
      <c r="B140" s="8" t="str">
        <f aca="false">IFERROR(INDEX('Source 2026'!$C:$C,MATCH($A140,'Source 2026'!$B:$B,0)),IFERROR(INDEX('Source 2025'!$C:$C,MATCH($A140,'Source 2025'!$B:$B,0)),""))</f>
        <v>XLסד ליד שמאל</v>
      </c>
      <c r="C140" s="9" t="n">
        <f aca="false">SUMIFS('Source 2025'!$K:$K,'Source 2025'!$B:$B,$A140,'Source 2025'!$A:$A,"Quantity (units)")+SUMIFS('Source 2025'!$O:$O,'Source 2025'!$B:$B,$A140,'Source 2025'!$A:$A,"Quantity (units)")+SUMIFS('Source 2025'!$R:$R,'Source 2025'!$B:$B,$A140,'Source 2025'!$A:$A,"Quantity (units)")+SUMIFS('Source 2025'!$P:$P,'Source 2025'!$B:$B,$A140,'Source 2025'!$A:$A,"Quantity (units)")+SUMIFS('Source 2025'!$J:$J,'Source 2025'!$B:$B,$A140,'Source 2025'!$A:$A,"Quantity (units)")+SUMIFS('Source 2025'!$L:$L,'Source 2025'!$B:$B,$A140,'Source 2025'!$A:$A,"Quantity (units)")</f>
        <v>-2</v>
      </c>
      <c r="D140" s="9" t="n">
        <f aca="false">SUMIFS('Source 2026'!$K:$K,'Source 2026'!$B:$B,$A140,'Source 2026'!$A:$A,"Quantity (units)")+SUMIFS('Source 2026'!$O:$O,'Source 2026'!$B:$B,$A140,'Source 2026'!$A:$A,"Quantity (units)")+SUMIFS('Source 2026'!$R:$R,'Source 2026'!$B:$B,$A140,'Source 2026'!$A:$A,"Quantity (units)")+SUMIFS('Source 2026'!$P:$P,'Source 2026'!$B:$B,$A140,'Source 2026'!$A:$A,"Quantity (units)")+SUMIFS('Source 2026'!$J:$J,'Source 2026'!$B:$B,$A140,'Source 2026'!$A:$A,"Quantity (units)")+SUMIFS('Source 2026'!$L:$L,'Source 2026'!$B:$B,$A140,'Source 2026'!$A:$A,"Quantity (units)")</f>
        <v>0</v>
      </c>
      <c r="E140" s="9" t="n">
        <f aca="false">D140*$J$5</f>
        <v>0</v>
      </c>
      <c r="F140" s="9" t="n">
        <f aca="false">E140-C140</f>
        <v>2</v>
      </c>
      <c r="G140" s="11" t="n">
        <f aca="false">IF(AND(C140=0,E140=0),0,IF(C140=0,"New",(E140-C140)/C140))</f>
        <v>-1</v>
      </c>
      <c r="H140" s="9" t="n">
        <f aca="false">SUMIFS('Source 2025'!$K:$K,'Source 2025'!$B:$B,$A140,'Source 2025'!$A:$A,"Amount (NIS)")+SUMIFS('Source 2025'!$O:$O,'Source 2025'!$B:$B,$A140,'Source 2025'!$A:$A,"Amount (NIS)")+SUMIFS('Source 2025'!$R:$R,'Source 2025'!$B:$B,$A140,'Source 2025'!$A:$A,"Amount (NIS)")+SUMIFS('Source 2025'!$P:$P,'Source 2025'!$B:$B,$A140,'Source 2025'!$A:$A,"Amount (NIS)")+SUMIFS('Source 2025'!$J:$J,'Source 2025'!$B:$B,$A140,'Source 2025'!$A:$A,"Amount (NIS)")+SUMIFS('Source 2025'!$L:$L,'Source 2025'!$B:$B,$A140,'Source 2025'!$A:$A,"Amount (NIS)")</f>
        <v>-194.1</v>
      </c>
      <c r="I140" s="9" t="n">
        <f aca="false">SUMIFS('Source 2026'!$K:$K,'Source 2026'!$B:$B,$A140,'Source 2026'!$A:$A,"Amount (NIS)")+SUMIFS('Source 2026'!$O:$O,'Source 2026'!$B:$B,$A140,'Source 2026'!$A:$A,"Amount (NIS)")+SUMIFS('Source 2026'!$R:$R,'Source 2026'!$B:$B,$A140,'Source 2026'!$A:$A,"Amount (NIS)")+SUMIFS('Source 2026'!$P:$P,'Source 2026'!$B:$B,$A140,'Source 2026'!$A:$A,"Amount (NIS)")+SUMIFS('Source 2026'!$J:$J,'Source 2026'!$B:$B,$A140,'Source 2026'!$A:$A,"Amount (NIS)")+SUMIFS('Source 2026'!$L:$L,'Source 2026'!$B:$B,$A140,'Source 2026'!$A:$A,"Amount (NIS)")</f>
        <v>0</v>
      </c>
      <c r="J140" s="9" t="n">
        <f aca="false">I140*$J$5</f>
        <v>0</v>
      </c>
      <c r="K140" s="9" t="n">
        <f aca="false">J140-H140</f>
        <v>194.1</v>
      </c>
      <c r="L140" s="11" t="n">
        <f aca="false">IF(AND(H140=0,J140=0),0,IF(H140=0,"New",(J140-H140)/H140))</f>
        <v>-1</v>
      </c>
    </row>
    <row r="141" customFormat="false" ht="15" hidden="false" customHeight="true" outlineLevel="0" collapsed="false">
      <c r="A141" s="8" t="s">
        <v>222</v>
      </c>
      <c r="B141" s="8" t="str">
        <f aca="false">IFERROR(INDEX('Source 2026'!$C:$C,MATCH($A141,'Source 2026'!$B:$B,0)),IFERROR(INDEX('Source 2025'!$C:$C,MATCH($A141,'Source 2025'!$B:$B,0)),""))</f>
        <v>L מיצב פיקה</v>
      </c>
      <c r="C141" s="9" t="n">
        <f aca="false">SUMIFS('Source 2025'!$K:$K,'Source 2025'!$B:$B,$A141,'Source 2025'!$A:$A,"Quantity (units)")+SUMIFS('Source 2025'!$O:$O,'Source 2025'!$B:$B,$A141,'Source 2025'!$A:$A,"Quantity (units)")+SUMIFS('Source 2025'!$R:$R,'Source 2025'!$B:$B,$A141,'Source 2025'!$A:$A,"Quantity (units)")+SUMIFS('Source 2025'!$P:$P,'Source 2025'!$B:$B,$A141,'Source 2025'!$A:$A,"Quantity (units)")+SUMIFS('Source 2025'!$J:$J,'Source 2025'!$B:$B,$A141,'Source 2025'!$A:$A,"Quantity (units)")+SUMIFS('Source 2025'!$L:$L,'Source 2025'!$B:$B,$A141,'Source 2025'!$A:$A,"Quantity (units)")</f>
        <v>2</v>
      </c>
      <c r="D141" s="9" t="n">
        <f aca="false">SUMIFS('Source 2026'!$K:$K,'Source 2026'!$B:$B,$A141,'Source 2026'!$A:$A,"Quantity (units)")+SUMIFS('Source 2026'!$O:$O,'Source 2026'!$B:$B,$A141,'Source 2026'!$A:$A,"Quantity (units)")+SUMIFS('Source 2026'!$R:$R,'Source 2026'!$B:$B,$A141,'Source 2026'!$A:$A,"Quantity (units)")+SUMIFS('Source 2026'!$P:$P,'Source 2026'!$B:$B,$A141,'Source 2026'!$A:$A,"Quantity (units)")+SUMIFS('Source 2026'!$J:$J,'Source 2026'!$B:$B,$A141,'Source 2026'!$A:$A,"Quantity (units)")+SUMIFS('Source 2026'!$L:$L,'Source 2026'!$B:$B,$A141,'Source 2026'!$A:$A,"Quantity (units)")</f>
        <v>0</v>
      </c>
      <c r="E141" s="9" t="n">
        <f aca="false">D141*$J$5</f>
        <v>0</v>
      </c>
      <c r="F141" s="9" t="n">
        <f aca="false">E141-C141</f>
        <v>-2</v>
      </c>
      <c r="G141" s="11" t="n">
        <f aca="false">IF(AND(C141=0,E141=0),0,IF(C141=0,"New",(E141-C141)/C141))</f>
        <v>-1</v>
      </c>
      <c r="H141" s="9" t="n">
        <f aca="false">SUMIFS('Source 2025'!$K:$K,'Source 2025'!$B:$B,$A141,'Source 2025'!$A:$A,"Amount (NIS)")+SUMIFS('Source 2025'!$O:$O,'Source 2025'!$B:$B,$A141,'Source 2025'!$A:$A,"Amount (NIS)")+SUMIFS('Source 2025'!$R:$R,'Source 2025'!$B:$B,$A141,'Source 2025'!$A:$A,"Amount (NIS)")+SUMIFS('Source 2025'!$P:$P,'Source 2025'!$B:$B,$A141,'Source 2025'!$A:$A,"Amount (NIS)")+SUMIFS('Source 2025'!$J:$J,'Source 2025'!$B:$B,$A141,'Source 2025'!$A:$A,"Amount (NIS)")+SUMIFS('Source 2025'!$L:$L,'Source 2025'!$B:$B,$A141,'Source 2025'!$A:$A,"Amount (NIS)")</f>
        <v>176.4</v>
      </c>
      <c r="I141" s="9" t="n">
        <f aca="false">SUMIFS('Source 2026'!$K:$K,'Source 2026'!$B:$B,$A141,'Source 2026'!$A:$A,"Amount (NIS)")+SUMIFS('Source 2026'!$O:$O,'Source 2026'!$B:$B,$A141,'Source 2026'!$A:$A,"Amount (NIS)")+SUMIFS('Source 2026'!$R:$R,'Source 2026'!$B:$B,$A141,'Source 2026'!$A:$A,"Amount (NIS)")+SUMIFS('Source 2026'!$P:$P,'Source 2026'!$B:$B,$A141,'Source 2026'!$A:$A,"Amount (NIS)")+SUMIFS('Source 2026'!$J:$J,'Source 2026'!$B:$B,$A141,'Source 2026'!$A:$A,"Amount (NIS)")+SUMIFS('Source 2026'!$L:$L,'Source 2026'!$B:$B,$A141,'Source 2026'!$A:$A,"Amount (NIS)")</f>
        <v>0</v>
      </c>
      <c r="J141" s="9" t="n">
        <f aca="false">I141*$J$5</f>
        <v>0</v>
      </c>
      <c r="K141" s="9" t="n">
        <f aca="false">J141-H141</f>
        <v>-176.4</v>
      </c>
      <c r="L141" s="11" t="n">
        <f aca="false">IF(AND(H141=0,J141=0),0,IF(H141=0,"New",(J141-H141)/H141))</f>
        <v>-1</v>
      </c>
    </row>
    <row r="142" customFormat="false" ht="15" hidden="false" customHeight="true" outlineLevel="0" collapsed="false">
      <c r="A142" s="8" t="s">
        <v>280</v>
      </c>
      <c r="B142" s="8" t="str">
        <f aca="false">IFERROR(INDEX('Source 2026'!$C:$C,MATCH($A142,'Source 2026'!$B:$B,0)),IFERROR(INDEX('Source 2025'!$C:$C,MATCH($A142,'Source 2025'!$B:$B,0)),""))</f>
        <v>M חבק יד אגודלי</v>
      </c>
      <c r="C142" s="9" t="n">
        <f aca="false">SUMIFS('Source 2025'!$K:$K,'Source 2025'!$B:$B,$A142,'Source 2025'!$A:$A,"Quantity (units)")+SUMIFS('Source 2025'!$O:$O,'Source 2025'!$B:$B,$A142,'Source 2025'!$A:$A,"Quantity (units)")+SUMIFS('Source 2025'!$R:$R,'Source 2025'!$B:$B,$A142,'Source 2025'!$A:$A,"Quantity (units)")+SUMIFS('Source 2025'!$P:$P,'Source 2025'!$B:$B,$A142,'Source 2025'!$A:$A,"Quantity (units)")+SUMIFS('Source 2025'!$J:$J,'Source 2025'!$B:$B,$A142,'Source 2025'!$A:$A,"Quantity (units)")+SUMIFS('Source 2025'!$L:$L,'Source 2025'!$B:$B,$A142,'Source 2025'!$A:$A,"Quantity (units)")</f>
        <v>-3</v>
      </c>
      <c r="D142" s="9" t="n">
        <f aca="false">SUMIFS('Source 2026'!$K:$K,'Source 2026'!$B:$B,$A142,'Source 2026'!$A:$A,"Quantity (units)")+SUMIFS('Source 2026'!$O:$O,'Source 2026'!$B:$B,$A142,'Source 2026'!$A:$A,"Quantity (units)")+SUMIFS('Source 2026'!$R:$R,'Source 2026'!$B:$B,$A142,'Source 2026'!$A:$A,"Quantity (units)")+SUMIFS('Source 2026'!$P:$P,'Source 2026'!$B:$B,$A142,'Source 2026'!$A:$A,"Quantity (units)")+SUMIFS('Source 2026'!$J:$J,'Source 2026'!$B:$B,$A142,'Source 2026'!$A:$A,"Quantity (units)")+SUMIFS('Source 2026'!$L:$L,'Source 2026'!$B:$B,$A142,'Source 2026'!$A:$A,"Quantity (units)")</f>
        <v>-1</v>
      </c>
      <c r="E142" s="9" t="n">
        <f aca="false">D142*$J$5</f>
        <v>-1.26315789473684</v>
      </c>
      <c r="F142" s="9" t="n">
        <f aca="false">E142-C142</f>
        <v>1.73684210526316</v>
      </c>
      <c r="G142" s="11" t="n">
        <f aca="false">IF(AND(C142=0,E142=0),0,IF(C142=0,"New",(E142-C142)/C142))</f>
        <v>-0.578947368421053</v>
      </c>
      <c r="H142" s="9" t="n">
        <f aca="false">SUMIFS('Source 2025'!$K:$K,'Source 2025'!$B:$B,$A142,'Source 2025'!$A:$A,"Amount (NIS)")+SUMIFS('Source 2025'!$O:$O,'Source 2025'!$B:$B,$A142,'Source 2025'!$A:$A,"Amount (NIS)")+SUMIFS('Source 2025'!$R:$R,'Source 2025'!$B:$B,$A142,'Source 2025'!$A:$A,"Amount (NIS)")+SUMIFS('Source 2025'!$P:$P,'Source 2025'!$B:$B,$A142,'Source 2025'!$A:$A,"Amount (NIS)")+SUMIFS('Source 2025'!$J:$J,'Source 2025'!$B:$B,$A142,'Source 2025'!$A:$A,"Amount (NIS)")+SUMIFS('Source 2025'!$L:$L,'Source 2025'!$B:$B,$A142,'Source 2025'!$A:$A,"Amount (NIS)")</f>
        <v>-242.5</v>
      </c>
      <c r="I142" s="9" t="n">
        <f aca="false">SUMIFS('Source 2026'!$K:$K,'Source 2026'!$B:$B,$A142,'Source 2026'!$A:$A,"Amount (NIS)")+SUMIFS('Source 2026'!$O:$O,'Source 2026'!$B:$B,$A142,'Source 2026'!$A:$A,"Amount (NIS)")+SUMIFS('Source 2026'!$R:$R,'Source 2026'!$B:$B,$A142,'Source 2026'!$A:$A,"Amount (NIS)")+SUMIFS('Source 2026'!$P:$P,'Source 2026'!$B:$B,$A142,'Source 2026'!$A:$A,"Amount (NIS)")+SUMIFS('Source 2026'!$J:$J,'Source 2026'!$B:$B,$A142,'Source 2026'!$A:$A,"Amount (NIS)")+SUMIFS('Source 2026'!$L:$L,'Source 2026'!$B:$B,$A142,'Source 2026'!$A:$A,"Amount (NIS)")</f>
        <v>-68.5</v>
      </c>
      <c r="J142" s="9" t="n">
        <f aca="false">I142*$J$5</f>
        <v>-86.5263157894737</v>
      </c>
      <c r="K142" s="9" t="n">
        <f aca="false">J142-H142</f>
        <v>155.973684210526</v>
      </c>
      <c r="L142" s="11" t="n">
        <f aca="false">IF(AND(H142=0,J142=0),0,IF(H142=0,"New",(J142-H142)/H142))</f>
        <v>-0.643190450352686</v>
      </c>
    </row>
    <row r="143" customFormat="false" ht="15" hidden="false" customHeight="true" outlineLevel="0" collapsed="false">
      <c r="A143" s="8" t="s">
        <v>201</v>
      </c>
      <c r="B143" s="8" t="str">
        <f aca="false">IFERROR(INDEX('Source 2026'!$C:$C,MATCH($A143,'Source 2026'!$B:$B,0)),IFERROR(INDEX('Source 2025'!$C:$C,MATCH($A143,'Source 2025'!$B:$B,0)),""))</f>
        <v>9 מ""ס להתאמהX5 מדבקה גדולה</v>
      </c>
      <c r="C143" s="9" t="n">
        <f aca="false">SUMIFS('Source 2025'!$K:$K,'Source 2025'!$B:$B,$A143,'Source 2025'!$A:$A,"Quantity (units)")+SUMIFS('Source 2025'!$O:$O,'Source 2025'!$B:$B,$A143,'Source 2025'!$A:$A,"Quantity (units)")+SUMIFS('Source 2025'!$R:$R,'Source 2025'!$B:$B,$A143,'Source 2025'!$A:$A,"Quantity (units)")+SUMIFS('Source 2025'!$P:$P,'Source 2025'!$B:$B,$A143,'Source 2025'!$A:$A,"Quantity (units)")+SUMIFS('Source 2025'!$J:$J,'Source 2025'!$B:$B,$A143,'Source 2025'!$A:$A,"Quantity (units)")+SUMIFS('Source 2025'!$L:$L,'Source 2025'!$B:$B,$A143,'Source 2025'!$A:$A,"Quantity (units)")</f>
        <v>45</v>
      </c>
      <c r="D143" s="9" t="n">
        <f aca="false">SUMIFS('Source 2026'!$K:$K,'Source 2026'!$B:$B,$A143,'Source 2026'!$A:$A,"Quantity (units)")+SUMIFS('Source 2026'!$O:$O,'Source 2026'!$B:$B,$A143,'Source 2026'!$A:$A,"Quantity (units)")+SUMIFS('Source 2026'!$R:$R,'Source 2026'!$B:$B,$A143,'Source 2026'!$A:$A,"Quantity (units)")+SUMIFS('Source 2026'!$P:$P,'Source 2026'!$B:$B,$A143,'Source 2026'!$A:$A,"Quantity (units)")+SUMIFS('Source 2026'!$J:$J,'Source 2026'!$B:$B,$A143,'Source 2026'!$A:$A,"Quantity (units)")+SUMIFS('Source 2026'!$L:$L,'Source 2026'!$B:$B,$A143,'Source 2026'!$A:$A,"Quantity (units)")</f>
        <v>38</v>
      </c>
      <c r="E143" s="9" t="n">
        <f aca="false">D143*$J$5</f>
        <v>48</v>
      </c>
      <c r="F143" s="9" t="n">
        <f aca="false">E143-C143</f>
        <v>3</v>
      </c>
      <c r="G143" s="11" t="n">
        <f aca="false">IF(AND(C143=0,E143=0),0,IF(C143=0,"New",(E143-C143)/C143))</f>
        <v>0.0666666666666667</v>
      </c>
      <c r="H143" s="9" t="n">
        <f aca="false">SUMIFS('Source 2025'!$K:$K,'Source 2025'!$B:$B,$A143,'Source 2025'!$A:$A,"Amount (NIS)")+SUMIFS('Source 2025'!$O:$O,'Source 2025'!$B:$B,$A143,'Source 2025'!$A:$A,"Amount (NIS)")+SUMIFS('Source 2025'!$R:$R,'Source 2025'!$B:$B,$A143,'Source 2025'!$A:$A,"Amount (NIS)")+SUMIFS('Source 2025'!$P:$P,'Source 2025'!$B:$B,$A143,'Source 2025'!$A:$A,"Amount (NIS)")+SUMIFS('Source 2025'!$J:$J,'Source 2025'!$B:$B,$A143,'Source 2025'!$A:$A,"Amount (NIS)")+SUMIFS('Source 2025'!$L:$L,'Source 2025'!$B:$B,$A143,'Source 2025'!$A:$A,"Amount (NIS)")</f>
        <v>960.4</v>
      </c>
      <c r="I143" s="9" t="n">
        <f aca="false">SUMIFS('Source 2026'!$K:$K,'Source 2026'!$B:$B,$A143,'Source 2026'!$A:$A,"Amount (NIS)")+SUMIFS('Source 2026'!$O:$O,'Source 2026'!$B:$B,$A143,'Source 2026'!$A:$A,"Amount (NIS)")+SUMIFS('Source 2026'!$R:$R,'Source 2026'!$B:$B,$A143,'Source 2026'!$A:$A,"Amount (NIS)")+SUMIFS('Source 2026'!$P:$P,'Source 2026'!$B:$B,$A143,'Source 2026'!$A:$A,"Amount (NIS)")+SUMIFS('Source 2026'!$J:$J,'Source 2026'!$B:$B,$A143,'Source 2026'!$A:$A,"Amount (NIS)")+SUMIFS('Source 2026'!$L:$L,'Source 2026'!$B:$B,$A143,'Source 2026'!$A:$A,"Amount (NIS)")</f>
        <v>795</v>
      </c>
      <c r="J143" s="9" t="n">
        <f aca="false">I143*$J$5</f>
        <v>1004.21052631579</v>
      </c>
      <c r="K143" s="9" t="n">
        <f aca="false">J143-H143</f>
        <v>43.8105263157892</v>
      </c>
      <c r="L143" s="11" t="n">
        <f aca="false">IF(AND(H143=0,J143=0),0,IF(H143=0,"New",(J143-H143)/H143))</f>
        <v>0.045616957846511</v>
      </c>
    </row>
    <row r="144" customFormat="false" ht="15" hidden="false" customHeight="true" outlineLevel="0" collapsed="false">
      <c r="A144" s="8" t="s">
        <v>367</v>
      </c>
      <c r="B144" s="8" t="str">
        <f aca="false">IFERROR(INDEX('Source 2026'!$C:$C,MATCH($A144,'Source 2026'!$B:$B,0)),IFERROR(INDEX('Source 2025'!$C:$C,MATCH($A144,'Source 2025'!$B:$B,0)),""))</f>
        <v>L  ""ח.גב קלה ""מיקדו</v>
      </c>
      <c r="C144" s="9" t="n">
        <f aca="false">SUMIFS('Source 2025'!$K:$K,'Source 2025'!$B:$B,$A144,'Source 2025'!$A:$A,"Quantity (units)")+SUMIFS('Source 2025'!$O:$O,'Source 2025'!$B:$B,$A144,'Source 2025'!$A:$A,"Quantity (units)")+SUMIFS('Source 2025'!$R:$R,'Source 2025'!$B:$B,$A144,'Source 2025'!$A:$A,"Quantity (units)")+SUMIFS('Source 2025'!$P:$P,'Source 2025'!$B:$B,$A144,'Source 2025'!$A:$A,"Quantity (units)")+SUMIFS('Source 2025'!$J:$J,'Source 2025'!$B:$B,$A144,'Source 2025'!$A:$A,"Quantity (units)")+SUMIFS('Source 2025'!$L:$L,'Source 2025'!$B:$B,$A144,'Source 2025'!$A:$A,"Quantity (units)")</f>
        <v>-1</v>
      </c>
      <c r="D144" s="9" t="n">
        <f aca="false">SUMIFS('Source 2026'!$K:$K,'Source 2026'!$B:$B,$A144,'Source 2026'!$A:$A,"Quantity (units)")+SUMIFS('Source 2026'!$O:$O,'Source 2026'!$B:$B,$A144,'Source 2026'!$A:$A,"Quantity (units)")+SUMIFS('Source 2026'!$R:$R,'Source 2026'!$B:$B,$A144,'Source 2026'!$A:$A,"Quantity (units)")+SUMIFS('Source 2026'!$P:$P,'Source 2026'!$B:$B,$A144,'Source 2026'!$A:$A,"Quantity (units)")+SUMIFS('Source 2026'!$J:$J,'Source 2026'!$B:$B,$A144,'Source 2026'!$A:$A,"Quantity (units)")+SUMIFS('Source 2026'!$L:$L,'Source 2026'!$B:$B,$A144,'Source 2026'!$A:$A,"Quantity (units)")</f>
        <v>0</v>
      </c>
      <c r="E144" s="9" t="n">
        <f aca="false">D144*$J$5</f>
        <v>0</v>
      </c>
      <c r="F144" s="9" t="n">
        <f aca="false">E144-C144</f>
        <v>1</v>
      </c>
      <c r="G144" s="11" t="n">
        <f aca="false">IF(AND(C144=0,E144=0),0,IF(C144=0,"New",(E144-C144)/C144))</f>
        <v>-1</v>
      </c>
      <c r="H144" s="9" t="n">
        <f aca="false">SUMIFS('Source 2025'!$K:$K,'Source 2025'!$B:$B,$A144,'Source 2025'!$A:$A,"Amount (NIS)")+SUMIFS('Source 2025'!$O:$O,'Source 2025'!$B:$B,$A144,'Source 2025'!$A:$A,"Amount (NIS)")+SUMIFS('Source 2025'!$R:$R,'Source 2025'!$B:$B,$A144,'Source 2025'!$A:$A,"Amount (NIS)")+SUMIFS('Source 2025'!$P:$P,'Source 2025'!$B:$B,$A144,'Source 2025'!$A:$A,"Amount (NIS)")+SUMIFS('Source 2025'!$J:$J,'Source 2025'!$B:$B,$A144,'Source 2025'!$A:$A,"Amount (NIS)")+SUMIFS('Source 2025'!$L:$L,'Source 2025'!$B:$B,$A144,'Source 2025'!$A:$A,"Amount (NIS)")</f>
        <v>-158.8</v>
      </c>
      <c r="I144" s="9" t="n">
        <f aca="false">SUMIFS('Source 2026'!$K:$K,'Source 2026'!$B:$B,$A144,'Source 2026'!$A:$A,"Amount (NIS)")+SUMIFS('Source 2026'!$O:$O,'Source 2026'!$B:$B,$A144,'Source 2026'!$A:$A,"Amount (NIS)")+SUMIFS('Source 2026'!$R:$R,'Source 2026'!$B:$B,$A144,'Source 2026'!$A:$A,"Amount (NIS)")+SUMIFS('Source 2026'!$P:$P,'Source 2026'!$B:$B,$A144,'Source 2026'!$A:$A,"Amount (NIS)")+SUMIFS('Source 2026'!$J:$J,'Source 2026'!$B:$B,$A144,'Source 2026'!$A:$A,"Amount (NIS)")+SUMIFS('Source 2026'!$L:$L,'Source 2026'!$B:$B,$A144,'Source 2026'!$A:$A,"Amount (NIS)")</f>
        <v>0</v>
      </c>
      <c r="J144" s="9" t="n">
        <f aca="false">I144*$J$5</f>
        <v>0</v>
      </c>
      <c r="K144" s="9" t="n">
        <f aca="false">J144-H144</f>
        <v>158.8</v>
      </c>
      <c r="L144" s="11" t="n">
        <f aca="false">IF(AND(H144=0,J144=0),0,IF(H144=0,"New",(J144-H144)/H144))</f>
        <v>-1</v>
      </c>
    </row>
    <row r="145" customFormat="false" ht="15" hidden="false" customHeight="true" outlineLevel="0" collapsed="false">
      <c r="A145" s="8" t="s">
        <v>304</v>
      </c>
      <c r="B145" s="8" t="str">
        <f aca="false">IFERROR(INDEX('Source 2026'!$C:$C,MATCH($A145,'Source 2026'!$B:$B,0)),IFERROR(INDEX('Source 2025'!$C:$C,MATCH($A145,'Source 2025'!$B:$B,0)),""))</f>
        <v>גרב כסף לסכרתיים לבן35-38</v>
      </c>
      <c r="C145" s="9" t="n">
        <f aca="false">SUMIFS('Source 2025'!$K:$K,'Source 2025'!$B:$B,$A145,'Source 2025'!$A:$A,"Quantity (units)")+SUMIFS('Source 2025'!$O:$O,'Source 2025'!$B:$B,$A145,'Source 2025'!$A:$A,"Quantity (units)")+SUMIFS('Source 2025'!$R:$R,'Source 2025'!$B:$B,$A145,'Source 2025'!$A:$A,"Quantity (units)")+SUMIFS('Source 2025'!$P:$P,'Source 2025'!$B:$B,$A145,'Source 2025'!$A:$A,"Quantity (units)")+SUMIFS('Source 2025'!$J:$J,'Source 2025'!$B:$B,$A145,'Source 2025'!$A:$A,"Quantity (units)")+SUMIFS('Source 2025'!$L:$L,'Source 2025'!$B:$B,$A145,'Source 2025'!$A:$A,"Quantity (units)")</f>
        <v>18</v>
      </c>
      <c r="D145" s="9" t="n">
        <f aca="false">SUMIFS('Source 2026'!$K:$K,'Source 2026'!$B:$B,$A145,'Source 2026'!$A:$A,"Quantity (units)")+SUMIFS('Source 2026'!$O:$O,'Source 2026'!$B:$B,$A145,'Source 2026'!$A:$A,"Quantity (units)")+SUMIFS('Source 2026'!$R:$R,'Source 2026'!$B:$B,$A145,'Source 2026'!$A:$A,"Quantity (units)")+SUMIFS('Source 2026'!$P:$P,'Source 2026'!$B:$B,$A145,'Source 2026'!$A:$A,"Quantity (units)")+SUMIFS('Source 2026'!$J:$J,'Source 2026'!$B:$B,$A145,'Source 2026'!$A:$A,"Quantity (units)")+SUMIFS('Source 2026'!$L:$L,'Source 2026'!$B:$B,$A145,'Source 2026'!$A:$A,"Quantity (units)")</f>
        <v>13</v>
      </c>
      <c r="E145" s="9" t="n">
        <f aca="false">D145*$J$5</f>
        <v>16.4210526315789</v>
      </c>
      <c r="F145" s="9" t="n">
        <f aca="false">E145-C145</f>
        <v>-1.57894736842105</v>
      </c>
      <c r="G145" s="11" t="n">
        <f aca="false">IF(AND(C145=0,E145=0),0,IF(C145=0,"New",(E145-C145)/C145))</f>
        <v>-0.0877192982456142</v>
      </c>
      <c r="H145" s="9" t="n">
        <f aca="false">SUMIFS('Source 2025'!$K:$K,'Source 2025'!$B:$B,$A145,'Source 2025'!$A:$A,"Amount (NIS)")+SUMIFS('Source 2025'!$O:$O,'Source 2025'!$B:$B,$A145,'Source 2025'!$A:$A,"Amount (NIS)")+SUMIFS('Source 2025'!$R:$R,'Source 2025'!$B:$B,$A145,'Source 2025'!$A:$A,"Amount (NIS)")+SUMIFS('Source 2025'!$P:$P,'Source 2025'!$B:$B,$A145,'Source 2025'!$A:$A,"Amount (NIS)")+SUMIFS('Source 2025'!$J:$J,'Source 2025'!$B:$B,$A145,'Source 2025'!$A:$A,"Amount (NIS)")+SUMIFS('Source 2025'!$L:$L,'Source 2025'!$B:$B,$A145,'Source 2025'!$A:$A,"Amount (NIS)")</f>
        <v>562.8</v>
      </c>
      <c r="I145" s="9" t="n">
        <f aca="false">SUMIFS('Source 2026'!$K:$K,'Source 2026'!$B:$B,$A145,'Source 2026'!$A:$A,"Amount (NIS)")+SUMIFS('Source 2026'!$O:$O,'Source 2026'!$B:$B,$A145,'Source 2026'!$A:$A,"Amount (NIS)")+SUMIFS('Source 2026'!$R:$R,'Source 2026'!$B:$B,$A145,'Source 2026'!$A:$A,"Amount (NIS)")+SUMIFS('Source 2026'!$P:$P,'Source 2026'!$B:$B,$A145,'Source 2026'!$A:$A,"Amount (NIS)")+SUMIFS('Source 2026'!$J:$J,'Source 2026'!$B:$B,$A145,'Source 2026'!$A:$A,"Amount (NIS)")+SUMIFS('Source 2026'!$L:$L,'Source 2026'!$B:$B,$A145,'Source 2026'!$A:$A,"Amount (NIS)")</f>
        <v>409</v>
      </c>
      <c r="J145" s="9" t="n">
        <f aca="false">I145*$J$5</f>
        <v>516.631578947368</v>
      </c>
      <c r="K145" s="9" t="n">
        <f aca="false">J145-H145</f>
        <v>-46.1684210526316</v>
      </c>
      <c r="L145" s="11" t="n">
        <f aca="false">IF(AND(H145=0,J145=0),0,IF(H145=0,"New",(J145-H145)/H145))</f>
        <v>-0.082033441813489</v>
      </c>
    </row>
    <row r="146" customFormat="false" ht="15" hidden="false" customHeight="true" outlineLevel="0" collapsed="false">
      <c r="A146" s="8" t="s">
        <v>291</v>
      </c>
      <c r="B146" s="8" t="str">
        <f aca="false">IFERROR(INDEX('Source 2026'!$C:$C,MATCH($A146,'Source 2026'!$B:$B,0)),IFERROR(INDEX('Source 2025'!$C:$C,MATCH($A146,'Source 2025'!$B:$B,0)),""))</f>
        <v>XL סד לאגודל כפפה</v>
      </c>
      <c r="C146" s="9" t="n">
        <f aca="false">SUMIFS('Source 2025'!$K:$K,'Source 2025'!$B:$B,$A146,'Source 2025'!$A:$A,"Quantity (units)")+SUMIFS('Source 2025'!$O:$O,'Source 2025'!$B:$B,$A146,'Source 2025'!$A:$A,"Quantity (units)")+SUMIFS('Source 2025'!$R:$R,'Source 2025'!$B:$B,$A146,'Source 2025'!$A:$A,"Quantity (units)")+SUMIFS('Source 2025'!$P:$P,'Source 2025'!$B:$B,$A146,'Source 2025'!$A:$A,"Quantity (units)")+SUMIFS('Source 2025'!$J:$J,'Source 2025'!$B:$B,$A146,'Source 2025'!$A:$A,"Quantity (units)")+SUMIFS('Source 2025'!$L:$L,'Source 2025'!$B:$B,$A146,'Source 2025'!$A:$A,"Quantity (units)")</f>
        <v>-2</v>
      </c>
      <c r="D146" s="9" t="n">
        <f aca="false">SUMIFS('Source 2026'!$K:$K,'Source 2026'!$B:$B,$A146,'Source 2026'!$A:$A,"Quantity (units)")+SUMIFS('Source 2026'!$O:$O,'Source 2026'!$B:$B,$A146,'Source 2026'!$A:$A,"Quantity (units)")+SUMIFS('Source 2026'!$R:$R,'Source 2026'!$B:$B,$A146,'Source 2026'!$A:$A,"Quantity (units)")+SUMIFS('Source 2026'!$P:$P,'Source 2026'!$B:$B,$A146,'Source 2026'!$A:$A,"Quantity (units)")+SUMIFS('Source 2026'!$J:$J,'Source 2026'!$B:$B,$A146,'Source 2026'!$A:$A,"Quantity (units)")+SUMIFS('Source 2026'!$L:$L,'Source 2026'!$B:$B,$A146,'Source 2026'!$A:$A,"Quantity (units)")</f>
        <v>0</v>
      </c>
      <c r="E146" s="9" t="n">
        <f aca="false">D146*$J$5</f>
        <v>0</v>
      </c>
      <c r="F146" s="9" t="n">
        <f aca="false">E146-C146</f>
        <v>2</v>
      </c>
      <c r="G146" s="11" t="n">
        <f aca="false">IF(AND(C146=0,E146=0),0,IF(C146=0,"New",(E146-C146)/C146))</f>
        <v>-1</v>
      </c>
      <c r="H146" s="9" t="n">
        <f aca="false">SUMIFS('Source 2025'!$K:$K,'Source 2025'!$B:$B,$A146,'Source 2025'!$A:$A,"Amount (NIS)")+SUMIFS('Source 2025'!$O:$O,'Source 2025'!$B:$B,$A146,'Source 2025'!$A:$A,"Amount (NIS)")+SUMIFS('Source 2025'!$R:$R,'Source 2025'!$B:$B,$A146,'Source 2025'!$A:$A,"Amount (NIS)")+SUMIFS('Source 2025'!$P:$P,'Source 2025'!$B:$B,$A146,'Source 2025'!$A:$A,"Amount (NIS)")+SUMIFS('Source 2025'!$J:$J,'Source 2025'!$B:$B,$A146,'Source 2025'!$A:$A,"Amount (NIS)")+SUMIFS('Source 2025'!$L:$L,'Source 2025'!$B:$B,$A146,'Source 2025'!$A:$A,"Amount (NIS)")</f>
        <v>-132.3</v>
      </c>
      <c r="I146" s="9" t="n">
        <f aca="false">SUMIFS('Source 2026'!$K:$K,'Source 2026'!$B:$B,$A146,'Source 2026'!$A:$A,"Amount (NIS)")+SUMIFS('Source 2026'!$O:$O,'Source 2026'!$B:$B,$A146,'Source 2026'!$A:$A,"Amount (NIS)")+SUMIFS('Source 2026'!$R:$R,'Source 2026'!$B:$B,$A146,'Source 2026'!$A:$A,"Amount (NIS)")+SUMIFS('Source 2026'!$P:$P,'Source 2026'!$B:$B,$A146,'Source 2026'!$A:$A,"Amount (NIS)")+SUMIFS('Source 2026'!$J:$J,'Source 2026'!$B:$B,$A146,'Source 2026'!$A:$A,"Amount (NIS)")+SUMIFS('Source 2026'!$L:$L,'Source 2026'!$B:$B,$A146,'Source 2026'!$A:$A,"Amount (NIS)")</f>
        <v>0</v>
      </c>
      <c r="J146" s="9" t="n">
        <f aca="false">I146*$J$5</f>
        <v>0</v>
      </c>
      <c r="K146" s="9" t="n">
        <f aca="false">J146-H146</f>
        <v>132.3</v>
      </c>
      <c r="L146" s="11" t="n">
        <f aca="false">IF(AND(H146=0,J146=0),0,IF(H146=0,"New",(J146-H146)/H146))</f>
        <v>-1</v>
      </c>
    </row>
    <row r="147" customFormat="false" ht="15" hidden="false" customHeight="true" outlineLevel="0" collapsed="false">
      <c r="A147" s="8" t="s">
        <v>300</v>
      </c>
      <c r="B147" s="8" t="str">
        <f aca="false">IFERROR(INDEX('Source 2026'!$C:$C,MATCH($A147,'Source 2026'!$B:$B,0)),IFERROR(INDEX('Source 2025'!$C:$C,MATCH($A147,'Source 2025'!$B:$B,0)),""))</f>
        <v>ריפוד סיליקון לנעלי אצבע</v>
      </c>
      <c r="C147" s="9" t="n">
        <f aca="false">SUMIFS('Source 2025'!$K:$K,'Source 2025'!$B:$B,$A147,'Source 2025'!$A:$A,"Quantity (units)")+SUMIFS('Source 2025'!$O:$O,'Source 2025'!$B:$B,$A147,'Source 2025'!$A:$A,"Quantity (units)")+SUMIFS('Source 2025'!$R:$R,'Source 2025'!$B:$B,$A147,'Source 2025'!$A:$A,"Quantity (units)")+SUMIFS('Source 2025'!$P:$P,'Source 2025'!$B:$B,$A147,'Source 2025'!$A:$A,"Quantity (units)")+SUMIFS('Source 2025'!$J:$J,'Source 2025'!$B:$B,$A147,'Source 2025'!$A:$A,"Quantity (units)")+SUMIFS('Source 2025'!$L:$L,'Source 2025'!$B:$B,$A147,'Source 2025'!$A:$A,"Quantity (units)")</f>
        <v>4</v>
      </c>
      <c r="D147" s="9" t="n">
        <f aca="false">SUMIFS('Source 2026'!$K:$K,'Source 2026'!$B:$B,$A147,'Source 2026'!$A:$A,"Quantity (units)")+SUMIFS('Source 2026'!$O:$O,'Source 2026'!$B:$B,$A147,'Source 2026'!$A:$A,"Quantity (units)")+SUMIFS('Source 2026'!$R:$R,'Source 2026'!$B:$B,$A147,'Source 2026'!$A:$A,"Quantity (units)")+SUMIFS('Source 2026'!$P:$P,'Source 2026'!$B:$B,$A147,'Source 2026'!$A:$A,"Quantity (units)")+SUMIFS('Source 2026'!$J:$J,'Source 2026'!$B:$B,$A147,'Source 2026'!$A:$A,"Quantity (units)")+SUMIFS('Source 2026'!$L:$L,'Source 2026'!$B:$B,$A147,'Source 2026'!$A:$A,"Quantity (units)")</f>
        <v>7</v>
      </c>
      <c r="E147" s="9" t="n">
        <f aca="false">D147*$J$5</f>
        <v>8.84210526315789</v>
      </c>
      <c r="F147" s="9" t="n">
        <f aca="false">E147-C147</f>
        <v>4.84210526315789</v>
      </c>
      <c r="G147" s="11" t="n">
        <f aca="false">IF(AND(C147=0,E147=0),0,IF(C147=0,"New",(E147-C147)/C147))</f>
        <v>1.21052631578947</v>
      </c>
      <c r="H147" s="9" t="n">
        <f aca="false">SUMIFS('Source 2025'!$K:$K,'Source 2025'!$B:$B,$A147,'Source 2025'!$A:$A,"Amount (NIS)")+SUMIFS('Source 2025'!$O:$O,'Source 2025'!$B:$B,$A147,'Source 2025'!$A:$A,"Amount (NIS)")+SUMIFS('Source 2025'!$R:$R,'Source 2025'!$B:$B,$A147,'Source 2025'!$A:$A,"Amount (NIS)")+SUMIFS('Source 2025'!$P:$P,'Source 2025'!$B:$B,$A147,'Source 2025'!$A:$A,"Amount (NIS)")+SUMIFS('Source 2025'!$J:$J,'Source 2025'!$B:$B,$A147,'Source 2025'!$A:$A,"Amount (NIS)")+SUMIFS('Source 2025'!$L:$L,'Source 2025'!$B:$B,$A147,'Source 2025'!$A:$A,"Amount (NIS)")</f>
        <v>43.8</v>
      </c>
      <c r="I147" s="9" t="n">
        <f aca="false">SUMIFS('Source 2026'!$K:$K,'Source 2026'!$B:$B,$A147,'Source 2026'!$A:$A,"Amount (NIS)")+SUMIFS('Source 2026'!$O:$O,'Source 2026'!$B:$B,$A147,'Source 2026'!$A:$A,"Amount (NIS)")+SUMIFS('Source 2026'!$R:$R,'Source 2026'!$B:$B,$A147,'Source 2026'!$A:$A,"Amount (NIS)")+SUMIFS('Source 2026'!$P:$P,'Source 2026'!$B:$B,$A147,'Source 2026'!$A:$A,"Amount (NIS)")+SUMIFS('Source 2026'!$J:$J,'Source 2026'!$B:$B,$A147,'Source 2026'!$A:$A,"Amount (NIS)")+SUMIFS('Source 2026'!$L:$L,'Source 2026'!$B:$B,$A147,'Source 2026'!$A:$A,"Amount (NIS)")</f>
        <v>171.6</v>
      </c>
      <c r="J147" s="9" t="n">
        <f aca="false">I147*$J$5</f>
        <v>216.757894736842</v>
      </c>
      <c r="K147" s="9" t="n">
        <f aca="false">J147-H147</f>
        <v>172.957894736842</v>
      </c>
      <c r="L147" s="11" t="n">
        <f aca="false">IF(AND(H147=0,J147=0),0,IF(H147=0,"New",(J147-H147)/H147))</f>
        <v>3.94881038211968</v>
      </c>
    </row>
    <row r="148" customFormat="false" ht="15" hidden="false" customHeight="true" outlineLevel="0" collapsed="false">
      <c r="A148" s="8" t="s">
        <v>335</v>
      </c>
      <c r="B148" s="8" t="str">
        <f aca="false">IFERROR(INDEX('Source 2026'!$C:$C,MATCH($A148,'Source 2026'!$B:$B,0)),IFERROR(INDEX('Source 2025'!$C:$C,MATCH($A148,'Source 2025'!$B:$B,0)),""))</f>
        <v>ג.כסף לסכרתיים אפור35-38</v>
      </c>
      <c r="C148" s="9" t="n">
        <f aca="false">SUMIFS('Source 2025'!$K:$K,'Source 2025'!$B:$B,$A148,'Source 2025'!$A:$A,"Quantity (units)")+SUMIFS('Source 2025'!$O:$O,'Source 2025'!$B:$B,$A148,'Source 2025'!$A:$A,"Quantity (units)")+SUMIFS('Source 2025'!$R:$R,'Source 2025'!$B:$B,$A148,'Source 2025'!$A:$A,"Quantity (units)")+SUMIFS('Source 2025'!$P:$P,'Source 2025'!$B:$B,$A148,'Source 2025'!$A:$A,"Quantity (units)")+SUMIFS('Source 2025'!$J:$J,'Source 2025'!$B:$B,$A148,'Source 2025'!$A:$A,"Quantity (units)")+SUMIFS('Source 2025'!$L:$L,'Source 2025'!$B:$B,$A148,'Source 2025'!$A:$A,"Quantity (units)")</f>
        <v>4</v>
      </c>
      <c r="D148" s="9" t="n">
        <f aca="false">SUMIFS('Source 2026'!$K:$K,'Source 2026'!$B:$B,$A148,'Source 2026'!$A:$A,"Quantity (units)")+SUMIFS('Source 2026'!$O:$O,'Source 2026'!$B:$B,$A148,'Source 2026'!$A:$A,"Quantity (units)")+SUMIFS('Source 2026'!$R:$R,'Source 2026'!$B:$B,$A148,'Source 2026'!$A:$A,"Quantity (units)")+SUMIFS('Source 2026'!$P:$P,'Source 2026'!$B:$B,$A148,'Source 2026'!$A:$A,"Quantity (units)")+SUMIFS('Source 2026'!$J:$J,'Source 2026'!$B:$B,$A148,'Source 2026'!$A:$A,"Quantity (units)")+SUMIFS('Source 2026'!$L:$L,'Source 2026'!$B:$B,$A148,'Source 2026'!$A:$A,"Quantity (units)")</f>
        <v>0</v>
      </c>
      <c r="E148" s="9" t="n">
        <f aca="false">D148*$J$5</f>
        <v>0</v>
      </c>
      <c r="F148" s="9" t="n">
        <f aca="false">E148-C148</f>
        <v>-4</v>
      </c>
      <c r="G148" s="11" t="n">
        <f aca="false">IF(AND(C148=0,E148=0),0,IF(C148=0,"New",(E148-C148)/C148))</f>
        <v>-1</v>
      </c>
      <c r="H148" s="9" t="n">
        <f aca="false">SUMIFS('Source 2025'!$K:$K,'Source 2025'!$B:$B,$A148,'Source 2025'!$A:$A,"Amount (NIS)")+SUMIFS('Source 2025'!$O:$O,'Source 2025'!$B:$B,$A148,'Source 2025'!$A:$A,"Amount (NIS)")+SUMIFS('Source 2025'!$R:$R,'Source 2025'!$B:$B,$A148,'Source 2025'!$A:$A,"Amount (NIS)")+SUMIFS('Source 2025'!$P:$P,'Source 2025'!$B:$B,$A148,'Source 2025'!$A:$A,"Amount (NIS)")+SUMIFS('Source 2025'!$J:$J,'Source 2025'!$B:$B,$A148,'Source 2025'!$A:$A,"Amount (NIS)")+SUMIFS('Source 2025'!$L:$L,'Source 2025'!$B:$B,$A148,'Source 2025'!$A:$A,"Amount (NIS)")</f>
        <v>125.8</v>
      </c>
      <c r="I148" s="9" t="n">
        <f aca="false">SUMIFS('Source 2026'!$K:$K,'Source 2026'!$B:$B,$A148,'Source 2026'!$A:$A,"Amount (NIS)")+SUMIFS('Source 2026'!$O:$O,'Source 2026'!$B:$B,$A148,'Source 2026'!$A:$A,"Amount (NIS)")+SUMIFS('Source 2026'!$R:$R,'Source 2026'!$B:$B,$A148,'Source 2026'!$A:$A,"Amount (NIS)")+SUMIFS('Source 2026'!$P:$P,'Source 2026'!$B:$B,$A148,'Source 2026'!$A:$A,"Amount (NIS)")+SUMIFS('Source 2026'!$J:$J,'Source 2026'!$B:$B,$A148,'Source 2026'!$A:$A,"Amount (NIS)")+SUMIFS('Source 2026'!$L:$L,'Source 2026'!$B:$B,$A148,'Source 2026'!$A:$A,"Amount (NIS)")</f>
        <v>0</v>
      </c>
      <c r="J148" s="9" t="n">
        <f aca="false">I148*$J$5</f>
        <v>0</v>
      </c>
      <c r="K148" s="9" t="n">
        <f aca="false">J148-H148</f>
        <v>-125.8</v>
      </c>
      <c r="L148" s="11" t="n">
        <f aca="false">IF(AND(H148=0,J148=0),0,IF(H148=0,"New",(J148-H148)/H148))</f>
        <v>-1</v>
      </c>
    </row>
    <row r="149" customFormat="false" ht="15" hidden="false" customHeight="true" outlineLevel="0" collapsed="false">
      <c r="A149" s="8" t="s">
        <v>368</v>
      </c>
      <c r="B149" s="8" t="str">
        <f aca="false">IFERROR(INDEX('Source 2026'!$C:$C,MATCH($A149,'Source 2026'!$B:$B,0)),IFERROR(INDEX('Source 2025'!$C:$C,MATCH($A149,'Source 2025'!$B:$B,0)),""))</f>
        <v>099 חגורת גב שרוכים</v>
      </c>
      <c r="C149" s="9" t="n">
        <f aca="false">SUMIFS('Source 2025'!$K:$K,'Source 2025'!$B:$B,$A149,'Source 2025'!$A:$A,"Quantity (units)")+SUMIFS('Source 2025'!$O:$O,'Source 2025'!$B:$B,$A149,'Source 2025'!$A:$A,"Quantity (units)")+SUMIFS('Source 2025'!$R:$R,'Source 2025'!$B:$B,$A149,'Source 2025'!$A:$A,"Quantity (units)")+SUMIFS('Source 2025'!$P:$P,'Source 2025'!$B:$B,$A149,'Source 2025'!$A:$A,"Quantity (units)")+SUMIFS('Source 2025'!$J:$J,'Source 2025'!$B:$B,$A149,'Source 2025'!$A:$A,"Quantity (units)")+SUMIFS('Source 2025'!$L:$L,'Source 2025'!$B:$B,$A149,'Source 2025'!$A:$A,"Quantity (units)")</f>
        <v>0</v>
      </c>
      <c r="D149" s="9" t="n">
        <f aca="false">SUMIFS('Source 2026'!$K:$K,'Source 2026'!$B:$B,$A149,'Source 2026'!$A:$A,"Quantity (units)")+SUMIFS('Source 2026'!$O:$O,'Source 2026'!$B:$B,$A149,'Source 2026'!$A:$A,"Quantity (units)")+SUMIFS('Source 2026'!$R:$R,'Source 2026'!$B:$B,$A149,'Source 2026'!$A:$A,"Quantity (units)")+SUMIFS('Source 2026'!$P:$P,'Source 2026'!$B:$B,$A149,'Source 2026'!$A:$A,"Quantity (units)")+SUMIFS('Source 2026'!$J:$J,'Source 2026'!$B:$B,$A149,'Source 2026'!$A:$A,"Quantity (units)")+SUMIFS('Source 2026'!$L:$L,'Source 2026'!$B:$B,$A149,'Source 2026'!$A:$A,"Quantity (units)")</f>
        <v>-1</v>
      </c>
      <c r="E149" s="9" t="n">
        <f aca="false">D149*$J$5</f>
        <v>-1.26315789473684</v>
      </c>
      <c r="F149" s="9" t="n">
        <f aca="false">E149-C149</f>
        <v>-1.26315789473684</v>
      </c>
      <c r="G149" s="11" t="str">
        <f aca="false">IF(AND(C149=0,E149=0),0,IF(C149=0,"New",(E149-C149)/C149))</f>
        <v>New</v>
      </c>
      <c r="H149" s="9" t="n">
        <f aca="false">SUMIFS('Source 2025'!$K:$K,'Source 2025'!$B:$B,$A149,'Source 2025'!$A:$A,"Amount (NIS)")+SUMIFS('Source 2025'!$O:$O,'Source 2025'!$B:$B,$A149,'Source 2025'!$A:$A,"Amount (NIS)")+SUMIFS('Source 2025'!$R:$R,'Source 2025'!$B:$B,$A149,'Source 2025'!$A:$A,"Amount (NIS)")+SUMIFS('Source 2025'!$P:$P,'Source 2025'!$B:$B,$A149,'Source 2025'!$A:$A,"Amount (NIS)")+SUMIFS('Source 2025'!$J:$J,'Source 2025'!$B:$B,$A149,'Source 2025'!$A:$A,"Amount (NIS)")+SUMIFS('Source 2025'!$L:$L,'Source 2025'!$B:$B,$A149,'Source 2025'!$A:$A,"Amount (NIS)")</f>
        <v>0</v>
      </c>
      <c r="I149" s="9" t="n">
        <f aca="false">SUMIFS('Source 2026'!$K:$K,'Source 2026'!$B:$B,$A149,'Source 2026'!$A:$A,"Amount (NIS)")+SUMIFS('Source 2026'!$O:$O,'Source 2026'!$B:$B,$A149,'Source 2026'!$A:$A,"Amount (NIS)")+SUMIFS('Source 2026'!$R:$R,'Source 2026'!$B:$B,$A149,'Source 2026'!$A:$A,"Amount (NIS)")+SUMIFS('Source 2026'!$P:$P,'Source 2026'!$B:$B,$A149,'Source 2026'!$A:$A,"Amount (NIS)")+SUMIFS('Source 2026'!$J:$J,'Source 2026'!$B:$B,$A149,'Source 2026'!$A:$A,"Amount (NIS)")+SUMIFS('Source 2026'!$L:$L,'Source 2026'!$B:$B,$A149,'Source 2026'!$A:$A,"Amount (NIS)")</f>
        <v>-121.5</v>
      </c>
      <c r="J149" s="9" t="n">
        <f aca="false">I149*$J$5</f>
        <v>-153.473684210526</v>
      </c>
      <c r="K149" s="9" t="n">
        <f aca="false">J149-H149</f>
        <v>-153.473684210526</v>
      </c>
      <c r="L149" s="11" t="str">
        <f aca="false">IF(AND(H149=0,J149=0),0,IF(H149=0,"New",(J149-H149)/H149))</f>
        <v>New</v>
      </c>
    </row>
    <row r="150" customFormat="false" ht="15" hidden="false" customHeight="true" outlineLevel="0" collapsed="false">
      <c r="A150" s="8" t="s">
        <v>329</v>
      </c>
      <c r="B150" s="8" t="str">
        <f aca="false">IFERROR(INDEX('Source 2026'!$C:$C,MATCH($A150,'Source 2026'!$B:$B,0)),IFERROR(INDEX('Source 2025'!$C:$C,MATCH($A150,'Source 2025'!$B:$B,0)),""))</f>
        <v>רצועת טניס אלבו עם פלסטיק</v>
      </c>
      <c r="C150" s="9" t="n">
        <f aca="false">SUMIFS('Source 2025'!$K:$K,'Source 2025'!$B:$B,$A150,'Source 2025'!$A:$A,"Quantity (units)")+SUMIFS('Source 2025'!$O:$O,'Source 2025'!$B:$B,$A150,'Source 2025'!$A:$A,"Quantity (units)")+SUMIFS('Source 2025'!$R:$R,'Source 2025'!$B:$B,$A150,'Source 2025'!$A:$A,"Quantity (units)")+SUMIFS('Source 2025'!$P:$P,'Source 2025'!$B:$B,$A150,'Source 2025'!$A:$A,"Quantity (units)")+SUMIFS('Source 2025'!$J:$J,'Source 2025'!$B:$B,$A150,'Source 2025'!$A:$A,"Quantity (units)")+SUMIFS('Source 2025'!$L:$L,'Source 2025'!$B:$B,$A150,'Source 2025'!$A:$A,"Quantity (units)")</f>
        <v>1</v>
      </c>
      <c r="D150" s="9" t="n">
        <f aca="false">SUMIFS('Source 2026'!$K:$K,'Source 2026'!$B:$B,$A150,'Source 2026'!$A:$A,"Quantity (units)")+SUMIFS('Source 2026'!$O:$O,'Source 2026'!$B:$B,$A150,'Source 2026'!$A:$A,"Quantity (units)")+SUMIFS('Source 2026'!$R:$R,'Source 2026'!$B:$B,$A150,'Source 2026'!$A:$A,"Quantity (units)")+SUMIFS('Source 2026'!$P:$P,'Source 2026'!$B:$B,$A150,'Source 2026'!$A:$A,"Quantity (units)")+SUMIFS('Source 2026'!$J:$J,'Source 2026'!$B:$B,$A150,'Source 2026'!$A:$A,"Quantity (units)")+SUMIFS('Source 2026'!$L:$L,'Source 2026'!$B:$B,$A150,'Source 2026'!$A:$A,"Quantity (units)")</f>
        <v>0</v>
      </c>
      <c r="E150" s="9" t="n">
        <f aca="false">D150*$J$5</f>
        <v>0</v>
      </c>
      <c r="F150" s="9" t="n">
        <f aca="false">E150-C150</f>
        <v>-1</v>
      </c>
      <c r="G150" s="11" t="n">
        <f aca="false">IF(AND(C150=0,E150=0),0,IF(C150=0,"New",(E150-C150)/C150))</f>
        <v>-1</v>
      </c>
      <c r="H150" s="9" t="n">
        <f aca="false">SUMIFS('Source 2025'!$K:$K,'Source 2025'!$B:$B,$A150,'Source 2025'!$A:$A,"Amount (NIS)")+SUMIFS('Source 2025'!$O:$O,'Source 2025'!$B:$B,$A150,'Source 2025'!$A:$A,"Amount (NIS)")+SUMIFS('Source 2025'!$R:$R,'Source 2025'!$B:$B,$A150,'Source 2025'!$A:$A,"Amount (NIS)")+SUMIFS('Source 2025'!$P:$P,'Source 2025'!$B:$B,$A150,'Source 2025'!$A:$A,"Amount (NIS)")+SUMIFS('Source 2025'!$J:$J,'Source 2025'!$B:$B,$A150,'Source 2025'!$A:$A,"Amount (NIS)")+SUMIFS('Source 2025'!$L:$L,'Source 2025'!$B:$B,$A150,'Source 2025'!$A:$A,"Amount (NIS)")</f>
        <v>105.9</v>
      </c>
      <c r="I150" s="9" t="n">
        <f aca="false">SUMIFS('Source 2026'!$K:$K,'Source 2026'!$B:$B,$A150,'Source 2026'!$A:$A,"Amount (NIS)")+SUMIFS('Source 2026'!$O:$O,'Source 2026'!$B:$B,$A150,'Source 2026'!$A:$A,"Amount (NIS)")+SUMIFS('Source 2026'!$R:$R,'Source 2026'!$B:$B,$A150,'Source 2026'!$A:$A,"Amount (NIS)")+SUMIFS('Source 2026'!$P:$P,'Source 2026'!$B:$B,$A150,'Source 2026'!$A:$A,"Amount (NIS)")+SUMIFS('Source 2026'!$J:$J,'Source 2026'!$B:$B,$A150,'Source 2026'!$A:$A,"Amount (NIS)")+SUMIFS('Source 2026'!$L:$L,'Source 2026'!$B:$B,$A150,'Source 2026'!$A:$A,"Amount (NIS)")</f>
        <v>0</v>
      </c>
      <c r="J150" s="9" t="n">
        <f aca="false">I150*$J$5</f>
        <v>0</v>
      </c>
      <c r="K150" s="9" t="n">
        <f aca="false">J150-H150</f>
        <v>-105.9</v>
      </c>
      <c r="L150" s="11" t="n">
        <f aca="false">IF(AND(H150=0,J150=0),0,IF(H150=0,"New",(J150-H150)/H150))</f>
        <v>-1</v>
      </c>
    </row>
    <row r="151" customFormat="false" ht="15" hidden="false" customHeight="true" outlineLevel="0" collapsed="false">
      <c r="A151" s="8" t="s">
        <v>203</v>
      </c>
      <c r="B151" s="8" t="str">
        <f aca="false">IFERROR(INDEX('Source 2026'!$C:$C,MATCH($A151,'Source 2026'!$B:$B,0)),IFERROR(INDEX('Source 2025'!$C:$C,MATCH($A151,'Source 2025'!$B:$B,0)),""))</f>
        <v>S מתלה אשכים לאחר ניתוח</v>
      </c>
      <c r="C151" s="9" t="n">
        <f aca="false">SUMIFS('Source 2025'!$K:$K,'Source 2025'!$B:$B,$A151,'Source 2025'!$A:$A,"Quantity (units)")+SUMIFS('Source 2025'!$O:$O,'Source 2025'!$B:$B,$A151,'Source 2025'!$A:$A,"Quantity (units)")+SUMIFS('Source 2025'!$R:$R,'Source 2025'!$B:$B,$A151,'Source 2025'!$A:$A,"Quantity (units)")+SUMIFS('Source 2025'!$P:$P,'Source 2025'!$B:$B,$A151,'Source 2025'!$A:$A,"Quantity (units)")+SUMIFS('Source 2025'!$J:$J,'Source 2025'!$B:$B,$A151,'Source 2025'!$A:$A,"Quantity (units)")+SUMIFS('Source 2025'!$L:$L,'Source 2025'!$B:$B,$A151,'Source 2025'!$A:$A,"Quantity (units)")</f>
        <v>0</v>
      </c>
      <c r="D151" s="9" t="n">
        <f aca="false">SUMIFS('Source 2026'!$K:$K,'Source 2026'!$B:$B,$A151,'Source 2026'!$A:$A,"Quantity (units)")+SUMIFS('Source 2026'!$O:$O,'Source 2026'!$B:$B,$A151,'Source 2026'!$A:$A,"Quantity (units)")+SUMIFS('Source 2026'!$R:$R,'Source 2026'!$B:$B,$A151,'Source 2026'!$A:$A,"Quantity (units)")+SUMIFS('Source 2026'!$P:$P,'Source 2026'!$B:$B,$A151,'Source 2026'!$A:$A,"Quantity (units)")+SUMIFS('Source 2026'!$J:$J,'Source 2026'!$B:$B,$A151,'Source 2026'!$A:$A,"Quantity (units)")+SUMIFS('Source 2026'!$L:$L,'Source 2026'!$B:$B,$A151,'Source 2026'!$A:$A,"Quantity (units)")</f>
        <v>-1</v>
      </c>
      <c r="E151" s="9" t="n">
        <f aca="false">D151*$J$5</f>
        <v>-1.26315789473684</v>
      </c>
      <c r="F151" s="9" t="n">
        <f aca="false">E151-C151</f>
        <v>-1.26315789473684</v>
      </c>
      <c r="G151" s="11" t="str">
        <f aca="false">IF(AND(C151=0,E151=0),0,IF(C151=0,"New",(E151-C151)/C151))</f>
        <v>New</v>
      </c>
      <c r="H151" s="9" t="n">
        <f aca="false">SUMIFS('Source 2025'!$K:$K,'Source 2025'!$B:$B,$A151,'Source 2025'!$A:$A,"Amount (NIS)")+SUMIFS('Source 2025'!$O:$O,'Source 2025'!$B:$B,$A151,'Source 2025'!$A:$A,"Amount (NIS)")+SUMIFS('Source 2025'!$R:$R,'Source 2025'!$B:$B,$A151,'Source 2025'!$A:$A,"Amount (NIS)")+SUMIFS('Source 2025'!$P:$P,'Source 2025'!$B:$B,$A151,'Source 2025'!$A:$A,"Amount (NIS)")+SUMIFS('Source 2025'!$J:$J,'Source 2025'!$B:$B,$A151,'Source 2025'!$A:$A,"Amount (NIS)")+SUMIFS('Source 2025'!$L:$L,'Source 2025'!$B:$B,$A151,'Source 2025'!$A:$A,"Amount (NIS)")</f>
        <v>0</v>
      </c>
      <c r="I151" s="9" t="n">
        <f aca="false">SUMIFS('Source 2026'!$K:$K,'Source 2026'!$B:$B,$A151,'Source 2026'!$A:$A,"Amount (NIS)")+SUMIFS('Source 2026'!$O:$O,'Source 2026'!$B:$B,$A151,'Source 2026'!$A:$A,"Amount (NIS)")+SUMIFS('Source 2026'!$R:$R,'Source 2026'!$B:$B,$A151,'Source 2026'!$A:$A,"Amount (NIS)")+SUMIFS('Source 2026'!$P:$P,'Source 2026'!$B:$B,$A151,'Source 2026'!$A:$A,"Amount (NIS)")+SUMIFS('Source 2026'!$J:$J,'Source 2026'!$B:$B,$A151,'Source 2026'!$A:$A,"Amount (NIS)")+SUMIFS('Source 2026'!$L:$L,'Source 2026'!$B:$B,$A151,'Source 2026'!$A:$A,"Amount (NIS)")</f>
        <v>-104.2</v>
      </c>
      <c r="J151" s="9" t="n">
        <f aca="false">I151*$J$5</f>
        <v>-131.621052631579</v>
      </c>
      <c r="K151" s="9" t="n">
        <f aca="false">J151-H151</f>
        <v>-131.621052631579</v>
      </c>
      <c r="L151" s="11" t="str">
        <f aca="false">IF(AND(H151=0,J151=0),0,IF(H151=0,"New",(J151-H151)/H151))</f>
        <v>New</v>
      </c>
    </row>
    <row r="152" customFormat="false" ht="15" hidden="false" customHeight="true" outlineLevel="0" collapsed="false">
      <c r="A152" s="8" t="s">
        <v>24</v>
      </c>
      <c r="B152" s="8" t="str">
        <f aca="false">IFERROR(INDEX('Source 2026'!$C:$C,MATCH($A152,'Source 2026'!$B:$B,0)),IFERROR(INDEX('Source 2025'!$C:$C,MATCH($A152,'Source 2025'!$B:$B,0)),""))</f>
        <v>CARE  תחבושת אלסטית 5 ס""מ</v>
      </c>
      <c r="C152" s="9" t="n">
        <f aca="false">SUMIFS('Source 2025'!$K:$K,'Source 2025'!$B:$B,$A152,'Source 2025'!$A:$A,"Quantity (units)")+SUMIFS('Source 2025'!$O:$O,'Source 2025'!$B:$B,$A152,'Source 2025'!$A:$A,"Quantity (units)")+SUMIFS('Source 2025'!$R:$R,'Source 2025'!$B:$B,$A152,'Source 2025'!$A:$A,"Quantity (units)")+SUMIFS('Source 2025'!$P:$P,'Source 2025'!$B:$B,$A152,'Source 2025'!$A:$A,"Quantity (units)")+SUMIFS('Source 2025'!$J:$J,'Source 2025'!$B:$B,$A152,'Source 2025'!$A:$A,"Quantity (units)")+SUMIFS('Source 2025'!$L:$L,'Source 2025'!$B:$B,$A152,'Source 2025'!$A:$A,"Quantity (units)")</f>
        <v>-11</v>
      </c>
      <c r="D152" s="9" t="n">
        <f aca="false">SUMIFS('Source 2026'!$K:$K,'Source 2026'!$B:$B,$A152,'Source 2026'!$A:$A,"Quantity (units)")+SUMIFS('Source 2026'!$O:$O,'Source 2026'!$B:$B,$A152,'Source 2026'!$A:$A,"Quantity (units)")+SUMIFS('Source 2026'!$R:$R,'Source 2026'!$B:$B,$A152,'Source 2026'!$A:$A,"Quantity (units)")+SUMIFS('Source 2026'!$P:$P,'Source 2026'!$B:$B,$A152,'Source 2026'!$A:$A,"Quantity (units)")+SUMIFS('Source 2026'!$J:$J,'Source 2026'!$B:$B,$A152,'Source 2026'!$A:$A,"Quantity (units)")+SUMIFS('Source 2026'!$L:$L,'Source 2026'!$B:$B,$A152,'Source 2026'!$A:$A,"Quantity (units)")</f>
        <v>0</v>
      </c>
      <c r="E152" s="9" t="n">
        <f aca="false">D152*$J$5</f>
        <v>0</v>
      </c>
      <c r="F152" s="9" t="n">
        <f aca="false">E152-C152</f>
        <v>11</v>
      </c>
      <c r="G152" s="11" t="n">
        <f aca="false">IF(AND(C152=0,E152=0),0,IF(C152=0,"New",(E152-C152)/C152))</f>
        <v>-1</v>
      </c>
      <c r="H152" s="9" t="n">
        <f aca="false">SUMIFS('Source 2025'!$K:$K,'Source 2025'!$B:$B,$A152,'Source 2025'!$A:$A,"Amount (NIS)")+SUMIFS('Source 2025'!$O:$O,'Source 2025'!$B:$B,$A152,'Source 2025'!$A:$A,"Amount (NIS)")+SUMIFS('Source 2025'!$R:$R,'Source 2025'!$B:$B,$A152,'Source 2025'!$A:$A,"Amount (NIS)")+SUMIFS('Source 2025'!$P:$P,'Source 2025'!$B:$B,$A152,'Source 2025'!$A:$A,"Amount (NIS)")+SUMIFS('Source 2025'!$J:$J,'Source 2025'!$B:$B,$A152,'Source 2025'!$A:$A,"Amount (NIS)")+SUMIFS('Source 2025'!$L:$L,'Source 2025'!$B:$B,$A152,'Source 2025'!$A:$A,"Amount (NIS)")</f>
        <v>-98.4</v>
      </c>
      <c r="I152" s="9" t="n">
        <f aca="false">SUMIFS('Source 2026'!$K:$K,'Source 2026'!$B:$B,$A152,'Source 2026'!$A:$A,"Amount (NIS)")+SUMIFS('Source 2026'!$O:$O,'Source 2026'!$B:$B,$A152,'Source 2026'!$A:$A,"Amount (NIS)")+SUMIFS('Source 2026'!$R:$R,'Source 2026'!$B:$B,$A152,'Source 2026'!$A:$A,"Amount (NIS)")+SUMIFS('Source 2026'!$P:$P,'Source 2026'!$B:$B,$A152,'Source 2026'!$A:$A,"Amount (NIS)")+SUMIFS('Source 2026'!$J:$J,'Source 2026'!$B:$B,$A152,'Source 2026'!$A:$A,"Amount (NIS)")+SUMIFS('Source 2026'!$L:$L,'Source 2026'!$B:$B,$A152,'Source 2026'!$A:$A,"Amount (NIS)")</f>
        <v>0</v>
      </c>
      <c r="J152" s="9" t="n">
        <f aca="false">I152*$J$5</f>
        <v>0</v>
      </c>
      <c r="K152" s="9" t="n">
        <f aca="false">J152-H152</f>
        <v>98.4</v>
      </c>
      <c r="L152" s="11" t="n">
        <f aca="false">IF(AND(H152=0,J152=0),0,IF(H152=0,"New",(J152-H152)/H152))</f>
        <v>-1</v>
      </c>
    </row>
    <row r="153" customFormat="false" ht="15" hidden="false" customHeight="true" outlineLevel="0" collapsed="false">
      <c r="A153" s="8" t="s">
        <v>358</v>
      </c>
      <c r="B153" s="8" t="str">
        <f aca="false">IFERROR(INDEX('Source 2026'!$C:$C,MATCH($A153,'Source 2026'!$B:$B,0)),IFERROR(INDEX('Source 2025'!$C:$C,MATCH($A153,'Source 2025'!$B:$B,0)),""))</f>
        <v>ריפוד סיליקון לעקב אחורי</v>
      </c>
      <c r="C153" s="9" t="n">
        <f aca="false">SUMIFS('Source 2025'!$K:$K,'Source 2025'!$B:$B,$A153,'Source 2025'!$A:$A,"Quantity (units)")+SUMIFS('Source 2025'!$O:$O,'Source 2025'!$B:$B,$A153,'Source 2025'!$A:$A,"Quantity (units)")+SUMIFS('Source 2025'!$R:$R,'Source 2025'!$B:$B,$A153,'Source 2025'!$A:$A,"Quantity (units)")+SUMIFS('Source 2025'!$P:$P,'Source 2025'!$B:$B,$A153,'Source 2025'!$A:$A,"Quantity (units)")+SUMIFS('Source 2025'!$J:$J,'Source 2025'!$B:$B,$A153,'Source 2025'!$A:$A,"Quantity (units)")+SUMIFS('Source 2025'!$L:$L,'Source 2025'!$B:$B,$A153,'Source 2025'!$A:$A,"Quantity (units)")</f>
        <v>87</v>
      </c>
      <c r="D153" s="9" t="n">
        <f aca="false">SUMIFS('Source 2026'!$K:$K,'Source 2026'!$B:$B,$A153,'Source 2026'!$A:$A,"Quantity (units)")+SUMIFS('Source 2026'!$O:$O,'Source 2026'!$B:$B,$A153,'Source 2026'!$A:$A,"Quantity (units)")+SUMIFS('Source 2026'!$R:$R,'Source 2026'!$B:$B,$A153,'Source 2026'!$A:$A,"Quantity (units)")+SUMIFS('Source 2026'!$P:$P,'Source 2026'!$B:$B,$A153,'Source 2026'!$A:$A,"Quantity (units)")+SUMIFS('Source 2026'!$J:$J,'Source 2026'!$B:$B,$A153,'Source 2026'!$A:$A,"Quantity (units)")+SUMIFS('Source 2026'!$L:$L,'Source 2026'!$B:$B,$A153,'Source 2026'!$A:$A,"Quantity (units)")</f>
        <v>91</v>
      </c>
      <c r="E153" s="9" t="n">
        <f aca="false">D153*$J$5</f>
        <v>114.947368421053</v>
      </c>
      <c r="F153" s="9" t="n">
        <f aca="false">E153-C153</f>
        <v>27.9473684210526</v>
      </c>
      <c r="G153" s="11" t="n">
        <f aca="false">IF(AND(C153=0,E153=0),0,IF(C153=0,"New",(E153-C153)/C153))</f>
        <v>0.321234119782214</v>
      </c>
      <c r="H153" s="9" t="n">
        <f aca="false">SUMIFS('Source 2025'!$K:$K,'Source 2025'!$B:$B,$A153,'Source 2025'!$A:$A,"Amount (NIS)")+SUMIFS('Source 2025'!$O:$O,'Source 2025'!$B:$B,$A153,'Source 2025'!$A:$A,"Amount (NIS)")+SUMIFS('Source 2025'!$R:$R,'Source 2025'!$B:$B,$A153,'Source 2025'!$A:$A,"Amount (NIS)")+SUMIFS('Source 2025'!$P:$P,'Source 2025'!$B:$B,$A153,'Source 2025'!$A:$A,"Amount (NIS)")+SUMIFS('Source 2025'!$J:$J,'Source 2025'!$B:$B,$A153,'Source 2025'!$A:$A,"Amount (NIS)")+SUMIFS('Source 2025'!$L:$L,'Source 2025'!$B:$B,$A153,'Source 2025'!$A:$A,"Amount (NIS)")</f>
        <v>1870.3</v>
      </c>
      <c r="I153" s="9" t="n">
        <f aca="false">SUMIFS('Source 2026'!$K:$K,'Source 2026'!$B:$B,$A153,'Source 2026'!$A:$A,"Amount (NIS)")+SUMIFS('Source 2026'!$O:$O,'Source 2026'!$B:$B,$A153,'Source 2026'!$A:$A,"Amount (NIS)")+SUMIFS('Source 2026'!$R:$R,'Source 2026'!$B:$B,$A153,'Source 2026'!$A:$A,"Amount (NIS)")+SUMIFS('Source 2026'!$P:$P,'Source 2026'!$B:$B,$A153,'Source 2026'!$A:$A,"Amount (NIS)")+SUMIFS('Source 2026'!$J:$J,'Source 2026'!$B:$B,$A153,'Source 2026'!$A:$A,"Amount (NIS)")+SUMIFS('Source 2026'!$L:$L,'Source 2026'!$B:$B,$A153,'Source 2026'!$A:$A,"Amount (NIS)")</f>
        <v>1968.5</v>
      </c>
      <c r="J153" s="9" t="n">
        <f aca="false">I153*$J$5</f>
        <v>2486.52631578947</v>
      </c>
      <c r="K153" s="9" t="n">
        <f aca="false">J153-H153</f>
        <v>616.226315789474</v>
      </c>
      <c r="L153" s="11" t="n">
        <f aca="false">IF(AND(H153=0,J153=0),0,IF(H153=0,"New",(J153-H153)/H153))</f>
        <v>0.329479931449219</v>
      </c>
    </row>
    <row r="154" customFormat="false" ht="15" hidden="false" customHeight="true" outlineLevel="0" collapsed="false">
      <c r="A154" s="8" t="s">
        <v>224</v>
      </c>
      <c r="B154" s="8" t="str">
        <f aca="false">IFERROR(INDEX('Source 2026'!$C:$C,MATCH($A154,'Source 2026'!$B:$B,0)),IFERROR(INDEX('Source 2025'!$C:$C,MATCH($A154,'Source 2025'!$B:$B,0)),""))</f>
        <v>S מגן שוק</v>
      </c>
      <c r="C154" s="9" t="n">
        <f aca="false">SUMIFS('Source 2025'!$K:$K,'Source 2025'!$B:$B,$A154,'Source 2025'!$A:$A,"Quantity (units)")+SUMIFS('Source 2025'!$O:$O,'Source 2025'!$B:$B,$A154,'Source 2025'!$A:$A,"Quantity (units)")+SUMIFS('Source 2025'!$R:$R,'Source 2025'!$B:$B,$A154,'Source 2025'!$A:$A,"Quantity (units)")+SUMIFS('Source 2025'!$P:$P,'Source 2025'!$B:$B,$A154,'Source 2025'!$A:$A,"Quantity (units)")+SUMIFS('Source 2025'!$J:$J,'Source 2025'!$B:$B,$A154,'Source 2025'!$A:$A,"Quantity (units)")+SUMIFS('Source 2025'!$L:$L,'Source 2025'!$B:$B,$A154,'Source 2025'!$A:$A,"Quantity (units)")</f>
        <v>0</v>
      </c>
      <c r="D154" s="9" t="n">
        <f aca="false">SUMIFS('Source 2026'!$K:$K,'Source 2026'!$B:$B,$A154,'Source 2026'!$A:$A,"Quantity (units)")+SUMIFS('Source 2026'!$O:$O,'Source 2026'!$B:$B,$A154,'Source 2026'!$A:$A,"Quantity (units)")+SUMIFS('Source 2026'!$R:$R,'Source 2026'!$B:$B,$A154,'Source 2026'!$A:$A,"Quantity (units)")+SUMIFS('Source 2026'!$P:$P,'Source 2026'!$B:$B,$A154,'Source 2026'!$A:$A,"Quantity (units)")+SUMIFS('Source 2026'!$J:$J,'Source 2026'!$B:$B,$A154,'Source 2026'!$A:$A,"Quantity (units)")+SUMIFS('Source 2026'!$L:$L,'Source 2026'!$B:$B,$A154,'Source 2026'!$A:$A,"Quantity (units)")</f>
        <v>1</v>
      </c>
      <c r="E154" s="9" t="n">
        <f aca="false">D154*$J$5</f>
        <v>1.26315789473684</v>
      </c>
      <c r="F154" s="9" t="n">
        <f aca="false">E154-C154</f>
        <v>1.26315789473684</v>
      </c>
      <c r="G154" s="11" t="str">
        <f aca="false">IF(AND(C154=0,E154=0),0,IF(C154=0,"New",(E154-C154)/C154))</f>
        <v>New</v>
      </c>
      <c r="H154" s="9" t="n">
        <f aca="false">SUMIFS('Source 2025'!$K:$K,'Source 2025'!$B:$B,$A154,'Source 2025'!$A:$A,"Amount (NIS)")+SUMIFS('Source 2025'!$O:$O,'Source 2025'!$B:$B,$A154,'Source 2025'!$A:$A,"Amount (NIS)")+SUMIFS('Source 2025'!$R:$R,'Source 2025'!$B:$B,$A154,'Source 2025'!$A:$A,"Amount (NIS)")+SUMIFS('Source 2025'!$P:$P,'Source 2025'!$B:$B,$A154,'Source 2025'!$A:$A,"Amount (NIS)")+SUMIFS('Source 2025'!$J:$J,'Source 2025'!$B:$B,$A154,'Source 2025'!$A:$A,"Amount (NIS)")+SUMIFS('Source 2025'!$L:$L,'Source 2025'!$B:$B,$A154,'Source 2025'!$A:$A,"Amount (NIS)")</f>
        <v>0</v>
      </c>
      <c r="I154" s="9" t="n">
        <f aca="false">SUMIFS('Source 2026'!$K:$K,'Source 2026'!$B:$B,$A154,'Source 2026'!$A:$A,"Amount (NIS)")+SUMIFS('Source 2026'!$O:$O,'Source 2026'!$B:$B,$A154,'Source 2026'!$A:$A,"Amount (NIS)")+SUMIFS('Source 2026'!$R:$R,'Source 2026'!$B:$B,$A154,'Source 2026'!$A:$A,"Amount (NIS)")+SUMIFS('Source 2026'!$P:$P,'Source 2026'!$B:$B,$A154,'Source 2026'!$A:$A,"Amount (NIS)")+SUMIFS('Source 2026'!$J:$J,'Source 2026'!$B:$B,$A154,'Source 2026'!$A:$A,"Amount (NIS)")+SUMIFS('Source 2026'!$L:$L,'Source 2026'!$B:$B,$A154,'Source 2026'!$A:$A,"Amount (NIS)")</f>
        <v>97</v>
      </c>
      <c r="J154" s="9" t="n">
        <f aca="false">I154*$J$5</f>
        <v>122.526315789474</v>
      </c>
      <c r="K154" s="9" t="n">
        <f aca="false">J154-H154</f>
        <v>122.526315789474</v>
      </c>
      <c r="L154" s="11" t="str">
        <f aca="false">IF(AND(H154=0,J154=0),0,IF(H154=0,"New",(J154-H154)/H154))</f>
        <v>New</v>
      </c>
    </row>
    <row r="155" customFormat="false" ht="15" hidden="false" customHeight="true" outlineLevel="0" collapsed="false">
      <c r="A155" s="8" t="s">
        <v>135</v>
      </c>
      <c r="B155" s="8" t="str">
        <f aca="false">IFERROR(INDEX('Source 2026'!$C:$C,MATCH($A155,'Source 2026'!$B:$B,0)),IFERROR(INDEX('Source 2025'!$C:$C,MATCH($A155,'Source 2025'!$B:$B,0)),""))</f>
        <v>סד לש.כף יד ימין</v>
      </c>
      <c r="C155" s="9" t="n">
        <f aca="false">SUMIFS('Source 2025'!$K:$K,'Source 2025'!$B:$B,$A155,'Source 2025'!$A:$A,"Quantity (units)")+SUMIFS('Source 2025'!$O:$O,'Source 2025'!$B:$B,$A155,'Source 2025'!$A:$A,"Quantity (units)")+SUMIFS('Source 2025'!$R:$R,'Source 2025'!$B:$B,$A155,'Source 2025'!$A:$A,"Quantity (units)")+SUMIFS('Source 2025'!$P:$P,'Source 2025'!$B:$B,$A155,'Source 2025'!$A:$A,"Quantity (units)")+SUMIFS('Source 2025'!$J:$J,'Source 2025'!$B:$B,$A155,'Source 2025'!$A:$A,"Quantity (units)")+SUMIFS('Source 2025'!$L:$L,'Source 2025'!$B:$B,$A155,'Source 2025'!$A:$A,"Quantity (units)")</f>
        <v>24</v>
      </c>
      <c r="D155" s="9" t="n">
        <f aca="false">SUMIFS('Source 2026'!$K:$K,'Source 2026'!$B:$B,$A155,'Source 2026'!$A:$A,"Quantity (units)")+SUMIFS('Source 2026'!$O:$O,'Source 2026'!$B:$B,$A155,'Source 2026'!$A:$A,"Quantity (units)")+SUMIFS('Source 2026'!$R:$R,'Source 2026'!$B:$B,$A155,'Source 2026'!$A:$A,"Quantity (units)")+SUMIFS('Source 2026'!$P:$P,'Source 2026'!$B:$B,$A155,'Source 2026'!$A:$A,"Quantity (units)")+SUMIFS('Source 2026'!$J:$J,'Source 2026'!$B:$B,$A155,'Source 2026'!$A:$A,"Quantity (units)")+SUMIFS('Source 2026'!$L:$L,'Source 2026'!$B:$B,$A155,'Source 2026'!$A:$A,"Quantity (units)")</f>
        <v>26</v>
      </c>
      <c r="E155" s="9" t="n">
        <f aca="false">D155*$J$5</f>
        <v>32.8421052631579</v>
      </c>
      <c r="F155" s="9" t="n">
        <f aca="false">E155-C155</f>
        <v>8.84210526315789</v>
      </c>
      <c r="G155" s="11" t="n">
        <f aca="false">IF(AND(C155=0,E155=0),0,IF(C155=0,"New",(E155-C155)/C155))</f>
        <v>0.368421052631579</v>
      </c>
      <c r="H155" s="9" t="n">
        <f aca="false">SUMIFS('Source 2025'!$K:$K,'Source 2025'!$B:$B,$A155,'Source 2025'!$A:$A,"Amount (NIS)")+SUMIFS('Source 2025'!$O:$O,'Source 2025'!$B:$B,$A155,'Source 2025'!$A:$A,"Amount (NIS)")+SUMIFS('Source 2025'!$R:$R,'Source 2025'!$B:$B,$A155,'Source 2025'!$A:$A,"Amount (NIS)")+SUMIFS('Source 2025'!$P:$P,'Source 2025'!$B:$B,$A155,'Source 2025'!$A:$A,"Amount (NIS)")+SUMIFS('Source 2025'!$J:$J,'Source 2025'!$B:$B,$A155,'Source 2025'!$A:$A,"Amount (NIS)")+SUMIFS('Source 2025'!$L:$L,'Source 2025'!$B:$B,$A155,'Source 2025'!$A:$A,"Amount (NIS)")</f>
        <v>822.5</v>
      </c>
      <c r="I155" s="9" t="n">
        <f aca="false">SUMIFS('Source 2026'!$K:$K,'Source 2026'!$B:$B,$A155,'Source 2026'!$A:$A,"Amount (NIS)")+SUMIFS('Source 2026'!$O:$O,'Source 2026'!$B:$B,$A155,'Source 2026'!$A:$A,"Amount (NIS)")+SUMIFS('Source 2026'!$R:$R,'Source 2026'!$B:$B,$A155,'Source 2026'!$A:$A,"Amount (NIS)")+SUMIFS('Source 2026'!$P:$P,'Source 2026'!$B:$B,$A155,'Source 2026'!$A:$A,"Amount (NIS)")+SUMIFS('Source 2026'!$J:$J,'Source 2026'!$B:$B,$A155,'Source 2026'!$A:$A,"Amount (NIS)")+SUMIFS('Source 2026'!$L:$L,'Source 2026'!$B:$B,$A155,'Source 2026'!$A:$A,"Amount (NIS)")</f>
        <v>901.9</v>
      </c>
      <c r="J155" s="9" t="n">
        <f aca="false">I155*$J$5</f>
        <v>1139.24210526316</v>
      </c>
      <c r="K155" s="9" t="n">
        <f aca="false">J155-H155</f>
        <v>316.742105263158</v>
      </c>
      <c r="L155" s="11" t="n">
        <f aca="false">IF(AND(H155=0,J155=0),0,IF(H155=0,"New",(J155-H155)/H155))</f>
        <v>0.385096784514477</v>
      </c>
    </row>
    <row r="156" customFormat="false" ht="15" hidden="false" customHeight="true" outlineLevel="0" collapsed="false">
      <c r="A156" s="8" t="s">
        <v>263</v>
      </c>
      <c r="B156" s="8" t="str">
        <f aca="false">IFERROR(INDEX('Source 2026'!$C:$C,MATCH($A156,'Source 2026'!$B:$B,0)),IFERROR(INDEX('Source 2025'!$C:$C,MATCH($A156,'Source 2025'!$B:$B,0)),""))</f>
        <v>גרבי כסף לסכרת מידה</v>
      </c>
      <c r="C156" s="9" t="n">
        <f aca="false">SUMIFS('Source 2025'!$K:$K,'Source 2025'!$B:$B,$A156,'Source 2025'!$A:$A,"Quantity (units)")+SUMIFS('Source 2025'!$O:$O,'Source 2025'!$B:$B,$A156,'Source 2025'!$A:$A,"Quantity (units)")+SUMIFS('Source 2025'!$R:$R,'Source 2025'!$B:$B,$A156,'Source 2025'!$A:$A,"Quantity (units)")+SUMIFS('Source 2025'!$P:$P,'Source 2025'!$B:$B,$A156,'Source 2025'!$A:$A,"Quantity (units)")+SUMIFS('Source 2025'!$J:$J,'Source 2025'!$B:$B,$A156,'Source 2025'!$A:$A,"Quantity (units)")+SUMIFS('Source 2025'!$L:$L,'Source 2025'!$B:$B,$A156,'Source 2025'!$A:$A,"Quantity (units)")</f>
        <v>3</v>
      </c>
      <c r="D156" s="9" t="n">
        <f aca="false">SUMIFS('Source 2026'!$K:$K,'Source 2026'!$B:$B,$A156,'Source 2026'!$A:$A,"Quantity (units)")+SUMIFS('Source 2026'!$O:$O,'Source 2026'!$B:$B,$A156,'Source 2026'!$A:$A,"Quantity (units)")+SUMIFS('Source 2026'!$R:$R,'Source 2026'!$B:$B,$A156,'Source 2026'!$A:$A,"Quantity (units)")+SUMIFS('Source 2026'!$P:$P,'Source 2026'!$B:$B,$A156,'Source 2026'!$A:$A,"Quantity (units)")+SUMIFS('Source 2026'!$J:$J,'Source 2026'!$B:$B,$A156,'Source 2026'!$A:$A,"Quantity (units)")+SUMIFS('Source 2026'!$L:$L,'Source 2026'!$B:$B,$A156,'Source 2026'!$A:$A,"Quantity (units)")</f>
        <v>0</v>
      </c>
      <c r="E156" s="9" t="n">
        <f aca="false">D156*$J$5</f>
        <v>0</v>
      </c>
      <c r="F156" s="9" t="n">
        <f aca="false">E156-C156</f>
        <v>-3</v>
      </c>
      <c r="G156" s="11" t="n">
        <f aca="false">IF(AND(C156=0,E156=0),0,IF(C156=0,"New",(E156-C156)/C156))</f>
        <v>-1</v>
      </c>
      <c r="H156" s="9" t="n">
        <f aca="false">SUMIFS('Source 2025'!$K:$K,'Source 2025'!$B:$B,$A156,'Source 2025'!$A:$A,"Amount (NIS)")+SUMIFS('Source 2025'!$O:$O,'Source 2025'!$B:$B,$A156,'Source 2025'!$A:$A,"Amount (NIS)")+SUMIFS('Source 2025'!$R:$R,'Source 2025'!$B:$B,$A156,'Source 2025'!$A:$A,"Amount (NIS)")+SUMIFS('Source 2025'!$P:$P,'Source 2025'!$B:$B,$A156,'Source 2025'!$A:$A,"Amount (NIS)")+SUMIFS('Source 2025'!$J:$J,'Source 2025'!$B:$B,$A156,'Source 2025'!$A:$A,"Amount (NIS)")+SUMIFS('Source 2025'!$L:$L,'Source 2025'!$B:$B,$A156,'Source 2025'!$A:$A,"Amount (NIS)")</f>
        <v>79</v>
      </c>
      <c r="I156" s="9" t="n">
        <f aca="false">SUMIFS('Source 2026'!$K:$K,'Source 2026'!$B:$B,$A156,'Source 2026'!$A:$A,"Amount (NIS)")+SUMIFS('Source 2026'!$O:$O,'Source 2026'!$B:$B,$A156,'Source 2026'!$A:$A,"Amount (NIS)")+SUMIFS('Source 2026'!$R:$R,'Source 2026'!$B:$B,$A156,'Source 2026'!$A:$A,"Amount (NIS)")+SUMIFS('Source 2026'!$P:$P,'Source 2026'!$B:$B,$A156,'Source 2026'!$A:$A,"Amount (NIS)")+SUMIFS('Source 2026'!$J:$J,'Source 2026'!$B:$B,$A156,'Source 2026'!$A:$A,"Amount (NIS)")+SUMIFS('Source 2026'!$L:$L,'Source 2026'!$B:$B,$A156,'Source 2026'!$A:$A,"Amount (NIS)")</f>
        <v>0</v>
      </c>
      <c r="J156" s="9" t="n">
        <f aca="false">I156*$J$5</f>
        <v>0</v>
      </c>
      <c r="K156" s="9" t="n">
        <f aca="false">J156-H156</f>
        <v>-79</v>
      </c>
      <c r="L156" s="11" t="n">
        <f aca="false">IF(AND(H156=0,J156=0),0,IF(H156=0,"New",(J156-H156)/H156))</f>
        <v>-1</v>
      </c>
    </row>
    <row r="157" customFormat="false" ht="15" hidden="false" customHeight="true" outlineLevel="0" collapsed="false">
      <c r="A157" s="8" t="s">
        <v>307</v>
      </c>
      <c r="B157" s="8" t="str">
        <f aca="false">IFERROR(INDEX('Source 2026'!$C:$C,MATCH($A157,'Source 2026'!$B:$B,0)),IFERROR(INDEX('Source 2025'!$C:$C,MATCH($A157,'Source 2025'!$B:$B,0)),""))</f>
        <v>בקט.לנעל120</v>
      </c>
      <c r="C157" s="9" t="n">
        <f aca="false">SUMIFS('Source 2025'!$K:$K,'Source 2025'!$B:$B,$A157,'Source 2025'!$A:$A,"Quantity (units)")+SUMIFS('Source 2025'!$O:$O,'Source 2025'!$B:$B,$A157,'Source 2025'!$A:$A,"Quantity (units)")+SUMIFS('Source 2025'!$R:$R,'Source 2025'!$B:$B,$A157,'Source 2025'!$A:$A,"Quantity (units)")+SUMIFS('Source 2025'!$P:$P,'Source 2025'!$B:$B,$A157,'Source 2025'!$A:$A,"Quantity (units)")+SUMIFS('Source 2025'!$J:$J,'Source 2025'!$B:$B,$A157,'Source 2025'!$A:$A,"Quantity (units)")+SUMIFS('Source 2025'!$L:$L,'Source 2025'!$B:$B,$A157,'Source 2025'!$A:$A,"Quantity (units)")</f>
        <v>3</v>
      </c>
      <c r="D157" s="9" t="n">
        <f aca="false">SUMIFS('Source 2026'!$K:$K,'Source 2026'!$B:$B,$A157,'Source 2026'!$A:$A,"Quantity (units)")+SUMIFS('Source 2026'!$O:$O,'Source 2026'!$B:$B,$A157,'Source 2026'!$A:$A,"Quantity (units)")+SUMIFS('Source 2026'!$R:$R,'Source 2026'!$B:$B,$A157,'Source 2026'!$A:$A,"Quantity (units)")+SUMIFS('Source 2026'!$P:$P,'Source 2026'!$B:$B,$A157,'Source 2026'!$A:$A,"Quantity (units)")+SUMIFS('Source 2026'!$J:$J,'Source 2026'!$B:$B,$A157,'Source 2026'!$A:$A,"Quantity (units)")+SUMIFS('Source 2026'!$L:$L,'Source 2026'!$B:$B,$A157,'Source 2026'!$A:$A,"Quantity (units)")</f>
        <v>0</v>
      </c>
      <c r="E157" s="9" t="n">
        <f aca="false">D157*$J$5</f>
        <v>0</v>
      </c>
      <c r="F157" s="9" t="n">
        <f aca="false">E157-C157</f>
        <v>-3</v>
      </c>
      <c r="G157" s="11" t="n">
        <f aca="false">IF(AND(C157=0,E157=0),0,IF(C157=0,"New",(E157-C157)/C157))</f>
        <v>-1</v>
      </c>
      <c r="H157" s="9" t="n">
        <f aca="false">SUMIFS('Source 2025'!$K:$K,'Source 2025'!$B:$B,$A157,'Source 2025'!$A:$A,"Amount (NIS)")+SUMIFS('Source 2025'!$O:$O,'Source 2025'!$B:$B,$A157,'Source 2025'!$A:$A,"Amount (NIS)")+SUMIFS('Source 2025'!$R:$R,'Source 2025'!$B:$B,$A157,'Source 2025'!$A:$A,"Amount (NIS)")+SUMIFS('Source 2025'!$P:$P,'Source 2025'!$B:$B,$A157,'Source 2025'!$A:$A,"Amount (NIS)")+SUMIFS('Source 2025'!$J:$J,'Source 2025'!$B:$B,$A157,'Source 2025'!$A:$A,"Amount (NIS)")+SUMIFS('Source 2025'!$L:$L,'Source 2025'!$B:$B,$A157,'Source 2025'!$A:$A,"Amount (NIS)")</f>
        <v>76.1</v>
      </c>
      <c r="I157" s="9" t="n">
        <f aca="false">SUMIFS('Source 2026'!$K:$K,'Source 2026'!$B:$B,$A157,'Source 2026'!$A:$A,"Amount (NIS)")+SUMIFS('Source 2026'!$O:$O,'Source 2026'!$B:$B,$A157,'Source 2026'!$A:$A,"Amount (NIS)")+SUMIFS('Source 2026'!$R:$R,'Source 2026'!$B:$B,$A157,'Source 2026'!$A:$A,"Amount (NIS)")+SUMIFS('Source 2026'!$P:$P,'Source 2026'!$B:$B,$A157,'Source 2026'!$A:$A,"Amount (NIS)")+SUMIFS('Source 2026'!$J:$J,'Source 2026'!$B:$B,$A157,'Source 2026'!$A:$A,"Amount (NIS)")+SUMIFS('Source 2026'!$L:$L,'Source 2026'!$B:$B,$A157,'Source 2026'!$A:$A,"Amount (NIS)")</f>
        <v>0</v>
      </c>
      <c r="J157" s="9" t="n">
        <f aca="false">I157*$J$5</f>
        <v>0</v>
      </c>
      <c r="K157" s="9" t="n">
        <f aca="false">J157-H157</f>
        <v>-76.1</v>
      </c>
      <c r="L157" s="11" t="n">
        <f aca="false">IF(AND(H157=0,J157=0),0,IF(H157=0,"New",(J157-H157)/H157))</f>
        <v>-1</v>
      </c>
    </row>
    <row r="158" customFormat="false" ht="15" hidden="false" customHeight="true" outlineLevel="0" collapsed="false">
      <c r="A158" s="8" t="s">
        <v>225</v>
      </c>
      <c r="B158" s="8" t="str">
        <f aca="false">IFERROR(INDEX('Source 2026'!$C:$C,MATCH($A158,'Source 2026'!$B:$B,0)),IFERROR(INDEX('Source 2025'!$C:$C,MATCH($A158,'Source 2025'!$B:$B,0)),""))</f>
        <v>ריפוד סיליק.לעקב תחתון</v>
      </c>
      <c r="C158" s="9" t="n">
        <f aca="false">SUMIFS('Source 2025'!$K:$K,'Source 2025'!$B:$B,$A158,'Source 2025'!$A:$A,"Quantity (units)")+SUMIFS('Source 2025'!$O:$O,'Source 2025'!$B:$B,$A158,'Source 2025'!$A:$A,"Quantity (units)")+SUMIFS('Source 2025'!$R:$R,'Source 2025'!$B:$B,$A158,'Source 2025'!$A:$A,"Quantity (units)")+SUMIFS('Source 2025'!$P:$P,'Source 2025'!$B:$B,$A158,'Source 2025'!$A:$A,"Quantity (units)")+SUMIFS('Source 2025'!$J:$J,'Source 2025'!$B:$B,$A158,'Source 2025'!$A:$A,"Quantity (units)")+SUMIFS('Source 2025'!$L:$L,'Source 2025'!$B:$B,$A158,'Source 2025'!$A:$A,"Quantity (units)")</f>
        <v>41</v>
      </c>
      <c r="D158" s="9" t="n">
        <f aca="false">SUMIFS('Source 2026'!$K:$K,'Source 2026'!$B:$B,$A158,'Source 2026'!$A:$A,"Quantity (units)")+SUMIFS('Source 2026'!$O:$O,'Source 2026'!$B:$B,$A158,'Source 2026'!$A:$A,"Quantity (units)")+SUMIFS('Source 2026'!$R:$R,'Source 2026'!$B:$B,$A158,'Source 2026'!$A:$A,"Quantity (units)")+SUMIFS('Source 2026'!$P:$P,'Source 2026'!$B:$B,$A158,'Source 2026'!$A:$A,"Quantity (units)")+SUMIFS('Source 2026'!$J:$J,'Source 2026'!$B:$B,$A158,'Source 2026'!$A:$A,"Quantity (units)")+SUMIFS('Source 2026'!$L:$L,'Source 2026'!$B:$B,$A158,'Source 2026'!$A:$A,"Quantity (units)")</f>
        <v>44</v>
      </c>
      <c r="E158" s="9" t="n">
        <f aca="false">D158*$J$5</f>
        <v>55.5789473684211</v>
      </c>
      <c r="F158" s="9" t="n">
        <f aca="false">E158-C158</f>
        <v>14.578947368421</v>
      </c>
      <c r="G158" s="11" t="n">
        <f aca="false">IF(AND(C158=0,E158=0),0,IF(C158=0,"New",(E158-C158)/C158))</f>
        <v>0.355584082156611</v>
      </c>
      <c r="H158" s="9" t="n">
        <f aca="false">SUMIFS('Source 2025'!$K:$K,'Source 2025'!$B:$B,$A158,'Source 2025'!$A:$A,"Amount (NIS)")+SUMIFS('Source 2025'!$O:$O,'Source 2025'!$B:$B,$A158,'Source 2025'!$A:$A,"Amount (NIS)")+SUMIFS('Source 2025'!$R:$R,'Source 2025'!$B:$B,$A158,'Source 2025'!$A:$A,"Amount (NIS)")+SUMIFS('Source 2025'!$P:$P,'Source 2025'!$B:$B,$A158,'Source 2025'!$A:$A,"Amount (NIS)")+SUMIFS('Source 2025'!$J:$J,'Source 2025'!$B:$B,$A158,'Source 2025'!$A:$A,"Amount (NIS)")+SUMIFS('Source 2025'!$L:$L,'Source 2025'!$B:$B,$A158,'Source 2025'!$A:$A,"Amount (NIS)")</f>
        <v>869.5</v>
      </c>
      <c r="I158" s="9" t="n">
        <f aca="false">SUMIFS('Source 2026'!$K:$K,'Source 2026'!$B:$B,$A158,'Source 2026'!$A:$A,"Amount (NIS)")+SUMIFS('Source 2026'!$O:$O,'Source 2026'!$B:$B,$A158,'Source 2026'!$A:$A,"Amount (NIS)")+SUMIFS('Source 2026'!$R:$R,'Source 2026'!$B:$B,$A158,'Source 2026'!$A:$A,"Amount (NIS)")+SUMIFS('Source 2026'!$P:$P,'Source 2026'!$B:$B,$A158,'Source 2026'!$A:$A,"Amount (NIS)")+SUMIFS('Source 2026'!$J:$J,'Source 2026'!$B:$B,$A158,'Source 2026'!$A:$A,"Amount (NIS)")+SUMIFS('Source 2026'!$L:$L,'Source 2026'!$B:$B,$A158,'Source 2026'!$A:$A,"Amount (NIS)")</f>
        <v>940.6</v>
      </c>
      <c r="J158" s="9" t="n">
        <f aca="false">I158*$J$5</f>
        <v>1188.12631578947</v>
      </c>
      <c r="K158" s="9" t="n">
        <f aca="false">J158-H158</f>
        <v>318.626315789474</v>
      </c>
      <c r="L158" s="11" t="n">
        <f aca="false">IF(AND(H158=0,J158=0),0,IF(H158=0,"New",(J158-H158)/H158))</f>
        <v>0.3664477467389</v>
      </c>
    </row>
    <row r="159" customFormat="false" ht="15" hidden="false" customHeight="true" outlineLevel="0" collapsed="false">
      <c r="A159" s="8" t="s">
        <v>118</v>
      </c>
      <c r="B159" s="8" t="str">
        <f aca="false">IFERROR(INDEX('Source 2026'!$C:$C,MATCH($A159,'Source 2026'!$B:$B,0)),IFERROR(INDEX('Source 2025'!$C:$C,MATCH($A159,'Source 2025'!$B:$B,0)),""))</f>
        <v>טייפ קינזיולוגי</v>
      </c>
      <c r="C159" s="9" t="n">
        <f aca="false">SUMIFS('Source 2025'!$K:$K,'Source 2025'!$B:$B,$A159,'Source 2025'!$A:$A,"Quantity (units)")+SUMIFS('Source 2025'!$O:$O,'Source 2025'!$B:$B,$A159,'Source 2025'!$A:$A,"Quantity (units)")+SUMIFS('Source 2025'!$R:$R,'Source 2025'!$B:$B,$A159,'Source 2025'!$A:$A,"Quantity (units)")+SUMIFS('Source 2025'!$P:$P,'Source 2025'!$B:$B,$A159,'Source 2025'!$A:$A,"Quantity (units)")+SUMIFS('Source 2025'!$J:$J,'Source 2025'!$B:$B,$A159,'Source 2025'!$A:$A,"Quantity (units)")+SUMIFS('Source 2025'!$L:$L,'Source 2025'!$B:$B,$A159,'Source 2025'!$A:$A,"Quantity (units)")</f>
        <v>-1</v>
      </c>
      <c r="D159" s="9" t="n">
        <f aca="false">SUMIFS('Source 2026'!$K:$K,'Source 2026'!$B:$B,$A159,'Source 2026'!$A:$A,"Quantity (units)")+SUMIFS('Source 2026'!$O:$O,'Source 2026'!$B:$B,$A159,'Source 2026'!$A:$A,"Quantity (units)")+SUMIFS('Source 2026'!$R:$R,'Source 2026'!$B:$B,$A159,'Source 2026'!$A:$A,"Quantity (units)")+SUMIFS('Source 2026'!$P:$P,'Source 2026'!$B:$B,$A159,'Source 2026'!$A:$A,"Quantity (units)")+SUMIFS('Source 2026'!$J:$J,'Source 2026'!$B:$B,$A159,'Source 2026'!$A:$A,"Quantity (units)")+SUMIFS('Source 2026'!$L:$L,'Source 2026'!$B:$B,$A159,'Source 2026'!$A:$A,"Quantity (units)")</f>
        <v>0</v>
      </c>
      <c r="E159" s="9" t="n">
        <f aca="false">D159*$J$5</f>
        <v>0</v>
      </c>
      <c r="F159" s="9" t="n">
        <f aca="false">E159-C159</f>
        <v>1</v>
      </c>
      <c r="G159" s="11" t="n">
        <f aca="false">IF(AND(C159=0,E159=0),0,IF(C159=0,"New",(E159-C159)/C159))</f>
        <v>-1</v>
      </c>
      <c r="H159" s="9" t="n">
        <f aca="false">SUMIFS('Source 2025'!$K:$K,'Source 2025'!$B:$B,$A159,'Source 2025'!$A:$A,"Amount (NIS)")+SUMIFS('Source 2025'!$O:$O,'Source 2025'!$B:$B,$A159,'Source 2025'!$A:$A,"Amount (NIS)")+SUMIFS('Source 2025'!$R:$R,'Source 2025'!$B:$B,$A159,'Source 2025'!$A:$A,"Amount (NIS)")+SUMIFS('Source 2025'!$P:$P,'Source 2025'!$B:$B,$A159,'Source 2025'!$A:$A,"Amount (NIS)")+SUMIFS('Source 2025'!$J:$J,'Source 2025'!$B:$B,$A159,'Source 2025'!$A:$A,"Amount (NIS)")+SUMIFS('Source 2025'!$L:$L,'Source 2025'!$B:$B,$A159,'Source 2025'!$A:$A,"Amount (NIS)")</f>
        <v>-63.1</v>
      </c>
      <c r="I159" s="9" t="n">
        <f aca="false">SUMIFS('Source 2026'!$K:$K,'Source 2026'!$B:$B,$A159,'Source 2026'!$A:$A,"Amount (NIS)")+SUMIFS('Source 2026'!$O:$O,'Source 2026'!$B:$B,$A159,'Source 2026'!$A:$A,"Amount (NIS)")+SUMIFS('Source 2026'!$R:$R,'Source 2026'!$B:$B,$A159,'Source 2026'!$A:$A,"Amount (NIS)")+SUMIFS('Source 2026'!$P:$P,'Source 2026'!$B:$B,$A159,'Source 2026'!$A:$A,"Amount (NIS)")+SUMIFS('Source 2026'!$J:$J,'Source 2026'!$B:$B,$A159,'Source 2026'!$A:$A,"Amount (NIS)")+SUMIFS('Source 2026'!$L:$L,'Source 2026'!$B:$B,$A159,'Source 2026'!$A:$A,"Amount (NIS)")</f>
        <v>0</v>
      </c>
      <c r="J159" s="9" t="n">
        <f aca="false">I159*$J$5</f>
        <v>0</v>
      </c>
      <c r="K159" s="9" t="n">
        <f aca="false">J159-H159</f>
        <v>63.1</v>
      </c>
      <c r="L159" s="11" t="n">
        <f aca="false">IF(AND(H159=0,J159=0),0,IF(H159=0,"New",(J159-H159)/H159))</f>
        <v>-1</v>
      </c>
    </row>
    <row r="160" customFormat="false" ht="15" hidden="false" customHeight="true" outlineLevel="0" collapsed="false">
      <c r="A160" s="8" t="s">
        <v>177</v>
      </c>
      <c r="B160" s="8" t="str">
        <f aca="false">IFERROR(INDEX('Source 2026'!$C:$C,MATCH($A160,'Source 2026'!$B:$B,0)),IFERROR(INDEX('Source 2025'!$C:$C,MATCH($A160,'Source 2025'!$B:$B,0)),""))</f>
        <v>מתלה ליד לילדים</v>
      </c>
      <c r="C160" s="9" t="n">
        <f aca="false">SUMIFS('Source 2025'!$K:$K,'Source 2025'!$B:$B,$A160,'Source 2025'!$A:$A,"Quantity (units)")+SUMIFS('Source 2025'!$O:$O,'Source 2025'!$B:$B,$A160,'Source 2025'!$A:$A,"Quantity (units)")+SUMIFS('Source 2025'!$R:$R,'Source 2025'!$B:$B,$A160,'Source 2025'!$A:$A,"Quantity (units)")+SUMIFS('Source 2025'!$P:$P,'Source 2025'!$B:$B,$A160,'Source 2025'!$A:$A,"Quantity (units)")+SUMIFS('Source 2025'!$J:$J,'Source 2025'!$B:$B,$A160,'Source 2025'!$A:$A,"Quantity (units)")+SUMIFS('Source 2025'!$L:$L,'Source 2025'!$B:$B,$A160,'Source 2025'!$A:$A,"Quantity (units)")</f>
        <v>15</v>
      </c>
      <c r="D160" s="9" t="n">
        <f aca="false">SUMIFS('Source 2026'!$K:$K,'Source 2026'!$B:$B,$A160,'Source 2026'!$A:$A,"Quantity (units)")+SUMIFS('Source 2026'!$O:$O,'Source 2026'!$B:$B,$A160,'Source 2026'!$A:$A,"Quantity (units)")+SUMIFS('Source 2026'!$R:$R,'Source 2026'!$B:$B,$A160,'Source 2026'!$A:$A,"Quantity (units)")+SUMIFS('Source 2026'!$P:$P,'Source 2026'!$B:$B,$A160,'Source 2026'!$A:$A,"Quantity (units)")+SUMIFS('Source 2026'!$J:$J,'Source 2026'!$B:$B,$A160,'Source 2026'!$A:$A,"Quantity (units)")+SUMIFS('Source 2026'!$L:$L,'Source 2026'!$B:$B,$A160,'Source 2026'!$A:$A,"Quantity (units)")</f>
        <v>16</v>
      </c>
      <c r="E160" s="9" t="n">
        <f aca="false">D160*$J$5</f>
        <v>20.2105263157895</v>
      </c>
      <c r="F160" s="9" t="n">
        <f aca="false">E160-C160</f>
        <v>5.21052631578947</v>
      </c>
      <c r="G160" s="11" t="n">
        <f aca="false">IF(AND(C160=0,E160=0),0,IF(C160=0,"New",(E160-C160)/C160))</f>
        <v>0.347368421052632</v>
      </c>
      <c r="H160" s="9" t="n">
        <f aca="false">SUMIFS('Source 2025'!$K:$K,'Source 2025'!$B:$B,$A160,'Source 2025'!$A:$A,"Amount (NIS)")+SUMIFS('Source 2025'!$O:$O,'Source 2025'!$B:$B,$A160,'Source 2025'!$A:$A,"Amount (NIS)")+SUMIFS('Source 2025'!$R:$R,'Source 2025'!$B:$B,$A160,'Source 2025'!$A:$A,"Amount (NIS)")+SUMIFS('Source 2025'!$P:$P,'Source 2025'!$B:$B,$A160,'Source 2025'!$A:$A,"Amount (NIS)")+SUMIFS('Source 2025'!$J:$J,'Source 2025'!$B:$B,$A160,'Source 2025'!$A:$A,"Amount (NIS)")+SUMIFS('Source 2025'!$L:$L,'Source 2025'!$B:$B,$A160,'Source 2025'!$A:$A,"Amount (NIS)")</f>
        <v>727.4</v>
      </c>
      <c r="I160" s="9" t="n">
        <f aca="false">SUMIFS('Source 2026'!$K:$K,'Source 2026'!$B:$B,$A160,'Source 2026'!$A:$A,"Amount (NIS)")+SUMIFS('Source 2026'!$O:$O,'Source 2026'!$B:$B,$A160,'Source 2026'!$A:$A,"Amount (NIS)")+SUMIFS('Source 2026'!$R:$R,'Source 2026'!$B:$B,$A160,'Source 2026'!$A:$A,"Amount (NIS)")+SUMIFS('Source 2026'!$P:$P,'Source 2026'!$B:$B,$A160,'Source 2026'!$A:$A,"Amount (NIS)")+SUMIFS('Source 2026'!$J:$J,'Source 2026'!$B:$B,$A160,'Source 2026'!$A:$A,"Amount (NIS)")+SUMIFS('Source 2026'!$L:$L,'Source 2026'!$B:$B,$A160,'Source 2026'!$A:$A,"Amount (NIS)")</f>
        <v>775.9</v>
      </c>
      <c r="J160" s="9" t="n">
        <f aca="false">I160*$J$5</f>
        <v>980.084210526316</v>
      </c>
      <c r="K160" s="9" t="n">
        <f aca="false">J160-H160</f>
        <v>252.684210526316</v>
      </c>
      <c r="L160" s="11" t="n">
        <f aca="false">IF(AND(H160=0,J160=0),0,IF(H160=0,"New",(J160-H160)/H160))</f>
        <v>0.347379997974039</v>
      </c>
    </row>
    <row r="161" customFormat="false" ht="15" hidden="false" customHeight="true" outlineLevel="0" collapsed="false">
      <c r="A161" s="8" t="s">
        <v>119</v>
      </c>
      <c r="B161" s="8" t="str">
        <f aca="false">IFERROR(INDEX('Source 2026'!$C:$C,MATCH($A161,'Source 2026'!$B:$B,0)),IFERROR(INDEX('Source 2025'!$C:$C,MATCH($A161,'Source 2025'!$B:$B,0)),""))</f>
        <v>סד לאגודל</v>
      </c>
      <c r="C161" s="9" t="n">
        <f aca="false">SUMIFS('Source 2025'!$K:$K,'Source 2025'!$B:$B,$A161,'Source 2025'!$A:$A,"Quantity (units)")+SUMIFS('Source 2025'!$O:$O,'Source 2025'!$B:$B,$A161,'Source 2025'!$A:$A,"Quantity (units)")+SUMIFS('Source 2025'!$R:$R,'Source 2025'!$B:$B,$A161,'Source 2025'!$A:$A,"Quantity (units)")+SUMIFS('Source 2025'!$P:$P,'Source 2025'!$B:$B,$A161,'Source 2025'!$A:$A,"Quantity (units)")+SUMIFS('Source 2025'!$J:$J,'Source 2025'!$B:$B,$A161,'Source 2025'!$A:$A,"Quantity (units)")+SUMIFS('Source 2025'!$L:$L,'Source 2025'!$B:$B,$A161,'Source 2025'!$A:$A,"Quantity (units)")</f>
        <v>47</v>
      </c>
      <c r="D161" s="9" t="n">
        <f aca="false">SUMIFS('Source 2026'!$K:$K,'Source 2026'!$B:$B,$A161,'Source 2026'!$A:$A,"Quantity (units)")+SUMIFS('Source 2026'!$O:$O,'Source 2026'!$B:$B,$A161,'Source 2026'!$A:$A,"Quantity (units)")+SUMIFS('Source 2026'!$R:$R,'Source 2026'!$B:$B,$A161,'Source 2026'!$A:$A,"Quantity (units)")+SUMIFS('Source 2026'!$P:$P,'Source 2026'!$B:$B,$A161,'Source 2026'!$A:$A,"Quantity (units)")+SUMIFS('Source 2026'!$J:$J,'Source 2026'!$B:$B,$A161,'Source 2026'!$A:$A,"Quantity (units)")+SUMIFS('Source 2026'!$L:$L,'Source 2026'!$B:$B,$A161,'Source 2026'!$A:$A,"Quantity (units)")</f>
        <v>45</v>
      </c>
      <c r="E161" s="9" t="n">
        <f aca="false">D161*$J$5</f>
        <v>56.8421052631579</v>
      </c>
      <c r="F161" s="9" t="n">
        <f aca="false">E161-C161</f>
        <v>9.84210526315789</v>
      </c>
      <c r="G161" s="11" t="n">
        <f aca="false">IF(AND(C161=0,E161=0),0,IF(C161=0,"New",(E161-C161)/C161))</f>
        <v>0.209406494960806</v>
      </c>
      <c r="H161" s="9" t="n">
        <f aca="false">SUMIFS('Source 2025'!$K:$K,'Source 2025'!$B:$B,$A161,'Source 2025'!$A:$A,"Amount (NIS)")+SUMIFS('Source 2025'!$O:$O,'Source 2025'!$B:$B,$A161,'Source 2025'!$A:$A,"Amount (NIS)")+SUMIFS('Source 2025'!$R:$R,'Source 2025'!$B:$B,$A161,'Source 2025'!$A:$A,"Amount (NIS)")+SUMIFS('Source 2025'!$P:$P,'Source 2025'!$B:$B,$A161,'Source 2025'!$A:$A,"Amount (NIS)")+SUMIFS('Source 2025'!$J:$J,'Source 2025'!$B:$B,$A161,'Source 2025'!$A:$A,"Amount (NIS)")+SUMIFS('Source 2025'!$L:$L,'Source 2025'!$B:$B,$A161,'Source 2025'!$A:$A,"Amount (NIS)")</f>
        <v>1130.8</v>
      </c>
      <c r="I161" s="9" t="n">
        <f aca="false">SUMIFS('Source 2026'!$K:$K,'Source 2026'!$B:$B,$A161,'Source 2026'!$A:$A,"Amount (NIS)")+SUMIFS('Source 2026'!$O:$O,'Source 2026'!$B:$B,$A161,'Source 2026'!$A:$A,"Amount (NIS)")+SUMIFS('Source 2026'!$R:$R,'Source 2026'!$B:$B,$A161,'Source 2026'!$A:$A,"Amount (NIS)")+SUMIFS('Source 2026'!$P:$P,'Source 2026'!$B:$B,$A161,'Source 2026'!$A:$A,"Amount (NIS)")+SUMIFS('Source 2026'!$J:$J,'Source 2026'!$B:$B,$A161,'Source 2026'!$A:$A,"Amount (NIS)")+SUMIFS('Source 2026'!$L:$L,'Source 2026'!$B:$B,$A161,'Source 2026'!$A:$A,"Amount (NIS)")</f>
        <v>1082.7</v>
      </c>
      <c r="J161" s="9" t="n">
        <f aca="false">I161*$J$5</f>
        <v>1367.62105263158</v>
      </c>
      <c r="K161" s="9" t="n">
        <f aca="false">J161-H161</f>
        <v>236.821052631579</v>
      </c>
      <c r="L161" s="11" t="n">
        <f aca="false">IF(AND(H161=0,J161=0),0,IF(H161=0,"New",(J161-H161)/H161))</f>
        <v>0.209427885241934</v>
      </c>
    </row>
    <row r="162" customFormat="false" ht="15" hidden="false" customHeight="true" outlineLevel="0" collapsed="false">
      <c r="A162" s="8" t="s">
        <v>126</v>
      </c>
      <c r="B162" s="8" t="str">
        <f aca="false">IFERROR(INDEX('Source 2026'!$C:$C,MATCH($A162,'Source 2026'!$B:$B,0)),IFERROR(INDEX('Source 2025'!$C:$C,MATCH($A162,'Source 2025'!$B:$B,0)),""))</f>
        <v>טייפ קינזיולוגי</v>
      </c>
      <c r="C162" s="9" t="n">
        <f aca="false">SUMIFS('Source 2025'!$K:$K,'Source 2025'!$B:$B,$A162,'Source 2025'!$A:$A,"Quantity (units)")+SUMIFS('Source 2025'!$O:$O,'Source 2025'!$B:$B,$A162,'Source 2025'!$A:$A,"Quantity (units)")+SUMIFS('Source 2025'!$R:$R,'Source 2025'!$B:$B,$A162,'Source 2025'!$A:$A,"Quantity (units)")+SUMIFS('Source 2025'!$P:$P,'Source 2025'!$B:$B,$A162,'Source 2025'!$A:$A,"Quantity (units)")+SUMIFS('Source 2025'!$J:$J,'Source 2025'!$B:$B,$A162,'Source 2025'!$A:$A,"Quantity (units)")+SUMIFS('Source 2025'!$L:$L,'Source 2025'!$B:$B,$A162,'Source 2025'!$A:$A,"Quantity (units)")</f>
        <v>0</v>
      </c>
      <c r="D162" s="9" t="n">
        <f aca="false">SUMIFS('Source 2026'!$K:$K,'Source 2026'!$B:$B,$A162,'Source 2026'!$A:$A,"Quantity (units)")+SUMIFS('Source 2026'!$O:$O,'Source 2026'!$B:$B,$A162,'Source 2026'!$A:$A,"Quantity (units)")+SUMIFS('Source 2026'!$R:$R,'Source 2026'!$B:$B,$A162,'Source 2026'!$A:$A,"Quantity (units)")+SUMIFS('Source 2026'!$P:$P,'Source 2026'!$B:$B,$A162,'Source 2026'!$A:$A,"Quantity (units)")+SUMIFS('Source 2026'!$J:$J,'Source 2026'!$B:$B,$A162,'Source 2026'!$A:$A,"Quantity (units)")+SUMIFS('Source 2026'!$L:$L,'Source 2026'!$B:$B,$A162,'Source 2026'!$A:$A,"Quantity (units)")</f>
        <v>-1</v>
      </c>
      <c r="E162" s="9" t="n">
        <f aca="false">D162*$J$5</f>
        <v>-1.26315789473684</v>
      </c>
      <c r="F162" s="9" t="n">
        <f aca="false">E162-C162</f>
        <v>-1.26315789473684</v>
      </c>
      <c r="G162" s="11" t="str">
        <f aca="false">IF(AND(C162=0,E162=0),0,IF(C162=0,"New",(E162-C162)/C162))</f>
        <v>New</v>
      </c>
      <c r="H162" s="9" t="n">
        <f aca="false">SUMIFS('Source 2025'!$K:$K,'Source 2025'!$B:$B,$A162,'Source 2025'!$A:$A,"Amount (NIS)")+SUMIFS('Source 2025'!$O:$O,'Source 2025'!$B:$B,$A162,'Source 2025'!$A:$A,"Amount (NIS)")+SUMIFS('Source 2025'!$R:$R,'Source 2025'!$B:$B,$A162,'Source 2025'!$A:$A,"Amount (NIS)")+SUMIFS('Source 2025'!$P:$P,'Source 2025'!$B:$B,$A162,'Source 2025'!$A:$A,"Amount (NIS)")+SUMIFS('Source 2025'!$J:$J,'Source 2025'!$B:$B,$A162,'Source 2025'!$A:$A,"Amount (NIS)")+SUMIFS('Source 2025'!$L:$L,'Source 2025'!$B:$B,$A162,'Source 2025'!$A:$A,"Amount (NIS)")</f>
        <v>0</v>
      </c>
      <c r="I162" s="9" t="n">
        <f aca="false">SUMIFS('Source 2026'!$K:$K,'Source 2026'!$B:$B,$A162,'Source 2026'!$A:$A,"Amount (NIS)")+SUMIFS('Source 2026'!$O:$O,'Source 2026'!$B:$B,$A162,'Source 2026'!$A:$A,"Amount (NIS)")+SUMIFS('Source 2026'!$R:$R,'Source 2026'!$B:$B,$A162,'Source 2026'!$A:$A,"Amount (NIS)")+SUMIFS('Source 2026'!$P:$P,'Source 2026'!$B:$B,$A162,'Source 2026'!$A:$A,"Amount (NIS)")+SUMIFS('Source 2026'!$J:$J,'Source 2026'!$B:$B,$A162,'Source 2026'!$A:$A,"Amount (NIS)")+SUMIFS('Source 2026'!$L:$L,'Source 2026'!$B:$B,$A162,'Source 2026'!$A:$A,"Amount (NIS)")</f>
        <v>-44.1</v>
      </c>
      <c r="J162" s="9" t="n">
        <f aca="false">I162*$J$5</f>
        <v>-55.7052631578947</v>
      </c>
      <c r="K162" s="9" t="n">
        <f aca="false">J162-H162</f>
        <v>-55.7052631578947</v>
      </c>
      <c r="L162" s="11" t="str">
        <f aca="false">IF(AND(H162=0,J162=0),0,IF(H162=0,"New",(J162-H162)/H162))</f>
        <v>New</v>
      </c>
    </row>
    <row r="163" customFormat="false" ht="15" hidden="false" customHeight="true" outlineLevel="0" collapsed="false">
      <c r="A163" s="8" t="s">
        <v>282</v>
      </c>
      <c r="B163" s="8" t="str">
        <f aca="false">IFERROR(INDEX('Source 2026'!$C:$C,MATCH($A163,'Source 2026'!$B:$B,0)),IFERROR(INDEX('Source 2025'!$C:$C,MATCH($A163,'Source 2025'!$B:$B,0)),""))</f>
        <v>מיישר בוניון-האלוקס ולגוס</v>
      </c>
      <c r="C163" s="9" t="n">
        <f aca="false">SUMIFS('Source 2025'!$K:$K,'Source 2025'!$B:$B,$A163,'Source 2025'!$A:$A,"Quantity (units)")+SUMIFS('Source 2025'!$O:$O,'Source 2025'!$B:$B,$A163,'Source 2025'!$A:$A,"Quantity (units)")+SUMIFS('Source 2025'!$R:$R,'Source 2025'!$B:$B,$A163,'Source 2025'!$A:$A,"Quantity (units)")+SUMIFS('Source 2025'!$P:$P,'Source 2025'!$B:$B,$A163,'Source 2025'!$A:$A,"Quantity (units)")+SUMIFS('Source 2025'!$J:$J,'Source 2025'!$B:$B,$A163,'Source 2025'!$A:$A,"Quantity (units)")+SUMIFS('Source 2025'!$L:$L,'Source 2025'!$B:$B,$A163,'Source 2025'!$A:$A,"Quantity (units)")</f>
        <v>28</v>
      </c>
      <c r="D163" s="9" t="n">
        <f aca="false">SUMIFS('Source 2026'!$K:$K,'Source 2026'!$B:$B,$A163,'Source 2026'!$A:$A,"Quantity (units)")+SUMIFS('Source 2026'!$O:$O,'Source 2026'!$B:$B,$A163,'Source 2026'!$A:$A,"Quantity (units)")+SUMIFS('Source 2026'!$R:$R,'Source 2026'!$B:$B,$A163,'Source 2026'!$A:$A,"Quantity (units)")+SUMIFS('Source 2026'!$P:$P,'Source 2026'!$B:$B,$A163,'Source 2026'!$A:$A,"Quantity (units)")+SUMIFS('Source 2026'!$J:$J,'Source 2026'!$B:$B,$A163,'Source 2026'!$A:$A,"Quantity (units)")+SUMIFS('Source 2026'!$L:$L,'Source 2026'!$B:$B,$A163,'Source 2026'!$A:$A,"Quantity (units)")</f>
        <v>27</v>
      </c>
      <c r="E163" s="9" t="n">
        <f aca="false">D163*$J$5</f>
        <v>34.1052631578947</v>
      </c>
      <c r="F163" s="9" t="n">
        <f aca="false">E163-C163</f>
        <v>6.10526315789473</v>
      </c>
      <c r="G163" s="11" t="n">
        <f aca="false">IF(AND(C163=0,E163=0),0,IF(C163=0,"New",(E163-C163)/C163))</f>
        <v>0.218045112781955</v>
      </c>
      <c r="H163" s="9" t="n">
        <f aca="false">SUMIFS('Source 2025'!$K:$K,'Source 2025'!$B:$B,$A163,'Source 2025'!$A:$A,"Amount (NIS)")+SUMIFS('Source 2025'!$O:$O,'Source 2025'!$B:$B,$A163,'Source 2025'!$A:$A,"Amount (NIS)")+SUMIFS('Source 2025'!$R:$R,'Source 2025'!$B:$B,$A163,'Source 2025'!$A:$A,"Amount (NIS)")+SUMIFS('Source 2025'!$P:$P,'Source 2025'!$B:$B,$A163,'Source 2025'!$A:$A,"Amount (NIS)")+SUMIFS('Source 2025'!$J:$J,'Source 2025'!$B:$B,$A163,'Source 2025'!$A:$A,"Amount (NIS)")+SUMIFS('Source 2025'!$L:$L,'Source 2025'!$B:$B,$A163,'Source 2025'!$A:$A,"Amount (NIS)")</f>
        <v>1234.2</v>
      </c>
      <c r="I163" s="9" t="n">
        <f aca="false">SUMIFS('Source 2026'!$K:$K,'Source 2026'!$B:$B,$A163,'Source 2026'!$A:$A,"Amount (NIS)")+SUMIFS('Source 2026'!$O:$O,'Source 2026'!$B:$B,$A163,'Source 2026'!$A:$A,"Amount (NIS)")+SUMIFS('Source 2026'!$R:$R,'Source 2026'!$B:$B,$A163,'Source 2026'!$A:$A,"Amount (NIS)")+SUMIFS('Source 2026'!$P:$P,'Source 2026'!$B:$B,$A163,'Source 2026'!$A:$A,"Amount (NIS)")+SUMIFS('Source 2026'!$J:$J,'Source 2026'!$B:$B,$A163,'Source 2026'!$A:$A,"Amount (NIS)")+SUMIFS('Source 2026'!$L:$L,'Source 2026'!$B:$B,$A163,'Source 2026'!$A:$A,"Amount (NIS)")</f>
        <v>1190.2</v>
      </c>
      <c r="J163" s="9" t="n">
        <f aca="false">I163*$J$5</f>
        <v>1503.41052631579</v>
      </c>
      <c r="K163" s="9" t="n">
        <f aca="false">J163-H163</f>
        <v>269.210526315789</v>
      </c>
      <c r="L163" s="11" t="n">
        <f aca="false">IF(AND(H163=0,J163=0),0,IF(H163=0,"New",(J163-H163)/H163))</f>
        <v>0.218125527723051</v>
      </c>
    </row>
    <row r="164" customFormat="false" ht="15" hidden="false" customHeight="true" outlineLevel="0" collapsed="false">
      <c r="A164" s="8" t="s">
        <v>218</v>
      </c>
      <c r="B164" s="8" t="str">
        <f aca="false">IFERROR(INDEX('Source 2026'!$C:$C,MATCH($A164,'Source 2026'!$B:$B,0)),IFERROR(INDEX('Source 2025'!$C:$C,MATCH($A164,'Source 2025'!$B:$B,0)),""))</f>
        <v>מדרס מטטרזלי לנעלי עקב</v>
      </c>
      <c r="C164" s="9" t="n">
        <f aca="false">SUMIFS('Source 2025'!$K:$K,'Source 2025'!$B:$B,$A164,'Source 2025'!$A:$A,"Quantity (units)")+SUMIFS('Source 2025'!$O:$O,'Source 2025'!$B:$B,$A164,'Source 2025'!$A:$A,"Quantity (units)")+SUMIFS('Source 2025'!$R:$R,'Source 2025'!$B:$B,$A164,'Source 2025'!$A:$A,"Quantity (units)")+SUMIFS('Source 2025'!$P:$P,'Source 2025'!$B:$B,$A164,'Source 2025'!$A:$A,"Quantity (units)")+SUMIFS('Source 2025'!$J:$J,'Source 2025'!$B:$B,$A164,'Source 2025'!$A:$A,"Quantity (units)")+SUMIFS('Source 2025'!$L:$L,'Source 2025'!$B:$B,$A164,'Source 2025'!$A:$A,"Quantity (units)")</f>
        <v>22</v>
      </c>
      <c r="D164" s="9" t="n">
        <f aca="false">SUMIFS('Source 2026'!$K:$K,'Source 2026'!$B:$B,$A164,'Source 2026'!$A:$A,"Quantity (units)")+SUMIFS('Source 2026'!$O:$O,'Source 2026'!$B:$B,$A164,'Source 2026'!$A:$A,"Quantity (units)")+SUMIFS('Source 2026'!$R:$R,'Source 2026'!$B:$B,$A164,'Source 2026'!$A:$A,"Quantity (units)")+SUMIFS('Source 2026'!$P:$P,'Source 2026'!$B:$B,$A164,'Source 2026'!$A:$A,"Quantity (units)")+SUMIFS('Source 2026'!$J:$J,'Source 2026'!$B:$B,$A164,'Source 2026'!$A:$A,"Quantity (units)")+SUMIFS('Source 2026'!$L:$L,'Source 2026'!$B:$B,$A164,'Source 2026'!$A:$A,"Quantity (units)")</f>
        <v>24</v>
      </c>
      <c r="E164" s="9" t="n">
        <f aca="false">D164*$J$5</f>
        <v>30.3157894736842</v>
      </c>
      <c r="F164" s="9" t="n">
        <f aca="false">E164-C164</f>
        <v>8.31578947368421</v>
      </c>
      <c r="G164" s="11" t="n">
        <f aca="false">IF(AND(C164=0,E164=0),0,IF(C164=0,"New",(E164-C164)/C164))</f>
        <v>0.37799043062201</v>
      </c>
      <c r="H164" s="9" t="n">
        <f aca="false">SUMIFS('Source 2025'!$K:$K,'Source 2025'!$B:$B,$A164,'Source 2025'!$A:$A,"Amount (NIS)")+SUMIFS('Source 2025'!$O:$O,'Source 2025'!$B:$B,$A164,'Source 2025'!$A:$A,"Amount (NIS)")+SUMIFS('Source 2025'!$R:$R,'Source 2025'!$B:$B,$A164,'Source 2025'!$A:$A,"Amount (NIS)")+SUMIFS('Source 2025'!$P:$P,'Source 2025'!$B:$B,$A164,'Source 2025'!$A:$A,"Amount (NIS)")+SUMIFS('Source 2025'!$J:$J,'Source 2025'!$B:$B,$A164,'Source 2025'!$A:$A,"Amount (NIS)")+SUMIFS('Source 2025'!$L:$L,'Source 2025'!$B:$B,$A164,'Source 2025'!$A:$A,"Amount (NIS)")</f>
        <v>480.3</v>
      </c>
      <c r="I164" s="9" t="n">
        <f aca="false">SUMIFS('Source 2026'!$K:$K,'Source 2026'!$B:$B,$A164,'Source 2026'!$A:$A,"Amount (NIS)")+SUMIFS('Source 2026'!$O:$O,'Source 2026'!$B:$B,$A164,'Source 2026'!$A:$A,"Amount (NIS)")+SUMIFS('Source 2026'!$R:$R,'Source 2026'!$B:$B,$A164,'Source 2026'!$A:$A,"Amount (NIS)")+SUMIFS('Source 2026'!$P:$P,'Source 2026'!$B:$B,$A164,'Source 2026'!$A:$A,"Amount (NIS)")+SUMIFS('Source 2026'!$J:$J,'Source 2026'!$B:$B,$A164,'Source 2026'!$A:$A,"Amount (NIS)")+SUMIFS('Source 2026'!$L:$L,'Source 2026'!$B:$B,$A164,'Source 2026'!$A:$A,"Amount (NIS)")</f>
        <v>524</v>
      </c>
      <c r="J164" s="9" t="n">
        <f aca="false">I164*$J$5</f>
        <v>661.894736842105</v>
      </c>
      <c r="K164" s="9" t="n">
        <f aca="false">J164-H164</f>
        <v>181.594736842105</v>
      </c>
      <c r="L164" s="11" t="n">
        <f aca="false">IF(AND(H164=0,J164=0),0,IF(H164=0,"New",(J164-H164)/H164))</f>
        <v>0.378086064630659</v>
      </c>
    </row>
    <row r="165" customFormat="false" ht="15" hidden="false" customHeight="true" outlineLevel="0" collapsed="false">
      <c r="A165" s="8" t="s">
        <v>82</v>
      </c>
      <c r="B165" s="8" t="str">
        <f aca="false">IFERROR(INDEX('Source 2026'!$C:$C,MATCH($A165,'Source 2026'!$B:$B,0)),IFERROR(INDEX('Source 2025'!$C:$C,MATCH($A165,'Source 2025'!$B:$B,0)),""))</f>
        <v>חגורת גב עם תמיכות</v>
      </c>
      <c r="C165" s="9" t="n">
        <f aca="false">SUMIFS('Source 2025'!$K:$K,'Source 2025'!$B:$B,$A165,'Source 2025'!$A:$A,"Quantity (units)")+SUMIFS('Source 2025'!$O:$O,'Source 2025'!$B:$B,$A165,'Source 2025'!$A:$A,"Quantity (units)")+SUMIFS('Source 2025'!$R:$R,'Source 2025'!$B:$B,$A165,'Source 2025'!$A:$A,"Quantity (units)")+SUMIFS('Source 2025'!$P:$P,'Source 2025'!$B:$B,$A165,'Source 2025'!$A:$A,"Quantity (units)")+SUMIFS('Source 2025'!$J:$J,'Source 2025'!$B:$B,$A165,'Source 2025'!$A:$A,"Quantity (units)")+SUMIFS('Source 2025'!$L:$L,'Source 2025'!$B:$B,$A165,'Source 2025'!$A:$A,"Quantity (units)")</f>
        <v>22</v>
      </c>
      <c r="D165" s="9" t="n">
        <f aca="false">SUMIFS('Source 2026'!$K:$K,'Source 2026'!$B:$B,$A165,'Source 2026'!$A:$A,"Quantity (units)")+SUMIFS('Source 2026'!$O:$O,'Source 2026'!$B:$B,$A165,'Source 2026'!$A:$A,"Quantity (units)")+SUMIFS('Source 2026'!$R:$R,'Source 2026'!$B:$B,$A165,'Source 2026'!$A:$A,"Quantity (units)")+SUMIFS('Source 2026'!$P:$P,'Source 2026'!$B:$B,$A165,'Source 2026'!$A:$A,"Quantity (units)")+SUMIFS('Source 2026'!$J:$J,'Source 2026'!$B:$B,$A165,'Source 2026'!$A:$A,"Quantity (units)")+SUMIFS('Source 2026'!$L:$L,'Source 2026'!$B:$B,$A165,'Source 2026'!$A:$A,"Quantity (units)")</f>
        <v>22</v>
      </c>
      <c r="E165" s="9" t="n">
        <f aca="false">D165*$J$5</f>
        <v>27.7894736842105</v>
      </c>
      <c r="F165" s="9" t="n">
        <f aca="false">E165-C165</f>
        <v>5.78947368421052</v>
      </c>
      <c r="G165" s="11" t="n">
        <f aca="false">IF(AND(C165=0,E165=0),0,IF(C165=0,"New",(E165-C165)/C165))</f>
        <v>0.263157894736842</v>
      </c>
      <c r="H165" s="9" t="n">
        <f aca="false">SUMIFS('Source 2025'!$K:$K,'Source 2025'!$B:$B,$A165,'Source 2025'!$A:$A,"Amount (NIS)")+SUMIFS('Source 2025'!$O:$O,'Source 2025'!$B:$B,$A165,'Source 2025'!$A:$A,"Amount (NIS)")+SUMIFS('Source 2025'!$R:$R,'Source 2025'!$B:$B,$A165,'Source 2025'!$A:$A,"Amount (NIS)")+SUMIFS('Source 2025'!$P:$P,'Source 2025'!$B:$B,$A165,'Source 2025'!$A:$A,"Amount (NIS)")+SUMIFS('Source 2025'!$J:$J,'Source 2025'!$B:$B,$A165,'Source 2025'!$A:$A,"Amount (NIS)")+SUMIFS('Source 2025'!$L:$L,'Source 2025'!$B:$B,$A165,'Source 2025'!$A:$A,"Amount (NIS)")</f>
        <v>1983.7</v>
      </c>
      <c r="I165" s="9" t="n">
        <f aca="false">SUMIFS('Source 2026'!$K:$K,'Source 2026'!$B:$B,$A165,'Source 2026'!$A:$A,"Amount (NIS)")+SUMIFS('Source 2026'!$O:$O,'Source 2026'!$B:$B,$A165,'Source 2026'!$A:$A,"Amount (NIS)")+SUMIFS('Source 2026'!$R:$R,'Source 2026'!$B:$B,$A165,'Source 2026'!$A:$A,"Amount (NIS)")+SUMIFS('Source 2026'!$P:$P,'Source 2026'!$B:$B,$A165,'Source 2026'!$A:$A,"Amount (NIS)")+SUMIFS('Source 2026'!$J:$J,'Source 2026'!$B:$B,$A165,'Source 2026'!$A:$A,"Amount (NIS)")+SUMIFS('Source 2026'!$L:$L,'Source 2026'!$B:$B,$A165,'Source 2026'!$A:$A,"Amount (NIS)")</f>
        <v>1940.1</v>
      </c>
      <c r="J165" s="9" t="n">
        <f aca="false">I165*$J$5</f>
        <v>2450.65263157895</v>
      </c>
      <c r="K165" s="9" t="n">
        <f aca="false">J165-H165</f>
        <v>466.952631578947</v>
      </c>
      <c r="L165" s="11" t="n">
        <f aca="false">IF(AND(H165=0,J165=0),0,IF(H165=0,"New",(J165-H165)/H165))</f>
        <v>0.23539478327315</v>
      </c>
    </row>
    <row r="166" customFormat="false" ht="15" hidden="false" customHeight="true" outlineLevel="0" collapsed="false">
      <c r="A166" s="8" t="s">
        <v>116</v>
      </c>
      <c r="B166" s="8" t="str">
        <f aca="false">IFERROR(INDEX('Source 2026'!$C:$C,MATCH($A166,'Source 2026'!$B:$B,0)),IFERROR(INDEX('Source 2025'!$C:$C,MATCH($A166,'Source 2025'!$B:$B,0)),""))</f>
        <v>סד לש.כף יד שמאל</v>
      </c>
      <c r="C166" s="9" t="n">
        <f aca="false">SUMIFS('Source 2025'!$K:$K,'Source 2025'!$B:$B,$A166,'Source 2025'!$A:$A,"Quantity (units)")+SUMIFS('Source 2025'!$O:$O,'Source 2025'!$B:$B,$A166,'Source 2025'!$A:$A,"Quantity (units)")+SUMIFS('Source 2025'!$R:$R,'Source 2025'!$B:$B,$A166,'Source 2025'!$A:$A,"Quantity (units)")+SUMIFS('Source 2025'!$P:$P,'Source 2025'!$B:$B,$A166,'Source 2025'!$A:$A,"Quantity (units)")+SUMIFS('Source 2025'!$J:$J,'Source 2025'!$B:$B,$A166,'Source 2025'!$A:$A,"Quantity (units)")+SUMIFS('Source 2025'!$L:$L,'Source 2025'!$B:$B,$A166,'Source 2025'!$A:$A,"Quantity (units)")</f>
        <v>23</v>
      </c>
      <c r="D166" s="9" t="n">
        <f aca="false">SUMIFS('Source 2026'!$K:$K,'Source 2026'!$B:$B,$A166,'Source 2026'!$A:$A,"Quantity (units)")+SUMIFS('Source 2026'!$O:$O,'Source 2026'!$B:$B,$A166,'Source 2026'!$A:$A,"Quantity (units)")+SUMIFS('Source 2026'!$R:$R,'Source 2026'!$B:$B,$A166,'Source 2026'!$A:$A,"Quantity (units)")+SUMIFS('Source 2026'!$P:$P,'Source 2026'!$B:$B,$A166,'Source 2026'!$A:$A,"Quantity (units)")+SUMIFS('Source 2026'!$J:$J,'Source 2026'!$B:$B,$A166,'Source 2026'!$A:$A,"Quantity (units)")+SUMIFS('Source 2026'!$L:$L,'Source 2026'!$B:$B,$A166,'Source 2026'!$A:$A,"Quantity (units)")</f>
        <v>22</v>
      </c>
      <c r="E166" s="9" t="n">
        <f aca="false">D166*$J$5</f>
        <v>27.7894736842105</v>
      </c>
      <c r="F166" s="9" t="n">
        <f aca="false">E166-C166</f>
        <v>4.78947368421052</v>
      </c>
      <c r="G166" s="11" t="n">
        <f aca="false">IF(AND(C166=0,E166=0),0,IF(C166=0,"New",(E166-C166)/C166))</f>
        <v>0.208237986270023</v>
      </c>
      <c r="H166" s="9" t="n">
        <f aca="false">SUMIFS('Source 2025'!$K:$K,'Source 2025'!$B:$B,$A166,'Source 2025'!$A:$A,"Amount (NIS)")+SUMIFS('Source 2025'!$O:$O,'Source 2025'!$B:$B,$A166,'Source 2025'!$A:$A,"Amount (NIS)")+SUMIFS('Source 2025'!$R:$R,'Source 2025'!$B:$B,$A166,'Source 2025'!$A:$A,"Amount (NIS)")+SUMIFS('Source 2025'!$P:$P,'Source 2025'!$B:$B,$A166,'Source 2025'!$A:$A,"Amount (NIS)")+SUMIFS('Source 2025'!$J:$J,'Source 2025'!$B:$B,$A166,'Source 2025'!$A:$A,"Amount (NIS)")+SUMIFS('Source 2025'!$L:$L,'Source 2025'!$B:$B,$A166,'Source 2025'!$A:$A,"Amount (NIS)")</f>
        <v>788.2</v>
      </c>
      <c r="I166" s="9" t="n">
        <f aca="false">SUMIFS('Source 2026'!$K:$K,'Source 2026'!$B:$B,$A166,'Source 2026'!$A:$A,"Amount (NIS)")+SUMIFS('Source 2026'!$O:$O,'Source 2026'!$B:$B,$A166,'Source 2026'!$A:$A,"Amount (NIS)")+SUMIFS('Source 2026'!$R:$R,'Source 2026'!$B:$B,$A166,'Source 2026'!$A:$A,"Amount (NIS)")+SUMIFS('Source 2026'!$P:$P,'Source 2026'!$B:$B,$A166,'Source 2026'!$A:$A,"Amount (NIS)")+SUMIFS('Source 2026'!$J:$J,'Source 2026'!$B:$B,$A166,'Source 2026'!$A:$A,"Amount (NIS)")+SUMIFS('Source 2026'!$L:$L,'Source 2026'!$B:$B,$A166,'Source 2026'!$A:$A,"Amount (NIS)")</f>
        <v>754</v>
      </c>
      <c r="J166" s="9" t="n">
        <f aca="false">I166*$J$5</f>
        <v>952.421052631579</v>
      </c>
      <c r="K166" s="9" t="n">
        <f aca="false">J166-H166</f>
        <v>164.221052631579</v>
      </c>
      <c r="L166" s="11" t="n">
        <f aca="false">IF(AND(H166=0,J166=0),0,IF(H166=0,"New",(J166-H166)/H166))</f>
        <v>0.208349470479039</v>
      </c>
    </row>
    <row r="167" customFormat="false" ht="15" hidden="false" customHeight="true" outlineLevel="0" collapsed="false">
      <c r="A167" s="8" t="s">
        <v>369</v>
      </c>
      <c r="B167" s="8" t="str">
        <f aca="false">IFERROR(INDEX('Source 2026'!$C:$C,MATCH($A167,'Source 2026'!$B:$B,0)),IFERROR(INDEX('Source 2025'!$C:$C,MATCH($A167,'Source 2025'!$B:$B,0)),""))</f>
        <v>נוזלי</v>
      </c>
      <c r="C167" s="9" t="n">
        <f aca="false">SUMIFS('Source 2025'!$K:$K,'Source 2025'!$B:$B,$A167,'Source 2025'!$A:$A,"Quantity (units)")+SUMIFS('Source 2025'!$O:$O,'Source 2025'!$B:$B,$A167,'Source 2025'!$A:$A,"Quantity (units)")+SUMIFS('Source 2025'!$R:$R,'Source 2025'!$B:$B,$A167,'Source 2025'!$A:$A,"Quantity (units)")+SUMIFS('Source 2025'!$P:$P,'Source 2025'!$B:$B,$A167,'Source 2025'!$A:$A,"Quantity (units)")+SUMIFS('Source 2025'!$J:$J,'Source 2025'!$B:$B,$A167,'Source 2025'!$A:$A,"Quantity (units)")+SUMIFS('Source 2025'!$L:$L,'Source 2025'!$B:$B,$A167,'Source 2025'!$A:$A,"Quantity (units)")</f>
        <v>-1</v>
      </c>
      <c r="D167" s="9" t="n">
        <f aca="false">SUMIFS('Source 2026'!$K:$K,'Source 2026'!$B:$B,$A167,'Source 2026'!$A:$A,"Quantity (units)")+SUMIFS('Source 2026'!$O:$O,'Source 2026'!$B:$B,$A167,'Source 2026'!$A:$A,"Quantity (units)")+SUMIFS('Source 2026'!$R:$R,'Source 2026'!$B:$B,$A167,'Source 2026'!$A:$A,"Quantity (units)")+SUMIFS('Source 2026'!$P:$P,'Source 2026'!$B:$B,$A167,'Source 2026'!$A:$A,"Quantity (units)")+SUMIFS('Source 2026'!$J:$J,'Source 2026'!$B:$B,$A167,'Source 2026'!$A:$A,"Quantity (units)")+SUMIFS('Source 2026'!$L:$L,'Source 2026'!$B:$B,$A167,'Source 2026'!$A:$A,"Quantity (units)")</f>
        <v>0</v>
      </c>
      <c r="E167" s="9" t="n">
        <f aca="false">D167*$J$5</f>
        <v>0</v>
      </c>
      <c r="F167" s="9" t="n">
        <f aca="false">E167-C167</f>
        <v>1</v>
      </c>
      <c r="G167" s="11" t="n">
        <f aca="false">IF(AND(C167=0,E167=0),0,IF(C167=0,"New",(E167-C167)/C167))</f>
        <v>-1</v>
      </c>
      <c r="H167" s="9" t="n">
        <f aca="false">SUMIFS('Source 2025'!$K:$K,'Source 2025'!$B:$B,$A167,'Source 2025'!$A:$A,"Amount (NIS)")+SUMIFS('Source 2025'!$O:$O,'Source 2025'!$B:$B,$A167,'Source 2025'!$A:$A,"Amount (NIS)")+SUMIFS('Source 2025'!$R:$R,'Source 2025'!$B:$B,$A167,'Source 2025'!$A:$A,"Amount (NIS)")+SUMIFS('Source 2025'!$P:$P,'Source 2025'!$B:$B,$A167,'Source 2025'!$A:$A,"Amount (NIS)")+SUMIFS('Source 2025'!$J:$J,'Source 2025'!$B:$B,$A167,'Source 2025'!$A:$A,"Amount (NIS)")+SUMIFS('Source 2025'!$L:$L,'Source 2025'!$B:$B,$A167,'Source 2025'!$A:$A,"Amount (NIS)")</f>
        <v>-20.8</v>
      </c>
      <c r="I167" s="9" t="n">
        <f aca="false">SUMIFS('Source 2026'!$K:$K,'Source 2026'!$B:$B,$A167,'Source 2026'!$A:$A,"Amount (NIS)")+SUMIFS('Source 2026'!$O:$O,'Source 2026'!$B:$B,$A167,'Source 2026'!$A:$A,"Amount (NIS)")+SUMIFS('Source 2026'!$R:$R,'Source 2026'!$B:$B,$A167,'Source 2026'!$A:$A,"Amount (NIS)")+SUMIFS('Source 2026'!$P:$P,'Source 2026'!$B:$B,$A167,'Source 2026'!$A:$A,"Amount (NIS)")+SUMIFS('Source 2026'!$J:$J,'Source 2026'!$B:$B,$A167,'Source 2026'!$A:$A,"Amount (NIS)")+SUMIFS('Source 2026'!$L:$L,'Source 2026'!$B:$B,$A167,'Source 2026'!$A:$A,"Amount (NIS)")</f>
        <v>0</v>
      </c>
      <c r="J167" s="9" t="n">
        <f aca="false">I167*$J$5</f>
        <v>0</v>
      </c>
      <c r="K167" s="9" t="n">
        <f aca="false">J167-H167</f>
        <v>20.8</v>
      </c>
      <c r="L167" s="11" t="n">
        <f aca="false">IF(AND(H167=0,J167=0),0,IF(H167=0,"New",(J167-H167)/H167))</f>
        <v>-1</v>
      </c>
    </row>
    <row r="168" customFormat="false" ht="15" hidden="false" customHeight="true" outlineLevel="0" collapsed="false">
      <c r="A168" s="8" t="s">
        <v>191</v>
      </c>
      <c r="B168" s="8" t="str">
        <f aca="false">IFERROR(INDEX('Source 2026'!$C:$C,MATCH($A168,'Source 2026'!$B:$B,0)),IFERROR(INDEX('Source 2025'!$C:$C,MATCH($A168,'Source 2025'!$B:$B,0)),""))</f>
        <v>35-38 גרב.כסף לסכרתים לבן</v>
      </c>
      <c r="C168" s="9" t="n">
        <f aca="false">SUMIFS('Source 2025'!$K:$K,'Source 2025'!$B:$B,$A168,'Source 2025'!$A:$A,"Quantity (units)")+SUMIFS('Source 2025'!$O:$O,'Source 2025'!$B:$B,$A168,'Source 2025'!$A:$A,"Quantity (units)")+SUMIFS('Source 2025'!$R:$R,'Source 2025'!$B:$B,$A168,'Source 2025'!$A:$A,"Quantity (units)")+SUMIFS('Source 2025'!$P:$P,'Source 2025'!$B:$B,$A168,'Source 2025'!$A:$A,"Quantity (units)")+SUMIFS('Source 2025'!$J:$J,'Source 2025'!$B:$B,$A168,'Source 2025'!$A:$A,"Quantity (units)")+SUMIFS('Source 2025'!$L:$L,'Source 2025'!$B:$B,$A168,'Source 2025'!$A:$A,"Quantity (units)")</f>
        <v>21</v>
      </c>
      <c r="D168" s="9" t="n">
        <f aca="false">SUMIFS('Source 2026'!$K:$K,'Source 2026'!$B:$B,$A168,'Source 2026'!$A:$A,"Quantity (units)")+SUMIFS('Source 2026'!$O:$O,'Source 2026'!$B:$B,$A168,'Source 2026'!$A:$A,"Quantity (units)")+SUMIFS('Source 2026'!$R:$R,'Source 2026'!$B:$B,$A168,'Source 2026'!$A:$A,"Quantity (units)")+SUMIFS('Source 2026'!$P:$P,'Source 2026'!$B:$B,$A168,'Source 2026'!$A:$A,"Quantity (units)")+SUMIFS('Source 2026'!$J:$J,'Source 2026'!$B:$B,$A168,'Source 2026'!$A:$A,"Quantity (units)")+SUMIFS('Source 2026'!$L:$L,'Source 2026'!$B:$B,$A168,'Source 2026'!$A:$A,"Quantity (units)")</f>
        <v>21</v>
      </c>
      <c r="E168" s="9" t="n">
        <f aca="false">D168*$J$5</f>
        <v>26.5263157894737</v>
      </c>
      <c r="F168" s="9" t="n">
        <f aca="false">E168-C168</f>
        <v>5.52631578947368</v>
      </c>
      <c r="G168" s="11" t="n">
        <f aca="false">IF(AND(C168=0,E168=0),0,IF(C168=0,"New",(E168-C168)/C168))</f>
        <v>0.263157894736842</v>
      </c>
      <c r="H168" s="9" t="n">
        <f aca="false">SUMIFS('Source 2025'!$K:$K,'Source 2025'!$B:$B,$A168,'Source 2025'!$A:$A,"Amount (NIS)")+SUMIFS('Source 2025'!$O:$O,'Source 2025'!$B:$B,$A168,'Source 2025'!$A:$A,"Amount (NIS)")+SUMIFS('Source 2025'!$R:$R,'Source 2025'!$B:$B,$A168,'Source 2025'!$A:$A,"Amount (NIS)")+SUMIFS('Source 2025'!$P:$P,'Source 2025'!$B:$B,$A168,'Source 2025'!$A:$A,"Amount (NIS)")+SUMIFS('Source 2025'!$J:$J,'Source 2025'!$B:$B,$A168,'Source 2025'!$A:$A,"Amount (NIS)")+SUMIFS('Source 2025'!$L:$L,'Source 2025'!$B:$B,$A168,'Source 2025'!$A:$A,"Amount (NIS)")</f>
        <v>477.5</v>
      </c>
      <c r="I168" s="9" t="n">
        <f aca="false">SUMIFS('Source 2026'!$K:$K,'Source 2026'!$B:$B,$A168,'Source 2026'!$A:$A,"Amount (NIS)")+SUMIFS('Source 2026'!$O:$O,'Source 2026'!$B:$B,$A168,'Source 2026'!$A:$A,"Amount (NIS)")+SUMIFS('Source 2026'!$R:$R,'Source 2026'!$B:$B,$A168,'Source 2026'!$A:$A,"Amount (NIS)")+SUMIFS('Source 2026'!$P:$P,'Source 2026'!$B:$B,$A168,'Source 2026'!$A:$A,"Amount (NIS)")+SUMIFS('Source 2026'!$J:$J,'Source 2026'!$B:$B,$A168,'Source 2026'!$A:$A,"Amount (NIS)")+SUMIFS('Source 2026'!$L:$L,'Source 2026'!$B:$B,$A168,'Source 2026'!$A:$A,"Amount (NIS)")</f>
        <v>490.9</v>
      </c>
      <c r="J168" s="9" t="n">
        <f aca="false">I168*$J$5</f>
        <v>620.084210526316</v>
      </c>
      <c r="K168" s="9" t="n">
        <f aca="false">J168-H168</f>
        <v>142.584210526316</v>
      </c>
      <c r="L168" s="11" t="n">
        <f aca="false">IF(AND(H168=0,J168=0),0,IF(H168=0,"New",(J168-H168)/H168))</f>
        <v>0.298605676494902</v>
      </c>
    </row>
    <row r="169" customFormat="false" ht="15" hidden="false" customHeight="true" outlineLevel="0" collapsed="false">
      <c r="A169" s="8" t="s">
        <v>164</v>
      </c>
      <c r="B169" s="8" t="str">
        <f aca="false">IFERROR(INDEX('Source 2026'!$C:$C,MATCH($A169,'Source 2026'!$B:$B,0)),IFERROR(INDEX('Source 2025'!$C:$C,MATCH($A169,'Source 2025'!$B:$B,0)),""))</f>
        <v>M מדרס ג'ל ספורט לגבר</v>
      </c>
      <c r="C169" s="9" t="n">
        <f aca="false">SUMIFS('Source 2025'!$K:$K,'Source 2025'!$B:$B,$A169,'Source 2025'!$A:$A,"Quantity (units)")+SUMIFS('Source 2025'!$O:$O,'Source 2025'!$B:$B,$A169,'Source 2025'!$A:$A,"Quantity (units)")+SUMIFS('Source 2025'!$R:$R,'Source 2025'!$B:$B,$A169,'Source 2025'!$A:$A,"Quantity (units)")+SUMIFS('Source 2025'!$P:$P,'Source 2025'!$B:$B,$A169,'Source 2025'!$A:$A,"Quantity (units)")+SUMIFS('Source 2025'!$J:$J,'Source 2025'!$B:$B,$A169,'Source 2025'!$A:$A,"Quantity (units)")+SUMIFS('Source 2025'!$L:$L,'Source 2025'!$B:$B,$A169,'Source 2025'!$A:$A,"Quantity (units)")</f>
        <v>2</v>
      </c>
      <c r="D169" s="9" t="n">
        <f aca="false">SUMIFS('Source 2026'!$K:$K,'Source 2026'!$B:$B,$A169,'Source 2026'!$A:$A,"Quantity (units)")+SUMIFS('Source 2026'!$O:$O,'Source 2026'!$B:$B,$A169,'Source 2026'!$A:$A,"Quantity (units)")+SUMIFS('Source 2026'!$R:$R,'Source 2026'!$B:$B,$A169,'Source 2026'!$A:$A,"Quantity (units)")+SUMIFS('Source 2026'!$P:$P,'Source 2026'!$B:$B,$A169,'Source 2026'!$A:$A,"Quantity (units)")+SUMIFS('Source 2026'!$J:$J,'Source 2026'!$B:$B,$A169,'Source 2026'!$A:$A,"Quantity (units)")+SUMIFS('Source 2026'!$L:$L,'Source 2026'!$B:$B,$A169,'Source 2026'!$A:$A,"Quantity (units)")</f>
        <v>2</v>
      </c>
      <c r="E169" s="9" t="n">
        <f aca="false">D169*$J$5</f>
        <v>2.52631578947368</v>
      </c>
      <c r="F169" s="9" t="n">
        <f aca="false">E169-C169</f>
        <v>0.526315789473684</v>
      </c>
      <c r="G169" s="11" t="n">
        <f aca="false">IF(AND(C169=0,E169=0),0,IF(C169=0,"New",(E169-C169)/C169))</f>
        <v>0.263157894736842</v>
      </c>
      <c r="H169" s="9" t="n">
        <f aca="false">SUMIFS('Source 2025'!$K:$K,'Source 2025'!$B:$B,$A169,'Source 2025'!$A:$A,"Amount (NIS)")+SUMIFS('Source 2025'!$O:$O,'Source 2025'!$B:$B,$A169,'Source 2025'!$A:$A,"Amount (NIS)")+SUMIFS('Source 2025'!$R:$R,'Source 2025'!$B:$B,$A169,'Source 2025'!$A:$A,"Amount (NIS)")+SUMIFS('Source 2025'!$P:$P,'Source 2025'!$B:$B,$A169,'Source 2025'!$A:$A,"Amount (NIS)")+SUMIFS('Source 2025'!$J:$J,'Source 2025'!$B:$B,$A169,'Source 2025'!$A:$A,"Amount (NIS)")+SUMIFS('Source 2025'!$L:$L,'Source 2025'!$B:$B,$A169,'Source 2025'!$A:$A,"Amount (NIS)")</f>
        <v>131.4</v>
      </c>
      <c r="I169" s="9" t="n">
        <f aca="false">SUMIFS('Source 2026'!$K:$K,'Source 2026'!$B:$B,$A169,'Source 2026'!$A:$A,"Amount (NIS)")+SUMIFS('Source 2026'!$O:$O,'Source 2026'!$B:$B,$A169,'Source 2026'!$A:$A,"Amount (NIS)")+SUMIFS('Source 2026'!$R:$R,'Source 2026'!$B:$B,$A169,'Source 2026'!$A:$A,"Amount (NIS)")+SUMIFS('Source 2026'!$P:$P,'Source 2026'!$B:$B,$A169,'Source 2026'!$A:$A,"Amount (NIS)")+SUMIFS('Source 2026'!$J:$J,'Source 2026'!$B:$B,$A169,'Source 2026'!$A:$A,"Amount (NIS)")+SUMIFS('Source 2026'!$L:$L,'Source 2026'!$B:$B,$A169,'Source 2026'!$A:$A,"Amount (NIS)")</f>
        <v>131.3</v>
      </c>
      <c r="J169" s="9" t="n">
        <f aca="false">I169*$J$5</f>
        <v>165.852631578947</v>
      </c>
      <c r="K169" s="9" t="n">
        <f aca="false">J169-H169</f>
        <v>34.4526315789474</v>
      </c>
      <c r="L169" s="11" t="n">
        <f aca="false">IF(AND(H169=0,J169=0),0,IF(H169=0,"New",(J169-H169)/H169))</f>
        <v>0.262196587358808</v>
      </c>
    </row>
    <row r="170" customFormat="false" ht="15" hidden="false" customHeight="true" outlineLevel="0" collapsed="false">
      <c r="A170" s="8" t="s">
        <v>231</v>
      </c>
      <c r="B170" s="8" t="str">
        <f aca="false">IFERROR(INDEX('Source 2026'!$C:$C,MATCH($A170,'Source 2026'!$B:$B,0)),IFERROR(INDEX('Source 2025'!$C:$C,MATCH($A170,'Source 2025'!$B:$B,0)),""))</f>
        <v>חגורת גב אפורה</v>
      </c>
      <c r="C170" s="9" t="n">
        <f aca="false">SUMIFS('Source 2025'!$K:$K,'Source 2025'!$B:$B,$A170,'Source 2025'!$A:$A,"Quantity (units)")+SUMIFS('Source 2025'!$O:$O,'Source 2025'!$B:$B,$A170,'Source 2025'!$A:$A,"Quantity (units)")+SUMIFS('Source 2025'!$R:$R,'Source 2025'!$B:$B,$A170,'Source 2025'!$A:$A,"Quantity (units)")+SUMIFS('Source 2025'!$P:$P,'Source 2025'!$B:$B,$A170,'Source 2025'!$A:$A,"Quantity (units)")+SUMIFS('Source 2025'!$J:$J,'Source 2025'!$B:$B,$A170,'Source 2025'!$A:$A,"Quantity (units)")+SUMIFS('Source 2025'!$L:$L,'Source 2025'!$B:$B,$A170,'Source 2025'!$A:$A,"Quantity (units)")</f>
        <v>146</v>
      </c>
      <c r="D170" s="9" t="n">
        <f aca="false">SUMIFS('Source 2026'!$K:$K,'Source 2026'!$B:$B,$A170,'Source 2026'!$A:$A,"Quantity (units)")+SUMIFS('Source 2026'!$O:$O,'Source 2026'!$B:$B,$A170,'Source 2026'!$A:$A,"Quantity (units)")+SUMIFS('Source 2026'!$R:$R,'Source 2026'!$B:$B,$A170,'Source 2026'!$A:$A,"Quantity (units)")+SUMIFS('Source 2026'!$P:$P,'Source 2026'!$B:$B,$A170,'Source 2026'!$A:$A,"Quantity (units)")+SUMIFS('Source 2026'!$J:$J,'Source 2026'!$B:$B,$A170,'Source 2026'!$A:$A,"Quantity (units)")+SUMIFS('Source 2026'!$L:$L,'Source 2026'!$B:$B,$A170,'Source 2026'!$A:$A,"Quantity (units)")</f>
        <v>146</v>
      </c>
      <c r="E170" s="9" t="n">
        <f aca="false">D170*$J$5</f>
        <v>184.421052631579</v>
      </c>
      <c r="F170" s="9" t="n">
        <f aca="false">E170-C170</f>
        <v>38.4210526315789</v>
      </c>
      <c r="G170" s="11" t="n">
        <f aca="false">IF(AND(C170=0,E170=0),0,IF(C170=0,"New",(E170-C170)/C170))</f>
        <v>0.263157894736842</v>
      </c>
      <c r="H170" s="9" t="n">
        <f aca="false">SUMIFS('Source 2025'!$K:$K,'Source 2025'!$B:$B,$A170,'Source 2025'!$A:$A,"Amount (NIS)")+SUMIFS('Source 2025'!$O:$O,'Source 2025'!$B:$B,$A170,'Source 2025'!$A:$A,"Amount (NIS)")+SUMIFS('Source 2025'!$R:$R,'Source 2025'!$B:$B,$A170,'Source 2025'!$A:$A,"Amount (NIS)")+SUMIFS('Source 2025'!$P:$P,'Source 2025'!$B:$B,$A170,'Source 2025'!$A:$A,"Amount (NIS)")+SUMIFS('Source 2025'!$J:$J,'Source 2025'!$B:$B,$A170,'Source 2025'!$A:$A,"Amount (NIS)")+SUMIFS('Source 2025'!$L:$L,'Source 2025'!$B:$B,$A170,'Source 2025'!$A:$A,"Amount (NIS)")</f>
        <v>14487.6</v>
      </c>
      <c r="I170" s="9" t="n">
        <f aca="false">SUMIFS('Source 2026'!$K:$K,'Source 2026'!$B:$B,$A170,'Source 2026'!$A:$A,"Amount (NIS)")+SUMIFS('Source 2026'!$O:$O,'Source 2026'!$B:$B,$A170,'Source 2026'!$A:$A,"Amount (NIS)")+SUMIFS('Source 2026'!$R:$R,'Source 2026'!$B:$B,$A170,'Source 2026'!$A:$A,"Amount (NIS)")+SUMIFS('Source 2026'!$P:$P,'Source 2026'!$B:$B,$A170,'Source 2026'!$A:$A,"Amount (NIS)")+SUMIFS('Source 2026'!$J:$J,'Source 2026'!$B:$B,$A170,'Source 2026'!$A:$A,"Amount (NIS)")+SUMIFS('Source 2026'!$L:$L,'Source 2026'!$B:$B,$A170,'Source 2026'!$A:$A,"Amount (NIS)")</f>
        <v>14487.6</v>
      </c>
      <c r="J170" s="9" t="n">
        <f aca="false">I170*$J$5</f>
        <v>18300.1263157895</v>
      </c>
      <c r="K170" s="9" t="n">
        <f aca="false">J170-H170</f>
        <v>3812.52631578947</v>
      </c>
      <c r="L170" s="11" t="n">
        <f aca="false">IF(AND(H170=0,J170=0),0,IF(H170=0,"New",(J170-H170)/H170))</f>
        <v>0.263157894736842</v>
      </c>
    </row>
    <row r="171" customFormat="false" ht="15" hidden="false" customHeight="true" outlineLevel="0" collapsed="false">
      <c r="A171" s="8" t="s">
        <v>297</v>
      </c>
      <c r="B171" s="8" t="str">
        <f aca="false">IFERROR(INDEX('Source 2026'!$C:$C,MATCH($A171,'Source 2026'!$B:$B,0)),IFERROR(INDEX('Source 2025'!$C:$C,MATCH($A171,'Source 2025'!$B:$B,0)),""))</f>
        <v>M'חגורת גב+סגירה כפו בז</v>
      </c>
      <c r="C171" s="9" t="n">
        <f aca="false">SUMIFS('Source 2025'!$K:$K,'Source 2025'!$B:$B,$A171,'Source 2025'!$A:$A,"Quantity (units)")+SUMIFS('Source 2025'!$O:$O,'Source 2025'!$B:$B,$A171,'Source 2025'!$A:$A,"Quantity (units)")+SUMIFS('Source 2025'!$R:$R,'Source 2025'!$B:$B,$A171,'Source 2025'!$A:$A,"Quantity (units)")+SUMIFS('Source 2025'!$P:$P,'Source 2025'!$B:$B,$A171,'Source 2025'!$A:$A,"Quantity (units)")+SUMIFS('Source 2025'!$J:$J,'Source 2025'!$B:$B,$A171,'Source 2025'!$A:$A,"Quantity (units)")+SUMIFS('Source 2025'!$L:$L,'Source 2025'!$B:$B,$A171,'Source 2025'!$A:$A,"Quantity (units)")</f>
        <v>-5</v>
      </c>
      <c r="D171" s="9" t="n">
        <f aca="false">SUMIFS('Source 2026'!$K:$K,'Source 2026'!$B:$B,$A171,'Source 2026'!$A:$A,"Quantity (units)")+SUMIFS('Source 2026'!$O:$O,'Source 2026'!$B:$B,$A171,'Source 2026'!$A:$A,"Quantity (units)")+SUMIFS('Source 2026'!$R:$R,'Source 2026'!$B:$B,$A171,'Source 2026'!$A:$A,"Quantity (units)")+SUMIFS('Source 2026'!$P:$P,'Source 2026'!$B:$B,$A171,'Source 2026'!$A:$A,"Quantity (units)")+SUMIFS('Source 2026'!$J:$J,'Source 2026'!$B:$B,$A171,'Source 2026'!$A:$A,"Quantity (units)")+SUMIFS('Source 2026'!$L:$L,'Source 2026'!$B:$B,$A171,'Source 2026'!$A:$A,"Quantity (units)")</f>
        <v>-5</v>
      </c>
      <c r="E171" s="9" t="n">
        <f aca="false">D171*$J$5</f>
        <v>-6.31578947368421</v>
      </c>
      <c r="F171" s="9" t="n">
        <f aca="false">E171-C171</f>
        <v>-1.31578947368421</v>
      </c>
      <c r="G171" s="11" t="n">
        <f aca="false">IF(AND(C171=0,E171=0),0,IF(C171=0,"New",(E171-C171)/C171))</f>
        <v>0.263157894736842</v>
      </c>
      <c r="H171" s="9" t="n">
        <f aca="false">SUMIFS('Source 2025'!$K:$K,'Source 2025'!$B:$B,$A171,'Source 2025'!$A:$A,"Amount (NIS)")+SUMIFS('Source 2025'!$O:$O,'Source 2025'!$B:$B,$A171,'Source 2025'!$A:$A,"Amount (NIS)")+SUMIFS('Source 2025'!$R:$R,'Source 2025'!$B:$B,$A171,'Source 2025'!$A:$A,"Amount (NIS)")+SUMIFS('Source 2025'!$P:$P,'Source 2025'!$B:$B,$A171,'Source 2025'!$A:$A,"Amount (NIS)")+SUMIFS('Source 2025'!$J:$J,'Source 2025'!$B:$B,$A171,'Source 2025'!$A:$A,"Amount (NIS)")+SUMIFS('Source 2025'!$L:$L,'Source 2025'!$B:$B,$A171,'Source 2025'!$A:$A,"Amount (NIS)")</f>
        <v>-496.1</v>
      </c>
      <c r="I171" s="9" t="n">
        <f aca="false">SUMIFS('Source 2026'!$K:$K,'Source 2026'!$B:$B,$A171,'Source 2026'!$A:$A,"Amount (NIS)")+SUMIFS('Source 2026'!$O:$O,'Source 2026'!$B:$B,$A171,'Source 2026'!$A:$A,"Amount (NIS)")+SUMIFS('Source 2026'!$R:$R,'Source 2026'!$B:$B,$A171,'Source 2026'!$A:$A,"Amount (NIS)")+SUMIFS('Source 2026'!$P:$P,'Source 2026'!$B:$B,$A171,'Source 2026'!$A:$A,"Amount (NIS)")+SUMIFS('Source 2026'!$J:$J,'Source 2026'!$B:$B,$A171,'Source 2026'!$A:$A,"Amount (NIS)")+SUMIFS('Source 2026'!$L:$L,'Source 2026'!$B:$B,$A171,'Source 2026'!$A:$A,"Amount (NIS)")</f>
        <v>-496.1</v>
      </c>
      <c r="J171" s="9" t="n">
        <f aca="false">I171*$J$5</f>
        <v>-626.652631578947</v>
      </c>
      <c r="K171" s="9" t="n">
        <f aca="false">J171-H171</f>
        <v>-130.552631578947</v>
      </c>
      <c r="L171" s="11" t="n">
        <f aca="false">IF(AND(H171=0,J171=0),0,IF(H171=0,"New",(J171-H171)/H171))</f>
        <v>0.263157894736842</v>
      </c>
    </row>
    <row r="173" customFormat="false" ht="15" hidden="false" customHeight="true" outlineLevel="0" collapsed="false">
      <c r="A173" s="21"/>
      <c r="B173" s="22" t="s">
        <v>361</v>
      </c>
      <c r="C173" s="23" t="n">
        <f aca="false">SUM(C9:C171)</f>
        <v>27268</v>
      </c>
      <c r="D173" s="23" t="n">
        <f aca="false">SUM(D9:D171)</f>
        <v>19109</v>
      </c>
      <c r="E173" s="23" t="n">
        <f aca="false">SUM(E9:E171)</f>
        <v>24137.6842105263</v>
      </c>
      <c r="F173" s="23" t="n">
        <f aca="false">SUM(F9:F171)</f>
        <v>-3130.31578947369</v>
      </c>
      <c r="G173" s="24" t="n">
        <f aca="false">IF(C173=0,"N/A",F173/C173)</f>
        <v>-0.114798143958988</v>
      </c>
      <c r="H173" s="23" t="n">
        <f aca="false">SUM(H9:H171)</f>
        <v>889501.1</v>
      </c>
      <c r="I173" s="23" t="n">
        <f aca="false">SUM(I9:I171)</f>
        <v>676265.8</v>
      </c>
      <c r="J173" s="23" t="n">
        <f aca="false">SUM(J9:J171)</f>
        <v>854230.484210526</v>
      </c>
      <c r="K173" s="23" t="n">
        <f aca="false">SUM(K9:K171)</f>
        <v>-35270.6157894737</v>
      </c>
      <c r="L173" s="24" t="n">
        <f aca="false">IF(H173=0,"N/A",K173/H173)</f>
        <v>-0.0396521328523076</v>
      </c>
    </row>
  </sheetData>
  <mergeCells count="2">
    <mergeCell ref="A3:L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0"/>
    <col collapsed="false" customWidth="true" hidden="false" outlineLevel="0" max="3" min="3" style="1" width="13"/>
    <col collapsed="false" customWidth="true" hidden="false" outlineLevel="0" max="6" min="4" style="1" width="15"/>
    <col collapsed="false" customWidth="true" hidden="false" outlineLevel="0" max="7" min="7" style="1" width="16"/>
    <col collapsed="false" customWidth="true" hidden="false" outlineLevel="0" max="8" min="8" style="1" width="15"/>
    <col collapsed="false" customWidth="true" hidden="false" outlineLevel="0" max="9" min="9" style="1" width="17"/>
    <col collapsed="false" customWidth="true" hidden="false" outlineLevel="0" max="11" min="10" style="1" width="15"/>
    <col collapsed="false" customWidth="true" hidden="false" outlineLevel="0" max="12" min="12" style="1" width="16"/>
  </cols>
  <sheetData>
    <row r="1" customFormat="false" ht="15" hidden="false" customHeight="true" outlineLevel="0" collapsed="false">
      <c r="A1" s="2" t="s">
        <v>370</v>
      </c>
    </row>
    <row r="2" customFormat="false" ht="15" hidden="false" customHeight="true" outlineLevel="0" collapsed="false">
      <c r="A2" s="3" t="s">
        <v>1</v>
      </c>
      <c r="B2" s="4" t="n">
        <v>46284</v>
      </c>
    </row>
    <row r="3" customFormat="false" ht="90" hidden="false" customHeight="true" outlineLevel="0" collapsed="false">
      <c r="A3" s="5" t="s">
        <v>371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customFormat="false" ht="54.75" hidden="false" customHeight="true" outlineLevel="0" collapsed="false">
      <c r="A4" s="5" t="s">
        <v>59</v>
      </c>
      <c r="B4" s="5"/>
      <c r="C4" s="5"/>
      <c r="D4" s="5"/>
      <c r="E4" s="5"/>
      <c r="F4" s="5"/>
      <c r="G4" s="5"/>
      <c r="H4" s="5"/>
      <c r="I4" s="14" t="s">
        <v>60</v>
      </c>
      <c r="J4" s="15" t="n">
        <v>12</v>
      </c>
      <c r="K4" s="16" t="s">
        <v>61</v>
      </c>
      <c r="L4" s="15" t="n">
        <v>9.5</v>
      </c>
    </row>
    <row r="5" customFormat="false" ht="30" hidden="false" customHeight="true" outlineLevel="0" collapsed="false">
      <c r="A5" s="17" t="s">
        <v>62</v>
      </c>
      <c r="B5" s="18" t="n">
        <f aca="false">SUMPRODUCT(--((($C$9:$C$227&lt;&gt;0)+($H$9:$H$227&lt;&gt;0)&gt;0)*(($D$9:$D$227=0)*($I$9:$I$227=0))))</f>
        <v>23</v>
      </c>
      <c r="C5" s="17" t="s">
        <v>63</v>
      </c>
      <c r="D5" s="18" t="n">
        <f aca="false">SUMPRODUCT(--((($D$9:$D$227&lt;&gt;0)+($I$9:$I$227&lt;&gt;0)&gt;0)*(($C$9:$C$227=0)*($H$9:$H$227=0))))</f>
        <v>23</v>
      </c>
      <c r="I5" s="17" t="s">
        <v>64</v>
      </c>
      <c r="J5" s="19" t="n">
        <f aca="false">J4/L4</f>
        <v>1.26315789473684</v>
      </c>
    </row>
    <row r="6" customFormat="false" ht="30" hidden="false" customHeight="true" outlineLevel="0" collapsed="false">
      <c r="A6" s="17" t="s">
        <v>65</v>
      </c>
      <c r="B6" s="18" t="n">
        <f aca="false">SUMPRODUCT(--((($C$9:$C$227&lt;&gt;0)+($H$9:$H$227&lt;&gt;0)&gt;0)*(($D$9:$D$227=0)*($I$9:$I$227=0)))*$C$9:$C$227)</f>
        <v>-44</v>
      </c>
      <c r="C6" s="17" t="s">
        <v>66</v>
      </c>
      <c r="D6" s="18" t="n">
        <f aca="false">SUMPRODUCT(--((($C$9:$C$227&lt;&gt;0)+($H$9:$H$227&lt;&gt;0)&gt;0)*(($D$9:$D$227=0)*($I$9:$I$227=0)))*$H$9:$H$227)</f>
        <v>-4091.7</v>
      </c>
      <c r="E6" s="17" t="s">
        <v>67</v>
      </c>
      <c r="F6" s="18" t="n">
        <f aca="false">SUMPRODUCT(--((($D$9:$D$227&lt;&gt;0)+($I$9:$I$227&lt;&gt;0)&gt;0)*(($C$9:$C$227=0)*($H$9:$H$227=0)))*$D$9:$D$227)</f>
        <v>1952</v>
      </c>
      <c r="G6" s="17" t="s">
        <v>68</v>
      </c>
      <c r="H6" s="18" t="n">
        <f aca="false">SUMPRODUCT(--((($D$9:$D$227&lt;&gt;0)+($I$9:$I$227&lt;&gt;0)&gt;0)*(($C$9:$C$227=0)*($H$9:$H$227=0)))*$I$9:$I$227)</f>
        <v>147652.2</v>
      </c>
    </row>
    <row r="8" customFormat="false" ht="43.5" hidden="false" customHeight="true" outlineLevel="0" collapsed="false">
      <c r="A8" s="6" t="s">
        <v>69</v>
      </c>
      <c r="B8" s="6" t="s">
        <v>70</v>
      </c>
      <c r="C8" s="6" t="s">
        <v>15</v>
      </c>
      <c r="D8" s="20" t="s">
        <v>71</v>
      </c>
      <c r="E8" s="6" t="s">
        <v>72</v>
      </c>
      <c r="F8" s="6" t="s">
        <v>73</v>
      </c>
      <c r="G8" s="6" t="s">
        <v>74</v>
      </c>
      <c r="H8" s="6" t="s">
        <v>19</v>
      </c>
      <c r="I8" s="20" t="s">
        <v>75</v>
      </c>
      <c r="J8" s="6" t="s">
        <v>21</v>
      </c>
      <c r="K8" s="6" t="s">
        <v>76</v>
      </c>
      <c r="L8" s="6" t="s">
        <v>77</v>
      </c>
    </row>
    <row r="9" customFormat="false" ht="15" hidden="false" customHeight="true" outlineLevel="0" collapsed="false">
      <c r="A9" s="8" t="s">
        <v>151</v>
      </c>
      <c r="B9" s="8" t="str">
        <f aca="false">IFERROR(INDEX('Source 2026'!$C:$C,MATCH($A9,'Source 2026'!$B:$B,0)),IFERROR(INDEX('Source 2025'!$C:$C,MATCH($A9,'Source 2025'!$B:$B,0)),""))</f>
        <v>אפיק ג'ל מולט.ספורט35-38</v>
      </c>
      <c r="C9" s="9" t="n">
        <f aca="false">SUMIFS('Source 2025'!$Q:$Q,'Source 2025'!$B:$B,$A9,'Source 2025'!$A:$A,"Quantity (units)")</f>
        <v>2855</v>
      </c>
      <c r="D9" s="9" t="n">
        <f aca="false">SUMIFS('Source 2026'!$Q:$Q,'Source 2026'!$B:$B,$A9,'Source 2026'!$A:$A,"Quantity (units)")</f>
        <v>481</v>
      </c>
      <c r="E9" s="9" t="n">
        <f aca="false">D9*$J$5</f>
        <v>607.578947368421</v>
      </c>
      <c r="F9" s="9" t="n">
        <f aca="false">E9-C9</f>
        <v>-2247.42105263158</v>
      </c>
      <c r="G9" s="11" t="n">
        <f aca="false">IF(AND(C9=0,E9=0),0,IF(C9=0,"New",(E9-C9)/C9))</f>
        <v>-0.787187759240483</v>
      </c>
      <c r="H9" s="9" t="n">
        <f aca="false">SUMIFS('Source 2025'!$Q:$Q,'Source 2025'!$B:$B,$A9,'Source 2025'!$A:$A,"Amount (NIS)")</f>
        <v>265726.2</v>
      </c>
      <c r="I9" s="9" t="n">
        <f aca="false">SUMIFS('Source 2026'!$Q:$Q,'Source 2026'!$B:$B,$A9,'Source 2026'!$A:$A,"Amount (NIS)")</f>
        <v>47626.6</v>
      </c>
      <c r="J9" s="9" t="n">
        <f aca="false">I9*$J$5</f>
        <v>60159.9157894737</v>
      </c>
      <c r="K9" s="9" t="n">
        <f aca="false">J9-H9</f>
        <v>-205566.284210526</v>
      </c>
      <c r="L9" s="11" t="n">
        <f aca="false">IF(AND(H9=0,J9=0),0,IF(H9=0,"New",(J9-H9)/H9))</f>
        <v>-0.773601866170992</v>
      </c>
    </row>
    <row r="10" customFormat="false" ht="15" hidden="false" customHeight="true" outlineLevel="0" collapsed="false">
      <c r="A10" s="8" t="s">
        <v>288</v>
      </c>
      <c r="B10" s="8" t="str">
        <f aca="false">IFERROR(INDEX('Source 2026'!$C:$C,MATCH($A10,'Source 2026'!$B:$B,0)),IFERROR(INDEX('Source 2025'!$C:$C,MATCH($A10,'Source 2025'!$B:$B,0)),""))</f>
        <v>מדרסי אפיק ג'ל נוחות</v>
      </c>
      <c r="C10" s="9" t="n">
        <f aca="false">SUMIFS('Source 2025'!$Q:$Q,'Source 2025'!$B:$B,$A10,'Source 2025'!$A:$A,"Quantity (units)")</f>
        <v>1776</v>
      </c>
      <c r="D10" s="9" t="n">
        <f aca="false">SUMIFS('Source 2026'!$Q:$Q,'Source 2026'!$B:$B,$A10,'Source 2026'!$A:$A,"Quantity (units)")</f>
        <v>112</v>
      </c>
      <c r="E10" s="9" t="n">
        <f aca="false">D10*$J$5</f>
        <v>141.473684210526</v>
      </c>
      <c r="F10" s="9" t="n">
        <f aca="false">E10-C10</f>
        <v>-1634.52631578947</v>
      </c>
      <c r="G10" s="11" t="n">
        <f aca="false">IF(AND(C10=0,E10=0),0,IF(C10=0,"New",(E10-C10)/C10))</f>
        <v>-0.920341394025605</v>
      </c>
      <c r="H10" s="9" t="n">
        <f aca="false">SUMIFS('Source 2025'!$Q:$Q,'Source 2025'!$B:$B,$A10,'Source 2025'!$A:$A,"Amount (NIS)")</f>
        <v>164431.7</v>
      </c>
      <c r="I10" s="9" t="n">
        <f aca="false">SUMIFS('Source 2026'!$Q:$Q,'Source 2026'!$B:$B,$A10,'Source 2026'!$A:$A,"Amount (NIS)")</f>
        <v>11519.9</v>
      </c>
      <c r="J10" s="9" t="n">
        <f aca="false">I10*$J$5</f>
        <v>14551.4526315789</v>
      </c>
      <c r="K10" s="9" t="n">
        <f aca="false">J10-H10</f>
        <v>-149880.247368421</v>
      </c>
      <c r="L10" s="11" t="n">
        <f aca="false">IF(AND(H10=0,J10=0),0,IF(H10=0,"New",(J10-H10)/H10))</f>
        <v>-0.911504578304676</v>
      </c>
    </row>
    <row r="11" customFormat="false" ht="15" hidden="false" customHeight="true" outlineLevel="0" collapsed="false">
      <c r="A11" s="8" t="s">
        <v>171</v>
      </c>
      <c r="B11" s="8" t="str">
        <f aca="false">IFERROR(INDEX('Source 2026'!$C:$C,MATCH($A11,'Source 2026'!$B:$B,0)),IFERROR(INDEX('Source 2025'!$C:$C,MATCH($A11,'Source 2025'!$B:$B,0)),""))</f>
        <v>מדרסי אפיק ג'ל נוחות</v>
      </c>
      <c r="C11" s="9" t="n">
        <f aca="false">SUMIFS('Source 2025'!$Q:$Q,'Source 2025'!$B:$B,$A11,'Source 2025'!$A:$A,"Quantity (units)")</f>
        <v>2025</v>
      </c>
      <c r="D11" s="9" t="n">
        <f aca="false">SUMIFS('Source 2026'!$Q:$Q,'Source 2026'!$B:$B,$A11,'Source 2026'!$A:$A,"Quantity (units)")</f>
        <v>522</v>
      </c>
      <c r="E11" s="9" t="n">
        <f aca="false">D11*$J$5</f>
        <v>659.368421052632</v>
      </c>
      <c r="F11" s="9" t="n">
        <f aca="false">E11-C11</f>
        <v>-1365.63157894737</v>
      </c>
      <c r="G11" s="11" t="n">
        <f aca="false">IF(AND(C11=0,E11=0),0,IF(C11=0,"New",(E11-C11)/C11))</f>
        <v>-0.674385964912281</v>
      </c>
      <c r="H11" s="9" t="n">
        <f aca="false">SUMIFS('Source 2025'!$Q:$Q,'Source 2025'!$B:$B,$A11,'Source 2025'!$A:$A,"Amount (NIS)")</f>
        <v>188767.1</v>
      </c>
      <c r="I11" s="9" t="n">
        <f aca="false">SUMIFS('Source 2026'!$Q:$Q,'Source 2026'!$B:$B,$A11,'Source 2026'!$A:$A,"Amount (NIS)")</f>
        <v>52314</v>
      </c>
      <c r="J11" s="9" t="n">
        <f aca="false">I11*$J$5</f>
        <v>66080.8421052632</v>
      </c>
      <c r="K11" s="9" t="n">
        <f aca="false">J11-H11</f>
        <v>-122686.257894737</v>
      </c>
      <c r="L11" s="11" t="n">
        <f aca="false">IF(AND(H11=0,J11=0),0,IF(H11=0,"New",(J11-H11)/H11))</f>
        <v>-0.649934537823259</v>
      </c>
    </row>
    <row r="12" customFormat="false" ht="15" hidden="false" customHeight="true" outlineLevel="0" collapsed="false">
      <c r="A12" s="8" t="s">
        <v>179</v>
      </c>
      <c r="B12" s="8" t="str">
        <f aca="false">IFERROR(INDEX('Source 2026'!$C:$C,MATCH($A12,'Source 2026'!$B:$B,0)),IFERROR(INDEX('Source 2025'!$C:$C,MATCH($A12,'Source 2025'!$B:$B,0)),""))</f>
        <v>מדרסי אפיק ג'ל נוחות</v>
      </c>
      <c r="C12" s="9" t="n">
        <f aca="false">SUMIFS('Source 2025'!$Q:$Q,'Source 2025'!$B:$B,$A12,'Source 2025'!$A:$A,"Quantity (units)")</f>
        <v>2122</v>
      </c>
      <c r="D12" s="9" t="n">
        <f aca="false">SUMIFS('Source 2026'!$Q:$Q,'Source 2026'!$B:$B,$A12,'Source 2026'!$A:$A,"Quantity (units)")</f>
        <v>789</v>
      </c>
      <c r="E12" s="9" t="n">
        <f aca="false">D12*$J$5</f>
        <v>996.631578947368</v>
      </c>
      <c r="F12" s="9" t="n">
        <f aca="false">E12-C12</f>
        <v>-1125.36842105263</v>
      </c>
      <c r="G12" s="11" t="n">
        <f aca="false">IF(AND(C12=0,E12=0),0,IF(C12=0,"New",(E12-C12)/C12))</f>
        <v>-0.530333845924897</v>
      </c>
      <c r="H12" s="9" t="n">
        <f aca="false">SUMIFS('Source 2025'!$Q:$Q,'Source 2025'!$B:$B,$A12,'Source 2025'!$A:$A,"Amount (NIS)")</f>
        <v>197774.9</v>
      </c>
      <c r="I12" s="9" t="n">
        <f aca="false">SUMIFS('Source 2026'!$Q:$Q,'Source 2026'!$B:$B,$A12,'Source 2026'!$A:$A,"Amount (NIS)")</f>
        <v>78734.4</v>
      </c>
      <c r="J12" s="9" t="n">
        <f aca="false">I12*$J$5</f>
        <v>99453.9789473684</v>
      </c>
      <c r="K12" s="9" t="n">
        <f aca="false">J12-H12</f>
        <v>-98320.9210526316</v>
      </c>
      <c r="L12" s="11" t="n">
        <f aca="false">IF(AND(H12=0,J12=0),0,IF(H12=0,"New",(J12-H12)/H12))</f>
        <v>-0.497135486113918</v>
      </c>
    </row>
    <row r="13" customFormat="false" ht="15" hidden="false" customHeight="true" outlineLevel="0" collapsed="false">
      <c r="A13" s="8" t="s">
        <v>85</v>
      </c>
      <c r="B13" s="8" t="str">
        <f aca="false">IFERROR(INDEX('Source 2026'!$C:$C,MATCH($A13,'Source 2026'!$B:$B,0)),IFERROR(INDEX('Source 2025'!$C:$C,MATCH($A13,'Source 2025'!$B:$B,0)),""))</f>
        <v>L סד ליד דו צדדי לאחר שבר</v>
      </c>
      <c r="C13" s="9" t="n">
        <f aca="false">SUMIFS('Source 2025'!$Q:$Q,'Source 2025'!$B:$B,$A13,'Source 2025'!$A:$A,"Quantity (units)")</f>
        <v>2550</v>
      </c>
      <c r="D13" s="9" t="n">
        <f aca="false">SUMIFS('Source 2026'!$Q:$Q,'Source 2026'!$B:$B,$A13,'Source 2026'!$A:$A,"Quantity (units)")</f>
        <v>1172</v>
      </c>
      <c r="E13" s="9" t="n">
        <f aca="false">D13*$J$5</f>
        <v>1480.42105263158</v>
      </c>
      <c r="F13" s="9" t="n">
        <f aca="false">E13-C13</f>
        <v>-1069.57894736842</v>
      </c>
      <c r="G13" s="11" t="n">
        <f aca="false">IF(AND(C13=0,E13=0),0,IF(C13=0,"New",(E13-C13)/C13))</f>
        <v>-0.419442724458204</v>
      </c>
      <c r="H13" s="9" t="n">
        <f aca="false">SUMIFS('Source 2025'!$Q:$Q,'Source 2025'!$B:$B,$A13,'Source 2025'!$A:$A,"Amount (NIS)")</f>
        <v>208574.2</v>
      </c>
      <c r="I13" s="9" t="n">
        <f aca="false">SUMIFS('Source 2026'!$Q:$Q,'Source 2026'!$B:$B,$A13,'Source 2026'!$A:$A,"Amount (NIS)")</f>
        <v>97035.9</v>
      </c>
      <c r="J13" s="9" t="n">
        <f aca="false">I13*$J$5</f>
        <v>122571.663157895</v>
      </c>
      <c r="K13" s="9" t="n">
        <f aca="false">J13-H13</f>
        <v>-86002.5368421053</v>
      </c>
      <c r="L13" s="11" t="n">
        <f aca="false">IF(AND(H13=0,J13=0),0,IF(H13=0,"New",(J13-H13)/H13))</f>
        <v>-0.412335451086977</v>
      </c>
    </row>
    <row r="14" customFormat="false" ht="15" hidden="false" customHeight="true" outlineLevel="0" collapsed="false">
      <c r="A14" s="8" t="s">
        <v>94</v>
      </c>
      <c r="B14" s="8" t="str">
        <f aca="false">IFERROR(INDEX('Source 2026'!$C:$C,MATCH($A14,'Source 2026'!$B:$B,0)),IFERROR(INDEX('Source 2025'!$C:$C,MATCH($A14,'Source 2025'!$B:$B,0)),""))</f>
        <v>S מגן קרסול חום</v>
      </c>
      <c r="C14" s="9" t="n">
        <f aca="false">SUMIFS('Source 2025'!$Q:$Q,'Source 2025'!$B:$B,$A14,'Source 2025'!$A:$A,"Quantity (units)")</f>
        <v>10751</v>
      </c>
      <c r="D14" s="9" t="n">
        <f aca="false">SUMIFS('Source 2026'!$Q:$Q,'Source 2026'!$B:$B,$A14,'Source 2026'!$A:$A,"Quantity (units)")</f>
        <v>7007</v>
      </c>
      <c r="E14" s="9" t="n">
        <f aca="false">D14*$J$5</f>
        <v>8850.94736842105</v>
      </c>
      <c r="F14" s="9" t="n">
        <f aca="false">E14-C14</f>
        <v>-1900.05263157895</v>
      </c>
      <c r="G14" s="11" t="n">
        <f aca="false">IF(AND(C14=0,E14=0),0,IF(C14=0,"New",(E14-C14)/C14))</f>
        <v>-0.176732641761599</v>
      </c>
      <c r="H14" s="9" t="n">
        <f aca="false">SUMIFS('Source 2025'!$Q:$Q,'Source 2025'!$B:$B,$A14,'Source 2025'!$A:$A,"Amount (NIS)")</f>
        <v>276617</v>
      </c>
      <c r="I14" s="9" t="n">
        <f aca="false">SUMIFS('Source 2026'!$Q:$Q,'Source 2026'!$B:$B,$A14,'Source 2026'!$A:$A,"Amount (NIS)")</f>
        <v>183180</v>
      </c>
      <c r="J14" s="9" t="n">
        <f aca="false">I14*$J$5</f>
        <v>231385.263157895</v>
      </c>
      <c r="K14" s="9" t="n">
        <f aca="false">J14-H14</f>
        <v>-45231.7368421053</v>
      </c>
      <c r="L14" s="11" t="n">
        <f aca="false">IF(AND(H14=0,J14=0),0,IF(H14=0,"New",(J14-H14)/H14))</f>
        <v>-0.163517559810515</v>
      </c>
    </row>
    <row r="15" customFormat="false" ht="15" hidden="false" customHeight="true" outlineLevel="0" collapsed="false">
      <c r="A15" s="8" t="s">
        <v>78</v>
      </c>
      <c r="B15" s="8" t="str">
        <f aca="false">IFERROR(INDEX('Source 2026'!$C:$C,MATCH($A15,'Source 2026'!$B:$B,0)),IFERROR(INDEX('Source 2025'!$C:$C,MATCH($A15,'Source 2025'!$B:$B,0)),""))</f>
        <v>S  חבק יד ארוך</v>
      </c>
      <c r="C15" s="9" t="n">
        <f aca="false">SUMIFS('Source 2025'!$Q:$Q,'Source 2025'!$B:$B,$A15,'Source 2025'!$A:$A,"Quantity (units)")</f>
        <v>8258</v>
      </c>
      <c r="D15" s="9" t="n">
        <f aca="false">SUMIFS('Source 2026'!$Q:$Q,'Source 2026'!$B:$B,$A15,'Source 2026'!$A:$A,"Quantity (units)")</f>
        <v>5458</v>
      </c>
      <c r="E15" s="9" t="n">
        <f aca="false">D15*$J$5</f>
        <v>6894.31578947368</v>
      </c>
      <c r="F15" s="9" t="n">
        <f aca="false">E15-C15</f>
        <v>-1363.68421052632</v>
      </c>
      <c r="G15" s="11" t="n">
        <f aca="false">IF(AND(C15=0,E15=0),0,IF(C15=0,"New",(E15-C15)/C15))</f>
        <v>-0.165134924985023</v>
      </c>
      <c r="H15" s="9" t="n">
        <f aca="false">SUMIFS('Source 2025'!$Q:$Q,'Source 2025'!$B:$B,$A15,'Source 2025'!$A:$A,"Amount (NIS)")</f>
        <v>269862.5</v>
      </c>
      <c r="I15" s="9" t="n">
        <f aca="false">SUMIFS('Source 2026'!$Q:$Q,'Source 2026'!$B:$B,$A15,'Source 2026'!$A:$A,"Amount (NIS)")</f>
        <v>179838.7</v>
      </c>
      <c r="J15" s="9" t="n">
        <f aca="false">I15*$J$5</f>
        <v>227164.673684211</v>
      </c>
      <c r="K15" s="9" t="n">
        <f aca="false">J15-H15</f>
        <v>-42697.8263157895</v>
      </c>
      <c r="L15" s="11" t="n">
        <f aca="false">IF(AND(H15=0,J15=0),0,IF(H15=0,"New",(J15-H15)/H15))</f>
        <v>-0.158220672808521</v>
      </c>
    </row>
    <row r="16" customFormat="false" ht="15" hidden="false" customHeight="true" outlineLevel="0" collapsed="false">
      <c r="A16" s="8" t="s">
        <v>80</v>
      </c>
      <c r="B16" s="8" t="str">
        <f aca="false">IFERROR(INDEX('Source 2026'!$C:$C,MATCH($A16,'Source 2026'!$B:$B,0)),IFERROR(INDEX('Source 2025'!$C:$C,MATCH($A16,'Source 2025'!$B:$B,0)),""))</f>
        <v>טיסה אנטי בקטרי35-38</v>
      </c>
      <c r="C16" s="9" t="n">
        <f aca="false">SUMIFS('Source 2025'!$Q:$Q,'Source 2025'!$B:$B,$A16,'Source 2025'!$A:$A,"Quantity (units)")</f>
        <v>0</v>
      </c>
      <c r="D16" s="9" t="n">
        <f aca="false">SUMIFS('Source 2026'!$Q:$Q,'Source 2026'!$B:$B,$A16,'Source 2026'!$A:$A,"Quantity (units)")</f>
        <v>1552</v>
      </c>
      <c r="E16" s="9" t="n">
        <f aca="false">D16*$J$5</f>
        <v>1960.42105263158</v>
      </c>
      <c r="F16" s="9" t="n">
        <f aca="false">E16-C16</f>
        <v>1960.42105263158</v>
      </c>
      <c r="G16" s="11" t="str">
        <f aca="false">IF(AND(C16=0,E16=0),0,IF(C16=0,"New",(E16-C16)/C16))</f>
        <v>New</v>
      </c>
      <c r="H16" s="9" t="n">
        <f aca="false">SUMIFS('Source 2025'!$Q:$Q,'Source 2025'!$B:$B,$A16,'Source 2025'!$A:$A,"Amount (NIS)")</f>
        <v>0</v>
      </c>
      <c r="I16" s="9" t="n">
        <f aca="false">SUMIFS('Source 2026'!$Q:$Q,'Source 2026'!$B:$B,$A16,'Source 2026'!$A:$A,"Amount (NIS)")</f>
        <v>84761</v>
      </c>
      <c r="J16" s="9" t="n">
        <f aca="false">I16*$J$5</f>
        <v>107066.526315789</v>
      </c>
      <c r="K16" s="9" t="n">
        <f aca="false">J16-H16</f>
        <v>107066.526315789</v>
      </c>
      <c r="L16" s="11" t="str">
        <f aca="false">IF(AND(H16=0,J16=0),0,IF(H16=0,"New",(J16-H16)/H16))</f>
        <v>New</v>
      </c>
    </row>
    <row r="17" customFormat="false" ht="15" hidden="false" customHeight="true" outlineLevel="0" collapsed="false">
      <c r="A17" s="8" t="s">
        <v>79</v>
      </c>
      <c r="B17" s="8" t="str">
        <f aca="false">IFERROR(INDEX('Source 2026'!$C:$C,MATCH($A17,'Source 2026'!$B:$B,0)),IFERROR(INDEX('Source 2025'!$C:$C,MATCH($A17,'Source 2025'!$B:$B,0)),""))</f>
        <v>35-38 גרבי טיסה מידה</v>
      </c>
      <c r="C17" s="9" t="n">
        <f aca="false">SUMIFS('Source 2025'!$Q:$Q,'Source 2025'!$B:$B,$A17,'Source 2025'!$A:$A,"Quantity (units)")</f>
        <v>1506</v>
      </c>
      <c r="D17" s="9" t="n">
        <f aca="false">SUMIFS('Source 2026'!$Q:$Q,'Source 2026'!$B:$B,$A17,'Source 2026'!$A:$A,"Quantity (units)")</f>
        <v>-10</v>
      </c>
      <c r="E17" s="9" t="n">
        <f aca="false">D17*$J$5</f>
        <v>-12.6315789473684</v>
      </c>
      <c r="F17" s="9" t="n">
        <f aca="false">E17-C17</f>
        <v>-1518.63157894737</v>
      </c>
      <c r="G17" s="11" t="n">
        <f aca="false">IF(AND(C17=0,E17=0),0,IF(C17=0,"New",(E17-C17)/C17))</f>
        <v>-1.00838750262109</v>
      </c>
      <c r="H17" s="9" t="n">
        <f aca="false">SUMIFS('Source 2025'!$Q:$Q,'Source 2025'!$B:$B,$A17,'Source 2025'!$A:$A,"Amount (NIS)")</f>
        <v>79204.9</v>
      </c>
      <c r="I17" s="9" t="n">
        <f aca="false">SUMIFS('Source 2026'!$Q:$Q,'Source 2026'!$B:$B,$A17,'Source 2026'!$A:$A,"Amount (NIS)")</f>
        <v>-514.5</v>
      </c>
      <c r="J17" s="9" t="n">
        <f aca="false">I17*$J$5</f>
        <v>-649.894736842105</v>
      </c>
      <c r="K17" s="9" t="n">
        <f aca="false">J17-H17</f>
        <v>-79854.7947368421</v>
      </c>
      <c r="L17" s="11" t="n">
        <f aca="false">IF(AND(H17=0,J17=0),0,IF(H17=0,"New",(J17-H17)/H17))</f>
        <v>-1.00820523397974</v>
      </c>
    </row>
    <row r="18" customFormat="false" ht="15" hidden="false" customHeight="true" outlineLevel="0" collapsed="false">
      <c r="A18" s="8" t="s">
        <v>93</v>
      </c>
      <c r="B18" s="8" t="str">
        <f aca="false">IFERROR(INDEX('Source 2026'!$C:$C,MATCH($A18,'Source 2026'!$B:$B,0)),IFERROR(INDEX('Source 2025'!$C:$C,MATCH($A18,'Source 2025'!$B:$B,0)),""))</f>
        <v>M מגן קרסול עקב סגור</v>
      </c>
      <c r="C18" s="9" t="n">
        <f aca="false">SUMIFS('Source 2025'!$Q:$Q,'Source 2025'!$B:$B,$A18,'Source 2025'!$A:$A,"Quantity (units)")</f>
        <v>6177</v>
      </c>
      <c r="D18" s="9" t="n">
        <f aca="false">SUMIFS('Source 2026'!$Q:$Q,'Source 2026'!$B:$B,$A18,'Source 2026'!$A:$A,"Quantity (units)")</f>
        <v>4200</v>
      </c>
      <c r="E18" s="9" t="n">
        <f aca="false">D18*$J$5</f>
        <v>5305.26315789474</v>
      </c>
      <c r="F18" s="9" t="n">
        <f aca="false">E18-C18</f>
        <v>-871.736842105263</v>
      </c>
      <c r="G18" s="11" t="n">
        <f aca="false">IF(AND(C18=0,E18=0),0,IF(C18=0,"New",(E18-C18)/C18))</f>
        <v>-0.141126249329005</v>
      </c>
      <c r="H18" s="9" t="n">
        <f aca="false">SUMIFS('Source 2025'!$Q:$Q,'Source 2025'!$B:$B,$A18,'Source 2025'!$A:$A,"Amount (NIS)")</f>
        <v>231846.4</v>
      </c>
      <c r="I18" s="9" t="n">
        <f aca="false">SUMIFS('Source 2026'!$Q:$Q,'Source 2026'!$B:$B,$A18,'Source 2026'!$A:$A,"Amount (NIS)")</f>
        <v>159810.8</v>
      </c>
      <c r="J18" s="9" t="n">
        <f aca="false">I18*$J$5</f>
        <v>201866.273684211</v>
      </c>
      <c r="K18" s="9" t="n">
        <f aca="false">J18-H18</f>
        <v>-29980.1263157895</v>
      </c>
      <c r="L18" s="11" t="n">
        <f aca="false">IF(AND(H18=0,J18=0),0,IF(H18=0,"New",(J18-H18)/H18))</f>
        <v>-0.129310294728706</v>
      </c>
    </row>
    <row r="19" customFormat="false" ht="15" hidden="false" customHeight="true" outlineLevel="0" collapsed="false">
      <c r="A19" s="8" t="s">
        <v>95</v>
      </c>
      <c r="B19" s="8" t="str">
        <f aca="false">IFERROR(INDEX('Source 2026'!$C:$C,MATCH($A19,'Source 2026'!$B:$B,0)),IFERROR(INDEX('Source 2025'!$C:$C,MATCH($A19,'Source 2025'!$B:$B,0)),""))</f>
        <v>מישר כתפיים אקטיב</v>
      </c>
      <c r="C19" s="9" t="n">
        <f aca="false">SUMIFS('Source 2025'!$Q:$Q,'Source 2025'!$B:$B,$A19,'Source 2025'!$A:$A,"Quantity (units)")</f>
        <v>659</v>
      </c>
      <c r="D19" s="9" t="n">
        <f aca="false">SUMIFS('Source 2026'!$Q:$Q,'Source 2026'!$B:$B,$A19,'Source 2026'!$A:$A,"Quantity (units)")</f>
        <v>1707</v>
      </c>
      <c r="E19" s="9" t="n">
        <f aca="false">D19*$J$5</f>
        <v>2156.21052631579</v>
      </c>
      <c r="F19" s="9" t="n">
        <f aca="false">E19-C19</f>
        <v>1497.21052631579</v>
      </c>
      <c r="G19" s="11" t="n">
        <f aca="false">IF(AND(C19=0,E19=0),0,IF(C19=0,"New",(E19-C19)/C19))</f>
        <v>2.27194313553231</v>
      </c>
      <c r="H19" s="9" t="n">
        <f aca="false">SUMIFS('Source 2025'!$Q:$Q,'Source 2025'!$B:$B,$A19,'Source 2025'!$A:$A,"Amount (NIS)")</f>
        <v>40255.2</v>
      </c>
      <c r="I19" s="9" t="n">
        <f aca="false">SUMIFS('Source 2026'!$Q:$Q,'Source 2026'!$B:$B,$A19,'Source 2026'!$A:$A,"Amount (NIS)")</f>
        <v>109715.2</v>
      </c>
      <c r="J19" s="9" t="n">
        <f aca="false">I19*$J$5</f>
        <v>138587.621052632</v>
      </c>
      <c r="K19" s="9" t="n">
        <f aca="false">J19-H19</f>
        <v>98332.4210526316</v>
      </c>
      <c r="L19" s="11" t="n">
        <f aca="false">IF(AND(H19=0,J19=0),0,IF(H19=0,"New",(J19-H19)/H19))</f>
        <v>2.44272593485144</v>
      </c>
    </row>
    <row r="20" customFormat="false" ht="15" hidden="false" customHeight="true" outlineLevel="0" collapsed="false">
      <c r="A20" s="8" t="s">
        <v>87</v>
      </c>
      <c r="B20" s="8" t="str">
        <f aca="false">IFERROR(INDEX('Source 2026'!$C:$C,MATCH($A20,'Source 2026'!$B:$B,0)),IFERROR(INDEX('Source 2025'!$C:$C,MATCH($A20,'Source 2025'!$B:$B,0)),""))</f>
        <v>S מגן ברך חום</v>
      </c>
      <c r="C20" s="9" t="n">
        <f aca="false">SUMIFS('Source 2025'!$Q:$Q,'Source 2025'!$B:$B,$A20,'Source 2025'!$A:$A,"Quantity (units)")</f>
        <v>10069</v>
      </c>
      <c r="D20" s="9" t="n">
        <f aca="false">SUMIFS('Source 2026'!$Q:$Q,'Source 2026'!$B:$B,$A20,'Source 2026'!$A:$A,"Quantity (units)")</f>
        <v>7331</v>
      </c>
      <c r="E20" s="9" t="n">
        <f aca="false">D20*$J$5</f>
        <v>9260.21052631579</v>
      </c>
      <c r="F20" s="9" t="n">
        <f aca="false">E20-C20</f>
        <v>-808.789473684212</v>
      </c>
      <c r="G20" s="11" t="n">
        <f aca="false">IF(AND(C20=0,E20=0),0,IF(C20=0,"New",(E20-C20)/C20))</f>
        <v>-0.0803247068908742</v>
      </c>
      <c r="H20" s="9" t="n">
        <f aca="false">SUMIFS('Source 2025'!$Q:$Q,'Source 2025'!$B:$B,$A20,'Source 2025'!$A:$A,"Amount (NIS)")</f>
        <v>259116.9</v>
      </c>
      <c r="I20" s="9" t="n">
        <f aca="false">SUMIFS('Source 2026'!$Q:$Q,'Source 2026'!$B:$B,$A20,'Source 2026'!$A:$A,"Amount (NIS)")</f>
        <v>190767.7</v>
      </c>
      <c r="J20" s="9" t="n">
        <f aca="false">I20*$J$5</f>
        <v>240969.726315789</v>
      </c>
      <c r="K20" s="9" t="n">
        <f aca="false">J20-H20</f>
        <v>-18147.1736842105</v>
      </c>
      <c r="L20" s="11" t="n">
        <f aca="false">IF(AND(H20=0,J20=0),0,IF(H20=0,"New",(J20-H20)/H20))</f>
        <v>-0.070034697405729</v>
      </c>
    </row>
    <row r="21" customFormat="false" ht="15" hidden="false" customHeight="true" outlineLevel="0" collapsed="false">
      <c r="A21" s="8" t="s">
        <v>194</v>
      </c>
      <c r="B21" s="8" t="str">
        <f aca="false">IFERROR(INDEX('Source 2026'!$C:$C,MATCH($A21,'Source 2026'!$B:$B,0)),IFERROR(INDEX('Source 2025'!$C:$C,MATCH($A21,'Source 2025'!$B:$B,0)),""))</f>
        <v>S 'מגן ברך ארוך בז</v>
      </c>
      <c r="C21" s="9" t="n">
        <f aca="false">SUMIFS('Source 2025'!$Q:$Q,'Source 2025'!$B:$B,$A21,'Source 2025'!$A:$A,"Quantity (units)")</f>
        <v>9351</v>
      </c>
      <c r="D21" s="9" t="n">
        <f aca="false">SUMIFS('Source 2026'!$Q:$Q,'Source 2026'!$B:$B,$A21,'Source 2026'!$A:$A,"Quantity (units)")</f>
        <v>7130</v>
      </c>
      <c r="E21" s="9" t="n">
        <f aca="false">D21*$J$5</f>
        <v>9006.31578947368</v>
      </c>
      <c r="F21" s="9" t="n">
        <f aca="false">E21-C21</f>
        <v>-344.684210526317</v>
      </c>
      <c r="G21" s="11" t="n">
        <f aca="false">IF(AND(C21=0,E21=0),0,IF(C21=0,"New",(E21-C21)/C21))</f>
        <v>-0.0368606791280416</v>
      </c>
      <c r="H21" s="9" t="n">
        <f aca="false">SUMIFS('Source 2025'!$Q:$Q,'Source 2025'!$B:$B,$A21,'Source 2025'!$A:$A,"Amount (NIS)")</f>
        <v>290388.7</v>
      </c>
      <c r="I21" s="9" t="n">
        <f aca="false">SUMIFS('Source 2026'!$Q:$Q,'Source 2026'!$B:$B,$A21,'Source 2026'!$A:$A,"Amount (NIS)")</f>
        <v>222926.7</v>
      </c>
      <c r="J21" s="9" t="n">
        <f aca="false">I21*$J$5</f>
        <v>281591.621052632</v>
      </c>
      <c r="K21" s="9" t="n">
        <f aca="false">J21-H21</f>
        <v>-8797.07894736843</v>
      </c>
      <c r="L21" s="11" t="n">
        <f aca="false">IF(AND(H21=0,J21=0),0,IF(H21=0,"New",(J21-H21)/H21))</f>
        <v>-0.0302941503831534</v>
      </c>
    </row>
    <row r="22" customFormat="false" ht="15" hidden="false" customHeight="true" outlineLevel="0" collapsed="false">
      <c r="A22" s="8" t="s">
        <v>114</v>
      </c>
      <c r="B22" s="8" t="str">
        <f aca="false">IFERROR(INDEX('Source 2026'!$C:$C,MATCH($A22,'Source 2026'!$B:$B,0)),IFERROR(INDEX('Source 2025'!$C:$C,MATCH($A22,'Source 2025'!$B:$B,0)),""))</f>
        <v>Sמגן ברך ארוך לבן</v>
      </c>
      <c r="C22" s="9" t="n">
        <f aca="false">SUMIFS('Source 2025'!$Q:$Q,'Source 2025'!$B:$B,$A22,'Source 2025'!$A:$A,"Quantity (units)")</f>
        <v>4657</v>
      </c>
      <c r="D22" s="9" t="n">
        <f aca="false">SUMIFS('Source 2026'!$Q:$Q,'Source 2026'!$B:$B,$A22,'Source 2026'!$A:$A,"Quantity (units)")</f>
        <v>2675</v>
      </c>
      <c r="E22" s="9" t="n">
        <f aca="false">D22*$J$5</f>
        <v>3378.94736842105</v>
      </c>
      <c r="F22" s="9" t="n">
        <f aca="false">E22-C22</f>
        <v>-1278.05263157895</v>
      </c>
      <c r="G22" s="11" t="n">
        <f aca="false">IF(AND(C22=0,E22=0),0,IF(C22=0,"New",(E22-C22)/C22))</f>
        <v>-0.274436897483132</v>
      </c>
      <c r="H22" s="9" t="n">
        <f aca="false">SUMIFS('Source 2025'!$Q:$Q,'Source 2025'!$B:$B,$A22,'Source 2025'!$A:$A,"Amount (NIS)")</f>
        <v>144547.9</v>
      </c>
      <c r="I22" s="9" t="n">
        <f aca="false">SUMIFS('Source 2026'!$Q:$Q,'Source 2026'!$B:$B,$A22,'Source 2026'!$A:$A,"Amount (NIS)")</f>
        <v>83475.2</v>
      </c>
      <c r="J22" s="9" t="n">
        <f aca="false">I22*$J$5</f>
        <v>105442.357894737</v>
      </c>
      <c r="K22" s="9" t="n">
        <f aca="false">J22-H22</f>
        <v>-39105.5421052631</v>
      </c>
      <c r="L22" s="11" t="n">
        <f aca="false">IF(AND(H22=0,J22=0),0,IF(H22=0,"New",(J22-H22)/H22))</f>
        <v>-0.270536909254739</v>
      </c>
    </row>
    <row r="23" customFormat="false" ht="15" hidden="false" customHeight="true" outlineLevel="0" collapsed="false">
      <c r="A23" s="8" t="s">
        <v>89</v>
      </c>
      <c r="B23" s="8" t="str">
        <f aca="false">IFERROR(INDEX('Source 2026'!$C:$C,MATCH($A23,'Source 2026'!$B:$B,0)),IFERROR(INDEX('Source 2025'!$C:$C,MATCH($A23,'Source 2025'!$B:$B,0)),""))</f>
        <v>L סד לאגודל לאחר שבר</v>
      </c>
      <c r="C23" s="9" t="n">
        <f aca="false">SUMIFS('Source 2025'!$Q:$Q,'Source 2025'!$B:$B,$A23,'Source 2025'!$A:$A,"Quantity (units)")</f>
        <v>1991</v>
      </c>
      <c r="D23" s="9" t="n">
        <f aca="false">SUMIFS('Source 2026'!$Q:$Q,'Source 2026'!$B:$B,$A23,'Source 2026'!$A:$A,"Quantity (units)")</f>
        <v>1240</v>
      </c>
      <c r="E23" s="9" t="n">
        <f aca="false">D23*$J$5</f>
        <v>1566.31578947368</v>
      </c>
      <c r="F23" s="9" t="n">
        <f aca="false">E23-C23</f>
        <v>-424.684210526316</v>
      </c>
      <c r="G23" s="11" t="n">
        <f aca="false">IF(AND(C23=0,E23=0),0,IF(C23=0,"New",(E23-C23)/C23))</f>
        <v>-0.213301964101615</v>
      </c>
      <c r="H23" s="9" t="n">
        <f aca="false">SUMIFS('Source 2025'!$Q:$Q,'Source 2025'!$B:$B,$A23,'Source 2025'!$A:$A,"Amount (NIS)")</f>
        <v>162880.5</v>
      </c>
      <c r="I23" s="9" t="n">
        <f aca="false">SUMIFS('Source 2026'!$Q:$Q,'Source 2026'!$B:$B,$A23,'Source 2026'!$A:$A,"Amount (NIS)")</f>
        <v>101877.3</v>
      </c>
      <c r="J23" s="9" t="n">
        <f aca="false">I23*$J$5</f>
        <v>128687.115789474</v>
      </c>
      <c r="K23" s="9" t="n">
        <f aca="false">J23-H23</f>
        <v>-34193.3842105263</v>
      </c>
      <c r="L23" s="11" t="n">
        <f aca="false">IF(AND(H23=0,J23=0),0,IF(H23=0,"New",(J23-H23)/H23))</f>
        <v>-0.209929268454642</v>
      </c>
    </row>
    <row r="24" customFormat="false" ht="15" hidden="false" customHeight="true" outlineLevel="0" collapsed="false">
      <c r="A24" s="8" t="s">
        <v>88</v>
      </c>
      <c r="B24" s="8" t="str">
        <f aca="false">IFERROR(INDEX('Source 2026'!$C:$C,MATCH($A24,'Source 2026'!$B:$B,0)),IFERROR(INDEX('Source 2025'!$C:$C,MATCH($A24,'Source 2025'!$B:$B,0)),""))</f>
        <v>סד ליד דו צדדי</v>
      </c>
      <c r="C24" s="9" t="n">
        <f aca="false">SUMIFS('Source 2025'!$Q:$Q,'Source 2025'!$B:$B,$A24,'Source 2025'!$A:$A,"Quantity (units)")</f>
        <v>4521</v>
      </c>
      <c r="D24" s="9" t="n">
        <f aca="false">SUMIFS('Source 2026'!$Q:$Q,'Source 2026'!$B:$B,$A24,'Source 2026'!$A:$A,"Quantity (units)")</f>
        <v>3632</v>
      </c>
      <c r="E24" s="9" t="n">
        <f aca="false">D24*$J$5</f>
        <v>4587.78947368421</v>
      </c>
      <c r="F24" s="9" t="n">
        <f aca="false">E24-C24</f>
        <v>66.78947368421</v>
      </c>
      <c r="G24" s="11" t="n">
        <f aca="false">IF(AND(C24=0,E24=0),0,IF(C24=0,"New",(E24-C24)/C24))</f>
        <v>0.014773163831942</v>
      </c>
      <c r="H24" s="9" t="n">
        <f aca="false">SUMIFS('Source 2025'!$Q:$Q,'Source 2025'!$B:$B,$A24,'Source 2025'!$A:$A,"Amount (NIS)")</f>
        <v>304743.2</v>
      </c>
      <c r="I24" s="9" t="n">
        <f aca="false">SUMIFS('Source 2026'!$Q:$Q,'Source 2026'!$B:$B,$A24,'Source 2026'!$A:$A,"Amount (NIS)")</f>
        <v>245794.8</v>
      </c>
      <c r="J24" s="9" t="n">
        <f aca="false">I24*$J$5</f>
        <v>310477.642105263</v>
      </c>
      <c r="K24" s="9" t="n">
        <f aca="false">J24-H24</f>
        <v>5734.44210526312</v>
      </c>
      <c r="L24" s="11" t="n">
        <f aca="false">IF(AND(H24=0,J24=0),0,IF(H24=0,"New",(J24-H24)/H24))</f>
        <v>0.0188172930692567</v>
      </c>
    </row>
    <row r="25" customFormat="false" ht="15" hidden="false" customHeight="true" outlineLevel="0" collapsed="false">
      <c r="A25" s="8" t="s">
        <v>173</v>
      </c>
      <c r="B25" s="8" t="str">
        <f aca="false">IFERROR(INDEX('Source 2026'!$C:$C,MATCH($A25,'Source 2026'!$B:$B,0)),IFERROR(INDEX('Source 2025'!$C:$C,MATCH($A25,'Source 2025'!$B:$B,0)),""))</f>
        <v>גב אפורה</v>
      </c>
      <c r="C25" s="9" t="n">
        <f aca="false">SUMIFS('Source 2025'!$Q:$Q,'Source 2025'!$B:$B,$A25,'Source 2025'!$A:$A,"Quantity (units)")</f>
        <v>1499</v>
      </c>
      <c r="D25" s="9" t="n">
        <f aca="false">SUMIFS('Source 2026'!$Q:$Q,'Source 2026'!$B:$B,$A25,'Source 2026'!$A:$A,"Quantity (units)")</f>
        <v>892</v>
      </c>
      <c r="E25" s="9" t="n">
        <f aca="false">D25*$J$5</f>
        <v>1126.73684210526</v>
      </c>
      <c r="F25" s="9" t="n">
        <f aca="false">E25-C25</f>
        <v>-372.263157894737</v>
      </c>
      <c r="G25" s="11" t="n">
        <f aca="false">IF(AND(C25=0,E25=0),0,IF(C25=0,"New",(E25-C25)/C25))</f>
        <v>-0.248340999262666</v>
      </c>
      <c r="H25" s="9" t="n">
        <f aca="false">SUMIFS('Source 2025'!$Q:$Q,'Source 2025'!$B:$B,$A25,'Source 2025'!$A:$A,"Amount (NIS)")</f>
        <v>137916.9</v>
      </c>
      <c r="I25" s="9" t="n">
        <f aca="false">SUMIFS('Source 2026'!$Q:$Q,'Source 2026'!$B:$B,$A25,'Source 2026'!$A:$A,"Amount (NIS)")</f>
        <v>83552.7</v>
      </c>
      <c r="J25" s="9" t="n">
        <f aca="false">I25*$J$5</f>
        <v>105540.252631579</v>
      </c>
      <c r="K25" s="9" t="n">
        <f aca="false">J25-H25</f>
        <v>-32376.6473684211</v>
      </c>
      <c r="L25" s="11" t="n">
        <f aca="false">IF(AND(H25=0,J25=0),0,IF(H25=0,"New",(J25-H25)/H25))</f>
        <v>-0.23475474991405</v>
      </c>
    </row>
    <row r="26" customFormat="false" ht="15" hidden="false" customHeight="true" outlineLevel="0" collapsed="false">
      <c r="A26" s="8" t="s">
        <v>231</v>
      </c>
      <c r="B26" s="8" t="str">
        <f aca="false">IFERROR(INDEX('Source 2026'!$C:$C,MATCH($A26,'Source 2026'!$B:$B,0)),IFERROR(INDEX('Source 2025'!$C:$C,MATCH($A26,'Source 2025'!$B:$B,0)),""))</f>
        <v>חגורת גב אפורה</v>
      </c>
      <c r="C26" s="9" t="n">
        <f aca="false">SUMIFS('Source 2025'!$Q:$Q,'Source 2025'!$B:$B,$A26,'Source 2025'!$A:$A,"Quantity (units)")</f>
        <v>1760</v>
      </c>
      <c r="D26" s="9" t="n">
        <f aca="false">SUMIFS('Source 2026'!$Q:$Q,'Source 2026'!$B:$B,$A26,'Source 2026'!$A:$A,"Quantity (units)")</f>
        <v>1180</v>
      </c>
      <c r="E26" s="9" t="n">
        <f aca="false">D26*$J$5</f>
        <v>1490.52631578947</v>
      </c>
      <c r="F26" s="9" t="n">
        <f aca="false">E26-C26</f>
        <v>-269.473684210526</v>
      </c>
      <c r="G26" s="11" t="n">
        <f aca="false">IF(AND(C26=0,E26=0),0,IF(C26=0,"New",(E26-C26)/C26))</f>
        <v>-0.15311004784689</v>
      </c>
      <c r="H26" s="9" t="n">
        <f aca="false">SUMIFS('Source 2025'!$Q:$Q,'Source 2025'!$B:$B,$A26,'Source 2025'!$A:$A,"Amount (NIS)")</f>
        <v>161994.9</v>
      </c>
      <c r="I26" s="9" t="n">
        <f aca="false">SUMIFS('Source 2026'!$Q:$Q,'Source 2026'!$B:$B,$A26,'Source 2026'!$A:$A,"Amount (NIS)")</f>
        <v>110437.7</v>
      </c>
      <c r="J26" s="9" t="n">
        <f aca="false">I26*$J$5</f>
        <v>139500.252631579</v>
      </c>
      <c r="K26" s="9" t="n">
        <f aca="false">J26-H26</f>
        <v>-22494.6473684211</v>
      </c>
      <c r="L26" s="11" t="n">
        <f aca="false">IF(AND(H26=0,J26=0),0,IF(H26=0,"New",(J26-H26)/H26))</f>
        <v>-0.138860219478644</v>
      </c>
    </row>
    <row r="27" customFormat="false" ht="15" hidden="false" customHeight="true" outlineLevel="0" collapsed="false">
      <c r="A27" s="8" t="s">
        <v>99</v>
      </c>
      <c r="B27" s="8" t="str">
        <f aca="false">IFERROR(INDEX('Source 2026'!$C:$C,MATCH($A27,'Source 2026'!$B:$B,0)),IFERROR(INDEX('Source 2025'!$C:$C,MATCH($A27,'Source 2025'!$B:$B,0)),""))</f>
        <v>S מגן קרסול לבן</v>
      </c>
      <c r="C27" s="9" t="n">
        <f aca="false">SUMIFS('Source 2025'!$Q:$Q,'Source 2025'!$B:$B,$A27,'Source 2025'!$A:$A,"Quantity (units)")</f>
        <v>5910</v>
      </c>
      <c r="D27" s="9" t="n">
        <f aca="false">SUMIFS('Source 2026'!$Q:$Q,'Source 2026'!$B:$B,$A27,'Source 2026'!$A:$A,"Quantity (units)")</f>
        <v>3889</v>
      </c>
      <c r="E27" s="9" t="n">
        <f aca="false">D27*$J$5</f>
        <v>4912.42105263158</v>
      </c>
      <c r="F27" s="9" t="n">
        <f aca="false">E27-C27</f>
        <v>-997.578947368422</v>
      </c>
      <c r="G27" s="11" t="n">
        <f aca="false">IF(AND(C27=0,E27=0),0,IF(C27=0,"New",(E27-C27)/C27))</f>
        <v>-0.168795084157093</v>
      </c>
      <c r="H27" s="9" t="n">
        <f aca="false">SUMIFS('Source 2025'!$Q:$Q,'Source 2025'!$B:$B,$A27,'Source 2025'!$A:$A,"Amount (NIS)")</f>
        <v>151929.9</v>
      </c>
      <c r="I27" s="9" t="n">
        <f aca="false">SUMIFS('Source 2026'!$Q:$Q,'Source 2026'!$B:$B,$A27,'Source 2026'!$A:$A,"Amount (NIS)")</f>
        <v>101337</v>
      </c>
      <c r="J27" s="9" t="n">
        <f aca="false">I27*$J$5</f>
        <v>128004.631578947</v>
      </c>
      <c r="K27" s="9" t="n">
        <f aca="false">J27-H27</f>
        <v>-23925.2684210526</v>
      </c>
      <c r="L27" s="11" t="n">
        <f aca="false">IF(AND(H27=0,J27=0),0,IF(H27=0,"New",(J27-H27)/H27))</f>
        <v>-0.157475707027074</v>
      </c>
    </row>
    <row r="28" customFormat="false" ht="15" hidden="false" customHeight="true" outlineLevel="0" collapsed="false">
      <c r="A28" s="8" t="s">
        <v>108</v>
      </c>
      <c r="B28" s="8" t="str">
        <f aca="false">IFERROR(INDEX('Source 2026'!$C:$C,MATCH($A28,'Source 2026'!$B:$B,0)),IFERROR(INDEX('Source 2025'!$C:$C,MATCH($A28,'Source 2025'!$B:$B,0)),""))</f>
        <v>S""חגורת בטן""אורירית</v>
      </c>
      <c r="C28" s="9" t="n">
        <f aca="false">SUMIFS('Source 2025'!$Q:$Q,'Source 2025'!$B:$B,$A28,'Source 2025'!$A:$A,"Quantity (units)")</f>
        <v>1369</v>
      </c>
      <c r="D28" s="9" t="n">
        <f aca="false">SUMIFS('Source 2026'!$Q:$Q,'Source 2026'!$B:$B,$A28,'Source 2026'!$A:$A,"Quantity (units)")</f>
        <v>805</v>
      </c>
      <c r="E28" s="9" t="n">
        <f aca="false">D28*$J$5</f>
        <v>1016.84210526316</v>
      </c>
      <c r="F28" s="9" t="n">
        <f aca="false">E28-C28</f>
        <v>-352.157894736842</v>
      </c>
      <c r="G28" s="11" t="n">
        <f aca="false">IF(AND(C28=0,E28=0),0,IF(C28=0,"New",(E28-C28)/C28))</f>
        <v>-0.257237322671178</v>
      </c>
      <c r="H28" s="9" t="n">
        <f aca="false">SUMIFS('Source 2025'!$Q:$Q,'Source 2025'!$B:$B,$A28,'Source 2025'!$A:$A,"Amount (NIS)")</f>
        <v>122995.2</v>
      </c>
      <c r="I28" s="9" t="n">
        <f aca="false">SUMIFS('Source 2026'!$Q:$Q,'Source 2026'!$B:$B,$A28,'Source 2026'!$A:$A,"Amount (NIS)")</f>
        <v>72957.1</v>
      </c>
      <c r="J28" s="9" t="n">
        <f aca="false">I28*$J$5</f>
        <v>92156.3368421052</v>
      </c>
      <c r="K28" s="9" t="n">
        <f aca="false">J28-H28</f>
        <v>-30838.8631578948</v>
      </c>
      <c r="L28" s="11" t="n">
        <f aca="false">IF(AND(H28=0,J28=0),0,IF(H28=0,"New",(J28-H28)/H28))</f>
        <v>-0.250732249371478</v>
      </c>
    </row>
    <row r="29" customFormat="false" ht="15" hidden="false" customHeight="true" outlineLevel="0" collapsed="false">
      <c r="A29" s="8" t="s">
        <v>100</v>
      </c>
      <c r="B29" s="8" t="str">
        <f aca="false">IFERROR(INDEX('Source 2026'!$C:$C,MATCH($A29,'Source 2026'!$B:$B,0)),IFERROR(INDEX('Source 2025'!$C:$C,MATCH($A29,'Source 2025'!$B:$B,0)),""))</f>
        <v>L מגן ברך לבן</v>
      </c>
      <c r="C29" s="9" t="n">
        <f aca="false">SUMIFS('Source 2025'!$Q:$Q,'Source 2025'!$B:$B,$A29,'Source 2025'!$A:$A,"Quantity (units)")</f>
        <v>5449</v>
      </c>
      <c r="D29" s="9" t="n">
        <f aca="false">SUMIFS('Source 2026'!$Q:$Q,'Source 2026'!$B:$B,$A29,'Source 2026'!$A:$A,"Quantity (units)")</f>
        <v>3475</v>
      </c>
      <c r="E29" s="9" t="n">
        <f aca="false">D29*$J$5</f>
        <v>4389.47368421053</v>
      </c>
      <c r="F29" s="9" t="n">
        <f aca="false">E29-C29</f>
        <v>-1059.52631578947</v>
      </c>
      <c r="G29" s="11" t="n">
        <f aca="false">IF(AND(C29=0,E29=0),0,IF(C29=0,"New",(E29-C29)/C29))</f>
        <v>-0.19444417614048</v>
      </c>
      <c r="H29" s="9" t="n">
        <f aca="false">SUMIFS('Source 2025'!$Q:$Q,'Source 2025'!$B:$B,$A29,'Source 2025'!$A:$A,"Amount (NIS)")</f>
        <v>140113</v>
      </c>
      <c r="I29" s="9" t="n">
        <f aca="false">SUMIFS('Source 2026'!$Q:$Q,'Source 2026'!$B:$B,$A29,'Source 2026'!$A:$A,"Amount (NIS)")</f>
        <v>90544.3</v>
      </c>
      <c r="J29" s="9" t="n">
        <f aca="false">I29*$J$5</f>
        <v>114371.747368421</v>
      </c>
      <c r="K29" s="9" t="n">
        <f aca="false">J29-H29</f>
        <v>-25741.2526315789</v>
      </c>
      <c r="L29" s="11" t="n">
        <f aca="false">IF(AND(H29=0,J29=0),0,IF(H29=0,"New",(J29-H29)/H29))</f>
        <v>-0.183717803712567</v>
      </c>
    </row>
    <row r="30" customFormat="false" ht="15" hidden="false" customHeight="true" outlineLevel="0" collapsed="false">
      <c r="A30" s="8" t="s">
        <v>125</v>
      </c>
      <c r="B30" s="8" t="str">
        <f aca="false">IFERROR(INDEX('Source 2026'!$C:$C,MATCH($A30,'Source 2026'!$B:$B,0)),IFERROR(INDEX('Source 2025'!$C:$C,MATCH($A30,'Source 2025'!$B:$B,0)),""))</f>
        <v>יד אגודלי</v>
      </c>
      <c r="C30" s="9" t="n">
        <f aca="false">SUMIFS('Source 2025'!$Q:$Q,'Source 2025'!$B:$B,$A30,'Source 2025'!$A:$A,"Quantity (units)")</f>
        <v>5414</v>
      </c>
      <c r="D30" s="9" t="n">
        <f aca="false">SUMIFS('Source 2026'!$Q:$Q,'Source 2026'!$B:$B,$A30,'Source 2026'!$A:$A,"Quantity (units)")</f>
        <v>4087</v>
      </c>
      <c r="E30" s="9" t="n">
        <f aca="false">D30*$J$5</f>
        <v>5162.52631578947</v>
      </c>
      <c r="F30" s="9" t="n">
        <f aca="false">E30-C30</f>
        <v>-251.473684210527</v>
      </c>
      <c r="G30" s="11" t="n">
        <f aca="false">IF(AND(C30=0,E30=0),0,IF(C30=0,"New",(E30-C30)/C30))</f>
        <v>-0.0464487780218926</v>
      </c>
      <c r="H30" s="9" t="n">
        <f aca="false">SUMIFS('Source 2025'!$Q:$Q,'Source 2025'!$B:$B,$A30,'Source 2025'!$A:$A,"Amount (NIS)")</f>
        <v>199054.3</v>
      </c>
      <c r="I30" s="9" t="n">
        <f aca="false">SUMIFS('Source 2026'!$Q:$Q,'Source 2026'!$B:$B,$A30,'Source 2026'!$A:$A,"Amount (NIS)")</f>
        <v>152480.8</v>
      </c>
      <c r="J30" s="9" t="n">
        <f aca="false">I30*$J$5</f>
        <v>192607.326315789</v>
      </c>
      <c r="K30" s="9" t="n">
        <f aca="false">J30-H30</f>
        <v>-6446.97368421053</v>
      </c>
      <c r="L30" s="11" t="n">
        <f aca="false">IF(AND(H30=0,J30=0),0,IF(H30=0,"New",(J30-H30)/H30))</f>
        <v>-0.0323880151506927</v>
      </c>
    </row>
    <row r="31" customFormat="false" ht="15" hidden="false" customHeight="true" outlineLevel="0" collapsed="false">
      <c r="A31" s="8" t="s">
        <v>96</v>
      </c>
      <c r="B31" s="8" t="str">
        <f aca="false">IFERROR(INDEX('Source 2026'!$C:$C,MATCH($A31,'Source 2026'!$B:$B,0)),IFERROR(INDEX('Source 2025'!$C:$C,MATCH($A31,'Source 2025'!$B:$B,0)),""))</f>
        <v>יד אגודלי</v>
      </c>
      <c r="C31" s="9" t="n">
        <f aca="false">SUMIFS('Source 2025'!$Q:$Q,'Source 2025'!$B:$B,$A31,'Source 2025'!$A:$A,"Quantity (units)")</f>
        <v>4392</v>
      </c>
      <c r="D31" s="9" t="n">
        <f aca="false">SUMIFS('Source 2026'!$Q:$Q,'Source 2026'!$B:$B,$A31,'Source 2026'!$A:$A,"Quantity (units)")</f>
        <v>3316</v>
      </c>
      <c r="E31" s="9" t="n">
        <f aca="false">D31*$J$5</f>
        <v>4188.63157894737</v>
      </c>
      <c r="F31" s="9" t="n">
        <f aca="false">E31-C31</f>
        <v>-203.368421052632</v>
      </c>
      <c r="G31" s="11" t="n">
        <f aca="false">IF(AND(C31=0,E31=0),0,IF(C31=0,"New",(E31-C31)/C31))</f>
        <v>-0.0463042853034225</v>
      </c>
      <c r="H31" s="9" t="n">
        <f aca="false">SUMIFS('Source 2025'!$Q:$Q,'Source 2025'!$B:$B,$A31,'Source 2025'!$A:$A,"Amount (NIS)")</f>
        <v>161481.4</v>
      </c>
      <c r="I31" s="9" t="n">
        <f aca="false">SUMIFS('Source 2026'!$Q:$Q,'Source 2026'!$B:$B,$A31,'Source 2026'!$A:$A,"Amount (NIS)")</f>
        <v>123767.5</v>
      </c>
      <c r="J31" s="9" t="n">
        <f aca="false">I31*$J$5</f>
        <v>156337.894736842</v>
      </c>
      <c r="K31" s="9" t="n">
        <f aca="false">J31-H31</f>
        <v>-5143.50526315789</v>
      </c>
      <c r="L31" s="11" t="n">
        <f aca="false">IF(AND(H31=0,J31=0),0,IF(H31=0,"New",(J31-H31)/H31))</f>
        <v>-0.0318519982063438</v>
      </c>
    </row>
    <row r="32" customFormat="false" ht="15" hidden="false" customHeight="true" outlineLevel="0" collapsed="false">
      <c r="A32" s="8" t="s">
        <v>349</v>
      </c>
      <c r="B32" s="8" t="str">
        <f aca="false">IFERROR(INDEX('Source 2026'!$C:$C,MATCH($A32,'Source 2026'!$B:$B,0)),IFERROR(INDEX('Source 2025'!$C:$C,MATCH($A32,'Source 2025'!$B:$B,0)),""))</f>
        <v>חגורת גב אפורה</v>
      </c>
      <c r="C32" s="9" t="n">
        <f aca="false">SUMIFS('Source 2025'!$Q:$Q,'Source 2025'!$B:$B,$A32,'Source 2025'!$A:$A,"Quantity (units)")</f>
        <v>1204</v>
      </c>
      <c r="D32" s="9" t="n">
        <f aca="false">SUMIFS('Source 2026'!$Q:$Q,'Source 2026'!$B:$B,$A32,'Source 2026'!$A:$A,"Quantity (units)")</f>
        <v>807</v>
      </c>
      <c r="E32" s="9" t="n">
        <f aca="false">D32*$J$5</f>
        <v>1019.36842105263</v>
      </c>
      <c r="F32" s="9" t="n">
        <f aca="false">E32-C32</f>
        <v>-184.631578947368</v>
      </c>
      <c r="G32" s="11" t="n">
        <f aca="false">IF(AND(C32=0,E32=0),0,IF(C32=0,"New",(E32-C32)/C32))</f>
        <v>-0.153348487497814</v>
      </c>
      <c r="H32" s="9" t="n">
        <f aca="false">SUMIFS('Source 2025'!$Q:$Q,'Source 2025'!$B:$B,$A32,'Source 2025'!$A:$A,"Amount (NIS)")</f>
        <v>110749.4</v>
      </c>
      <c r="I32" s="9" t="n">
        <f aca="false">SUMIFS('Source 2026'!$Q:$Q,'Source 2026'!$B:$B,$A32,'Source 2026'!$A:$A,"Amount (NIS)")</f>
        <v>75572.3</v>
      </c>
      <c r="J32" s="9" t="n">
        <f aca="false">I32*$J$5</f>
        <v>95459.7473684211</v>
      </c>
      <c r="K32" s="9" t="n">
        <f aca="false">J32-H32</f>
        <v>-15289.6526315789</v>
      </c>
      <c r="L32" s="11" t="n">
        <f aca="false">IF(AND(H32=0,J32=0),0,IF(H32=0,"New",(J32-H32)/H32))</f>
        <v>-0.138056302170296</v>
      </c>
    </row>
    <row r="33" customFormat="false" ht="15" hidden="false" customHeight="true" outlineLevel="0" collapsed="false">
      <c r="A33" s="8" t="s">
        <v>91</v>
      </c>
      <c r="B33" s="8" t="str">
        <f aca="false">IFERROR(INDEX('Source 2026'!$C:$C,MATCH($A33,'Source 2026'!$B:$B,0)),IFERROR(INDEX('Source 2025'!$C:$C,MATCH($A33,'Source 2025'!$B:$B,0)),""))</f>
        <v>L (מתלה ליד )כיס</v>
      </c>
      <c r="C33" s="9" t="n">
        <f aca="false">SUMIFS('Source 2025'!$Q:$Q,'Source 2025'!$B:$B,$A33,'Source 2025'!$A:$A,"Quantity (units)")</f>
        <v>2070</v>
      </c>
      <c r="D33" s="9" t="n">
        <f aca="false">SUMIFS('Source 2026'!$Q:$Q,'Source 2026'!$B:$B,$A33,'Source 2026'!$A:$A,"Quantity (units)")</f>
        <v>1381</v>
      </c>
      <c r="E33" s="9" t="n">
        <f aca="false">D33*$J$5</f>
        <v>1744.42105263158</v>
      </c>
      <c r="F33" s="9" t="n">
        <f aca="false">E33-C33</f>
        <v>-325.578947368421</v>
      </c>
      <c r="G33" s="11" t="n">
        <f aca="false">IF(AND(C33=0,E33=0),0,IF(C33=0,"New",(E33-C33)/C33))</f>
        <v>-0.157284515636918</v>
      </c>
      <c r="H33" s="9" t="n">
        <f aca="false">SUMIFS('Source 2025'!$Q:$Q,'Source 2025'!$B:$B,$A33,'Source 2025'!$A:$A,"Amount (NIS)")</f>
        <v>100585.5</v>
      </c>
      <c r="I33" s="9" t="n">
        <f aca="false">SUMIFS('Source 2026'!$Q:$Q,'Source 2026'!$B:$B,$A33,'Source 2026'!$A:$A,"Amount (NIS)")</f>
        <v>67122.1</v>
      </c>
      <c r="J33" s="9" t="n">
        <f aca="false">I33*$J$5</f>
        <v>84785.8105263158</v>
      </c>
      <c r="K33" s="9" t="n">
        <f aca="false">J33-H33</f>
        <v>-15799.6894736842</v>
      </c>
      <c r="L33" s="11" t="n">
        <f aca="false">IF(AND(H33=0,J33=0),0,IF(H33=0,"New",(J33-H33)/H33))</f>
        <v>-0.157077207685842</v>
      </c>
    </row>
    <row r="34" customFormat="false" ht="15" hidden="false" customHeight="true" outlineLevel="0" collapsed="false">
      <c r="A34" s="8" t="s">
        <v>84</v>
      </c>
      <c r="B34" s="8" t="str">
        <f aca="false">IFERROR(INDEX('Source 2026'!$C:$C,MATCH($A34,'Source 2026'!$B:$B,0)),IFERROR(INDEX('Source 2025'!$C:$C,MATCH($A34,'Source 2025'!$B:$B,0)),""))</f>
        <v>L עקבים לדורבן-זוג כריות</v>
      </c>
      <c r="C34" s="9" t="n">
        <f aca="false">SUMIFS('Source 2025'!$Q:$Q,'Source 2025'!$B:$B,$A34,'Source 2025'!$A:$A,"Quantity (units)")</f>
        <v>1284</v>
      </c>
      <c r="D34" s="9" t="n">
        <f aca="false">SUMIFS('Source 2026'!$Q:$Q,'Source 2026'!$B:$B,$A34,'Source 2026'!$A:$A,"Quantity (units)")</f>
        <v>924</v>
      </c>
      <c r="E34" s="9" t="n">
        <f aca="false">D34*$J$5</f>
        <v>1167.15789473684</v>
      </c>
      <c r="F34" s="9" t="n">
        <f aca="false">E34-C34</f>
        <v>-116.842105263158</v>
      </c>
      <c r="G34" s="11" t="n">
        <f aca="false">IF(AND(C34=0,E34=0),0,IF(C34=0,"New",(E34-C34)/C34))</f>
        <v>-0.0909985243482538</v>
      </c>
      <c r="H34" s="9" t="n">
        <f aca="false">SUMIFS('Source 2025'!$Q:$Q,'Source 2025'!$B:$B,$A34,'Source 2025'!$A:$A,"Amount (NIS)")</f>
        <v>104119.4</v>
      </c>
      <c r="I34" s="9" t="n">
        <f aca="false">SUMIFS('Source 2026'!$Q:$Q,'Source 2026'!$B:$B,$A34,'Source 2026'!$A:$A,"Amount (NIS)")</f>
        <v>74448.4</v>
      </c>
      <c r="J34" s="9" t="n">
        <f aca="false">I34*$J$5</f>
        <v>94040.0842105263</v>
      </c>
      <c r="K34" s="9" t="n">
        <f aca="false">J34-H34</f>
        <v>-10079.3157894737</v>
      </c>
      <c r="L34" s="11" t="n">
        <f aca="false">IF(AND(H34=0,J34=0),0,IF(H34=0,"New",(J34-H34)/H34))</f>
        <v>-0.0968053579781837</v>
      </c>
    </row>
    <row r="35" customFormat="false" ht="15" hidden="false" customHeight="true" outlineLevel="0" collapsed="false">
      <c r="A35" s="8" t="s">
        <v>83</v>
      </c>
      <c r="B35" s="8" t="str">
        <f aca="false">IFERROR(INDEX('Source 2026'!$C:$C,MATCH($A35,'Source 2026'!$B:$B,0)),IFERROR(INDEX('Source 2025'!$C:$C,MATCH($A35,'Source 2025'!$B:$B,0)),""))</f>
        <v>1 תומך ברך גנושילד</v>
      </c>
      <c r="C35" s="9" t="n">
        <f aca="false">SUMIFS('Source 2025'!$Q:$Q,'Source 2025'!$B:$B,$A35,'Source 2025'!$A:$A,"Quantity (units)")</f>
        <v>0</v>
      </c>
      <c r="D35" s="9" t="n">
        <f aca="false">SUMIFS('Source 2026'!$Q:$Q,'Source 2026'!$B:$B,$A35,'Source 2026'!$A:$A,"Quantity (units)")</f>
        <v>149</v>
      </c>
      <c r="E35" s="9" t="n">
        <f aca="false">D35*$J$5</f>
        <v>188.210526315789</v>
      </c>
      <c r="F35" s="9" t="n">
        <f aca="false">E35-C35</f>
        <v>188.210526315789</v>
      </c>
      <c r="G35" s="11" t="str">
        <f aca="false">IF(AND(C35=0,E35=0),0,IF(C35=0,"New",(E35-C35)/C35))</f>
        <v>New</v>
      </c>
      <c r="H35" s="9" t="n">
        <f aca="false">SUMIFS('Source 2025'!$Q:$Q,'Source 2025'!$B:$B,$A35,'Source 2025'!$A:$A,"Amount (NIS)")</f>
        <v>0</v>
      </c>
      <c r="I35" s="9" t="n">
        <f aca="false">SUMIFS('Source 2026'!$Q:$Q,'Source 2026'!$B:$B,$A35,'Source 2026'!$A:$A,"Amount (NIS)")</f>
        <v>26893.1</v>
      </c>
      <c r="J35" s="9" t="n">
        <f aca="false">I35*$J$5</f>
        <v>33970.2315789474</v>
      </c>
      <c r="K35" s="9" t="n">
        <f aca="false">J35-H35</f>
        <v>33970.2315789474</v>
      </c>
      <c r="L35" s="11" t="str">
        <f aca="false">IF(AND(H35=0,J35=0),0,IF(H35=0,"New",(J35-H35)/H35))</f>
        <v>New</v>
      </c>
    </row>
    <row r="36" customFormat="false" ht="15" hidden="false" customHeight="true" outlineLevel="0" collapsed="false">
      <c r="A36" s="8" t="s">
        <v>113</v>
      </c>
      <c r="B36" s="8" t="str">
        <f aca="false">IFERROR(INDEX('Source 2026'!$C:$C,MATCH($A36,'Source 2026'!$B:$B,0)),IFERROR(INDEX('Source 2025'!$C:$C,MATCH($A36,'Source 2025'!$B:$B,0)),""))</f>
        <v>M 'מגן מרפק בז</v>
      </c>
      <c r="C36" s="9" t="n">
        <f aca="false">SUMIFS('Source 2025'!$Q:$Q,'Source 2025'!$B:$B,$A36,'Source 2025'!$A:$A,"Quantity (units)")</f>
        <v>3002</v>
      </c>
      <c r="D36" s="9" t="n">
        <f aca="false">SUMIFS('Source 2026'!$Q:$Q,'Source 2026'!$B:$B,$A36,'Source 2026'!$A:$A,"Quantity (units)")</f>
        <v>1943</v>
      </c>
      <c r="E36" s="9" t="n">
        <f aca="false">D36*$J$5</f>
        <v>2454.31578947368</v>
      </c>
      <c r="F36" s="9" t="n">
        <f aca="false">E36-C36</f>
        <v>-547.684210526316</v>
      </c>
      <c r="G36" s="11" t="n">
        <f aca="false">IF(AND(C36=0,E36=0),0,IF(C36=0,"New",(E36-C36)/C36))</f>
        <v>-0.182439776990778</v>
      </c>
      <c r="H36" s="9" t="n">
        <f aca="false">SUMIFS('Source 2025'!$Q:$Q,'Source 2025'!$B:$B,$A36,'Source 2025'!$A:$A,"Amount (NIS)")</f>
        <v>77209.1</v>
      </c>
      <c r="I36" s="9" t="n">
        <f aca="false">SUMIFS('Source 2026'!$Q:$Q,'Source 2026'!$B:$B,$A36,'Source 2026'!$A:$A,"Amount (NIS)")</f>
        <v>50700.2</v>
      </c>
      <c r="J36" s="9" t="n">
        <f aca="false">I36*$J$5</f>
        <v>64042.3578947368</v>
      </c>
      <c r="K36" s="9" t="n">
        <f aca="false">J36-H36</f>
        <v>-13166.7421052632</v>
      </c>
      <c r="L36" s="11" t="n">
        <f aca="false">IF(AND(H36=0,J36=0),0,IF(H36=0,"New",(J36-H36)/H36))</f>
        <v>-0.170533552460308</v>
      </c>
    </row>
    <row r="37" customFormat="false" ht="15" hidden="false" customHeight="true" outlineLevel="0" collapsed="false">
      <c r="A37" s="8" t="s">
        <v>146</v>
      </c>
      <c r="B37" s="8" t="str">
        <f aca="false">IFERROR(INDEX('Source 2026'!$C:$C,MATCH($A37,'Source 2026'!$B:$B,0)),IFERROR(INDEX('Source 2025'!$C:$C,MATCH($A37,'Source 2025'!$B:$B,0)),""))</f>
        <v>מגן ברך עם תמיכות</v>
      </c>
      <c r="C37" s="9" t="n">
        <f aca="false">SUMIFS('Source 2025'!$Q:$Q,'Source 2025'!$B:$B,$A37,'Source 2025'!$A:$A,"Quantity (units)")</f>
        <v>87</v>
      </c>
      <c r="D37" s="9" t="n">
        <f aca="false">SUMIFS('Source 2026'!$Q:$Q,'Source 2026'!$B:$B,$A37,'Source 2026'!$A:$A,"Quantity (units)")</f>
        <v>480</v>
      </c>
      <c r="E37" s="9" t="n">
        <f aca="false">D37*$J$5</f>
        <v>606.315789473684</v>
      </c>
      <c r="F37" s="9" t="n">
        <f aca="false">E37-C37</f>
        <v>519.315789473684</v>
      </c>
      <c r="G37" s="11" t="n">
        <f aca="false">IF(AND(C37=0,E37=0),0,IF(C37=0,"New",(E37-C37)/C37))</f>
        <v>5.96914700544465</v>
      </c>
      <c r="H37" s="9" t="n">
        <f aca="false">SUMIFS('Source 2025'!$Q:$Q,'Source 2025'!$B:$B,$A37,'Source 2025'!$A:$A,"Amount (NIS)")</f>
        <v>5062.6</v>
      </c>
      <c r="I37" s="9" t="n">
        <f aca="false">SUMIFS('Source 2026'!$Q:$Q,'Source 2026'!$B:$B,$A37,'Source 2026'!$A:$A,"Amount (NIS)")</f>
        <v>30593.7</v>
      </c>
      <c r="J37" s="9" t="n">
        <f aca="false">I37*$J$5</f>
        <v>38644.6736842105</v>
      </c>
      <c r="K37" s="9" t="n">
        <f aca="false">J37-H37</f>
        <v>33582.0736842105</v>
      </c>
      <c r="L37" s="11" t="n">
        <f aca="false">IF(AND(H37=0,J37=0),0,IF(H37=0,"New",(J37-H37)/H37))</f>
        <v>6.63336500695503</v>
      </c>
    </row>
    <row r="38" customFormat="false" ht="15" hidden="false" customHeight="true" outlineLevel="0" collapsed="false">
      <c r="A38" s="8" t="s">
        <v>144</v>
      </c>
      <c r="B38" s="8" t="str">
        <f aca="false">IFERROR(INDEX('Source 2026'!$C:$C,MATCH($A38,'Source 2026'!$B:$B,0)),IFERROR(INDEX('Source 2025'!$C:$C,MATCH($A38,'Source 2025'!$B:$B,0)),""))</f>
        <v>שרוול מטטרזלי מסיליקון</v>
      </c>
      <c r="C38" s="9" t="n">
        <f aca="false">SUMIFS('Source 2025'!$Q:$Q,'Source 2025'!$B:$B,$A38,'Source 2025'!$A:$A,"Quantity (units)")</f>
        <v>1179</v>
      </c>
      <c r="D38" s="9" t="n">
        <f aca="false">SUMIFS('Source 2026'!$Q:$Q,'Source 2026'!$B:$B,$A38,'Source 2026'!$A:$A,"Quantity (units)")</f>
        <v>724</v>
      </c>
      <c r="E38" s="9" t="n">
        <f aca="false">D38*$J$5</f>
        <v>914.526315789474</v>
      </c>
      <c r="F38" s="9" t="n">
        <f aca="false">E38-C38</f>
        <v>-264.473684210526</v>
      </c>
      <c r="G38" s="11" t="n">
        <f aca="false">IF(AND(C38=0,E38=0),0,IF(C38=0,"New",(E38-C38)/C38))</f>
        <v>-0.224320342841837</v>
      </c>
      <c r="H38" s="9" t="n">
        <f aca="false">SUMIFS('Source 2025'!$Q:$Q,'Source 2025'!$B:$B,$A38,'Source 2025'!$A:$A,"Amount (NIS)")</f>
        <v>61190.5</v>
      </c>
      <c r="I38" s="9" t="n">
        <f aca="false">SUMIFS('Source 2026'!$Q:$Q,'Source 2026'!$B:$B,$A38,'Source 2026'!$A:$A,"Amount (NIS)")</f>
        <v>37711.2</v>
      </c>
      <c r="J38" s="9" t="n">
        <f aca="false">I38*$J$5</f>
        <v>47635.2</v>
      </c>
      <c r="K38" s="9" t="n">
        <f aca="false">J38-H38</f>
        <v>-13555.3</v>
      </c>
      <c r="L38" s="11" t="n">
        <f aca="false">IF(AND(H38=0,J38=0),0,IF(H38=0,"New",(J38-H38)/H38))</f>
        <v>-0.221526217304974</v>
      </c>
    </row>
    <row r="39" customFormat="false" ht="15" hidden="false" customHeight="true" outlineLevel="0" collapsed="false">
      <c r="A39" s="8" t="s">
        <v>287</v>
      </c>
      <c r="B39" s="8" t="str">
        <f aca="false">IFERROR(INDEX('Source 2026'!$C:$C,MATCH($A39,'Source 2026'!$B:$B,0)),IFERROR(INDEX('Source 2025'!$C:$C,MATCH($A39,'Source 2025'!$B:$B,0)),""))</f>
        <v>פיקה לברך</v>
      </c>
      <c r="C39" s="9" t="n">
        <f aca="false">SUMIFS('Source 2025'!$Q:$Q,'Source 2025'!$B:$B,$A39,'Source 2025'!$A:$A,"Quantity (units)")</f>
        <v>965</v>
      </c>
      <c r="D39" s="9" t="n">
        <f aca="false">SUMIFS('Source 2026'!$Q:$Q,'Source 2026'!$B:$B,$A39,'Source 2026'!$A:$A,"Quantity (units)")</f>
        <v>461</v>
      </c>
      <c r="E39" s="9" t="n">
        <f aca="false">D39*$J$5</f>
        <v>582.315789473684</v>
      </c>
      <c r="F39" s="9" t="n">
        <f aca="false">E39-C39</f>
        <v>-382.684210526316</v>
      </c>
      <c r="G39" s="11" t="n">
        <f aca="false">IF(AND(C39=0,E39=0),0,IF(C39=0,"New",(E39-C39)/C39))</f>
        <v>-0.396563948731934</v>
      </c>
      <c r="H39" s="9" t="n">
        <f aca="false">SUMIFS('Source 2025'!$Q:$Q,'Source 2025'!$B:$B,$A39,'Source 2025'!$A:$A,"Amount (NIS)")</f>
        <v>43385.1</v>
      </c>
      <c r="I39" s="9" t="n">
        <f aca="false">SUMIFS('Source 2026'!$Q:$Q,'Source 2026'!$B:$B,$A39,'Source 2026'!$A:$A,"Amount (NIS)")</f>
        <v>20707.1</v>
      </c>
      <c r="J39" s="9" t="n">
        <f aca="false">I39*$J$5</f>
        <v>26156.3368421053</v>
      </c>
      <c r="K39" s="9" t="n">
        <f aca="false">J39-H39</f>
        <v>-17228.7631578947</v>
      </c>
      <c r="L39" s="11" t="n">
        <f aca="false">IF(AND(H39=0,J39=0),0,IF(H39=0,"New",(J39-H39)/H39))</f>
        <v>-0.397112445468484</v>
      </c>
    </row>
    <row r="40" customFormat="false" ht="15" hidden="false" customHeight="true" outlineLevel="0" collapsed="false">
      <c r="A40" s="8" t="s">
        <v>109</v>
      </c>
      <c r="B40" s="8" t="str">
        <f aca="false">IFERROR(INDEX('Source 2026'!$C:$C,MATCH($A40,'Source 2026'!$B:$B,0)),IFERROR(INDEX('Source 2025'!$C:$C,MATCH($A40,'Source 2025'!$B:$B,0)),""))</f>
        <v>לציפורן חודרנית</v>
      </c>
      <c r="C40" s="9" t="n">
        <f aca="false">SUMIFS('Source 2025'!$Q:$Q,'Source 2025'!$B:$B,$A40,'Source 2025'!$A:$A,"Quantity (units)")</f>
        <v>2132</v>
      </c>
      <c r="D40" s="9" t="n">
        <f aca="false">SUMIFS('Source 2026'!$Q:$Q,'Source 2026'!$B:$B,$A40,'Source 2026'!$A:$A,"Quantity (units)")</f>
        <v>1430</v>
      </c>
      <c r="E40" s="9" t="n">
        <f aca="false">D40*$J$5</f>
        <v>1806.31578947368</v>
      </c>
      <c r="F40" s="9" t="n">
        <f aca="false">E40-C40</f>
        <v>-325.684210526316</v>
      </c>
      <c r="G40" s="11" t="n">
        <f aca="false">IF(AND(C40=0,E40=0),0,IF(C40=0,"New",(E40-C40)/C40))</f>
        <v>-0.152759948652118</v>
      </c>
      <c r="H40" s="9" t="n">
        <f aca="false">SUMIFS('Source 2025'!$Q:$Q,'Source 2025'!$B:$B,$A40,'Source 2025'!$A:$A,"Amount (NIS)")</f>
        <v>66609.4</v>
      </c>
      <c r="I40" s="9" t="n">
        <f aca="false">SUMIFS('Source 2026'!$Q:$Q,'Source 2026'!$B:$B,$A40,'Source 2026'!$A:$A,"Amount (NIS)")</f>
        <v>44688.8</v>
      </c>
      <c r="J40" s="9" t="n">
        <f aca="false">I40*$J$5</f>
        <v>56449.0105263158</v>
      </c>
      <c r="K40" s="9" t="n">
        <f aca="false">J40-H40</f>
        <v>-10160.3894736842</v>
      </c>
      <c r="L40" s="11" t="n">
        <f aca="false">IF(AND(H40=0,J40=0),0,IF(H40=0,"New",(J40-H40)/H40))</f>
        <v>-0.152536871277691</v>
      </c>
    </row>
    <row r="41" customFormat="false" ht="15" hidden="false" customHeight="true" outlineLevel="0" collapsed="false">
      <c r="A41" s="8" t="s">
        <v>129</v>
      </c>
      <c r="B41" s="8" t="str">
        <f aca="false">IFERROR(INDEX('Source 2026'!$C:$C,MATCH($A41,'Source 2026'!$B:$B,0)),IFERROR(INDEX('Source 2025'!$C:$C,MATCH($A41,'Source 2025'!$B:$B,0)),""))</f>
        <v>תחבושת א.נצמ</v>
      </c>
      <c r="C41" s="9" t="n">
        <f aca="false">SUMIFS('Source 2025'!$Q:$Q,'Source 2025'!$B:$B,$A41,'Source 2025'!$A:$A,"Quantity (units)")</f>
        <v>3203</v>
      </c>
      <c r="D41" s="9" t="n">
        <f aca="false">SUMIFS('Source 2026'!$Q:$Q,'Source 2026'!$B:$B,$A41,'Source 2026'!$A:$A,"Quantity (units)")</f>
        <v>1177</v>
      </c>
      <c r="E41" s="9" t="n">
        <f aca="false">D41*$J$5</f>
        <v>1486.73684210526</v>
      </c>
      <c r="F41" s="9" t="n">
        <f aca="false">E41-C41</f>
        <v>-1716.26315789474</v>
      </c>
      <c r="G41" s="11" t="n">
        <f aca="false">IF(AND(C41=0,E41=0),0,IF(C41=0,"New",(E41-C41)/C41))</f>
        <v>-0.535829896314311</v>
      </c>
      <c r="H41" s="9" t="n">
        <f aca="false">SUMIFS('Source 2025'!$Q:$Q,'Source 2025'!$B:$B,$A41,'Source 2025'!$A:$A,"Amount (NIS)")</f>
        <v>32526.4</v>
      </c>
      <c r="I41" s="9" t="n">
        <f aca="false">SUMIFS('Source 2026'!$Q:$Q,'Source 2026'!$B:$B,$A41,'Source 2026'!$A:$A,"Amount (NIS)")</f>
        <v>12016.1</v>
      </c>
      <c r="J41" s="9" t="n">
        <f aca="false">I41*$J$5</f>
        <v>15178.2315789474</v>
      </c>
      <c r="K41" s="9" t="n">
        <f aca="false">J41-H41</f>
        <v>-17348.1684210526</v>
      </c>
      <c r="L41" s="11" t="n">
        <f aca="false">IF(AND(H41=0,J41=0),0,IF(H41=0,"New",(J41-H41)/H41))</f>
        <v>-0.533356547944213</v>
      </c>
    </row>
    <row r="42" customFormat="false" ht="15" hidden="false" customHeight="true" outlineLevel="0" collapsed="false">
      <c r="A42" s="8" t="s">
        <v>107</v>
      </c>
      <c r="B42" s="8" t="str">
        <f aca="false">IFERROR(INDEX('Source 2026'!$C:$C,MATCH($A42,'Source 2026'!$B:$B,0)),IFERROR(INDEX('Source 2025'!$C:$C,MATCH($A42,'Source 2025'!$B:$B,0)),""))</f>
        <v>טייפ קינזיולוגי</v>
      </c>
      <c r="C42" s="9" t="n">
        <f aca="false">SUMIFS('Source 2025'!$Q:$Q,'Source 2025'!$B:$B,$A42,'Source 2025'!$A:$A,"Quantity (units)")</f>
        <v>1200</v>
      </c>
      <c r="D42" s="9" t="n">
        <f aca="false">SUMIFS('Source 2026'!$Q:$Q,'Source 2026'!$B:$B,$A42,'Source 2026'!$A:$A,"Quantity (units)")</f>
        <v>711</v>
      </c>
      <c r="E42" s="9" t="n">
        <f aca="false">D42*$J$5</f>
        <v>898.105263157895</v>
      </c>
      <c r="F42" s="9" t="n">
        <f aca="false">E42-C42</f>
        <v>-301.894736842105</v>
      </c>
      <c r="G42" s="11" t="n">
        <f aca="false">IF(AND(C42=0,E42=0),0,IF(C42=0,"New",(E42-C42)/C42))</f>
        <v>-0.251578947368421</v>
      </c>
      <c r="H42" s="9" t="n">
        <f aca="false">SUMIFS('Source 2025'!$Q:$Q,'Source 2025'!$B:$B,$A42,'Source 2025'!$A:$A,"Amount (NIS)")</f>
        <v>48495.6</v>
      </c>
      <c r="I42" s="9" t="n">
        <f aca="false">SUMIFS('Source 2026'!$Q:$Q,'Source 2026'!$B:$B,$A42,'Source 2026'!$A:$A,"Amount (NIS)")</f>
        <v>28682.6</v>
      </c>
      <c r="J42" s="9" t="n">
        <f aca="false">I42*$J$5</f>
        <v>36230.6526315789</v>
      </c>
      <c r="K42" s="9" t="n">
        <f aca="false">J42-H42</f>
        <v>-12264.9473684211</v>
      </c>
      <c r="L42" s="11" t="n">
        <f aca="false">IF(AND(H42=0,J42=0),0,IF(H42=0,"New",(J42-H42)/H42))</f>
        <v>-0.252908457023339</v>
      </c>
    </row>
    <row r="43" customFormat="false" ht="15" hidden="false" customHeight="true" outlineLevel="0" collapsed="false">
      <c r="A43" s="8" t="s">
        <v>118</v>
      </c>
      <c r="B43" s="8" t="str">
        <f aca="false">IFERROR(INDEX('Source 2026'!$C:$C,MATCH($A43,'Source 2026'!$B:$B,0)),IFERROR(INDEX('Source 2025'!$C:$C,MATCH($A43,'Source 2025'!$B:$B,0)),""))</f>
        <v>טייפ קינזיולוגי</v>
      </c>
      <c r="C43" s="9" t="n">
        <f aca="false">SUMIFS('Source 2025'!$Q:$Q,'Source 2025'!$B:$B,$A43,'Source 2025'!$A:$A,"Quantity (units)")</f>
        <v>1251</v>
      </c>
      <c r="D43" s="9" t="n">
        <f aca="false">SUMIFS('Source 2026'!$Q:$Q,'Source 2026'!$B:$B,$A43,'Source 2026'!$A:$A,"Quantity (units)")</f>
        <v>779</v>
      </c>
      <c r="E43" s="9" t="n">
        <f aca="false">D43*$J$5</f>
        <v>984</v>
      </c>
      <c r="F43" s="9" t="n">
        <f aca="false">E43-C43</f>
        <v>-267</v>
      </c>
      <c r="G43" s="11" t="n">
        <f aca="false">IF(AND(C43=0,E43=0),0,IF(C43=0,"New",(E43-C43)/C43))</f>
        <v>-0.213429256594724</v>
      </c>
      <c r="H43" s="9" t="n">
        <f aca="false">SUMIFS('Source 2025'!$Q:$Q,'Source 2025'!$B:$B,$A43,'Source 2025'!$A:$A,"Amount (NIS)")</f>
        <v>49688.4</v>
      </c>
      <c r="I43" s="9" t="n">
        <f aca="false">SUMIFS('Source 2026'!$Q:$Q,'Source 2026'!$B:$B,$A43,'Source 2026'!$A:$A,"Amount (NIS)")</f>
        <v>31161.7</v>
      </c>
      <c r="J43" s="9" t="n">
        <f aca="false">I43*$J$5</f>
        <v>39362.1473684211</v>
      </c>
      <c r="K43" s="9" t="n">
        <f aca="false">J43-H43</f>
        <v>-10326.252631579</v>
      </c>
      <c r="L43" s="11" t="n">
        <f aca="false">IF(AND(H43=0,J43=0),0,IF(H43=0,"New",(J43-H43)/H43))</f>
        <v>-0.207820188043466</v>
      </c>
    </row>
    <row r="44" customFormat="false" ht="15" hidden="false" customHeight="true" outlineLevel="0" collapsed="false">
      <c r="A44" s="8" t="s">
        <v>86</v>
      </c>
      <c r="B44" s="8" t="str">
        <f aca="false">IFERROR(INDEX('Source 2026'!$C:$C,MATCH($A44,'Source 2026'!$B:$B,0)),IFERROR(INDEX('Source 2025'!$C:$C,MATCH($A44,'Source 2025'!$B:$B,0)),""))</f>
        <v>L צוארון ספוגי</v>
      </c>
      <c r="C44" s="9" t="n">
        <f aca="false">SUMIFS('Source 2025'!$Q:$Q,'Source 2025'!$B:$B,$A44,'Source 2025'!$A:$A,"Quantity (units)")</f>
        <v>2106</v>
      </c>
      <c r="D44" s="9" t="n">
        <f aca="false">SUMIFS('Source 2026'!$Q:$Q,'Source 2026'!$B:$B,$A44,'Source 2026'!$A:$A,"Quantity (units)")</f>
        <v>1412</v>
      </c>
      <c r="E44" s="9" t="n">
        <f aca="false">D44*$J$5</f>
        <v>1783.57894736842</v>
      </c>
      <c r="F44" s="9" t="n">
        <f aca="false">E44-C44</f>
        <v>-322.421052631579</v>
      </c>
      <c r="G44" s="11" t="n">
        <f aca="false">IF(AND(C44=0,E44=0),0,IF(C44=0,"New",(E44-C44)/C44))</f>
        <v>-0.153096416254311</v>
      </c>
      <c r="H44" s="9" t="n">
        <f aca="false">SUMIFS('Source 2025'!$Q:$Q,'Source 2025'!$B:$B,$A44,'Source 2025'!$A:$A,"Amount (NIS)")</f>
        <v>63047.1</v>
      </c>
      <c r="I44" s="9" t="n">
        <f aca="false">SUMIFS('Source 2026'!$Q:$Q,'Source 2026'!$B:$B,$A44,'Source 2026'!$A:$A,"Amount (NIS)")</f>
        <v>44553.7</v>
      </c>
      <c r="J44" s="9" t="n">
        <f aca="false">I44*$J$5</f>
        <v>56278.3578947368</v>
      </c>
      <c r="K44" s="9" t="n">
        <f aca="false">J44-H44</f>
        <v>-6768.74210526316</v>
      </c>
      <c r="L44" s="11" t="n">
        <f aca="false">IF(AND(H44=0,J44=0),0,IF(H44=0,"New",(J44-H44)/H44))</f>
        <v>-0.107360086431623</v>
      </c>
    </row>
    <row r="45" customFormat="false" ht="15" hidden="false" customHeight="true" outlineLevel="0" collapsed="false">
      <c r="A45" s="8" t="s">
        <v>136</v>
      </c>
      <c r="B45" s="8" t="str">
        <f aca="false">IFERROR(INDEX('Source 2026'!$C:$C,MATCH($A45,'Source 2026'!$B:$B,0)),IFERROR(INDEX('Source 2025'!$C:$C,MATCH($A45,'Source 2025'!$B:$B,0)),""))</f>
        <v>L מגן מרפק רגיל לבן</v>
      </c>
      <c r="C45" s="9" t="n">
        <f aca="false">SUMIFS('Source 2025'!$Q:$Q,'Source 2025'!$B:$B,$A45,'Source 2025'!$A:$A,"Quantity (units)")</f>
        <v>1603</v>
      </c>
      <c r="D45" s="9" t="n">
        <f aca="false">SUMIFS('Source 2026'!$Q:$Q,'Source 2026'!$B:$B,$A45,'Source 2026'!$A:$A,"Quantity (units)")</f>
        <v>911</v>
      </c>
      <c r="E45" s="9" t="n">
        <f aca="false">D45*$J$5</f>
        <v>1150.73684210526</v>
      </c>
      <c r="F45" s="9" t="n">
        <f aca="false">E45-C45</f>
        <v>-452.263157894737</v>
      </c>
      <c r="G45" s="11" t="n">
        <f aca="false">IF(AND(C45=0,E45=0),0,IF(C45=0,"New",(E45-C45)/C45))</f>
        <v>-0.282135469678563</v>
      </c>
      <c r="H45" s="9" t="n">
        <f aca="false">SUMIFS('Source 2025'!$Q:$Q,'Source 2025'!$B:$B,$A45,'Source 2025'!$A:$A,"Amount (NIS)")</f>
        <v>41250</v>
      </c>
      <c r="I45" s="9" t="n">
        <f aca="false">SUMIFS('Source 2026'!$Q:$Q,'Source 2026'!$B:$B,$A45,'Source 2026'!$A:$A,"Amount (NIS)")</f>
        <v>23677.1</v>
      </c>
      <c r="J45" s="9" t="n">
        <f aca="false">I45*$J$5</f>
        <v>29907.9157894737</v>
      </c>
      <c r="K45" s="9" t="n">
        <f aca="false">J45-H45</f>
        <v>-11342.0842105263</v>
      </c>
      <c r="L45" s="11" t="n">
        <f aca="false">IF(AND(H45=0,J45=0),0,IF(H45=0,"New",(J45-H45)/H45))</f>
        <v>-0.27495961722488</v>
      </c>
    </row>
    <row r="46" customFormat="false" ht="15" hidden="false" customHeight="true" outlineLevel="0" collapsed="false">
      <c r="A46" s="8" t="s">
        <v>208</v>
      </c>
      <c r="B46" s="8" t="str">
        <f aca="false">IFERROR(INDEX('Source 2026'!$C:$C,MATCH($A46,'Source 2026'!$B:$B,0)),IFERROR(INDEX('Source 2025'!$C:$C,MATCH($A46,'Source 2025'!$B:$B,0)),""))</f>
        <v>חבק ""טניס אלבו רצועה</v>
      </c>
      <c r="C46" s="9" t="n">
        <f aca="false">SUMIFS('Source 2025'!$Q:$Q,'Source 2025'!$B:$B,$A46,'Source 2025'!$A:$A,"Quantity (units)")</f>
        <v>224</v>
      </c>
      <c r="D46" s="9" t="n">
        <f aca="false">SUMIFS('Source 2026'!$Q:$Q,'Source 2026'!$B:$B,$A46,'Source 2026'!$A:$A,"Quantity (units)")</f>
        <v>-25</v>
      </c>
      <c r="E46" s="9" t="n">
        <f aca="false">D46*$J$5</f>
        <v>-31.5789473684211</v>
      </c>
      <c r="F46" s="9" t="n">
        <f aca="false">E46-C46</f>
        <v>-255.578947368421</v>
      </c>
      <c r="G46" s="11" t="n">
        <f aca="false">IF(AND(C46=0,E46=0),0,IF(C46=0,"New",(E46-C46)/C46))</f>
        <v>-1.14097744360902</v>
      </c>
      <c r="H46" s="9" t="n">
        <f aca="false">SUMIFS('Source 2025'!$Q:$Q,'Source 2025'!$B:$B,$A46,'Source 2025'!$A:$A,"Amount (NIS)")</f>
        <v>15661.5</v>
      </c>
      <c r="I46" s="9" t="n">
        <f aca="false">SUMIFS('Source 2026'!$Q:$Q,'Source 2026'!$B:$B,$A46,'Source 2026'!$A:$A,"Amount (NIS)")</f>
        <v>-1715.2</v>
      </c>
      <c r="J46" s="9" t="n">
        <f aca="false">I46*$J$5</f>
        <v>-2166.56842105263</v>
      </c>
      <c r="K46" s="9" t="n">
        <f aca="false">J46-H46</f>
        <v>-17828.0684210526</v>
      </c>
      <c r="L46" s="11" t="n">
        <f aca="false">IF(AND(H46=0,J46=0),0,IF(H46=0,"New",(J46-H46)/H46))</f>
        <v>-1.13833722319399</v>
      </c>
    </row>
    <row r="47" customFormat="false" ht="15" hidden="false" customHeight="true" outlineLevel="0" collapsed="false">
      <c r="A47" s="8" t="s">
        <v>126</v>
      </c>
      <c r="B47" s="8" t="str">
        <f aca="false">IFERROR(INDEX('Source 2026'!$C:$C,MATCH($A47,'Source 2026'!$B:$B,0)),IFERROR(INDEX('Source 2025'!$C:$C,MATCH($A47,'Source 2025'!$B:$B,0)),""))</f>
        <v>טייפ קינזיולוגי</v>
      </c>
      <c r="C47" s="9" t="n">
        <f aca="false">SUMIFS('Source 2025'!$Q:$Q,'Source 2025'!$B:$B,$A47,'Source 2025'!$A:$A,"Quantity (units)")</f>
        <v>1150</v>
      </c>
      <c r="D47" s="9" t="n">
        <f aca="false">SUMIFS('Source 2026'!$Q:$Q,'Source 2026'!$B:$B,$A47,'Source 2026'!$A:$A,"Quantity (units)")</f>
        <v>705</v>
      </c>
      <c r="E47" s="9" t="n">
        <f aca="false">D47*$J$5</f>
        <v>890.526315789474</v>
      </c>
      <c r="F47" s="9" t="n">
        <f aca="false">E47-C47</f>
        <v>-259.473684210526</v>
      </c>
      <c r="G47" s="11" t="n">
        <f aca="false">IF(AND(C47=0,E47=0),0,IF(C47=0,"New",(E47-C47)/C47))</f>
        <v>-0.225629290617849</v>
      </c>
      <c r="H47" s="9" t="n">
        <f aca="false">SUMIFS('Source 2025'!$Q:$Q,'Source 2025'!$B:$B,$A47,'Source 2025'!$A:$A,"Amount (NIS)")</f>
        <v>45598.1</v>
      </c>
      <c r="I47" s="9" t="n">
        <f aca="false">SUMIFS('Source 2026'!$Q:$Q,'Source 2026'!$B:$B,$A47,'Source 2026'!$A:$A,"Amount (NIS)")</f>
        <v>28253.3</v>
      </c>
      <c r="J47" s="9" t="n">
        <f aca="false">I47*$J$5</f>
        <v>35688.3789473684</v>
      </c>
      <c r="K47" s="9" t="n">
        <f aca="false">J47-H47</f>
        <v>-9909.72105263158</v>
      </c>
      <c r="L47" s="11" t="n">
        <f aca="false">IF(AND(H47=0,J47=0),0,IF(H47=0,"New",(J47-H47)/H47))</f>
        <v>-0.217327499449135</v>
      </c>
    </row>
    <row r="48" customFormat="false" ht="15" hidden="false" customHeight="true" outlineLevel="0" collapsed="false">
      <c r="A48" s="8" t="s">
        <v>270</v>
      </c>
      <c r="B48" s="8" t="str">
        <f aca="false">IFERROR(INDEX('Source 2026'!$C:$C,MATCH($A48,'Source 2026'!$B:$B,0)),IFERROR(INDEX('Source 2025'!$C:$C,MATCH($A48,'Source 2025'!$B:$B,0)),""))</f>
        <v>S מקבע כתף ויד</v>
      </c>
      <c r="C48" s="9" t="n">
        <f aca="false">SUMIFS('Source 2025'!$Q:$Q,'Source 2025'!$B:$B,$A48,'Source 2025'!$A:$A,"Quantity (units)")</f>
        <v>541</v>
      </c>
      <c r="D48" s="9" t="n">
        <f aca="false">SUMIFS('Source 2026'!$Q:$Q,'Source 2026'!$B:$B,$A48,'Source 2026'!$A:$A,"Quantity (units)")</f>
        <v>434</v>
      </c>
      <c r="E48" s="9" t="n">
        <f aca="false">D48*$J$5</f>
        <v>548.21052631579</v>
      </c>
      <c r="F48" s="9" t="n">
        <f aca="false">E48-C48</f>
        <v>7.21052631578948</v>
      </c>
      <c r="G48" s="11" t="n">
        <f aca="false">IF(AND(C48=0,E48=0),0,IF(C48=0,"New",(E48-C48)/C48))</f>
        <v>0.0133281447611635</v>
      </c>
      <c r="H48" s="9" t="n">
        <f aca="false">SUMIFS('Source 2025'!$Q:$Q,'Source 2025'!$B:$B,$A48,'Source 2025'!$A:$A,"Amount (NIS)")</f>
        <v>87145.9</v>
      </c>
      <c r="I48" s="9" t="n">
        <f aca="false">SUMIFS('Source 2026'!$Q:$Q,'Source 2026'!$B:$B,$A48,'Source 2026'!$A:$A,"Amount (NIS)")</f>
        <v>69975.1</v>
      </c>
      <c r="J48" s="9" t="n">
        <f aca="false">I48*$J$5</f>
        <v>88389.6</v>
      </c>
      <c r="K48" s="9" t="n">
        <f aca="false">J48-H48</f>
        <v>1243.7</v>
      </c>
      <c r="L48" s="11" t="n">
        <f aca="false">IF(AND(H48=0,J48=0),0,IF(H48=0,"New",(J48-H48)/H48))</f>
        <v>0.0142714688814964</v>
      </c>
    </row>
    <row r="49" customFormat="false" ht="15" hidden="false" customHeight="true" outlineLevel="0" collapsed="false">
      <c r="A49" s="8" t="s">
        <v>117</v>
      </c>
      <c r="B49" s="8" t="str">
        <f aca="false">IFERROR(INDEX('Source 2026'!$C:$C,MATCH($A49,'Source 2026'!$B:$B,0)),IFERROR(INDEX('Source 2025'!$C:$C,MATCH($A49,'Source 2025'!$B:$B,0)),""))</f>
        <v>טייפ קינזיולוגי</v>
      </c>
      <c r="C49" s="9" t="n">
        <f aca="false">SUMIFS('Source 2025'!$Q:$Q,'Source 2025'!$B:$B,$A49,'Source 2025'!$A:$A,"Quantity (units)")</f>
        <v>796</v>
      </c>
      <c r="D49" s="9" t="n">
        <f aca="false">SUMIFS('Source 2026'!$Q:$Q,'Source 2026'!$B:$B,$A49,'Source 2026'!$A:$A,"Quantity (units)")</f>
        <v>387</v>
      </c>
      <c r="E49" s="9" t="n">
        <f aca="false">D49*$J$5</f>
        <v>488.842105263158</v>
      </c>
      <c r="F49" s="9" t="n">
        <f aca="false">E49-C49</f>
        <v>-307.157894736842</v>
      </c>
      <c r="G49" s="11" t="n">
        <f aca="false">IF(AND(C49=0,E49=0),0,IF(C49=0,"New",(E49-C49)/C49))</f>
        <v>-0.385876752181963</v>
      </c>
      <c r="H49" s="9" t="n">
        <f aca="false">SUMIFS('Source 2025'!$Q:$Q,'Source 2025'!$B:$B,$A49,'Source 2025'!$A:$A,"Amount (NIS)")</f>
        <v>32148.2</v>
      </c>
      <c r="I49" s="9" t="n">
        <f aca="false">SUMIFS('Source 2026'!$Q:$Q,'Source 2026'!$B:$B,$A49,'Source 2026'!$A:$A,"Amount (NIS)")</f>
        <v>15624.9</v>
      </c>
      <c r="J49" s="9" t="n">
        <f aca="false">I49*$J$5</f>
        <v>19736.7157894737</v>
      </c>
      <c r="K49" s="9" t="n">
        <f aca="false">J49-H49</f>
        <v>-12411.4842105263</v>
      </c>
      <c r="L49" s="11" t="n">
        <f aca="false">IF(AND(H49=0,J49=0),0,IF(H49=0,"New",(J49-H49)/H49))</f>
        <v>-0.386070890766087</v>
      </c>
    </row>
    <row r="50" customFormat="false" ht="15" hidden="false" customHeight="true" outlineLevel="0" collapsed="false">
      <c r="A50" s="8" t="s">
        <v>242</v>
      </c>
      <c r="B50" s="8" t="str">
        <f aca="false">IFERROR(INDEX('Source 2026'!$C:$C,MATCH($A50,'Source 2026'!$B:$B,0)),IFERROR(INDEX('Source 2025'!$C:$C,MATCH($A50,'Source 2025'!$B:$B,0)),""))</f>
        <v>S ""חגורת גב ""לומבו</v>
      </c>
      <c r="C50" s="9" t="n">
        <f aca="false">SUMIFS('Source 2025'!$Q:$Q,'Source 2025'!$B:$B,$A50,'Source 2025'!$A:$A,"Quantity (units)")</f>
        <v>170</v>
      </c>
      <c r="D50" s="9" t="n">
        <f aca="false">SUMIFS('Source 2026'!$Q:$Q,'Source 2026'!$B:$B,$A50,'Source 2026'!$A:$A,"Quantity (units)")</f>
        <v>45</v>
      </c>
      <c r="E50" s="9" t="n">
        <f aca="false">D50*$J$5</f>
        <v>56.8421052631579</v>
      </c>
      <c r="F50" s="9" t="n">
        <f aca="false">E50-C50</f>
        <v>-113.157894736842</v>
      </c>
      <c r="G50" s="11" t="n">
        <f aca="false">IF(AND(C50=0,E50=0),0,IF(C50=0,"New",(E50-C50)/C50))</f>
        <v>-0.665634674922601</v>
      </c>
      <c r="H50" s="9" t="n">
        <f aca="false">SUMIFS('Source 2025'!$Q:$Q,'Source 2025'!$B:$B,$A50,'Source 2025'!$A:$A,"Amount (NIS)")</f>
        <v>22281.9</v>
      </c>
      <c r="I50" s="9" t="n">
        <f aca="false">SUMIFS('Source 2026'!$Q:$Q,'Source 2026'!$B:$B,$A50,'Source 2026'!$A:$A,"Amount (NIS)")</f>
        <v>6031.7</v>
      </c>
      <c r="J50" s="9" t="n">
        <f aca="false">I50*$J$5</f>
        <v>7618.98947368421</v>
      </c>
      <c r="K50" s="9" t="n">
        <f aca="false">J50-H50</f>
        <v>-14662.9105263158</v>
      </c>
      <c r="L50" s="11" t="n">
        <f aca="false">IF(AND(H50=0,J50=0),0,IF(H50=0,"New",(J50-H50)/H50))</f>
        <v>-0.658063743501039</v>
      </c>
    </row>
    <row r="51" customFormat="false" ht="15" hidden="false" customHeight="true" outlineLevel="0" collapsed="false">
      <c r="A51" s="8" t="s">
        <v>251</v>
      </c>
      <c r="B51" s="8" t="str">
        <f aca="false">IFERROR(INDEX('Source 2026'!$C:$C,MATCH($A51,'Source 2026'!$B:$B,0)),IFERROR(INDEX('Source 2025'!$C:$C,MATCH($A51,'Source 2025'!$B:$B,0)),""))</f>
        <v>45 M מגן ברך רגיל</v>
      </c>
      <c r="C51" s="9" t="n">
        <f aca="false">SUMIFS('Source 2025'!$Q:$Q,'Source 2025'!$B:$B,$A51,'Source 2025'!$A:$A,"Quantity (units)")</f>
        <v>260</v>
      </c>
      <c r="D51" s="9" t="n">
        <f aca="false">SUMIFS('Source 2026'!$Q:$Q,'Source 2026'!$B:$B,$A51,'Source 2026'!$A:$A,"Quantity (units)")</f>
        <v>102</v>
      </c>
      <c r="E51" s="9" t="n">
        <f aca="false">D51*$J$5</f>
        <v>128.842105263158</v>
      </c>
      <c r="F51" s="9" t="n">
        <f aca="false">E51-C51</f>
        <v>-131.157894736842</v>
      </c>
      <c r="G51" s="11" t="n">
        <f aca="false">IF(AND(C51=0,E51=0),0,IF(C51=0,"New",(E51-C51)/C51))</f>
        <v>-0.504453441295547</v>
      </c>
      <c r="H51" s="9" t="n">
        <f aca="false">SUMIFS('Source 2025'!$Q:$Q,'Source 2025'!$B:$B,$A51,'Source 2025'!$A:$A,"Amount (NIS)")</f>
        <v>23410.8</v>
      </c>
      <c r="I51" s="9" t="n">
        <f aca="false">SUMIFS('Source 2026'!$Q:$Q,'Source 2026'!$B:$B,$A51,'Source 2026'!$A:$A,"Amount (NIS)")</f>
        <v>9335.7</v>
      </c>
      <c r="J51" s="9" t="n">
        <f aca="false">I51*$J$5</f>
        <v>11792.4631578947</v>
      </c>
      <c r="K51" s="9" t="n">
        <f aca="false">J51-H51</f>
        <v>-11618.3368421053</v>
      </c>
      <c r="L51" s="11" t="n">
        <f aca="false">IF(AND(H51=0,J51=0),0,IF(H51=0,"New",(J51-H51)/H51))</f>
        <v>-0.496281068656571</v>
      </c>
    </row>
    <row r="52" customFormat="false" ht="15" hidden="false" customHeight="true" outlineLevel="0" collapsed="false">
      <c r="A52" s="8" t="s">
        <v>127</v>
      </c>
      <c r="B52" s="8" t="str">
        <f aca="false">IFERROR(INDEX('Source 2026'!$C:$C,MATCH($A52,'Source 2026'!$B:$B,0)),IFERROR(INDEX('Source 2025'!$C:$C,MATCH($A52,'Source 2025'!$B:$B,0)),""))</f>
        <v>0 מ.בוניון+מפריד אצבע</v>
      </c>
      <c r="C52" s="9" t="n">
        <f aca="false">SUMIFS('Source 2025'!$Q:$Q,'Source 2025'!$B:$B,$A52,'Source 2025'!$A:$A,"Quantity (units)")</f>
        <v>1818</v>
      </c>
      <c r="D52" s="9" t="n">
        <f aca="false">SUMIFS('Source 2026'!$Q:$Q,'Source 2026'!$B:$B,$A52,'Source 2026'!$A:$A,"Quantity (units)")</f>
        <v>1418</v>
      </c>
      <c r="E52" s="9" t="n">
        <f aca="false">D52*$J$5</f>
        <v>1791.15789473684</v>
      </c>
      <c r="F52" s="9" t="n">
        <f aca="false">E52-C52</f>
        <v>-26.8421052631579</v>
      </c>
      <c r="G52" s="11" t="n">
        <f aca="false">IF(AND(C52=0,E52=0),0,IF(C52=0,"New",(E52-C52)/C52))</f>
        <v>-0.0147646343581727</v>
      </c>
      <c r="H52" s="9" t="n">
        <f aca="false">SUMIFS('Source 2025'!$Q:$Q,'Source 2025'!$B:$B,$A52,'Source 2025'!$A:$A,"Amount (NIS)")</f>
        <v>63005.9</v>
      </c>
      <c r="I52" s="9" t="n">
        <f aca="false">SUMIFS('Source 2026'!$Q:$Q,'Source 2026'!$B:$B,$A52,'Source 2026'!$A:$A,"Amount (NIS)")</f>
        <v>49012.5</v>
      </c>
      <c r="J52" s="9" t="n">
        <f aca="false">I52*$J$5</f>
        <v>61910.5263157895</v>
      </c>
      <c r="K52" s="9" t="n">
        <f aca="false">J52-H52</f>
        <v>-1095.37368421053</v>
      </c>
      <c r="L52" s="11" t="n">
        <f aca="false">IF(AND(H52=0,J52=0),0,IF(H52=0,"New",(J52-H52)/H52))</f>
        <v>-0.0173852557333603</v>
      </c>
    </row>
    <row r="53" customFormat="false" ht="15" hidden="false" customHeight="true" outlineLevel="0" collapsed="false">
      <c r="A53" s="8" t="s">
        <v>131</v>
      </c>
      <c r="B53" s="8" t="str">
        <f aca="false">IFERROR(INDEX('Source 2026'!$C:$C,MATCH($A53,'Source 2026'!$B:$B,0)),IFERROR(INDEX('Source 2025'!$C:$C,MATCH($A53,'Source 2025'!$B:$B,0)),""))</f>
        <v>S-L אצבעון מסיליקון יחידה</v>
      </c>
      <c r="C53" s="9" t="n">
        <f aca="false">SUMIFS('Source 2025'!$Q:$Q,'Source 2025'!$B:$B,$A53,'Source 2025'!$A:$A,"Quantity (units)")</f>
        <v>2172</v>
      </c>
      <c r="D53" s="9" t="n">
        <f aca="false">SUMIFS('Source 2026'!$Q:$Q,'Source 2026'!$B:$B,$A53,'Source 2026'!$A:$A,"Quantity (units)")</f>
        <v>1549</v>
      </c>
      <c r="E53" s="9" t="n">
        <f aca="false">D53*$J$5</f>
        <v>1956.63157894737</v>
      </c>
      <c r="F53" s="9" t="n">
        <f aca="false">E53-C53</f>
        <v>-215.368421052632</v>
      </c>
      <c r="G53" s="11" t="n">
        <f aca="false">IF(AND(C53=0,E53=0),0,IF(C53=0,"New",(E53-C53)/C53))</f>
        <v>-0.0991567316080256</v>
      </c>
      <c r="H53" s="9" t="n">
        <f aca="false">SUMIFS('Source 2025'!$Q:$Q,'Source 2025'!$B:$B,$A53,'Source 2025'!$A:$A,"Amount (NIS)")</f>
        <v>48349.5</v>
      </c>
      <c r="I53" s="9" t="n">
        <f aca="false">SUMIFS('Source 2026'!$Q:$Q,'Source 2026'!$B:$B,$A53,'Source 2026'!$A:$A,"Amount (NIS)")</f>
        <v>34693.3</v>
      </c>
      <c r="J53" s="9" t="n">
        <f aca="false">I53*$J$5</f>
        <v>43823.1157894737</v>
      </c>
      <c r="K53" s="9" t="n">
        <f aca="false">J53-H53</f>
        <v>-4526.38421052632</v>
      </c>
      <c r="L53" s="11" t="n">
        <f aca="false">IF(AND(H53=0,J53=0),0,IF(H53=0,"New",(J53-H53)/H53))</f>
        <v>-0.0936180148817737</v>
      </c>
    </row>
    <row r="54" customFormat="false" ht="15" hidden="false" customHeight="true" outlineLevel="0" collapsed="false">
      <c r="A54" s="8" t="s">
        <v>215</v>
      </c>
      <c r="B54" s="8" t="str">
        <f aca="false">IFERROR(INDEX('Source 2026'!$C:$C,MATCH($A54,'Source 2026'!$B:$B,0)),IFERROR(INDEX('Source 2025'!$C:$C,MATCH($A54,'Source 2025'!$B:$B,0)),""))</f>
        <v>XS חגורת פאבליק</v>
      </c>
      <c r="C54" s="9" t="n">
        <f aca="false">SUMIFS('Source 2025'!$Q:$Q,'Source 2025'!$B:$B,$A54,'Source 2025'!$A:$A,"Quantity (units)")</f>
        <v>0</v>
      </c>
      <c r="D54" s="9" t="n">
        <f aca="false">SUMIFS('Source 2026'!$Q:$Q,'Source 2026'!$B:$B,$A54,'Source 2026'!$A:$A,"Quantity (units)")</f>
        <v>47</v>
      </c>
      <c r="E54" s="9" t="n">
        <f aca="false">D54*$J$5</f>
        <v>59.3684210526316</v>
      </c>
      <c r="F54" s="9" t="n">
        <f aca="false">E54-C54</f>
        <v>59.3684210526316</v>
      </c>
      <c r="G54" s="11" t="str">
        <f aca="false">IF(AND(C54=0,E54=0),0,IF(C54=0,"New",(E54-C54)/C54))</f>
        <v>New</v>
      </c>
      <c r="H54" s="9" t="n">
        <f aca="false">SUMIFS('Source 2025'!$Q:$Q,'Source 2025'!$B:$B,$A54,'Source 2025'!$A:$A,"Amount (NIS)")</f>
        <v>0</v>
      </c>
      <c r="I54" s="9" t="n">
        <f aca="false">SUMIFS('Source 2026'!$Q:$Q,'Source 2026'!$B:$B,$A54,'Source 2026'!$A:$A,"Amount (NIS)")</f>
        <v>13130.3</v>
      </c>
      <c r="J54" s="9" t="n">
        <f aca="false">I54*$J$5</f>
        <v>16585.6421052632</v>
      </c>
      <c r="K54" s="9" t="n">
        <f aca="false">J54-H54</f>
        <v>16585.6421052632</v>
      </c>
      <c r="L54" s="11" t="str">
        <f aca="false">IF(AND(H54=0,J54=0),0,IF(H54=0,"New",(J54-H54)/H54))</f>
        <v>New</v>
      </c>
    </row>
    <row r="55" customFormat="false" ht="15" hidden="false" customHeight="true" outlineLevel="0" collapsed="false">
      <c r="A55" s="8" t="s">
        <v>122</v>
      </c>
      <c r="B55" s="8" t="str">
        <f aca="false">IFERROR(INDEX('Source 2026'!$C:$C,MATCH($A55,'Source 2026'!$B:$B,0)),IFERROR(INDEX('Source 2025'!$C:$C,MATCH($A55,'Source 2025'!$B:$B,0)),""))</f>
        <v>Sמיישר כתף יציב יישור גב צר</v>
      </c>
      <c r="C55" s="9" t="n">
        <f aca="false">SUMIFS('Source 2025'!$Q:$Q,'Source 2025'!$B:$B,$A55,'Source 2025'!$A:$A,"Quantity (units)")</f>
        <v>155</v>
      </c>
      <c r="D55" s="9" t="n">
        <f aca="false">SUMIFS('Source 2026'!$Q:$Q,'Source 2026'!$B:$B,$A55,'Source 2026'!$A:$A,"Quantity (units)")</f>
        <v>52</v>
      </c>
      <c r="E55" s="9" t="n">
        <f aca="false">D55*$J$5</f>
        <v>65.6842105263158</v>
      </c>
      <c r="F55" s="9" t="n">
        <f aca="false">E55-C55</f>
        <v>-89.3157894736842</v>
      </c>
      <c r="G55" s="11" t="n">
        <f aca="false">IF(AND(C55=0,E55=0),0,IF(C55=0,"New",(E55-C55)/C55))</f>
        <v>-0.576230899830221</v>
      </c>
      <c r="H55" s="9" t="n">
        <f aca="false">SUMIFS('Source 2025'!$Q:$Q,'Source 2025'!$B:$B,$A55,'Source 2025'!$A:$A,"Amount (NIS)")</f>
        <v>20571.3</v>
      </c>
      <c r="I55" s="9" t="n">
        <f aca="false">SUMIFS('Source 2026'!$Q:$Q,'Source 2026'!$B:$B,$A55,'Source 2026'!$A:$A,"Amount (NIS)")</f>
        <v>7911.2</v>
      </c>
      <c r="J55" s="9" t="n">
        <f aca="false">I55*$J$5</f>
        <v>9993.0947368421</v>
      </c>
      <c r="K55" s="9" t="n">
        <f aca="false">J55-H55</f>
        <v>-10578.2052631579</v>
      </c>
      <c r="L55" s="11" t="n">
        <f aca="false">IF(AND(H55=0,J55=0),0,IF(H55=0,"New",(J55-H55)/H55))</f>
        <v>-0.514221525288042</v>
      </c>
    </row>
    <row r="56" customFormat="false" ht="15" hidden="false" customHeight="true" outlineLevel="0" collapsed="false">
      <c r="A56" s="8" t="s">
        <v>174</v>
      </c>
      <c r="B56" s="8" t="str">
        <f aca="false">IFERROR(INDEX('Source 2026'!$C:$C,MATCH($A56,'Source 2026'!$B:$B,0)),IFERROR(INDEX('Source 2025'!$C:$C,MATCH($A56,'Source 2025'!$B:$B,0)),""))</f>
        <v>נצמדת שחור 20 מ""מ</v>
      </c>
      <c r="C56" s="9" t="n">
        <f aca="false">SUMIFS('Source 2025'!$Q:$Q,'Source 2025'!$B:$B,$A56,'Source 2025'!$A:$A,"Quantity (units)")</f>
        <v>1790</v>
      </c>
      <c r="D56" s="9" t="n">
        <f aca="false">SUMIFS('Source 2026'!$Q:$Q,'Source 2026'!$B:$B,$A56,'Source 2026'!$A:$A,"Quantity (units)")</f>
        <v>580</v>
      </c>
      <c r="E56" s="9" t="n">
        <f aca="false">D56*$J$5</f>
        <v>732.631578947368</v>
      </c>
      <c r="F56" s="9" t="n">
        <f aca="false">E56-C56</f>
        <v>-1057.36842105263</v>
      </c>
      <c r="G56" s="11" t="n">
        <f aca="false">IF(AND(C56=0,E56=0),0,IF(C56=0,"New",(E56-C56)/C56))</f>
        <v>-0.590708615113202</v>
      </c>
      <c r="H56" s="9" t="n">
        <f aca="false">SUMIFS('Source 2025'!$Q:$Q,'Source 2025'!$B:$B,$A56,'Source 2025'!$A:$A,"Amount (NIS)")</f>
        <v>18164.7</v>
      </c>
      <c r="I56" s="9" t="n">
        <f aca="false">SUMIFS('Source 2026'!$Q:$Q,'Source 2026'!$B:$B,$A56,'Source 2026'!$A:$A,"Amount (NIS)")</f>
        <v>5942.1</v>
      </c>
      <c r="J56" s="9" t="n">
        <f aca="false">I56*$J$5</f>
        <v>7505.81052631579</v>
      </c>
      <c r="K56" s="9" t="n">
        <f aca="false">J56-H56</f>
        <v>-10658.8894736842</v>
      </c>
      <c r="L56" s="11" t="n">
        <f aca="false">IF(AND(H56=0,J56=0),0,IF(H56=0,"New",(J56-H56)/H56))</f>
        <v>-0.586791385141743</v>
      </c>
    </row>
    <row r="57" customFormat="false" ht="15" hidden="false" customHeight="true" outlineLevel="0" collapsed="false">
      <c r="A57" s="8" t="s">
        <v>163</v>
      </c>
      <c r="B57" s="8" t="str">
        <f aca="false">IFERROR(INDEX('Source 2026'!$C:$C,MATCH($A57,'Source 2026'!$B:$B,0)),IFERROR(INDEX('Source 2025'!$C:$C,MATCH($A57,'Source 2025'!$B:$B,0)),""))</f>
        <v>נצמדת כחול20מ""מ</v>
      </c>
      <c r="C57" s="9" t="n">
        <f aca="false">SUMIFS('Source 2025'!$Q:$Q,'Source 2025'!$B:$B,$A57,'Source 2025'!$A:$A,"Quantity (units)")</f>
        <v>1556</v>
      </c>
      <c r="D57" s="9" t="n">
        <f aca="false">SUMIFS('Source 2026'!$Q:$Q,'Source 2026'!$B:$B,$A57,'Source 2026'!$A:$A,"Quantity (units)")</f>
        <v>358</v>
      </c>
      <c r="E57" s="9" t="n">
        <f aca="false">D57*$J$5</f>
        <v>452.210526315789</v>
      </c>
      <c r="F57" s="9" t="n">
        <f aca="false">E57-C57</f>
        <v>-1103.78947368421</v>
      </c>
      <c r="G57" s="11" t="n">
        <f aca="false">IF(AND(C57=0,E57=0),0,IF(C57=0,"New",(E57-C57)/C57))</f>
        <v>-0.709376268434583</v>
      </c>
      <c r="H57" s="9" t="n">
        <f aca="false">SUMIFS('Source 2025'!$Q:$Q,'Source 2025'!$B:$B,$A57,'Source 2025'!$A:$A,"Amount (NIS)")</f>
        <v>15795.7</v>
      </c>
      <c r="I57" s="9" t="n">
        <f aca="false">SUMIFS('Source 2026'!$Q:$Q,'Source 2026'!$B:$B,$A57,'Source 2026'!$A:$A,"Amount (NIS)")</f>
        <v>3674.8</v>
      </c>
      <c r="J57" s="9" t="n">
        <f aca="false">I57*$J$5</f>
        <v>4641.85263157895</v>
      </c>
      <c r="K57" s="9" t="n">
        <f aca="false">J57-H57</f>
        <v>-11153.8473684211</v>
      </c>
      <c r="L57" s="11" t="n">
        <f aca="false">IF(AND(H57=0,J57=0),0,IF(H57=0,"New",(J57-H57)/H57))</f>
        <v>-0.706131881994534</v>
      </c>
    </row>
    <row r="58" customFormat="false" ht="15" hidden="false" customHeight="true" outlineLevel="0" collapsed="false">
      <c r="A58" s="8" t="s">
        <v>106</v>
      </c>
      <c r="B58" s="8" t="str">
        <f aca="false">IFERROR(INDEX('Source 2026'!$C:$C,MATCH($A58,'Source 2026'!$B:$B,0)),IFERROR(INDEX('Source 2025'!$C:$C,MATCH($A58,'Source 2025'!$B:$B,0)),""))</f>
        <v>טלק מעושר באלוורה</v>
      </c>
      <c r="C58" s="9" t="n">
        <f aca="false">SUMIFS('Source 2025'!$Q:$Q,'Source 2025'!$B:$B,$A58,'Source 2025'!$A:$A,"Quantity (units)")</f>
        <v>1282</v>
      </c>
      <c r="D58" s="9" t="n">
        <f aca="false">SUMIFS('Source 2026'!$Q:$Q,'Source 2026'!$B:$B,$A58,'Source 2026'!$A:$A,"Quantity (units)")</f>
        <v>562</v>
      </c>
      <c r="E58" s="9" t="n">
        <f aca="false">D58*$J$5</f>
        <v>709.894736842105</v>
      </c>
      <c r="F58" s="9" t="n">
        <f aca="false">E58-C58</f>
        <v>-572.105263157895</v>
      </c>
      <c r="G58" s="11" t="n">
        <f aca="false">IF(AND(C58=0,E58=0),0,IF(C58=0,"New",(E58-C58)/C58))</f>
        <v>-0.446259955661384</v>
      </c>
      <c r="H58" s="9" t="n">
        <f aca="false">SUMIFS('Source 2025'!$Q:$Q,'Source 2025'!$B:$B,$A58,'Source 2025'!$A:$A,"Amount (NIS)")</f>
        <v>20668.1</v>
      </c>
      <c r="I58" s="9" t="n">
        <f aca="false">SUMIFS('Source 2026'!$Q:$Q,'Source 2026'!$B:$B,$A58,'Source 2026'!$A:$A,"Amount (NIS)")</f>
        <v>9322</v>
      </c>
      <c r="J58" s="9" t="n">
        <f aca="false">I58*$J$5</f>
        <v>11775.1578947368</v>
      </c>
      <c r="K58" s="9" t="n">
        <f aca="false">J58-H58</f>
        <v>-8892.94210526316</v>
      </c>
      <c r="L58" s="11" t="n">
        <f aca="false">IF(AND(H58=0,J58=0),0,IF(H58=0,"New",(J58-H58)/H58))</f>
        <v>-0.430273808684067</v>
      </c>
    </row>
    <row r="59" customFormat="false" ht="15" hidden="false" customHeight="true" outlineLevel="0" collapsed="false">
      <c r="A59" s="8" t="s">
        <v>132</v>
      </c>
      <c r="B59" s="8" t="str">
        <f aca="false">IFERROR(INDEX('Source 2026'!$C:$C,MATCH($A59,'Source 2026'!$B:$B,0)),IFERROR(INDEX('Source 2025'!$C:$C,MATCH($A59,'Source 2025'!$B:$B,0)),""))</f>
        <v>למניעת שפשוף 5 יח</v>
      </c>
      <c r="C59" s="9" t="n">
        <f aca="false">SUMIFS('Source 2025'!$Q:$Q,'Source 2025'!$B:$B,$A59,'Source 2025'!$A:$A,"Quantity (units)")</f>
        <v>4057</v>
      </c>
      <c r="D59" s="9" t="n">
        <f aca="false">SUMIFS('Source 2026'!$Q:$Q,'Source 2026'!$B:$B,$A59,'Source 2026'!$A:$A,"Quantity (units)")</f>
        <v>2898</v>
      </c>
      <c r="E59" s="9" t="n">
        <f aca="false">D59*$J$5</f>
        <v>3660.63157894737</v>
      </c>
      <c r="F59" s="9" t="n">
        <f aca="false">E59-C59</f>
        <v>-396.368421052632</v>
      </c>
      <c r="G59" s="11" t="n">
        <f aca="false">IF(AND(C59=0,E59=0),0,IF(C59=0,"New",(E59-C59)/C59))</f>
        <v>-0.0976998819454355</v>
      </c>
      <c r="H59" s="9" t="n">
        <f aca="false">SUMIFS('Source 2025'!$Q:$Q,'Source 2025'!$B:$B,$A59,'Source 2025'!$A:$A,"Amount (NIS)")</f>
        <v>50190</v>
      </c>
      <c r="I59" s="9" t="n">
        <f aca="false">SUMIFS('Source 2026'!$Q:$Q,'Source 2026'!$B:$B,$A59,'Source 2026'!$A:$A,"Amount (NIS)")</f>
        <v>39121.1</v>
      </c>
      <c r="J59" s="9" t="n">
        <f aca="false">I59*$J$5</f>
        <v>49416.1263157895</v>
      </c>
      <c r="K59" s="9" t="n">
        <f aca="false">J59-H59</f>
        <v>-773.873684210528</v>
      </c>
      <c r="L59" s="11" t="n">
        <f aca="false">IF(AND(H59=0,J59=0),0,IF(H59=0,"New",(J59-H59)/H59))</f>
        <v>-0.0154188819328657</v>
      </c>
    </row>
    <row r="60" customFormat="false" ht="15" hidden="false" customHeight="true" outlineLevel="0" collapsed="false">
      <c r="A60" s="8" t="s">
        <v>111</v>
      </c>
      <c r="B60" s="8" t="str">
        <f aca="false">IFERROR(INDEX('Source 2026'!$C:$C,MATCH($A60,'Source 2026'!$B:$B,0)),IFERROR(INDEX('Source 2025'!$C:$C,MATCH($A60,'Source 2025'!$B:$B,0)),""))</f>
        <v>מדרס אורטופ.מתכוון35-36</v>
      </c>
      <c r="C60" s="9" t="n">
        <f aca="false">SUMIFS('Source 2025'!$Q:$Q,'Source 2025'!$B:$B,$A60,'Source 2025'!$A:$A,"Quantity (units)")</f>
        <v>492</v>
      </c>
      <c r="D60" s="9" t="n">
        <f aca="false">SUMIFS('Source 2026'!$Q:$Q,'Source 2026'!$B:$B,$A60,'Source 2026'!$A:$A,"Quantity (units)")</f>
        <v>347</v>
      </c>
      <c r="E60" s="9" t="n">
        <f aca="false">D60*$J$5</f>
        <v>438.315789473684</v>
      </c>
      <c r="F60" s="9" t="n">
        <f aca="false">E60-C60</f>
        <v>-53.6842105263158</v>
      </c>
      <c r="G60" s="11" t="n">
        <f aca="false">IF(AND(C60=0,E60=0),0,IF(C60=0,"New",(E60-C60)/C60))</f>
        <v>-0.109114249037227</v>
      </c>
      <c r="H60" s="9" t="n">
        <f aca="false">SUMIFS('Source 2025'!$Q:$Q,'Source 2025'!$B:$B,$A60,'Source 2025'!$A:$A,"Amount (NIS)")</f>
        <v>32730.3</v>
      </c>
      <c r="I60" s="9" t="n">
        <f aca="false">SUMIFS('Source 2026'!$Q:$Q,'Source 2026'!$B:$B,$A60,'Source 2026'!$A:$A,"Amount (NIS)")</f>
        <v>22593.7</v>
      </c>
      <c r="J60" s="9" t="n">
        <f aca="false">I60*$J$5</f>
        <v>28539.4105263158</v>
      </c>
      <c r="K60" s="9" t="n">
        <f aca="false">J60-H60</f>
        <v>-4190.88947368421</v>
      </c>
      <c r="L60" s="11" t="n">
        <f aca="false">IF(AND(H60=0,J60=0),0,IF(H60=0,"New",(J60-H60)/H60))</f>
        <v>-0.128043112152477</v>
      </c>
    </row>
    <row r="61" customFormat="false" ht="15" hidden="false" customHeight="true" outlineLevel="0" collapsed="false">
      <c r="A61" s="8" t="s">
        <v>141</v>
      </c>
      <c r="B61" s="8" t="str">
        <f aca="false">IFERROR(INDEX('Source 2026'!$C:$C,MATCH($A61,'Source 2026'!$B:$B,0)),IFERROR(INDEX('Source 2025'!$C:$C,MATCH($A61,'Source 2025'!$B:$B,0)),""))</f>
        <v>מטטרזלי סיליקון362</v>
      </c>
      <c r="C61" s="9" t="n">
        <f aca="false">SUMIFS('Source 2025'!$Q:$Q,'Source 2025'!$B:$B,$A61,'Source 2025'!$A:$A,"Quantity (units)")</f>
        <v>2204</v>
      </c>
      <c r="D61" s="9" t="n">
        <f aca="false">SUMIFS('Source 2026'!$Q:$Q,'Source 2026'!$B:$B,$A61,'Source 2026'!$A:$A,"Quantity (units)")</f>
        <v>1727</v>
      </c>
      <c r="E61" s="9" t="n">
        <f aca="false">D61*$J$5</f>
        <v>2181.47368421053</v>
      </c>
      <c r="F61" s="9" t="n">
        <f aca="false">E61-C61</f>
        <v>-22.5263157894738</v>
      </c>
      <c r="G61" s="11" t="n">
        <f aca="false">IF(AND(C61=0,E61=0),0,IF(C61=0,"New",(E61-C61)/C61))</f>
        <v>-0.0102206514471297</v>
      </c>
      <c r="H61" s="9" t="n">
        <f aca="false">SUMIFS('Source 2025'!$Q:$Q,'Source 2025'!$B:$B,$A61,'Source 2025'!$A:$A,"Amount (NIS)")</f>
        <v>51118.9</v>
      </c>
      <c r="I61" s="9" t="n">
        <f aca="false">SUMIFS('Source 2026'!$Q:$Q,'Source 2026'!$B:$B,$A61,'Source 2026'!$A:$A,"Amount (NIS)")</f>
        <v>41072.9</v>
      </c>
      <c r="J61" s="9" t="n">
        <f aca="false">I61*$J$5</f>
        <v>51881.5578947368</v>
      </c>
      <c r="K61" s="9" t="n">
        <f aca="false">J61-H61</f>
        <v>762.65789473684</v>
      </c>
      <c r="L61" s="11" t="n">
        <f aca="false">IF(AND(H61=0,J61=0),0,IF(H61=0,"New",(J61-H61)/H61))</f>
        <v>0.0149192939350581</v>
      </c>
    </row>
    <row r="62" customFormat="false" ht="15" hidden="false" customHeight="true" outlineLevel="0" collapsed="false">
      <c r="A62" s="8" t="s">
        <v>167</v>
      </c>
      <c r="B62" s="8" t="str">
        <f aca="false">IFERROR(INDEX('Source 2026'!$C:$C,MATCH($A62,'Source 2026'!$B:$B,0)),IFERROR(INDEX('Source 2025'!$C:$C,MATCH($A62,'Source 2025'!$B:$B,0)),""))</f>
        <v>בליסטר פלסטר</v>
      </c>
      <c r="C62" s="9" t="n">
        <f aca="false">SUMIFS('Source 2025'!$Q:$Q,'Source 2025'!$B:$B,$A62,'Source 2025'!$A:$A,"Quantity (units)")</f>
        <v>1909</v>
      </c>
      <c r="D62" s="9" t="n">
        <f aca="false">SUMIFS('Source 2026'!$Q:$Q,'Source 2026'!$B:$B,$A62,'Source 2026'!$A:$A,"Quantity (units)")</f>
        <v>1332</v>
      </c>
      <c r="E62" s="9" t="n">
        <f aca="false">D62*$J$5</f>
        <v>1682.52631578947</v>
      </c>
      <c r="F62" s="9" t="n">
        <f aca="false">E62-C62</f>
        <v>-226.473684210526</v>
      </c>
      <c r="G62" s="11" t="n">
        <f aca="false">IF(AND(C62=0,E62=0),0,IF(C62=0,"New",(E62-C62)/C62))</f>
        <v>-0.118634721954178</v>
      </c>
      <c r="H62" s="9" t="n">
        <f aca="false">SUMIFS('Source 2025'!$Q:$Q,'Source 2025'!$B:$B,$A62,'Source 2025'!$A:$A,"Amount (NIS)")</f>
        <v>33927.9</v>
      </c>
      <c r="I62" s="9" t="n">
        <f aca="false">SUMIFS('Source 2026'!$Q:$Q,'Source 2026'!$B:$B,$A62,'Source 2026'!$A:$A,"Amount (NIS)")</f>
        <v>23901.8</v>
      </c>
      <c r="J62" s="9" t="n">
        <f aca="false">I62*$J$5</f>
        <v>30191.7473684211</v>
      </c>
      <c r="K62" s="9" t="n">
        <f aca="false">J62-H62</f>
        <v>-3736.15263157895</v>
      </c>
      <c r="L62" s="11" t="n">
        <f aca="false">IF(AND(H62=0,J62=0),0,IF(H62=0,"New",(J62-H62)/H62))</f>
        <v>-0.110120362049492</v>
      </c>
    </row>
    <row r="63" customFormat="false" ht="15" hidden="false" customHeight="true" outlineLevel="0" collapsed="false">
      <c r="A63" s="8" t="s">
        <v>157</v>
      </c>
      <c r="B63" s="8" t="str">
        <f aca="false">IFERROR(INDEX('Source 2026'!$C:$C,MATCH($A63,'Source 2026'!$B:$B,0)),IFERROR(INDEX('Source 2025'!$C:$C,MATCH($A63,'Source 2025'!$B:$B,0)),""))</f>
        <v>תחבושת א.נצמ</v>
      </c>
      <c r="C63" s="9" t="n">
        <f aca="false">SUMIFS('Source 2025'!$Q:$Q,'Source 2025'!$B:$B,$A63,'Source 2025'!$A:$A,"Quantity (units)")</f>
        <v>1749</v>
      </c>
      <c r="D63" s="9" t="n">
        <f aca="false">SUMIFS('Source 2026'!$Q:$Q,'Source 2026'!$B:$B,$A63,'Source 2026'!$A:$A,"Quantity (units)")</f>
        <v>820</v>
      </c>
      <c r="E63" s="9" t="n">
        <f aca="false">D63*$J$5</f>
        <v>1035.78947368421</v>
      </c>
      <c r="F63" s="9" t="n">
        <f aca="false">E63-C63</f>
        <v>-713.21052631579</v>
      </c>
      <c r="G63" s="11" t="n">
        <f aca="false">IF(AND(C63=0,E63=0),0,IF(C63=0,"New",(E63-C63)/C63))</f>
        <v>-0.407781890403539</v>
      </c>
      <c r="H63" s="9" t="n">
        <f aca="false">SUMIFS('Source 2025'!$Q:$Q,'Source 2025'!$B:$B,$A63,'Source 2025'!$A:$A,"Amount (NIS)")</f>
        <v>17832.6</v>
      </c>
      <c r="I63" s="9" t="n">
        <f aca="false">SUMIFS('Source 2026'!$Q:$Q,'Source 2026'!$B:$B,$A63,'Source 2026'!$A:$A,"Amount (NIS)")</f>
        <v>8468.2</v>
      </c>
      <c r="J63" s="9" t="n">
        <f aca="false">I63*$J$5</f>
        <v>10696.6736842105</v>
      </c>
      <c r="K63" s="9" t="n">
        <f aca="false">J63-H63</f>
        <v>-7135.92631578947</v>
      </c>
      <c r="L63" s="11" t="n">
        <f aca="false">IF(AND(H63=0,J63=0),0,IF(H63=0,"New",(J63-H63)/H63))</f>
        <v>-0.400161856139288</v>
      </c>
    </row>
    <row r="64" customFormat="false" ht="15" hidden="false" customHeight="true" outlineLevel="0" collapsed="false">
      <c r="A64" s="8" t="s">
        <v>145</v>
      </c>
      <c r="B64" s="8" t="str">
        <f aca="false">IFERROR(INDEX('Source 2026'!$C:$C,MATCH($A64,'Source 2026'!$B:$B,0)),IFERROR(INDEX('Source 2025'!$C:$C,MATCH($A64,'Source 2025'!$B:$B,0)),""))</f>
        <v>תחבושת א.נצמ</v>
      </c>
      <c r="C64" s="9" t="n">
        <f aca="false">SUMIFS('Source 2025'!$Q:$Q,'Source 2025'!$B:$B,$A64,'Source 2025'!$A:$A,"Quantity (units)")</f>
        <v>2756</v>
      </c>
      <c r="D64" s="9" t="n">
        <f aca="false">SUMIFS('Source 2026'!$Q:$Q,'Source 2026'!$B:$B,$A64,'Source 2026'!$A:$A,"Quantity (units)")</f>
        <v>1822</v>
      </c>
      <c r="E64" s="9" t="n">
        <f aca="false">D64*$J$5</f>
        <v>2301.47368421053</v>
      </c>
      <c r="F64" s="9" t="n">
        <f aca="false">E64-C64</f>
        <v>-454.526315789474</v>
      </c>
      <c r="G64" s="11" t="n">
        <f aca="false">IF(AND(C64=0,E64=0),0,IF(C64=0,"New",(E64-C64)/C64))</f>
        <v>-0.16492246581621</v>
      </c>
      <c r="H64" s="9" t="n">
        <f aca="false">SUMIFS('Source 2025'!$Q:$Q,'Source 2025'!$B:$B,$A64,'Source 2025'!$A:$A,"Amount (NIS)")</f>
        <v>28005.4</v>
      </c>
      <c r="I64" s="9" t="n">
        <f aca="false">SUMIFS('Source 2026'!$Q:$Q,'Source 2026'!$B:$B,$A64,'Source 2026'!$A:$A,"Amount (NIS)")</f>
        <v>18650.2</v>
      </c>
      <c r="J64" s="9" t="n">
        <f aca="false">I64*$J$5</f>
        <v>23558.1473684211</v>
      </c>
      <c r="K64" s="9" t="n">
        <f aca="false">J64-H64</f>
        <v>-4447.25263157895</v>
      </c>
      <c r="L64" s="11" t="n">
        <f aca="false">IF(AND(H64=0,J64=0),0,IF(H64=0,"New",(J64-H64)/H64))</f>
        <v>-0.158799825447198</v>
      </c>
    </row>
    <row r="65" customFormat="false" ht="15" hidden="false" customHeight="true" outlineLevel="0" collapsed="false">
      <c r="A65" s="8" t="s">
        <v>257</v>
      </c>
      <c r="B65" s="8" t="str">
        <f aca="false">IFERROR(INDEX('Source 2026'!$C:$C,MATCH($A65,'Source 2026'!$B:$B,0)),IFERROR(INDEX('Source 2025'!$C:$C,MATCH($A65,'Source 2025'!$B:$B,0)),""))</f>
        <v>L שמאל CTS כפפות</v>
      </c>
      <c r="C65" s="9" t="n">
        <f aca="false">SUMIFS('Source 2025'!$Q:$Q,'Source 2025'!$B:$B,$A65,'Source 2025'!$A:$A,"Quantity (units)")</f>
        <v>0</v>
      </c>
      <c r="D65" s="9" t="n">
        <f aca="false">SUMIFS('Source 2026'!$Q:$Q,'Source 2026'!$B:$B,$A65,'Source 2026'!$A:$A,"Quantity (units)")</f>
        <v>93</v>
      </c>
      <c r="E65" s="9" t="n">
        <f aca="false">D65*$J$5</f>
        <v>117.473684210526</v>
      </c>
      <c r="F65" s="9" t="n">
        <f aca="false">E65-C65</f>
        <v>117.473684210526</v>
      </c>
      <c r="G65" s="11" t="str">
        <f aca="false">IF(AND(C65=0,E65=0),0,IF(C65=0,"New",(E65-C65)/C65))</f>
        <v>New</v>
      </c>
      <c r="H65" s="9" t="n">
        <f aca="false">SUMIFS('Source 2025'!$Q:$Q,'Source 2025'!$B:$B,$A65,'Source 2025'!$A:$A,"Amount (NIS)")</f>
        <v>0</v>
      </c>
      <c r="I65" s="9" t="n">
        <f aca="false">SUMIFS('Source 2026'!$Q:$Q,'Source 2026'!$B:$B,$A65,'Source 2026'!$A:$A,"Amount (NIS)")</f>
        <v>9344.9</v>
      </c>
      <c r="J65" s="9" t="n">
        <f aca="false">I65*$J$5</f>
        <v>11804.0842105263</v>
      </c>
      <c r="K65" s="9" t="n">
        <f aca="false">J65-H65</f>
        <v>11804.0842105263</v>
      </c>
      <c r="L65" s="11" t="str">
        <f aca="false">IF(AND(H65=0,J65=0),0,IF(H65=0,"New",(J65-H65)/H65))</f>
        <v>New</v>
      </c>
    </row>
    <row r="66" customFormat="false" ht="15" hidden="false" customHeight="true" outlineLevel="0" collapsed="false">
      <c r="A66" s="8" t="s">
        <v>204</v>
      </c>
      <c r="B66" s="8" t="str">
        <f aca="false">IFERROR(INDEX('Source 2026'!$C:$C,MATCH($A66,'Source 2026'!$B:$B,0)),IFERROR(INDEX('Source 2025'!$C:$C,MATCH($A66,'Source 2025'!$B:$B,0)),""))</f>
        <v>תחבושת נצמדת ורוד 20ממ</v>
      </c>
      <c r="C66" s="9" t="n">
        <f aca="false">SUMIFS('Source 2025'!$Q:$Q,'Source 2025'!$B:$B,$A66,'Source 2025'!$A:$A,"Quantity (units)")</f>
        <v>1134</v>
      </c>
      <c r="D66" s="9" t="n">
        <f aca="false">SUMIFS('Source 2026'!$Q:$Q,'Source 2026'!$B:$B,$A66,'Source 2026'!$A:$A,"Quantity (units)")</f>
        <v>283</v>
      </c>
      <c r="E66" s="9" t="n">
        <f aca="false">D66*$J$5</f>
        <v>357.473684210526</v>
      </c>
      <c r="F66" s="9" t="n">
        <f aca="false">E66-C66</f>
        <v>-776.526315789474</v>
      </c>
      <c r="G66" s="11" t="n">
        <f aca="false">IF(AND(C66=0,E66=0),0,IF(C66=0,"New",(E66-C66)/C66))</f>
        <v>-0.684767474241159</v>
      </c>
      <c r="H66" s="9" t="n">
        <f aca="false">SUMIFS('Source 2025'!$Q:$Q,'Source 2025'!$B:$B,$A66,'Source 2025'!$A:$A,"Amount (NIS)")</f>
        <v>11512.2</v>
      </c>
      <c r="I66" s="9" t="n">
        <f aca="false">SUMIFS('Source 2026'!$Q:$Q,'Source 2026'!$B:$B,$A66,'Source 2026'!$A:$A,"Amount (NIS)")</f>
        <v>2916</v>
      </c>
      <c r="J66" s="9" t="n">
        <f aca="false">I66*$J$5</f>
        <v>3683.36842105263</v>
      </c>
      <c r="K66" s="9" t="n">
        <f aca="false">J66-H66</f>
        <v>-7828.83157894737</v>
      </c>
      <c r="L66" s="11" t="n">
        <f aca="false">IF(AND(H66=0,J66=0),0,IF(H66=0,"New",(J66-H66)/H66))</f>
        <v>-0.680046522727834</v>
      </c>
    </row>
    <row r="67" customFormat="false" ht="15" hidden="false" customHeight="true" outlineLevel="0" collapsed="false">
      <c r="A67" s="8" t="s">
        <v>186</v>
      </c>
      <c r="B67" s="8" t="str">
        <f aca="false">IFERROR(INDEX('Source 2026'!$C:$C,MATCH($A67,'Source 2026'!$B:$B,0)),IFERROR(INDEX('Source 2025'!$C:$C,MATCH($A67,'Source 2025'!$B:$B,0)),""))</f>
        <v>שרוול מגן לבוניון</v>
      </c>
      <c r="C67" s="9" t="n">
        <f aca="false">SUMIFS('Source 2025'!$Q:$Q,'Source 2025'!$B:$B,$A67,'Source 2025'!$A:$A,"Quantity (units)")</f>
        <v>968</v>
      </c>
      <c r="D67" s="9" t="n">
        <f aca="false">SUMIFS('Source 2026'!$Q:$Q,'Source 2026'!$B:$B,$A67,'Source 2026'!$A:$A,"Quantity (units)")</f>
        <v>650</v>
      </c>
      <c r="E67" s="9" t="n">
        <f aca="false">D67*$J$5</f>
        <v>821.052631578947</v>
      </c>
      <c r="F67" s="9" t="n">
        <f aca="false">E67-C67</f>
        <v>-146.947368421053</v>
      </c>
      <c r="G67" s="11" t="n">
        <f aca="false">IF(AND(C67=0,E67=0),0,IF(C67=0,"New",(E67-C67)/C67))</f>
        <v>-0.151805132666377</v>
      </c>
      <c r="H67" s="9" t="n">
        <f aca="false">SUMIFS('Source 2025'!$Q:$Q,'Source 2025'!$B:$B,$A67,'Source 2025'!$A:$A,"Amount (NIS)")</f>
        <v>27666.3</v>
      </c>
      <c r="I67" s="9" t="n">
        <f aca="false">SUMIFS('Source 2026'!$Q:$Q,'Source 2026'!$B:$B,$A67,'Source 2026'!$A:$A,"Amount (NIS)")</f>
        <v>19108.9</v>
      </c>
      <c r="J67" s="9" t="n">
        <f aca="false">I67*$J$5</f>
        <v>24137.5578947368</v>
      </c>
      <c r="K67" s="9" t="n">
        <f aca="false">J67-H67</f>
        <v>-3528.74210526316</v>
      </c>
      <c r="L67" s="11" t="n">
        <f aca="false">IF(AND(H67=0,J67=0),0,IF(H67=0,"New",(J67-H67)/H67))</f>
        <v>-0.127546585747395</v>
      </c>
    </row>
    <row r="68" customFormat="false" ht="15" hidden="false" customHeight="true" outlineLevel="0" collapsed="false">
      <c r="A68" s="8" t="s">
        <v>353</v>
      </c>
      <c r="B68" s="8" t="str">
        <f aca="false">IFERROR(INDEX('Source 2026'!$C:$C,MATCH($A68,'Source 2026'!$B:$B,0)),IFERROR(INDEX('Source 2025'!$C:$C,MATCH($A68,'Source 2025'!$B:$B,0)),""))</f>
        <v>חגורת גב אפורה</v>
      </c>
      <c r="C68" s="9" t="n">
        <f aca="false">SUMIFS('Source 2025'!$Q:$Q,'Source 2025'!$B:$B,$A68,'Source 2025'!$A:$A,"Quantity (units)")</f>
        <v>359</v>
      </c>
      <c r="D68" s="9" t="n">
        <f aca="false">SUMIFS('Source 2026'!$Q:$Q,'Source 2026'!$B:$B,$A68,'Source 2026'!$A:$A,"Quantity (units)")</f>
        <v>263</v>
      </c>
      <c r="E68" s="9" t="n">
        <f aca="false">D68*$J$5</f>
        <v>332.21052631579</v>
      </c>
      <c r="F68" s="9" t="n">
        <f aca="false">E68-C68</f>
        <v>-26.7894736842105</v>
      </c>
      <c r="G68" s="11" t="n">
        <f aca="false">IF(AND(C68=0,E68=0),0,IF(C68=0,"New",(E68-C68)/C68))</f>
        <v>-0.07462248937106</v>
      </c>
      <c r="H68" s="9" t="n">
        <f aca="false">SUMIFS('Source 2025'!$Q:$Q,'Source 2025'!$B:$B,$A68,'Source 2025'!$A:$A,"Amount (NIS)")</f>
        <v>33059.8</v>
      </c>
      <c r="I68" s="9" t="n">
        <f aca="false">SUMIFS('Source 2026'!$Q:$Q,'Source 2026'!$B:$B,$A68,'Source 2026'!$A:$A,"Amount (NIS)")</f>
        <v>24607.7</v>
      </c>
      <c r="J68" s="9" t="n">
        <f aca="false">I68*$J$5</f>
        <v>31083.4105263158</v>
      </c>
      <c r="K68" s="9" t="n">
        <f aca="false">J68-H68</f>
        <v>-1976.38947368422</v>
      </c>
      <c r="L68" s="11" t="n">
        <f aca="false">IF(AND(H68=0,J68=0),0,IF(H68=0,"New",(J68-H68)/H68))</f>
        <v>-0.0597822574148729</v>
      </c>
    </row>
    <row r="69" customFormat="false" ht="15" hidden="false" customHeight="true" outlineLevel="0" collapsed="false">
      <c r="A69" s="8" t="s">
        <v>92</v>
      </c>
      <c r="B69" s="8" t="str">
        <f aca="false">IFERROR(INDEX('Source 2026'!$C:$C,MATCH($A69,'Source 2026'!$B:$B,0)),IFERROR(INDEX('Source 2025'!$C:$C,MATCH($A69,'Source 2025'!$B:$B,0)),""))</f>
        <v>דאודורנט אנטיבק.נעל333</v>
      </c>
      <c r="C69" s="9" t="n">
        <f aca="false">SUMIFS('Source 2025'!$Q:$Q,'Source 2025'!$B:$B,$A69,'Source 2025'!$A:$A,"Quantity (units)")</f>
        <v>1663</v>
      </c>
      <c r="D69" s="9" t="n">
        <f aca="false">SUMIFS('Source 2026'!$Q:$Q,'Source 2026'!$B:$B,$A69,'Source 2026'!$A:$A,"Quantity (units)")</f>
        <v>1283</v>
      </c>
      <c r="E69" s="9" t="n">
        <f aca="false">D69*$J$5</f>
        <v>1620.63157894737</v>
      </c>
      <c r="F69" s="9" t="n">
        <f aca="false">E69-C69</f>
        <v>-42.3684210526317</v>
      </c>
      <c r="G69" s="11" t="n">
        <f aca="false">IF(AND(C69=0,E69=0),0,IF(C69=0,"New",(E69-C69)/C69))</f>
        <v>-0.0254771022565434</v>
      </c>
      <c r="H69" s="9" t="n">
        <f aca="false">SUMIFS('Source 2025'!$Q:$Q,'Source 2025'!$B:$B,$A69,'Source 2025'!$A:$A,"Amount (NIS)")</f>
        <v>30574.4</v>
      </c>
      <c r="I69" s="9" t="n">
        <f aca="false">SUMIFS('Source 2026'!$Q:$Q,'Source 2026'!$B:$B,$A69,'Source 2026'!$A:$A,"Amount (NIS)")</f>
        <v>22225.7</v>
      </c>
      <c r="J69" s="9" t="n">
        <f aca="false">I69*$J$5</f>
        <v>28074.5684210526</v>
      </c>
      <c r="K69" s="9" t="n">
        <f aca="false">J69-H69</f>
        <v>-2499.83157894737</v>
      </c>
      <c r="L69" s="11" t="n">
        <f aca="false">IF(AND(H69=0,J69=0),0,IF(H69=0,"New",(J69-H69)/H69))</f>
        <v>-0.0817622448501809</v>
      </c>
    </row>
    <row r="70" customFormat="false" ht="15" hidden="false" customHeight="true" outlineLevel="0" collapsed="false">
      <c r="A70" s="8" t="s">
        <v>112</v>
      </c>
      <c r="B70" s="8" t="str">
        <f aca="false">IFERROR(INDEX('Source 2026'!$C:$C,MATCH($A70,'Source 2026'!$B:$B,0)),IFERROR(INDEX('Source 2025'!$C:$C,MATCH($A70,'Source 2025'!$B:$B,0)),""))</f>
        <v>חגורת גב +סגירה כפולה</v>
      </c>
      <c r="C70" s="9" t="n">
        <f aca="false">SUMIFS('Source 2025'!$Q:$Q,'Source 2025'!$B:$B,$A70,'Source 2025'!$A:$A,"Quantity (units)")</f>
        <v>132</v>
      </c>
      <c r="D70" s="9" t="n">
        <f aca="false">SUMIFS('Source 2026'!$Q:$Q,'Source 2026'!$B:$B,$A70,'Source 2026'!$A:$A,"Quantity (units)")</f>
        <v>42</v>
      </c>
      <c r="E70" s="9" t="n">
        <f aca="false">D70*$J$5</f>
        <v>53.0526315789474</v>
      </c>
      <c r="F70" s="9" t="n">
        <f aca="false">E70-C70</f>
        <v>-78.9473684210526</v>
      </c>
      <c r="G70" s="11" t="n">
        <f aca="false">IF(AND(C70=0,E70=0),0,IF(C70=0,"New",(E70-C70)/C70))</f>
        <v>-0.598086124401914</v>
      </c>
      <c r="H70" s="9" t="n">
        <f aca="false">SUMIFS('Source 2025'!$Q:$Q,'Source 2025'!$B:$B,$A70,'Source 2025'!$A:$A,"Amount (NIS)")</f>
        <v>12600.2</v>
      </c>
      <c r="I70" s="9" t="n">
        <f aca="false">SUMIFS('Source 2026'!$Q:$Q,'Source 2026'!$B:$B,$A70,'Source 2026'!$A:$A,"Amount (NIS)")</f>
        <v>4263.8</v>
      </c>
      <c r="J70" s="9" t="n">
        <f aca="false">I70*$J$5</f>
        <v>5385.85263157895</v>
      </c>
      <c r="K70" s="9" t="n">
        <f aca="false">J70-H70</f>
        <v>-7214.34736842105</v>
      </c>
      <c r="L70" s="11" t="n">
        <f aca="false">IF(AND(H70=0,J70=0),0,IF(H70=0,"New",(J70-H70)/H70))</f>
        <v>-0.572558163237175</v>
      </c>
    </row>
    <row r="71" customFormat="false" ht="15" hidden="false" customHeight="true" outlineLevel="0" collapsed="false">
      <c r="A71" s="8" t="s">
        <v>104</v>
      </c>
      <c r="B71" s="8" t="str">
        <f aca="false">IFERROR(INDEX('Source 2026'!$C:$C,MATCH($A71,'Source 2026'!$B:$B,0)),IFERROR(INDEX('Source 2025'!$C:$C,MATCH($A71,'Source 2025'!$B:$B,0)),""))</f>
        <v>L חבק יד מתכוון עם צמדן</v>
      </c>
      <c r="C71" s="9" t="n">
        <f aca="false">SUMIFS('Source 2025'!$Q:$Q,'Source 2025'!$B:$B,$A71,'Source 2025'!$A:$A,"Quantity (units)")</f>
        <v>739</v>
      </c>
      <c r="D71" s="9" t="n">
        <f aca="false">SUMIFS('Source 2026'!$Q:$Q,'Source 2026'!$B:$B,$A71,'Source 2026'!$A:$A,"Quantity (units)")</f>
        <v>398</v>
      </c>
      <c r="E71" s="9" t="n">
        <f aca="false">D71*$J$5</f>
        <v>502.736842105263</v>
      </c>
      <c r="F71" s="9" t="n">
        <f aca="false">E71-C71</f>
        <v>-236.263157894737</v>
      </c>
      <c r="G71" s="11" t="n">
        <f aca="false">IF(AND(C71=0,E71=0),0,IF(C71=0,"New",(E71-C71)/C71))</f>
        <v>-0.319706573605869</v>
      </c>
      <c r="H71" s="9" t="n">
        <f aca="false">SUMIFS('Source 2025'!$Q:$Q,'Source 2025'!$B:$B,$A71,'Source 2025'!$A:$A,"Amount (NIS)")</f>
        <v>18552.4</v>
      </c>
      <c r="I71" s="9" t="n">
        <f aca="false">SUMIFS('Source 2026'!$Q:$Q,'Source 2026'!$B:$B,$A71,'Source 2026'!$A:$A,"Amount (NIS)")</f>
        <v>10262</v>
      </c>
      <c r="J71" s="9" t="n">
        <f aca="false">I71*$J$5</f>
        <v>12962.5263157895</v>
      </c>
      <c r="K71" s="9" t="n">
        <f aca="false">J71-H71</f>
        <v>-5589.87368421052</v>
      </c>
      <c r="L71" s="11" t="n">
        <f aca="false">IF(AND(H71=0,J71=0),0,IF(H71=0,"New",(J71-H71)/H71))</f>
        <v>-0.301301916960098</v>
      </c>
    </row>
    <row r="72" customFormat="false" ht="15" hidden="false" customHeight="true" outlineLevel="0" collapsed="false">
      <c r="A72" s="8" t="s">
        <v>158</v>
      </c>
      <c r="B72" s="8" t="str">
        <f aca="false">IFERROR(INDEX('Source 2026'!$C:$C,MATCH($A72,'Source 2026'!$B:$B,0)),IFERROR(INDEX('Source 2025'!$C:$C,MATCH($A72,'Source 2025'!$B:$B,0)),""))</f>
        <v>S מגן קרסול מתכוון עם סקוטש</v>
      </c>
      <c r="C72" s="9" t="n">
        <f aca="false">SUMIFS('Source 2025'!$Q:$Q,'Source 2025'!$B:$B,$A72,'Source 2025'!$A:$A,"Quantity (units)")</f>
        <v>97</v>
      </c>
      <c r="D72" s="9" t="n">
        <f aca="false">SUMIFS('Source 2026'!$Q:$Q,'Source 2026'!$B:$B,$A72,'Source 2026'!$A:$A,"Quantity (units)")</f>
        <v>-36</v>
      </c>
      <c r="E72" s="9" t="n">
        <f aca="false">D72*$J$5</f>
        <v>-45.4736842105263</v>
      </c>
      <c r="F72" s="9" t="n">
        <f aca="false">E72-C72</f>
        <v>-142.473684210526</v>
      </c>
      <c r="G72" s="11" t="n">
        <f aca="false">IF(AND(C72=0,E72=0),0,IF(C72=0,"New",(E72-C72)/C72))</f>
        <v>-1.46880086814976</v>
      </c>
      <c r="H72" s="9" t="n">
        <f aca="false">SUMIFS('Source 2025'!$Q:$Q,'Source 2025'!$B:$B,$A72,'Source 2025'!$A:$A,"Amount (NIS)")</f>
        <v>5669.5</v>
      </c>
      <c r="I72" s="9" t="n">
        <f aca="false">SUMIFS('Source 2026'!$Q:$Q,'Source 2026'!$B:$B,$A72,'Source 2026'!$A:$A,"Amount (NIS)")</f>
        <v>-1982.7</v>
      </c>
      <c r="J72" s="9" t="n">
        <f aca="false">I72*$J$5</f>
        <v>-2504.46315789474</v>
      </c>
      <c r="K72" s="9" t="n">
        <f aca="false">J72-H72</f>
        <v>-8173.96315789474</v>
      </c>
      <c r="L72" s="11" t="n">
        <f aca="false">IF(AND(H72=0,J72=0),0,IF(H72=0,"New",(J72-H72)/H72))</f>
        <v>-1.44174321507977</v>
      </c>
    </row>
    <row r="73" customFormat="false" ht="15" hidden="false" customHeight="true" outlineLevel="0" collapsed="false">
      <c r="A73" s="8" t="s">
        <v>182</v>
      </c>
      <c r="B73" s="8" t="str">
        <f aca="false">IFERROR(INDEX('Source 2026'!$C:$C,MATCH($A73,'Source 2026'!$B:$B,0)),IFERROR(INDEX('Source 2025'!$C:$C,MATCH($A73,'Source 2025'!$B:$B,0)),""))</f>
        <v>3667 מגן בוניון</v>
      </c>
      <c r="C73" s="9" t="n">
        <f aca="false">SUMIFS('Source 2025'!$Q:$Q,'Source 2025'!$B:$B,$A73,'Source 2025'!$A:$A,"Quantity (units)")</f>
        <v>962</v>
      </c>
      <c r="D73" s="9" t="n">
        <f aca="false">SUMIFS('Source 2026'!$Q:$Q,'Source 2026'!$B:$B,$A73,'Source 2026'!$A:$A,"Quantity (units)")</f>
        <v>673</v>
      </c>
      <c r="E73" s="9" t="n">
        <f aca="false">D73*$J$5</f>
        <v>850.105263157895</v>
      </c>
      <c r="F73" s="9" t="n">
        <f aca="false">E73-C73</f>
        <v>-111.894736842105</v>
      </c>
      <c r="G73" s="11" t="n">
        <f aca="false">IF(AND(C73=0,E73=0),0,IF(C73=0,"New",(E73-C73)/C73))</f>
        <v>-0.116314695262064</v>
      </c>
      <c r="H73" s="9" t="n">
        <f aca="false">SUMIFS('Source 2025'!$Q:$Q,'Source 2025'!$B:$B,$A73,'Source 2025'!$A:$A,"Amount (NIS)")</f>
        <v>25707.7</v>
      </c>
      <c r="I73" s="9" t="n">
        <f aca="false">SUMIFS('Source 2026'!$Q:$Q,'Source 2026'!$B:$B,$A73,'Source 2026'!$A:$A,"Amount (NIS)")</f>
        <v>18182.5</v>
      </c>
      <c r="J73" s="9" t="n">
        <f aca="false">I73*$J$5</f>
        <v>22967.3684210526</v>
      </c>
      <c r="K73" s="9" t="n">
        <f aca="false">J73-H73</f>
        <v>-2740.33157894737</v>
      </c>
      <c r="L73" s="11" t="n">
        <f aca="false">IF(AND(H73=0,J73=0),0,IF(H73=0,"New",(J73-H73)/H73))</f>
        <v>-0.106595750648536</v>
      </c>
    </row>
    <row r="74" customFormat="false" ht="15" hidden="false" customHeight="true" outlineLevel="0" collapsed="false">
      <c r="A74" s="8" t="s">
        <v>105</v>
      </c>
      <c r="B74" s="8" t="str">
        <f aca="false">IFERROR(INDEX('Source 2026'!$C:$C,MATCH($A74,'Source 2026'!$B:$B,0)),IFERROR(INDEX('Source 2025'!$C:$C,MATCH($A74,'Source 2025'!$B:$B,0)),""))</f>
        <v>L חגורת גב +סגירה</v>
      </c>
      <c r="C74" s="9" t="n">
        <f aca="false">SUMIFS('Source 2025'!$Q:$Q,'Source 2025'!$B:$B,$A74,'Source 2025'!$A:$A,"Quantity (units)")</f>
        <v>164</v>
      </c>
      <c r="D74" s="9" t="n">
        <f aca="false">SUMIFS('Source 2026'!$Q:$Q,'Source 2026'!$B:$B,$A74,'Source 2026'!$A:$A,"Quantity (units)")</f>
        <v>82</v>
      </c>
      <c r="E74" s="9" t="n">
        <f aca="false">D74*$J$5</f>
        <v>103.578947368421</v>
      </c>
      <c r="F74" s="9" t="n">
        <f aca="false">E74-C74</f>
        <v>-60.421052631579</v>
      </c>
      <c r="G74" s="11" t="n">
        <f aca="false">IF(AND(C74=0,E74=0),0,IF(C74=0,"New",(E74-C74)/C74))</f>
        <v>-0.368421052631579</v>
      </c>
      <c r="H74" s="9" t="n">
        <f aca="false">SUMIFS('Source 2025'!$Q:$Q,'Source 2025'!$B:$B,$A74,'Source 2025'!$A:$A,"Amount (NIS)")</f>
        <v>15702.7</v>
      </c>
      <c r="I74" s="9" t="n">
        <f aca="false">SUMIFS('Source 2026'!$Q:$Q,'Source 2026'!$B:$B,$A74,'Source 2026'!$A:$A,"Amount (NIS)")</f>
        <v>8230.7</v>
      </c>
      <c r="J74" s="9" t="n">
        <f aca="false">I74*$J$5</f>
        <v>10396.6736842105</v>
      </c>
      <c r="K74" s="9" t="n">
        <f aca="false">J74-H74</f>
        <v>-5306.02631578947</v>
      </c>
      <c r="L74" s="11" t="n">
        <f aca="false">IF(AND(H74=0,J74=0),0,IF(H74=0,"New",(J74-H74)/H74))</f>
        <v>-0.337905348493538</v>
      </c>
    </row>
    <row r="75" customFormat="false" ht="15" hidden="false" customHeight="true" outlineLevel="0" collapsed="false">
      <c r="A75" s="8" t="s">
        <v>282</v>
      </c>
      <c r="B75" s="8" t="str">
        <f aca="false">IFERROR(INDEX('Source 2026'!$C:$C,MATCH($A75,'Source 2026'!$B:$B,0)),IFERROR(INDEX('Source 2025'!$C:$C,MATCH($A75,'Source 2025'!$B:$B,0)),""))</f>
        <v>מיישר בוניון-האלוקס ולגוס</v>
      </c>
      <c r="C75" s="9" t="n">
        <f aca="false">SUMIFS('Source 2025'!$Q:$Q,'Source 2025'!$B:$B,$A75,'Source 2025'!$A:$A,"Quantity (units)")</f>
        <v>830</v>
      </c>
      <c r="D75" s="9" t="n">
        <f aca="false">SUMIFS('Source 2026'!$Q:$Q,'Source 2026'!$B:$B,$A75,'Source 2026'!$A:$A,"Quantity (units)")</f>
        <v>654</v>
      </c>
      <c r="E75" s="9" t="n">
        <f aca="false">D75*$J$5</f>
        <v>826.105263157895</v>
      </c>
      <c r="F75" s="9" t="n">
        <f aca="false">E75-C75</f>
        <v>-3.89473684210532</v>
      </c>
      <c r="G75" s="11" t="n">
        <f aca="false">IF(AND(C75=0,E75=0),0,IF(C75=0,"New",(E75-C75)/C75))</f>
        <v>-0.00469245402663291</v>
      </c>
      <c r="H75" s="9" t="n">
        <f aca="false">SUMIFS('Source 2025'!$Q:$Q,'Source 2025'!$B:$B,$A75,'Source 2025'!$A:$A,"Amount (NIS)")</f>
        <v>33989.9</v>
      </c>
      <c r="I75" s="9" t="n">
        <f aca="false">SUMIFS('Source 2026'!$Q:$Q,'Source 2026'!$B:$B,$A75,'Source 2026'!$A:$A,"Amount (NIS)")</f>
        <v>26677.6</v>
      </c>
      <c r="J75" s="9" t="n">
        <f aca="false">I75*$J$5</f>
        <v>33698.0210526316</v>
      </c>
      <c r="K75" s="9" t="n">
        <f aca="false">J75-H75</f>
        <v>-291.878947368423</v>
      </c>
      <c r="L75" s="11" t="n">
        <f aca="false">IF(AND(H75=0,J75=0),0,IF(H75=0,"New",(J75-H75)/H75))</f>
        <v>-0.00858722583380424</v>
      </c>
    </row>
    <row r="76" customFormat="false" ht="15" hidden="false" customHeight="true" outlineLevel="0" collapsed="false">
      <c r="A76" s="8" t="s">
        <v>166</v>
      </c>
      <c r="B76" s="8" t="str">
        <f aca="false">IFERROR(INDEX('Source 2026'!$C:$C,MATCH($A76,'Source 2026'!$B:$B,0)),IFERROR(INDEX('Source 2025'!$C:$C,MATCH($A76,'Source 2025'!$B:$B,0)),""))</f>
        <v>S-M סד לאגודל</v>
      </c>
      <c r="C76" s="9" t="n">
        <f aca="false">SUMIFS('Source 2025'!$Q:$Q,'Source 2025'!$B:$B,$A76,'Source 2025'!$A:$A,"Quantity (units)")</f>
        <v>484</v>
      </c>
      <c r="D76" s="9" t="n">
        <f aca="false">SUMIFS('Source 2026'!$Q:$Q,'Source 2026'!$B:$B,$A76,'Source 2026'!$A:$A,"Quantity (units)")</f>
        <v>360</v>
      </c>
      <c r="E76" s="9" t="n">
        <f aca="false">D76*$J$5</f>
        <v>454.736842105263</v>
      </c>
      <c r="F76" s="9" t="n">
        <f aca="false">E76-C76</f>
        <v>-29.2631578947369</v>
      </c>
      <c r="G76" s="11" t="n">
        <f aca="false">IF(AND(C76=0,E76=0),0,IF(C76=0,"New",(E76-C76)/C76))</f>
        <v>-0.0604610700304481</v>
      </c>
      <c r="H76" s="9" t="n">
        <f aca="false">SUMIFS('Source 2025'!$Q:$Q,'Source 2025'!$B:$B,$A76,'Source 2025'!$A:$A,"Amount (NIS)")</f>
        <v>28166.5</v>
      </c>
      <c r="I76" s="9" t="n">
        <f aca="false">SUMIFS('Source 2026'!$Q:$Q,'Source 2026'!$B:$B,$A76,'Source 2026'!$A:$A,"Amount (NIS)")</f>
        <v>21127.7</v>
      </c>
      <c r="J76" s="9" t="n">
        <f aca="false">I76*$J$5</f>
        <v>26687.6210526316</v>
      </c>
      <c r="K76" s="9" t="n">
        <f aca="false">J76-H76</f>
        <v>-1478.87894736842</v>
      </c>
      <c r="L76" s="11" t="n">
        <f aca="false">IF(AND(H76=0,J76=0),0,IF(H76=0,"New",(J76-H76)/H76))</f>
        <v>-0.0525048886928949</v>
      </c>
    </row>
    <row r="77" customFormat="false" ht="15" hidden="false" customHeight="true" outlineLevel="0" collapsed="false">
      <c r="A77" s="8" t="s">
        <v>254</v>
      </c>
      <c r="B77" s="8" t="str">
        <f aca="false">IFERROR(INDEX('Source 2026'!$C:$C,MATCH($A77,'Source 2026'!$B:$B,0)),IFERROR(INDEX('Source 2025'!$C:$C,MATCH($A77,'Source 2025'!$B:$B,0)),""))</f>
        <v>S-M STRAP4U</v>
      </c>
      <c r="C77" s="9" t="n">
        <f aca="false">SUMIFS('Source 2025'!$Q:$Q,'Source 2025'!$B:$B,$A77,'Source 2025'!$A:$A,"Quantity (units)")</f>
        <v>496</v>
      </c>
      <c r="D77" s="9" t="n">
        <f aca="false">SUMIFS('Source 2026'!$Q:$Q,'Source 2026'!$B:$B,$A77,'Source 2026'!$A:$A,"Quantity (units)")</f>
        <v>89</v>
      </c>
      <c r="E77" s="9" t="n">
        <f aca="false">D77*$J$5</f>
        <v>112.421052631579</v>
      </c>
      <c r="F77" s="9" t="n">
        <f aca="false">E77-C77</f>
        <v>-383.578947368421</v>
      </c>
      <c r="G77" s="11" t="n">
        <f aca="false">IF(AND(C77=0,E77=0),0,IF(C77=0,"New",(E77-C77)/C77))</f>
        <v>-0.773344651952462</v>
      </c>
      <c r="H77" s="9" t="n">
        <f aca="false">SUMIFS('Source 2025'!$Q:$Q,'Source 2025'!$B:$B,$A77,'Source 2025'!$A:$A,"Amount (NIS)")</f>
        <v>8292.2</v>
      </c>
      <c r="I77" s="9" t="n">
        <f aca="false">SUMIFS('Source 2026'!$Q:$Q,'Source 2026'!$B:$B,$A77,'Source 2026'!$A:$A,"Amount (NIS)")</f>
        <v>1612.2</v>
      </c>
      <c r="J77" s="9" t="n">
        <f aca="false">I77*$J$5</f>
        <v>2036.46315789474</v>
      </c>
      <c r="K77" s="9" t="n">
        <f aca="false">J77-H77</f>
        <v>-6255.73684210526</v>
      </c>
      <c r="L77" s="11" t="n">
        <f aca="false">IF(AND(H77=0,J77=0),0,IF(H77=0,"New",(J77-H77)/H77))</f>
        <v>-0.754412199670204</v>
      </c>
    </row>
    <row r="78" customFormat="false" ht="15" hidden="false" customHeight="true" outlineLevel="0" collapsed="false">
      <c r="A78" s="8" t="s">
        <v>286</v>
      </c>
      <c r="B78" s="8" t="str">
        <f aca="false">IFERROR(INDEX('Source 2026'!$C:$C,MATCH($A78,'Source 2026'!$B:$B,0)),IFERROR(INDEX('Source 2025'!$C:$C,MATCH($A78,'Source 2025'!$B:$B,0)),""))</f>
        <v>L ימין CTS כפפות</v>
      </c>
      <c r="C78" s="9" t="n">
        <f aca="false">SUMIFS('Source 2025'!$Q:$Q,'Source 2025'!$B:$B,$A78,'Source 2025'!$A:$A,"Quantity (units)")</f>
        <v>0</v>
      </c>
      <c r="D78" s="9" t="n">
        <f aca="false">SUMIFS('Source 2026'!$Q:$Q,'Source 2026'!$B:$B,$A78,'Source 2026'!$A:$A,"Quantity (units)")</f>
        <v>64</v>
      </c>
      <c r="E78" s="9" t="n">
        <f aca="false">D78*$J$5</f>
        <v>80.8421052631579</v>
      </c>
      <c r="F78" s="9" t="n">
        <f aca="false">E78-C78</f>
        <v>80.8421052631579</v>
      </c>
      <c r="G78" s="11" t="str">
        <f aca="false">IF(AND(C78=0,E78=0),0,IF(C78=0,"New",(E78-C78)/C78))</f>
        <v>New</v>
      </c>
      <c r="H78" s="9" t="n">
        <f aca="false">SUMIFS('Source 2025'!$Q:$Q,'Source 2025'!$B:$B,$A78,'Source 2025'!$A:$A,"Amount (NIS)")</f>
        <v>0</v>
      </c>
      <c r="I78" s="9" t="n">
        <f aca="false">SUMIFS('Source 2026'!$Q:$Q,'Source 2026'!$B:$B,$A78,'Source 2026'!$A:$A,"Amount (NIS)")</f>
        <v>6431.2</v>
      </c>
      <c r="J78" s="9" t="n">
        <f aca="false">I78*$J$5</f>
        <v>8123.62105263158</v>
      </c>
      <c r="K78" s="9" t="n">
        <f aca="false">J78-H78</f>
        <v>8123.62105263158</v>
      </c>
      <c r="L78" s="11" t="str">
        <f aca="false">IF(AND(H78=0,J78=0),0,IF(H78=0,"New",(J78-H78)/H78))</f>
        <v>New</v>
      </c>
    </row>
    <row r="79" customFormat="false" ht="15" hidden="false" customHeight="true" outlineLevel="0" collapsed="false">
      <c r="A79" s="8" t="s">
        <v>175</v>
      </c>
      <c r="B79" s="8" t="str">
        <f aca="false">IFERROR(INDEX('Source 2026'!$C:$C,MATCH($A79,'Source 2026'!$B:$B,0)),IFERROR(INDEX('Source 2025'!$C:$C,MATCH($A79,'Source 2025'!$B:$B,0)),""))</f>
        <v>גב אפורה</v>
      </c>
      <c r="C79" s="9" t="n">
        <f aca="false">SUMIFS('Source 2025'!$Q:$Q,'Source 2025'!$B:$B,$A79,'Source 2025'!$A:$A,"Quantity (units)")</f>
        <v>161</v>
      </c>
      <c r="D79" s="9" t="n">
        <f aca="false">SUMIFS('Source 2026'!$Q:$Q,'Source 2026'!$B:$B,$A79,'Source 2026'!$A:$A,"Quantity (units)")</f>
        <v>95</v>
      </c>
      <c r="E79" s="9" t="n">
        <f aca="false">D79*$J$5</f>
        <v>120</v>
      </c>
      <c r="F79" s="9" t="n">
        <f aca="false">E79-C79</f>
        <v>-41</v>
      </c>
      <c r="G79" s="11" t="n">
        <f aca="false">IF(AND(C79=0,E79=0),0,IF(C79=0,"New",(E79-C79)/C79))</f>
        <v>-0.254658385093168</v>
      </c>
      <c r="H79" s="9" t="n">
        <f aca="false">SUMIFS('Source 2025'!$Q:$Q,'Source 2025'!$B:$B,$A79,'Source 2025'!$A:$A,"Amount (NIS)")</f>
        <v>14776.5</v>
      </c>
      <c r="I79" s="9" t="n">
        <f aca="false">SUMIFS('Source 2026'!$Q:$Q,'Source 2026'!$B:$B,$A79,'Source 2026'!$A:$A,"Amount (NIS)")</f>
        <v>8894.8</v>
      </c>
      <c r="J79" s="9" t="n">
        <f aca="false">I79*$J$5</f>
        <v>11235.5368421053</v>
      </c>
      <c r="K79" s="9" t="n">
        <f aca="false">J79-H79</f>
        <v>-3540.96315789474</v>
      </c>
      <c r="L79" s="11" t="n">
        <f aca="false">IF(AND(H79=0,J79=0),0,IF(H79=0,"New",(J79-H79)/H79))</f>
        <v>-0.23963476857813</v>
      </c>
    </row>
    <row r="80" customFormat="false" ht="15" hidden="false" customHeight="true" outlineLevel="0" collapsed="false">
      <c r="A80" s="8" t="s">
        <v>128</v>
      </c>
      <c r="B80" s="8" t="str">
        <f aca="false">IFERROR(INDEX('Source 2026'!$C:$C,MATCH($A80,'Source 2026'!$B:$B,0)),IFERROR(INDEX('Source 2025'!$C:$C,MATCH($A80,'Source 2025'!$B:$B,0)),""))</f>
        <v>גרב.כסף לסכרתים שחור35-38</v>
      </c>
      <c r="C80" s="9" t="n">
        <f aca="false">SUMIFS('Source 2025'!$Q:$Q,'Source 2025'!$B:$B,$A80,'Source 2025'!$A:$A,"Quantity (units)")</f>
        <v>438</v>
      </c>
      <c r="D80" s="9" t="n">
        <f aca="false">SUMIFS('Source 2026'!$Q:$Q,'Source 2026'!$B:$B,$A80,'Source 2026'!$A:$A,"Quantity (units)")</f>
        <v>176</v>
      </c>
      <c r="E80" s="9" t="n">
        <f aca="false">D80*$J$5</f>
        <v>222.315789473684</v>
      </c>
      <c r="F80" s="9" t="n">
        <f aca="false">E80-C80</f>
        <v>-215.684210526316</v>
      </c>
      <c r="G80" s="11" t="n">
        <f aca="false">IF(AND(C80=0,E80=0),0,IF(C80=0,"New",(E80-C80)/C80))</f>
        <v>-0.492429704397981</v>
      </c>
      <c r="H80" s="9" t="n">
        <f aca="false">SUMIFS('Source 2025'!$Q:$Q,'Source 2025'!$B:$B,$A80,'Source 2025'!$A:$A,"Amount (NIS)")</f>
        <v>9732.4</v>
      </c>
      <c r="I80" s="9" t="n">
        <f aca="false">SUMIFS('Source 2026'!$Q:$Q,'Source 2026'!$B:$B,$A80,'Source 2026'!$A:$A,"Amount (NIS)")</f>
        <v>3919.7</v>
      </c>
      <c r="J80" s="9" t="n">
        <f aca="false">I80*$J$5</f>
        <v>4951.2</v>
      </c>
      <c r="K80" s="9" t="n">
        <f aca="false">J80-H80</f>
        <v>-4781.2</v>
      </c>
      <c r="L80" s="11" t="n">
        <f aca="false">IF(AND(H80=0,J80=0),0,IF(H80=0,"New",(J80-H80)/H80))</f>
        <v>-0.491266285808228</v>
      </c>
    </row>
    <row r="81" customFormat="false" ht="15" hidden="false" customHeight="true" outlineLevel="0" collapsed="false">
      <c r="A81" s="8" t="s">
        <v>162</v>
      </c>
      <c r="B81" s="8" t="str">
        <f aca="false">IFERROR(INDEX('Source 2026'!$C:$C,MATCH($A81,'Source 2026'!$B:$B,0)),IFERROR(INDEX('Source 2025'!$C:$C,MATCH($A81,'Source 2025'!$B:$B,0)),""))</f>
        <v>חבק טניס</v>
      </c>
      <c r="C81" s="9" t="n">
        <f aca="false">SUMIFS('Source 2025'!$Q:$Q,'Source 2025'!$B:$B,$A81,'Source 2025'!$A:$A,"Quantity (units)")</f>
        <v>803</v>
      </c>
      <c r="D81" s="9" t="n">
        <f aca="false">SUMIFS('Source 2026'!$Q:$Q,'Source 2026'!$B:$B,$A81,'Source 2026'!$A:$A,"Quantity (units)")</f>
        <v>571</v>
      </c>
      <c r="E81" s="9" t="n">
        <f aca="false">D81*$J$5</f>
        <v>721.263157894737</v>
      </c>
      <c r="F81" s="9" t="n">
        <f aca="false">E81-C81</f>
        <v>-81.7368421052632</v>
      </c>
      <c r="G81" s="11" t="n">
        <f aca="false">IF(AND(C81=0,E81=0),0,IF(C81=0,"New",(E81-C81)/C81))</f>
        <v>-0.101789342596841</v>
      </c>
      <c r="H81" s="9" t="n">
        <f aca="false">SUMIFS('Source 2025'!$Q:$Q,'Source 2025'!$B:$B,$A81,'Source 2025'!$A:$A,"Amount (NIS)")</f>
        <v>21410.6</v>
      </c>
      <c r="I81" s="9" t="n">
        <f aca="false">SUMIFS('Source 2026'!$Q:$Q,'Source 2026'!$B:$B,$A81,'Source 2026'!$A:$A,"Amount (NIS)")</f>
        <v>15737.5</v>
      </c>
      <c r="J81" s="9" t="n">
        <f aca="false">I81*$J$5</f>
        <v>19878.9473684211</v>
      </c>
      <c r="K81" s="9" t="n">
        <f aca="false">J81-H81</f>
        <v>-1531.65263157895</v>
      </c>
      <c r="L81" s="11" t="n">
        <f aca="false">IF(AND(H81=0,J81=0),0,IF(H81=0,"New",(J81-H81)/H81))</f>
        <v>-0.07153711860382</v>
      </c>
    </row>
    <row r="82" customFormat="false" ht="15" hidden="false" customHeight="true" outlineLevel="0" collapsed="false">
      <c r="A82" s="8" t="s">
        <v>196</v>
      </c>
      <c r="B82" s="8" t="str">
        <f aca="false">IFERROR(INDEX('Source 2026'!$C:$C,MATCH($A82,'Source 2026'!$B:$B,0)),IFERROR(INDEX('Source 2025'!$C:$C,MATCH($A82,'Source 2025'!$B:$B,0)),""))</f>
        <v>מקבע קרסול</v>
      </c>
      <c r="C82" s="9" t="n">
        <f aca="false">SUMIFS('Source 2025'!$Q:$Q,'Source 2025'!$B:$B,$A82,'Source 2025'!$A:$A,"Quantity (units)")</f>
        <v>0</v>
      </c>
      <c r="D82" s="9" t="n">
        <f aca="false">SUMIFS('Source 2026'!$Q:$Q,'Source 2026'!$B:$B,$A82,'Source 2026'!$A:$A,"Quantity (units)")</f>
        <v>40</v>
      </c>
      <c r="E82" s="9" t="n">
        <f aca="false">D82*$J$5</f>
        <v>50.5263157894737</v>
      </c>
      <c r="F82" s="9" t="n">
        <f aca="false">E82-C82</f>
        <v>50.5263157894737</v>
      </c>
      <c r="G82" s="11" t="str">
        <f aca="false">IF(AND(C82=0,E82=0),0,IF(C82=0,"New",(E82-C82)/C82))</f>
        <v>New</v>
      </c>
      <c r="H82" s="9" t="n">
        <f aca="false">SUMIFS('Source 2025'!$Q:$Q,'Source 2025'!$B:$B,$A82,'Source 2025'!$A:$A,"Amount (NIS)")</f>
        <v>0</v>
      </c>
      <c r="I82" s="9" t="n">
        <f aca="false">SUMIFS('Source 2026'!$Q:$Q,'Source 2026'!$B:$B,$A82,'Source 2026'!$A:$A,"Amount (NIS)")</f>
        <v>5635.8</v>
      </c>
      <c r="J82" s="9" t="n">
        <f aca="false">I82*$J$5</f>
        <v>7118.90526315789</v>
      </c>
      <c r="K82" s="9" t="n">
        <f aca="false">J82-H82</f>
        <v>7118.90526315789</v>
      </c>
      <c r="L82" s="11" t="str">
        <f aca="false">IF(AND(H82=0,J82=0),0,IF(H82=0,"New",(J82-H82)/H82))</f>
        <v>New</v>
      </c>
    </row>
    <row r="83" customFormat="false" ht="15" hidden="false" customHeight="true" outlineLevel="0" collapsed="false">
      <c r="A83" s="8" t="s">
        <v>143</v>
      </c>
      <c r="B83" s="8" t="str">
        <f aca="false">IFERROR(INDEX('Source 2026'!$C:$C,MATCH($A83,'Source 2026'!$B:$B,0)),IFERROR(INDEX('Source 2025'!$C:$C,MATCH($A83,'Source 2025'!$B:$B,0)),""))</f>
        <v>אמבט לכף הרגל</v>
      </c>
      <c r="C83" s="9" t="n">
        <f aca="false">SUMIFS('Source 2025'!$Q:$Q,'Source 2025'!$B:$B,$A83,'Source 2025'!$A:$A,"Quantity (units)")</f>
        <v>871</v>
      </c>
      <c r="D83" s="9" t="n">
        <f aca="false">SUMIFS('Source 2026'!$Q:$Q,'Source 2026'!$B:$B,$A83,'Source 2026'!$A:$A,"Quantity (units)")</f>
        <v>320</v>
      </c>
      <c r="E83" s="9" t="n">
        <f aca="false">D83*$J$5</f>
        <v>404.21052631579</v>
      </c>
      <c r="F83" s="9" t="n">
        <f aca="false">E83-C83</f>
        <v>-466.789473684211</v>
      </c>
      <c r="G83" s="11" t="n">
        <f aca="false">IF(AND(C83=0,E83=0),0,IF(C83=0,"New",(E83-C83)/C83))</f>
        <v>-0.535923620762584</v>
      </c>
      <c r="H83" s="9" t="n">
        <f aca="false">SUMIFS('Source 2025'!$Q:$Q,'Source 2025'!$B:$B,$A83,'Source 2025'!$A:$A,"Amount (NIS)")</f>
        <v>8834.2</v>
      </c>
      <c r="I83" s="9" t="n">
        <f aca="false">SUMIFS('Source 2026'!$Q:$Q,'Source 2026'!$B:$B,$A83,'Source 2026'!$A:$A,"Amount (NIS)")</f>
        <v>3240.5</v>
      </c>
      <c r="J83" s="9" t="n">
        <f aca="false">I83*$J$5</f>
        <v>4093.26315789474</v>
      </c>
      <c r="K83" s="9" t="n">
        <f aca="false">J83-H83</f>
        <v>-4740.93684210526</v>
      </c>
      <c r="L83" s="11" t="n">
        <f aca="false">IF(AND(H83=0,J83=0),0,IF(H83=0,"New",(J83-H83)/H83))</f>
        <v>-0.536657178024639</v>
      </c>
    </row>
    <row r="84" customFormat="false" ht="15" hidden="false" customHeight="true" outlineLevel="0" collapsed="false">
      <c r="A84" s="8" t="s">
        <v>139</v>
      </c>
      <c r="B84" s="8" t="str">
        <f aca="false">IFERROR(INDEX('Source 2026'!$C:$C,MATCH($A84,'Source 2026'!$B:$B,0)),IFERROR(INDEX('Source 2025'!$C:$C,MATCH($A84,'Source 2025'!$B:$B,0)),""))</f>
        <v>S מגן קרסול עקב סגור+רצוע</v>
      </c>
      <c r="C84" s="9" t="n">
        <f aca="false">SUMIFS('Source 2025'!$Q:$Q,'Source 2025'!$B:$B,$A84,'Source 2025'!$A:$A,"Quantity (units)")</f>
        <v>288</v>
      </c>
      <c r="D84" s="9" t="n">
        <f aca="false">SUMIFS('Source 2026'!$Q:$Q,'Source 2026'!$B:$B,$A84,'Source 2026'!$A:$A,"Quantity (units)")</f>
        <v>191</v>
      </c>
      <c r="E84" s="9" t="n">
        <f aca="false">D84*$J$5</f>
        <v>241.263157894737</v>
      </c>
      <c r="F84" s="9" t="n">
        <f aca="false">E84-C84</f>
        <v>-46.7368421052632</v>
      </c>
      <c r="G84" s="11" t="n">
        <f aca="false">IF(AND(C84=0,E84=0),0,IF(C84=0,"New",(E84-C84)/C84))</f>
        <v>-0.162280701754386</v>
      </c>
      <c r="H84" s="9" t="n">
        <f aca="false">SUMIFS('Source 2025'!$Q:$Q,'Source 2025'!$B:$B,$A84,'Source 2025'!$A:$A,"Amount (NIS)")</f>
        <v>15220.9</v>
      </c>
      <c r="I84" s="9" t="n">
        <f aca="false">SUMIFS('Source 2026'!$Q:$Q,'Source 2026'!$B:$B,$A84,'Source 2026'!$A:$A,"Amount (NIS)")</f>
        <v>10242</v>
      </c>
      <c r="J84" s="9" t="n">
        <f aca="false">I84*$J$5</f>
        <v>12937.2631578947</v>
      </c>
      <c r="K84" s="9" t="n">
        <f aca="false">J84-H84</f>
        <v>-2283.63684210526</v>
      </c>
      <c r="L84" s="11" t="n">
        <f aca="false">IF(AND(H84=0,J84=0),0,IF(H84=0,"New",(J84-H84)/H84))</f>
        <v>-0.150032970593412</v>
      </c>
    </row>
    <row r="85" customFormat="false" ht="15" hidden="false" customHeight="true" outlineLevel="0" collapsed="false">
      <c r="A85" s="8" t="s">
        <v>219</v>
      </c>
      <c r="B85" s="8" t="str">
        <f aca="false">IFERROR(INDEX('Source 2026'!$C:$C,MATCH($A85,'Source 2026'!$B:$B,0)),IFERROR(INDEX('Source 2025'!$C:$C,MATCH($A85,'Source 2025'!$B:$B,0)),""))</f>
        <v>מדבקה לשחרור לחץ 2 יח</v>
      </c>
      <c r="C85" s="9" t="n">
        <f aca="false">SUMIFS('Source 2025'!$Q:$Q,'Source 2025'!$B:$B,$A85,'Source 2025'!$A:$A,"Quantity (units)")</f>
        <v>571</v>
      </c>
      <c r="D85" s="9" t="n">
        <f aca="false">SUMIFS('Source 2026'!$Q:$Q,'Source 2026'!$B:$B,$A85,'Source 2026'!$A:$A,"Quantity (units)")</f>
        <v>409</v>
      </c>
      <c r="E85" s="9" t="n">
        <f aca="false">D85*$J$5</f>
        <v>516.631578947368</v>
      </c>
      <c r="F85" s="9" t="n">
        <f aca="false">E85-C85</f>
        <v>-54.3684210526316</v>
      </c>
      <c r="G85" s="11" t="n">
        <f aca="false">IF(AND(C85=0,E85=0),0,IF(C85=0,"New",(E85-C85)/C85))</f>
        <v>-0.0952161489538206</v>
      </c>
      <c r="H85" s="9" t="n">
        <f aca="false">SUMIFS('Source 2025'!$Q:$Q,'Source 2025'!$B:$B,$A85,'Source 2025'!$A:$A,"Amount (NIS)")</f>
        <v>15313.6</v>
      </c>
      <c r="I85" s="9" t="n">
        <f aca="false">SUMIFS('Source 2026'!$Q:$Q,'Source 2026'!$B:$B,$A85,'Source 2026'!$A:$A,"Amount (NIS)")</f>
        <v>11036.9</v>
      </c>
      <c r="J85" s="9" t="n">
        <f aca="false">I85*$J$5</f>
        <v>13941.3473684211</v>
      </c>
      <c r="K85" s="9" t="n">
        <f aca="false">J85-H85</f>
        <v>-1372.25263157895</v>
      </c>
      <c r="L85" s="11" t="n">
        <f aca="false">IF(AND(H85=0,J85=0),0,IF(H85=0,"New",(J85-H85)/H85))</f>
        <v>-0.0896100610946446</v>
      </c>
    </row>
    <row r="86" customFormat="false" ht="15" hidden="false" customHeight="true" outlineLevel="0" collapsed="false">
      <c r="A86" s="8" t="s">
        <v>217</v>
      </c>
      <c r="B86" s="8" t="str">
        <f aca="false">IFERROR(INDEX('Source 2026'!$C:$C,MATCH($A86,'Source 2026'!$B:$B,0)),IFERROR(INDEX('Source 2025'!$C:$C,MATCH($A86,'Source 2025'!$B:$B,0)),""))</f>
        <v>סד ליישור אצבע</v>
      </c>
      <c r="C86" s="9" t="n">
        <f aca="false">SUMIFS('Source 2025'!$Q:$Q,'Source 2025'!$B:$B,$A86,'Source 2025'!$A:$A,"Quantity (units)")</f>
        <v>1303</v>
      </c>
      <c r="D86" s="9" t="n">
        <f aca="false">SUMIFS('Source 2026'!$Q:$Q,'Source 2026'!$B:$B,$A86,'Source 2026'!$A:$A,"Quantity (units)")</f>
        <v>1525</v>
      </c>
      <c r="E86" s="9" t="n">
        <f aca="false">D86*$J$5</f>
        <v>1926.31578947368</v>
      </c>
      <c r="F86" s="9" t="n">
        <f aca="false">E86-C86</f>
        <v>623.315789473684</v>
      </c>
      <c r="G86" s="11" t="n">
        <f aca="false">IF(AND(C86=0,E86=0),0,IF(C86=0,"New",(E86-C86)/C86))</f>
        <v>0.478369754008967</v>
      </c>
      <c r="H86" s="9" t="n">
        <f aca="false">SUMIFS('Source 2025'!$Q:$Q,'Source 2025'!$B:$B,$A86,'Source 2025'!$A:$A,"Amount (NIS)")</f>
        <v>18579.7</v>
      </c>
      <c r="I86" s="9" t="n">
        <f aca="false">SUMIFS('Source 2026'!$Q:$Q,'Source 2026'!$B:$B,$A86,'Source 2026'!$A:$A,"Amount (NIS)")</f>
        <v>22856</v>
      </c>
      <c r="J86" s="9" t="n">
        <f aca="false">I86*$J$5</f>
        <v>28870.7368421053</v>
      </c>
      <c r="K86" s="9" t="n">
        <f aca="false">J86-H86</f>
        <v>10291.0368421053</v>
      </c>
      <c r="L86" s="11" t="n">
        <f aca="false">IF(AND(H86=0,J86=0),0,IF(H86=0,"New",(J86-H86)/H86))</f>
        <v>0.553886060706323</v>
      </c>
    </row>
    <row r="87" customFormat="false" ht="15" hidden="false" customHeight="true" outlineLevel="0" collapsed="false">
      <c r="A87" s="8" t="s">
        <v>226</v>
      </c>
      <c r="B87" s="8" t="str">
        <f aca="false">IFERROR(INDEX('Source 2026'!$C:$C,MATCH($A87,'Source 2026'!$B:$B,0)),IFERROR(INDEX('Source 2025'!$C:$C,MATCH($A87,'Source 2025'!$B:$B,0)),""))</f>
        <v>S חגורה למנותחי בית החזה</v>
      </c>
      <c r="C87" s="9" t="n">
        <f aca="false">SUMIFS('Source 2025'!$Q:$Q,'Source 2025'!$B:$B,$A87,'Source 2025'!$A:$A,"Quantity (units)")</f>
        <v>63</v>
      </c>
      <c r="D87" s="9" t="n">
        <f aca="false">SUMIFS('Source 2026'!$Q:$Q,'Source 2026'!$B:$B,$A87,'Source 2026'!$A:$A,"Quantity (units)")</f>
        <v>94</v>
      </c>
      <c r="E87" s="9" t="n">
        <f aca="false">D87*$J$5</f>
        <v>118.736842105263</v>
      </c>
      <c r="F87" s="9" t="n">
        <f aca="false">E87-C87</f>
        <v>55.7368421052632</v>
      </c>
      <c r="G87" s="11" t="n">
        <f aca="false">IF(AND(C87=0,E87=0),0,IF(C87=0,"New",(E87-C87)/C87))</f>
        <v>0.884711779448621</v>
      </c>
      <c r="H87" s="9" t="n">
        <f aca="false">SUMIFS('Source 2025'!$Q:$Q,'Source 2025'!$B:$B,$A87,'Source 2025'!$A:$A,"Amount (NIS)")</f>
        <v>8325.8</v>
      </c>
      <c r="I87" s="9" t="n">
        <f aca="false">SUMIFS('Source 2026'!$Q:$Q,'Source 2026'!$B:$B,$A87,'Source 2026'!$A:$A,"Amount (NIS)")</f>
        <v>12508.9</v>
      </c>
      <c r="J87" s="9" t="n">
        <f aca="false">I87*$J$5</f>
        <v>15800.7157894737</v>
      </c>
      <c r="K87" s="9" t="n">
        <f aca="false">J87-H87</f>
        <v>7474.91578947368</v>
      </c>
      <c r="L87" s="11" t="n">
        <f aca="false">IF(AND(H87=0,J87=0),0,IF(H87=0,"New",(J87-H87)/H87))</f>
        <v>0.897801507299441</v>
      </c>
    </row>
    <row r="88" customFormat="false" ht="15" hidden="false" customHeight="true" outlineLevel="0" collapsed="false">
      <c r="A88" s="8" t="s">
        <v>271</v>
      </c>
      <c r="B88" s="8" t="str">
        <f aca="false">IFERROR(INDEX('Source 2026'!$C:$C,MATCH($A88,'Source 2026'!$B:$B,0)),IFERROR(INDEX('Source 2025'!$C:$C,MATCH($A88,'Source 2025'!$B:$B,0)),""))</f>
        <v>כפפות אגודל לחץ</v>
      </c>
      <c r="C88" s="9" t="n">
        <f aca="false">SUMIFS('Source 2025'!$Q:$Q,'Source 2025'!$B:$B,$A88,'Source 2025'!$A:$A,"Quantity (units)")</f>
        <v>395</v>
      </c>
      <c r="D88" s="9" t="n">
        <f aca="false">SUMIFS('Source 2026'!$Q:$Q,'Source 2026'!$B:$B,$A88,'Source 2026'!$A:$A,"Quantity (units)")</f>
        <v>247</v>
      </c>
      <c r="E88" s="9" t="n">
        <f aca="false">D88*$J$5</f>
        <v>312</v>
      </c>
      <c r="F88" s="9" t="n">
        <f aca="false">E88-C88</f>
        <v>-83</v>
      </c>
      <c r="G88" s="11" t="n">
        <f aca="false">IF(AND(C88=0,E88=0),0,IF(C88=0,"New",(E88-C88)/C88))</f>
        <v>-0.210126582278481</v>
      </c>
      <c r="H88" s="9" t="n">
        <f aca="false">SUMIFS('Source 2025'!$Q:$Q,'Source 2025'!$B:$B,$A88,'Source 2025'!$A:$A,"Amount (NIS)")</f>
        <v>11254.2</v>
      </c>
      <c r="I88" s="9" t="n">
        <f aca="false">SUMIFS('Source 2026'!$Q:$Q,'Source 2026'!$B:$B,$A88,'Source 2026'!$A:$A,"Amount (NIS)")</f>
        <v>7189.1</v>
      </c>
      <c r="J88" s="9" t="n">
        <f aca="false">I88*$J$5</f>
        <v>9080.96842105263</v>
      </c>
      <c r="K88" s="9" t="n">
        <f aca="false">J88-H88</f>
        <v>-2173.23157894737</v>
      </c>
      <c r="L88" s="11" t="n">
        <f aca="false">IF(AND(H88=0,J88=0),0,IF(H88=0,"New",(J88-H88)/H88))</f>
        <v>-0.193104048172893</v>
      </c>
    </row>
    <row r="89" customFormat="false" ht="15" hidden="false" customHeight="true" outlineLevel="0" collapsed="false">
      <c r="A89" s="8" t="s">
        <v>214</v>
      </c>
      <c r="B89" s="8" t="str">
        <f aca="false">IFERROR(INDEX('Source 2026'!$C:$C,MATCH($A89,'Source 2026'!$B:$B,0)),IFERROR(INDEX('Source 2025'!$C:$C,MATCH($A89,'Source 2025'!$B:$B,0)),""))</f>
        <v>S-M חבק יד עם צמדן</v>
      </c>
      <c r="C89" s="9" t="n">
        <f aca="false">SUMIFS('Source 2025'!$Q:$Q,'Source 2025'!$B:$B,$A89,'Source 2025'!$A:$A,"Quantity (units)")</f>
        <v>308</v>
      </c>
      <c r="D89" s="9" t="n">
        <f aca="false">SUMIFS('Source 2026'!$Q:$Q,'Source 2026'!$B:$B,$A89,'Source 2026'!$A:$A,"Quantity (units)")</f>
        <v>185</v>
      </c>
      <c r="E89" s="9" t="n">
        <f aca="false">D89*$J$5</f>
        <v>233.684210526316</v>
      </c>
      <c r="F89" s="9" t="n">
        <f aca="false">E89-C89</f>
        <v>-74.3157894736842</v>
      </c>
      <c r="G89" s="11" t="n">
        <f aca="false">IF(AND(C89=0,E89=0),0,IF(C89=0,"New",(E89-C89)/C89))</f>
        <v>-0.241285030758715</v>
      </c>
      <c r="H89" s="9" t="n">
        <f aca="false">SUMIFS('Source 2025'!$Q:$Q,'Source 2025'!$B:$B,$A89,'Source 2025'!$A:$A,"Amount (NIS)")</f>
        <v>9804.1</v>
      </c>
      <c r="I89" s="9" t="n">
        <f aca="false">SUMIFS('Source 2026'!$Q:$Q,'Source 2026'!$B:$B,$A89,'Source 2026'!$A:$A,"Amount (NIS)")</f>
        <v>5808.7</v>
      </c>
      <c r="J89" s="9" t="n">
        <f aca="false">I89*$J$5</f>
        <v>7337.30526315789</v>
      </c>
      <c r="K89" s="9" t="n">
        <f aca="false">J89-H89</f>
        <v>-2466.79473684211</v>
      </c>
      <c r="L89" s="11" t="n">
        <f aca="false">IF(AND(H89=0,J89=0),0,IF(H89=0,"New",(J89-H89)/H89))</f>
        <v>-0.251608483883488</v>
      </c>
    </row>
    <row r="90" customFormat="false" ht="15" hidden="false" customHeight="true" outlineLevel="0" collapsed="false">
      <c r="A90" s="8" t="s">
        <v>155</v>
      </c>
      <c r="B90" s="8" t="str">
        <f aca="false">IFERROR(INDEX('Source 2026'!$C:$C,MATCH($A90,'Source 2026'!$B:$B,0)),IFERROR(INDEX('Source 2025'!$C:$C,MATCH($A90,'Source 2025'!$B:$B,0)),""))</f>
        <v>גרב.כסף לסכרתים שחור35-38</v>
      </c>
      <c r="C90" s="9" t="n">
        <f aca="false">SUMIFS('Source 2025'!$Q:$Q,'Source 2025'!$B:$B,$A90,'Source 2025'!$A:$A,"Quantity (units)")</f>
        <v>201</v>
      </c>
      <c r="D90" s="9" t="n">
        <f aca="false">SUMIFS('Source 2026'!$Q:$Q,'Source 2026'!$B:$B,$A90,'Source 2026'!$A:$A,"Quantity (units)")</f>
        <v>65</v>
      </c>
      <c r="E90" s="9" t="n">
        <f aca="false">D90*$J$5</f>
        <v>82.1052631578947</v>
      </c>
      <c r="F90" s="9" t="n">
        <f aca="false">E90-C90</f>
        <v>-118.894736842105</v>
      </c>
      <c r="G90" s="11" t="n">
        <f aca="false">IF(AND(C90=0,E90=0),0,IF(C90=0,"New",(E90-C90)/C90))</f>
        <v>-0.591516103692066</v>
      </c>
      <c r="H90" s="9" t="n">
        <f aca="false">SUMIFS('Source 2025'!$Q:$Q,'Source 2025'!$B:$B,$A90,'Source 2025'!$A:$A,"Amount (NIS)")</f>
        <v>5852.8</v>
      </c>
      <c r="I90" s="9" t="n">
        <f aca="false">SUMIFS('Source 2026'!$Q:$Q,'Source 2026'!$B:$B,$A90,'Source 2026'!$A:$A,"Amount (NIS)")</f>
        <v>1918.6</v>
      </c>
      <c r="J90" s="9" t="n">
        <f aca="false">I90*$J$5</f>
        <v>2423.49473684211</v>
      </c>
      <c r="K90" s="9" t="n">
        <f aca="false">J90-H90</f>
        <v>-3429.3052631579</v>
      </c>
      <c r="L90" s="11" t="n">
        <f aca="false">IF(AND(H90=0,J90=0),0,IF(H90=0,"New",(J90-H90)/H90))</f>
        <v>-0.585925584875255</v>
      </c>
    </row>
    <row r="91" customFormat="false" ht="15" hidden="false" customHeight="true" outlineLevel="0" collapsed="false">
      <c r="A91" s="8" t="s">
        <v>170</v>
      </c>
      <c r="B91" s="8" t="str">
        <f aca="false">IFERROR(INDEX('Source 2026'!$C:$C,MATCH($A91,'Source 2026'!$B:$B,0)),IFERROR(INDEX('Source 2025'!$C:$C,MATCH($A91,'Source 2025'!$B:$B,0)),""))</f>
        <v>גרב.כסף לסכרתים אפור35-38</v>
      </c>
      <c r="C91" s="9" t="n">
        <f aca="false">SUMIFS('Source 2025'!$Q:$Q,'Source 2025'!$B:$B,$A91,'Source 2025'!$A:$A,"Quantity (units)")</f>
        <v>157</v>
      </c>
      <c r="D91" s="9" t="n">
        <f aca="false">SUMIFS('Source 2026'!$Q:$Q,'Source 2026'!$B:$B,$A91,'Source 2026'!$A:$A,"Quantity (units)")</f>
        <v>-9</v>
      </c>
      <c r="E91" s="9" t="n">
        <f aca="false">D91*$J$5</f>
        <v>-11.3684210526316</v>
      </c>
      <c r="F91" s="9" t="n">
        <f aca="false">E91-C91</f>
        <v>-168.368421052632</v>
      </c>
      <c r="G91" s="11" t="n">
        <f aca="false">IF(AND(C91=0,E91=0),0,IF(C91=0,"New",(E91-C91)/C91))</f>
        <v>-1.072410325176</v>
      </c>
      <c r="H91" s="9" t="n">
        <f aca="false">SUMIFS('Source 2025'!$Q:$Q,'Source 2025'!$B:$B,$A91,'Source 2025'!$A:$A,"Amount (NIS)")</f>
        <v>3499.7</v>
      </c>
      <c r="I91" s="9" t="n">
        <f aca="false">SUMIFS('Source 2026'!$Q:$Q,'Source 2026'!$B:$B,$A91,'Source 2026'!$A:$A,"Amount (NIS)")</f>
        <v>-191.9</v>
      </c>
      <c r="J91" s="9" t="n">
        <f aca="false">I91*$J$5</f>
        <v>-242.4</v>
      </c>
      <c r="K91" s="9" t="n">
        <f aca="false">J91-H91</f>
        <v>-3742.1</v>
      </c>
      <c r="L91" s="11" t="n">
        <f aca="false">IF(AND(H91=0,J91=0),0,IF(H91=0,"New",(J91-H91)/H91))</f>
        <v>-1.06926307969255</v>
      </c>
    </row>
    <row r="92" customFormat="false" ht="15" hidden="false" customHeight="true" outlineLevel="0" collapsed="false">
      <c r="A92" s="8" t="s">
        <v>340</v>
      </c>
      <c r="B92" s="8" t="str">
        <f aca="false">IFERROR(INDEX('Source 2026'!$C:$C,MATCH($A92,'Source 2026'!$B:$B,0)),IFERROR(INDEX('Source 2025'!$C:$C,MATCH($A92,'Source 2025'!$B:$B,0)),""))</f>
        <v>L-XL STRAP4U</v>
      </c>
      <c r="C92" s="9" t="n">
        <f aca="false">SUMIFS('Source 2025'!$Q:$Q,'Source 2025'!$B:$B,$A92,'Source 2025'!$A:$A,"Quantity (units)")</f>
        <v>328</v>
      </c>
      <c r="D92" s="9" t="n">
        <f aca="false">SUMIFS('Source 2026'!$Q:$Q,'Source 2026'!$B:$B,$A92,'Source 2026'!$A:$A,"Quantity (units)")</f>
        <v>118</v>
      </c>
      <c r="E92" s="9" t="n">
        <f aca="false">D92*$J$5</f>
        <v>149.052631578947</v>
      </c>
      <c r="F92" s="9" t="n">
        <f aca="false">E92-C92</f>
        <v>-178.947368421053</v>
      </c>
      <c r="G92" s="11" t="n">
        <f aca="false">IF(AND(C92=0,E92=0),0,IF(C92=0,"New",(E92-C92)/C92))</f>
        <v>-0.545571245186136</v>
      </c>
      <c r="H92" s="9" t="n">
        <f aca="false">SUMIFS('Source 2025'!$Q:$Q,'Source 2025'!$B:$B,$A92,'Source 2025'!$A:$A,"Amount (NIS)")</f>
        <v>5450</v>
      </c>
      <c r="I92" s="9" t="n">
        <f aca="false">SUMIFS('Source 2026'!$Q:$Q,'Source 2026'!$B:$B,$A92,'Source 2026'!$A:$A,"Amount (NIS)")</f>
        <v>1978.2</v>
      </c>
      <c r="J92" s="9" t="n">
        <f aca="false">I92*$J$5</f>
        <v>2498.77894736842</v>
      </c>
      <c r="K92" s="9" t="n">
        <f aca="false">J92-H92</f>
        <v>-2951.22105263158</v>
      </c>
      <c r="L92" s="11" t="n">
        <f aca="false">IF(AND(H92=0,J92=0),0,IF(H92=0,"New",(J92-H92)/H92))</f>
        <v>-0.541508450024143</v>
      </c>
    </row>
    <row r="93" customFormat="false" ht="15" hidden="false" customHeight="true" outlineLevel="0" collapsed="false">
      <c r="A93" s="8" t="s">
        <v>216</v>
      </c>
      <c r="B93" s="8" t="str">
        <f aca="false">IFERROR(INDEX('Source 2026'!$C:$C,MATCH($A93,'Source 2026'!$B:$B,0)),IFERROR(INDEX('Source 2025'!$C:$C,MATCH($A93,'Source 2025'!$B:$B,0)),""))</f>
        <v>חבק טניס אלבו</v>
      </c>
      <c r="C93" s="9" t="n">
        <f aca="false">SUMIFS('Source 2025'!$Q:$Q,'Source 2025'!$B:$B,$A93,'Source 2025'!$A:$A,"Quantity (units)")</f>
        <v>922</v>
      </c>
      <c r="D93" s="9" t="n">
        <f aca="false">SUMIFS('Source 2026'!$Q:$Q,'Source 2026'!$B:$B,$A93,'Source 2026'!$A:$A,"Quantity (units)")</f>
        <v>909</v>
      </c>
      <c r="E93" s="9" t="n">
        <f aca="false">D93*$J$5</f>
        <v>1148.21052631579</v>
      </c>
      <c r="F93" s="9" t="n">
        <f aca="false">E93-C93</f>
        <v>226.210526315789</v>
      </c>
      <c r="G93" s="11" t="n">
        <f aca="false">IF(AND(C93=0,E93=0),0,IF(C93=0,"New",(E93-C93)/C93))</f>
        <v>0.245347642424934</v>
      </c>
      <c r="H93" s="9" t="n">
        <f aca="false">SUMIFS('Source 2025'!$Q:$Q,'Source 2025'!$B:$B,$A93,'Source 2025'!$A:$A,"Amount (NIS)")</f>
        <v>62831.2</v>
      </c>
      <c r="I93" s="9" t="n">
        <f aca="false">SUMIFS('Source 2026'!$Q:$Q,'Source 2026'!$B:$B,$A93,'Source 2026'!$A:$A,"Amount (NIS)")</f>
        <v>66257.5</v>
      </c>
      <c r="J93" s="9" t="n">
        <f aca="false">I93*$J$5</f>
        <v>83693.6842105263</v>
      </c>
      <c r="K93" s="9" t="n">
        <f aca="false">J93-H93</f>
        <v>20862.4842105263</v>
      </c>
      <c r="L93" s="11" t="n">
        <f aca="false">IF(AND(H93=0,J93=0),0,IF(H93=0,"New",(J93-H93)/H93))</f>
        <v>0.332040199940894</v>
      </c>
    </row>
    <row r="94" customFormat="false" ht="15" hidden="false" customHeight="true" outlineLevel="0" collapsed="false">
      <c r="A94" s="8" t="s">
        <v>299</v>
      </c>
      <c r="B94" s="8" t="str">
        <f aca="false">IFERROR(INDEX('Source 2026'!$C:$C,MATCH($A94,'Source 2026'!$B:$B,0)),IFERROR(INDEX('Source 2025'!$C:$C,MATCH($A94,'Source 2025'!$B:$B,0)),""))</f>
        <v>11 אפורUG חגורת בטן</v>
      </c>
      <c r="C94" s="9" t="n">
        <f aca="false">SUMIFS('Source 2025'!$Q:$Q,'Source 2025'!$B:$B,$A94,'Source 2025'!$A:$A,"Quantity (units)")</f>
        <v>45</v>
      </c>
      <c r="D94" s="9" t="n">
        <f aca="false">SUMIFS('Source 2026'!$Q:$Q,'Source 2026'!$B:$B,$A94,'Source 2026'!$A:$A,"Quantity (units)")</f>
        <v>2</v>
      </c>
      <c r="E94" s="9" t="n">
        <f aca="false">D94*$J$5</f>
        <v>2.52631578947368</v>
      </c>
      <c r="F94" s="9" t="n">
        <f aca="false">E94-C94</f>
        <v>-42.4736842105263</v>
      </c>
      <c r="G94" s="11" t="n">
        <f aca="false">IF(AND(C94=0,E94=0),0,IF(C94=0,"New",(E94-C94)/C94))</f>
        <v>-0.943859649122807</v>
      </c>
      <c r="H94" s="9" t="n">
        <f aca="false">SUMIFS('Source 2025'!$Q:$Q,'Source 2025'!$B:$B,$A94,'Source 2025'!$A:$A,"Amount (NIS)")</f>
        <v>3611.3</v>
      </c>
      <c r="I94" s="9" t="n">
        <f aca="false">SUMIFS('Source 2026'!$Q:$Q,'Source 2026'!$B:$B,$A94,'Source 2026'!$A:$A,"Amount (NIS)")</f>
        <v>203.1</v>
      </c>
      <c r="J94" s="9" t="n">
        <f aca="false">I94*$J$5</f>
        <v>256.547368421053</v>
      </c>
      <c r="K94" s="9" t="n">
        <f aca="false">J94-H94</f>
        <v>-3354.75263157895</v>
      </c>
      <c r="L94" s="11" t="n">
        <f aca="false">IF(AND(H94=0,J94=0),0,IF(H94=0,"New",(J94-H94)/H94))</f>
        <v>-0.928959829307714</v>
      </c>
    </row>
    <row r="95" customFormat="false" ht="15" hidden="false" customHeight="true" outlineLevel="0" collapsed="false">
      <c r="A95" s="8" t="s">
        <v>138</v>
      </c>
      <c r="B95" s="8" t="str">
        <f aca="false">IFERROR(INDEX('Source 2026'!$C:$C,MATCH($A95,'Source 2026'!$B:$B,0)),IFERROR(INDEX('Source 2025'!$C:$C,MATCH($A95,'Source 2025'!$B:$B,0)),""))</f>
        <v>S-M חבק יד עם צמדןחום</v>
      </c>
      <c r="C95" s="9" t="n">
        <f aca="false">SUMIFS('Source 2025'!$Q:$Q,'Source 2025'!$B:$B,$A95,'Source 2025'!$A:$A,"Quantity (units)")</f>
        <v>218</v>
      </c>
      <c r="D95" s="9" t="n">
        <f aca="false">SUMIFS('Source 2026'!$Q:$Q,'Source 2026'!$B:$B,$A95,'Source 2026'!$A:$A,"Quantity (units)")</f>
        <v>118</v>
      </c>
      <c r="E95" s="9" t="n">
        <f aca="false">D95*$J$5</f>
        <v>149.052631578947</v>
      </c>
      <c r="F95" s="9" t="n">
        <f aca="false">E95-C95</f>
        <v>-68.9473684210526</v>
      </c>
      <c r="G95" s="11" t="n">
        <f aca="false">IF(AND(C95=0,E95=0),0,IF(C95=0,"New",(E95-C95)/C95))</f>
        <v>-0.316272332206663</v>
      </c>
      <c r="H95" s="9" t="n">
        <f aca="false">SUMIFS('Source 2025'!$Q:$Q,'Source 2025'!$B:$B,$A95,'Source 2025'!$A:$A,"Amount (NIS)")</f>
        <v>6935.2</v>
      </c>
      <c r="I95" s="9" t="n">
        <f aca="false">SUMIFS('Source 2026'!$Q:$Q,'Source 2026'!$B:$B,$A95,'Source 2026'!$A:$A,"Amount (NIS)")</f>
        <v>3707.3</v>
      </c>
      <c r="J95" s="9" t="n">
        <f aca="false">I95*$J$5</f>
        <v>4682.90526315789</v>
      </c>
      <c r="K95" s="9" t="n">
        <f aca="false">J95-H95</f>
        <v>-2252.29473684211</v>
      </c>
      <c r="L95" s="11" t="n">
        <f aca="false">IF(AND(H95=0,J95=0),0,IF(H95=0,"New",(J95-H95)/H95))</f>
        <v>-0.324762766299762</v>
      </c>
    </row>
    <row r="96" customFormat="false" ht="15" hidden="false" customHeight="true" outlineLevel="0" collapsed="false">
      <c r="A96" s="8" t="s">
        <v>168</v>
      </c>
      <c r="B96" s="8" t="str">
        <f aca="false">IFERROR(INDEX('Source 2026'!$C:$C,MATCH($A96,'Source 2026'!$B:$B,0)),IFERROR(INDEX('Source 2025'!$C:$C,MATCH($A96,'Source 2025'!$B:$B,0)),""))</f>
        <v>S מגן ירך</v>
      </c>
      <c r="C96" s="9" t="n">
        <f aca="false">SUMIFS('Source 2025'!$Q:$Q,'Source 2025'!$B:$B,$A96,'Source 2025'!$A:$A,"Quantity (units)")</f>
        <v>218</v>
      </c>
      <c r="D96" s="9" t="n">
        <f aca="false">SUMIFS('Source 2026'!$Q:$Q,'Source 2026'!$B:$B,$A96,'Source 2026'!$A:$A,"Quantity (units)")</f>
        <v>103</v>
      </c>
      <c r="E96" s="9" t="n">
        <f aca="false">D96*$J$5</f>
        <v>130.105263157895</v>
      </c>
      <c r="F96" s="9" t="n">
        <f aca="false">E96-C96</f>
        <v>-87.8947368421053</v>
      </c>
      <c r="G96" s="11" t="n">
        <f aca="false">IF(AND(C96=0,E96=0),0,IF(C96=0,"New",(E96-C96)/C96))</f>
        <v>-0.403186866248189</v>
      </c>
      <c r="H96" s="9" t="n">
        <f aca="false">SUMIFS('Source 2025'!$Q:$Q,'Source 2025'!$B:$B,$A96,'Source 2025'!$A:$A,"Amount (NIS)")</f>
        <v>6229.2</v>
      </c>
      <c r="I96" s="9" t="n">
        <f aca="false">SUMIFS('Source 2026'!$Q:$Q,'Source 2026'!$B:$B,$A96,'Source 2026'!$A:$A,"Amount (NIS)")</f>
        <v>3003.9</v>
      </c>
      <c r="J96" s="9" t="n">
        <f aca="false">I96*$J$5</f>
        <v>3794.4</v>
      </c>
      <c r="K96" s="9" t="n">
        <f aca="false">J96-H96</f>
        <v>-2434.8</v>
      </c>
      <c r="L96" s="11" t="n">
        <f aca="false">IF(AND(H96=0,J96=0),0,IF(H96=0,"New",(J96-H96)/H96))</f>
        <v>-0.390868811404354</v>
      </c>
    </row>
    <row r="97" customFormat="false" ht="15" hidden="false" customHeight="true" outlineLevel="0" collapsed="false">
      <c r="A97" s="8" t="s">
        <v>285</v>
      </c>
      <c r="B97" s="8" t="str">
        <f aca="false">IFERROR(INDEX('Source 2026'!$C:$C,MATCH($A97,'Source 2026'!$B:$B,0)),IFERROR(INDEX('Source 2025'!$C:$C,MATCH($A97,'Source 2025'!$B:$B,0)),""))</f>
        <v>S ימין CTS כפפות</v>
      </c>
      <c r="C97" s="9" t="n">
        <f aca="false">SUMIFS('Source 2025'!$Q:$Q,'Source 2025'!$B:$B,$A97,'Source 2025'!$A:$A,"Quantity (units)")</f>
        <v>0</v>
      </c>
      <c r="D97" s="9" t="n">
        <f aca="false">SUMIFS('Source 2026'!$Q:$Q,'Source 2026'!$B:$B,$A97,'Source 2026'!$A:$A,"Quantity (units)")</f>
        <v>31</v>
      </c>
      <c r="E97" s="9" t="n">
        <f aca="false">D97*$J$5</f>
        <v>39.1578947368421</v>
      </c>
      <c r="F97" s="9" t="n">
        <f aca="false">E97-C97</f>
        <v>39.1578947368421</v>
      </c>
      <c r="G97" s="11" t="str">
        <f aca="false">IF(AND(C97=0,E97=0),0,IF(C97=0,"New",(E97-C97)/C97))</f>
        <v>New</v>
      </c>
      <c r="H97" s="9" t="n">
        <f aca="false">SUMIFS('Source 2025'!$Q:$Q,'Source 2025'!$B:$B,$A97,'Source 2025'!$A:$A,"Amount (NIS)")</f>
        <v>0</v>
      </c>
      <c r="I97" s="9" t="n">
        <f aca="false">SUMIFS('Source 2026'!$Q:$Q,'Source 2026'!$B:$B,$A97,'Source 2026'!$A:$A,"Amount (NIS)")</f>
        <v>3111.6</v>
      </c>
      <c r="J97" s="9" t="n">
        <f aca="false">I97*$J$5</f>
        <v>3930.44210526316</v>
      </c>
      <c r="K97" s="9" t="n">
        <f aca="false">J97-H97</f>
        <v>3930.44210526316</v>
      </c>
      <c r="L97" s="11" t="str">
        <f aca="false">IF(AND(H97=0,J97=0),0,IF(H97=0,"New",(J97-H97)/H97))</f>
        <v>New</v>
      </c>
    </row>
    <row r="98" customFormat="false" ht="15" hidden="false" customHeight="true" outlineLevel="0" collapsed="false">
      <c r="A98" s="8" t="s">
        <v>177</v>
      </c>
      <c r="B98" s="8" t="str">
        <f aca="false">IFERROR(INDEX('Source 2026'!$C:$C,MATCH($A98,'Source 2026'!$B:$B,0)),IFERROR(INDEX('Source 2025'!$C:$C,MATCH($A98,'Source 2025'!$B:$B,0)),""))</f>
        <v>מתלה ליד לילדים</v>
      </c>
      <c r="C98" s="9" t="n">
        <f aca="false">SUMIFS('Source 2025'!$Q:$Q,'Source 2025'!$B:$B,$A98,'Source 2025'!$A:$A,"Quantity (units)")</f>
        <v>299</v>
      </c>
      <c r="D98" s="9" t="n">
        <f aca="false">SUMIFS('Source 2026'!$Q:$Q,'Source 2026'!$B:$B,$A98,'Source 2026'!$A:$A,"Quantity (units)")</f>
        <v>236</v>
      </c>
      <c r="E98" s="9" t="n">
        <f aca="false">D98*$J$5</f>
        <v>298.105263157895</v>
      </c>
      <c r="F98" s="9" t="n">
        <f aca="false">E98-C98</f>
        <v>-0.89473684210526</v>
      </c>
      <c r="G98" s="11" t="n">
        <f aca="false">IF(AND(C98=0,E98=0),0,IF(C98=0,"New",(E98-C98)/C98))</f>
        <v>-0.00299243091005104</v>
      </c>
      <c r="H98" s="9" t="n">
        <f aca="false">SUMIFS('Source 2025'!$Q:$Q,'Source 2025'!$B:$B,$A98,'Source 2025'!$A:$A,"Amount (NIS)")</f>
        <v>13367.2</v>
      </c>
      <c r="I98" s="9" t="n">
        <f aca="false">SUMIFS('Source 2026'!$Q:$Q,'Source 2026'!$B:$B,$A98,'Source 2026'!$A:$A,"Amount (NIS)")</f>
        <v>10544.6</v>
      </c>
      <c r="J98" s="9" t="n">
        <f aca="false">I98*$J$5</f>
        <v>13319.4947368421</v>
      </c>
      <c r="K98" s="9" t="n">
        <f aca="false">J98-H98</f>
        <v>-47.7052631578954</v>
      </c>
      <c r="L98" s="11" t="n">
        <f aca="false">IF(AND(H98=0,J98=0),0,IF(H98=0,"New",(J98-H98)/H98))</f>
        <v>-0.00356882990887361</v>
      </c>
    </row>
    <row r="99" customFormat="false" ht="15" hidden="false" customHeight="true" outlineLevel="0" collapsed="false">
      <c r="A99" s="8" t="s">
        <v>103</v>
      </c>
      <c r="B99" s="8" t="str">
        <f aca="false">IFERROR(INDEX('Source 2026'!$C:$C,MATCH($A99,'Source 2026'!$B:$B,0)),IFERROR(INDEX('Source 2025'!$C:$C,MATCH($A99,'Source 2025'!$B:$B,0)),""))</f>
        <v>L מתלה רשת לזרוע שחור</v>
      </c>
      <c r="C99" s="9" t="n">
        <f aca="false">SUMIFS('Source 2025'!$Q:$Q,'Source 2025'!$B:$B,$A99,'Source 2025'!$A:$A,"Quantity (units)")</f>
        <v>2789</v>
      </c>
      <c r="D99" s="9" t="n">
        <f aca="false">SUMIFS('Source 2026'!$Q:$Q,'Source 2026'!$B:$B,$A99,'Source 2026'!$A:$A,"Quantity (units)")</f>
        <v>2847</v>
      </c>
      <c r="E99" s="9" t="n">
        <f aca="false">D99*$J$5</f>
        <v>3596.21052631579</v>
      </c>
      <c r="F99" s="9" t="n">
        <f aca="false">E99-C99</f>
        <v>807.210526315789</v>
      </c>
      <c r="G99" s="11" t="n">
        <f aca="false">IF(AND(C99=0,E99=0),0,IF(C99=0,"New",(E99-C99)/C99))</f>
        <v>0.289426506387877</v>
      </c>
      <c r="H99" s="9" t="n">
        <f aca="false">SUMIFS('Source 2025'!$Q:$Q,'Source 2025'!$B:$B,$A99,'Source 2025'!$A:$A,"Amount (NIS)")</f>
        <v>136637.6</v>
      </c>
      <c r="I99" s="9" t="n">
        <f aca="false">SUMIFS('Source 2026'!$Q:$Q,'Source 2026'!$B:$B,$A99,'Source 2026'!$A:$A,"Amount (NIS)")</f>
        <v>139434.1</v>
      </c>
      <c r="J99" s="9" t="n">
        <f aca="false">I99*$J$5</f>
        <v>176127.284210526</v>
      </c>
      <c r="K99" s="9" t="n">
        <f aca="false">J99-H99</f>
        <v>39489.6842105263</v>
      </c>
      <c r="L99" s="11" t="n">
        <f aca="false">IF(AND(H99=0,J99=0),0,IF(H99=0,"New",(J99-H99)/H99))</f>
        <v>0.289010376430253</v>
      </c>
    </row>
    <row r="100" customFormat="false" ht="15" hidden="false" customHeight="true" outlineLevel="0" collapsed="false">
      <c r="A100" s="8" t="s">
        <v>156</v>
      </c>
      <c r="B100" s="8" t="str">
        <f aca="false">IFERROR(INDEX('Source 2026'!$C:$C,MATCH($A100,'Source 2026'!$B:$B,0)),IFERROR(INDEX('Source 2025'!$C:$C,MATCH($A100,'Source 2025'!$B:$B,0)),""))</f>
        <v>תחבושת א.נצמ</v>
      </c>
      <c r="C100" s="9" t="n">
        <f aca="false">SUMIFS('Source 2025'!$Q:$Q,'Source 2025'!$B:$B,$A100,'Source 2025'!$A:$A,"Quantity (units)")</f>
        <v>980</v>
      </c>
      <c r="D100" s="9" t="n">
        <f aca="false">SUMIFS('Source 2026'!$Q:$Q,'Source 2026'!$B:$B,$A100,'Source 2026'!$A:$A,"Quantity (units)")</f>
        <v>697</v>
      </c>
      <c r="E100" s="9" t="n">
        <f aca="false">D100*$J$5</f>
        <v>880.421052631579</v>
      </c>
      <c r="F100" s="9" t="n">
        <f aca="false">E100-C100</f>
        <v>-99.5789473684212</v>
      </c>
      <c r="G100" s="11" t="n">
        <f aca="false">IF(AND(C100=0,E100=0),0,IF(C100=0,"New",(E100-C100)/C100))</f>
        <v>-0.101611170784103</v>
      </c>
      <c r="H100" s="9" t="n">
        <f aca="false">SUMIFS('Source 2025'!$Q:$Q,'Source 2025'!$B:$B,$A100,'Source 2025'!$A:$A,"Amount (NIS)")</f>
        <v>9936.3</v>
      </c>
      <c r="I100" s="9" t="n">
        <f aca="false">SUMIFS('Source 2026'!$Q:$Q,'Source 2026'!$B:$B,$A100,'Source 2026'!$A:$A,"Amount (NIS)")</f>
        <v>7156.9</v>
      </c>
      <c r="J100" s="9" t="n">
        <f aca="false">I100*$J$5</f>
        <v>9040.29473684211</v>
      </c>
      <c r="K100" s="9" t="n">
        <f aca="false">J100-H100</f>
        <v>-896.005263157895</v>
      </c>
      <c r="L100" s="11" t="n">
        <f aca="false">IF(AND(H100=0,J100=0),0,IF(H100=0,"New",(J100-H100)/H100))</f>
        <v>-0.0901749406879719</v>
      </c>
    </row>
    <row r="101" customFormat="false" ht="15" hidden="false" customHeight="true" outlineLevel="0" collapsed="false">
      <c r="A101" s="8" t="s">
        <v>275</v>
      </c>
      <c r="B101" s="8" t="str">
        <f aca="false">IFERROR(INDEX('Source 2026'!$C:$C,MATCH($A101,'Source 2026'!$B:$B,0)),IFERROR(INDEX('Source 2025'!$C:$C,MATCH($A101,'Source 2025'!$B:$B,0)),""))</f>
        <v>11 אפורUG חגורת בטן</v>
      </c>
      <c r="C101" s="9" t="n">
        <f aca="false">SUMIFS('Source 2025'!$Q:$Q,'Source 2025'!$B:$B,$A101,'Source 2025'!$A:$A,"Quantity (units)")</f>
        <v>34</v>
      </c>
      <c r="D101" s="9" t="n">
        <f aca="false">SUMIFS('Source 2026'!$Q:$Q,'Source 2026'!$B:$B,$A101,'Source 2026'!$A:$A,"Quantity (units)")</f>
        <v>0</v>
      </c>
      <c r="E101" s="9" t="n">
        <f aca="false">D101*$J$5</f>
        <v>0</v>
      </c>
      <c r="F101" s="9" t="n">
        <f aca="false">E101-C101</f>
        <v>-34</v>
      </c>
      <c r="G101" s="11" t="n">
        <f aca="false">IF(AND(C101=0,E101=0),0,IF(C101=0,"New",(E101-C101)/C101))</f>
        <v>-1</v>
      </c>
      <c r="H101" s="9" t="n">
        <f aca="false">SUMIFS('Source 2025'!$Q:$Q,'Source 2025'!$B:$B,$A101,'Source 2025'!$A:$A,"Amount (NIS)")</f>
        <v>2730.6</v>
      </c>
      <c r="I101" s="9" t="n">
        <f aca="false">SUMIFS('Source 2026'!$Q:$Q,'Source 2026'!$B:$B,$A101,'Source 2026'!$A:$A,"Amount (NIS)")</f>
        <v>68.2</v>
      </c>
      <c r="J101" s="9" t="n">
        <f aca="false">I101*$J$5</f>
        <v>86.1473684210526</v>
      </c>
      <c r="K101" s="9" t="n">
        <f aca="false">J101-H101</f>
        <v>-2644.45263157895</v>
      </c>
      <c r="L101" s="11" t="n">
        <f aca="false">IF(AND(H101=0,J101=0),0,IF(H101=0,"New",(J101-H101)/H101))</f>
        <v>-0.96845112121107</v>
      </c>
    </row>
    <row r="102" customFormat="false" ht="15" hidden="false" customHeight="true" outlineLevel="0" collapsed="false">
      <c r="A102" s="8" t="s">
        <v>245</v>
      </c>
      <c r="B102" s="8" t="str">
        <f aca="false">IFERROR(INDEX('Source 2026'!$C:$C,MATCH($A102,'Source 2026'!$B:$B,0)),IFERROR(INDEX('Source 2025'!$C:$C,MATCH($A102,'Source 2025'!$B:$B,0)),""))</f>
        <v>כפפות לחץ</v>
      </c>
      <c r="C102" s="9" t="n">
        <f aca="false">SUMIFS('Source 2025'!$Q:$Q,'Source 2025'!$B:$B,$A102,'Source 2025'!$A:$A,"Quantity (units)")</f>
        <v>258</v>
      </c>
      <c r="D102" s="9" t="n">
        <f aca="false">SUMIFS('Source 2026'!$Q:$Q,'Source 2026'!$B:$B,$A102,'Source 2026'!$A:$A,"Quantity (units)")</f>
        <v>162</v>
      </c>
      <c r="E102" s="9" t="n">
        <f aca="false">D102*$J$5</f>
        <v>204.631578947368</v>
      </c>
      <c r="F102" s="9" t="n">
        <f aca="false">E102-C102</f>
        <v>-53.3684210526316</v>
      </c>
      <c r="G102" s="11" t="n">
        <f aca="false">IF(AND(C102=0,E102=0),0,IF(C102=0,"New",(E102-C102)/C102))</f>
        <v>-0.206854345165239</v>
      </c>
      <c r="H102" s="9" t="n">
        <f aca="false">SUMIFS('Source 2025'!$Q:$Q,'Source 2025'!$B:$B,$A102,'Source 2025'!$A:$A,"Amount (NIS)")</f>
        <v>7344.8</v>
      </c>
      <c r="I102" s="9" t="n">
        <f aca="false">SUMIFS('Source 2026'!$Q:$Q,'Source 2026'!$B:$B,$A102,'Source 2026'!$A:$A,"Amount (NIS)")</f>
        <v>4690.8</v>
      </c>
      <c r="J102" s="9" t="n">
        <f aca="false">I102*$J$5</f>
        <v>5925.22105263158</v>
      </c>
      <c r="K102" s="9" t="n">
        <f aca="false">J102-H102</f>
        <v>-1419.57894736842</v>
      </c>
      <c r="L102" s="11" t="n">
        <f aca="false">IF(AND(H102=0,J102=0),0,IF(H102=0,"New",(J102-H102)/H102))</f>
        <v>-0.193276732840707</v>
      </c>
    </row>
    <row r="103" customFormat="false" ht="15" hidden="false" customHeight="true" outlineLevel="0" collapsed="false">
      <c r="A103" s="8" t="s">
        <v>133</v>
      </c>
      <c r="B103" s="8" t="str">
        <f aca="false">IFERROR(INDEX('Source 2026'!$C:$C,MATCH($A103,'Source 2026'!$B:$B,0)),IFERROR(INDEX('Source 2025'!$C:$C,MATCH($A103,'Source 2025'!$B:$B,0)),""))</f>
        <v>L סד לילה שחור לבוהן שמאל</v>
      </c>
      <c r="C103" s="9" t="n">
        <f aca="false">SUMIFS('Source 2025'!$Q:$Q,'Source 2025'!$B:$B,$A103,'Source 2025'!$A:$A,"Quantity (units)")</f>
        <v>87</v>
      </c>
      <c r="D103" s="9" t="n">
        <f aca="false">SUMIFS('Source 2026'!$Q:$Q,'Source 2026'!$B:$B,$A103,'Source 2026'!$A:$A,"Quantity (units)")</f>
        <v>40</v>
      </c>
      <c r="E103" s="9" t="n">
        <f aca="false">D103*$J$5</f>
        <v>50.5263157894737</v>
      </c>
      <c r="F103" s="9" t="n">
        <f aca="false">E103-C103</f>
        <v>-36.4736842105263</v>
      </c>
      <c r="G103" s="11" t="n">
        <f aca="false">IF(AND(C103=0,E103=0),0,IF(C103=0,"New",(E103-C103)/C103))</f>
        <v>-0.419237749546279</v>
      </c>
      <c r="H103" s="9" t="n">
        <f aca="false">SUMIFS('Source 2025'!$Q:$Q,'Source 2025'!$B:$B,$A103,'Source 2025'!$A:$A,"Amount (NIS)")</f>
        <v>5148.8</v>
      </c>
      <c r="I103" s="9" t="n">
        <f aca="false">SUMIFS('Source 2026'!$Q:$Q,'Source 2026'!$B:$B,$A103,'Source 2026'!$A:$A,"Amount (NIS)")</f>
        <v>2571.3</v>
      </c>
      <c r="J103" s="9" t="n">
        <f aca="false">I103*$J$5</f>
        <v>3247.95789473684</v>
      </c>
      <c r="K103" s="9" t="n">
        <f aca="false">J103-H103</f>
        <v>-1900.84210526316</v>
      </c>
      <c r="L103" s="11" t="n">
        <f aca="false">IF(AND(H103=0,J103=0),0,IF(H103=0,"New",(J103-H103)/H103))</f>
        <v>-0.369181577311832</v>
      </c>
    </row>
    <row r="104" customFormat="false" ht="15" hidden="false" customHeight="true" outlineLevel="0" collapsed="false">
      <c r="A104" s="8" t="s">
        <v>121</v>
      </c>
      <c r="B104" s="8" t="str">
        <f aca="false">IFERROR(INDEX('Source 2026'!$C:$C,MATCH($A104,'Source 2026'!$B:$B,0)),IFERROR(INDEX('Source 2025'!$C:$C,MATCH($A104,'Source 2025'!$B:$B,0)),""))</f>
        <v>חגורת גב +סגירה כפולה</v>
      </c>
      <c r="C104" s="9" t="n">
        <f aca="false">SUMIFS('Source 2025'!$Q:$Q,'Source 2025'!$B:$B,$A104,'Source 2025'!$A:$A,"Quantity (units)")</f>
        <v>65</v>
      </c>
      <c r="D104" s="9" t="n">
        <f aca="false">SUMIFS('Source 2026'!$Q:$Q,'Source 2026'!$B:$B,$A104,'Source 2026'!$A:$A,"Quantity (units)")</f>
        <v>36</v>
      </c>
      <c r="E104" s="9" t="n">
        <f aca="false">D104*$J$5</f>
        <v>45.4736842105263</v>
      </c>
      <c r="F104" s="9" t="n">
        <f aca="false">E104-C104</f>
        <v>-19.5263157894737</v>
      </c>
      <c r="G104" s="11" t="n">
        <f aca="false">IF(AND(C104=0,E104=0),0,IF(C104=0,"New",(E104-C104)/C104))</f>
        <v>-0.300404858299595</v>
      </c>
      <c r="H104" s="9" t="n">
        <f aca="false">SUMIFS('Source 2025'!$Q:$Q,'Source 2025'!$B:$B,$A104,'Source 2025'!$A:$A,"Amount (NIS)")</f>
        <v>6213.6</v>
      </c>
      <c r="I104" s="9" t="n">
        <f aca="false">SUMIFS('Source 2026'!$Q:$Q,'Source 2026'!$B:$B,$A104,'Source 2026'!$A:$A,"Amount (NIS)")</f>
        <v>3644.6</v>
      </c>
      <c r="J104" s="9" t="n">
        <f aca="false">I104*$J$5</f>
        <v>4603.70526315789</v>
      </c>
      <c r="K104" s="9" t="n">
        <f aca="false">J104-H104</f>
        <v>-1609.89473684211</v>
      </c>
      <c r="L104" s="11" t="n">
        <f aca="false">IF(AND(H104=0,J104=0),0,IF(H104=0,"New",(J104-H104)/H104))</f>
        <v>-0.259092110345389</v>
      </c>
    </row>
    <row r="105" customFormat="false" ht="15" hidden="false" customHeight="true" outlineLevel="0" collapsed="false">
      <c r="A105" s="8" t="s">
        <v>209</v>
      </c>
      <c r="B105" s="8" t="str">
        <f aca="false">IFERROR(INDEX('Source 2026'!$C:$C,MATCH($A105,'Source 2026'!$B:$B,0)),IFERROR(INDEX('Source 2025'!$C:$C,MATCH($A105,'Source 2025'!$B:$B,0)),""))</f>
        <v>רצועת ""פיקה""+כרית</v>
      </c>
      <c r="C105" s="9" t="n">
        <f aca="false">SUMIFS('Source 2025'!$Q:$Q,'Source 2025'!$B:$B,$A105,'Source 2025'!$A:$A,"Quantity (units)")</f>
        <v>40</v>
      </c>
      <c r="D105" s="9" t="n">
        <f aca="false">SUMIFS('Source 2026'!$Q:$Q,'Source 2026'!$B:$B,$A105,'Source 2026'!$A:$A,"Quantity (units)")</f>
        <v>12</v>
      </c>
      <c r="E105" s="9" t="n">
        <f aca="false">D105*$J$5</f>
        <v>15.1578947368421</v>
      </c>
      <c r="F105" s="9" t="n">
        <f aca="false">E105-C105</f>
        <v>-24.8421052631579</v>
      </c>
      <c r="G105" s="11" t="n">
        <f aca="false">IF(AND(C105=0,E105=0),0,IF(C105=0,"New",(E105-C105)/C105))</f>
        <v>-0.621052631578947</v>
      </c>
      <c r="H105" s="9" t="n">
        <f aca="false">SUMIFS('Source 2025'!$Q:$Q,'Source 2025'!$B:$B,$A105,'Source 2025'!$A:$A,"Amount (NIS)")</f>
        <v>3726.4</v>
      </c>
      <c r="I105" s="9" t="n">
        <f aca="false">SUMIFS('Source 2026'!$Q:$Q,'Source 2026'!$B:$B,$A105,'Source 2026'!$A:$A,"Amount (NIS)")</f>
        <v>1185.3</v>
      </c>
      <c r="J105" s="9" t="n">
        <f aca="false">I105*$J$5</f>
        <v>1497.22105263158</v>
      </c>
      <c r="K105" s="9" t="n">
        <f aca="false">J105-H105</f>
        <v>-2229.17894736842</v>
      </c>
      <c r="L105" s="11" t="n">
        <f aca="false">IF(AND(H105=0,J105=0),0,IF(H105=0,"New",(J105-H105)/H105))</f>
        <v>-0.598212469774694</v>
      </c>
    </row>
    <row r="106" customFormat="false" ht="15" hidden="false" customHeight="true" outlineLevel="0" collapsed="false">
      <c r="A106" s="8" t="s">
        <v>253</v>
      </c>
      <c r="B106" s="8" t="str">
        <f aca="false">IFERROR(INDEX('Source 2026'!$C:$C,MATCH($A106,'Source 2026'!$B:$B,0)),IFERROR(INDEX('Source 2025'!$C:$C,MATCH($A106,'Source 2025'!$B:$B,0)),""))</f>
        <v>כפפות לחץ</v>
      </c>
      <c r="C106" s="9" t="n">
        <f aca="false">SUMIFS('Source 2025'!$Q:$Q,'Source 2025'!$B:$B,$A106,'Source 2025'!$A:$A,"Quantity (units)")</f>
        <v>246</v>
      </c>
      <c r="D106" s="9" t="n">
        <f aca="false">SUMIFS('Source 2026'!$Q:$Q,'Source 2026'!$B:$B,$A106,'Source 2026'!$A:$A,"Quantity (units)")</f>
        <v>155</v>
      </c>
      <c r="E106" s="9" t="n">
        <f aca="false">D106*$J$5</f>
        <v>195.789473684211</v>
      </c>
      <c r="F106" s="9" t="n">
        <f aca="false">E106-C106</f>
        <v>-50.2105263157895</v>
      </c>
      <c r="G106" s="11" t="n">
        <f aca="false">IF(AND(C106=0,E106=0),0,IF(C106=0,"New",(E106-C106)/C106))</f>
        <v>-0.20410783055199</v>
      </c>
      <c r="H106" s="9" t="n">
        <f aca="false">SUMIFS('Source 2025'!$Q:$Q,'Source 2025'!$B:$B,$A106,'Source 2025'!$A:$A,"Amount (NIS)")</f>
        <v>6998.3</v>
      </c>
      <c r="I106" s="9" t="n">
        <f aca="false">SUMIFS('Source 2026'!$Q:$Q,'Source 2026'!$B:$B,$A106,'Source 2026'!$A:$A,"Amount (NIS)")</f>
        <v>4476.9</v>
      </c>
      <c r="J106" s="9" t="n">
        <f aca="false">I106*$J$5</f>
        <v>5655.03157894737</v>
      </c>
      <c r="K106" s="9" t="n">
        <f aca="false">J106-H106</f>
        <v>-1343.26842105263</v>
      </c>
      <c r="L106" s="11" t="n">
        <f aca="false">IF(AND(H106=0,J106=0),0,IF(H106=0,"New",(J106-H106)/H106))</f>
        <v>-0.19194210323259</v>
      </c>
    </row>
    <row r="107" customFormat="false" ht="15" hidden="false" customHeight="true" outlineLevel="0" collapsed="false">
      <c r="A107" s="8" t="s">
        <v>343</v>
      </c>
      <c r="B107" s="8" t="str">
        <f aca="false">IFERROR(INDEX('Source 2026'!$C:$C,MATCH($A107,'Source 2026'!$B:$B,0)),IFERROR(INDEX('Source 2025'!$C:$C,MATCH($A107,'Source 2025'!$B:$B,0)),""))</f>
        <v>תחבושת אלסטית מקררת</v>
      </c>
      <c r="C107" s="9" t="n">
        <f aca="false">SUMIFS('Source 2025'!$Q:$Q,'Source 2025'!$B:$B,$A107,'Source 2025'!$A:$A,"Quantity (units)")</f>
        <v>283</v>
      </c>
      <c r="D107" s="9" t="n">
        <f aca="false">SUMIFS('Source 2026'!$Q:$Q,'Source 2026'!$B:$B,$A107,'Source 2026'!$A:$A,"Quantity (units)")</f>
        <v>428</v>
      </c>
      <c r="E107" s="9" t="n">
        <f aca="false">D107*$J$5</f>
        <v>540.631578947368</v>
      </c>
      <c r="F107" s="9" t="n">
        <f aca="false">E107-C107</f>
        <v>257.631578947368</v>
      </c>
      <c r="G107" s="11" t="n">
        <f aca="false">IF(AND(C107=0,E107=0),0,IF(C107=0,"New",(E107-C107)/C107))</f>
        <v>0.910358936209783</v>
      </c>
      <c r="H107" s="9" t="n">
        <f aca="false">SUMIFS('Source 2025'!$Q:$Q,'Source 2025'!$B:$B,$A107,'Source 2025'!$A:$A,"Amount (NIS)")</f>
        <v>4566.7</v>
      </c>
      <c r="I107" s="9" t="n">
        <f aca="false">SUMIFS('Source 2026'!$Q:$Q,'Source 2026'!$B:$B,$A107,'Source 2026'!$A:$A,"Amount (NIS)")</f>
        <v>7064.7</v>
      </c>
      <c r="J107" s="9" t="n">
        <f aca="false">I107*$J$5</f>
        <v>8923.83157894737</v>
      </c>
      <c r="K107" s="9" t="n">
        <f aca="false">J107-H107</f>
        <v>4357.13157894737</v>
      </c>
      <c r="L107" s="11" t="n">
        <f aca="false">IF(AND(H107=0,J107=0),0,IF(H107=0,"New",(J107-H107)/H107))</f>
        <v>0.954109439846578</v>
      </c>
    </row>
    <row r="108" customFormat="false" ht="15" hidden="false" customHeight="true" outlineLevel="0" collapsed="false">
      <c r="A108" s="8" t="s">
        <v>197</v>
      </c>
      <c r="B108" s="8" t="str">
        <f aca="false">IFERROR(INDEX('Source 2026'!$C:$C,MATCH($A108,'Source 2026'!$B:$B,0)),IFERROR(INDEX('Source 2025'!$C:$C,MATCH($A108,'Source 2025'!$B:$B,0)),""))</f>
        <v>נצמדת בז' 20 מ""מ</v>
      </c>
      <c r="C108" s="9" t="n">
        <f aca="false">SUMIFS('Source 2025'!$Q:$Q,'Source 2025'!$B:$B,$A108,'Source 2025'!$A:$A,"Quantity (units)")</f>
        <v>1235</v>
      </c>
      <c r="D108" s="9" t="n">
        <f aca="false">SUMIFS('Source 2026'!$Q:$Q,'Source 2026'!$B:$B,$A108,'Source 2026'!$A:$A,"Quantity (units)")</f>
        <v>988</v>
      </c>
      <c r="E108" s="9" t="n">
        <f aca="false">D108*$J$5</f>
        <v>1248</v>
      </c>
      <c r="F108" s="9" t="n">
        <f aca="false">E108-C108</f>
        <v>13</v>
      </c>
      <c r="G108" s="11" t="n">
        <f aca="false">IF(AND(C108=0,E108=0),0,IF(C108=0,"New",(E108-C108)/C108))</f>
        <v>0.0105263157894737</v>
      </c>
      <c r="H108" s="9" t="n">
        <f aca="false">SUMIFS('Source 2025'!$Q:$Q,'Source 2025'!$B:$B,$A108,'Source 2025'!$A:$A,"Amount (NIS)")</f>
        <v>12532.2</v>
      </c>
      <c r="I108" s="9" t="n">
        <f aca="false">SUMIFS('Source 2026'!$Q:$Q,'Source 2026'!$B:$B,$A108,'Source 2026'!$A:$A,"Amount (NIS)")</f>
        <v>10070.6</v>
      </c>
      <c r="J108" s="9" t="n">
        <f aca="false">I108*$J$5</f>
        <v>12720.7578947368</v>
      </c>
      <c r="K108" s="9" t="n">
        <f aca="false">J108-H108</f>
        <v>188.557894736841</v>
      </c>
      <c r="L108" s="11" t="n">
        <f aca="false">IF(AND(H108=0,J108=0),0,IF(H108=0,"New",(J108-H108)/H108))</f>
        <v>0.0150458734090456</v>
      </c>
    </row>
    <row r="109" customFormat="false" ht="15" hidden="false" customHeight="true" outlineLevel="0" collapsed="false">
      <c r="A109" s="8" t="s">
        <v>327</v>
      </c>
      <c r="B109" s="8" t="str">
        <f aca="false">IFERROR(INDEX('Source 2026'!$C:$C,MATCH($A109,'Source 2026'!$B:$B,0)),IFERROR(INDEX('Source 2025'!$C:$C,MATCH($A109,'Source 2025'!$B:$B,0)),""))</f>
        <v>11 אפורUG חגורת בטן</v>
      </c>
      <c r="C109" s="9" t="n">
        <f aca="false">SUMIFS('Source 2025'!$Q:$Q,'Source 2025'!$B:$B,$A109,'Source 2025'!$A:$A,"Quantity (units)")</f>
        <v>32</v>
      </c>
      <c r="D109" s="9" t="n">
        <f aca="false">SUMIFS('Source 2026'!$Q:$Q,'Source 2026'!$B:$B,$A109,'Source 2026'!$A:$A,"Quantity (units)")</f>
        <v>1</v>
      </c>
      <c r="E109" s="9" t="n">
        <f aca="false">D109*$J$5</f>
        <v>1.26315789473684</v>
      </c>
      <c r="F109" s="9" t="n">
        <f aca="false">E109-C109</f>
        <v>-30.7368421052632</v>
      </c>
      <c r="G109" s="11" t="n">
        <f aca="false">IF(AND(C109=0,E109=0),0,IF(C109=0,"New",(E109-C109)/C109))</f>
        <v>-0.960526315789474</v>
      </c>
      <c r="H109" s="9" t="n">
        <f aca="false">SUMIFS('Source 2025'!$Q:$Q,'Source 2025'!$B:$B,$A109,'Source 2025'!$A:$A,"Amount (NIS)")</f>
        <v>2549.6</v>
      </c>
      <c r="I109" s="9" t="n">
        <f aca="false">SUMIFS('Source 2026'!$Q:$Q,'Source 2026'!$B:$B,$A109,'Source 2026'!$A:$A,"Amount (NIS)")</f>
        <v>132.3</v>
      </c>
      <c r="J109" s="9" t="n">
        <f aca="false">I109*$J$5</f>
        <v>167.115789473684</v>
      </c>
      <c r="K109" s="9" t="n">
        <f aca="false">J109-H109</f>
        <v>-2382.48421052632</v>
      </c>
      <c r="L109" s="11" t="n">
        <f aca="false">IF(AND(H109=0,J109=0),0,IF(H109=0,"New",(J109-H109)/H109))</f>
        <v>-0.934454114577312</v>
      </c>
    </row>
    <row r="110" customFormat="false" ht="15" hidden="false" customHeight="true" outlineLevel="0" collapsed="false">
      <c r="A110" s="8" t="s">
        <v>243</v>
      </c>
      <c r="B110" s="8" t="str">
        <f aca="false">IFERROR(INDEX('Source 2026'!$C:$C,MATCH($A110,'Source 2026'!$B:$B,0)),IFERROR(INDEX('Source 2025'!$C:$C,MATCH($A110,'Source 2025'!$B:$B,0)),""))</f>
        <v>כפפות אגודל לחץ</v>
      </c>
      <c r="C110" s="9" t="n">
        <f aca="false">SUMIFS('Source 2025'!$Q:$Q,'Source 2025'!$B:$B,$A110,'Source 2025'!$A:$A,"Quantity (units)")</f>
        <v>419</v>
      </c>
      <c r="D110" s="9" t="n">
        <f aca="false">SUMIFS('Source 2026'!$Q:$Q,'Source 2026'!$B:$B,$A110,'Source 2026'!$A:$A,"Quantity (units)")</f>
        <v>324</v>
      </c>
      <c r="E110" s="9" t="n">
        <f aca="false">D110*$J$5</f>
        <v>409.263157894737</v>
      </c>
      <c r="F110" s="9" t="n">
        <f aca="false">E110-C110</f>
        <v>-9.73684210526318</v>
      </c>
      <c r="G110" s="11" t="n">
        <f aca="false">IF(AND(C110=0,E110=0),0,IF(C110=0,"New",(E110-C110)/C110))</f>
        <v>-0.0232382866474062</v>
      </c>
      <c r="H110" s="9" t="n">
        <f aca="false">SUMIFS('Source 2025'!$Q:$Q,'Source 2025'!$B:$B,$A110,'Source 2025'!$A:$A,"Amount (NIS)")</f>
        <v>11927.2</v>
      </c>
      <c r="I110" s="9" t="n">
        <f aca="false">SUMIFS('Source 2026'!$Q:$Q,'Source 2026'!$B:$B,$A110,'Source 2026'!$A:$A,"Amount (NIS)")</f>
        <v>9579</v>
      </c>
      <c r="J110" s="9" t="n">
        <f aca="false">I110*$J$5</f>
        <v>12099.7894736842</v>
      </c>
      <c r="K110" s="9" t="n">
        <f aca="false">J110-H110</f>
        <v>172.589473684209</v>
      </c>
      <c r="L110" s="11" t="n">
        <f aca="false">IF(AND(H110=0,J110=0),0,IF(H110=0,"New",(J110-H110)/H110))</f>
        <v>0.0144702422768302</v>
      </c>
    </row>
    <row r="111" customFormat="false" ht="15" hidden="false" customHeight="true" outlineLevel="0" collapsed="false">
      <c r="A111" s="8" t="s">
        <v>342</v>
      </c>
      <c r="B111" s="8" t="str">
        <f aca="false">IFERROR(INDEX('Source 2026'!$C:$C,MATCH($A111,'Source 2026'!$B:$B,0)),IFERROR(INDEX('Source 2025'!$C:$C,MATCH($A111,'Source 2025'!$B:$B,0)),""))</f>
        <v>S-M STRAP4U</v>
      </c>
      <c r="C111" s="9" t="n">
        <f aca="false">SUMIFS('Source 2025'!$Q:$Q,'Source 2025'!$B:$B,$A111,'Source 2025'!$A:$A,"Quantity (units)")</f>
        <v>95</v>
      </c>
      <c r="D111" s="9" t="n">
        <f aca="false">SUMIFS('Source 2026'!$Q:$Q,'Source 2026'!$B:$B,$A111,'Source 2026'!$A:$A,"Quantity (units)")</f>
        <v>-57</v>
      </c>
      <c r="E111" s="9" t="n">
        <f aca="false">D111*$J$5</f>
        <v>-72</v>
      </c>
      <c r="F111" s="9" t="n">
        <f aca="false">E111-C111</f>
        <v>-167</v>
      </c>
      <c r="G111" s="11" t="n">
        <f aca="false">IF(AND(C111=0,E111=0),0,IF(C111=0,"New",(E111-C111)/C111))</f>
        <v>-1.75789473684211</v>
      </c>
      <c r="H111" s="9" t="n">
        <f aca="false">SUMIFS('Source 2025'!$Q:$Q,'Source 2025'!$B:$B,$A111,'Source 2025'!$A:$A,"Amount (NIS)")</f>
        <v>1673</v>
      </c>
      <c r="I111" s="9" t="n">
        <f aca="false">SUMIFS('Source 2026'!$Q:$Q,'Source 2026'!$B:$B,$A111,'Source 2026'!$A:$A,"Amount (NIS)")</f>
        <v>-564.6</v>
      </c>
      <c r="J111" s="9" t="n">
        <f aca="false">I111*$J$5</f>
        <v>-713.178947368421</v>
      </c>
      <c r="K111" s="9" t="n">
        <f aca="false">J111-H111</f>
        <v>-2386.17894736842</v>
      </c>
      <c r="L111" s="11" t="n">
        <f aca="false">IF(AND(H111=0,J111=0),0,IF(H111=0,"New",(J111-H111)/H111))</f>
        <v>-1.42628747601221</v>
      </c>
    </row>
    <row r="112" customFormat="false" ht="15" hidden="false" customHeight="true" outlineLevel="0" collapsed="false">
      <c r="A112" s="8" t="s">
        <v>335</v>
      </c>
      <c r="B112" s="8" t="str">
        <f aca="false">IFERROR(INDEX('Source 2026'!$C:$C,MATCH($A112,'Source 2026'!$B:$B,0)),IFERROR(INDEX('Source 2025'!$C:$C,MATCH($A112,'Source 2025'!$B:$B,0)),""))</f>
        <v>ג.כסף לסכרתיים אפור35-38</v>
      </c>
      <c r="C112" s="9" t="n">
        <f aca="false">SUMIFS('Source 2025'!$Q:$Q,'Source 2025'!$B:$B,$A112,'Source 2025'!$A:$A,"Quantity (units)")</f>
        <v>74</v>
      </c>
      <c r="D112" s="9" t="n">
        <f aca="false">SUMIFS('Source 2026'!$Q:$Q,'Source 2026'!$B:$B,$A112,'Source 2026'!$A:$A,"Quantity (units)")</f>
        <v>1</v>
      </c>
      <c r="E112" s="9" t="n">
        <f aca="false">D112*$J$5</f>
        <v>1.26315789473684</v>
      </c>
      <c r="F112" s="9" t="n">
        <f aca="false">E112-C112</f>
        <v>-72.7368421052632</v>
      </c>
      <c r="G112" s="11" t="n">
        <f aca="false">IF(AND(C112=0,E112=0),0,IF(C112=0,"New",(E112-C112)/C112))</f>
        <v>-0.982930298719772</v>
      </c>
      <c r="H112" s="9" t="n">
        <f aca="false">SUMIFS('Source 2025'!$Q:$Q,'Source 2025'!$B:$B,$A112,'Source 2025'!$A:$A,"Amount (NIS)")</f>
        <v>2161.6</v>
      </c>
      <c r="I112" s="9" t="n">
        <f aca="false">SUMIFS('Source 2026'!$Q:$Q,'Source 2026'!$B:$B,$A112,'Source 2026'!$A:$A,"Amount (NIS)")</f>
        <v>35</v>
      </c>
      <c r="J112" s="9" t="n">
        <f aca="false">I112*$J$5</f>
        <v>44.2105263157895</v>
      </c>
      <c r="K112" s="9" t="n">
        <f aca="false">J112-H112</f>
        <v>-2117.38947368421</v>
      </c>
      <c r="L112" s="11" t="n">
        <f aca="false">IF(AND(H112=0,J112=0),0,IF(H112=0,"New",(J112-H112)/H112))</f>
        <v>-0.979547313880556</v>
      </c>
    </row>
    <row r="113" customFormat="false" ht="15" hidden="false" customHeight="true" outlineLevel="0" collapsed="false">
      <c r="A113" s="8" t="s">
        <v>201</v>
      </c>
      <c r="B113" s="8" t="str">
        <f aca="false">IFERROR(INDEX('Source 2026'!$C:$C,MATCH($A113,'Source 2026'!$B:$B,0)),IFERROR(INDEX('Source 2025'!$C:$C,MATCH($A113,'Source 2025'!$B:$B,0)),""))</f>
        <v>9 מ""ס להתאמהX5 מדבקה גדולה</v>
      </c>
      <c r="C113" s="9" t="n">
        <f aca="false">SUMIFS('Source 2025'!$Q:$Q,'Source 2025'!$B:$B,$A113,'Source 2025'!$A:$A,"Quantity (units)")</f>
        <v>208</v>
      </c>
      <c r="D113" s="9" t="n">
        <f aca="false">SUMIFS('Source 2026'!$Q:$Q,'Source 2026'!$B:$B,$A113,'Source 2026'!$A:$A,"Quantity (units)")</f>
        <v>102</v>
      </c>
      <c r="E113" s="9" t="n">
        <f aca="false">D113*$J$5</f>
        <v>128.842105263158</v>
      </c>
      <c r="F113" s="9" t="n">
        <f aca="false">E113-C113</f>
        <v>-79.1578947368421</v>
      </c>
      <c r="G113" s="11" t="n">
        <f aca="false">IF(AND(C113=0,E113=0),0,IF(C113=0,"New",(E113-C113)/C113))</f>
        <v>-0.380566801619433</v>
      </c>
      <c r="H113" s="9" t="n">
        <f aca="false">SUMIFS('Source 2025'!$Q:$Q,'Source 2025'!$B:$B,$A113,'Source 2025'!$A:$A,"Amount (NIS)")</f>
        <v>4120.4</v>
      </c>
      <c r="I113" s="9" t="n">
        <f aca="false">SUMIFS('Source 2026'!$Q:$Q,'Source 2026'!$B:$B,$A113,'Source 2026'!$A:$A,"Amount (NIS)")</f>
        <v>2001.2</v>
      </c>
      <c r="J113" s="9" t="n">
        <f aca="false">I113*$J$5</f>
        <v>2527.83157894737</v>
      </c>
      <c r="K113" s="9" t="n">
        <f aca="false">J113-H113</f>
        <v>-1592.56842105263</v>
      </c>
      <c r="L113" s="11" t="n">
        <f aca="false">IF(AND(H113=0,J113=0),0,IF(H113=0,"New",(J113-H113)/H113))</f>
        <v>-0.386508208196445</v>
      </c>
    </row>
    <row r="114" customFormat="false" ht="15" hidden="false" customHeight="true" outlineLevel="0" collapsed="false">
      <c r="A114" s="8" t="s">
        <v>256</v>
      </c>
      <c r="B114" s="8" t="str">
        <f aca="false">IFERROR(INDEX('Source 2026'!$C:$C,MATCH($A114,'Source 2026'!$B:$B,0)),IFERROR(INDEX('Source 2025'!$C:$C,MATCH($A114,'Source 2025'!$B:$B,0)),""))</f>
        <v>בננה לתמיכת אצבעות ז.כרית</v>
      </c>
      <c r="C114" s="9" t="n">
        <f aca="false">SUMIFS('Source 2025'!$Q:$Q,'Source 2025'!$B:$B,$A114,'Source 2025'!$A:$A,"Quantity (units)")</f>
        <v>199</v>
      </c>
      <c r="D114" s="9" t="n">
        <f aca="false">SUMIFS('Source 2026'!$Q:$Q,'Source 2026'!$B:$B,$A114,'Source 2026'!$A:$A,"Quantity (units)")</f>
        <v>101</v>
      </c>
      <c r="E114" s="9" t="n">
        <f aca="false">D114*$J$5</f>
        <v>127.578947368421</v>
      </c>
      <c r="F114" s="9" t="n">
        <f aca="false">E114-C114</f>
        <v>-71.421052631579</v>
      </c>
      <c r="G114" s="11" t="n">
        <f aca="false">IF(AND(C114=0,E114=0),0,IF(C114=0,"New",(E114-C114)/C114))</f>
        <v>-0.358899761967734</v>
      </c>
      <c r="H114" s="9" t="n">
        <f aca="false">SUMIFS('Source 2025'!$Q:$Q,'Source 2025'!$B:$B,$A114,'Source 2025'!$A:$A,"Amount (NIS)")</f>
        <v>4320.4</v>
      </c>
      <c r="I114" s="9" t="n">
        <f aca="false">SUMIFS('Source 2026'!$Q:$Q,'Source 2026'!$B:$B,$A114,'Source 2026'!$A:$A,"Amount (NIS)")</f>
        <v>2224.3</v>
      </c>
      <c r="J114" s="9" t="n">
        <f aca="false">I114*$J$5</f>
        <v>2809.64210526316</v>
      </c>
      <c r="K114" s="9" t="n">
        <f aca="false">J114-H114</f>
        <v>-1510.75789473684</v>
      </c>
      <c r="L114" s="11" t="n">
        <f aca="false">IF(AND(H114=0,J114=0),0,IF(H114=0,"New",(J114-H114)/H114))</f>
        <v>-0.349680097846691</v>
      </c>
    </row>
    <row r="115" customFormat="false" ht="15" hidden="false" customHeight="true" outlineLevel="0" collapsed="false">
      <c r="A115" s="8" t="s">
        <v>101</v>
      </c>
      <c r="B115" s="8" t="str">
        <f aca="false">IFERROR(INDEX('Source 2026'!$C:$C,MATCH($A115,'Source 2026'!$B:$B,0)),IFERROR(INDEX('Source 2025'!$C:$C,MATCH($A115,'Source 2025'!$B:$B,0)),""))</f>
        <v>תרסיס דאודורנט לכף הרגל</v>
      </c>
      <c r="C115" s="9" t="n">
        <f aca="false">SUMIFS('Source 2025'!$Q:$Q,'Source 2025'!$B:$B,$A115,'Source 2025'!$A:$A,"Quantity (units)")</f>
        <v>583</v>
      </c>
      <c r="D115" s="9" t="n">
        <f aca="false">SUMIFS('Source 2026'!$Q:$Q,'Source 2026'!$B:$B,$A115,'Source 2026'!$A:$A,"Quantity (units)")</f>
        <v>536</v>
      </c>
      <c r="E115" s="9" t="n">
        <f aca="false">D115*$J$5</f>
        <v>677.052631578947</v>
      </c>
      <c r="F115" s="9" t="n">
        <f aca="false">E115-C115</f>
        <v>94.0526315789473</v>
      </c>
      <c r="G115" s="11" t="n">
        <f aca="false">IF(AND(C115=0,E115=0),0,IF(C115=0,"New",(E115-C115)/C115))</f>
        <v>0.161325268574524</v>
      </c>
      <c r="H115" s="9" t="n">
        <f aca="false">SUMIFS('Source 2025'!$Q:$Q,'Source 2025'!$B:$B,$A115,'Source 2025'!$A:$A,"Amount (NIS)")</f>
        <v>12662</v>
      </c>
      <c r="I115" s="9" t="n">
        <f aca="false">SUMIFS('Source 2026'!$Q:$Q,'Source 2026'!$B:$B,$A115,'Source 2026'!$A:$A,"Amount (NIS)")</f>
        <v>10680.7</v>
      </c>
      <c r="J115" s="9" t="n">
        <f aca="false">I115*$J$5</f>
        <v>13491.4105263158</v>
      </c>
      <c r="K115" s="9" t="n">
        <f aca="false">J115-H115</f>
        <v>829.410526315789</v>
      </c>
      <c r="L115" s="11" t="n">
        <f aca="false">IF(AND(H115=0,J115=0),0,IF(H115=0,"New",(J115-H115)/H115))</f>
        <v>0.0655039114133462</v>
      </c>
    </row>
    <row r="116" customFormat="false" ht="15" hidden="false" customHeight="true" outlineLevel="0" collapsed="false">
      <c r="A116" s="8" t="s">
        <v>213</v>
      </c>
      <c r="B116" s="8" t="str">
        <f aca="false">IFERROR(INDEX('Source 2026'!$C:$C,MATCH($A116,'Source 2026'!$B:$B,0)),IFERROR(INDEX('Source 2025'!$C:$C,MATCH($A116,'Source 2025'!$B:$B,0)),""))</f>
        <v>לגבס קצר יד</v>
      </c>
      <c r="C116" s="9" t="n">
        <f aca="false">SUMIFS('Source 2025'!$Q:$Q,'Source 2025'!$B:$B,$A116,'Source 2025'!$A:$A,"Quantity (units)")</f>
        <v>1526</v>
      </c>
      <c r="D116" s="9" t="n">
        <f aca="false">SUMIFS('Source 2026'!$Q:$Q,'Source 2026'!$B:$B,$A116,'Source 2026'!$A:$A,"Quantity (units)")</f>
        <v>1595</v>
      </c>
      <c r="E116" s="9" t="n">
        <f aca="false">D116*$J$5</f>
        <v>2014.73684210526</v>
      </c>
      <c r="F116" s="9" t="n">
        <f aca="false">E116-C116</f>
        <v>488.736842105263</v>
      </c>
      <c r="G116" s="11" t="n">
        <f aca="false">IF(AND(C116=0,E116=0),0,IF(C116=0,"New",(E116-C116)/C116))</f>
        <v>0.32027315996413</v>
      </c>
      <c r="H116" s="9" t="n">
        <f aca="false">SUMIFS('Source 2025'!$Q:$Q,'Source 2025'!$B:$B,$A116,'Source 2025'!$A:$A,"Amount (NIS)")</f>
        <v>50607.4</v>
      </c>
      <c r="I116" s="9" t="n">
        <f aca="false">SUMIFS('Source 2026'!$Q:$Q,'Source 2026'!$B:$B,$A116,'Source 2026'!$A:$A,"Amount (NIS)")</f>
        <v>52502.9</v>
      </c>
      <c r="J116" s="9" t="n">
        <f aca="false">I116*$J$5</f>
        <v>66319.4526315789</v>
      </c>
      <c r="K116" s="9" t="n">
        <f aca="false">J116-H116</f>
        <v>15712.0526315789</v>
      </c>
      <c r="L116" s="11" t="n">
        <f aca="false">IF(AND(H116=0,J116=0),0,IF(H116=0,"New",(J116-H116)/H116))</f>
        <v>0.3104694695159</v>
      </c>
    </row>
    <row r="117" customFormat="false" ht="15" hidden="false" customHeight="true" outlineLevel="0" collapsed="false">
      <c r="A117" s="8" t="s">
        <v>249</v>
      </c>
      <c r="B117" s="8" t="str">
        <f aca="false">IFERROR(INDEX('Source 2026'!$C:$C,MATCH($A117,'Source 2026'!$B:$B,0)),IFERROR(INDEX('Source 2025'!$C:$C,MATCH($A117,'Source 2025'!$B:$B,0)),""))</f>
        <v>מפריד הלוקס</v>
      </c>
      <c r="C117" s="9" t="n">
        <f aca="false">SUMIFS('Source 2025'!$Q:$Q,'Source 2025'!$B:$B,$A117,'Source 2025'!$A:$A,"Quantity (units)")</f>
        <v>106</v>
      </c>
      <c r="D117" s="9" t="n">
        <f aca="false">SUMIFS('Source 2026'!$Q:$Q,'Source 2026'!$B:$B,$A117,'Source 2026'!$A:$A,"Quantity (units)")</f>
        <v>57</v>
      </c>
      <c r="E117" s="9" t="n">
        <f aca="false">D117*$J$5</f>
        <v>72</v>
      </c>
      <c r="F117" s="9" t="n">
        <f aca="false">E117-C117</f>
        <v>-34</v>
      </c>
      <c r="G117" s="11" t="n">
        <f aca="false">IF(AND(C117=0,E117=0),0,IF(C117=0,"New",(E117-C117)/C117))</f>
        <v>-0.320754716981132</v>
      </c>
      <c r="H117" s="9" t="n">
        <f aca="false">SUMIFS('Source 2025'!$Q:$Q,'Source 2025'!$B:$B,$A117,'Source 2025'!$A:$A,"Amount (NIS)")</f>
        <v>4298.2</v>
      </c>
      <c r="I117" s="9" t="n">
        <f aca="false">SUMIFS('Source 2026'!$Q:$Q,'Source 2026'!$B:$B,$A117,'Source 2026'!$A:$A,"Amount (NIS)")</f>
        <v>2453.1</v>
      </c>
      <c r="J117" s="9" t="n">
        <f aca="false">I117*$J$5</f>
        <v>3098.65263157895</v>
      </c>
      <c r="K117" s="9" t="n">
        <f aca="false">J117-H117</f>
        <v>-1199.54736842105</v>
      </c>
      <c r="L117" s="11" t="n">
        <f aca="false">IF(AND(H117=0,J117=0),0,IF(H117=0,"New",(J117-H117)/H117))</f>
        <v>-0.279081329026349</v>
      </c>
    </row>
    <row r="118" customFormat="false" ht="15" hidden="false" customHeight="true" outlineLevel="0" collapsed="false">
      <c r="A118" s="8" t="s">
        <v>252</v>
      </c>
      <c r="B118" s="8" t="str">
        <f aca="false">IFERROR(INDEX('Source 2026'!$C:$C,MATCH($A118,'Source 2026'!$B:$B,0)),IFERROR(INDEX('Source 2025'!$C:$C,MATCH($A118,'Source 2025'!$B:$B,0)),""))</f>
        <v>כפפות לחץ</v>
      </c>
      <c r="C118" s="9" t="n">
        <f aca="false">SUMIFS('Source 2025'!$Q:$Q,'Source 2025'!$B:$B,$A118,'Source 2025'!$A:$A,"Quantity (units)")</f>
        <v>180</v>
      </c>
      <c r="D118" s="9" t="n">
        <f aca="false">SUMIFS('Source 2026'!$Q:$Q,'Source 2026'!$B:$B,$A118,'Source 2026'!$A:$A,"Quantity (units)")</f>
        <v>113</v>
      </c>
      <c r="E118" s="9" t="n">
        <f aca="false">D118*$J$5</f>
        <v>142.736842105263</v>
      </c>
      <c r="F118" s="9" t="n">
        <f aca="false">E118-C118</f>
        <v>-37.2631578947369</v>
      </c>
      <c r="G118" s="11" t="n">
        <f aca="false">IF(AND(C118=0,E118=0),0,IF(C118=0,"New",(E118-C118)/C118))</f>
        <v>-0.207017543859649</v>
      </c>
      <c r="H118" s="9" t="n">
        <f aca="false">SUMIFS('Source 2025'!$Q:$Q,'Source 2025'!$B:$B,$A118,'Source 2025'!$A:$A,"Amount (NIS)")</f>
        <v>5113.7</v>
      </c>
      <c r="I118" s="9" t="n">
        <f aca="false">SUMIFS('Source 2026'!$Q:$Q,'Source 2026'!$B:$B,$A118,'Source 2026'!$A:$A,"Amount (NIS)")</f>
        <v>3300.4</v>
      </c>
      <c r="J118" s="9" t="n">
        <f aca="false">I118*$J$5</f>
        <v>4168.92631578947</v>
      </c>
      <c r="K118" s="9" t="n">
        <f aca="false">J118-H118</f>
        <v>-944.773684210526</v>
      </c>
      <c r="L118" s="11" t="n">
        <f aca="false">IF(AND(H118=0,J118=0),0,IF(H118=0,"New",(J118-H118)/H118))</f>
        <v>-0.184753443536094</v>
      </c>
    </row>
    <row r="119" customFormat="false" ht="15" hidden="false" customHeight="true" outlineLevel="0" collapsed="false">
      <c r="A119" s="8" t="s">
        <v>244</v>
      </c>
      <c r="B119" s="8" t="str">
        <f aca="false">IFERROR(INDEX('Source 2026'!$C:$C,MATCH($A119,'Source 2026'!$B:$B,0)),IFERROR(INDEX('Source 2025'!$C:$C,MATCH($A119,'Source 2025'!$B:$B,0)),""))</f>
        <v>0 כרית חום וקור</v>
      </c>
      <c r="C119" s="9" t="n">
        <f aca="false">SUMIFS('Source 2025'!$Q:$Q,'Source 2025'!$B:$B,$A119,'Source 2025'!$A:$A,"Quantity (units)")</f>
        <v>21</v>
      </c>
      <c r="D119" s="9" t="n">
        <f aca="false">SUMIFS('Source 2026'!$Q:$Q,'Source 2026'!$B:$B,$A119,'Source 2026'!$A:$A,"Quantity (units)")</f>
        <v>67</v>
      </c>
      <c r="E119" s="9" t="n">
        <f aca="false">D119*$J$5</f>
        <v>84.6315789473684</v>
      </c>
      <c r="F119" s="9" t="n">
        <f aca="false">E119-C119</f>
        <v>63.6315789473684</v>
      </c>
      <c r="G119" s="11" t="n">
        <f aca="false">IF(AND(C119=0,E119=0),0,IF(C119=0,"New",(E119-C119)/C119))</f>
        <v>3.03007518796992</v>
      </c>
      <c r="H119" s="9" t="n">
        <f aca="false">SUMIFS('Source 2025'!$Q:$Q,'Source 2025'!$B:$B,$A119,'Source 2025'!$A:$A,"Amount (NIS)")</f>
        <v>826.4</v>
      </c>
      <c r="I119" s="9" t="n">
        <f aca="false">SUMIFS('Source 2026'!$Q:$Q,'Source 2026'!$B:$B,$A119,'Source 2026'!$A:$A,"Amount (NIS)")</f>
        <v>2616.2</v>
      </c>
      <c r="J119" s="9" t="n">
        <f aca="false">I119*$J$5</f>
        <v>3304.67368421053</v>
      </c>
      <c r="K119" s="9" t="n">
        <f aca="false">J119-H119</f>
        <v>2478.27368421053</v>
      </c>
      <c r="L119" s="11" t="n">
        <f aca="false">IF(AND(H119=0,J119=0),0,IF(H119=0,"New",(J119-H119)/H119))</f>
        <v>2.99887909512406</v>
      </c>
    </row>
    <row r="120" customFormat="false" ht="15" hidden="false" customHeight="true" outlineLevel="0" collapsed="false">
      <c r="A120" s="8" t="s">
        <v>185</v>
      </c>
      <c r="B120" s="8" t="str">
        <f aca="false">IFERROR(INDEX('Source 2026'!$C:$C,MATCH($A120,'Source 2026'!$B:$B,0)),IFERROR(INDEX('Source 2025'!$C:$C,MATCH($A120,'Source 2025'!$B:$B,0)),""))</f>
        <v>סד לאגודל</v>
      </c>
      <c r="C120" s="9" t="n">
        <f aca="false">SUMIFS('Source 2025'!$Q:$Q,'Source 2025'!$B:$B,$A120,'Source 2025'!$A:$A,"Quantity (units)")</f>
        <v>145</v>
      </c>
      <c r="D120" s="9" t="n">
        <f aca="false">SUMIFS('Source 2026'!$Q:$Q,'Source 2026'!$B:$B,$A120,'Source 2026'!$A:$A,"Quantity (units)")</f>
        <v>128</v>
      </c>
      <c r="E120" s="9" t="n">
        <f aca="false">D120*$J$5</f>
        <v>161.684210526316</v>
      </c>
      <c r="F120" s="9" t="n">
        <f aca="false">E120-C120</f>
        <v>16.6842105263158</v>
      </c>
      <c r="G120" s="11" t="n">
        <f aca="false">IF(AND(C120=0,E120=0),0,IF(C120=0,"New",(E120-C120)/C120))</f>
        <v>0.115063520871143</v>
      </c>
      <c r="H120" s="9" t="n">
        <f aca="false">SUMIFS('Source 2025'!$Q:$Q,'Source 2025'!$B:$B,$A120,'Source 2025'!$A:$A,"Amount (NIS)")</f>
        <v>14778.5</v>
      </c>
      <c r="I120" s="9" t="n">
        <f aca="false">SUMIFS('Source 2026'!$Q:$Q,'Source 2026'!$B:$B,$A120,'Source 2026'!$A:$A,"Amount (NIS)")</f>
        <v>13023.1</v>
      </c>
      <c r="J120" s="9" t="n">
        <f aca="false">I120*$J$5</f>
        <v>16450.2315789474</v>
      </c>
      <c r="K120" s="9" t="n">
        <f aca="false">J120-H120</f>
        <v>1671.73157894737</v>
      </c>
      <c r="L120" s="11" t="n">
        <f aca="false">IF(AND(H120=0,J120=0),0,IF(H120=0,"New",(J120-H120)/H120))</f>
        <v>0.113119164931987</v>
      </c>
    </row>
    <row r="121" customFormat="false" ht="15" hidden="false" customHeight="true" outlineLevel="0" collapsed="false">
      <c r="A121" s="8" t="s">
        <v>311</v>
      </c>
      <c r="B121" s="8" t="str">
        <f aca="false">IFERROR(INDEX('Source 2026'!$C:$C,MATCH($A121,'Source 2026'!$B:$B,0)),IFERROR(INDEX('Source 2025'!$C:$C,MATCH($A121,'Source 2025'!$B:$B,0)),""))</f>
        <v>S מגן קרסול שמאל</v>
      </c>
      <c r="C121" s="9" t="n">
        <f aca="false">SUMIFS('Source 2025'!$Q:$Q,'Source 2025'!$B:$B,$A121,'Source 2025'!$A:$A,"Quantity (units)")</f>
        <v>48</v>
      </c>
      <c r="D121" s="9" t="n">
        <f aca="false">SUMIFS('Source 2026'!$Q:$Q,'Source 2026'!$B:$B,$A121,'Source 2026'!$A:$A,"Quantity (units)")</f>
        <v>24</v>
      </c>
      <c r="E121" s="9" t="n">
        <f aca="false">D121*$J$5</f>
        <v>30.3157894736842</v>
      </c>
      <c r="F121" s="9" t="n">
        <f aca="false">E121-C121</f>
        <v>-17.6842105263158</v>
      </c>
      <c r="G121" s="11" t="n">
        <f aca="false">IF(AND(C121=0,E121=0),0,IF(C121=0,"New",(E121-C121)/C121))</f>
        <v>-0.368421052631579</v>
      </c>
      <c r="H121" s="9" t="n">
        <f aca="false">SUMIFS('Source 2025'!$Q:$Q,'Source 2025'!$B:$B,$A121,'Source 2025'!$A:$A,"Amount (NIS)")</f>
        <v>3556.9</v>
      </c>
      <c r="I121" s="9" t="n">
        <f aca="false">SUMIFS('Source 2026'!$Q:$Q,'Source 2026'!$B:$B,$A121,'Source 2026'!$A:$A,"Amount (NIS)")</f>
        <v>1803.2</v>
      </c>
      <c r="J121" s="9" t="n">
        <f aca="false">I121*$J$5</f>
        <v>2277.72631578947</v>
      </c>
      <c r="K121" s="9" t="n">
        <f aca="false">J121-H121</f>
        <v>-1279.17368421053</v>
      </c>
      <c r="L121" s="11" t="n">
        <f aca="false">IF(AND(H121=0,J121=0),0,IF(H121=0,"New",(J121-H121)/H121))</f>
        <v>-0.359631612980552</v>
      </c>
    </row>
    <row r="122" customFormat="false" ht="15" hidden="false" customHeight="true" outlineLevel="0" collapsed="false">
      <c r="A122" s="8" t="s">
        <v>176</v>
      </c>
      <c r="B122" s="8" t="str">
        <f aca="false">IFERROR(INDEX('Source 2026'!$C:$C,MATCH($A122,'Source 2026'!$B:$B,0)),IFERROR(INDEX('Source 2025'!$C:$C,MATCH($A122,'Source 2025'!$B:$B,0)),""))</f>
        <v>L-XL חגורת הריון</v>
      </c>
      <c r="C122" s="9" t="n">
        <f aca="false">SUMIFS('Source 2025'!$Q:$Q,'Source 2025'!$B:$B,$A122,'Source 2025'!$A:$A,"Quantity (units)")</f>
        <v>62</v>
      </c>
      <c r="D122" s="9" t="n">
        <f aca="false">SUMIFS('Source 2026'!$Q:$Q,'Source 2026'!$B:$B,$A122,'Source 2026'!$A:$A,"Quantity (units)")</f>
        <v>44</v>
      </c>
      <c r="E122" s="9" t="n">
        <f aca="false">D122*$J$5</f>
        <v>55.5789473684211</v>
      </c>
      <c r="F122" s="9" t="n">
        <f aca="false">E122-C122</f>
        <v>-6.42105263157895</v>
      </c>
      <c r="G122" s="11" t="n">
        <f aca="false">IF(AND(C122=0,E122=0),0,IF(C122=0,"New",(E122-C122)/C122))</f>
        <v>-0.103565365025467</v>
      </c>
      <c r="H122" s="9" t="n">
        <f aca="false">SUMIFS('Source 2025'!$Q:$Q,'Source 2025'!$B:$B,$A122,'Source 2025'!$A:$A,"Amount (NIS)")</f>
        <v>6256.2</v>
      </c>
      <c r="I122" s="9" t="n">
        <f aca="false">SUMIFS('Source 2026'!$Q:$Q,'Source 2026'!$B:$B,$A122,'Source 2026'!$A:$A,"Amount (NIS)")</f>
        <v>4505</v>
      </c>
      <c r="J122" s="9" t="n">
        <f aca="false">I122*$J$5</f>
        <v>5690.52631578947</v>
      </c>
      <c r="K122" s="9" t="n">
        <f aca="false">J122-H122</f>
        <v>-565.673684210527</v>
      </c>
      <c r="L122" s="11" t="n">
        <f aca="false">IF(AND(H122=0,J122=0),0,IF(H122=0,"New",(J122-H122)/H122))</f>
        <v>-0.0904180947237183</v>
      </c>
    </row>
    <row r="123" customFormat="false" ht="15" hidden="false" customHeight="true" outlineLevel="0" collapsed="false">
      <c r="A123" s="8" t="s">
        <v>234</v>
      </c>
      <c r="B123" s="8" t="str">
        <f aca="false">IFERROR(INDEX('Source 2026'!$C:$C,MATCH($A123,'Source 2026'!$B:$B,0)),IFERROR(INDEX('Source 2025'!$C:$C,MATCH($A123,'Source 2025'!$B:$B,0)),""))</f>
        <v>S  חגורת גב פוג'יאמה</v>
      </c>
      <c r="C123" s="9" t="n">
        <f aca="false">SUMIFS('Source 2025'!$Q:$Q,'Source 2025'!$B:$B,$A123,'Source 2025'!$A:$A,"Quantity (units)")</f>
        <v>28</v>
      </c>
      <c r="D123" s="9" t="n">
        <f aca="false">SUMIFS('Source 2026'!$Q:$Q,'Source 2026'!$B:$B,$A123,'Source 2026'!$A:$A,"Quantity (units)")</f>
        <v>8</v>
      </c>
      <c r="E123" s="9" t="n">
        <f aca="false">D123*$J$5</f>
        <v>10.1052631578947</v>
      </c>
      <c r="F123" s="9" t="n">
        <f aca="false">E123-C123</f>
        <v>-17.8947368421053</v>
      </c>
      <c r="G123" s="11" t="n">
        <f aca="false">IF(AND(C123=0,E123=0),0,IF(C123=0,"New",(E123-C123)/C123))</f>
        <v>-0.639097744360902</v>
      </c>
      <c r="H123" s="9" t="n">
        <f aca="false">SUMIFS('Source 2025'!$Q:$Q,'Source 2025'!$B:$B,$A123,'Source 2025'!$A:$A,"Amount (NIS)")</f>
        <v>2272.7</v>
      </c>
      <c r="I123" s="9" t="n">
        <f aca="false">SUMIFS('Source 2026'!$Q:$Q,'Source 2026'!$B:$B,$A123,'Source 2026'!$A:$A,"Amount (NIS)")</f>
        <v>647.1</v>
      </c>
      <c r="J123" s="9" t="n">
        <f aca="false">I123*$J$5</f>
        <v>817.389473684211</v>
      </c>
      <c r="K123" s="9" t="n">
        <f aca="false">J123-H123</f>
        <v>-1455.31052631579</v>
      </c>
      <c r="L123" s="11" t="n">
        <f aca="false">IF(AND(H123=0,J123=0),0,IF(H123=0,"New",(J123-H123)/H123))</f>
        <v>-0.640344315710736</v>
      </c>
    </row>
    <row r="124" customFormat="false" ht="15" hidden="false" customHeight="true" outlineLevel="0" collapsed="false">
      <c r="A124" s="8" t="s">
        <v>195</v>
      </c>
      <c r="B124" s="8" t="str">
        <f aca="false">IFERROR(INDEX('Source 2026'!$C:$C,MATCH($A124,'Source 2026'!$B:$B,0)),IFERROR(INDEX('Source 2025'!$C:$C,MATCH($A124,'Source 2025'!$B:$B,0)),""))</f>
        <v>S-M סד לאגודל</v>
      </c>
      <c r="C124" s="9" t="n">
        <f aca="false">SUMIFS('Source 2025'!$Q:$Q,'Source 2025'!$B:$B,$A124,'Source 2025'!$A:$A,"Quantity (units)")</f>
        <v>2213</v>
      </c>
      <c r="D124" s="9" t="n">
        <f aca="false">SUMIFS('Source 2026'!$Q:$Q,'Source 2026'!$B:$B,$A124,'Source 2026'!$A:$A,"Quantity (units)")</f>
        <v>2170</v>
      </c>
      <c r="E124" s="9" t="n">
        <f aca="false">D124*$J$5</f>
        <v>2741.05263157895</v>
      </c>
      <c r="F124" s="9" t="n">
        <f aca="false">E124-C124</f>
        <v>528.052631578947</v>
      </c>
      <c r="G124" s="11" t="n">
        <f aca="false">IF(AND(C124=0,E124=0),0,IF(C124=0,"New",(E124-C124)/C124))</f>
        <v>0.238613932028444</v>
      </c>
      <c r="H124" s="9" t="n">
        <f aca="false">SUMIFS('Source 2025'!$Q:$Q,'Source 2025'!$B:$B,$A124,'Source 2025'!$A:$A,"Amount (NIS)")</f>
        <v>129432.9</v>
      </c>
      <c r="I124" s="9" t="n">
        <f aca="false">SUMIFS('Source 2026'!$Q:$Q,'Source 2026'!$B:$B,$A124,'Source 2026'!$A:$A,"Amount (NIS)")</f>
        <v>127810.9</v>
      </c>
      <c r="J124" s="9" t="n">
        <f aca="false">I124*$J$5</f>
        <v>161445.347368421</v>
      </c>
      <c r="K124" s="9" t="n">
        <f aca="false">J124-H124</f>
        <v>32012.447368421</v>
      </c>
      <c r="L124" s="11" t="n">
        <f aca="false">IF(AND(H124=0,J124=0),0,IF(H124=0,"New",(J124-H124)/H124))</f>
        <v>0.247328518239343</v>
      </c>
    </row>
    <row r="125" customFormat="false" ht="15" hidden="false" customHeight="true" outlineLevel="0" collapsed="false">
      <c r="A125" s="8" t="s">
        <v>247</v>
      </c>
      <c r="B125" s="8" t="str">
        <f aca="false">IFERROR(INDEX('Source 2026'!$C:$C,MATCH($A125,'Source 2026'!$B:$B,0)),IFERROR(INDEX('Source 2025'!$C:$C,MATCH($A125,'Source 2025'!$B:$B,0)),""))</f>
        <v>כפפות אגודל לחץ</v>
      </c>
      <c r="C125" s="9" t="n">
        <f aca="false">SUMIFS('Source 2025'!$Q:$Q,'Source 2025'!$B:$B,$A125,'Source 2025'!$A:$A,"Quantity (units)")</f>
        <v>244</v>
      </c>
      <c r="D125" s="9" t="n">
        <f aca="false">SUMIFS('Source 2026'!$Q:$Q,'Source 2026'!$B:$B,$A125,'Source 2026'!$A:$A,"Quantity (units)")</f>
        <v>183</v>
      </c>
      <c r="E125" s="9" t="n">
        <f aca="false">D125*$J$5</f>
        <v>231.157894736842</v>
      </c>
      <c r="F125" s="9" t="n">
        <f aca="false">E125-C125</f>
        <v>-12.8421052631579</v>
      </c>
      <c r="G125" s="11" t="n">
        <f aca="false">IF(AND(C125=0,E125=0),0,IF(C125=0,"New",(E125-C125)/C125))</f>
        <v>-0.0526315789473685</v>
      </c>
      <c r="H125" s="9" t="n">
        <f aca="false">SUMIFS('Source 2025'!$Q:$Q,'Source 2025'!$B:$B,$A125,'Source 2025'!$A:$A,"Amount (NIS)")</f>
        <v>6942.4</v>
      </c>
      <c r="I125" s="9" t="n">
        <f aca="false">SUMIFS('Source 2026'!$Q:$Q,'Source 2026'!$B:$B,$A125,'Source 2026'!$A:$A,"Amount (NIS)")</f>
        <v>5400.6</v>
      </c>
      <c r="J125" s="9" t="n">
        <f aca="false">I125*$J$5</f>
        <v>6821.81052631579</v>
      </c>
      <c r="K125" s="9" t="n">
        <f aca="false">J125-H125</f>
        <v>-120.58947368421</v>
      </c>
      <c r="L125" s="11" t="n">
        <f aca="false">IF(AND(H125=0,J125=0),0,IF(H125=0,"New",(J125-H125)/H125))</f>
        <v>-0.0173699979379192</v>
      </c>
    </row>
    <row r="126" customFormat="false" ht="15" hidden="false" customHeight="true" outlineLevel="0" collapsed="false">
      <c r="A126" s="8" t="s">
        <v>232</v>
      </c>
      <c r="B126" s="8" t="str">
        <f aca="false">IFERROR(INDEX('Source 2026'!$C:$C,MATCH($A126,'Source 2026'!$B:$B,0)),IFERROR(INDEX('Source 2025'!$C:$C,MATCH($A126,'Source 2025'!$B:$B,0)),""))</f>
        <v>0 חגורה למנותחי בית חזה</v>
      </c>
      <c r="C126" s="9" t="n">
        <f aca="false">SUMIFS('Source 2025'!$Q:$Q,'Source 2025'!$B:$B,$A126,'Source 2025'!$A:$A,"Quantity (units)")</f>
        <v>2</v>
      </c>
      <c r="D126" s="9" t="n">
        <f aca="false">SUMIFS('Source 2026'!$Q:$Q,'Source 2026'!$B:$B,$A126,'Source 2026'!$A:$A,"Quantity (units)")</f>
        <v>11</v>
      </c>
      <c r="E126" s="9" t="n">
        <f aca="false">D126*$J$5</f>
        <v>13.8947368421053</v>
      </c>
      <c r="F126" s="9" t="n">
        <f aca="false">E126-C126</f>
        <v>11.8947368421053</v>
      </c>
      <c r="G126" s="11" t="n">
        <f aca="false">IF(AND(C126=0,E126=0),0,IF(C126=0,"New",(E126-C126)/C126))</f>
        <v>5.94736842105263</v>
      </c>
      <c r="H126" s="9" t="n">
        <f aca="false">SUMIFS('Source 2025'!$Q:$Q,'Source 2025'!$B:$B,$A126,'Source 2025'!$A:$A,"Amount (NIS)")</f>
        <v>442.1</v>
      </c>
      <c r="I126" s="9" t="n">
        <f aca="false">SUMIFS('Source 2026'!$Q:$Q,'Source 2026'!$B:$B,$A126,'Source 2026'!$A:$A,"Amount (NIS)")</f>
        <v>1896.4</v>
      </c>
      <c r="J126" s="9" t="n">
        <f aca="false">I126*$J$5</f>
        <v>2395.45263157895</v>
      </c>
      <c r="K126" s="9" t="n">
        <f aca="false">J126-H126</f>
        <v>1953.35263157895</v>
      </c>
      <c r="L126" s="11" t="n">
        <f aca="false">IF(AND(H126=0,J126=0),0,IF(H126=0,"New",(J126-H126)/H126))</f>
        <v>4.41835021845498</v>
      </c>
    </row>
    <row r="127" customFormat="false" ht="15" hidden="false" customHeight="true" outlineLevel="0" collapsed="false">
      <c r="A127" s="8" t="s">
        <v>169</v>
      </c>
      <c r="B127" s="8" t="str">
        <f aca="false">IFERROR(INDEX('Source 2026'!$C:$C,MATCH($A127,'Source 2026'!$B:$B,0)),IFERROR(INDEX('Source 2025'!$C:$C,MATCH($A127,'Source 2025'!$B:$B,0)),""))</f>
        <v>כרית ליישור אצבע פטיש</v>
      </c>
      <c r="C127" s="9" t="n">
        <f aca="false">SUMIFS('Source 2025'!$Q:$Q,'Source 2025'!$B:$B,$A127,'Source 2025'!$A:$A,"Quantity (units)")</f>
        <v>235</v>
      </c>
      <c r="D127" s="9" t="n">
        <f aca="false">SUMIFS('Source 2026'!$Q:$Q,'Source 2026'!$B:$B,$A127,'Source 2026'!$A:$A,"Quantity (units)")</f>
        <v>177</v>
      </c>
      <c r="E127" s="9" t="n">
        <f aca="false">D127*$J$5</f>
        <v>223.578947368421</v>
      </c>
      <c r="F127" s="9" t="n">
        <f aca="false">E127-C127</f>
        <v>-11.421052631579</v>
      </c>
      <c r="G127" s="11" t="n">
        <f aca="false">IF(AND(C127=0,E127=0),0,IF(C127=0,"New",(E127-C127)/C127))</f>
        <v>-0.0486002239641658</v>
      </c>
      <c r="H127" s="9" t="n">
        <f aca="false">SUMIFS('Source 2025'!$Q:$Q,'Source 2025'!$B:$B,$A127,'Source 2025'!$A:$A,"Amount (NIS)")</f>
        <v>5701.6</v>
      </c>
      <c r="I127" s="9" t="n">
        <f aca="false">SUMIFS('Source 2026'!$Q:$Q,'Source 2026'!$B:$B,$A127,'Source 2026'!$A:$A,"Amount (NIS)")</f>
        <v>4296.7</v>
      </c>
      <c r="J127" s="9" t="n">
        <f aca="false">I127*$J$5</f>
        <v>5427.41052631579</v>
      </c>
      <c r="K127" s="9" t="n">
        <f aca="false">J127-H127</f>
        <v>-274.189473684211</v>
      </c>
      <c r="L127" s="11" t="n">
        <f aca="false">IF(AND(H127=0,J127=0),0,IF(H127=0,"New",(J127-H127)/H127))</f>
        <v>-0.0480899175116128</v>
      </c>
    </row>
    <row r="128" customFormat="false" ht="15" hidden="false" customHeight="true" outlineLevel="0" collapsed="false">
      <c r="A128" s="8" t="s">
        <v>149</v>
      </c>
      <c r="B128" s="8" t="str">
        <f aca="false">IFERROR(INDEX('Source 2026'!$C:$C,MATCH($A128,'Source 2026'!$B:$B,0)),IFERROR(INDEX('Source 2025'!$C:$C,MATCH($A128,'Source 2025'!$B:$B,0)),""))</f>
        <v>גרבי ג'ל לריכוך עור העקב</v>
      </c>
      <c r="C128" s="9" t="n">
        <f aca="false">SUMIFS('Source 2025'!$Q:$Q,'Source 2025'!$B:$B,$A128,'Source 2025'!$A:$A,"Quantity (units)")</f>
        <v>111</v>
      </c>
      <c r="D128" s="9" t="n">
        <f aca="false">SUMIFS('Source 2026'!$Q:$Q,'Source 2026'!$B:$B,$A128,'Source 2026'!$A:$A,"Quantity (units)")</f>
        <v>62</v>
      </c>
      <c r="E128" s="9" t="n">
        <f aca="false">D128*$J$5</f>
        <v>78.3157894736842</v>
      </c>
      <c r="F128" s="9" t="n">
        <f aca="false">E128-C128</f>
        <v>-32.6842105263158</v>
      </c>
      <c r="G128" s="11" t="n">
        <f aca="false">IF(AND(C128=0,E128=0),0,IF(C128=0,"New",(E128-C128)/C128))</f>
        <v>-0.294452347083926</v>
      </c>
      <c r="H128" s="9" t="n">
        <f aca="false">SUMIFS('Source 2025'!$Q:$Q,'Source 2025'!$B:$B,$A128,'Source 2025'!$A:$A,"Amount (NIS)")</f>
        <v>3384.7</v>
      </c>
      <c r="I128" s="9" t="n">
        <f aca="false">SUMIFS('Source 2026'!$Q:$Q,'Source 2026'!$B:$B,$A128,'Source 2026'!$A:$A,"Amount (NIS)")</f>
        <v>1987</v>
      </c>
      <c r="J128" s="9" t="n">
        <f aca="false">I128*$J$5</f>
        <v>2509.89473684211</v>
      </c>
      <c r="K128" s="9" t="n">
        <f aca="false">J128-H128</f>
        <v>-874.805263157895</v>
      </c>
      <c r="L128" s="11" t="n">
        <f aca="false">IF(AND(H128=0,J128=0),0,IF(H128=0,"New",(J128-H128)/H128))</f>
        <v>-0.258458729919312</v>
      </c>
    </row>
    <row r="129" customFormat="false" ht="15" hidden="false" customHeight="true" outlineLevel="0" collapsed="false">
      <c r="A129" s="8" t="s">
        <v>314</v>
      </c>
      <c r="B129" s="8" t="str">
        <f aca="false">IFERROR(INDEX('Source 2026'!$C:$C,MATCH($A129,'Source 2026'!$B:$B,0)),IFERROR(INDEX('Source 2025'!$C:$C,MATCH($A129,'Source 2025'!$B:$B,0)),""))</f>
        <v>קיבוע לאצבע הדק</v>
      </c>
      <c r="C129" s="9" t="n">
        <f aca="false">SUMIFS('Source 2025'!$Q:$Q,'Source 2025'!$B:$B,$A129,'Source 2025'!$A:$A,"Quantity (units)")</f>
        <v>217</v>
      </c>
      <c r="D129" s="9" t="n">
        <f aca="false">SUMIFS('Source 2026'!$Q:$Q,'Source 2026'!$B:$B,$A129,'Source 2026'!$A:$A,"Quantity (units)")</f>
        <v>158</v>
      </c>
      <c r="E129" s="9" t="n">
        <f aca="false">D129*$J$5</f>
        <v>199.578947368421</v>
      </c>
      <c r="F129" s="9" t="n">
        <f aca="false">E129-C129</f>
        <v>-17.421052631579</v>
      </c>
      <c r="G129" s="11" t="n">
        <f aca="false">IF(AND(C129=0,E129=0),0,IF(C129=0,"New",(E129-C129)/C129))</f>
        <v>-0.0802813485326219</v>
      </c>
      <c r="H129" s="9" t="n">
        <f aca="false">SUMIFS('Source 2025'!$Q:$Q,'Source 2025'!$B:$B,$A129,'Source 2025'!$A:$A,"Amount (NIS)")</f>
        <v>5300.6</v>
      </c>
      <c r="I129" s="9" t="n">
        <f aca="false">SUMIFS('Source 2026'!$Q:$Q,'Source 2026'!$B:$B,$A129,'Source 2026'!$A:$A,"Amount (NIS)")</f>
        <v>3912.8</v>
      </c>
      <c r="J129" s="9" t="n">
        <f aca="false">I129*$J$5</f>
        <v>4942.48421052632</v>
      </c>
      <c r="K129" s="9" t="n">
        <f aca="false">J129-H129</f>
        <v>-358.115789473684</v>
      </c>
      <c r="L129" s="11" t="n">
        <f aca="false">IF(AND(H129=0,J129=0),0,IF(H129=0,"New",(J129-H129)/H129))</f>
        <v>-0.0675613684250244</v>
      </c>
    </row>
    <row r="130" customFormat="false" ht="15" hidden="false" customHeight="true" outlineLevel="0" collapsed="false">
      <c r="A130" s="8" t="s">
        <v>183</v>
      </c>
      <c r="B130" s="8" t="str">
        <f aca="false">IFERROR(INDEX('Source 2026'!$C:$C,MATCH($A130,'Source 2026'!$B:$B,0)),IFERROR(INDEX('Source 2025'!$C:$C,MATCH($A130,'Source 2025'!$B:$B,0)),""))</f>
        <v>S מגן שוק</v>
      </c>
      <c r="C130" s="9" t="n">
        <f aca="false">SUMIFS('Source 2025'!$Q:$Q,'Source 2025'!$B:$B,$A130,'Source 2025'!$A:$A,"Quantity (units)")</f>
        <v>16</v>
      </c>
      <c r="D130" s="9" t="n">
        <f aca="false">SUMIFS('Source 2026'!$Q:$Q,'Source 2026'!$B:$B,$A130,'Source 2026'!$A:$A,"Quantity (units)")</f>
        <v>26</v>
      </c>
      <c r="E130" s="9" t="n">
        <f aca="false">D130*$J$5</f>
        <v>32.8421052631579</v>
      </c>
      <c r="F130" s="9" t="n">
        <f aca="false">E130-C130</f>
        <v>16.8421052631579</v>
      </c>
      <c r="G130" s="11" t="n">
        <f aca="false">IF(AND(C130=0,E130=0),0,IF(C130=0,"New",(E130-C130)/C130))</f>
        <v>1.05263157894737</v>
      </c>
      <c r="H130" s="9" t="n">
        <f aca="false">SUMIFS('Source 2025'!$Q:$Q,'Source 2025'!$B:$B,$A130,'Source 2025'!$A:$A,"Amount (NIS)")</f>
        <v>2172.2</v>
      </c>
      <c r="I130" s="9" t="n">
        <f aca="false">SUMIFS('Source 2026'!$Q:$Q,'Source 2026'!$B:$B,$A130,'Source 2026'!$A:$A,"Amount (NIS)")</f>
        <v>3489.8</v>
      </c>
      <c r="J130" s="9" t="n">
        <f aca="false">I130*$J$5</f>
        <v>4408.16842105263</v>
      </c>
      <c r="K130" s="9" t="n">
        <f aca="false">J130-H130</f>
        <v>2235.96842105263</v>
      </c>
      <c r="L130" s="11" t="n">
        <f aca="false">IF(AND(H130=0,J130=0),0,IF(H130=0,"New",(J130-H130)/H130))</f>
        <v>1.02935660669028</v>
      </c>
    </row>
    <row r="131" customFormat="false" ht="15" hidden="false" customHeight="true" outlineLevel="0" collapsed="false">
      <c r="A131" s="8" t="s">
        <v>250</v>
      </c>
      <c r="B131" s="8" t="str">
        <f aca="false">IFERROR(INDEX('Source 2026'!$C:$C,MATCH($A131,'Source 2026'!$B:$B,0)),IFERROR(INDEX('Source 2025'!$C:$C,MATCH($A131,'Source 2025'!$B:$B,0)),""))</f>
        <v>סד ליישור אצבע</v>
      </c>
      <c r="C131" s="9" t="n">
        <f aca="false">SUMIFS('Source 2025'!$Q:$Q,'Source 2025'!$B:$B,$A131,'Source 2025'!$A:$A,"Quantity (units)")</f>
        <v>2021</v>
      </c>
      <c r="D131" s="9" t="n">
        <f aca="false">SUMIFS('Source 2026'!$Q:$Q,'Source 2026'!$B:$B,$A131,'Source 2026'!$A:$A,"Quantity (units)")</f>
        <v>1845</v>
      </c>
      <c r="E131" s="9" t="n">
        <f aca="false">D131*$J$5</f>
        <v>2330.52631578947</v>
      </c>
      <c r="F131" s="9" t="n">
        <f aca="false">E131-C131</f>
        <v>309.526315789474</v>
      </c>
      <c r="G131" s="11" t="n">
        <f aca="false">IF(AND(C131=0,E131=0),0,IF(C131=0,"New",(E131-C131)/C131))</f>
        <v>0.153155030078908</v>
      </c>
      <c r="H131" s="9" t="n">
        <f aca="false">SUMIFS('Source 2025'!$Q:$Q,'Source 2025'!$B:$B,$A131,'Source 2025'!$A:$A,"Amount (NIS)")</f>
        <v>28832.9</v>
      </c>
      <c r="I131" s="9" t="n">
        <f aca="false">SUMIFS('Source 2026'!$Q:$Q,'Source 2026'!$B:$B,$A131,'Source 2026'!$A:$A,"Amount (NIS)")</f>
        <v>27547.4</v>
      </c>
      <c r="J131" s="9" t="n">
        <f aca="false">I131*$J$5</f>
        <v>34796.7157894737</v>
      </c>
      <c r="K131" s="9" t="n">
        <f aca="false">J131-H131</f>
        <v>5963.81578947368</v>
      </c>
      <c r="L131" s="11" t="n">
        <f aca="false">IF(AND(H131=0,J131=0),0,IF(H131=0,"New",(J131-H131)/H131))</f>
        <v>0.206840650419267</v>
      </c>
    </row>
    <row r="132" customFormat="false" ht="15" hidden="false" customHeight="true" outlineLevel="0" collapsed="false">
      <c r="A132" s="8" t="s">
        <v>372</v>
      </c>
      <c r="B132" s="8" t="str">
        <f aca="false">IFERROR(INDEX('Source 2026'!$C:$C,MATCH($A132,'Source 2026'!$B:$B,0)),IFERROR(INDEX('Source 2025'!$C:$C,MATCH($A132,'Source 2025'!$B:$B,0)),""))</f>
        <v>11 אפורUGחגורת בטן</v>
      </c>
      <c r="C132" s="9" t="n">
        <f aca="false">SUMIFS('Source 2025'!$Q:$Q,'Source 2025'!$B:$B,$A132,'Source 2025'!$A:$A,"Quantity (units)")</f>
        <v>15</v>
      </c>
      <c r="D132" s="9" t="n">
        <f aca="false">SUMIFS('Source 2026'!$Q:$Q,'Source 2026'!$B:$B,$A132,'Source 2026'!$A:$A,"Quantity (units)")</f>
        <v>0</v>
      </c>
      <c r="E132" s="9" t="n">
        <f aca="false">D132*$J$5</f>
        <v>0</v>
      </c>
      <c r="F132" s="9" t="n">
        <f aca="false">E132-C132</f>
        <v>-15</v>
      </c>
      <c r="G132" s="11" t="n">
        <f aca="false">IF(AND(C132=0,E132=0),0,IF(C132=0,"New",(E132-C132)/C132))</f>
        <v>-1</v>
      </c>
      <c r="H132" s="9" t="n">
        <f aca="false">SUMIFS('Source 2025'!$Q:$Q,'Source 2025'!$B:$B,$A132,'Source 2025'!$A:$A,"Amount (NIS)")</f>
        <v>1210.5</v>
      </c>
      <c r="I132" s="9" t="n">
        <f aca="false">SUMIFS('Source 2026'!$Q:$Q,'Source 2026'!$B:$B,$A132,'Source 2026'!$A:$A,"Amount (NIS)")</f>
        <v>25.9</v>
      </c>
      <c r="J132" s="9" t="n">
        <f aca="false">I132*$J$5</f>
        <v>32.7157894736842</v>
      </c>
      <c r="K132" s="9" t="n">
        <f aca="false">J132-H132</f>
        <v>-1177.78421052632</v>
      </c>
      <c r="L132" s="11" t="n">
        <f aca="false">IF(AND(H132=0,J132=0),0,IF(H132=0,"New",(J132-H132)/H132))</f>
        <v>-0.972973325507076</v>
      </c>
    </row>
    <row r="133" customFormat="false" ht="15" hidden="false" customHeight="true" outlineLevel="0" collapsed="false">
      <c r="A133" s="8" t="s">
        <v>188</v>
      </c>
      <c r="B133" s="8" t="str">
        <f aca="false">IFERROR(INDEX('Source 2026'!$C:$C,MATCH($A133,'Source 2026'!$B:$B,0)),IFERROR(INDEX('Source 2025'!$C:$C,MATCH($A133,'Source 2025'!$B:$B,0)),""))</f>
        <v>מגן קרסול עקב סגור+רצוע</v>
      </c>
      <c r="C133" s="9" t="n">
        <f aca="false">SUMIFS('Source 2025'!$Q:$Q,'Source 2025'!$B:$B,$A133,'Source 2025'!$A:$A,"Quantity (units)")</f>
        <v>83</v>
      </c>
      <c r="D133" s="9" t="n">
        <f aca="false">SUMIFS('Source 2026'!$Q:$Q,'Source 2026'!$B:$B,$A133,'Source 2026'!$A:$A,"Quantity (units)")</f>
        <v>59</v>
      </c>
      <c r="E133" s="9" t="n">
        <f aca="false">D133*$J$5</f>
        <v>74.5263157894737</v>
      </c>
      <c r="F133" s="9" t="n">
        <f aca="false">E133-C133</f>
        <v>-8.47368421052632</v>
      </c>
      <c r="G133" s="11" t="n">
        <f aca="false">IF(AND(C133=0,E133=0),0,IF(C133=0,"New",(E133-C133)/C133))</f>
        <v>-0.102092580849715</v>
      </c>
      <c r="H133" s="9" t="n">
        <f aca="false">SUMIFS('Source 2025'!$Q:$Q,'Source 2025'!$B:$B,$A133,'Source 2025'!$A:$A,"Amount (NIS)")</f>
        <v>4401.3</v>
      </c>
      <c r="I133" s="9" t="n">
        <f aca="false">SUMIFS('Source 2026'!$Q:$Q,'Source 2026'!$B:$B,$A133,'Source 2026'!$A:$A,"Amount (NIS)")</f>
        <v>3227.7</v>
      </c>
      <c r="J133" s="9" t="n">
        <f aca="false">I133*$J$5</f>
        <v>4077.09473684211</v>
      </c>
      <c r="K133" s="9" t="n">
        <f aca="false">J133-H133</f>
        <v>-324.205263157895</v>
      </c>
      <c r="L133" s="11" t="n">
        <f aca="false">IF(AND(H133=0,J133=0),0,IF(H133=0,"New",(J133-H133)/H133))</f>
        <v>-0.0736612508026936</v>
      </c>
    </row>
    <row r="134" customFormat="false" ht="15" hidden="false" customHeight="true" outlineLevel="0" collapsed="false">
      <c r="A134" s="8" t="s">
        <v>276</v>
      </c>
      <c r="B134" s="8" t="str">
        <f aca="false">IFERROR(INDEX('Source 2026'!$C:$C,MATCH($A134,'Source 2026'!$B:$B,0)),IFERROR(INDEX('Source 2025'!$C:$C,MATCH($A134,'Source 2025'!$B:$B,0)),""))</f>
        <v>כפפות לחץ</v>
      </c>
      <c r="C134" s="9" t="n">
        <f aca="false">SUMIFS('Source 2025'!$Q:$Q,'Source 2025'!$B:$B,$A134,'Source 2025'!$A:$A,"Quantity (units)")</f>
        <v>76</v>
      </c>
      <c r="D134" s="9" t="n">
        <f aca="false">SUMIFS('Source 2026'!$Q:$Q,'Source 2026'!$B:$B,$A134,'Source 2026'!$A:$A,"Quantity (units)")</f>
        <v>34</v>
      </c>
      <c r="E134" s="9" t="n">
        <f aca="false">D134*$J$5</f>
        <v>42.9473684210526</v>
      </c>
      <c r="F134" s="9" t="n">
        <f aca="false">E134-C134</f>
        <v>-33.0526315789474</v>
      </c>
      <c r="G134" s="11" t="n">
        <f aca="false">IF(AND(C134=0,E134=0),0,IF(C134=0,"New",(E134-C134)/C134))</f>
        <v>-0.434903047091413</v>
      </c>
      <c r="H134" s="9" t="n">
        <f aca="false">SUMIFS('Source 2025'!$Q:$Q,'Source 2025'!$B:$B,$A134,'Source 2025'!$A:$A,"Amount (NIS)")</f>
        <v>2156.6</v>
      </c>
      <c r="I134" s="9" t="n">
        <f aca="false">SUMIFS('Source 2026'!$Q:$Q,'Source 2026'!$B:$B,$A134,'Source 2026'!$A:$A,"Amount (NIS)")</f>
        <v>993.8</v>
      </c>
      <c r="J134" s="9" t="n">
        <f aca="false">I134*$J$5</f>
        <v>1255.32631578947</v>
      </c>
      <c r="K134" s="9" t="n">
        <f aca="false">J134-H134</f>
        <v>-901.273684210526</v>
      </c>
      <c r="L134" s="11" t="n">
        <f aca="false">IF(AND(H134=0,J134=0),0,IF(H134=0,"New",(J134-H134)/H134))</f>
        <v>-0.417914163132026</v>
      </c>
    </row>
    <row r="135" customFormat="false" ht="15" hidden="false" customHeight="true" outlineLevel="0" collapsed="false">
      <c r="A135" s="8" t="s">
        <v>124</v>
      </c>
      <c r="B135" s="8" t="str">
        <f aca="false">IFERROR(INDEX('Source 2026'!$C:$C,MATCH($A135,'Source 2026'!$B:$B,0)),IFERROR(INDEX('Source 2025'!$C:$C,MATCH($A135,'Source 2025'!$B:$B,0)),""))</f>
        <v>Sמיישר כתף יציב יישור ג.רחב</v>
      </c>
      <c r="C135" s="9" t="n">
        <f aca="false">SUMIFS('Source 2025'!$Q:$Q,'Source 2025'!$B:$B,$A135,'Source 2025'!$A:$A,"Quantity (units)")</f>
        <v>22</v>
      </c>
      <c r="D135" s="9" t="n">
        <f aca="false">SUMIFS('Source 2026'!$Q:$Q,'Source 2026'!$B:$B,$A135,'Source 2026'!$A:$A,"Quantity (units)")</f>
        <v>27</v>
      </c>
      <c r="E135" s="9" t="n">
        <f aca="false">D135*$J$5</f>
        <v>34.1052631578947</v>
      </c>
      <c r="F135" s="9" t="n">
        <f aca="false">E135-C135</f>
        <v>12.1052631578947</v>
      </c>
      <c r="G135" s="11" t="n">
        <f aca="false">IF(AND(C135=0,E135=0),0,IF(C135=0,"New",(E135-C135)/C135))</f>
        <v>0.550239234449761</v>
      </c>
      <c r="H135" s="9" t="n">
        <f aca="false">SUMIFS('Source 2025'!$Q:$Q,'Source 2025'!$B:$B,$A135,'Source 2025'!$A:$A,"Amount (NIS)")</f>
        <v>3604.4</v>
      </c>
      <c r="I135" s="9" t="n">
        <f aca="false">SUMIFS('Source 2026'!$Q:$Q,'Source 2026'!$B:$B,$A135,'Source 2026'!$A:$A,"Amount (NIS)")</f>
        <v>4676.4</v>
      </c>
      <c r="J135" s="9" t="n">
        <f aca="false">I135*$J$5</f>
        <v>5907.03157894737</v>
      </c>
      <c r="K135" s="9" t="n">
        <f aca="false">J135-H135</f>
        <v>2302.63157894737</v>
      </c>
      <c r="L135" s="11" t="n">
        <f aca="false">IF(AND(H135=0,J135=0),0,IF(H135=0,"New",(J135-H135)/H135))</f>
        <v>0.638839079721276</v>
      </c>
    </row>
    <row r="136" customFormat="false" ht="15" hidden="false" customHeight="true" outlineLevel="0" collapsed="false">
      <c r="A136" s="8" t="s">
        <v>239</v>
      </c>
      <c r="B136" s="8" t="str">
        <f aca="false">IFERROR(INDEX('Source 2026'!$C:$C,MATCH($A136,'Source 2026'!$B:$B,0)),IFERROR(INDEX('Source 2025'!$C:$C,MATCH($A136,'Source 2025'!$B:$B,0)),""))</f>
        <v>S מגן קרסול ימין</v>
      </c>
      <c r="C136" s="9" t="n">
        <f aca="false">SUMIFS('Source 2025'!$Q:$Q,'Source 2025'!$B:$B,$A136,'Source 2025'!$A:$A,"Quantity (units)")</f>
        <v>56</v>
      </c>
      <c r="D136" s="9" t="n">
        <f aca="false">SUMIFS('Source 2026'!$Q:$Q,'Source 2026'!$B:$B,$A136,'Source 2026'!$A:$A,"Quantity (units)")</f>
        <v>41</v>
      </c>
      <c r="E136" s="9" t="n">
        <f aca="false">D136*$J$5</f>
        <v>51.7894736842105</v>
      </c>
      <c r="F136" s="9" t="n">
        <f aca="false">E136-C136</f>
        <v>-4.21052631578948</v>
      </c>
      <c r="G136" s="11" t="n">
        <f aca="false">IF(AND(C136=0,E136=0),0,IF(C136=0,"New",(E136-C136)/C136))</f>
        <v>-0.0751879699248121</v>
      </c>
      <c r="H136" s="9" t="n">
        <f aca="false">SUMIFS('Source 2025'!$Q:$Q,'Source 2025'!$B:$B,$A136,'Source 2025'!$A:$A,"Amount (NIS)")</f>
        <v>4138</v>
      </c>
      <c r="I136" s="9" t="n">
        <f aca="false">SUMIFS('Source 2026'!$Q:$Q,'Source 2026'!$B:$B,$A136,'Source 2026'!$A:$A,"Amount (NIS)")</f>
        <v>3071.2</v>
      </c>
      <c r="J136" s="9" t="n">
        <f aca="false">I136*$J$5</f>
        <v>3879.41052631579</v>
      </c>
      <c r="K136" s="9" t="n">
        <f aca="false">J136-H136</f>
        <v>-258.589473684211</v>
      </c>
      <c r="L136" s="11" t="n">
        <f aca="false">IF(AND(H136=0,J136=0),0,IF(H136=0,"New",(J136-H136)/H136))</f>
        <v>-0.0624914146167739</v>
      </c>
    </row>
    <row r="137" customFormat="false" ht="15" hidden="false" customHeight="true" outlineLevel="0" collapsed="false">
      <c r="A137" s="8" t="s">
        <v>258</v>
      </c>
      <c r="B137" s="8" t="str">
        <f aca="false">IFERROR(INDEX('Source 2026'!$C:$C,MATCH($A137,'Source 2026'!$B:$B,0)),IFERROR(INDEX('Source 2025'!$C:$C,MATCH($A137,'Source 2025'!$B:$B,0)),""))</f>
        <v>S מגן מרפק</v>
      </c>
      <c r="C137" s="9" t="n">
        <f aca="false">SUMIFS('Source 2025'!$Q:$Q,'Source 2025'!$B:$B,$A137,'Source 2025'!$A:$A,"Quantity (units)")</f>
        <v>54</v>
      </c>
      <c r="D137" s="9" t="n">
        <f aca="false">SUMIFS('Source 2026'!$Q:$Q,'Source 2026'!$B:$B,$A137,'Source 2026'!$A:$A,"Quantity (units)")</f>
        <v>39</v>
      </c>
      <c r="E137" s="9" t="n">
        <f aca="false">D137*$J$5</f>
        <v>49.2631578947368</v>
      </c>
      <c r="F137" s="9" t="n">
        <f aca="false">E137-C137</f>
        <v>-4.73684210526316</v>
      </c>
      <c r="G137" s="11" t="n">
        <f aca="false">IF(AND(C137=0,E137=0),0,IF(C137=0,"New",(E137-C137)/C137))</f>
        <v>-0.087719298245614</v>
      </c>
      <c r="H137" s="9" t="n">
        <f aca="false">SUMIFS('Source 2025'!$Q:$Q,'Source 2025'!$B:$B,$A137,'Source 2025'!$A:$A,"Amount (NIS)")</f>
        <v>4015.1</v>
      </c>
      <c r="I137" s="9" t="n">
        <f aca="false">SUMIFS('Source 2026'!$Q:$Q,'Source 2026'!$B:$B,$A137,'Source 2026'!$A:$A,"Amount (NIS)")</f>
        <v>2951.2</v>
      </c>
      <c r="J137" s="9" t="n">
        <f aca="false">I137*$J$5</f>
        <v>3727.83157894737</v>
      </c>
      <c r="K137" s="9" t="n">
        <f aca="false">J137-H137</f>
        <v>-287.268421052632</v>
      </c>
      <c r="L137" s="11" t="n">
        <f aca="false">IF(AND(H137=0,J137=0),0,IF(H137=0,"New",(J137-H137)/H137))</f>
        <v>-0.0715470152804742</v>
      </c>
    </row>
    <row r="138" customFormat="false" ht="15" hidden="false" customHeight="true" outlineLevel="0" collapsed="false">
      <c r="A138" s="8" t="s">
        <v>187</v>
      </c>
      <c r="B138" s="8" t="str">
        <f aca="false">IFERROR(INDEX('Source 2026'!$C:$C,MATCH($A138,'Source 2026'!$B:$B,0)),IFERROR(INDEX('Source 2025'!$C:$C,MATCH($A138,'Source 2025'!$B:$B,0)),""))</f>
        <v>S מגן ברך מחמם</v>
      </c>
      <c r="C138" s="9" t="n">
        <f aca="false">SUMIFS('Source 2025'!$Q:$Q,'Source 2025'!$B:$B,$A138,'Source 2025'!$A:$A,"Quantity (units)")</f>
        <v>30</v>
      </c>
      <c r="D138" s="9" t="n">
        <f aca="false">SUMIFS('Source 2026'!$Q:$Q,'Source 2026'!$B:$B,$A138,'Source 2026'!$A:$A,"Quantity (units)")</f>
        <v>8</v>
      </c>
      <c r="E138" s="9" t="n">
        <f aca="false">D138*$J$5</f>
        <v>10.1052631578947</v>
      </c>
      <c r="F138" s="9" t="n">
        <f aca="false">E138-C138</f>
        <v>-19.8947368421053</v>
      </c>
      <c r="G138" s="11" t="n">
        <f aca="false">IF(AND(C138=0,E138=0),0,IF(C138=0,"New",(E138-C138)/C138))</f>
        <v>-0.663157894736842</v>
      </c>
      <c r="H138" s="9" t="n">
        <f aca="false">SUMIFS('Source 2025'!$Q:$Q,'Source 2025'!$B:$B,$A138,'Source 2025'!$A:$A,"Amount (NIS)")</f>
        <v>1458.6</v>
      </c>
      <c r="I138" s="9" t="n">
        <f aca="false">SUMIFS('Source 2026'!$Q:$Q,'Source 2026'!$B:$B,$A138,'Source 2026'!$A:$A,"Amount (NIS)")</f>
        <v>395.8</v>
      </c>
      <c r="J138" s="9" t="n">
        <f aca="false">I138*$J$5</f>
        <v>499.957894736842</v>
      </c>
      <c r="K138" s="9" t="n">
        <f aca="false">J138-H138</f>
        <v>-958.642105263158</v>
      </c>
      <c r="L138" s="11" t="n">
        <f aca="false">IF(AND(H138=0,J138=0),0,IF(H138=0,"New",(J138-H138)/H138))</f>
        <v>-0.657234406460413</v>
      </c>
    </row>
    <row r="139" customFormat="false" ht="15" hidden="false" customHeight="true" outlineLevel="0" collapsed="false">
      <c r="A139" s="8" t="s">
        <v>304</v>
      </c>
      <c r="B139" s="8" t="str">
        <f aca="false">IFERROR(INDEX('Source 2026'!$C:$C,MATCH($A139,'Source 2026'!$B:$B,0)),IFERROR(INDEX('Source 2025'!$C:$C,MATCH($A139,'Source 2025'!$B:$B,0)),""))</f>
        <v>גרב כסף לסכרתיים לבן35-38</v>
      </c>
      <c r="C139" s="9" t="n">
        <f aca="false">SUMIFS('Source 2025'!$Q:$Q,'Source 2025'!$B:$B,$A139,'Source 2025'!$A:$A,"Quantity (units)")</f>
        <v>89</v>
      </c>
      <c r="D139" s="9" t="n">
        <f aca="false">SUMIFS('Source 2026'!$Q:$Q,'Source 2026'!$B:$B,$A139,'Source 2026'!$A:$A,"Quantity (units)")</f>
        <v>54</v>
      </c>
      <c r="E139" s="9" t="n">
        <f aca="false">D139*$J$5</f>
        <v>68.2105263157895</v>
      </c>
      <c r="F139" s="9" t="n">
        <f aca="false">E139-C139</f>
        <v>-20.7894736842105</v>
      </c>
      <c r="G139" s="11" t="n">
        <f aca="false">IF(AND(C139=0,E139=0),0,IF(C139=0,"New",(E139-C139)/C139))</f>
        <v>-0.233589591957422</v>
      </c>
      <c r="H139" s="9" t="n">
        <f aca="false">SUMIFS('Source 2025'!$Q:$Q,'Source 2025'!$B:$B,$A139,'Source 2025'!$A:$A,"Amount (NIS)")</f>
        <v>2600.4</v>
      </c>
      <c r="I139" s="9" t="n">
        <f aca="false">SUMIFS('Source 2026'!$Q:$Q,'Source 2026'!$B:$B,$A139,'Source 2026'!$A:$A,"Amount (NIS)")</f>
        <v>1575.2</v>
      </c>
      <c r="J139" s="9" t="n">
        <f aca="false">I139*$J$5</f>
        <v>1989.72631578947</v>
      </c>
      <c r="K139" s="9" t="n">
        <f aca="false">J139-H139</f>
        <v>-610.673684210527</v>
      </c>
      <c r="L139" s="11" t="n">
        <f aca="false">IF(AND(H139=0,J139=0),0,IF(H139=0,"New",(J139-H139)/H139))</f>
        <v>-0.234838364947903</v>
      </c>
    </row>
    <row r="140" customFormat="false" ht="15" hidden="false" customHeight="true" outlineLevel="0" collapsed="false">
      <c r="A140" s="8" t="s">
        <v>159</v>
      </c>
      <c r="B140" s="8" t="str">
        <f aca="false">IFERROR(INDEX('Source 2026'!$C:$C,MATCH($A140,'Source 2026'!$B:$B,0)),IFERROR(INDEX('Source 2025'!$C:$C,MATCH($A140,'Source 2025'!$B:$B,0)),""))</f>
        <v>S-Lטבעת אלסטית מסיליקון</v>
      </c>
      <c r="C140" s="9" t="n">
        <f aca="false">SUMIFS('Source 2025'!$Q:$Q,'Source 2025'!$B:$B,$A140,'Source 2025'!$A:$A,"Quantity (units)")</f>
        <v>223</v>
      </c>
      <c r="D140" s="9" t="n">
        <f aca="false">SUMIFS('Source 2026'!$Q:$Q,'Source 2026'!$B:$B,$A140,'Source 2026'!$A:$A,"Quantity (units)")</f>
        <v>131</v>
      </c>
      <c r="E140" s="9" t="n">
        <f aca="false">D140*$J$5</f>
        <v>165.473684210526</v>
      </c>
      <c r="F140" s="9" t="n">
        <f aca="false">E140-C140</f>
        <v>-57.5263157894737</v>
      </c>
      <c r="G140" s="11" t="n">
        <f aca="false">IF(AND(C140=0,E140=0),0,IF(C140=0,"New",(E140-C140)/C140))</f>
        <v>-0.257965541656833</v>
      </c>
      <c r="H140" s="9" t="n">
        <f aca="false">SUMIFS('Source 2025'!$Q:$Q,'Source 2025'!$B:$B,$A140,'Source 2025'!$A:$A,"Amount (NIS)")</f>
        <v>2310.4</v>
      </c>
      <c r="I140" s="9" t="n">
        <f aca="false">SUMIFS('Source 2026'!$Q:$Q,'Source 2026'!$B:$B,$A140,'Source 2026'!$A:$A,"Amount (NIS)")</f>
        <v>1378</v>
      </c>
      <c r="J140" s="9" t="n">
        <f aca="false">I140*$J$5</f>
        <v>1740.63157894737</v>
      </c>
      <c r="K140" s="9" t="n">
        <f aca="false">J140-H140</f>
        <v>-569.768421052632</v>
      </c>
      <c r="L140" s="11" t="n">
        <f aca="false">IF(AND(H140=0,J140=0),0,IF(H140=0,"New",(J140-H140)/H140))</f>
        <v>-0.246610293045634</v>
      </c>
    </row>
    <row r="141" customFormat="false" ht="15" hidden="false" customHeight="true" outlineLevel="0" collapsed="false">
      <c r="A141" s="8" t="s">
        <v>246</v>
      </c>
      <c r="B141" s="8" t="str">
        <f aca="false">IFERROR(INDEX('Source 2026'!$C:$C,MATCH($A141,'Source 2026'!$B:$B,0)),IFERROR(INDEX('Source 2025'!$C:$C,MATCH($A141,'Source 2025'!$B:$B,0)),""))</f>
        <v>0 רפידת לילדים אנטי ריח</v>
      </c>
      <c r="C141" s="9" t="n">
        <f aca="false">SUMIFS('Source 2025'!$Q:$Q,'Source 2025'!$B:$B,$A141,'Source 2025'!$A:$A,"Quantity (units)")</f>
        <v>140</v>
      </c>
      <c r="D141" s="9" t="n">
        <f aca="false">SUMIFS('Source 2026'!$Q:$Q,'Source 2026'!$B:$B,$A141,'Source 2026'!$A:$A,"Quantity (units)")</f>
        <v>56</v>
      </c>
      <c r="E141" s="9" t="n">
        <f aca="false">D141*$J$5</f>
        <v>70.7368421052632</v>
      </c>
      <c r="F141" s="9" t="n">
        <f aca="false">E141-C141</f>
        <v>-69.2631578947369</v>
      </c>
      <c r="G141" s="11" t="n">
        <f aca="false">IF(AND(C141=0,E141=0),0,IF(C141=0,"New",(E141-C141)/C141))</f>
        <v>-0.494736842105263</v>
      </c>
      <c r="H141" s="9" t="n">
        <f aca="false">SUMIFS('Source 2025'!$Q:$Q,'Source 2025'!$B:$B,$A141,'Source 2025'!$A:$A,"Amount (NIS)")</f>
        <v>1434.1</v>
      </c>
      <c r="I141" s="9" t="n">
        <f aca="false">SUMIFS('Source 2026'!$Q:$Q,'Source 2026'!$B:$B,$A141,'Source 2026'!$A:$A,"Amount (NIS)")</f>
        <v>574.5</v>
      </c>
      <c r="J141" s="9" t="n">
        <f aca="false">I141*$J$5</f>
        <v>725.684210526316</v>
      </c>
      <c r="K141" s="9" t="n">
        <f aca="false">J141-H141</f>
        <v>-708.415789473684</v>
      </c>
      <c r="L141" s="11" t="n">
        <f aca="false">IF(AND(H141=0,J141=0),0,IF(H141=0,"New",(J141-H141)/H141))</f>
        <v>-0.49397935253726</v>
      </c>
    </row>
    <row r="142" customFormat="false" ht="15" hidden="false" customHeight="true" outlineLevel="0" collapsed="false">
      <c r="A142" s="8" t="s">
        <v>316</v>
      </c>
      <c r="B142" s="8" t="str">
        <f aca="false">IFERROR(INDEX('Source 2026'!$C:$C,MATCH($A142,'Source 2026'!$B:$B,0)),IFERROR(INDEX('Source 2025'!$C:$C,MATCH($A142,'Source 2025'!$B:$B,0)),""))</f>
        <v>סד לילה לבוהן</v>
      </c>
      <c r="C142" s="9" t="n">
        <f aca="false">SUMIFS('Source 2025'!$Q:$Q,'Source 2025'!$B:$B,$A142,'Source 2025'!$A:$A,"Quantity (units)")</f>
        <v>-16</v>
      </c>
      <c r="D142" s="9" t="n">
        <f aca="false">SUMIFS('Source 2026'!$Q:$Q,'Source 2026'!$B:$B,$A142,'Source 2026'!$A:$A,"Quantity (units)")</f>
        <v>-3</v>
      </c>
      <c r="E142" s="9" t="n">
        <f aca="false">D142*$J$5</f>
        <v>-3.78947368421053</v>
      </c>
      <c r="F142" s="9" t="n">
        <f aca="false">E142-C142</f>
        <v>12.2105263157895</v>
      </c>
      <c r="G142" s="11" t="n">
        <f aca="false">IF(AND(C142=0,E142=0),0,IF(C142=0,"New",(E142-C142)/C142))</f>
        <v>-0.763157894736842</v>
      </c>
      <c r="H142" s="9" t="n">
        <f aca="false">SUMIFS('Source 2025'!$Q:$Q,'Source 2025'!$B:$B,$A142,'Source 2025'!$A:$A,"Amount (NIS)")</f>
        <v>-1026.6</v>
      </c>
      <c r="I142" s="9" t="n">
        <f aca="false">SUMIFS('Source 2026'!$Q:$Q,'Source 2026'!$B:$B,$A142,'Source 2026'!$A:$A,"Amount (NIS)")</f>
        <v>-192.5</v>
      </c>
      <c r="J142" s="9" t="n">
        <f aca="false">I142*$J$5</f>
        <v>-243.157894736842</v>
      </c>
      <c r="K142" s="9" t="n">
        <f aca="false">J142-H142</f>
        <v>783.442105263158</v>
      </c>
      <c r="L142" s="11" t="n">
        <f aca="false">IF(AND(H142=0,J142=0),0,IF(H142=0,"New",(J142-H142)/H142))</f>
        <v>-0.763142514380633</v>
      </c>
    </row>
    <row r="143" customFormat="false" ht="15" hidden="false" customHeight="true" outlineLevel="0" collapsed="false">
      <c r="A143" s="8" t="s">
        <v>152</v>
      </c>
      <c r="B143" s="8" t="str">
        <f aca="false">IFERROR(INDEX('Source 2026'!$C:$C,MATCH($A143,'Source 2026'!$B:$B,0)),IFERROR(INDEX('Source 2025'!$C:$C,MATCH($A143,'Source 2025'!$B:$B,0)),""))</f>
        <v>Lמ.ברך+כרית סיל.סביב לפיקה</v>
      </c>
      <c r="C143" s="9" t="n">
        <f aca="false">SUMIFS('Source 2025'!$Q:$Q,'Source 2025'!$B:$B,$A143,'Source 2025'!$A:$A,"Quantity (units)")</f>
        <v>-3</v>
      </c>
      <c r="D143" s="9" t="n">
        <f aca="false">SUMIFS('Source 2026'!$Q:$Q,'Source 2026'!$B:$B,$A143,'Source 2026'!$A:$A,"Quantity (units)")</f>
        <v>-9</v>
      </c>
      <c r="E143" s="9" t="n">
        <f aca="false">D143*$J$5</f>
        <v>-11.3684210526316</v>
      </c>
      <c r="F143" s="9" t="n">
        <f aca="false">E143-C143</f>
        <v>-8.36842105263158</v>
      </c>
      <c r="G143" s="11" t="n">
        <f aca="false">IF(AND(C143=0,E143=0),0,IF(C143=0,"New",(E143-C143)/C143))</f>
        <v>2.78947368421053</v>
      </c>
      <c r="H143" s="9" t="n">
        <f aca="false">SUMIFS('Source 2025'!$Q:$Q,'Source 2025'!$B:$B,$A143,'Source 2025'!$A:$A,"Amount (NIS)")</f>
        <v>-386.4</v>
      </c>
      <c r="I143" s="9" t="n">
        <f aca="false">SUMIFS('Source 2026'!$Q:$Q,'Source 2026'!$B:$B,$A143,'Source 2026'!$A:$A,"Amount (NIS)")</f>
        <v>-1207.9</v>
      </c>
      <c r="J143" s="9" t="n">
        <f aca="false">I143*$J$5</f>
        <v>-1525.76842105263</v>
      </c>
      <c r="K143" s="9" t="n">
        <f aca="false">J143-H143</f>
        <v>-1139.36842105263</v>
      </c>
      <c r="L143" s="11" t="n">
        <f aca="false">IF(AND(H143=0,J143=0),0,IF(H143=0,"New",(J143-H143)/H143))</f>
        <v>2.94867603792089</v>
      </c>
    </row>
    <row r="144" customFormat="false" ht="15" hidden="false" customHeight="true" outlineLevel="0" collapsed="false">
      <c r="A144" s="8" t="s">
        <v>184</v>
      </c>
      <c r="B144" s="8" t="str">
        <f aca="false">IFERROR(INDEX('Source 2026'!$C:$C,MATCH($A144,'Source 2026'!$B:$B,0)),IFERROR(INDEX('Source 2025'!$C:$C,MATCH($A144,'Source 2025'!$B:$B,0)),""))</f>
        <v>S ח.גב סג. כפולה שחור+אדום</v>
      </c>
      <c r="C144" s="9" t="n">
        <f aca="false">SUMIFS('Source 2025'!$Q:$Q,'Source 2025'!$B:$B,$A144,'Source 2025'!$A:$A,"Quantity (units)")</f>
        <v>-6</v>
      </c>
      <c r="D144" s="9" t="n">
        <f aca="false">SUMIFS('Source 2026'!$Q:$Q,'Source 2026'!$B:$B,$A144,'Source 2026'!$A:$A,"Quantity (units)")</f>
        <v>-14</v>
      </c>
      <c r="E144" s="9" t="n">
        <f aca="false">D144*$J$5</f>
        <v>-17.6842105263158</v>
      </c>
      <c r="F144" s="9" t="n">
        <f aca="false">E144-C144</f>
        <v>-11.6842105263158</v>
      </c>
      <c r="G144" s="11" t="n">
        <f aca="false">IF(AND(C144=0,E144=0),0,IF(C144=0,"New",(E144-C144)/C144))</f>
        <v>1.94736842105263</v>
      </c>
      <c r="H144" s="9" t="n">
        <f aca="false">SUMIFS('Source 2025'!$Q:$Q,'Source 2025'!$B:$B,$A144,'Source 2025'!$A:$A,"Amount (NIS)")</f>
        <v>-445.1</v>
      </c>
      <c r="I144" s="9" t="n">
        <f aca="false">SUMIFS('Source 2026'!$Q:$Q,'Source 2026'!$B:$B,$A144,'Source 2026'!$A:$A,"Amount (NIS)")</f>
        <v>-1258.6</v>
      </c>
      <c r="J144" s="9" t="n">
        <f aca="false">I144*$J$5</f>
        <v>-1589.81052631579</v>
      </c>
      <c r="K144" s="9" t="n">
        <f aca="false">J144-H144</f>
        <v>-1144.71052631579</v>
      </c>
      <c r="L144" s="11" t="n">
        <f aca="false">IF(AND(H144=0,J144=0),0,IF(H144=0,"New",(J144-H144)/H144))</f>
        <v>2.57180527143516</v>
      </c>
    </row>
    <row r="145" customFormat="false" ht="15" hidden="false" customHeight="true" outlineLevel="0" collapsed="false">
      <c r="A145" s="8" t="s">
        <v>193</v>
      </c>
      <c r="B145" s="8" t="str">
        <f aca="false">IFERROR(INDEX('Source 2026'!$C:$C,MATCH($A145,'Source 2026'!$B:$B,0)),IFERROR(INDEX('Source 2025'!$C:$C,MATCH($A145,'Source 2025'!$B:$B,0)),""))</f>
        <v>סד ליישור אצבע</v>
      </c>
      <c r="C145" s="9" t="n">
        <f aca="false">SUMIFS('Source 2025'!$Q:$Q,'Source 2025'!$B:$B,$A145,'Source 2025'!$A:$A,"Quantity (units)")</f>
        <v>1840</v>
      </c>
      <c r="D145" s="9" t="n">
        <f aca="false">SUMIFS('Source 2026'!$Q:$Q,'Source 2026'!$B:$B,$A145,'Source 2026'!$A:$A,"Quantity (units)")</f>
        <v>1704</v>
      </c>
      <c r="E145" s="9" t="n">
        <f aca="false">D145*$J$5</f>
        <v>2152.42105263158</v>
      </c>
      <c r="F145" s="9" t="n">
        <f aca="false">E145-C145</f>
        <v>312.421052631579</v>
      </c>
      <c r="G145" s="11" t="n">
        <f aca="false">IF(AND(C145=0,E145=0),0,IF(C145=0,"New",(E145-C145)/C145))</f>
        <v>0.169794050343249</v>
      </c>
      <c r="H145" s="9" t="n">
        <f aca="false">SUMIFS('Source 2025'!$Q:$Q,'Source 2025'!$B:$B,$A145,'Source 2025'!$A:$A,"Amount (NIS)")</f>
        <v>26241.7</v>
      </c>
      <c r="I145" s="9" t="n">
        <f aca="false">SUMIFS('Source 2026'!$Q:$Q,'Source 2026'!$B:$B,$A145,'Source 2026'!$A:$A,"Amount (NIS)")</f>
        <v>25451.8</v>
      </c>
      <c r="J145" s="9" t="n">
        <f aca="false">I145*$J$5</f>
        <v>32149.6421052632</v>
      </c>
      <c r="K145" s="9" t="n">
        <f aca="false">J145-H145</f>
        <v>5907.94210526316</v>
      </c>
      <c r="L145" s="11" t="n">
        <f aca="false">IF(AND(H145=0,J145=0),0,IF(H145=0,"New",(J145-H145)/H145))</f>
        <v>0.225135646900283</v>
      </c>
    </row>
    <row r="146" customFormat="false" ht="15" hidden="false" customHeight="true" outlineLevel="0" collapsed="false">
      <c r="A146" s="8" t="s">
        <v>199</v>
      </c>
      <c r="B146" s="8" t="str">
        <f aca="false">IFERROR(INDEX('Source 2026'!$C:$C,MATCH($A146,'Source 2026'!$B:$B,0)),IFERROR(INDEX('Source 2025'!$C:$C,MATCH($A146,'Source 2025'!$B:$B,0)),""))</f>
        <v>סד ליישור אצבע</v>
      </c>
      <c r="C146" s="9" t="n">
        <f aca="false">SUMIFS('Source 2025'!$Q:$Q,'Source 2025'!$B:$B,$A146,'Source 2025'!$A:$A,"Quantity (units)")</f>
        <v>1128</v>
      </c>
      <c r="D146" s="9" t="n">
        <f aca="false">SUMIFS('Source 2026'!$Q:$Q,'Source 2026'!$B:$B,$A146,'Source 2026'!$A:$A,"Quantity (units)")</f>
        <v>1023</v>
      </c>
      <c r="E146" s="9" t="n">
        <f aca="false">D146*$J$5</f>
        <v>1292.21052631579</v>
      </c>
      <c r="F146" s="9" t="n">
        <f aca="false">E146-C146</f>
        <v>164.210526315789</v>
      </c>
      <c r="G146" s="11" t="n">
        <f aca="false">IF(AND(C146=0,E146=0),0,IF(C146=0,"New",(E146-C146)/C146))</f>
        <v>0.145576707726764</v>
      </c>
      <c r="H146" s="9" t="n">
        <f aca="false">SUMIFS('Source 2025'!$Q:$Q,'Source 2025'!$B:$B,$A146,'Source 2025'!$A:$A,"Amount (NIS)")</f>
        <v>16083.8</v>
      </c>
      <c r="I146" s="9" t="n">
        <f aca="false">SUMIFS('Source 2026'!$Q:$Q,'Source 2026'!$B:$B,$A146,'Source 2026'!$A:$A,"Amount (NIS)")</f>
        <v>15302.1</v>
      </c>
      <c r="J146" s="9" t="n">
        <f aca="false">I146*$J$5</f>
        <v>19328.9684210526</v>
      </c>
      <c r="K146" s="9" t="n">
        <f aca="false">J146-H146</f>
        <v>3245.16842105263</v>
      </c>
      <c r="L146" s="11" t="n">
        <f aca="false">IF(AND(H146=0,J146=0),0,IF(H146=0,"New",(J146-H146)/H146))</f>
        <v>0.20176627544813</v>
      </c>
    </row>
    <row r="147" customFormat="false" ht="15" hidden="false" customHeight="true" outlineLevel="0" collapsed="false">
      <c r="A147" s="8" t="s">
        <v>119</v>
      </c>
      <c r="B147" s="8" t="str">
        <f aca="false">IFERROR(INDEX('Source 2026'!$C:$C,MATCH($A147,'Source 2026'!$B:$B,0)),IFERROR(INDEX('Source 2025'!$C:$C,MATCH($A147,'Source 2025'!$B:$B,0)),""))</f>
        <v>סד לאגודל</v>
      </c>
      <c r="C147" s="9" t="n">
        <f aca="false">SUMIFS('Source 2025'!$Q:$Q,'Source 2025'!$B:$B,$A147,'Source 2025'!$A:$A,"Quantity (units)")</f>
        <v>194</v>
      </c>
      <c r="D147" s="9" t="n">
        <f aca="false">SUMIFS('Source 2026'!$Q:$Q,'Source 2026'!$B:$B,$A147,'Source 2026'!$A:$A,"Quantity (units)")</f>
        <v>141</v>
      </c>
      <c r="E147" s="9" t="n">
        <f aca="false">D147*$J$5</f>
        <v>178.105263157895</v>
      </c>
      <c r="F147" s="9" t="n">
        <f aca="false">E147-C147</f>
        <v>-15.8947368421053</v>
      </c>
      <c r="G147" s="11" t="n">
        <f aca="false">IF(AND(C147=0,E147=0),0,IF(C147=0,"New",(E147-C147)/C147))</f>
        <v>-0.0819316332067281</v>
      </c>
      <c r="H147" s="9" t="n">
        <f aca="false">SUMIFS('Source 2025'!$Q:$Q,'Source 2025'!$B:$B,$A147,'Source 2025'!$A:$A,"Amount (NIS)")</f>
        <v>4329.5</v>
      </c>
      <c r="I147" s="9" t="n">
        <f aca="false">SUMIFS('Source 2026'!$Q:$Q,'Source 2026'!$B:$B,$A147,'Source 2026'!$A:$A,"Amount (NIS)")</f>
        <v>3548.1</v>
      </c>
      <c r="J147" s="9" t="n">
        <f aca="false">I147*$J$5</f>
        <v>4481.81052631579</v>
      </c>
      <c r="K147" s="9" t="n">
        <f aca="false">J147-H147</f>
        <v>152.31052631579</v>
      </c>
      <c r="L147" s="11" t="n">
        <f aca="false">IF(AND(H147=0,J147=0),0,IF(H147=0,"New",(J147-H147)/H147))</f>
        <v>0.0351797035028963</v>
      </c>
    </row>
    <row r="148" customFormat="false" ht="15" hidden="false" customHeight="true" outlineLevel="0" collapsed="false">
      <c r="A148" s="8" t="s">
        <v>191</v>
      </c>
      <c r="B148" s="8" t="str">
        <f aca="false">IFERROR(INDEX('Source 2026'!$C:$C,MATCH($A148,'Source 2026'!$B:$B,0)),IFERROR(INDEX('Source 2025'!$C:$C,MATCH($A148,'Source 2025'!$B:$B,0)),""))</f>
        <v>35-38 גרב.כסף לסכרתים לבן</v>
      </c>
      <c r="C148" s="9" t="n">
        <f aca="false">SUMIFS('Source 2025'!$Q:$Q,'Source 2025'!$B:$B,$A148,'Source 2025'!$A:$A,"Quantity (units)")</f>
        <v>188</v>
      </c>
      <c r="D148" s="9" t="n">
        <f aca="false">SUMIFS('Source 2026'!$Q:$Q,'Source 2026'!$B:$B,$A148,'Source 2026'!$A:$A,"Quantity (units)")</f>
        <v>152</v>
      </c>
      <c r="E148" s="9" t="n">
        <f aca="false">D148*$J$5</f>
        <v>192</v>
      </c>
      <c r="F148" s="9" t="n">
        <f aca="false">E148-C148</f>
        <v>4</v>
      </c>
      <c r="G148" s="11" t="n">
        <f aca="false">IF(AND(C148=0,E148=0),0,IF(C148=0,"New",(E148-C148)/C148))</f>
        <v>0.0212765957446809</v>
      </c>
      <c r="H148" s="9" t="n">
        <f aca="false">SUMIFS('Source 2025'!$Q:$Q,'Source 2025'!$B:$B,$A148,'Source 2025'!$A:$A,"Amount (NIS)")</f>
        <v>4182</v>
      </c>
      <c r="I148" s="9" t="n">
        <f aca="false">SUMIFS('Source 2026'!$Q:$Q,'Source 2026'!$B:$B,$A148,'Source 2026'!$A:$A,"Amount (NIS)")</f>
        <v>3446.8</v>
      </c>
      <c r="J148" s="9" t="n">
        <f aca="false">I148*$J$5</f>
        <v>4353.85263157895</v>
      </c>
      <c r="K148" s="9" t="n">
        <f aca="false">J148-H148</f>
        <v>171.852631578948</v>
      </c>
      <c r="L148" s="11" t="n">
        <f aca="false">IF(AND(H148=0,J148=0),0,IF(H148=0,"New",(J148-H148)/H148))</f>
        <v>0.0410934078381032</v>
      </c>
    </row>
    <row r="149" customFormat="false" ht="15" hidden="false" customHeight="true" outlineLevel="0" collapsed="false">
      <c r="A149" s="8" t="s">
        <v>352</v>
      </c>
      <c r="B149" s="8" t="str">
        <f aca="false">IFERROR(INDEX('Source 2026'!$C:$C,MATCH($A149,'Source 2026'!$B:$B,0)),IFERROR(INDEX('Source 2025'!$C:$C,MATCH($A149,'Source 2025'!$B:$B,0)),""))</f>
        <v>XXL מגן ברך ארוך עם כרית</v>
      </c>
      <c r="C149" s="9" t="n">
        <f aca="false">SUMIFS('Source 2025'!$Q:$Q,'Source 2025'!$B:$B,$A149,'Source 2025'!$A:$A,"Quantity (units)")</f>
        <v>-4</v>
      </c>
      <c r="D149" s="9" t="n">
        <f aca="false">SUMIFS('Source 2026'!$Q:$Q,'Source 2026'!$B:$B,$A149,'Source 2026'!$A:$A,"Quantity (units)")</f>
        <v>0</v>
      </c>
      <c r="E149" s="9" t="n">
        <f aca="false">D149*$J$5</f>
        <v>0</v>
      </c>
      <c r="F149" s="9" t="n">
        <f aca="false">E149-C149</f>
        <v>4</v>
      </c>
      <c r="G149" s="11" t="n">
        <f aca="false">IF(AND(C149=0,E149=0),0,IF(C149=0,"New",(E149-C149)/C149))</f>
        <v>-1</v>
      </c>
      <c r="H149" s="9" t="n">
        <f aca="false">SUMIFS('Source 2025'!$Q:$Q,'Source 2025'!$B:$B,$A149,'Source 2025'!$A:$A,"Amount (NIS)")</f>
        <v>-730.8</v>
      </c>
      <c r="I149" s="9" t="n">
        <f aca="false">SUMIFS('Source 2026'!$Q:$Q,'Source 2026'!$B:$B,$A149,'Source 2026'!$A:$A,"Amount (NIS)")</f>
        <v>0</v>
      </c>
      <c r="J149" s="9" t="n">
        <f aca="false">I149*$J$5</f>
        <v>0</v>
      </c>
      <c r="K149" s="9" t="n">
        <f aca="false">J149-H149</f>
        <v>730.8</v>
      </c>
      <c r="L149" s="11" t="n">
        <f aca="false">IF(AND(H149=0,J149=0),0,IF(H149=0,"New",(J149-H149)/H149))</f>
        <v>-1</v>
      </c>
    </row>
    <row r="150" customFormat="false" ht="15" hidden="false" customHeight="true" outlineLevel="0" collapsed="false">
      <c r="A150" s="8" t="s">
        <v>189</v>
      </c>
      <c r="B150" s="8" t="str">
        <f aca="false">IFERROR(INDEX('Source 2026'!$C:$C,MATCH($A150,'Source 2026'!$B:$B,0)),IFERROR(INDEX('Source 2025'!$C:$C,MATCH($A150,'Source 2025'!$B:$B,0)),""))</f>
        <v>חגורת גב +סגירה כפולה</v>
      </c>
      <c r="C150" s="9" t="n">
        <f aca="false">SUMIFS('Source 2025'!$Q:$Q,'Source 2025'!$B:$B,$A150,'Source 2025'!$A:$A,"Quantity (units)")</f>
        <v>11</v>
      </c>
      <c r="D150" s="9" t="n">
        <f aca="false">SUMIFS('Source 2026'!$Q:$Q,'Source 2026'!$B:$B,$A150,'Source 2026'!$A:$A,"Quantity (units)")</f>
        <v>3</v>
      </c>
      <c r="E150" s="9" t="n">
        <f aca="false">D150*$J$5</f>
        <v>3.78947368421053</v>
      </c>
      <c r="F150" s="9" t="n">
        <f aca="false">E150-C150</f>
        <v>-7.21052631578947</v>
      </c>
      <c r="G150" s="11" t="n">
        <f aca="false">IF(AND(C150=0,E150=0),0,IF(C150=0,"New",(E150-C150)/C150))</f>
        <v>-0.655502392344498</v>
      </c>
      <c r="H150" s="9" t="n">
        <f aca="false">SUMIFS('Source 2025'!$Q:$Q,'Source 2025'!$B:$B,$A150,'Source 2025'!$A:$A,"Amount (NIS)")</f>
        <v>1035.5</v>
      </c>
      <c r="I150" s="9" t="n">
        <f aca="false">SUMIFS('Source 2026'!$Q:$Q,'Source 2026'!$B:$B,$A150,'Source 2026'!$A:$A,"Amount (NIS)")</f>
        <v>314.7</v>
      </c>
      <c r="J150" s="9" t="n">
        <f aca="false">I150*$J$5</f>
        <v>397.515789473684</v>
      </c>
      <c r="K150" s="9" t="n">
        <f aca="false">J150-H150</f>
        <v>-637.984210526316</v>
      </c>
      <c r="L150" s="11" t="n">
        <f aca="false">IF(AND(H150=0,J150=0),0,IF(H150=0,"New",(J150-H150)/H150))</f>
        <v>-0.616112226486061</v>
      </c>
    </row>
    <row r="151" customFormat="false" ht="15" hidden="false" customHeight="true" outlineLevel="0" collapsed="false">
      <c r="A151" s="8" t="s">
        <v>150</v>
      </c>
      <c r="B151" s="8" t="str">
        <f aca="false">IFERROR(INDEX('Source 2026'!$C:$C,MATCH($A151,'Source 2026'!$B:$B,0)),IFERROR(INDEX('Source 2025'!$C:$C,MATCH($A151,'Source 2025'!$B:$B,0)),""))</f>
        <v>S מגן ברך</v>
      </c>
      <c r="C151" s="9" t="n">
        <f aca="false">SUMIFS('Source 2025'!$Q:$Q,'Source 2025'!$B:$B,$A151,'Source 2025'!$A:$A,"Quantity (units)")</f>
        <v>82</v>
      </c>
      <c r="D151" s="9" t="n">
        <f aca="false">SUMIFS('Source 2026'!$Q:$Q,'Source 2026'!$B:$B,$A151,'Source 2026'!$A:$A,"Quantity (units)")</f>
        <v>78</v>
      </c>
      <c r="E151" s="9" t="n">
        <f aca="false">D151*$J$5</f>
        <v>98.5263157894737</v>
      </c>
      <c r="F151" s="9" t="n">
        <f aca="false">E151-C151</f>
        <v>16.5263157894737</v>
      </c>
      <c r="G151" s="11" t="n">
        <f aca="false">IF(AND(C151=0,E151=0),0,IF(C151=0,"New",(E151-C151)/C151))</f>
        <v>0.201540436456996</v>
      </c>
      <c r="H151" s="9" t="n">
        <f aca="false">SUMIFS('Source 2025'!$Q:$Q,'Source 2025'!$B:$B,$A151,'Source 2025'!$A:$A,"Amount (NIS)")</f>
        <v>10943</v>
      </c>
      <c r="I151" s="9" t="n">
        <f aca="false">SUMIFS('Source 2026'!$Q:$Q,'Source 2026'!$B:$B,$A151,'Source 2026'!$A:$A,"Amount (NIS)")</f>
        <v>10297.7</v>
      </c>
      <c r="J151" s="9" t="n">
        <f aca="false">I151*$J$5</f>
        <v>13007.6210526316</v>
      </c>
      <c r="K151" s="9" t="n">
        <f aca="false">J151-H151</f>
        <v>2064.62105263158</v>
      </c>
      <c r="L151" s="11" t="n">
        <f aca="false">IF(AND(H151=0,J151=0),0,IF(H151=0,"New",(J151-H151)/H151))</f>
        <v>0.188670479085404</v>
      </c>
    </row>
    <row r="152" customFormat="false" ht="15" hidden="false" customHeight="true" outlineLevel="0" collapsed="false">
      <c r="A152" s="8" t="s">
        <v>218</v>
      </c>
      <c r="B152" s="8" t="str">
        <f aca="false">IFERROR(INDEX('Source 2026'!$C:$C,MATCH($A152,'Source 2026'!$B:$B,0)),IFERROR(INDEX('Source 2025'!$C:$C,MATCH($A152,'Source 2025'!$B:$B,0)),""))</f>
        <v>מדרס מטטרזלי לנעלי עקב</v>
      </c>
      <c r="C152" s="9" t="n">
        <f aca="false">SUMIFS('Source 2025'!$Q:$Q,'Source 2025'!$B:$B,$A152,'Source 2025'!$A:$A,"Quantity (units)")</f>
        <v>44</v>
      </c>
      <c r="D152" s="9" t="n">
        <f aca="false">SUMIFS('Source 2026'!$Q:$Q,'Source 2026'!$B:$B,$A152,'Source 2026'!$A:$A,"Quantity (units)")</f>
        <v>13</v>
      </c>
      <c r="E152" s="9" t="n">
        <f aca="false">D152*$J$5</f>
        <v>16.4210526315789</v>
      </c>
      <c r="F152" s="9" t="n">
        <f aca="false">E152-C152</f>
        <v>-27.5789473684211</v>
      </c>
      <c r="G152" s="11" t="n">
        <f aca="false">IF(AND(C152=0,E152=0),0,IF(C152=0,"New",(E152-C152)/C152))</f>
        <v>-0.626794258373206</v>
      </c>
      <c r="H152" s="9" t="n">
        <f aca="false">SUMIFS('Source 2025'!$Q:$Q,'Source 2025'!$B:$B,$A152,'Source 2025'!$A:$A,"Amount (NIS)")</f>
        <v>891.9</v>
      </c>
      <c r="I152" s="9" t="n">
        <f aca="false">SUMIFS('Source 2026'!$Q:$Q,'Source 2026'!$B:$B,$A152,'Source 2026'!$A:$A,"Amount (NIS)")</f>
        <v>266.4</v>
      </c>
      <c r="J152" s="9" t="n">
        <f aca="false">I152*$J$5</f>
        <v>336.505263157895</v>
      </c>
      <c r="K152" s="9" t="n">
        <f aca="false">J152-H152</f>
        <v>-555.394736842105</v>
      </c>
      <c r="L152" s="11" t="n">
        <f aca="false">IF(AND(H152=0,J152=0),0,IF(H152=0,"New",(J152-H152)/H152))</f>
        <v>-0.622709650007966</v>
      </c>
    </row>
    <row r="153" customFormat="false" ht="15" hidden="false" customHeight="true" outlineLevel="0" collapsed="false">
      <c r="A153" s="8" t="s">
        <v>303</v>
      </c>
      <c r="B153" s="8" t="str">
        <f aca="false">IFERROR(INDEX('Source 2026'!$C:$C,MATCH($A153,'Source 2026'!$B:$B,0)),IFERROR(INDEX('Source 2025'!$C:$C,MATCH($A153,'Source 2025'!$B:$B,0)),""))</f>
        <v>11אפורUGחגורת בטן</v>
      </c>
      <c r="C153" s="9" t="n">
        <f aca="false">SUMIFS('Source 2025'!$Q:$Q,'Source 2025'!$B:$B,$A153,'Source 2025'!$A:$A,"Quantity (units)")</f>
        <v>8</v>
      </c>
      <c r="D153" s="9" t="n">
        <f aca="false">SUMIFS('Source 2026'!$Q:$Q,'Source 2026'!$B:$B,$A153,'Source 2026'!$A:$A,"Quantity (units)")</f>
        <v>0</v>
      </c>
      <c r="E153" s="9" t="n">
        <f aca="false">D153*$J$5</f>
        <v>0</v>
      </c>
      <c r="F153" s="9" t="n">
        <f aca="false">E153-C153</f>
        <v>-8</v>
      </c>
      <c r="G153" s="11" t="n">
        <f aca="false">IF(AND(C153=0,E153=0),0,IF(C153=0,"New",(E153-C153)/C153))</f>
        <v>-1</v>
      </c>
      <c r="H153" s="9" t="n">
        <f aca="false">SUMIFS('Source 2025'!$Q:$Q,'Source 2025'!$B:$B,$A153,'Source 2025'!$A:$A,"Amount (NIS)")</f>
        <v>635.4</v>
      </c>
      <c r="I153" s="9" t="n">
        <f aca="false">SUMIFS('Source 2026'!$Q:$Q,'Source 2026'!$B:$B,$A153,'Source 2026'!$A:$A,"Amount (NIS)")</f>
        <v>17</v>
      </c>
      <c r="J153" s="9" t="n">
        <f aca="false">I153*$J$5</f>
        <v>21.4736842105263</v>
      </c>
      <c r="K153" s="9" t="n">
        <f aca="false">J153-H153</f>
        <v>-613.926315789474</v>
      </c>
      <c r="L153" s="11" t="n">
        <f aca="false">IF(AND(H153=0,J153=0),0,IF(H153=0,"New",(J153-H153)/H153))</f>
        <v>-0.966204462998857</v>
      </c>
    </row>
    <row r="154" customFormat="false" ht="15" hidden="false" customHeight="true" outlineLevel="0" collapsed="false">
      <c r="A154" s="8" t="s">
        <v>263</v>
      </c>
      <c r="B154" s="8" t="str">
        <f aca="false">IFERROR(INDEX('Source 2026'!$C:$C,MATCH($A154,'Source 2026'!$B:$B,0)),IFERROR(INDEX('Source 2025'!$C:$C,MATCH($A154,'Source 2025'!$B:$B,0)),""))</f>
        <v>גרבי כסף לסכרת מידה</v>
      </c>
      <c r="C154" s="9" t="n">
        <f aca="false">SUMIFS('Source 2025'!$Q:$Q,'Source 2025'!$B:$B,$A154,'Source 2025'!$A:$A,"Quantity (units)")</f>
        <v>39</v>
      </c>
      <c r="D154" s="9" t="n">
        <f aca="false">SUMIFS('Source 2026'!$Q:$Q,'Source 2026'!$B:$B,$A154,'Source 2026'!$A:$A,"Quantity (units)")</f>
        <v>18</v>
      </c>
      <c r="E154" s="9" t="n">
        <f aca="false">D154*$J$5</f>
        <v>22.7368421052632</v>
      </c>
      <c r="F154" s="9" t="n">
        <f aca="false">E154-C154</f>
        <v>-16.2631578947368</v>
      </c>
      <c r="G154" s="11" t="n">
        <f aca="false">IF(AND(C154=0,E154=0),0,IF(C154=0,"New",(E154-C154)/C154))</f>
        <v>-0.417004048582996</v>
      </c>
      <c r="H154" s="9" t="n">
        <f aca="false">SUMIFS('Source 2025'!$Q:$Q,'Source 2025'!$B:$B,$A154,'Source 2025'!$A:$A,"Amount (NIS)")</f>
        <v>1147.9</v>
      </c>
      <c r="I154" s="9" t="n">
        <f aca="false">SUMIFS('Source 2026'!$Q:$Q,'Source 2026'!$B:$B,$A154,'Source 2026'!$A:$A,"Amount (NIS)")</f>
        <v>530.1</v>
      </c>
      <c r="J154" s="9" t="n">
        <f aca="false">I154*$J$5</f>
        <v>669.6</v>
      </c>
      <c r="K154" s="9" t="n">
        <f aca="false">J154-H154</f>
        <v>-478.3</v>
      </c>
      <c r="L154" s="11" t="n">
        <f aca="false">IF(AND(H154=0,J154=0),0,IF(H154=0,"New",(J154-H154)/H154))</f>
        <v>-0.4166739263002</v>
      </c>
    </row>
    <row r="155" customFormat="false" ht="15" hidden="false" customHeight="true" outlineLevel="0" collapsed="false">
      <c r="A155" s="8" t="s">
        <v>181</v>
      </c>
      <c r="B155" s="8" t="str">
        <f aca="false">IFERROR(INDEX('Source 2026'!$C:$C,MATCH($A155,'Source 2026'!$B:$B,0)),IFERROR(INDEX('Source 2025'!$C:$C,MATCH($A155,'Source 2025'!$B:$B,0)),""))</f>
        <v>37-38 מדרסי סיליק.לח.סכרת</v>
      </c>
      <c r="C155" s="9" t="n">
        <f aca="false">SUMIFS('Source 2025'!$Q:$Q,'Source 2025'!$B:$B,$A155,'Source 2025'!$A:$A,"Quantity (units)")</f>
        <v>-6</v>
      </c>
      <c r="D155" s="9" t="n">
        <f aca="false">SUMIFS('Source 2026'!$Q:$Q,'Source 2026'!$B:$B,$A155,'Source 2026'!$A:$A,"Quantity (units)")</f>
        <v>0</v>
      </c>
      <c r="E155" s="9" t="n">
        <f aca="false">D155*$J$5</f>
        <v>0</v>
      </c>
      <c r="F155" s="9" t="n">
        <f aca="false">E155-C155</f>
        <v>6</v>
      </c>
      <c r="G155" s="11" t="n">
        <f aca="false">IF(AND(C155=0,E155=0),0,IF(C155=0,"New",(E155-C155)/C155))</f>
        <v>-1</v>
      </c>
      <c r="H155" s="9" t="n">
        <f aca="false">SUMIFS('Source 2025'!$Q:$Q,'Source 2025'!$B:$B,$A155,'Source 2025'!$A:$A,"Amount (NIS)")</f>
        <v>-615.6</v>
      </c>
      <c r="I155" s="9" t="n">
        <f aca="false">SUMIFS('Source 2026'!$Q:$Q,'Source 2026'!$B:$B,$A155,'Source 2026'!$A:$A,"Amount (NIS)")</f>
        <v>0</v>
      </c>
      <c r="J155" s="9" t="n">
        <f aca="false">I155*$J$5</f>
        <v>0</v>
      </c>
      <c r="K155" s="9" t="n">
        <f aca="false">J155-H155</f>
        <v>615.6</v>
      </c>
      <c r="L155" s="11" t="n">
        <f aca="false">IF(AND(H155=0,J155=0),0,IF(H155=0,"New",(J155-H155)/H155))</f>
        <v>-1</v>
      </c>
    </row>
    <row r="156" customFormat="false" ht="15" hidden="false" customHeight="true" outlineLevel="0" collapsed="false">
      <c r="A156" s="8" t="s">
        <v>120</v>
      </c>
      <c r="B156" s="8" t="str">
        <f aca="false">IFERROR(INDEX('Source 2026'!$C:$C,MATCH($A156,'Source 2026'!$B:$B,0)),IFERROR(INDEX('Source 2025'!$C:$C,MATCH($A156,'Source 2025'!$B:$B,0)),""))</f>
        <v>S תומך זרוע וכתף</v>
      </c>
      <c r="C156" s="9" t="n">
        <f aca="false">SUMIFS('Source 2025'!$Q:$Q,'Source 2025'!$B:$B,$A156,'Source 2025'!$A:$A,"Quantity (units)")</f>
        <v>13</v>
      </c>
      <c r="D156" s="9" t="n">
        <f aca="false">SUMIFS('Source 2026'!$Q:$Q,'Source 2026'!$B:$B,$A156,'Source 2026'!$A:$A,"Quantity (units)")</f>
        <v>18</v>
      </c>
      <c r="E156" s="9" t="n">
        <f aca="false">D156*$J$5</f>
        <v>22.7368421052632</v>
      </c>
      <c r="F156" s="9" t="n">
        <f aca="false">E156-C156</f>
        <v>9.73684210526316</v>
      </c>
      <c r="G156" s="11" t="n">
        <f aca="false">IF(AND(C156=0,E156=0),0,IF(C156=0,"New",(E156-C156)/C156))</f>
        <v>0.748987854251012</v>
      </c>
      <c r="H156" s="9" t="n">
        <f aca="false">SUMIFS('Source 2025'!$Q:$Q,'Source 2025'!$B:$B,$A156,'Source 2025'!$A:$A,"Amount (NIS)")</f>
        <v>2138.2</v>
      </c>
      <c r="I156" s="9" t="n">
        <f aca="false">SUMIFS('Source 2026'!$Q:$Q,'Source 2026'!$B:$B,$A156,'Source 2026'!$A:$A,"Amount (NIS)")</f>
        <v>2741</v>
      </c>
      <c r="J156" s="9" t="n">
        <f aca="false">I156*$J$5</f>
        <v>3462.31578947368</v>
      </c>
      <c r="K156" s="9" t="n">
        <f aca="false">J156-H156</f>
        <v>1324.11578947368</v>
      </c>
      <c r="L156" s="11" t="n">
        <f aca="false">IF(AND(H156=0,J156=0),0,IF(H156=0,"New",(J156-H156)/H156))</f>
        <v>0.619266574442842</v>
      </c>
    </row>
    <row r="157" customFormat="false" ht="15" hidden="false" customHeight="true" outlineLevel="0" collapsed="false">
      <c r="A157" s="8" t="s">
        <v>165</v>
      </c>
      <c r="B157" s="8" t="str">
        <f aca="false">IFERROR(INDEX('Source 2026'!$C:$C,MATCH($A157,'Source 2026'!$B:$B,0)),IFERROR(INDEX('Source 2025'!$C:$C,MATCH($A157,'Source 2025'!$B:$B,0)),""))</f>
        <v>S חבק יד</v>
      </c>
      <c r="C157" s="9" t="n">
        <f aca="false">SUMIFS('Source 2025'!$Q:$Q,'Source 2025'!$B:$B,$A157,'Source 2025'!$A:$A,"Quantity (units)")</f>
        <v>34</v>
      </c>
      <c r="D157" s="9" t="n">
        <f aca="false">SUMIFS('Source 2026'!$Q:$Q,'Source 2026'!$B:$B,$A157,'Source 2026'!$A:$A,"Quantity (units)")</f>
        <v>26</v>
      </c>
      <c r="E157" s="9" t="n">
        <f aca="false">D157*$J$5</f>
        <v>32.8421052631579</v>
      </c>
      <c r="F157" s="9" t="n">
        <f aca="false">E157-C157</f>
        <v>-1.15789473684211</v>
      </c>
      <c r="G157" s="11" t="n">
        <f aca="false">IF(AND(C157=0,E157=0),0,IF(C157=0,"New",(E157-C157)/C157))</f>
        <v>-0.0340557275541797</v>
      </c>
      <c r="H157" s="9" t="n">
        <f aca="false">SUMIFS('Source 2025'!$Q:$Q,'Source 2025'!$B:$B,$A157,'Source 2025'!$A:$A,"Amount (NIS)")</f>
        <v>2534.3</v>
      </c>
      <c r="I157" s="9" t="n">
        <f aca="false">SUMIFS('Source 2026'!$Q:$Q,'Source 2026'!$B:$B,$A157,'Source 2026'!$A:$A,"Amount (NIS)")</f>
        <v>1944.3</v>
      </c>
      <c r="J157" s="9" t="n">
        <f aca="false">I157*$J$5</f>
        <v>2455.95789473684</v>
      </c>
      <c r="K157" s="9" t="n">
        <f aca="false">J157-H157</f>
        <v>-78.3421052631579</v>
      </c>
      <c r="L157" s="11" t="n">
        <f aca="false">IF(AND(H157=0,J157=0),0,IF(H157=0,"New",(J157-H157)/H157))</f>
        <v>-0.0309127195924547</v>
      </c>
    </row>
    <row r="158" customFormat="false" ht="15" hidden="false" customHeight="true" outlineLevel="0" collapsed="false">
      <c r="A158" s="8" t="s">
        <v>280</v>
      </c>
      <c r="B158" s="8" t="str">
        <f aca="false">IFERROR(INDEX('Source 2026'!$C:$C,MATCH($A158,'Source 2026'!$B:$B,0)),IFERROR(INDEX('Source 2025'!$C:$C,MATCH($A158,'Source 2025'!$B:$B,0)),""))</f>
        <v>M חבק יד אגודלי</v>
      </c>
      <c r="C158" s="9" t="n">
        <f aca="false">SUMIFS('Source 2025'!$Q:$Q,'Source 2025'!$B:$B,$A158,'Source 2025'!$A:$A,"Quantity (units)")</f>
        <v>-11</v>
      </c>
      <c r="D158" s="9" t="n">
        <f aca="false">SUMIFS('Source 2026'!$Q:$Q,'Source 2026'!$B:$B,$A158,'Source 2026'!$A:$A,"Quantity (units)")</f>
        <v>-2</v>
      </c>
      <c r="E158" s="9" t="n">
        <f aca="false">D158*$J$5</f>
        <v>-2.52631578947368</v>
      </c>
      <c r="F158" s="9" t="n">
        <f aca="false">E158-C158</f>
        <v>8.47368421052632</v>
      </c>
      <c r="G158" s="11" t="n">
        <f aca="false">IF(AND(C158=0,E158=0),0,IF(C158=0,"New",(E158-C158)/C158))</f>
        <v>-0.770334928229665</v>
      </c>
      <c r="H158" s="9" t="n">
        <f aca="false">SUMIFS('Source 2025'!$Q:$Q,'Source 2025'!$B:$B,$A158,'Source 2025'!$A:$A,"Amount (NIS)")</f>
        <v>-699.8</v>
      </c>
      <c r="I158" s="9" t="n">
        <f aca="false">SUMIFS('Source 2026'!$Q:$Q,'Source 2026'!$B:$B,$A158,'Source 2026'!$A:$A,"Amount (NIS)")</f>
        <v>-124</v>
      </c>
      <c r="J158" s="9" t="n">
        <f aca="false">I158*$J$5</f>
        <v>-156.631578947368</v>
      </c>
      <c r="K158" s="9" t="n">
        <f aca="false">J158-H158</f>
        <v>543.168421052632</v>
      </c>
      <c r="L158" s="11" t="n">
        <f aca="false">IF(AND(H158=0,J158=0),0,IF(H158=0,"New",(J158-H158)/H158))</f>
        <v>-0.776176651975753</v>
      </c>
    </row>
    <row r="159" customFormat="false" ht="15" hidden="false" customHeight="true" outlineLevel="0" collapsed="false">
      <c r="A159" s="8" t="s">
        <v>266</v>
      </c>
      <c r="B159" s="8" t="str">
        <f aca="false">IFERROR(INDEX('Source 2026'!$C:$C,MATCH($A159,'Source 2026'!$B:$B,0)),IFERROR(INDEX('Source 2025'!$C:$C,MATCH($A159,'Source 2025'!$B:$B,0)),""))</f>
        <v>Sחגורה למנותחי בטן</v>
      </c>
      <c r="C159" s="9" t="n">
        <f aca="false">SUMIFS('Source 2025'!$Q:$Q,'Source 2025'!$B:$B,$A159,'Source 2025'!$A:$A,"Quantity (units)")</f>
        <v>6</v>
      </c>
      <c r="D159" s="9" t="n">
        <f aca="false">SUMIFS('Source 2026'!$Q:$Q,'Source 2026'!$B:$B,$A159,'Source 2026'!$A:$A,"Quantity (units)")</f>
        <v>1</v>
      </c>
      <c r="E159" s="9" t="n">
        <f aca="false">D159*$J$5</f>
        <v>1.26315789473684</v>
      </c>
      <c r="F159" s="9" t="n">
        <f aca="false">E159-C159</f>
        <v>-4.73684210526316</v>
      </c>
      <c r="G159" s="11" t="n">
        <f aca="false">IF(AND(C159=0,E159=0),0,IF(C159=0,"New",(E159-C159)/C159))</f>
        <v>-0.789473684210526</v>
      </c>
      <c r="H159" s="9" t="n">
        <f aca="false">SUMIFS('Source 2025'!$Q:$Q,'Source 2025'!$B:$B,$A159,'Source 2025'!$A:$A,"Amount (NIS)")</f>
        <v>630.4</v>
      </c>
      <c r="I159" s="9" t="n">
        <f aca="false">SUMIFS('Source 2026'!$Q:$Q,'Source 2026'!$B:$B,$A159,'Source 2026'!$A:$A,"Amount (NIS)")</f>
        <v>99.2</v>
      </c>
      <c r="J159" s="9" t="n">
        <f aca="false">I159*$J$5</f>
        <v>125.305263157895</v>
      </c>
      <c r="K159" s="9" t="n">
        <f aca="false">J159-H159</f>
        <v>-505.094736842105</v>
      </c>
      <c r="L159" s="11" t="n">
        <f aca="false">IF(AND(H159=0,J159=0),0,IF(H159=0,"New",(J159-H159)/H159))</f>
        <v>-0.80122896072669</v>
      </c>
    </row>
    <row r="160" customFormat="false" ht="15" hidden="false" customHeight="true" outlineLevel="0" collapsed="false">
      <c r="A160" s="8" t="s">
        <v>339</v>
      </c>
      <c r="B160" s="8" t="str">
        <f aca="false">IFERROR(INDEX('Source 2026'!$C:$C,MATCH($A160,'Source 2026'!$B:$B,0)),IFERROR(INDEX('Source 2025'!$C:$C,MATCH($A160,'Source 2025'!$B:$B,0)),""))</f>
        <v>סד לילה לבוהן</v>
      </c>
      <c r="C160" s="9" t="n">
        <f aca="false">SUMIFS('Source 2025'!$Q:$Q,'Source 2025'!$B:$B,$A160,'Source 2025'!$A:$A,"Quantity (units)")</f>
        <v>-12</v>
      </c>
      <c r="D160" s="9" t="n">
        <f aca="false">SUMIFS('Source 2026'!$Q:$Q,'Source 2026'!$B:$B,$A160,'Source 2026'!$A:$A,"Quantity (units)")</f>
        <v>-4</v>
      </c>
      <c r="E160" s="9" t="n">
        <f aca="false">D160*$J$5</f>
        <v>-5.05263157894737</v>
      </c>
      <c r="F160" s="9" t="n">
        <f aca="false">E160-C160</f>
        <v>6.94736842105263</v>
      </c>
      <c r="G160" s="11" t="n">
        <f aca="false">IF(AND(C160=0,E160=0),0,IF(C160=0,"New",(E160-C160)/C160))</f>
        <v>-0.578947368421053</v>
      </c>
      <c r="H160" s="9" t="n">
        <f aca="false">SUMIFS('Source 2025'!$Q:$Q,'Source 2025'!$B:$B,$A160,'Source 2025'!$A:$A,"Amount (NIS)")</f>
        <v>-769.9</v>
      </c>
      <c r="I160" s="9" t="n">
        <f aca="false">SUMIFS('Source 2026'!$Q:$Q,'Source 2026'!$B:$B,$A160,'Source 2026'!$A:$A,"Amount (NIS)")</f>
        <v>-256.6</v>
      </c>
      <c r="J160" s="9" t="n">
        <f aca="false">I160*$J$5</f>
        <v>-324.126315789474</v>
      </c>
      <c r="K160" s="9" t="n">
        <f aca="false">J160-H160</f>
        <v>445.773684210526</v>
      </c>
      <c r="L160" s="11" t="n">
        <f aca="false">IF(AND(H160=0,J160=0),0,IF(H160=0,"New",(J160-H160)/H160))</f>
        <v>-0.5790020576835</v>
      </c>
    </row>
    <row r="161" customFormat="false" ht="15" hidden="false" customHeight="true" outlineLevel="0" collapsed="false">
      <c r="A161" s="8" t="s">
        <v>297</v>
      </c>
      <c r="B161" s="8" t="str">
        <f aca="false">IFERROR(INDEX('Source 2026'!$C:$C,MATCH($A161,'Source 2026'!$B:$B,0)),IFERROR(INDEX('Source 2025'!$C:$C,MATCH($A161,'Source 2025'!$B:$B,0)),""))</f>
        <v>M'חגורת גב+סגירה כפו בז</v>
      </c>
      <c r="C161" s="9" t="n">
        <f aca="false">SUMIFS('Source 2025'!$Q:$Q,'Source 2025'!$B:$B,$A161,'Source 2025'!$A:$A,"Quantity (units)")</f>
        <v>-12</v>
      </c>
      <c r="D161" s="9" t="n">
        <f aca="false">SUMIFS('Source 2026'!$Q:$Q,'Source 2026'!$B:$B,$A161,'Source 2026'!$A:$A,"Quantity (units)")</f>
        <v>-17</v>
      </c>
      <c r="E161" s="9" t="n">
        <f aca="false">D161*$J$5</f>
        <v>-21.4736842105263</v>
      </c>
      <c r="F161" s="9" t="n">
        <f aca="false">E161-C161</f>
        <v>-9.47368421052632</v>
      </c>
      <c r="G161" s="11" t="n">
        <f aca="false">IF(AND(C161=0,E161=0),0,IF(C161=0,"New",(E161-C161)/C161))</f>
        <v>0.789473684210526</v>
      </c>
      <c r="H161" s="9" t="n">
        <f aca="false">SUMIFS('Source 2025'!$Q:$Q,'Source 2025'!$B:$B,$A161,'Source 2025'!$A:$A,"Amount (NIS)")</f>
        <v>-1099.2</v>
      </c>
      <c r="I161" s="9" t="n">
        <f aca="false">SUMIFS('Source 2026'!$Q:$Q,'Source 2026'!$B:$B,$A161,'Source 2026'!$A:$A,"Amount (NIS)")</f>
        <v>-1561.8</v>
      </c>
      <c r="J161" s="9" t="n">
        <f aca="false">I161*$J$5</f>
        <v>-1972.8</v>
      </c>
      <c r="K161" s="9" t="n">
        <f aca="false">J161-H161</f>
        <v>-873.6</v>
      </c>
      <c r="L161" s="11" t="n">
        <f aca="false">IF(AND(H161=0,J161=0),0,IF(H161=0,"New",(J161-H161)/H161))</f>
        <v>0.794759825327511</v>
      </c>
    </row>
    <row r="162" customFormat="false" ht="15" hidden="false" customHeight="true" outlineLevel="0" collapsed="false">
      <c r="A162" s="8" t="s">
        <v>224</v>
      </c>
      <c r="B162" s="8" t="str">
        <f aca="false">IFERROR(INDEX('Source 2026'!$C:$C,MATCH($A162,'Source 2026'!$B:$B,0)),IFERROR(INDEX('Source 2025'!$C:$C,MATCH($A162,'Source 2025'!$B:$B,0)),""))</f>
        <v>S מגן שוק</v>
      </c>
      <c r="C162" s="9" t="n">
        <f aca="false">SUMIFS('Source 2025'!$Q:$Q,'Source 2025'!$B:$B,$A162,'Source 2025'!$A:$A,"Quantity (units)")</f>
        <v>-5</v>
      </c>
      <c r="D162" s="9" t="n">
        <f aca="false">SUMIFS('Source 2026'!$Q:$Q,'Source 2026'!$B:$B,$A162,'Source 2026'!$A:$A,"Quantity (units)")</f>
        <v>0</v>
      </c>
      <c r="E162" s="9" t="n">
        <f aca="false">D162*$J$5</f>
        <v>0</v>
      </c>
      <c r="F162" s="9" t="n">
        <f aca="false">E162-C162</f>
        <v>5</v>
      </c>
      <c r="G162" s="11" t="n">
        <f aca="false">IF(AND(C162=0,E162=0),0,IF(C162=0,"New",(E162-C162)/C162))</f>
        <v>-1</v>
      </c>
      <c r="H162" s="9" t="n">
        <f aca="false">SUMIFS('Source 2025'!$Q:$Q,'Source 2025'!$B:$B,$A162,'Source 2025'!$A:$A,"Amount (NIS)")</f>
        <v>-450.5</v>
      </c>
      <c r="I162" s="9" t="n">
        <f aca="false">SUMIFS('Source 2026'!$Q:$Q,'Source 2026'!$B:$B,$A162,'Source 2026'!$A:$A,"Amount (NIS)")</f>
        <v>0</v>
      </c>
      <c r="J162" s="9" t="n">
        <f aca="false">I162*$J$5</f>
        <v>0</v>
      </c>
      <c r="K162" s="9" t="n">
        <f aca="false">J162-H162</f>
        <v>450.5</v>
      </c>
      <c r="L162" s="11" t="n">
        <f aca="false">IF(AND(H162=0,J162=0),0,IF(H162=0,"New",(J162-H162)/H162))</f>
        <v>-1</v>
      </c>
    </row>
    <row r="163" customFormat="false" ht="15" hidden="false" customHeight="true" outlineLevel="0" collapsed="false">
      <c r="A163" s="8" t="s">
        <v>227</v>
      </c>
      <c r="B163" s="8" t="str">
        <f aca="false">IFERROR(INDEX('Source 2026'!$C:$C,MATCH($A163,'Source 2026'!$B:$B,0)),IFERROR(INDEX('Source 2025'!$C:$C,MATCH($A163,'Source 2025'!$B:$B,0)),""))</f>
        <v>להסרת עור קשה</v>
      </c>
      <c r="C163" s="9" t="n">
        <f aca="false">SUMIFS('Source 2025'!$Q:$Q,'Source 2025'!$B:$B,$A163,'Source 2025'!$A:$A,"Quantity (units)")</f>
        <v>68</v>
      </c>
      <c r="D163" s="9" t="n">
        <f aca="false">SUMIFS('Source 2026'!$Q:$Q,'Source 2026'!$B:$B,$A163,'Source 2026'!$A:$A,"Quantity (units)")</f>
        <v>50</v>
      </c>
      <c r="E163" s="9" t="n">
        <f aca="false">D163*$J$5</f>
        <v>63.1578947368421</v>
      </c>
      <c r="F163" s="9" t="n">
        <f aca="false">E163-C163</f>
        <v>-4.8421052631579</v>
      </c>
      <c r="G163" s="11" t="n">
        <f aca="false">IF(AND(C163=0,E163=0),0,IF(C163=0,"New",(E163-C163)/C163))</f>
        <v>-0.0712074303405573</v>
      </c>
      <c r="H163" s="9" t="n">
        <f aca="false">SUMIFS('Source 2025'!$Q:$Q,'Source 2025'!$B:$B,$A163,'Source 2025'!$A:$A,"Amount (NIS)")</f>
        <v>1686.8</v>
      </c>
      <c r="I163" s="9" t="n">
        <f aca="false">SUMIFS('Source 2026'!$Q:$Q,'Source 2026'!$B:$B,$A163,'Source 2026'!$A:$A,"Amount (NIS)")</f>
        <v>1237.6</v>
      </c>
      <c r="J163" s="9" t="n">
        <f aca="false">I163*$J$5</f>
        <v>1563.28421052632</v>
      </c>
      <c r="K163" s="9" t="n">
        <f aca="false">J163-H163</f>
        <v>-123.515789473684</v>
      </c>
      <c r="L163" s="11" t="n">
        <f aca="false">IF(AND(H163=0,J163=0),0,IF(H163=0,"New",(J163-H163)/H163))</f>
        <v>-0.0732249166905884</v>
      </c>
    </row>
    <row r="164" customFormat="false" ht="15" hidden="false" customHeight="true" outlineLevel="0" collapsed="false">
      <c r="A164" s="8" t="s">
        <v>205</v>
      </c>
      <c r="B164" s="8" t="str">
        <f aca="false">IFERROR(INDEX('Source 2026'!$C:$C,MATCH($A164,'Source 2026'!$B:$B,0)),IFERROR(INDEX('Source 2025'!$C:$C,MATCH($A164,'Source 2025'!$B:$B,0)),""))</f>
        <v>Sמ.ברך מוצלב+ספירלות בצדדים</v>
      </c>
      <c r="C164" s="9" t="n">
        <f aca="false">SUMIFS('Source 2025'!$Q:$Q,'Source 2025'!$B:$B,$A164,'Source 2025'!$A:$A,"Quantity (units)")</f>
        <v>7</v>
      </c>
      <c r="D164" s="9" t="n">
        <f aca="false">SUMIFS('Source 2026'!$Q:$Q,'Source 2026'!$B:$B,$A164,'Source 2026'!$A:$A,"Quantity (units)")</f>
        <v>3</v>
      </c>
      <c r="E164" s="9" t="n">
        <f aca="false">D164*$J$5</f>
        <v>3.78947368421053</v>
      </c>
      <c r="F164" s="9" t="n">
        <f aca="false">E164-C164</f>
        <v>-3.21052631578947</v>
      </c>
      <c r="G164" s="11" t="n">
        <f aca="false">IF(AND(C164=0,E164=0),0,IF(C164=0,"New",(E164-C164)/C164))</f>
        <v>-0.458646616541353</v>
      </c>
      <c r="H164" s="9" t="n">
        <f aca="false">SUMIFS('Source 2025'!$Q:$Q,'Source 2025'!$B:$B,$A164,'Source 2025'!$A:$A,"Amount (NIS)")</f>
        <v>745.3</v>
      </c>
      <c r="I164" s="9" t="n">
        <f aca="false">SUMIFS('Source 2026'!$Q:$Q,'Source 2026'!$B:$B,$A164,'Source 2026'!$A:$A,"Amount (NIS)")</f>
        <v>322.6</v>
      </c>
      <c r="J164" s="9" t="n">
        <f aca="false">I164*$J$5</f>
        <v>407.494736842105</v>
      </c>
      <c r="K164" s="9" t="n">
        <f aca="false">J164-H164</f>
        <v>-337.805263157895</v>
      </c>
      <c r="L164" s="11" t="n">
        <f aca="false">IF(AND(H164=0,J164=0),0,IF(H164=0,"New",(J164-H164)/H164))</f>
        <v>-0.453247367714873</v>
      </c>
    </row>
    <row r="165" customFormat="false" ht="15" hidden="false" customHeight="true" outlineLevel="0" collapsed="false">
      <c r="A165" s="8" t="s">
        <v>228</v>
      </c>
      <c r="B165" s="8" t="str">
        <f aca="false">IFERROR(INDEX('Source 2026'!$C:$C,MATCH($A165,'Source 2026'!$B:$B,0)),IFERROR(INDEX('Source 2025'!$C:$C,MATCH($A165,'Source 2025'!$B:$B,0)),""))</f>
        <v>סכינים למקצוע</v>
      </c>
      <c r="C165" s="9" t="n">
        <f aca="false">SUMIFS('Source 2025'!$Q:$Q,'Source 2025'!$B:$B,$A165,'Source 2025'!$A:$A,"Quantity (units)")</f>
        <v>97</v>
      </c>
      <c r="D165" s="9" t="n">
        <f aca="false">SUMIFS('Source 2026'!$Q:$Q,'Source 2026'!$B:$B,$A165,'Source 2026'!$A:$A,"Quantity (units)")</f>
        <v>50</v>
      </c>
      <c r="E165" s="9" t="n">
        <f aca="false">D165*$J$5</f>
        <v>63.1578947368421</v>
      </c>
      <c r="F165" s="9" t="n">
        <f aca="false">E165-C165</f>
        <v>-33.8421052631579</v>
      </c>
      <c r="G165" s="11" t="n">
        <f aca="false">IF(AND(C165=0,E165=0),0,IF(C165=0,"New",(E165-C165)/C165))</f>
        <v>-0.348887683125339</v>
      </c>
      <c r="H165" s="9" t="n">
        <f aca="false">SUMIFS('Source 2025'!$Q:$Q,'Source 2025'!$B:$B,$A165,'Source 2025'!$A:$A,"Amount (NIS)")</f>
        <v>791.2</v>
      </c>
      <c r="I165" s="9" t="n">
        <f aca="false">SUMIFS('Source 2026'!$Q:$Q,'Source 2026'!$B:$B,$A165,'Source 2026'!$A:$A,"Amount (NIS)")</f>
        <v>387.7</v>
      </c>
      <c r="J165" s="9" t="n">
        <f aca="false">I165*$J$5</f>
        <v>489.726315789474</v>
      </c>
      <c r="K165" s="9" t="n">
        <f aca="false">J165-H165</f>
        <v>-301.473684210526</v>
      </c>
      <c r="L165" s="11" t="n">
        <f aca="false">IF(AND(H165=0,J165=0),0,IF(H165=0,"New",(J165-H165)/H165))</f>
        <v>-0.381033473471343</v>
      </c>
    </row>
    <row r="166" customFormat="false" ht="15" hidden="false" customHeight="true" outlineLevel="0" collapsed="false">
      <c r="A166" s="8" t="s">
        <v>373</v>
      </c>
      <c r="B166" s="8" t="str">
        <f aca="false">IFERROR(INDEX('Source 2026'!$C:$C,MATCH($A166,'Source 2026'!$B:$B,0)),IFERROR(INDEX('Source 2025'!$C:$C,MATCH($A166,'Source 2025'!$B:$B,0)),""))</f>
        <v>כרית שינה חלומי</v>
      </c>
      <c r="C166" s="9" t="n">
        <f aca="false">SUMIFS('Source 2025'!$Q:$Q,'Source 2025'!$B:$B,$A166,'Source 2025'!$A:$A,"Quantity (units)")</f>
        <v>-3</v>
      </c>
      <c r="D166" s="9" t="n">
        <f aca="false">SUMIFS('Source 2026'!$Q:$Q,'Source 2026'!$B:$B,$A166,'Source 2026'!$A:$A,"Quantity (units)")</f>
        <v>0</v>
      </c>
      <c r="E166" s="9" t="n">
        <f aca="false">D166*$J$5</f>
        <v>0</v>
      </c>
      <c r="F166" s="9" t="n">
        <f aca="false">E166-C166</f>
        <v>3</v>
      </c>
      <c r="G166" s="11" t="n">
        <f aca="false">IF(AND(C166=0,E166=0),0,IF(C166=0,"New",(E166-C166)/C166))</f>
        <v>-1</v>
      </c>
      <c r="H166" s="9" t="n">
        <f aca="false">SUMIFS('Source 2025'!$Q:$Q,'Source 2025'!$B:$B,$A166,'Source 2025'!$A:$A,"Amount (NIS)")</f>
        <v>-393.2</v>
      </c>
      <c r="I166" s="9" t="n">
        <f aca="false">SUMIFS('Source 2026'!$Q:$Q,'Source 2026'!$B:$B,$A166,'Source 2026'!$A:$A,"Amount (NIS)")</f>
        <v>0</v>
      </c>
      <c r="J166" s="9" t="n">
        <f aca="false">I166*$J$5</f>
        <v>0</v>
      </c>
      <c r="K166" s="9" t="n">
        <f aca="false">J166-H166</f>
        <v>393.2</v>
      </c>
      <c r="L166" s="11" t="n">
        <f aca="false">IF(AND(H166=0,J166=0),0,IF(H166=0,"New",(J166-H166)/H166))</f>
        <v>-1</v>
      </c>
    </row>
    <row r="167" customFormat="false" ht="15" hidden="false" customHeight="true" outlineLevel="0" collapsed="false">
      <c r="A167" s="8" t="s">
        <v>306</v>
      </c>
      <c r="B167" s="8" t="str">
        <f aca="false">IFERROR(INDEX('Source 2026'!$C:$C,MATCH($A167,'Source 2026'!$B:$B,0)),IFERROR(INDEX('Source 2025'!$C:$C,MATCH($A167,'Source 2025'!$B:$B,0)),""))</f>
        <v>מגן זרת מסיליקון</v>
      </c>
      <c r="C167" s="9" t="n">
        <f aca="false">SUMIFS('Source 2025'!$Q:$Q,'Source 2025'!$B:$B,$A167,'Source 2025'!$A:$A,"Quantity (units)")</f>
        <v>84</v>
      </c>
      <c r="D167" s="9" t="n">
        <f aca="false">SUMIFS('Source 2026'!$Q:$Q,'Source 2026'!$B:$B,$A167,'Source 2026'!$A:$A,"Quantity (units)")</f>
        <v>69</v>
      </c>
      <c r="E167" s="9" t="n">
        <f aca="false">D167*$J$5</f>
        <v>87.1578947368421</v>
      </c>
      <c r="F167" s="9" t="n">
        <f aca="false">E167-C167</f>
        <v>3.1578947368421</v>
      </c>
      <c r="G167" s="11" t="n">
        <f aca="false">IF(AND(C167=0,E167=0),0,IF(C167=0,"New",(E167-C167)/C167))</f>
        <v>0.0375939849624059</v>
      </c>
      <c r="H167" s="9" t="n">
        <f aca="false">SUMIFS('Source 2025'!$Q:$Q,'Source 2025'!$B:$B,$A167,'Source 2025'!$A:$A,"Amount (NIS)")</f>
        <v>2147.5</v>
      </c>
      <c r="I167" s="9" t="n">
        <f aca="false">SUMIFS('Source 2026'!$Q:$Q,'Source 2026'!$B:$B,$A167,'Source 2026'!$A:$A,"Amount (NIS)")</f>
        <v>1774.1</v>
      </c>
      <c r="J167" s="9" t="n">
        <f aca="false">I167*$J$5</f>
        <v>2240.96842105263</v>
      </c>
      <c r="K167" s="9" t="n">
        <f aca="false">J167-H167</f>
        <v>93.4684210526311</v>
      </c>
      <c r="L167" s="11" t="n">
        <f aca="false">IF(AND(H167=0,J167=0),0,IF(H167=0,"New",(J167-H167)/H167))</f>
        <v>0.043524293854543</v>
      </c>
    </row>
    <row r="168" customFormat="false" ht="15" hidden="false" customHeight="true" outlineLevel="0" collapsed="false">
      <c r="A168" s="8" t="s">
        <v>137</v>
      </c>
      <c r="B168" s="8" t="str">
        <f aca="false">IFERROR(INDEX('Source 2026'!$C:$C,MATCH($A168,'Source 2026'!$B:$B,0)),IFERROR(INDEX('Source 2025'!$C:$C,MATCH($A168,'Source 2025'!$B:$B,0)),""))</f>
        <v>S ח.בטן לאחר ניתוח</v>
      </c>
      <c r="C168" s="9" t="n">
        <f aca="false">SUMIFS('Source 2025'!$Q:$Q,'Source 2025'!$B:$B,$A168,'Source 2025'!$A:$A,"Quantity (units)")</f>
        <v>10</v>
      </c>
      <c r="D168" s="9" t="n">
        <f aca="false">SUMIFS('Source 2026'!$Q:$Q,'Source 2026'!$B:$B,$A168,'Source 2026'!$A:$A,"Quantity (units)")</f>
        <v>14</v>
      </c>
      <c r="E168" s="9" t="n">
        <f aca="false">D168*$J$5</f>
        <v>17.6842105263158</v>
      </c>
      <c r="F168" s="9" t="n">
        <f aca="false">E168-C168</f>
        <v>7.68421052631579</v>
      </c>
      <c r="G168" s="11" t="n">
        <f aca="false">IF(AND(C168=0,E168=0),0,IF(C168=0,"New",(E168-C168)/C168))</f>
        <v>0.768421052631579</v>
      </c>
      <c r="H168" s="9" t="n">
        <f aca="false">SUMIFS('Source 2025'!$Q:$Q,'Source 2025'!$B:$B,$A168,'Source 2025'!$A:$A,"Amount (NIS)")</f>
        <v>882.9</v>
      </c>
      <c r="I168" s="9" t="n">
        <f aca="false">SUMIFS('Source 2026'!$Q:$Q,'Source 2026'!$B:$B,$A168,'Source 2026'!$A:$A,"Amount (NIS)")</f>
        <v>1249.8</v>
      </c>
      <c r="J168" s="9" t="n">
        <f aca="false">I168*$J$5</f>
        <v>1578.69473684211</v>
      </c>
      <c r="K168" s="9" t="n">
        <f aca="false">J168-H168</f>
        <v>695.794736842105</v>
      </c>
      <c r="L168" s="11" t="n">
        <f aca="false">IF(AND(H168=0,J168=0),0,IF(H168=0,"New",(J168-H168)/H168))</f>
        <v>0.788078759590107</v>
      </c>
    </row>
    <row r="169" customFormat="false" ht="15" hidden="false" customHeight="true" outlineLevel="0" collapsed="false">
      <c r="A169" s="8" t="s">
        <v>310</v>
      </c>
      <c r="B169" s="8" t="str">
        <f aca="false">IFERROR(INDEX('Source 2026'!$C:$C,MATCH($A169,'Source 2026'!$B:$B,0)),IFERROR(INDEX('Source 2025'!$C:$C,MATCH($A169,'Source 2025'!$B:$B,0)),""))</f>
        <v>L מגן למפרק כתף</v>
      </c>
      <c r="C169" s="9" t="n">
        <f aca="false">SUMIFS('Source 2025'!$Q:$Q,'Source 2025'!$B:$B,$A169,'Source 2025'!$A:$A,"Quantity (units)")</f>
        <v>-2</v>
      </c>
      <c r="D169" s="9" t="n">
        <f aca="false">SUMIFS('Source 2026'!$Q:$Q,'Source 2026'!$B:$B,$A169,'Source 2026'!$A:$A,"Quantity (units)")</f>
        <v>-1</v>
      </c>
      <c r="E169" s="9" t="n">
        <f aca="false">D169*$J$5</f>
        <v>-1.26315789473684</v>
      </c>
      <c r="F169" s="9" t="n">
        <f aca="false">E169-C169</f>
        <v>0.736842105263158</v>
      </c>
      <c r="G169" s="11" t="n">
        <f aca="false">IF(AND(C169=0,E169=0),0,IF(C169=0,"New",(E169-C169)/C169))</f>
        <v>-0.368421052631579</v>
      </c>
      <c r="H169" s="9" t="n">
        <f aca="false">SUMIFS('Source 2025'!$Q:$Q,'Source 2025'!$B:$B,$A169,'Source 2025'!$A:$A,"Amount (NIS)")</f>
        <v>-570.3</v>
      </c>
      <c r="I169" s="9" t="n">
        <f aca="false">SUMIFS('Source 2026'!$Q:$Q,'Source 2026'!$B:$B,$A169,'Source 2026'!$A:$A,"Amount (NIS)")</f>
        <v>-208.4</v>
      </c>
      <c r="J169" s="9" t="n">
        <f aca="false">I169*$J$5</f>
        <v>-263.242105263158</v>
      </c>
      <c r="K169" s="9" t="n">
        <f aca="false">J169-H169</f>
        <v>307.057894736842</v>
      </c>
      <c r="L169" s="11" t="n">
        <f aca="false">IF(AND(H169=0,J169=0),0,IF(H169=0,"New",(J169-H169)/H169))</f>
        <v>-0.538414684791938</v>
      </c>
    </row>
    <row r="170" customFormat="false" ht="15" hidden="false" customHeight="true" outlineLevel="0" collapsed="false">
      <c r="A170" s="8" t="s">
        <v>236</v>
      </c>
      <c r="B170" s="8" t="str">
        <f aca="false">IFERROR(INDEX('Source 2026'!$C:$C,MATCH($A170,'Source 2026'!$B:$B,0)),IFERROR(INDEX('Source 2025'!$C:$C,MATCH($A170,'Source 2025'!$B:$B,0)),""))</f>
        <v>רפ.אורטופדית ספורט זוג35</v>
      </c>
      <c r="C170" s="9" t="n">
        <f aca="false">SUMIFS('Source 2025'!$Q:$Q,'Source 2025'!$B:$B,$A170,'Source 2025'!$A:$A,"Quantity (units)")</f>
        <v>3</v>
      </c>
      <c r="D170" s="9" t="n">
        <f aca="false">SUMIFS('Source 2026'!$Q:$Q,'Source 2026'!$B:$B,$A170,'Source 2026'!$A:$A,"Quantity (units)")</f>
        <v>-6</v>
      </c>
      <c r="E170" s="9" t="n">
        <f aca="false">D170*$J$5</f>
        <v>-7.57894736842105</v>
      </c>
      <c r="F170" s="9" t="n">
        <f aca="false">E170-C170</f>
        <v>-10.5789473684211</v>
      </c>
      <c r="G170" s="11" t="n">
        <f aca="false">IF(AND(C170=0,E170=0),0,IF(C170=0,"New",(E170-C170)/C170))</f>
        <v>-3.52631578947368</v>
      </c>
      <c r="H170" s="9" t="n">
        <f aca="false">SUMIFS('Source 2025'!$Q:$Q,'Source 2025'!$B:$B,$A170,'Source 2025'!$A:$A,"Amount (NIS)")</f>
        <v>121</v>
      </c>
      <c r="I170" s="9" t="n">
        <f aca="false">SUMIFS('Source 2026'!$Q:$Q,'Source 2026'!$B:$B,$A170,'Source 2026'!$A:$A,"Amount (NIS)")</f>
        <v>-215.2</v>
      </c>
      <c r="J170" s="9" t="n">
        <f aca="false">I170*$J$5</f>
        <v>-271.831578947368</v>
      </c>
      <c r="K170" s="9" t="n">
        <f aca="false">J170-H170</f>
        <v>-392.831578947368</v>
      </c>
      <c r="L170" s="11" t="n">
        <f aca="false">IF(AND(H170=0,J170=0),0,IF(H170=0,"New",(J170-H170)/H170))</f>
        <v>-3.24654197477164</v>
      </c>
    </row>
    <row r="171" customFormat="false" ht="15" hidden="false" customHeight="true" outlineLevel="0" collapsed="false">
      <c r="A171" s="8" t="s">
        <v>192</v>
      </c>
      <c r="B171" s="8" t="str">
        <f aca="false">IFERROR(INDEX('Source 2026'!$C:$C,MATCH($A171,'Source 2026'!$B:$B,0)),IFERROR(INDEX('Source 2025'!$C:$C,MATCH($A171,'Source 2025'!$B:$B,0)),""))</f>
        <v>S חגורת שבר לצד ימין</v>
      </c>
      <c r="C171" s="9" t="n">
        <f aca="false">SUMIFS('Source 2025'!$Q:$Q,'Source 2025'!$B:$B,$A171,'Source 2025'!$A:$A,"Quantity (units)")</f>
        <v>-2</v>
      </c>
      <c r="D171" s="9" t="n">
        <f aca="false">SUMIFS('Source 2026'!$Q:$Q,'Source 2026'!$B:$B,$A171,'Source 2026'!$A:$A,"Quantity (units)")</f>
        <v>0</v>
      </c>
      <c r="E171" s="9" t="n">
        <f aca="false">D171*$J$5</f>
        <v>0</v>
      </c>
      <c r="F171" s="9" t="n">
        <f aca="false">E171-C171</f>
        <v>2</v>
      </c>
      <c r="G171" s="11" t="n">
        <f aca="false">IF(AND(C171=0,E171=0),0,IF(C171=0,"New",(E171-C171)/C171))</f>
        <v>-1</v>
      </c>
      <c r="H171" s="9" t="n">
        <f aca="false">SUMIFS('Source 2025'!$Q:$Q,'Source 2025'!$B:$B,$A171,'Source 2025'!$A:$A,"Amount (NIS)")</f>
        <v>-332.2</v>
      </c>
      <c r="I171" s="9" t="n">
        <f aca="false">SUMIFS('Source 2026'!$Q:$Q,'Source 2026'!$B:$B,$A171,'Source 2026'!$A:$A,"Amount (NIS)")</f>
        <v>0</v>
      </c>
      <c r="J171" s="9" t="n">
        <f aca="false">I171*$J$5</f>
        <v>0</v>
      </c>
      <c r="K171" s="9" t="n">
        <f aca="false">J171-H171</f>
        <v>332.2</v>
      </c>
      <c r="L171" s="11" t="n">
        <f aca="false">IF(AND(H171=0,J171=0),0,IF(H171=0,"New",(J171-H171)/H171))</f>
        <v>-1</v>
      </c>
    </row>
    <row r="172" customFormat="false" ht="15" hidden="false" customHeight="true" outlineLevel="0" collapsed="false">
      <c r="A172" s="8" t="s">
        <v>302</v>
      </c>
      <c r="B172" s="8" t="str">
        <f aca="false">IFERROR(INDEX('Source 2026'!$C:$C,MATCH($A172,'Source 2026'!$B:$B,0)),IFERROR(INDEX('Source 2025'!$C:$C,MATCH($A172,'Source 2025'!$B:$B,0)),""))</f>
        <v>S חגורת שבר לצד שמאל</v>
      </c>
      <c r="C172" s="9" t="n">
        <f aca="false">SUMIFS('Source 2025'!$Q:$Q,'Source 2025'!$B:$B,$A172,'Source 2025'!$A:$A,"Quantity (units)")</f>
        <v>-1</v>
      </c>
      <c r="D172" s="9" t="n">
        <f aca="false">SUMIFS('Source 2026'!$Q:$Q,'Source 2026'!$B:$B,$A172,'Source 2026'!$A:$A,"Quantity (units)")</f>
        <v>0</v>
      </c>
      <c r="E172" s="9" t="n">
        <f aca="false">D172*$J$5</f>
        <v>0</v>
      </c>
      <c r="F172" s="9" t="n">
        <f aca="false">E172-C172</f>
        <v>1</v>
      </c>
      <c r="G172" s="11" t="n">
        <f aca="false">IF(AND(C172=0,E172=0),0,IF(C172=0,"New",(E172-C172)/C172))</f>
        <v>-1</v>
      </c>
      <c r="H172" s="9" t="n">
        <f aca="false">SUMIFS('Source 2025'!$Q:$Q,'Source 2025'!$B:$B,$A172,'Source 2025'!$A:$A,"Amount (NIS)")</f>
        <v>-166.1</v>
      </c>
      <c r="I172" s="9" t="n">
        <f aca="false">SUMIFS('Source 2026'!$Q:$Q,'Source 2026'!$B:$B,$A172,'Source 2026'!$A:$A,"Amount (NIS)")</f>
        <v>162.5</v>
      </c>
      <c r="J172" s="9" t="n">
        <f aca="false">I172*$J$5</f>
        <v>205.263157894737</v>
      </c>
      <c r="K172" s="9" t="n">
        <f aca="false">J172-H172</f>
        <v>371.363157894737</v>
      </c>
      <c r="L172" s="11" t="n">
        <f aca="false">IF(AND(H172=0,J172=0),0,IF(H172=0,"New",(J172-H172)/H172))</f>
        <v>-2.23578060141323</v>
      </c>
    </row>
    <row r="173" customFormat="false" ht="15" hidden="false" customHeight="true" outlineLevel="0" collapsed="false">
      <c r="A173" s="8" t="s">
        <v>233</v>
      </c>
      <c r="B173" s="8" t="str">
        <f aca="false">IFERROR(INDEX('Source 2026'!$C:$C,MATCH($A173,'Source 2026'!$B:$B,0)),IFERROR(INDEX('Source 2025'!$C:$C,MATCH($A173,'Source 2025'!$B:$B,0)),""))</f>
        <v>S ח.הריון מכנס למניעת כאבים</v>
      </c>
      <c r="C173" s="9" t="n">
        <f aca="false">SUMIFS('Source 2025'!$Q:$Q,'Source 2025'!$B:$B,$A173,'Source 2025'!$A:$A,"Quantity (units)")</f>
        <v>0</v>
      </c>
      <c r="D173" s="9" t="n">
        <f aca="false">SUMIFS('Source 2026'!$Q:$Q,'Source 2026'!$B:$B,$A173,'Source 2026'!$A:$A,"Quantity (units)")</f>
        <v>-1</v>
      </c>
      <c r="E173" s="9" t="n">
        <f aca="false">D173*$J$5</f>
        <v>-1.26315789473684</v>
      </c>
      <c r="F173" s="9" t="n">
        <f aca="false">E173-C173</f>
        <v>-1.26315789473684</v>
      </c>
      <c r="G173" s="11" t="str">
        <f aca="false">IF(AND(C173=0,E173=0),0,IF(C173=0,"New",(E173-C173)/C173))</f>
        <v>New</v>
      </c>
      <c r="H173" s="9" t="n">
        <f aca="false">SUMIFS('Source 2025'!$Q:$Q,'Source 2025'!$B:$B,$A173,'Source 2025'!$A:$A,"Amount (NIS)")</f>
        <v>0</v>
      </c>
      <c r="I173" s="9" t="n">
        <f aca="false">SUMIFS('Source 2026'!$Q:$Q,'Source 2026'!$B:$B,$A173,'Source 2026'!$A:$A,"Amount (NIS)")</f>
        <v>-266.2</v>
      </c>
      <c r="J173" s="9" t="n">
        <f aca="false">I173*$J$5</f>
        <v>-336.252631578947</v>
      </c>
      <c r="K173" s="9" t="n">
        <f aca="false">J173-H173</f>
        <v>-336.252631578947</v>
      </c>
      <c r="L173" s="11" t="str">
        <f aca="false">IF(AND(H173=0,J173=0),0,IF(H173=0,"New",(J173-H173)/H173))</f>
        <v>New</v>
      </c>
    </row>
    <row r="174" customFormat="false" ht="15" hidden="false" customHeight="true" outlineLevel="0" collapsed="false">
      <c r="A174" s="8" t="s">
        <v>318</v>
      </c>
      <c r="B174" s="8" t="str">
        <f aca="false">IFERROR(INDEX('Source 2026'!$C:$C,MATCH($A174,'Source 2026'!$B:$B,0)),IFERROR(INDEX('Source 2025'!$C:$C,MATCH($A174,'Source 2025'!$B:$B,0)),""))</f>
        <v>יד לטניס כרית סילי</v>
      </c>
      <c r="C174" s="9" t="n">
        <f aca="false">SUMIFS('Source 2025'!$Q:$Q,'Source 2025'!$B:$B,$A174,'Source 2025'!$A:$A,"Quantity (units)")</f>
        <v>-2</v>
      </c>
      <c r="D174" s="9" t="n">
        <f aca="false">SUMIFS('Source 2026'!$Q:$Q,'Source 2026'!$B:$B,$A174,'Source 2026'!$A:$A,"Quantity (units)")</f>
        <v>0</v>
      </c>
      <c r="E174" s="9" t="n">
        <f aca="false">D174*$J$5</f>
        <v>0</v>
      </c>
      <c r="F174" s="9" t="n">
        <f aca="false">E174-C174</f>
        <v>2</v>
      </c>
      <c r="G174" s="11" t="n">
        <f aca="false">IF(AND(C174=0,E174=0),0,IF(C174=0,"New",(E174-C174)/C174))</f>
        <v>-1</v>
      </c>
      <c r="H174" s="9" t="n">
        <f aca="false">SUMIFS('Source 2025'!$Q:$Q,'Source 2025'!$B:$B,$A174,'Source 2025'!$A:$A,"Amount (NIS)")</f>
        <v>-262.1</v>
      </c>
      <c r="I174" s="9" t="n">
        <f aca="false">SUMIFS('Source 2026'!$Q:$Q,'Source 2026'!$B:$B,$A174,'Source 2026'!$A:$A,"Amount (NIS)")</f>
        <v>0</v>
      </c>
      <c r="J174" s="9" t="n">
        <f aca="false">I174*$J$5</f>
        <v>0</v>
      </c>
      <c r="K174" s="9" t="n">
        <f aca="false">J174-H174</f>
        <v>262.1</v>
      </c>
      <c r="L174" s="11" t="n">
        <f aca="false">IF(AND(H174=0,J174=0),0,IF(H174=0,"New",(J174-H174)/H174))</f>
        <v>-1</v>
      </c>
    </row>
    <row r="175" customFormat="false" ht="15" hidden="false" customHeight="true" outlineLevel="0" collapsed="false">
      <c r="A175" s="8" t="s">
        <v>277</v>
      </c>
      <c r="B175" s="8" t="str">
        <f aca="false">IFERROR(INDEX('Source 2026'!$C:$C,MATCH($A175,'Source 2026'!$B:$B,0)),IFERROR(INDEX('Source 2025'!$C:$C,MATCH($A175,'Source 2025'!$B:$B,0)),""))</f>
        <v>Mמתלה ליד)כיס(+רצועת חיזוק</v>
      </c>
      <c r="C175" s="9" t="n">
        <f aca="false">SUMIFS('Source 2025'!$Q:$Q,'Source 2025'!$B:$B,$A175,'Source 2025'!$A:$A,"Quantity (units)")</f>
        <v>3</v>
      </c>
      <c r="D175" s="9" t="n">
        <f aca="false">SUMIFS('Source 2026'!$Q:$Q,'Source 2026'!$B:$B,$A175,'Source 2026'!$A:$A,"Quantity (units)")</f>
        <v>0</v>
      </c>
      <c r="E175" s="9" t="n">
        <f aca="false">D175*$J$5</f>
        <v>0</v>
      </c>
      <c r="F175" s="9" t="n">
        <f aca="false">E175-C175</f>
        <v>-3</v>
      </c>
      <c r="G175" s="11" t="n">
        <f aca="false">IF(AND(C175=0,E175=0),0,IF(C175=0,"New",(E175-C175)/C175))</f>
        <v>-1</v>
      </c>
      <c r="H175" s="9" t="n">
        <f aca="false">SUMIFS('Source 2025'!$Q:$Q,'Source 2025'!$B:$B,$A175,'Source 2025'!$A:$A,"Amount (NIS)")</f>
        <v>248.7</v>
      </c>
      <c r="I175" s="9" t="n">
        <f aca="false">SUMIFS('Source 2026'!$Q:$Q,'Source 2026'!$B:$B,$A175,'Source 2026'!$A:$A,"Amount (NIS)")</f>
        <v>0</v>
      </c>
      <c r="J175" s="9" t="n">
        <f aca="false">I175*$J$5</f>
        <v>0</v>
      </c>
      <c r="K175" s="9" t="n">
        <f aca="false">J175-H175</f>
        <v>-248.7</v>
      </c>
      <c r="L175" s="11" t="n">
        <f aca="false">IF(AND(H175=0,J175=0),0,IF(H175=0,"New",(J175-H175)/H175))</f>
        <v>-1</v>
      </c>
    </row>
    <row r="176" customFormat="false" ht="15" hidden="false" customHeight="true" outlineLevel="0" collapsed="false">
      <c r="A176" s="8" t="s">
        <v>374</v>
      </c>
      <c r="B176" s="8" t="str">
        <f aca="false">IFERROR(INDEX('Source 2026'!$C:$C,MATCH($A176,'Source 2026'!$B:$B,0)),IFERROR(INDEX('Source 2025'!$C:$C,MATCH($A176,'Source 2025'!$B:$B,0)),""))</f>
        <v>S תתמוקפאעקב סיליקון+ קשת</v>
      </c>
      <c r="C176" s="9" t="n">
        <f aca="false">SUMIFS('Source 2025'!$Q:$Q,'Source 2025'!$B:$B,$A176,'Source 2025'!$A:$A,"Quantity (units)")</f>
        <v>-3</v>
      </c>
      <c r="D176" s="9" t="n">
        <f aca="false">SUMIFS('Source 2026'!$Q:$Q,'Source 2026'!$B:$B,$A176,'Source 2026'!$A:$A,"Quantity (units)")</f>
        <v>0</v>
      </c>
      <c r="E176" s="9" t="n">
        <f aca="false">D176*$J$5</f>
        <v>0</v>
      </c>
      <c r="F176" s="9" t="n">
        <f aca="false">E176-C176</f>
        <v>3</v>
      </c>
      <c r="G176" s="11" t="n">
        <f aca="false">IF(AND(C176=0,E176=0),0,IF(C176=0,"New",(E176-C176)/C176))</f>
        <v>-1</v>
      </c>
      <c r="H176" s="9" t="n">
        <f aca="false">SUMIFS('Source 2025'!$Q:$Q,'Source 2025'!$B:$B,$A176,'Source 2025'!$A:$A,"Amount (NIS)")</f>
        <v>-241.3</v>
      </c>
      <c r="I176" s="9" t="n">
        <f aca="false">SUMIFS('Source 2026'!$Q:$Q,'Source 2026'!$B:$B,$A176,'Source 2026'!$A:$A,"Amount (NIS)")</f>
        <v>0</v>
      </c>
      <c r="J176" s="9" t="n">
        <f aca="false">I176*$J$5</f>
        <v>0</v>
      </c>
      <c r="K176" s="9" t="n">
        <f aca="false">J176-H176</f>
        <v>241.3</v>
      </c>
      <c r="L176" s="11" t="n">
        <f aca="false">IF(AND(H176=0,J176=0),0,IF(H176=0,"New",(J176-H176)/H176))</f>
        <v>-1</v>
      </c>
    </row>
    <row r="177" customFormat="false" ht="15" hidden="false" customHeight="true" outlineLevel="0" collapsed="false">
      <c r="A177" s="8" t="s">
        <v>375</v>
      </c>
      <c r="B177" s="8" t="str">
        <f aca="false">IFERROR(INDEX('Source 2026'!$C:$C,MATCH($A177,'Source 2026'!$B:$B,0)),IFERROR(INDEX('Source 2025'!$C:$C,MATCH($A177,'Source 2025'!$B:$B,0)),""))</f>
        <v>קרסול עם שרוכים בז</v>
      </c>
      <c r="C177" s="9" t="n">
        <f aca="false">SUMIFS('Source 2025'!$Q:$Q,'Source 2025'!$B:$B,$A177,'Source 2025'!$A:$A,"Quantity (units)")</f>
        <v>-2</v>
      </c>
      <c r="D177" s="9" t="n">
        <f aca="false">SUMIFS('Source 2026'!$Q:$Q,'Source 2026'!$B:$B,$A177,'Source 2026'!$A:$A,"Quantity (units)")</f>
        <v>0</v>
      </c>
      <c r="E177" s="9" t="n">
        <f aca="false">D177*$J$5</f>
        <v>0</v>
      </c>
      <c r="F177" s="9" t="n">
        <f aca="false">E177-C177</f>
        <v>2</v>
      </c>
      <c r="G177" s="11" t="n">
        <f aca="false">IF(AND(C177=0,E177=0),0,IF(C177=0,"New",(E177-C177)/C177))</f>
        <v>-1</v>
      </c>
      <c r="H177" s="9" t="n">
        <f aca="false">SUMIFS('Source 2025'!$Q:$Q,'Source 2025'!$B:$B,$A177,'Source 2025'!$A:$A,"Amount (NIS)")</f>
        <v>-213</v>
      </c>
      <c r="I177" s="9" t="n">
        <f aca="false">SUMIFS('Source 2026'!$Q:$Q,'Source 2026'!$B:$B,$A177,'Source 2026'!$A:$A,"Amount (NIS)")</f>
        <v>0</v>
      </c>
      <c r="J177" s="9" t="n">
        <f aca="false">I177*$J$5</f>
        <v>0</v>
      </c>
      <c r="K177" s="9" t="n">
        <f aca="false">J177-H177</f>
        <v>213</v>
      </c>
      <c r="L177" s="11" t="n">
        <f aca="false">IF(AND(H177=0,J177=0),0,IF(H177=0,"New",(J177-H177)/H177))</f>
        <v>-1</v>
      </c>
    </row>
    <row r="178" customFormat="false" ht="15" hidden="false" customHeight="true" outlineLevel="0" collapsed="false">
      <c r="A178" s="8" t="s">
        <v>296</v>
      </c>
      <c r="B178" s="8" t="str">
        <f aca="false">IFERROR(INDEX('Source 2026'!$C:$C,MATCH($A178,'Source 2026'!$B:$B,0)),IFERROR(INDEX('Source 2025'!$C:$C,MATCH($A178,'Source 2025'!$B:$B,0)),""))</f>
        <v>L-XLחגורת הריון בכאב.חזק</v>
      </c>
      <c r="C178" s="9" t="n">
        <f aca="false">SUMIFS('Source 2025'!$Q:$Q,'Source 2025'!$B:$B,$A178,'Source 2025'!$A:$A,"Quantity (units)")</f>
        <v>0</v>
      </c>
      <c r="D178" s="9" t="n">
        <f aca="false">SUMIFS('Source 2026'!$Q:$Q,'Source 2026'!$B:$B,$A178,'Source 2026'!$A:$A,"Quantity (units)")</f>
        <v>-1</v>
      </c>
      <c r="E178" s="9" t="n">
        <f aca="false">D178*$J$5</f>
        <v>-1.26315789473684</v>
      </c>
      <c r="F178" s="9" t="n">
        <f aca="false">E178-C178</f>
        <v>-1.26315789473684</v>
      </c>
      <c r="G178" s="11" t="str">
        <f aca="false">IF(AND(C178=0,E178=0),0,IF(C178=0,"New",(E178-C178)/C178))</f>
        <v>New</v>
      </c>
      <c r="H178" s="9" t="n">
        <f aca="false">SUMIFS('Source 2025'!$Q:$Q,'Source 2025'!$B:$B,$A178,'Source 2025'!$A:$A,"Amount (NIS)")</f>
        <v>0</v>
      </c>
      <c r="I178" s="9" t="n">
        <f aca="false">SUMIFS('Source 2026'!$Q:$Q,'Source 2026'!$B:$B,$A178,'Source 2026'!$A:$A,"Amount (NIS)")</f>
        <v>-207.2</v>
      </c>
      <c r="J178" s="9" t="n">
        <f aca="false">I178*$J$5</f>
        <v>-261.726315789474</v>
      </c>
      <c r="K178" s="9" t="n">
        <f aca="false">J178-H178</f>
        <v>-261.726315789474</v>
      </c>
      <c r="L178" s="11" t="str">
        <f aca="false">IF(AND(H178=0,J178=0),0,IF(H178=0,"New",(J178-H178)/H178))</f>
        <v>New</v>
      </c>
    </row>
    <row r="179" customFormat="false" ht="15" hidden="false" customHeight="true" outlineLevel="0" collapsed="false">
      <c r="A179" s="8" t="s">
        <v>376</v>
      </c>
      <c r="B179" s="8" t="str">
        <f aca="false">IFERROR(INDEX('Source 2026'!$C:$C,MATCH($A179,'Source 2026'!$B:$B,0)),IFERROR(INDEX('Source 2025'!$C:$C,MATCH($A179,'Source 2025'!$B:$B,0)),""))</f>
        <v>L מגן ברך לסקי</v>
      </c>
      <c r="C179" s="9" t="n">
        <f aca="false">SUMIFS('Source 2025'!$Q:$Q,'Source 2025'!$B:$B,$A179,'Source 2025'!$A:$A,"Quantity (units)")</f>
        <v>0</v>
      </c>
      <c r="D179" s="9" t="n">
        <f aca="false">SUMIFS('Source 2026'!$Q:$Q,'Source 2026'!$B:$B,$A179,'Source 2026'!$A:$A,"Quantity (units)")</f>
        <v>-1</v>
      </c>
      <c r="E179" s="9" t="n">
        <f aca="false">D179*$J$5</f>
        <v>-1.26315789473684</v>
      </c>
      <c r="F179" s="9" t="n">
        <f aca="false">E179-C179</f>
        <v>-1.26315789473684</v>
      </c>
      <c r="G179" s="11" t="str">
        <f aca="false">IF(AND(C179=0,E179=0),0,IF(C179=0,"New",(E179-C179)/C179))</f>
        <v>New</v>
      </c>
      <c r="H179" s="9" t="n">
        <f aca="false">SUMIFS('Source 2025'!$Q:$Q,'Source 2025'!$B:$B,$A179,'Source 2025'!$A:$A,"Amount (NIS)")</f>
        <v>0</v>
      </c>
      <c r="I179" s="9" t="n">
        <f aca="false">SUMIFS('Source 2026'!$Q:$Q,'Source 2026'!$B:$B,$A179,'Source 2026'!$A:$A,"Amount (NIS)")</f>
        <v>-204.8</v>
      </c>
      <c r="J179" s="9" t="n">
        <f aca="false">I179*$J$5</f>
        <v>-258.694736842105</v>
      </c>
      <c r="K179" s="9" t="n">
        <f aca="false">J179-H179</f>
        <v>-258.694736842105</v>
      </c>
      <c r="L179" s="11" t="str">
        <f aca="false">IF(AND(H179=0,J179=0),0,IF(H179=0,"New",(J179-H179)/H179))</f>
        <v>New</v>
      </c>
    </row>
    <row r="180" customFormat="false" ht="15" hidden="false" customHeight="true" outlineLevel="0" collapsed="false">
      <c r="A180" s="8" t="s">
        <v>203</v>
      </c>
      <c r="B180" s="8" t="str">
        <f aca="false">IFERROR(INDEX('Source 2026'!$C:$C,MATCH($A180,'Source 2026'!$B:$B,0)),IFERROR(INDEX('Source 2025'!$C:$C,MATCH($A180,'Source 2025'!$B:$B,0)),""))</f>
        <v>S מתלה אשכים לאחר ניתוח</v>
      </c>
      <c r="C180" s="9" t="n">
        <f aca="false">SUMIFS('Source 2025'!$Q:$Q,'Source 2025'!$B:$B,$A180,'Source 2025'!$A:$A,"Quantity (units)")</f>
        <v>0</v>
      </c>
      <c r="D180" s="9" t="n">
        <f aca="false">SUMIFS('Source 2026'!$Q:$Q,'Source 2026'!$B:$B,$A180,'Source 2026'!$A:$A,"Quantity (units)")</f>
        <v>-2</v>
      </c>
      <c r="E180" s="9" t="n">
        <f aca="false">D180*$J$5</f>
        <v>-2.52631578947368</v>
      </c>
      <c r="F180" s="9" t="n">
        <f aca="false">E180-C180</f>
        <v>-2.52631578947368</v>
      </c>
      <c r="G180" s="11" t="str">
        <f aca="false">IF(AND(C180=0,E180=0),0,IF(C180=0,"New",(E180-C180)/C180))</f>
        <v>New</v>
      </c>
      <c r="H180" s="9" t="n">
        <f aca="false">SUMIFS('Source 2025'!$Q:$Q,'Source 2025'!$B:$B,$A180,'Source 2025'!$A:$A,"Amount (NIS)")</f>
        <v>0</v>
      </c>
      <c r="I180" s="9" t="n">
        <f aca="false">SUMIFS('Source 2026'!$Q:$Q,'Source 2026'!$B:$B,$A180,'Source 2026'!$A:$A,"Amount (NIS)")</f>
        <v>-193.6</v>
      </c>
      <c r="J180" s="9" t="n">
        <f aca="false">I180*$J$5</f>
        <v>-244.547368421053</v>
      </c>
      <c r="K180" s="9" t="n">
        <f aca="false">J180-H180</f>
        <v>-244.547368421053</v>
      </c>
      <c r="L180" s="11" t="str">
        <f aca="false">IF(AND(H180=0,J180=0),0,IF(H180=0,"New",(J180-H180)/H180))</f>
        <v>New</v>
      </c>
    </row>
    <row r="181" customFormat="false" ht="15" hidden="false" customHeight="true" outlineLevel="0" collapsed="false">
      <c r="A181" s="8" t="s">
        <v>312</v>
      </c>
      <c r="B181" s="8" t="str">
        <f aca="false">IFERROR(INDEX('Source 2026'!$C:$C,MATCH($A181,'Source 2026'!$B:$B,0)),IFERROR(INDEX('Source 2025'!$C:$C,MATCH($A181,'Source 2025'!$B:$B,0)),""))</f>
        <v>L-מדרס סיליקון לנעלי עקב</v>
      </c>
      <c r="C181" s="9" t="n">
        <f aca="false">SUMIFS('Source 2025'!$Q:$Q,'Source 2025'!$B:$B,$A181,'Source 2025'!$A:$A,"Quantity (units)")</f>
        <v>-2</v>
      </c>
      <c r="D181" s="9" t="n">
        <f aca="false">SUMIFS('Source 2026'!$Q:$Q,'Source 2026'!$B:$B,$A181,'Source 2026'!$A:$A,"Quantity (units)")</f>
        <v>3</v>
      </c>
      <c r="E181" s="9" t="n">
        <f aca="false">D181*$J$5</f>
        <v>3.78947368421053</v>
      </c>
      <c r="F181" s="9" t="n">
        <f aca="false">E181-C181</f>
        <v>5.78947368421053</v>
      </c>
      <c r="G181" s="11" t="n">
        <f aca="false">IF(AND(C181=0,E181=0),0,IF(C181=0,"New",(E181-C181)/C181))</f>
        <v>-2.89473684210526</v>
      </c>
      <c r="H181" s="9" t="n">
        <f aca="false">SUMIFS('Source 2025'!$Q:$Q,'Source 2025'!$B:$B,$A181,'Source 2025'!$A:$A,"Amount (NIS)")</f>
        <v>-79.1</v>
      </c>
      <c r="I181" s="9" t="n">
        <f aca="false">SUMIFS('Source 2026'!$Q:$Q,'Source 2026'!$B:$B,$A181,'Source 2026'!$A:$A,"Amount (NIS)")</f>
        <v>114.5</v>
      </c>
      <c r="J181" s="9" t="n">
        <f aca="false">I181*$J$5</f>
        <v>144.631578947368</v>
      </c>
      <c r="K181" s="9" t="n">
        <f aca="false">J181-H181</f>
        <v>223.731578947368</v>
      </c>
      <c r="L181" s="11" t="n">
        <f aca="false">IF(AND(H181=0,J181=0),0,IF(H181=0,"New",(J181-H181)/H181))</f>
        <v>-2.82846496772906</v>
      </c>
    </row>
    <row r="182" customFormat="false" ht="15" hidden="false" customHeight="true" outlineLevel="0" collapsed="false">
      <c r="A182" s="8" t="s">
        <v>230</v>
      </c>
      <c r="B182" s="8" t="str">
        <f aca="false">IFERROR(INDEX('Source 2026'!$C:$C,MATCH($A182,'Source 2026'!$B:$B,0)),IFERROR(INDEX('Source 2025'!$C:$C,MATCH($A182,'Source 2025'!$B:$B,0)),""))</f>
        <v>נגד פטרת הציפורן</v>
      </c>
      <c r="C182" s="9" t="n">
        <f aca="false">SUMIFS('Source 2025'!$Q:$Q,'Source 2025'!$B:$B,$A182,'Source 2025'!$A:$A,"Quantity (units)")</f>
        <v>-8</v>
      </c>
      <c r="D182" s="9" t="n">
        <f aca="false">SUMIFS('Source 2026'!$Q:$Q,'Source 2026'!$B:$B,$A182,'Source 2026'!$A:$A,"Quantity (units)")</f>
        <v>-2</v>
      </c>
      <c r="E182" s="9" t="n">
        <f aca="false">D182*$J$5</f>
        <v>-2.52631578947368</v>
      </c>
      <c r="F182" s="9" t="n">
        <f aca="false">E182-C182</f>
        <v>5.47368421052632</v>
      </c>
      <c r="G182" s="11" t="n">
        <f aca="false">IF(AND(C182=0,E182=0),0,IF(C182=0,"New",(E182-C182)/C182))</f>
        <v>-0.68421052631579</v>
      </c>
      <c r="H182" s="9" t="n">
        <f aca="false">SUMIFS('Source 2025'!$Q:$Q,'Source 2025'!$B:$B,$A182,'Source 2025'!$A:$A,"Amount (NIS)")</f>
        <v>-235.1</v>
      </c>
      <c r="I182" s="9" t="n">
        <f aca="false">SUMIFS('Source 2026'!$Q:$Q,'Source 2026'!$B:$B,$A182,'Source 2026'!$A:$A,"Amount (NIS)")</f>
        <v>-57.8</v>
      </c>
      <c r="J182" s="9" t="n">
        <f aca="false">I182*$J$5</f>
        <v>-73.0105263157895</v>
      </c>
      <c r="K182" s="9" t="n">
        <f aca="false">J182-H182</f>
        <v>162.089473684211</v>
      </c>
      <c r="L182" s="11" t="n">
        <f aca="false">IF(AND(H182=0,J182=0),0,IF(H182=0,"New",(J182-H182)/H182))</f>
        <v>-0.689449058631266</v>
      </c>
    </row>
    <row r="183" customFormat="false" ht="15" hidden="false" customHeight="true" outlineLevel="0" collapsed="false">
      <c r="A183" s="8" t="s">
        <v>261</v>
      </c>
      <c r="B183" s="8" t="str">
        <f aca="false">IFERROR(INDEX('Source 2026'!$C:$C,MATCH($A183,'Source 2026'!$B:$B,0)),IFERROR(INDEX('Source 2025'!$C:$C,MATCH($A183,'Source 2025'!$B:$B,0)),""))</f>
        <v>כפפות אגודל לחץ</v>
      </c>
      <c r="C183" s="9" t="n">
        <f aca="false">SUMIFS('Source 2025'!$Q:$Q,'Source 2025'!$B:$B,$A183,'Source 2025'!$A:$A,"Quantity (units)")</f>
        <v>62</v>
      </c>
      <c r="D183" s="9" t="n">
        <f aca="false">SUMIFS('Source 2026'!$Q:$Q,'Source 2026'!$B:$B,$A183,'Source 2026'!$A:$A,"Quantity (units)")</f>
        <v>54</v>
      </c>
      <c r="E183" s="9" t="n">
        <f aca="false">D183*$J$5</f>
        <v>68.2105263157895</v>
      </c>
      <c r="F183" s="9" t="n">
        <f aca="false">E183-C183</f>
        <v>6.21052631578947</v>
      </c>
      <c r="G183" s="11" t="n">
        <f aca="false">IF(AND(C183=0,E183=0),0,IF(C183=0,"New",(E183-C183)/C183))</f>
        <v>0.100169779286927</v>
      </c>
      <c r="H183" s="9" t="n">
        <f aca="false">SUMIFS('Source 2025'!$Q:$Q,'Source 2025'!$B:$B,$A183,'Source 2025'!$A:$A,"Amount (NIS)")</f>
        <v>1770</v>
      </c>
      <c r="I183" s="9" t="n">
        <f aca="false">SUMIFS('Source 2026'!$Q:$Q,'Source 2026'!$B:$B,$A183,'Source 2026'!$A:$A,"Amount (NIS)")</f>
        <v>1600</v>
      </c>
      <c r="J183" s="9" t="n">
        <f aca="false">I183*$J$5</f>
        <v>2021.05263157895</v>
      </c>
      <c r="K183" s="9" t="n">
        <f aca="false">J183-H183</f>
        <v>251.052631578947</v>
      </c>
      <c r="L183" s="11" t="n">
        <f aca="false">IF(AND(H183=0,J183=0),0,IF(H183=0,"New",(J183-H183)/H183))</f>
        <v>0.141837644959857</v>
      </c>
    </row>
    <row r="184" customFormat="false" ht="15" hidden="false" customHeight="true" outlineLevel="0" collapsed="false">
      <c r="A184" s="8" t="s">
        <v>367</v>
      </c>
      <c r="B184" s="8" t="str">
        <f aca="false">IFERROR(INDEX('Source 2026'!$C:$C,MATCH($A184,'Source 2026'!$B:$B,0)),IFERROR(INDEX('Source 2025'!$C:$C,MATCH($A184,'Source 2025'!$B:$B,0)),""))</f>
        <v>L  ""ח.גב קלה ""מיקדו</v>
      </c>
      <c r="C184" s="9" t="n">
        <f aca="false">SUMIFS('Source 2025'!$Q:$Q,'Source 2025'!$B:$B,$A184,'Source 2025'!$A:$A,"Quantity (units)")</f>
        <v>-1</v>
      </c>
      <c r="D184" s="9" t="n">
        <f aca="false">SUMIFS('Source 2026'!$Q:$Q,'Source 2026'!$B:$B,$A184,'Source 2026'!$A:$A,"Quantity (units)")</f>
        <v>0</v>
      </c>
      <c r="E184" s="9" t="n">
        <f aca="false">D184*$J$5</f>
        <v>0</v>
      </c>
      <c r="F184" s="9" t="n">
        <f aca="false">E184-C184</f>
        <v>1</v>
      </c>
      <c r="G184" s="11" t="n">
        <f aca="false">IF(AND(C184=0,E184=0),0,IF(C184=0,"New",(E184-C184)/C184))</f>
        <v>-1</v>
      </c>
      <c r="H184" s="9" t="n">
        <f aca="false">SUMIFS('Source 2025'!$Q:$Q,'Source 2025'!$B:$B,$A184,'Source 2025'!$A:$A,"Amount (NIS)")</f>
        <v>-147.4</v>
      </c>
      <c r="I184" s="9" t="n">
        <f aca="false">SUMIFS('Source 2026'!$Q:$Q,'Source 2026'!$B:$B,$A184,'Source 2026'!$A:$A,"Amount (NIS)")</f>
        <v>0</v>
      </c>
      <c r="J184" s="9" t="n">
        <f aca="false">I184*$J$5</f>
        <v>0</v>
      </c>
      <c r="K184" s="9" t="n">
        <f aca="false">J184-H184</f>
        <v>147.4</v>
      </c>
      <c r="L184" s="11" t="n">
        <f aca="false">IF(AND(H184=0,J184=0),0,IF(H184=0,"New",(J184-H184)/H184))</f>
        <v>-1</v>
      </c>
    </row>
    <row r="185" customFormat="false" ht="15" hidden="false" customHeight="true" outlineLevel="0" collapsed="false">
      <c r="A185" s="8" t="s">
        <v>365</v>
      </c>
      <c r="B185" s="8" t="str">
        <f aca="false">IFERROR(INDEX('Source 2026'!$C:$C,MATCH($A185,'Source 2026'!$B:$B,0)),IFERROR(INDEX('Source 2025'!$C:$C,MATCH($A185,'Source 2025'!$B:$B,0)),""))</f>
        <v>L-XL רצועת טניס אלבו</v>
      </c>
      <c r="C185" s="9" t="n">
        <f aca="false">SUMIFS('Source 2025'!$Q:$Q,'Source 2025'!$B:$B,$A185,'Source 2025'!$A:$A,"Quantity (units)")</f>
        <v>2</v>
      </c>
      <c r="D185" s="9" t="n">
        <f aca="false">SUMIFS('Source 2026'!$Q:$Q,'Source 2026'!$B:$B,$A185,'Source 2026'!$A:$A,"Quantity (units)")</f>
        <v>-1</v>
      </c>
      <c r="E185" s="9" t="n">
        <f aca="false">D185*$J$5</f>
        <v>-1.26315789473684</v>
      </c>
      <c r="F185" s="9" t="n">
        <f aca="false">E185-C185</f>
        <v>-3.26315789473684</v>
      </c>
      <c r="G185" s="11" t="n">
        <f aca="false">IF(AND(C185=0,E185=0),0,IF(C185=0,"New",(E185-C185)/C185))</f>
        <v>-1.63157894736842</v>
      </c>
      <c r="H185" s="9" t="n">
        <f aca="false">SUMIFS('Source 2025'!$Q:$Q,'Source 2025'!$B:$B,$A185,'Source 2025'!$A:$A,"Amount (NIS)")</f>
        <v>98.2</v>
      </c>
      <c r="I185" s="9" t="n">
        <f aca="false">SUMIFS('Source 2026'!$Q:$Q,'Source 2026'!$B:$B,$A185,'Source 2026'!$A:$A,"Amount (NIS)")</f>
        <v>-49.1</v>
      </c>
      <c r="J185" s="9" t="n">
        <f aca="false">I185*$J$5</f>
        <v>-62.021052631579</v>
      </c>
      <c r="K185" s="9" t="n">
        <f aca="false">J185-H185</f>
        <v>-160.221052631579</v>
      </c>
      <c r="L185" s="11" t="n">
        <f aca="false">IF(AND(H185=0,J185=0),0,IF(H185=0,"New",(J185-H185)/H185))</f>
        <v>-1.63157894736842</v>
      </c>
    </row>
    <row r="186" customFormat="false" ht="15" hidden="false" customHeight="true" outlineLevel="0" collapsed="false">
      <c r="A186" s="8" t="s">
        <v>305</v>
      </c>
      <c r="B186" s="8" t="str">
        <f aca="false">IFERROR(INDEX('Source 2026'!$C:$C,MATCH($A186,'Source 2026'!$B:$B,0)),IFERROR(INDEX('Source 2025'!$C:$C,MATCH($A186,'Source 2025'!$B:$B,0)),""))</f>
        <v>.חבישת""הלוקס ולגוס""לאחר נית</v>
      </c>
      <c r="C186" s="9" t="n">
        <f aca="false">SUMIFS('Source 2025'!$Q:$Q,'Source 2025'!$B:$B,$A186,'Source 2025'!$A:$A,"Quantity (units)")</f>
        <v>-2</v>
      </c>
      <c r="D186" s="9" t="n">
        <f aca="false">SUMIFS('Source 2026'!$Q:$Q,'Source 2026'!$B:$B,$A186,'Source 2026'!$A:$A,"Quantity (units)")</f>
        <v>0</v>
      </c>
      <c r="E186" s="9" t="n">
        <f aca="false">D186*$J$5</f>
        <v>0</v>
      </c>
      <c r="F186" s="9" t="n">
        <f aca="false">E186-C186</f>
        <v>2</v>
      </c>
      <c r="G186" s="11" t="n">
        <f aca="false">IF(AND(C186=0,E186=0),0,IF(C186=0,"New",(E186-C186)/C186))</f>
        <v>-1</v>
      </c>
      <c r="H186" s="9" t="n">
        <f aca="false">SUMIFS('Source 2025'!$Q:$Q,'Source 2025'!$B:$B,$A186,'Source 2025'!$A:$A,"Amount (NIS)")</f>
        <v>-136.3</v>
      </c>
      <c r="I186" s="9" t="n">
        <f aca="false">SUMIFS('Source 2026'!$Q:$Q,'Source 2026'!$B:$B,$A186,'Source 2026'!$A:$A,"Amount (NIS)")</f>
        <v>0</v>
      </c>
      <c r="J186" s="9" t="n">
        <f aca="false">I186*$J$5</f>
        <v>0</v>
      </c>
      <c r="K186" s="9" t="n">
        <f aca="false">J186-H186</f>
        <v>136.3</v>
      </c>
      <c r="L186" s="11" t="n">
        <f aca="false">IF(AND(H186=0,J186=0),0,IF(H186=0,"New",(J186-H186)/H186))</f>
        <v>-1</v>
      </c>
    </row>
    <row r="187" customFormat="false" ht="15" hidden="false" customHeight="true" outlineLevel="0" collapsed="false">
      <c r="A187" s="8" t="s">
        <v>240</v>
      </c>
      <c r="B187" s="8" t="str">
        <f aca="false">IFERROR(INDEX('Source 2026'!$C:$C,MATCH($A187,'Source 2026'!$B:$B,0)),IFERROR(INDEX('Source 2025'!$C:$C,MATCH($A187,'Source 2025'!$B:$B,0)),""))</f>
        <v>מגן קרסול+כרית סילקון</v>
      </c>
      <c r="C187" s="9" t="n">
        <f aca="false">SUMIFS('Source 2025'!$Q:$Q,'Source 2025'!$B:$B,$A187,'Source 2025'!$A:$A,"Quantity (units)")</f>
        <v>-1</v>
      </c>
      <c r="D187" s="9" t="n">
        <f aca="false">SUMIFS('Source 2026'!$Q:$Q,'Source 2026'!$B:$B,$A187,'Source 2026'!$A:$A,"Quantity (units)")</f>
        <v>0</v>
      </c>
      <c r="E187" s="9" t="n">
        <f aca="false">D187*$J$5</f>
        <v>0</v>
      </c>
      <c r="F187" s="9" t="n">
        <f aca="false">E187-C187</f>
        <v>1</v>
      </c>
      <c r="G187" s="11" t="n">
        <f aca="false">IF(AND(C187=0,E187=0),0,IF(C187=0,"New",(E187-C187)/C187))</f>
        <v>-1</v>
      </c>
      <c r="H187" s="9" t="n">
        <f aca="false">SUMIFS('Source 2025'!$Q:$Q,'Source 2025'!$B:$B,$A187,'Source 2025'!$A:$A,"Amount (NIS)")</f>
        <v>-131.1</v>
      </c>
      <c r="I187" s="9" t="n">
        <f aca="false">SUMIFS('Source 2026'!$Q:$Q,'Source 2026'!$B:$B,$A187,'Source 2026'!$A:$A,"Amount (NIS)")</f>
        <v>0</v>
      </c>
      <c r="J187" s="9" t="n">
        <f aca="false">I187*$J$5</f>
        <v>0</v>
      </c>
      <c r="K187" s="9" t="n">
        <f aca="false">J187-H187</f>
        <v>131.1</v>
      </c>
      <c r="L187" s="11" t="n">
        <f aca="false">IF(AND(H187=0,J187=0),0,IF(H187=0,"New",(J187-H187)/H187))</f>
        <v>-1</v>
      </c>
    </row>
    <row r="188" customFormat="false" ht="15" hidden="false" customHeight="true" outlineLevel="0" collapsed="false">
      <c r="A188" s="8" t="s">
        <v>323</v>
      </c>
      <c r="B188" s="8" t="str">
        <f aca="false">IFERROR(INDEX('Source 2026'!$C:$C,MATCH($A188,'Source 2026'!$B:$B,0)),IFERROR(INDEX('Source 2025'!$C:$C,MATCH($A188,'Source 2025'!$B:$B,0)),""))</f>
        <v>מגן קרסול+כרית סילקון</v>
      </c>
      <c r="C188" s="9" t="n">
        <f aca="false">SUMIFS('Source 2025'!$Q:$Q,'Source 2025'!$B:$B,$A188,'Source 2025'!$A:$A,"Quantity (units)")</f>
        <v>-1</v>
      </c>
      <c r="D188" s="9" t="n">
        <f aca="false">SUMIFS('Source 2026'!$Q:$Q,'Source 2026'!$B:$B,$A188,'Source 2026'!$A:$A,"Quantity (units)")</f>
        <v>0</v>
      </c>
      <c r="E188" s="9" t="n">
        <f aca="false">D188*$J$5</f>
        <v>0</v>
      </c>
      <c r="F188" s="9" t="n">
        <f aca="false">E188-C188</f>
        <v>1</v>
      </c>
      <c r="G188" s="11" t="n">
        <f aca="false">IF(AND(C188=0,E188=0),0,IF(C188=0,"New",(E188-C188)/C188))</f>
        <v>-1</v>
      </c>
      <c r="H188" s="9" t="n">
        <f aca="false">SUMIFS('Source 2025'!$Q:$Q,'Source 2025'!$B:$B,$A188,'Source 2025'!$A:$A,"Amount (NIS)")</f>
        <v>-131.1</v>
      </c>
      <c r="I188" s="9" t="n">
        <f aca="false">SUMIFS('Source 2026'!$Q:$Q,'Source 2026'!$B:$B,$A188,'Source 2026'!$A:$A,"Amount (NIS)")</f>
        <v>0</v>
      </c>
      <c r="J188" s="9" t="n">
        <f aca="false">I188*$J$5</f>
        <v>0</v>
      </c>
      <c r="K188" s="9" t="n">
        <f aca="false">J188-H188</f>
        <v>131.1</v>
      </c>
      <c r="L188" s="11" t="n">
        <f aca="false">IF(AND(H188=0,J188=0),0,IF(H188=0,"New",(J188-H188)/H188))</f>
        <v>-1</v>
      </c>
    </row>
    <row r="189" customFormat="false" ht="15" hidden="false" customHeight="true" outlineLevel="0" collapsed="false">
      <c r="A189" s="8" t="s">
        <v>324</v>
      </c>
      <c r="B189" s="8" t="str">
        <f aca="false">IFERROR(INDEX('Source 2026'!$C:$C,MATCH($A189,'Source 2026'!$B:$B,0)),IFERROR(INDEX('Source 2025'!$C:$C,MATCH($A189,'Source 2025'!$B:$B,0)),""))</f>
        <v>קרסול+כרית סילקון</v>
      </c>
      <c r="C189" s="9" t="n">
        <f aca="false">SUMIFS('Source 2025'!$Q:$Q,'Source 2025'!$B:$B,$A189,'Source 2025'!$A:$A,"Quantity (units)")</f>
        <v>0</v>
      </c>
      <c r="D189" s="9" t="n">
        <f aca="false">SUMIFS('Source 2026'!$Q:$Q,'Source 2026'!$B:$B,$A189,'Source 2026'!$A:$A,"Quantity (units)")</f>
        <v>-1</v>
      </c>
      <c r="E189" s="9" t="n">
        <f aca="false">D189*$J$5</f>
        <v>-1.26315789473684</v>
      </c>
      <c r="F189" s="9" t="n">
        <f aca="false">E189-C189</f>
        <v>-1.26315789473684</v>
      </c>
      <c r="G189" s="11" t="str">
        <f aca="false">IF(AND(C189=0,E189=0),0,IF(C189=0,"New",(E189-C189)/C189))</f>
        <v>New</v>
      </c>
      <c r="H189" s="9" t="n">
        <f aca="false">SUMIFS('Source 2025'!$Q:$Q,'Source 2025'!$B:$B,$A189,'Source 2025'!$A:$A,"Amount (NIS)")</f>
        <v>0</v>
      </c>
      <c r="I189" s="9" t="n">
        <f aca="false">SUMIFS('Source 2026'!$Q:$Q,'Source 2026'!$B:$B,$A189,'Source 2026'!$A:$A,"Amount (NIS)")</f>
        <v>-131.1</v>
      </c>
      <c r="J189" s="9" t="n">
        <f aca="false">I189*$J$5</f>
        <v>-165.6</v>
      </c>
      <c r="K189" s="9" t="n">
        <f aca="false">J189-H189</f>
        <v>-165.6</v>
      </c>
      <c r="L189" s="11" t="str">
        <f aca="false">IF(AND(H189=0,J189=0),0,IF(H189=0,"New",(J189-H189)/H189))</f>
        <v>New</v>
      </c>
    </row>
    <row r="190" customFormat="false" ht="15" hidden="false" customHeight="true" outlineLevel="0" collapsed="false">
      <c r="A190" s="8" t="s">
        <v>147</v>
      </c>
      <c r="B190" s="8" t="str">
        <f aca="false">IFERROR(INDEX('Source 2026'!$C:$C,MATCH($A190,'Source 2026'!$B:$B,0)),IFERROR(INDEX('Source 2025'!$C:$C,MATCH($A190,'Source 2025'!$B:$B,0)),""))</f>
        <v>חגורת גב +סגירה כפולה</v>
      </c>
      <c r="C190" s="9" t="n">
        <f aca="false">SUMIFS('Source 2025'!$Q:$Q,'Source 2025'!$B:$B,$A190,'Source 2025'!$A:$A,"Quantity (units)")</f>
        <v>28</v>
      </c>
      <c r="D190" s="9" t="n">
        <f aca="false">SUMIFS('Source 2026'!$Q:$Q,'Source 2026'!$B:$B,$A190,'Source 2026'!$A:$A,"Quantity (units)")</f>
        <v>26</v>
      </c>
      <c r="E190" s="9" t="n">
        <f aca="false">D190*$J$5</f>
        <v>32.8421052631579</v>
      </c>
      <c r="F190" s="9" t="n">
        <f aca="false">E190-C190</f>
        <v>4.84210526315789</v>
      </c>
      <c r="G190" s="11" t="n">
        <f aca="false">IF(AND(C190=0,E190=0),0,IF(C190=0,"New",(E190-C190)/C190))</f>
        <v>0.172932330827068</v>
      </c>
      <c r="H190" s="9" t="n">
        <f aca="false">SUMIFS('Source 2025'!$Q:$Q,'Source 2025'!$B:$B,$A190,'Source 2025'!$A:$A,"Amount (NIS)")</f>
        <v>2640.1</v>
      </c>
      <c r="I190" s="9" t="n">
        <f aca="false">SUMIFS('Source 2026'!$Q:$Q,'Source 2026'!$B:$B,$A190,'Source 2026'!$A:$A,"Amount (NIS)")</f>
        <v>2509.6</v>
      </c>
      <c r="J190" s="9" t="n">
        <f aca="false">I190*$J$5</f>
        <v>3170.02105263158</v>
      </c>
      <c r="K190" s="9" t="n">
        <f aca="false">J190-H190</f>
        <v>529.921052631579</v>
      </c>
      <c r="L190" s="11" t="n">
        <f aca="false">IF(AND(H190=0,J190=0),0,IF(H190=0,"New",(J190-H190)/H190))</f>
        <v>0.200720068418461</v>
      </c>
    </row>
    <row r="191" customFormat="false" ht="15" hidden="false" customHeight="true" outlineLevel="0" collapsed="false">
      <c r="A191" s="8" t="s">
        <v>291</v>
      </c>
      <c r="B191" s="8" t="str">
        <f aca="false">IFERROR(INDEX('Source 2026'!$C:$C,MATCH($A191,'Source 2026'!$B:$B,0)),IFERROR(INDEX('Source 2025'!$C:$C,MATCH($A191,'Source 2025'!$B:$B,0)),""))</f>
        <v>XL סד לאגודל כפפה</v>
      </c>
      <c r="C191" s="9" t="n">
        <f aca="false">SUMIFS('Source 2025'!$Q:$Q,'Source 2025'!$B:$B,$A191,'Source 2025'!$A:$A,"Quantity (units)")</f>
        <v>2</v>
      </c>
      <c r="D191" s="9" t="n">
        <f aca="false">SUMIFS('Source 2026'!$Q:$Q,'Source 2026'!$B:$B,$A191,'Source 2026'!$A:$A,"Quantity (units)")</f>
        <v>0</v>
      </c>
      <c r="E191" s="9" t="n">
        <f aca="false">D191*$J$5</f>
        <v>0</v>
      </c>
      <c r="F191" s="9" t="n">
        <f aca="false">E191-C191</f>
        <v>-2</v>
      </c>
      <c r="G191" s="11" t="n">
        <f aca="false">IF(AND(C191=0,E191=0),0,IF(C191=0,"New",(E191-C191)/C191))</f>
        <v>-1</v>
      </c>
      <c r="H191" s="9" t="n">
        <f aca="false">SUMIFS('Source 2025'!$Q:$Q,'Source 2025'!$B:$B,$A191,'Source 2025'!$A:$A,"Amount (NIS)")</f>
        <v>122.8</v>
      </c>
      <c r="I191" s="9" t="n">
        <f aca="false">SUMIFS('Source 2026'!$Q:$Q,'Source 2026'!$B:$B,$A191,'Source 2026'!$A:$A,"Amount (NIS)")</f>
        <v>0</v>
      </c>
      <c r="J191" s="9" t="n">
        <f aca="false">I191*$J$5</f>
        <v>0</v>
      </c>
      <c r="K191" s="9" t="n">
        <f aca="false">J191-H191</f>
        <v>-122.8</v>
      </c>
      <c r="L191" s="11" t="n">
        <f aca="false">IF(AND(H191=0,J191=0),0,IF(H191=0,"New",(J191-H191)/H191))</f>
        <v>-1</v>
      </c>
    </row>
    <row r="192" customFormat="false" ht="15" hidden="false" customHeight="true" outlineLevel="0" collapsed="false">
      <c r="A192" s="8" t="s">
        <v>377</v>
      </c>
      <c r="B192" s="8" t="str">
        <f aca="false">IFERROR(INDEX('Source 2026'!$C:$C,MATCH($A192,'Source 2026'!$B:$B,0)),IFERROR(INDEX('Source 2025'!$C:$C,MATCH($A192,'Source 2025'!$B:$B,0)),""))</f>
        <v>099 חגורת גב שרוכים</v>
      </c>
      <c r="C192" s="9" t="n">
        <f aca="false">SUMIFS('Source 2025'!$Q:$Q,'Source 2025'!$B:$B,$A192,'Source 2025'!$A:$A,"Quantity (units)")</f>
        <v>0</v>
      </c>
      <c r="D192" s="9" t="n">
        <f aca="false">SUMIFS('Source 2026'!$Q:$Q,'Source 2026'!$B:$B,$A192,'Source 2026'!$A:$A,"Quantity (units)")</f>
        <v>-1</v>
      </c>
      <c r="E192" s="9" t="n">
        <f aca="false">D192*$J$5</f>
        <v>-1.26315789473684</v>
      </c>
      <c r="F192" s="9" t="n">
        <f aca="false">E192-C192</f>
        <v>-1.26315789473684</v>
      </c>
      <c r="G192" s="11" t="str">
        <f aca="false">IF(AND(C192=0,E192=0),0,IF(C192=0,"New",(E192-C192)/C192))</f>
        <v>New</v>
      </c>
      <c r="H192" s="9" t="n">
        <f aca="false">SUMIFS('Source 2025'!$Q:$Q,'Source 2025'!$B:$B,$A192,'Source 2025'!$A:$A,"Amount (NIS)")</f>
        <v>0</v>
      </c>
      <c r="I192" s="9" t="n">
        <f aca="false">SUMIFS('Source 2026'!$Q:$Q,'Source 2026'!$B:$B,$A192,'Source 2026'!$A:$A,"Amount (NIS)")</f>
        <v>-118.8</v>
      </c>
      <c r="J192" s="9" t="n">
        <f aca="false">I192*$J$5</f>
        <v>-150.063157894737</v>
      </c>
      <c r="K192" s="9" t="n">
        <f aca="false">J192-H192</f>
        <v>-150.063157894737</v>
      </c>
      <c r="L192" s="11" t="str">
        <f aca="false">IF(AND(H192=0,J192=0),0,IF(H192=0,"New",(J192-H192)/H192))</f>
        <v>New</v>
      </c>
    </row>
    <row r="193" customFormat="false" ht="15" hidden="false" customHeight="true" outlineLevel="0" collapsed="false">
      <c r="A193" s="8" t="s">
        <v>368</v>
      </c>
      <c r="B193" s="8" t="str">
        <f aca="false">IFERROR(INDEX('Source 2026'!$C:$C,MATCH($A193,'Source 2026'!$B:$B,0)),IFERROR(INDEX('Source 2025'!$C:$C,MATCH($A193,'Source 2025'!$B:$B,0)),""))</f>
        <v>099 חגורת גב שרוכים</v>
      </c>
      <c r="C193" s="9" t="n">
        <f aca="false">SUMIFS('Source 2025'!$Q:$Q,'Source 2025'!$B:$B,$A193,'Source 2025'!$A:$A,"Quantity (units)")</f>
        <v>0</v>
      </c>
      <c r="D193" s="9" t="n">
        <f aca="false">SUMIFS('Source 2026'!$Q:$Q,'Source 2026'!$B:$B,$A193,'Source 2026'!$A:$A,"Quantity (units)")</f>
        <v>-1</v>
      </c>
      <c r="E193" s="9" t="n">
        <f aca="false">D193*$J$5</f>
        <v>-1.26315789473684</v>
      </c>
      <c r="F193" s="9" t="n">
        <f aca="false">E193-C193</f>
        <v>-1.26315789473684</v>
      </c>
      <c r="G193" s="11" t="str">
        <f aca="false">IF(AND(C193=0,E193=0),0,IF(C193=0,"New",(E193-C193)/C193))</f>
        <v>New</v>
      </c>
      <c r="H193" s="9" t="n">
        <f aca="false">SUMIFS('Source 2025'!$Q:$Q,'Source 2025'!$B:$B,$A193,'Source 2025'!$A:$A,"Amount (NIS)")</f>
        <v>0</v>
      </c>
      <c r="I193" s="9" t="n">
        <f aca="false">SUMIFS('Source 2026'!$Q:$Q,'Source 2026'!$B:$B,$A193,'Source 2026'!$A:$A,"Amount (NIS)")</f>
        <v>-118.8</v>
      </c>
      <c r="J193" s="9" t="n">
        <f aca="false">I193*$J$5</f>
        <v>-150.063157894737</v>
      </c>
      <c r="K193" s="9" t="n">
        <f aca="false">J193-H193</f>
        <v>-150.063157894737</v>
      </c>
      <c r="L193" s="11" t="str">
        <f aca="false">IF(AND(H193=0,J193=0),0,IF(H193=0,"New",(J193-H193)/H193))</f>
        <v>New</v>
      </c>
    </row>
    <row r="194" customFormat="false" ht="15" hidden="false" customHeight="true" outlineLevel="0" collapsed="false">
      <c r="A194" s="8" t="s">
        <v>279</v>
      </c>
      <c r="B194" s="8" t="str">
        <f aca="false">IFERROR(INDEX('Source 2026'!$C:$C,MATCH($A194,'Source 2026'!$B:$B,0)),IFERROR(INDEX('Source 2025'!$C:$C,MATCH($A194,'Source 2025'!$B:$B,0)),""))</f>
        <v>L מגן ברך מוצלב+מוט</v>
      </c>
      <c r="C194" s="9" t="n">
        <f aca="false">SUMIFS('Source 2025'!$Q:$Q,'Source 2025'!$B:$B,$A194,'Source 2025'!$A:$A,"Quantity (units)")</f>
        <v>-1</v>
      </c>
      <c r="D194" s="9" t="n">
        <f aca="false">SUMIFS('Source 2026'!$Q:$Q,'Source 2026'!$B:$B,$A194,'Source 2026'!$A:$A,"Quantity (units)")</f>
        <v>-2</v>
      </c>
      <c r="E194" s="9" t="n">
        <f aca="false">D194*$J$5</f>
        <v>-2.52631578947368</v>
      </c>
      <c r="F194" s="9" t="n">
        <f aca="false">E194-C194</f>
        <v>-1.52631578947368</v>
      </c>
      <c r="G194" s="11" t="n">
        <f aca="false">IF(AND(C194=0,E194=0),0,IF(C194=0,"New",(E194-C194)/C194))</f>
        <v>1.52631578947368</v>
      </c>
      <c r="H194" s="9" t="n">
        <f aca="false">SUMIFS('Source 2025'!$Q:$Q,'Source 2025'!$B:$B,$A194,'Source 2025'!$A:$A,"Amount (NIS)")</f>
        <v>-116.7</v>
      </c>
      <c r="I194" s="9" t="n">
        <f aca="false">SUMIFS('Source 2026'!$Q:$Q,'Source 2026'!$B:$B,$A194,'Source 2026'!$A:$A,"Amount (NIS)")</f>
        <v>-233.4</v>
      </c>
      <c r="J194" s="9" t="n">
        <f aca="false">I194*$J$5</f>
        <v>-294.821052631579</v>
      </c>
      <c r="K194" s="9" t="n">
        <f aca="false">J194-H194</f>
        <v>-178.121052631579</v>
      </c>
      <c r="L194" s="11" t="n">
        <f aca="false">IF(AND(H194=0,J194=0),0,IF(H194=0,"New",(J194-H194)/H194))</f>
        <v>1.52631578947368</v>
      </c>
    </row>
    <row r="195" customFormat="false" ht="15" hidden="false" customHeight="true" outlineLevel="0" collapsed="false">
      <c r="A195" s="8" t="s">
        <v>281</v>
      </c>
      <c r="B195" s="8" t="str">
        <f aca="false">IFERROR(INDEX('Source 2026'!$C:$C,MATCH($A195,'Source 2026'!$B:$B,0)),IFERROR(INDEX('Source 2025'!$C:$C,MATCH($A195,'Source 2025'!$B:$B,0)),""))</f>
        <v>סד לקרסול עם כריות אויר</v>
      </c>
      <c r="C195" s="9" t="n">
        <f aca="false">SUMIFS('Source 2025'!$Q:$Q,'Source 2025'!$B:$B,$A195,'Source 2025'!$A:$A,"Quantity (units)")</f>
        <v>1</v>
      </c>
      <c r="D195" s="9" t="n">
        <f aca="false">SUMIFS('Source 2026'!$Q:$Q,'Source 2026'!$B:$B,$A195,'Source 2026'!$A:$A,"Quantity (units)")</f>
        <v>4</v>
      </c>
      <c r="E195" s="9" t="n">
        <f aca="false">D195*$J$5</f>
        <v>5.05263157894737</v>
      </c>
      <c r="F195" s="9" t="n">
        <f aca="false">E195-C195</f>
        <v>4.05263157894737</v>
      </c>
      <c r="G195" s="11" t="n">
        <f aca="false">IF(AND(C195=0,E195=0),0,IF(C195=0,"New",(E195-C195)/C195))</f>
        <v>4.05263157894737</v>
      </c>
      <c r="H195" s="9" t="n">
        <f aca="false">SUMIFS('Source 2025'!$Q:$Q,'Source 2025'!$B:$B,$A195,'Source 2025'!$A:$A,"Amount (NIS)")</f>
        <v>143.4</v>
      </c>
      <c r="I195" s="9" t="n">
        <f aca="false">SUMIFS('Source 2026'!$Q:$Q,'Source 2026'!$B:$B,$A195,'Source 2026'!$A:$A,"Amount (NIS)")</f>
        <v>257.2</v>
      </c>
      <c r="J195" s="9" t="n">
        <f aca="false">I195*$J$5</f>
        <v>324.884210526316</v>
      </c>
      <c r="K195" s="9" t="n">
        <f aca="false">J195-H195</f>
        <v>181.484210526316</v>
      </c>
      <c r="L195" s="11" t="n">
        <f aca="false">IF(AND(H195=0,J195=0),0,IF(H195=0,"New",(J195-H195)/H195))</f>
        <v>1.26558026866329</v>
      </c>
    </row>
    <row r="196" customFormat="false" ht="15" hidden="false" customHeight="true" outlineLevel="0" collapsed="false">
      <c r="A196" s="8" t="s">
        <v>300</v>
      </c>
      <c r="B196" s="8" t="str">
        <f aca="false">IFERROR(INDEX('Source 2026'!$C:$C,MATCH($A196,'Source 2026'!$B:$B,0)),IFERROR(INDEX('Source 2025'!$C:$C,MATCH($A196,'Source 2025'!$B:$B,0)),""))</f>
        <v>ריפוד סיליקון לנעלי אצבע</v>
      </c>
      <c r="C196" s="9" t="n">
        <f aca="false">SUMIFS('Source 2025'!$Q:$Q,'Source 2025'!$B:$B,$A196,'Source 2025'!$A:$A,"Quantity (units)")</f>
        <v>-3</v>
      </c>
      <c r="D196" s="9" t="n">
        <f aca="false">SUMIFS('Source 2026'!$Q:$Q,'Source 2026'!$B:$B,$A196,'Source 2026'!$A:$A,"Quantity (units)")</f>
        <v>1</v>
      </c>
      <c r="E196" s="9" t="n">
        <f aca="false">D196*$J$5</f>
        <v>1.26315789473684</v>
      </c>
      <c r="F196" s="9" t="n">
        <f aca="false">E196-C196</f>
        <v>4.26315789473684</v>
      </c>
      <c r="G196" s="11" t="n">
        <f aca="false">IF(AND(C196=0,E196=0),0,IF(C196=0,"New",(E196-C196)/C196))</f>
        <v>-1.42105263157895</v>
      </c>
      <c r="H196" s="9" t="n">
        <f aca="false">SUMIFS('Source 2025'!$Q:$Q,'Source 2025'!$B:$B,$A196,'Source 2025'!$A:$A,"Amount (NIS)")</f>
        <v>-85.8</v>
      </c>
      <c r="I196" s="9" t="n">
        <f aca="false">SUMIFS('Source 2026'!$Q:$Q,'Source 2026'!$B:$B,$A196,'Source 2026'!$A:$A,"Amount (NIS)")</f>
        <v>24.3</v>
      </c>
      <c r="J196" s="9" t="n">
        <f aca="false">I196*$J$5</f>
        <v>30.6947368421053</v>
      </c>
      <c r="K196" s="9" t="n">
        <f aca="false">J196-H196</f>
        <v>116.494736842105</v>
      </c>
      <c r="L196" s="11" t="n">
        <f aca="false">IF(AND(H196=0,J196=0),0,IF(H196=0,"New",(J196-H196)/H196))</f>
        <v>-1.35774751564225</v>
      </c>
    </row>
    <row r="197" customFormat="false" ht="15" hidden="false" customHeight="true" outlineLevel="0" collapsed="false">
      <c r="A197" s="8" t="s">
        <v>378</v>
      </c>
      <c r="B197" s="8" t="str">
        <f aca="false">IFERROR(INDEX('Source 2026'!$C:$C,MATCH($A197,'Source 2026'!$B:$B,0)),IFERROR(INDEX('Source 2025'!$C:$C,MATCH($A197,'Source 2025'!$B:$B,0)),""))</f>
        <v>קרסול עם שרוכים בז</v>
      </c>
      <c r="C197" s="9" t="n">
        <f aca="false">SUMIFS('Source 2025'!$Q:$Q,'Source 2025'!$B:$B,$A197,'Source 2025'!$A:$A,"Quantity (units)")</f>
        <v>-1</v>
      </c>
      <c r="D197" s="9" t="n">
        <f aca="false">SUMIFS('Source 2026'!$Q:$Q,'Source 2026'!$B:$B,$A197,'Source 2026'!$A:$A,"Quantity (units)")</f>
        <v>0</v>
      </c>
      <c r="E197" s="9" t="n">
        <f aca="false">D197*$J$5</f>
        <v>0</v>
      </c>
      <c r="F197" s="9" t="n">
        <f aca="false">E197-C197</f>
        <v>1</v>
      </c>
      <c r="G197" s="11" t="n">
        <f aca="false">IF(AND(C197=0,E197=0),0,IF(C197=0,"New",(E197-C197)/C197))</f>
        <v>-1</v>
      </c>
      <c r="H197" s="9" t="n">
        <f aca="false">SUMIFS('Source 2025'!$Q:$Q,'Source 2025'!$B:$B,$A197,'Source 2025'!$A:$A,"Amount (NIS)")</f>
        <v>-106.5</v>
      </c>
      <c r="I197" s="9" t="n">
        <f aca="false">SUMIFS('Source 2026'!$Q:$Q,'Source 2026'!$B:$B,$A197,'Source 2026'!$A:$A,"Amount (NIS)")</f>
        <v>0</v>
      </c>
      <c r="J197" s="9" t="n">
        <f aca="false">I197*$J$5</f>
        <v>0</v>
      </c>
      <c r="K197" s="9" t="n">
        <f aca="false">J197-H197</f>
        <v>106.5</v>
      </c>
      <c r="L197" s="11" t="n">
        <f aca="false">IF(AND(H197=0,J197=0),0,IF(H197=0,"New",(J197-H197)/H197))</f>
        <v>-1</v>
      </c>
    </row>
    <row r="198" customFormat="false" ht="15" hidden="false" customHeight="true" outlineLevel="0" collapsed="false">
      <c r="A198" s="8" t="s">
        <v>379</v>
      </c>
      <c r="B198" s="8" t="str">
        <f aca="false">IFERROR(INDEX('Source 2026'!$C:$C,MATCH($A198,'Source 2026'!$B:$B,0)),IFERROR(INDEX('Source 2025'!$C:$C,MATCH($A198,'Source 2025'!$B:$B,0)),""))</f>
        <v>קרסול עם שרוכים בז</v>
      </c>
      <c r="C198" s="9" t="n">
        <f aca="false">SUMIFS('Source 2025'!$Q:$Q,'Source 2025'!$B:$B,$A198,'Source 2025'!$A:$A,"Quantity (units)")</f>
        <v>-1</v>
      </c>
      <c r="D198" s="9" t="n">
        <f aca="false">SUMIFS('Source 2026'!$Q:$Q,'Source 2026'!$B:$B,$A198,'Source 2026'!$A:$A,"Quantity (units)")</f>
        <v>0</v>
      </c>
      <c r="E198" s="9" t="n">
        <f aca="false">D198*$J$5</f>
        <v>0</v>
      </c>
      <c r="F198" s="9" t="n">
        <f aca="false">E198-C198</f>
        <v>1</v>
      </c>
      <c r="G198" s="11" t="n">
        <f aca="false">IF(AND(C198=0,E198=0),0,IF(C198=0,"New",(E198-C198)/C198))</f>
        <v>-1</v>
      </c>
      <c r="H198" s="9" t="n">
        <f aca="false">SUMIFS('Source 2025'!$Q:$Q,'Source 2025'!$B:$B,$A198,'Source 2025'!$A:$A,"Amount (NIS)")</f>
        <v>-106.5</v>
      </c>
      <c r="I198" s="9" t="n">
        <f aca="false">SUMIFS('Source 2026'!$Q:$Q,'Source 2026'!$B:$B,$A198,'Source 2026'!$A:$A,"Amount (NIS)")</f>
        <v>0</v>
      </c>
      <c r="J198" s="9" t="n">
        <f aca="false">I198*$J$5</f>
        <v>0</v>
      </c>
      <c r="K198" s="9" t="n">
        <f aca="false">J198-H198</f>
        <v>106.5</v>
      </c>
      <c r="L198" s="11" t="n">
        <f aca="false">IF(AND(H198=0,J198=0),0,IF(H198=0,"New",(J198-H198)/H198))</f>
        <v>-1</v>
      </c>
    </row>
    <row r="199" customFormat="false" ht="15" hidden="false" customHeight="true" outlineLevel="0" collapsed="false">
      <c r="A199" s="8" t="s">
        <v>380</v>
      </c>
      <c r="B199" s="8" t="str">
        <f aca="false">IFERROR(INDEX('Source 2026'!$C:$C,MATCH($A199,'Source 2026'!$B:$B,0)),IFERROR(INDEX('Source 2025'!$C:$C,MATCH($A199,'Source 2025'!$B:$B,0)),""))</f>
        <v>קרסול עם שרוכים בז</v>
      </c>
      <c r="C199" s="9" t="n">
        <f aca="false">SUMIFS('Source 2025'!$Q:$Q,'Source 2025'!$B:$B,$A199,'Source 2025'!$A:$A,"Quantity (units)")</f>
        <v>-1</v>
      </c>
      <c r="D199" s="9" t="n">
        <f aca="false">SUMIFS('Source 2026'!$Q:$Q,'Source 2026'!$B:$B,$A199,'Source 2026'!$A:$A,"Quantity (units)")</f>
        <v>0</v>
      </c>
      <c r="E199" s="9" t="n">
        <f aca="false">D199*$J$5</f>
        <v>0</v>
      </c>
      <c r="F199" s="9" t="n">
        <f aca="false">E199-C199</f>
        <v>1</v>
      </c>
      <c r="G199" s="11" t="n">
        <f aca="false">IF(AND(C199=0,E199=0),0,IF(C199=0,"New",(E199-C199)/C199))</f>
        <v>-1</v>
      </c>
      <c r="H199" s="9" t="n">
        <f aca="false">SUMIFS('Source 2025'!$Q:$Q,'Source 2025'!$B:$B,$A199,'Source 2025'!$A:$A,"Amount (NIS)")</f>
        <v>-106.5</v>
      </c>
      <c r="I199" s="9" t="n">
        <f aca="false">SUMIFS('Source 2026'!$Q:$Q,'Source 2026'!$B:$B,$A199,'Source 2026'!$A:$A,"Amount (NIS)")</f>
        <v>0</v>
      </c>
      <c r="J199" s="9" t="n">
        <f aca="false">I199*$J$5</f>
        <v>0</v>
      </c>
      <c r="K199" s="9" t="n">
        <f aca="false">J199-H199</f>
        <v>106.5</v>
      </c>
      <c r="L199" s="11" t="n">
        <f aca="false">IF(AND(H199=0,J199=0),0,IF(H199=0,"New",(J199-H199)/H199))</f>
        <v>-1</v>
      </c>
    </row>
    <row r="200" customFormat="false" ht="15" hidden="false" customHeight="true" outlineLevel="0" collapsed="false">
      <c r="A200" s="8" t="s">
        <v>123</v>
      </c>
      <c r="B200" s="8" t="str">
        <f aca="false">IFERROR(INDEX('Source 2026'!$C:$C,MATCH($A200,'Source 2026'!$B:$B,0)),IFERROR(INDEX('Source 2025'!$C:$C,MATCH($A200,'Source 2025'!$B:$B,0)),""))</f>
        <v>Lעקבים סיליקון כחול לדורבן</v>
      </c>
      <c r="C200" s="9" t="n">
        <f aca="false">SUMIFS('Source 2025'!$Q:$Q,'Source 2025'!$B:$B,$A200,'Source 2025'!$A:$A,"Quantity (units)")</f>
        <v>-5</v>
      </c>
      <c r="D200" s="9" t="n">
        <f aca="false">SUMIFS('Source 2026'!$Q:$Q,'Source 2026'!$B:$B,$A200,'Source 2026'!$A:$A,"Quantity (units)")</f>
        <v>-3</v>
      </c>
      <c r="E200" s="9" t="n">
        <f aca="false">D200*$J$5</f>
        <v>-3.78947368421053</v>
      </c>
      <c r="F200" s="9" t="n">
        <f aca="false">E200-C200</f>
        <v>1.21052631578947</v>
      </c>
      <c r="G200" s="11" t="n">
        <f aca="false">IF(AND(C200=0,E200=0),0,IF(C200=0,"New",(E200-C200)/C200))</f>
        <v>-0.242105263157895</v>
      </c>
      <c r="H200" s="9" t="n">
        <f aca="false">SUMIFS('Source 2025'!$Q:$Q,'Source 2025'!$B:$B,$A200,'Source 2025'!$A:$A,"Amount (NIS)")</f>
        <v>-245.6</v>
      </c>
      <c r="I200" s="9" t="n">
        <f aca="false">SUMIFS('Source 2026'!$Q:$Q,'Source 2026'!$B:$B,$A200,'Source 2026'!$A:$A,"Amount (NIS)")</f>
        <v>-149.4</v>
      </c>
      <c r="J200" s="9" t="n">
        <f aca="false">I200*$J$5</f>
        <v>-188.715789473684</v>
      </c>
      <c r="K200" s="9" t="n">
        <f aca="false">J200-H200</f>
        <v>56.8842105263158</v>
      </c>
      <c r="L200" s="11" t="n">
        <f aca="false">IF(AND(H200=0,J200=0),0,IF(H200=0,"New",(J200-H200)/H200))</f>
        <v>-0.231613235042002</v>
      </c>
    </row>
    <row r="201" customFormat="false" ht="15" hidden="false" customHeight="true" outlineLevel="0" collapsed="false">
      <c r="A201" s="8" t="s">
        <v>272</v>
      </c>
      <c r="B201" s="8" t="str">
        <f aca="false">IFERROR(INDEX('Source 2026'!$C:$C,MATCH($A201,'Source 2026'!$B:$B,0)),IFERROR(INDEX('Source 2025'!$C:$C,MATCH($A201,'Source 2025'!$B:$B,0)),""))</f>
        <v>S מגן ברך רגיל</v>
      </c>
      <c r="C201" s="9" t="n">
        <f aca="false">SUMIFS('Source 2025'!$Q:$Q,'Source 2025'!$B:$B,$A201,'Source 2025'!$A:$A,"Quantity (units)")</f>
        <v>25</v>
      </c>
      <c r="D201" s="9" t="n">
        <f aca="false">SUMIFS('Source 2026'!$Q:$Q,'Source 2026'!$B:$B,$A201,'Source 2026'!$A:$A,"Quantity (units)")</f>
        <v>24</v>
      </c>
      <c r="E201" s="9" t="n">
        <f aca="false">D201*$J$5</f>
        <v>30.3157894736842</v>
      </c>
      <c r="F201" s="9" t="n">
        <f aca="false">E201-C201</f>
        <v>5.31578947368421</v>
      </c>
      <c r="G201" s="11" t="n">
        <f aca="false">IF(AND(C201=0,E201=0),0,IF(C201=0,"New",(E201-C201)/C201))</f>
        <v>0.212631578947368</v>
      </c>
      <c r="H201" s="9" t="n">
        <f aca="false">SUMIFS('Source 2025'!$Q:$Q,'Source 2025'!$B:$B,$A201,'Source 2025'!$A:$A,"Amount (NIS)")</f>
        <v>2254.3</v>
      </c>
      <c r="I201" s="9" t="n">
        <f aca="false">SUMIFS('Source 2026'!$Q:$Q,'Source 2026'!$B:$B,$A201,'Source 2026'!$A:$A,"Amount (NIS)")</f>
        <v>2159.2</v>
      </c>
      <c r="J201" s="9" t="n">
        <f aca="false">I201*$J$5</f>
        <v>2727.41052631579</v>
      </c>
      <c r="K201" s="9" t="n">
        <f aca="false">J201-H201</f>
        <v>473.110526315789</v>
      </c>
      <c r="L201" s="11" t="n">
        <f aca="false">IF(AND(H201=0,J201=0),0,IF(H201=0,"New",(J201-H201)/H201))</f>
        <v>0.209870259644142</v>
      </c>
    </row>
    <row r="202" customFormat="false" ht="15" hidden="false" customHeight="true" outlineLevel="0" collapsed="false">
      <c r="A202" s="8" t="s">
        <v>294</v>
      </c>
      <c r="B202" s="8" t="str">
        <f aca="false">IFERROR(INDEX('Source 2026'!$C:$C,MATCH($A202,'Source 2026'!$B:$B,0)),IFERROR(INDEX('Source 2025'!$C:$C,MATCH($A202,'Source 2025'!$B:$B,0)),""))</f>
        <v>L-XL 'סד יד שמאל בז</v>
      </c>
      <c r="C202" s="9" t="n">
        <f aca="false">SUMIFS('Source 2025'!$Q:$Q,'Source 2025'!$B:$B,$A202,'Source 2025'!$A:$A,"Quantity (units)")</f>
        <v>-2</v>
      </c>
      <c r="D202" s="9" t="n">
        <f aca="false">SUMIFS('Source 2026'!$Q:$Q,'Source 2026'!$B:$B,$A202,'Source 2026'!$A:$A,"Quantity (units)")</f>
        <v>-1</v>
      </c>
      <c r="E202" s="9" t="n">
        <f aca="false">D202*$J$5</f>
        <v>-1.26315789473684</v>
      </c>
      <c r="F202" s="9" t="n">
        <f aca="false">E202-C202</f>
        <v>0.736842105263158</v>
      </c>
      <c r="G202" s="11" t="n">
        <f aca="false">IF(AND(C202=0,E202=0),0,IF(C202=0,"New",(E202-C202)/C202))</f>
        <v>-0.368421052631579</v>
      </c>
      <c r="H202" s="9" t="n">
        <f aca="false">SUMIFS('Source 2025'!$Q:$Q,'Source 2025'!$B:$B,$A202,'Source 2025'!$A:$A,"Amount (NIS)")</f>
        <v>-188.4</v>
      </c>
      <c r="I202" s="9" t="n">
        <f aca="false">SUMIFS('Source 2026'!$Q:$Q,'Source 2026'!$B:$B,$A202,'Source 2026'!$A:$A,"Amount (NIS)")</f>
        <v>-94.2</v>
      </c>
      <c r="J202" s="9" t="n">
        <f aca="false">I202*$J$5</f>
        <v>-118.989473684211</v>
      </c>
      <c r="K202" s="9" t="n">
        <f aca="false">J202-H202</f>
        <v>69.4105263157895</v>
      </c>
      <c r="L202" s="11" t="n">
        <f aca="false">IF(AND(H202=0,J202=0),0,IF(H202=0,"New",(J202-H202)/H202))</f>
        <v>-0.368421052631579</v>
      </c>
    </row>
    <row r="203" customFormat="false" ht="15" hidden="false" customHeight="true" outlineLevel="0" collapsed="false">
      <c r="A203" s="8" t="s">
        <v>381</v>
      </c>
      <c r="B203" s="8" t="str">
        <f aca="false">IFERROR(INDEX('Source 2026'!$C:$C,MATCH($A203,'Source 2026'!$B:$B,0)),IFERROR(INDEX('Source 2025'!$C:$C,MATCH($A203,'Source 2025'!$B:$B,0)),""))</f>
        <v>R-M סד ליד ימין</v>
      </c>
      <c r="C203" s="9" t="n">
        <f aca="false">SUMIFS('Source 2025'!$Q:$Q,'Source 2025'!$B:$B,$A203,'Source 2025'!$A:$A,"Quantity (units)")</f>
        <v>0</v>
      </c>
      <c r="D203" s="9" t="n">
        <f aca="false">SUMIFS('Source 2026'!$Q:$Q,'Source 2026'!$B:$B,$A203,'Source 2026'!$A:$A,"Quantity (units)")</f>
        <v>-1</v>
      </c>
      <c r="E203" s="9" t="n">
        <f aca="false">D203*$J$5</f>
        <v>-1.26315789473684</v>
      </c>
      <c r="F203" s="9" t="n">
        <f aca="false">E203-C203</f>
        <v>-1.26315789473684</v>
      </c>
      <c r="G203" s="11" t="str">
        <f aca="false">IF(AND(C203=0,E203=0),0,IF(C203=0,"New",(E203-C203)/C203))</f>
        <v>New</v>
      </c>
      <c r="H203" s="9" t="n">
        <f aca="false">SUMIFS('Source 2025'!$Q:$Q,'Source 2025'!$B:$B,$A203,'Source 2025'!$A:$A,"Amount (NIS)")</f>
        <v>0</v>
      </c>
      <c r="I203" s="9" t="n">
        <f aca="false">SUMIFS('Source 2026'!$Q:$Q,'Source 2026'!$B:$B,$A203,'Source 2026'!$A:$A,"Amount (NIS)")</f>
        <v>-90.1</v>
      </c>
      <c r="J203" s="9" t="n">
        <f aca="false">I203*$J$5</f>
        <v>-113.810526315789</v>
      </c>
      <c r="K203" s="9" t="n">
        <f aca="false">J203-H203</f>
        <v>-113.810526315789</v>
      </c>
      <c r="L203" s="11" t="str">
        <f aca="false">IF(AND(H203=0,J203=0),0,IF(H203=0,"New",(J203-H203)/H203))</f>
        <v>New</v>
      </c>
    </row>
    <row r="204" customFormat="false" ht="15" hidden="false" customHeight="true" outlineLevel="0" collapsed="false">
      <c r="A204" s="8" t="s">
        <v>382</v>
      </c>
      <c r="B204" s="8" t="str">
        <f aca="false">IFERROR(INDEX('Source 2026'!$C:$C,MATCH($A204,'Source 2026'!$B:$B,0)),IFERROR(INDEX('Source 2025'!$C:$C,MATCH($A204,'Source 2025'!$B:$B,0)),""))</f>
        <v>צוארון ספוגי</v>
      </c>
      <c r="C204" s="9" t="n">
        <f aca="false">SUMIFS('Source 2025'!$Q:$Q,'Source 2025'!$B:$B,$A204,'Source 2025'!$A:$A,"Quantity (units)")</f>
        <v>-3</v>
      </c>
      <c r="D204" s="9" t="n">
        <f aca="false">SUMIFS('Source 2026'!$Q:$Q,'Source 2026'!$B:$B,$A204,'Source 2026'!$A:$A,"Quantity (units)")</f>
        <v>0</v>
      </c>
      <c r="E204" s="9" t="n">
        <f aca="false">D204*$J$5</f>
        <v>0</v>
      </c>
      <c r="F204" s="9" t="n">
        <f aca="false">E204-C204</f>
        <v>3</v>
      </c>
      <c r="G204" s="11" t="n">
        <f aca="false">IF(AND(C204=0,E204=0),0,IF(C204=0,"New",(E204-C204)/C204))</f>
        <v>-1</v>
      </c>
      <c r="H204" s="9" t="n">
        <f aca="false">SUMIFS('Source 2025'!$Q:$Q,'Source 2025'!$B:$B,$A204,'Source 2025'!$A:$A,"Amount (NIS)")</f>
        <v>-90</v>
      </c>
      <c r="I204" s="9" t="n">
        <f aca="false">SUMIFS('Source 2026'!$Q:$Q,'Source 2026'!$B:$B,$A204,'Source 2026'!$A:$A,"Amount (NIS)")</f>
        <v>0</v>
      </c>
      <c r="J204" s="9" t="n">
        <f aca="false">I204*$J$5</f>
        <v>0</v>
      </c>
      <c r="K204" s="9" t="n">
        <f aca="false">J204-H204</f>
        <v>90</v>
      </c>
      <c r="L204" s="11" t="n">
        <f aca="false">IF(AND(H204=0,J204=0),0,IF(H204=0,"New",(J204-H204)/H204))</f>
        <v>-1</v>
      </c>
    </row>
    <row r="205" customFormat="false" ht="15" hidden="false" customHeight="true" outlineLevel="0" collapsed="false">
      <c r="A205" s="8" t="s">
        <v>180</v>
      </c>
      <c r="B205" s="8" t="str">
        <f aca="false">IFERROR(INDEX('Source 2026'!$C:$C,MATCH($A205,'Source 2026'!$B:$B,0)),IFERROR(INDEX('Source 2025'!$C:$C,MATCH($A205,'Source 2025'!$B:$B,0)),""))</f>
        <v>להסרת עור קשה</v>
      </c>
      <c r="C205" s="9" t="n">
        <f aca="false">SUMIFS('Source 2025'!$Q:$Q,'Source 2025'!$B:$B,$A205,'Source 2025'!$A:$A,"Quantity (units)")</f>
        <v>0</v>
      </c>
      <c r="D205" s="9" t="n">
        <f aca="false">SUMIFS('Source 2026'!$Q:$Q,'Source 2026'!$B:$B,$A205,'Source 2026'!$A:$A,"Quantity (units)")</f>
        <v>-4</v>
      </c>
      <c r="E205" s="9" t="n">
        <f aca="false">D205*$J$5</f>
        <v>-5.05263157894737</v>
      </c>
      <c r="F205" s="9" t="n">
        <f aca="false">E205-C205</f>
        <v>-5.05263157894737</v>
      </c>
      <c r="G205" s="11" t="str">
        <f aca="false">IF(AND(C205=0,E205=0),0,IF(C205=0,"New",(E205-C205)/C205))</f>
        <v>New</v>
      </c>
      <c r="H205" s="9" t="n">
        <f aca="false">SUMIFS('Source 2025'!$Q:$Q,'Source 2025'!$B:$B,$A205,'Source 2025'!$A:$A,"Amount (NIS)")</f>
        <v>0</v>
      </c>
      <c r="I205" s="9" t="n">
        <f aca="false">SUMIFS('Source 2026'!$Q:$Q,'Source 2026'!$B:$B,$A205,'Source 2026'!$A:$A,"Amount (NIS)")</f>
        <v>-81.2</v>
      </c>
      <c r="J205" s="9" t="n">
        <f aca="false">I205*$J$5</f>
        <v>-102.568421052632</v>
      </c>
      <c r="K205" s="9" t="n">
        <f aca="false">J205-H205</f>
        <v>-102.568421052632</v>
      </c>
      <c r="L205" s="11" t="str">
        <f aca="false">IF(AND(H205=0,J205=0),0,IF(H205=0,"New",(J205-H205)/H205))</f>
        <v>New</v>
      </c>
    </row>
    <row r="206" customFormat="false" ht="15" hidden="false" customHeight="true" outlineLevel="0" collapsed="false">
      <c r="A206" s="8" t="s">
        <v>383</v>
      </c>
      <c r="B206" s="8" t="str">
        <f aca="false">IFERROR(INDEX('Source 2026'!$C:$C,MATCH($A206,'Source 2026'!$B:$B,0)),IFERROR(INDEX('Source 2025'!$C:$C,MATCH($A206,'Source 2025'!$B:$B,0)),""))</f>
        <v>S'תתחגורת בטן עממית בז</v>
      </c>
      <c r="C206" s="9" t="n">
        <f aca="false">SUMIFS('Source 2025'!$Q:$Q,'Source 2025'!$B:$B,$A206,'Source 2025'!$A:$A,"Quantity (units)")</f>
        <v>0</v>
      </c>
      <c r="D206" s="9" t="n">
        <f aca="false">SUMIFS('Source 2026'!$Q:$Q,'Source 2026'!$B:$B,$A206,'Source 2026'!$A:$A,"Quantity (units)")</f>
        <v>-1</v>
      </c>
      <c r="E206" s="9" t="n">
        <f aca="false">D206*$J$5</f>
        <v>-1.26315789473684</v>
      </c>
      <c r="F206" s="9" t="n">
        <f aca="false">E206-C206</f>
        <v>-1.26315789473684</v>
      </c>
      <c r="G206" s="11" t="str">
        <f aca="false">IF(AND(C206=0,E206=0),0,IF(C206=0,"New",(E206-C206)/C206))</f>
        <v>New</v>
      </c>
      <c r="H206" s="9" t="n">
        <f aca="false">SUMIFS('Source 2025'!$Q:$Q,'Source 2025'!$B:$B,$A206,'Source 2025'!$A:$A,"Amount (NIS)")</f>
        <v>0</v>
      </c>
      <c r="I206" s="9" t="n">
        <f aca="false">SUMIFS('Source 2026'!$Q:$Q,'Source 2026'!$B:$B,$A206,'Source 2026'!$A:$A,"Amount (NIS)")</f>
        <v>-77.8</v>
      </c>
      <c r="J206" s="9" t="n">
        <f aca="false">I206*$J$5</f>
        <v>-98.2736842105263</v>
      </c>
      <c r="K206" s="9" t="n">
        <f aca="false">J206-H206</f>
        <v>-98.2736842105263</v>
      </c>
      <c r="L206" s="11" t="str">
        <f aca="false">IF(AND(H206=0,J206=0),0,IF(H206=0,"New",(J206-H206)/H206))</f>
        <v>New</v>
      </c>
    </row>
    <row r="207" customFormat="false" ht="15" hidden="false" customHeight="true" outlineLevel="0" collapsed="false">
      <c r="A207" s="8" t="s">
        <v>384</v>
      </c>
      <c r="B207" s="8" t="str">
        <f aca="false">IFERROR(INDEX('Source 2026'!$C:$C,MATCH($A207,'Source 2026'!$B:$B,0)),IFERROR(INDEX('Source 2025'!$C:$C,MATCH($A207,'Source 2025'!$B:$B,0)),""))</f>
        <v>רצועת פיקה לברך</v>
      </c>
      <c r="C207" s="9" t="n">
        <f aca="false">SUMIFS('Source 2025'!$Q:$Q,'Source 2025'!$B:$B,$A207,'Source 2025'!$A:$A,"Quantity (units)")</f>
        <v>-1</v>
      </c>
      <c r="D207" s="9" t="n">
        <f aca="false">SUMIFS('Source 2026'!$Q:$Q,'Source 2026'!$B:$B,$A207,'Source 2026'!$A:$A,"Quantity (units)")</f>
        <v>-2</v>
      </c>
      <c r="E207" s="9" t="n">
        <f aca="false">D207*$J$5</f>
        <v>-2.52631578947368</v>
      </c>
      <c r="F207" s="9" t="n">
        <f aca="false">E207-C207</f>
        <v>-1.52631578947368</v>
      </c>
      <c r="G207" s="11" t="n">
        <f aca="false">IF(AND(C207=0,E207=0),0,IF(C207=0,"New",(E207-C207)/C207))</f>
        <v>1.52631578947368</v>
      </c>
      <c r="H207" s="9" t="n">
        <f aca="false">SUMIFS('Source 2025'!$Q:$Q,'Source 2025'!$B:$B,$A207,'Source 2025'!$A:$A,"Amount (NIS)")</f>
        <v>-73.9</v>
      </c>
      <c r="I207" s="9" t="n">
        <f aca="false">SUMIFS('Source 2026'!$Q:$Q,'Source 2026'!$B:$B,$A207,'Source 2026'!$A:$A,"Amount (NIS)")</f>
        <v>-147.8</v>
      </c>
      <c r="J207" s="9" t="n">
        <f aca="false">I207*$J$5</f>
        <v>-186.694736842105</v>
      </c>
      <c r="K207" s="9" t="n">
        <f aca="false">J207-H207</f>
        <v>-112.794736842105</v>
      </c>
      <c r="L207" s="11" t="n">
        <f aca="false">IF(AND(H207=0,J207=0),0,IF(H207=0,"New",(J207-H207)/H207))</f>
        <v>1.52631578947368</v>
      </c>
    </row>
    <row r="208" customFormat="false" ht="15" hidden="false" customHeight="true" outlineLevel="0" collapsed="false">
      <c r="A208" s="8" t="s">
        <v>313</v>
      </c>
      <c r="B208" s="8" t="str">
        <f aca="false">IFERROR(INDEX('Source 2026'!$C:$C,MATCH($A208,'Source 2026'!$B:$B,0)),IFERROR(INDEX('Source 2025'!$C:$C,MATCH($A208,'Source 2025'!$B:$B,0)),""))</f>
        <v>L מתלה אשכים לספורטאים</v>
      </c>
      <c r="C208" s="9" t="n">
        <f aca="false">SUMIFS('Source 2025'!$Q:$Q,'Source 2025'!$B:$B,$A208,'Source 2025'!$A:$A,"Quantity (units)")</f>
        <v>-1</v>
      </c>
      <c r="D208" s="9" t="n">
        <f aca="false">SUMIFS('Source 2026'!$Q:$Q,'Source 2026'!$B:$B,$A208,'Source 2026'!$A:$A,"Quantity (units)")</f>
        <v>0</v>
      </c>
      <c r="E208" s="9" t="n">
        <f aca="false">D208*$J$5</f>
        <v>0</v>
      </c>
      <c r="F208" s="9" t="n">
        <f aca="false">E208-C208</f>
        <v>1</v>
      </c>
      <c r="G208" s="11" t="n">
        <f aca="false">IF(AND(C208=0,E208=0),0,IF(C208=0,"New",(E208-C208)/C208))</f>
        <v>-1</v>
      </c>
      <c r="H208" s="9" t="n">
        <f aca="false">SUMIFS('Source 2025'!$Q:$Q,'Source 2025'!$B:$B,$A208,'Source 2025'!$A:$A,"Amount (NIS)")</f>
        <v>-71.3</v>
      </c>
      <c r="I208" s="9" t="n">
        <f aca="false">SUMIFS('Source 2026'!$Q:$Q,'Source 2026'!$B:$B,$A208,'Source 2026'!$A:$A,"Amount (NIS)")</f>
        <v>0</v>
      </c>
      <c r="J208" s="9" t="n">
        <f aca="false">I208*$J$5</f>
        <v>0</v>
      </c>
      <c r="K208" s="9" t="n">
        <f aca="false">J208-H208</f>
        <v>71.3</v>
      </c>
      <c r="L208" s="11" t="n">
        <f aca="false">IF(AND(H208=0,J208=0),0,IF(H208=0,"New",(J208-H208)/H208))</f>
        <v>-1</v>
      </c>
    </row>
    <row r="209" customFormat="false" ht="15" hidden="false" customHeight="true" outlineLevel="0" collapsed="false">
      <c r="A209" s="8" t="s">
        <v>347</v>
      </c>
      <c r="B209" s="8" t="str">
        <f aca="false">IFERROR(INDEX('Source 2026'!$C:$C,MATCH($A209,'Source 2026'!$B:$B,0)),IFERROR(INDEX('Source 2025'!$C:$C,MATCH($A209,'Source 2025'!$B:$B,0)),""))</f>
        <v>120 תתתרסיס מרענן לרגל</v>
      </c>
      <c r="C209" s="9" t="n">
        <f aca="false">SUMIFS('Source 2025'!$Q:$Q,'Source 2025'!$B:$B,$A209,'Source 2025'!$A:$A,"Quantity (units)")</f>
        <v>-3</v>
      </c>
      <c r="D209" s="9" t="n">
        <f aca="false">SUMIFS('Source 2026'!$Q:$Q,'Source 2026'!$B:$B,$A209,'Source 2026'!$A:$A,"Quantity (units)")</f>
        <v>0</v>
      </c>
      <c r="E209" s="9" t="n">
        <f aca="false">D209*$J$5</f>
        <v>0</v>
      </c>
      <c r="F209" s="9" t="n">
        <f aca="false">E209-C209</f>
        <v>3</v>
      </c>
      <c r="G209" s="11" t="n">
        <f aca="false">IF(AND(C209=0,E209=0),0,IF(C209=0,"New",(E209-C209)/C209))</f>
        <v>-1</v>
      </c>
      <c r="H209" s="9" t="n">
        <f aca="false">SUMIFS('Source 2025'!$Q:$Q,'Source 2025'!$B:$B,$A209,'Source 2025'!$A:$A,"Amount (NIS)")</f>
        <v>-70.7</v>
      </c>
      <c r="I209" s="9" t="n">
        <f aca="false">SUMIFS('Source 2026'!$Q:$Q,'Source 2026'!$B:$B,$A209,'Source 2026'!$A:$A,"Amount (NIS)")</f>
        <v>0</v>
      </c>
      <c r="J209" s="9" t="n">
        <f aca="false">I209*$J$5</f>
        <v>0</v>
      </c>
      <c r="K209" s="9" t="n">
        <f aca="false">J209-H209</f>
        <v>70.7</v>
      </c>
      <c r="L209" s="11" t="n">
        <f aca="false">IF(AND(H209=0,J209=0),0,IF(H209=0,"New",(J209-H209)/H209))</f>
        <v>-1</v>
      </c>
    </row>
    <row r="210" customFormat="false" ht="15" hidden="false" customHeight="true" outlineLevel="0" collapsed="false">
      <c r="A210" s="8" t="s">
        <v>134</v>
      </c>
      <c r="B210" s="8" t="str">
        <f aca="false">IFERROR(INDEX('Source 2026'!$C:$C,MATCH($A210,'Source 2026'!$B:$B,0)),IFERROR(INDEX('Source 2025'!$C:$C,MATCH($A210,'Source 2025'!$B:$B,0)),""))</f>
        <v>סט פלסטרים נגד שפשופים</v>
      </c>
      <c r="C210" s="9" t="n">
        <f aca="false">SUMIFS('Source 2025'!$Q:$Q,'Source 2025'!$B:$B,$A210,'Source 2025'!$A:$A,"Quantity (units)")</f>
        <v>0</v>
      </c>
      <c r="D210" s="9" t="n">
        <f aca="false">SUMIFS('Source 2026'!$Q:$Q,'Source 2026'!$B:$B,$A210,'Source 2026'!$A:$A,"Quantity (units)")</f>
        <v>-3</v>
      </c>
      <c r="E210" s="9" t="n">
        <f aca="false">D210*$J$5</f>
        <v>-3.78947368421053</v>
      </c>
      <c r="F210" s="9" t="n">
        <f aca="false">E210-C210</f>
        <v>-3.78947368421053</v>
      </c>
      <c r="G210" s="11" t="str">
        <f aca="false">IF(AND(C210=0,E210=0),0,IF(C210=0,"New",(E210-C210)/C210))</f>
        <v>New</v>
      </c>
      <c r="H210" s="9" t="n">
        <f aca="false">SUMIFS('Source 2025'!$Q:$Q,'Source 2025'!$B:$B,$A210,'Source 2025'!$A:$A,"Amount (NIS)")</f>
        <v>0</v>
      </c>
      <c r="I210" s="9" t="n">
        <f aca="false">SUMIFS('Source 2026'!$Q:$Q,'Source 2026'!$B:$B,$A210,'Source 2026'!$A:$A,"Amount (NIS)")</f>
        <v>-58.3</v>
      </c>
      <c r="J210" s="9" t="n">
        <f aca="false">I210*$J$5</f>
        <v>-73.6421052631579</v>
      </c>
      <c r="K210" s="9" t="n">
        <f aca="false">J210-H210</f>
        <v>-73.6421052631579</v>
      </c>
      <c r="L210" s="11" t="str">
        <f aca="false">IF(AND(H210=0,J210=0),0,IF(H210=0,"New",(J210-H210)/H210))</f>
        <v>New</v>
      </c>
    </row>
    <row r="211" customFormat="false" ht="15" hidden="false" customHeight="true" outlineLevel="0" collapsed="false">
      <c r="A211" s="8" t="s">
        <v>262</v>
      </c>
      <c r="B211" s="8" t="str">
        <f aca="false">IFERROR(INDEX('Source 2026'!$C:$C,MATCH($A211,'Source 2026'!$B:$B,0)),IFERROR(INDEX('Source 2025'!$C:$C,MATCH($A211,'Source 2025'!$B:$B,0)),""))</f>
        <v>L סד לאגודל כפפה</v>
      </c>
      <c r="C211" s="9" t="n">
        <f aca="false">SUMIFS('Source 2025'!$Q:$Q,'Source 2025'!$B:$B,$A211,'Source 2025'!$A:$A,"Quantity (units)")</f>
        <v>0</v>
      </c>
      <c r="D211" s="9" t="n">
        <f aca="false">SUMIFS('Source 2026'!$Q:$Q,'Source 2026'!$B:$B,$A211,'Source 2026'!$A:$A,"Quantity (units)")</f>
        <v>-1</v>
      </c>
      <c r="E211" s="9" t="n">
        <f aca="false">D211*$J$5</f>
        <v>-1.26315789473684</v>
      </c>
      <c r="F211" s="9" t="n">
        <f aca="false">E211-C211</f>
        <v>-1.26315789473684</v>
      </c>
      <c r="G211" s="11" t="str">
        <f aca="false">IF(AND(C211=0,E211=0),0,IF(C211=0,"New",(E211-C211)/C211))</f>
        <v>New</v>
      </c>
      <c r="H211" s="9" t="n">
        <f aca="false">SUMIFS('Source 2025'!$Q:$Q,'Source 2025'!$B:$B,$A211,'Source 2025'!$A:$A,"Amount (NIS)")</f>
        <v>0</v>
      </c>
      <c r="I211" s="9" t="n">
        <f aca="false">SUMIFS('Source 2026'!$Q:$Q,'Source 2026'!$B:$B,$A211,'Source 2026'!$A:$A,"Amount (NIS)")</f>
        <v>-58.3</v>
      </c>
      <c r="J211" s="9" t="n">
        <f aca="false">I211*$J$5</f>
        <v>-73.6421052631579</v>
      </c>
      <c r="K211" s="9" t="n">
        <f aca="false">J211-H211</f>
        <v>-73.6421052631579</v>
      </c>
      <c r="L211" s="11" t="str">
        <f aca="false">IF(AND(H211=0,J211=0),0,IF(H211=0,"New",(J211-H211)/H211))</f>
        <v>New</v>
      </c>
    </row>
    <row r="212" customFormat="false" ht="15" hidden="false" customHeight="true" outlineLevel="0" collapsed="false">
      <c r="A212" s="8" t="s">
        <v>237</v>
      </c>
      <c r="B212" s="8" t="str">
        <f aca="false">IFERROR(INDEX('Source 2026'!$C:$C,MATCH($A212,'Source 2026'!$B:$B,0)),IFERROR(INDEX('Source 2025'!$C:$C,MATCH($A212,'Source 2025'!$B:$B,0)),""))</f>
        <v>רפידת מגבת כותנה-זוג</v>
      </c>
      <c r="C212" s="9" t="n">
        <f aca="false">SUMIFS('Source 2025'!$Q:$Q,'Source 2025'!$B:$B,$A212,'Source 2025'!$A:$A,"Quantity (units)")</f>
        <v>34</v>
      </c>
      <c r="D212" s="9" t="n">
        <f aca="false">SUMIFS('Source 2026'!$Q:$Q,'Source 2026'!$B:$B,$A212,'Source 2026'!$A:$A,"Quantity (units)")</f>
        <v>28</v>
      </c>
      <c r="E212" s="9" t="n">
        <f aca="false">D212*$J$5</f>
        <v>35.3684210526316</v>
      </c>
      <c r="F212" s="9" t="n">
        <f aca="false">E212-C212</f>
        <v>1.36842105263158</v>
      </c>
      <c r="G212" s="11" t="n">
        <f aca="false">IF(AND(C212=0,E212=0),0,IF(C212=0,"New",(E212-C212)/C212))</f>
        <v>0.0402476780185757</v>
      </c>
      <c r="H212" s="9" t="n">
        <f aca="false">SUMIFS('Source 2025'!$Q:$Q,'Source 2025'!$B:$B,$A212,'Source 2025'!$A:$A,"Amount (NIS)")</f>
        <v>336.9</v>
      </c>
      <c r="I212" s="9" t="n">
        <f aca="false">SUMIFS('Source 2026'!$Q:$Q,'Source 2026'!$B:$B,$A212,'Source 2026'!$A:$A,"Amount (NIS)")</f>
        <v>279.9</v>
      </c>
      <c r="J212" s="9" t="n">
        <f aca="false">I212*$J$5</f>
        <v>353.557894736842</v>
      </c>
      <c r="K212" s="9" t="n">
        <f aca="false">J212-H212</f>
        <v>16.6578947368421</v>
      </c>
      <c r="L212" s="11" t="n">
        <f aca="false">IF(AND(H212=0,J212=0),0,IF(H212=0,"New",(J212-H212)/H212))</f>
        <v>0.0494446267047851</v>
      </c>
    </row>
    <row r="213" customFormat="false" ht="15" hidden="false" customHeight="true" outlineLevel="0" collapsed="false">
      <c r="A213" s="8" t="s">
        <v>130</v>
      </c>
      <c r="B213" s="8" t="str">
        <f aca="false">IFERROR(INDEX('Source 2026'!$C:$C,MATCH($A213,'Source 2026'!$B:$B,0)),IFERROR(INDEX('Source 2025'!$C:$C,MATCH($A213,'Source 2025'!$B:$B,0)),""))</f>
        <v>Lמפר.אצבע סיליק. ליבל.זוג</v>
      </c>
      <c r="C213" s="9" t="n">
        <f aca="false">SUMIFS('Source 2025'!$Q:$Q,'Source 2025'!$B:$B,$A213,'Source 2025'!$A:$A,"Quantity (units)")</f>
        <v>-4</v>
      </c>
      <c r="D213" s="9" t="n">
        <f aca="false">SUMIFS('Source 2026'!$Q:$Q,'Source 2026'!$B:$B,$A213,'Source 2026'!$A:$A,"Quantity (units)")</f>
        <v>0</v>
      </c>
      <c r="E213" s="9" t="n">
        <f aca="false">D213*$J$5</f>
        <v>0</v>
      </c>
      <c r="F213" s="9" t="n">
        <f aca="false">E213-C213</f>
        <v>4</v>
      </c>
      <c r="G213" s="11" t="n">
        <f aca="false">IF(AND(C213=0,E213=0),0,IF(C213=0,"New",(E213-C213)/C213))</f>
        <v>-1</v>
      </c>
      <c r="H213" s="9" t="n">
        <f aca="false">SUMIFS('Source 2025'!$Q:$Q,'Source 2025'!$B:$B,$A213,'Source 2025'!$A:$A,"Amount (NIS)")</f>
        <v>-47.7</v>
      </c>
      <c r="I213" s="9" t="n">
        <f aca="false">SUMIFS('Source 2026'!$Q:$Q,'Source 2026'!$B:$B,$A213,'Source 2026'!$A:$A,"Amount (NIS)")</f>
        <v>0</v>
      </c>
      <c r="J213" s="9" t="n">
        <f aca="false">I213*$J$5</f>
        <v>0</v>
      </c>
      <c r="K213" s="9" t="n">
        <f aca="false">J213-H213</f>
        <v>47.7</v>
      </c>
      <c r="L213" s="11" t="n">
        <f aca="false">IF(AND(H213=0,J213=0),0,IF(H213=0,"New",(J213-H213)/H213))</f>
        <v>-1</v>
      </c>
    </row>
    <row r="214" customFormat="false" ht="15" hidden="false" customHeight="true" outlineLevel="0" collapsed="false">
      <c r="A214" s="8" t="s">
        <v>307</v>
      </c>
      <c r="B214" s="8" t="str">
        <f aca="false">IFERROR(INDEX('Source 2026'!$C:$C,MATCH($A214,'Source 2026'!$B:$B,0)),IFERROR(INDEX('Source 2025'!$C:$C,MATCH($A214,'Source 2025'!$B:$B,0)),""))</f>
        <v>בקט.לנעל120</v>
      </c>
      <c r="C214" s="9" t="n">
        <f aca="false">SUMIFS('Source 2025'!$Q:$Q,'Source 2025'!$B:$B,$A214,'Source 2025'!$A:$A,"Quantity (units)")</f>
        <v>-2</v>
      </c>
      <c r="D214" s="9" t="n">
        <f aca="false">SUMIFS('Source 2026'!$Q:$Q,'Source 2026'!$B:$B,$A214,'Source 2026'!$A:$A,"Quantity (units)")</f>
        <v>0</v>
      </c>
      <c r="E214" s="9" t="n">
        <f aca="false">D214*$J$5</f>
        <v>0</v>
      </c>
      <c r="F214" s="9" t="n">
        <f aca="false">E214-C214</f>
        <v>2</v>
      </c>
      <c r="G214" s="11" t="n">
        <f aca="false">IF(AND(C214=0,E214=0),0,IF(C214=0,"New",(E214-C214)/C214))</f>
        <v>-1</v>
      </c>
      <c r="H214" s="9" t="n">
        <f aca="false">SUMIFS('Source 2025'!$Q:$Q,'Source 2025'!$B:$B,$A214,'Source 2025'!$A:$A,"Amount (NIS)")</f>
        <v>-47.1</v>
      </c>
      <c r="I214" s="9" t="n">
        <f aca="false">SUMIFS('Source 2026'!$Q:$Q,'Source 2026'!$B:$B,$A214,'Source 2026'!$A:$A,"Amount (NIS)")</f>
        <v>0</v>
      </c>
      <c r="J214" s="9" t="n">
        <f aca="false">I214*$J$5</f>
        <v>0</v>
      </c>
      <c r="K214" s="9" t="n">
        <f aca="false">J214-H214</f>
        <v>47.1</v>
      </c>
      <c r="L214" s="11" t="n">
        <f aca="false">IF(AND(H214=0,J214=0),0,IF(H214=0,"New",(J214-H214)/H214))</f>
        <v>-1</v>
      </c>
    </row>
    <row r="215" customFormat="false" ht="15" hidden="false" customHeight="true" outlineLevel="0" collapsed="false">
      <c r="A215" s="8" t="s">
        <v>345</v>
      </c>
      <c r="B215" s="8" t="str">
        <f aca="false">IFERROR(INDEX('Source 2026'!$C:$C,MATCH($A215,'Source 2026'!$B:$B,0)),IFERROR(INDEX('Source 2025'!$C:$C,MATCH($A215,'Source 2025'!$B:$B,0)),""))</f>
        <v>S תתמתלה ליד רצועה</v>
      </c>
      <c r="C215" s="9" t="n">
        <f aca="false">SUMIFS('Source 2025'!$Q:$Q,'Source 2025'!$B:$B,$A215,'Source 2025'!$A:$A,"Quantity (units)")</f>
        <v>-1</v>
      </c>
      <c r="D215" s="9" t="n">
        <f aca="false">SUMIFS('Source 2026'!$Q:$Q,'Source 2026'!$B:$B,$A215,'Source 2026'!$A:$A,"Quantity (units)")</f>
        <v>0</v>
      </c>
      <c r="E215" s="9" t="n">
        <f aca="false">D215*$J$5</f>
        <v>0</v>
      </c>
      <c r="F215" s="9" t="n">
        <f aca="false">E215-C215</f>
        <v>1</v>
      </c>
      <c r="G215" s="11" t="n">
        <f aca="false">IF(AND(C215=0,E215=0),0,IF(C215=0,"New",(E215-C215)/C215))</f>
        <v>-1</v>
      </c>
      <c r="H215" s="9" t="n">
        <f aca="false">SUMIFS('Source 2025'!$Q:$Q,'Source 2025'!$B:$B,$A215,'Source 2025'!$A:$A,"Amount (NIS)")</f>
        <v>-32.3</v>
      </c>
      <c r="I215" s="9" t="n">
        <f aca="false">SUMIFS('Source 2026'!$Q:$Q,'Source 2026'!$B:$B,$A215,'Source 2026'!$A:$A,"Amount (NIS)")</f>
        <v>0</v>
      </c>
      <c r="J215" s="9" t="n">
        <f aca="false">I215*$J$5</f>
        <v>0</v>
      </c>
      <c r="K215" s="9" t="n">
        <f aca="false">J215-H215</f>
        <v>32.3</v>
      </c>
      <c r="L215" s="11" t="n">
        <f aca="false">IF(AND(H215=0,J215=0),0,IF(H215=0,"New",(J215-H215)/H215))</f>
        <v>-1</v>
      </c>
    </row>
    <row r="216" customFormat="false" ht="15" hidden="false" customHeight="true" outlineLevel="0" collapsed="false">
      <c r="A216" s="8" t="s">
        <v>206</v>
      </c>
      <c r="B216" s="8" t="str">
        <f aca="false">IFERROR(INDEX('Source 2026'!$C:$C,MATCH($A216,'Source 2026'!$B:$B,0)),IFERROR(INDEX('Source 2025'!$C:$C,MATCH($A216,'Source 2025'!$B:$B,0)),""))</f>
        <v>XLמפריד אצבע סיליקון ליבלת</v>
      </c>
      <c r="C216" s="9" t="n">
        <f aca="false">SUMIFS('Source 2025'!$Q:$Q,'Source 2025'!$B:$B,$A216,'Source 2025'!$A:$A,"Quantity (units)")</f>
        <v>0</v>
      </c>
      <c r="D216" s="9" t="n">
        <f aca="false">SUMIFS('Source 2026'!$Q:$Q,'Source 2026'!$B:$B,$A216,'Source 2026'!$A:$A,"Quantity (units)")</f>
        <v>-2</v>
      </c>
      <c r="E216" s="9" t="n">
        <f aca="false">D216*$J$5</f>
        <v>-2.52631578947368</v>
      </c>
      <c r="F216" s="9" t="n">
        <f aca="false">E216-C216</f>
        <v>-2.52631578947368</v>
      </c>
      <c r="G216" s="11" t="str">
        <f aca="false">IF(AND(C216=0,E216=0),0,IF(C216=0,"New",(E216-C216)/C216))</f>
        <v>New</v>
      </c>
      <c r="H216" s="9" t="n">
        <f aca="false">SUMIFS('Source 2025'!$Q:$Q,'Source 2025'!$B:$B,$A216,'Source 2025'!$A:$A,"Amount (NIS)")</f>
        <v>0</v>
      </c>
      <c r="I216" s="9" t="n">
        <f aca="false">SUMIFS('Source 2026'!$Q:$Q,'Source 2026'!$B:$B,$A216,'Source 2026'!$A:$A,"Amount (NIS)")</f>
        <v>-25.1</v>
      </c>
      <c r="J216" s="9" t="n">
        <f aca="false">I216*$J$5</f>
        <v>-31.7052631578947</v>
      </c>
      <c r="K216" s="9" t="n">
        <f aca="false">J216-H216</f>
        <v>-31.7052631578947</v>
      </c>
      <c r="L216" s="11" t="str">
        <f aca="false">IF(AND(H216=0,J216=0),0,IF(H216=0,"New",(J216-H216)/H216))</f>
        <v>New</v>
      </c>
    </row>
    <row r="217" customFormat="false" ht="15" hidden="false" customHeight="true" outlineLevel="0" collapsed="false">
      <c r="A217" s="8" t="s">
        <v>115</v>
      </c>
      <c r="B217" s="8" t="str">
        <f aca="false">IFERROR(INDEX('Source 2026'!$C:$C,MATCH($A217,'Source 2026'!$B:$B,0)),IFERROR(INDEX('Source 2025'!$C:$C,MATCH($A217,'Source 2025'!$B:$B,0)),""))</f>
        <v>ציפורניים</v>
      </c>
      <c r="C217" s="9" t="n">
        <f aca="false">SUMIFS('Source 2025'!$Q:$Q,'Source 2025'!$B:$B,$A217,'Source 2025'!$A:$A,"Quantity (units)")</f>
        <v>0</v>
      </c>
      <c r="D217" s="9" t="n">
        <f aca="false">SUMIFS('Source 2026'!$Q:$Q,'Source 2026'!$B:$B,$A217,'Source 2026'!$A:$A,"Quantity (units)")</f>
        <v>-2</v>
      </c>
      <c r="E217" s="9" t="n">
        <f aca="false">D217*$J$5</f>
        <v>-2.52631578947368</v>
      </c>
      <c r="F217" s="9" t="n">
        <f aca="false">E217-C217</f>
        <v>-2.52631578947368</v>
      </c>
      <c r="G217" s="11" t="str">
        <f aca="false">IF(AND(C217=0,E217=0),0,IF(C217=0,"New",(E217-C217)/C217))</f>
        <v>New</v>
      </c>
      <c r="H217" s="9" t="n">
        <f aca="false">SUMIFS('Source 2025'!$Q:$Q,'Source 2025'!$B:$B,$A217,'Source 2025'!$A:$A,"Amount (NIS)")</f>
        <v>0</v>
      </c>
      <c r="I217" s="9" t="n">
        <f aca="false">SUMIFS('Source 2026'!$Q:$Q,'Source 2026'!$B:$B,$A217,'Source 2026'!$A:$A,"Amount (NIS)")</f>
        <v>-24.4</v>
      </c>
      <c r="J217" s="9" t="n">
        <f aca="false">I217*$J$5</f>
        <v>-30.8210526315789</v>
      </c>
      <c r="K217" s="9" t="n">
        <f aca="false">J217-H217</f>
        <v>-30.8210526315789</v>
      </c>
      <c r="L217" s="11" t="str">
        <f aca="false">IF(AND(H217=0,J217=0),0,IF(H217=0,"New",(J217-H217)/H217))</f>
        <v>New</v>
      </c>
    </row>
    <row r="218" customFormat="false" ht="15" hidden="false" customHeight="true" outlineLevel="0" collapsed="false">
      <c r="A218" s="8" t="s">
        <v>225</v>
      </c>
      <c r="B218" s="8" t="str">
        <f aca="false">IFERROR(INDEX('Source 2026'!$C:$C,MATCH($A218,'Source 2026'!$B:$B,0)),IFERROR(INDEX('Source 2025'!$C:$C,MATCH($A218,'Source 2025'!$B:$B,0)),""))</f>
        <v>ריפוד סיליק.לעקב תחתון</v>
      </c>
      <c r="C218" s="9" t="n">
        <f aca="false">SUMIFS('Source 2025'!$Q:$Q,'Source 2025'!$B:$B,$A218,'Source 2025'!$A:$A,"Quantity (units)")</f>
        <v>-2</v>
      </c>
      <c r="D218" s="9" t="n">
        <f aca="false">SUMIFS('Source 2026'!$Q:$Q,'Source 2026'!$B:$B,$A218,'Source 2026'!$A:$A,"Quantity (units)")</f>
        <v>-3</v>
      </c>
      <c r="E218" s="9" t="n">
        <f aca="false">D218*$J$5</f>
        <v>-3.78947368421053</v>
      </c>
      <c r="F218" s="9" t="n">
        <f aca="false">E218-C218</f>
        <v>-1.78947368421053</v>
      </c>
      <c r="G218" s="11" t="n">
        <f aca="false">IF(AND(C218=0,E218=0),0,IF(C218=0,"New",(E218-C218)/C218))</f>
        <v>0.894736842105263</v>
      </c>
      <c r="H218" s="9" t="n">
        <f aca="false">SUMIFS('Source 2025'!$Q:$Q,'Source 2025'!$B:$B,$A218,'Source 2025'!$A:$A,"Amount (NIS)")</f>
        <v>-40.5</v>
      </c>
      <c r="I218" s="9" t="n">
        <f aca="false">SUMIFS('Source 2026'!$Q:$Q,'Source 2026'!$B:$B,$A218,'Source 2026'!$A:$A,"Amount (NIS)")</f>
        <v>-60.8</v>
      </c>
      <c r="J218" s="9" t="n">
        <f aca="false">I218*$J$5</f>
        <v>-76.8</v>
      </c>
      <c r="K218" s="9" t="n">
        <f aca="false">J218-H218</f>
        <v>-36.3</v>
      </c>
      <c r="L218" s="11" t="n">
        <f aca="false">IF(AND(H218=0,J218=0),0,IF(H218=0,"New",(J218-H218)/H218))</f>
        <v>0.896296296296296</v>
      </c>
    </row>
    <row r="219" customFormat="false" ht="15" hidden="false" customHeight="true" outlineLevel="0" collapsed="false">
      <c r="A219" s="8" t="s">
        <v>385</v>
      </c>
      <c r="B219" s="8" t="str">
        <f aca="false">IFERROR(INDEX('Source 2026'!$C:$C,MATCH($A219,'Source 2026'!$B:$B,0)),IFERROR(INDEX('Source 2025'!$C:$C,MATCH($A219,'Source 2025'!$B:$B,0)),""))</f>
        <v>0   גרביים+סיליקון</v>
      </c>
      <c r="C219" s="9" t="n">
        <f aca="false">SUMIFS('Source 2025'!$Q:$Q,'Source 2025'!$B:$B,$A219,'Source 2025'!$A:$A,"Quantity (units)")</f>
        <v>-1</v>
      </c>
      <c r="D219" s="9" t="n">
        <f aca="false">SUMIFS('Source 2026'!$Q:$Q,'Source 2026'!$B:$B,$A219,'Source 2026'!$A:$A,"Quantity (units)")</f>
        <v>-1</v>
      </c>
      <c r="E219" s="9" t="n">
        <f aca="false">D219*$J$5</f>
        <v>-1.26315789473684</v>
      </c>
      <c r="F219" s="9" t="n">
        <f aca="false">E219-C219</f>
        <v>-0.263157894736842</v>
      </c>
      <c r="G219" s="11" t="n">
        <f aca="false">IF(AND(C219=0,E219=0),0,IF(C219=0,"New",(E219-C219)/C219))</f>
        <v>0.263157894736842</v>
      </c>
      <c r="H219" s="9" t="n">
        <f aca="false">SUMIFS('Source 2025'!$Q:$Q,'Source 2025'!$B:$B,$A219,'Source 2025'!$A:$A,"Amount (NIS)")</f>
        <v>-28.4</v>
      </c>
      <c r="I219" s="9" t="n">
        <f aca="false">SUMIFS('Source 2026'!$Q:$Q,'Source 2026'!$B:$B,$A219,'Source 2026'!$A:$A,"Amount (NIS)")</f>
        <v>-31.9</v>
      </c>
      <c r="J219" s="9" t="n">
        <f aca="false">I219*$J$5</f>
        <v>-40.2947368421053</v>
      </c>
      <c r="K219" s="9" t="n">
        <f aca="false">J219-H219</f>
        <v>-11.8947368421053</v>
      </c>
      <c r="L219" s="11" t="n">
        <f aca="false">IF(AND(H219=0,J219=0),0,IF(H219=0,"New",(J219-H219)/H219))</f>
        <v>0.41882876204596</v>
      </c>
    </row>
    <row r="220" customFormat="false" ht="15" hidden="false" customHeight="true" outlineLevel="0" collapsed="false">
      <c r="A220" s="8" t="s">
        <v>386</v>
      </c>
      <c r="B220" s="8" t="str">
        <f aca="false">IFERROR(INDEX('Source 2026'!$C:$C,MATCH($A220,'Source 2026'!$B:$B,0)),IFERROR(INDEX('Source 2025'!$C:$C,MATCH($A220,'Source 2025'!$B:$B,0)),""))</f>
        <v>XL ח.גב מגנטית+מוטות תמיכה</v>
      </c>
      <c r="C220" s="9" t="n">
        <f aca="false">SUMIFS('Source 2025'!$Q:$Q,'Source 2025'!$B:$B,$A220,'Source 2025'!$A:$A,"Quantity (units)")</f>
        <v>-1</v>
      </c>
      <c r="D220" s="9" t="n">
        <f aca="false">SUMIFS('Source 2026'!$Q:$Q,'Source 2026'!$B:$B,$A220,'Source 2026'!$A:$A,"Quantity (units)")</f>
        <v>-1</v>
      </c>
      <c r="E220" s="9" t="n">
        <f aca="false">D220*$J$5</f>
        <v>-1.26315789473684</v>
      </c>
      <c r="F220" s="9" t="n">
        <f aca="false">E220-C220</f>
        <v>-0.263157894736842</v>
      </c>
      <c r="G220" s="11" t="n">
        <f aca="false">IF(AND(C220=0,E220=0),0,IF(C220=0,"New",(E220-C220)/C220))</f>
        <v>0.263157894736842</v>
      </c>
      <c r="H220" s="9" t="n">
        <f aca="false">SUMIFS('Source 2025'!$Q:$Q,'Source 2025'!$B:$B,$A220,'Source 2025'!$A:$A,"Amount (NIS)")</f>
        <v>-178.6</v>
      </c>
      <c r="I220" s="9" t="n">
        <f aca="false">SUMIFS('Source 2026'!$Q:$Q,'Source 2026'!$B:$B,$A220,'Source 2026'!$A:$A,"Amount (NIS)")</f>
        <v>-178.6</v>
      </c>
      <c r="J220" s="9" t="n">
        <f aca="false">I220*$J$5</f>
        <v>-225.6</v>
      </c>
      <c r="K220" s="9" t="n">
        <f aca="false">J220-H220</f>
        <v>-47</v>
      </c>
      <c r="L220" s="11" t="n">
        <f aca="false">IF(AND(H220=0,J220=0),0,IF(H220=0,"New",(J220-H220)/H220))</f>
        <v>0.263157894736842</v>
      </c>
    </row>
    <row r="221" customFormat="false" ht="15" hidden="false" customHeight="true" outlineLevel="0" collapsed="false">
      <c r="A221" s="8" t="s">
        <v>387</v>
      </c>
      <c r="B221" s="8" t="str">
        <f aca="false">IFERROR(INDEX('Source 2026'!$C:$C,MATCH($A221,'Source 2026'!$B:$B,0)),IFERROR(INDEX('Source 2025'!$C:$C,MATCH($A221,'Source 2025'!$B:$B,0)),""))</f>
        <v>XLסד ליד ימין</v>
      </c>
      <c r="C221" s="9" t="n">
        <f aca="false">SUMIFS('Source 2025'!$Q:$Q,'Source 2025'!$B:$B,$A221,'Source 2025'!$A:$A,"Quantity (units)")</f>
        <v>0</v>
      </c>
      <c r="D221" s="9" t="n">
        <f aca="false">SUMIFS('Source 2026'!$Q:$Q,'Source 2026'!$B:$B,$A221,'Source 2026'!$A:$A,"Quantity (units)")</f>
        <v>-1</v>
      </c>
      <c r="E221" s="9" t="n">
        <f aca="false">D221*$J$5</f>
        <v>-1.26315789473684</v>
      </c>
      <c r="F221" s="9" t="n">
        <f aca="false">E221-C221</f>
        <v>-1.26315789473684</v>
      </c>
      <c r="G221" s="11" t="str">
        <f aca="false">IF(AND(C221=0,E221=0),0,IF(C221=0,"New",(E221-C221)/C221))</f>
        <v>New</v>
      </c>
      <c r="H221" s="9" t="n">
        <f aca="false">SUMIFS('Source 2025'!$Q:$Q,'Source 2025'!$B:$B,$A221,'Source 2025'!$A:$A,"Amount (NIS)")</f>
        <v>0</v>
      </c>
      <c r="I221" s="9" t="n">
        <f aca="false">SUMIFS('Source 2026'!$Q:$Q,'Source 2026'!$B:$B,$A221,'Source 2026'!$A:$A,"Amount (NIS)")</f>
        <v>0</v>
      </c>
      <c r="J221" s="9" t="n">
        <f aca="false">I221*$J$5</f>
        <v>0</v>
      </c>
      <c r="K221" s="9" t="n">
        <f aca="false">J221-H221</f>
        <v>0</v>
      </c>
      <c r="L221" s="11" t="n">
        <f aca="false">IF(AND(H221=0,J221=0),0,IF(H221=0,"New",(J221-H221)/H221))</f>
        <v>0</v>
      </c>
    </row>
    <row r="222" customFormat="false" ht="15" hidden="false" customHeight="true" outlineLevel="0" collapsed="false">
      <c r="A222" s="8" t="s">
        <v>265</v>
      </c>
      <c r="B222" s="8" t="str">
        <f aca="false">IFERROR(INDEX('Source 2026'!$C:$C,MATCH($A222,'Source 2026'!$B:$B,0)),IFERROR(INDEX('Source 2025'!$C:$C,MATCH($A222,'Source 2025'!$B:$B,0)),""))</f>
        <v>XLסד ליד שמאל</v>
      </c>
      <c r="C222" s="9" t="n">
        <f aca="false">SUMIFS('Source 2025'!$Q:$Q,'Source 2025'!$B:$B,$A222,'Source 2025'!$A:$A,"Quantity (units)")</f>
        <v>0</v>
      </c>
      <c r="D222" s="9" t="n">
        <f aca="false">SUMIFS('Source 2026'!$Q:$Q,'Source 2026'!$B:$B,$A222,'Source 2026'!$A:$A,"Quantity (units)")</f>
        <v>-1</v>
      </c>
      <c r="E222" s="9" t="n">
        <f aca="false">D222*$J$5</f>
        <v>-1.26315789473684</v>
      </c>
      <c r="F222" s="9" t="n">
        <f aca="false">E222-C222</f>
        <v>-1.26315789473684</v>
      </c>
      <c r="G222" s="11" t="str">
        <f aca="false">IF(AND(C222=0,E222=0),0,IF(C222=0,"New",(E222-C222)/C222))</f>
        <v>New</v>
      </c>
      <c r="H222" s="9" t="n">
        <f aca="false">SUMIFS('Source 2025'!$Q:$Q,'Source 2025'!$B:$B,$A222,'Source 2025'!$A:$A,"Amount (NIS)")</f>
        <v>0</v>
      </c>
      <c r="I222" s="9" t="n">
        <f aca="false">SUMIFS('Source 2026'!$Q:$Q,'Source 2026'!$B:$B,$A222,'Source 2026'!$A:$A,"Amount (NIS)")</f>
        <v>0</v>
      </c>
      <c r="J222" s="9" t="n">
        <f aca="false">I222*$J$5</f>
        <v>0</v>
      </c>
      <c r="K222" s="9" t="n">
        <f aca="false">J222-H222</f>
        <v>0</v>
      </c>
      <c r="L222" s="11" t="n">
        <f aca="false">IF(AND(H222=0,J222=0),0,IF(H222=0,"New",(J222-H222)/H222))</f>
        <v>0</v>
      </c>
    </row>
    <row r="223" customFormat="false" ht="15" hidden="false" customHeight="true" outlineLevel="0" collapsed="false">
      <c r="A223" s="8" t="s">
        <v>388</v>
      </c>
      <c r="B223" s="8" t="str">
        <f aca="false">IFERROR(INDEX('Source 2026'!$C:$C,MATCH($A223,'Source 2026'!$B:$B,0)),IFERROR(INDEX('Source 2025'!$C:$C,MATCH($A223,'Source 2025'!$B:$B,0)),""))</f>
        <v>יד לטניס כרית סיליק</v>
      </c>
      <c r="C223" s="9" t="n">
        <f aca="false">SUMIFS('Source 2025'!$Q:$Q,'Source 2025'!$B:$B,$A223,'Source 2025'!$A:$A,"Quantity (units)")</f>
        <v>-1</v>
      </c>
      <c r="D223" s="9" t="n">
        <f aca="false">SUMIFS('Source 2026'!$Q:$Q,'Source 2026'!$B:$B,$A223,'Source 2026'!$A:$A,"Quantity (units)")</f>
        <v>-1</v>
      </c>
      <c r="E223" s="9" t="n">
        <f aca="false">D223*$J$5</f>
        <v>-1.26315789473684</v>
      </c>
      <c r="F223" s="9" t="n">
        <f aca="false">E223-C223</f>
        <v>-0.263157894736842</v>
      </c>
      <c r="G223" s="11" t="n">
        <f aca="false">IF(AND(C223=0,E223=0),0,IF(C223=0,"New",(E223-C223)/C223))</f>
        <v>0.263157894736842</v>
      </c>
      <c r="H223" s="9" t="n">
        <f aca="false">SUMIFS('Source 2025'!$Q:$Q,'Source 2025'!$B:$B,$A223,'Source 2025'!$A:$A,"Amount (NIS)")</f>
        <v>0</v>
      </c>
      <c r="I223" s="9" t="n">
        <f aca="false">SUMIFS('Source 2026'!$Q:$Q,'Source 2026'!$B:$B,$A223,'Source 2026'!$A:$A,"Amount (NIS)")</f>
        <v>0</v>
      </c>
      <c r="J223" s="9" t="n">
        <f aca="false">I223*$J$5</f>
        <v>0</v>
      </c>
      <c r="K223" s="9" t="n">
        <f aca="false">J223-H223</f>
        <v>0</v>
      </c>
      <c r="L223" s="11" t="n">
        <f aca="false">IF(AND(H223=0,J223=0),0,IF(H223=0,"New",(J223-H223)/H223))</f>
        <v>0</v>
      </c>
    </row>
    <row r="224" customFormat="false" ht="15" hidden="false" customHeight="true" outlineLevel="0" collapsed="false">
      <c r="A224" s="8" t="s">
        <v>222</v>
      </c>
      <c r="B224" s="8" t="str">
        <f aca="false">IFERROR(INDEX('Source 2026'!$C:$C,MATCH($A224,'Source 2026'!$B:$B,0)),IFERROR(INDEX('Source 2025'!$C:$C,MATCH($A224,'Source 2025'!$B:$B,0)),""))</f>
        <v>L מיצב פיקה</v>
      </c>
      <c r="C224" s="9" t="n">
        <f aca="false">SUMIFS('Source 2025'!$Q:$Q,'Source 2025'!$B:$B,$A224,'Source 2025'!$A:$A,"Quantity (units)")</f>
        <v>-1</v>
      </c>
      <c r="D224" s="9" t="n">
        <f aca="false">SUMIFS('Source 2026'!$Q:$Q,'Source 2026'!$B:$B,$A224,'Source 2026'!$A:$A,"Quantity (units)")</f>
        <v>-1</v>
      </c>
      <c r="E224" s="9" t="n">
        <f aca="false">D224*$J$5</f>
        <v>-1.26315789473684</v>
      </c>
      <c r="F224" s="9" t="n">
        <f aca="false">E224-C224</f>
        <v>-0.263157894736842</v>
      </c>
      <c r="G224" s="11" t="n">
        <f aca="false">IF(AND(C224=0,E224=0),0,IF(C224=0,"New",(E224-C224)/C224))</f>
        <v>0.263157894736842</v>
      </c>
      <c r="H224" s="9" t="n">
        <f aca="false">SUMIFS('Source 2025'!$Q:$Q,'Source 2025'!$B:$B,$A224,'Source 2025'!$A:$A,"Amount (NIS)")</f>
        <v>-81.9</v>
      </c>
      <c r="I224" s="9" t="n">
        <f aca="false">SUMIFS('Source 2026'!$Q:$Q,'Source 2026'!$B:$B,$A224,'Source 2026'!$A:$A,"Amount (NIS)")</f>
        <v>-81.9</v>
      </c>
      <c r="J224" s="9" t="n">
        <f aca="false">I224*$J$5</f>
        <v>-103.452631578947</v>
      </c>
      <c r="K224" s="9" t="n">
        <f aca="false">J224-H224</f>
        <v>-21.5526315789474</v>
      </c>
      <c r="L224" s="11" t="n">
        <f aca="false">IF(AND(H224=0,J224=0),0,IF(H224=0,"New",(J224-H224)/H224))</f>
        <v>0.263157894736842</v>
      </c>
    </row>
    <row r="225" customFormat="false" ht="15" hidden="false" customHeight="true" outlineLevel="0" collapsed="false">
      <c r="A225" s="8" t="s">
        <v>389</v>
      </c>
      <c r="B225" s="8" t="str">
        <f aca="false">IFERROR(INDEX('Source 2026'!$C:$C,MATCH($A225,'Source 2026'!$B:$B,0)),IFERROR(INDEX('Source 2025'!$C:$C,MATCH($A225,'Source 2025'!$B:$B,0)),""))</f>
        <v>M מגן מרפק+רצועה לטניס</v>
      </c>
      <c r="C225" s="9" t="n">
        <f aca="false">SUMIFS('Source 2025'!$Q:$Q,'Source 2025'!$B:$B,$A225,'Source 2025'!$A:$A,"Quantity (units)")</f>
        <v>-1</v>
      </c>
      <c r="D225" s="9" t="n">
        <f aca="false">SUMIFS('Source 2026'!$Q:$Q,'Source 2026'!$B:$B,$A225,'Source 2026'!$A:$A,"Quantity (units)")</f>
        <v>-1</v>
      </c>
      <c r="E225" s="9" t="n">
        <f aca="false">D225*$J$5</f>
        <v>-1.26315789473684</v>
      </c>
      <c r="F225" s="9" t="n">
        <f aca="false">E225-C225</f>
        <v>-0.263157894736842</v>
      </c>
      <c r="G225" s="11" t="n">
        <f aca="false">IF(AND(C225=0,E225=0),0,IF(C225=0,"New",(E225-C225)/C225))</f>
        <v>0.263157894736842</v>
      </c>
      <c r="H225" s="9" t="n">
        <f aca="false">SUMIFS('Source 2025'!$Q:$Q,'Source 2025'!$B:$B,$A225,'Source 2025'!$A:$A,"Amount (NIS)")</f>
        <v>0</v>
      </c>
      <c r="I225" s="9" t="n">
        <f aca="false">SUMIFS('Source 2026'!$Q:$Q,'Source 2026'!$B:$B,$A225,'Source 2026'!$A:$A,"Amount (NIS)")</f>
        <v>0</v>
      </c>
      <c r="J225" s="9" t="n">
        <f aca="false">I225*$J$5</f>
        <v>0</v>
      </c>
      <c r="K225" s="9" t="n">
        <f aca="false">J225-H225</f>
        <v>0</v>
      </c>
      <c r="L225" s="11" t="n">
        <f aca="false">IF(AND(H225=0,J225=0),0,IF(H225=0,"New",(J225-H225)/H225))</f>
        <v>0</v>
      </c>
    </row>
    <row r="226" customFormat="false" ht="15" hidden="false" customHeight="true" outlineLevel="0" collapsed="false">
      <c r="A226" s="8" t="s">
        <v>221</v>
      </c>
      <c r="B226" s="8" t="str">
        <f aca="false">IFERROR(INDEX('Source 2026'!$C:$C,MATCH($A226,'Source 2026'!$B:$B,0)),IFERROR(INDEX('Source 2025'!$C:$C,MATCH($A226,'Source 2025'!$B:$B,0)),""))</f>
        <v>L חגורה לשבר טבור</v>
      </c>
      <c r="C226" s="9" t="n">
        <f aca="false">SUMIFS('Source 2025'!$Q:$Q,'Source 2025'!$B:$B,$A226,'Source 2025'!$A:$A,"Quantity (units)")</f>
        <v>-1</v>
      </c>
      <c r="D226" s="9" t="n">
        <f aca="false">SUMIFS('Source 2026'!$Q:$Q,'Source 2026'!$B:$B,$A226,'Source 2026'!$A:$A,"Quantity (units)")</f>
        <v>-1</v>
      </c>
      <c r="E226" s="9" t="n">
        <f aca="false">D226*$J$5</f>
        <v>-1.26315789473684</v>
      </c>
      <c r="F226" s="9" t="n">
        <f aca="false">E226-C226</f>
        <v>-0.263157894736842</v>
      </c>
      <c r="G226" s="11" t="n">
        <f aca="false">IF(AND(C226=0,E226=0),0,IF(C226=0,"New",(E226-C226)/C226))</f>
        <v>0.263157894736842</v>
      </c>
      <c r="H226" s="9" t="n">
        <f aca="false">SUMIFS('Source 2025'!$Q:$Q,'Source 2025'!$B:$B,$A226,'Source 2025'!$A:$A,"Amount (NIS)")</f>
        <v>-135</v>
      </c>
      <c r="I226" s="9" t="n">
        <f aca="false">SUMIFS('Source 2026'!$Q:$Q,'Source 2026'!$B:$B,$A226,'Source 2026'!$A:$A,"Amount (NIS)")</f>
        <v>-135</v>
      </c>
      <c r="J226" s="9" t="n">
        <f aca="false">I226*$J$5</f>
        <v>-170.526315789474</v>
      </c>
      <c r="K226" s="9" t="n">
        <f aca="false">J226-H226</f>
        <v>-35.5263157894737</v>
      </c>
      <c r="L226" s="11" t="n">
        <f aca="false">IF(AND(H226=0,J226=0),0,IF(H226=0,"New",(J226-H226)/H226))</f>
        <v>0.263157894736842</v>
      </c>
    </row>
    <row r="227" customFormat="false" ht="15" hidden="false" customHeight="true" outlineLevel="0" collapsed="false">
      <c r="A227" s="8" t="s">
        <v>153</v>
      </c>
      <c r="B227" s="8" t="str">
        <f aca="false">IFERROR(INDEX('Source 2026'!$C:$C,MATCH($A227,'Source 2026'!$B:$B,0)),IFERROR(INDEX('Source 2025'!$C:$C,MATCH($A227,'Source 2025'!$B:$B,0)),""))</f>
        <v>S ח.גב ""איטלקית"" אורירית</v>
      </c>
      <c r="C227" s="9" t="n">
        <f aca="false">SUMIFS('Source 2025'!$Q:$Q,'Source 2025'!$B:$B,$A227,'Source 2025'!$A:$A,"Quantity (units)")</f>
        <v>-1</v>
      </c>
      <c r="D227" s="9" t="n">
        <f aca="false">SUMIFS('Source 2026'!$Q:$Q,'Source 2026'!$B:$B,$A227,'Source 2026'!$A:$A,"Quantity (units)")</f>
        <v>-1</v>
      </c>
      <c r="E227" s="9" t="n">
        <f aca="false">D227*$J$5</f>
        <v>-1.26315789473684</v>
      </c>
      <c r="F227" s="9" t="n">
        <f aca="false">E227-C227</f>
        <v>-0.263157894736842</v>
      </c>
      <c r="G227" s="11" t="n">
        <f aca="false">IF(AND(C227=0,E227=0),0,IF(C227=0,"New",(E227-C227)/C227))</f>
        <v>0.263157894736842</v>
      </c>
      <c r="H227" s="9" t="n">
        <f aca="false">SUMIFS('Source 2025'!$Q:$Q,'Source 2025'!$B:$B,$A227,'Source 2025'!$A:$A,"Amount (NIS)")</f>
        <v>-215.4</v>
      </c>
      <c r="I227" s="9" t="n">
        <f aca="false">SUMIFS('Source 2026'!$Q:$Q,'Source 2026'!$B:$B,$A227,'Source 2026'!$A:$A,"Amount (NIS)")</f>
        <v>-215.4</v>
      </c>
      <c r="J227" s="9" t="n">
        <f aca="false">I227*$J$5</f>
        <v>-272.084210526316</v>
      </c>
      <c r="K227" s="9" t="n">
        <f aca="false">J227-H227</f>
        <v>-56.6842105263158</v>
      </c>
      <c r="L227" s="11" t="n">
        <f aca="false">IF(AND(H227=0,J227=0),0,IF(H227=0,"New",(J227-H227)/H227))</f>
        <v>0.263157894736842</v>
      </c>
    </row>
    <row r="229" customFormat="false" ht="15" hidden="false" customHeight="true" outlineLevel="0" collapsed="false">
      <c r="A229" s="21"/>
      <c r="B229" s="22" t="s">
        <v>361</v>
      </c>
      <c r="C229" s="23" t="n">
        <f aca="false">SUM(C9:C227)</f>
        <v>176505</v>
      </c>
      <c r="D229" s="23" t="n">
        <f aca="false">SUM(D9:D227)</f>
        <v>118307</v>
      </c>
      <c r="E229" s="23" t="n">
        <f aca="false">SUM(E9:E227)</f>
        <v>149440.421052632</v>
      </c>
      <c r="F229" s="23" t="n">
        <f aca="false">SUM(F9:F227)</f>
        <v>-27064.5789473684</v>
      </c>
      <c r="G229" s="24" t="n">
        <f aca="false">IF(C229=0,"N/A",F229/C229)</f>
        <v>-0.153336046839287</v>
      </c>
      <c r="H229" s="23" t="n">
        <f aca="false">SUM(H9:H227)</f>
        <v>6689220.5</v>
      </c>
      <c r="I229" s="23" t="n">
        <f aca="false">SUM(I9:I227)</f>
        <v>4476515.3</v>
      </c>
      <c r="J229" s="23" t="n">
        <f aca="false">SUM(J9:J227)</f>
        <v>5654545.64210526</v>
      </c>
      <c r="K229" s="23" t="n">
        <f aca="false">SUM(K9:K227)</f>
        <v>-1034674.85789474</v>
      </c>
      <c r="L229" s="24" t="n">
        <f aca="false">IF(H229=0,"N/A",K229/H229)</f>
        <v>-0.154677941606909</v>
      </c>
    </row>
  </sheetData>
  <mergeCells count="2">
    <mergeCell ref="A3:L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0"/>
    <col collapsed="false" customWidth="true" hidden="false" outlineLevel="0" max="3" min="3" style="1" width="13"/>
    <col collapsed="false" customWidth="true" hidden="false" outlineLevel="0" max="6" min="4" style="1" width="15"/>
    <col collapsed="false" customWidth="true" hidden="false" outlineLevel="0" max="7" min="7" style="1" width="16"/>
    <col collapsed="false" customWidth="true" hidden="false" outlineLevel="0" max="8" min="8" style="1" width="15"/>
    <col collapsed="false" customWidth="true" hidden="false" outlineLevel="0" max="9" min="9" style="1" width="17"/>
    <col collapsed="false" customWidth="true" hidden="false" outlineLevel="0" max="11" min="10" style="1" width="15"/>
    <col collapsed="false" customWidth="true" hidden="false" outlineLevel="0" max="12" min="12" style="1" width="16"/>
  </cols>
  <sheetData>
    <row r="1" customFormat="false" ht="15" hidden="false" customHeight="true" outlineLevel="0" collapsed="false">
      <c r="A1" s="2" t="s">
        <v>390</v>
      </c>
    </row>
    <row r="2" customFormat="false" ht="15" hidden="false" customHeight="true" outlineLevel="0" collapsed="false">
      <c r="A2" s="3" t="s">
        <v>1</v>
      </c>
      <c r="B2" s="4" t="n">
        <v>46284</v>
      </c>
    </row>
    <row r="3" customFormat="false" ht="90" hidden="false" customHeight="true" outlineLevel="0" collapsed="false">
      <c r="A3" s="5" t="s">
        <v>391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customFormat="false" ht="54.75" hidden="false" customHeight="true" outlineLevel="0" collapsed="false">
      <c r="A4" s="5" t="s">
        <v>59</v>
      </c>
      <c r="B4" s="5"/>
      <c r="C4" s="5"/>
      <c r="D4" s="5"/>
      <c r="E4" s="5"/>
      <c r="F4" s="5"/>
      <c r="G4" s="5"/>
      <c r="H4" s="5"/>
      <c r="I4" s="14" t="s">
        <v>60</v>
      </c>
      <c r="J4" s="15" t="n">
        <v>12</v>
      </c>
      <c r="K4" s="16" t="s">
        <v>61</v>
      </c>
      <c r="L4" s="15" t="n">
        <v>9.5</v>
      </c>
    </row>
    <row r="5" customFormat="false" ht="30" hidden="false" customHeight="true" outlineLevel="0" collapsed="false">
      <c r="A5" s="17" t="s">
        <v>62</v>
      </c>
      <c r="B5" s="18" t="n">
        <f aca="false">SUMPRODUCT(--((($C$9:$C$115&lt;&gt;0)+($H$9:$H$115&lt;&gt;0)&gt;0)*(($D$9:$D$115=0)*($I$9:$I$115=0))))</f>
        <v>0</v>
      </c>
      <c r="C5" s="17" t="s">
        <v>63</v>
      </c>
      <c r="D5" s="18" t="n">
        <f aca="false">SUMPRODUCT(--((($D$9:$D$115&lt;&gt;0)+($I$9:$I$115&lt;&gt;0)&gt;0)*(($C$9:$C$115=0)*($H$9:$H$115=0))))</f>
        <v>107</v>
      </c>
      <c r="I5" s="17" t="s">
        <v>64</v>
      </c>
      <c r="J5" s="19" t="n">
        <f aca="false">J4/L4</f>
        <v>1.26315789473684</v>
      </c>
    </row>
    <row r="6" customFormat="false" ht="30" hidden="false" customHeight="true" outlineLevel="0" collapsed="false">
      <c r="A6" s="17" t="s">
        <v>65</v>
      </c>
      <c r="B6" s="18" t="n">
        <f aca="false">SUMPRODUCT(--((($C$9:$C$115&lt;&gt;0)+($H$9:$H$115&lt;&gt;0)&gt;0)*(($D$9:$D$115=0)*($I$9:$I$115=0)))*$C$9:$C$115)</f>
        <v>0</v>
      </c>
      <c r="C6" s="17" t="s">
        <v>66</v>
      </c>
      <c r="D6" s="18" t="n">
        <f aca="false">SUMPRODUCT(--((($C$9:$C$115&lt;&gt;0)+($H$9:$H$115&lt;&gt;0)&gt;0)*(($D$9:$D$115=0)*($I$9:$I$115=0)))*$H$9:$H$115)</f>
        <v>0</v>
      </c>
      <c r="E6" s="17" t="s">
        <v>67</v>
      </c>
      <c r="F6" s="18" t="n">
        <f aca="false">SUMPRODUCT(--((($D$9:$D$115&lt;&gt;0)+($I$9:$I$115&lt;&gt;0)&gt;0)*(($C$9:$C$115=0)*($H$9:$H$115=0)))*$D$9:$D$115)</f>
        <v>10037</v>
      </c>
      <c r="G6" s="17" t="s">
        <v>68</v>
      </c>
      <c r="H6" s="18" t="n">
        <f aca="false">SUMPRODUCT(--((($D$9:$D$115&lt;&gt;0)+($I$9:$I$115&lt;&gt;0)&gt;0)*(($C$9:$C$115=0)*($H$9:$H$115=0)))*$I$9:$I$115)</f>
        <v>307514.4</v>
      </c>
    </row>
    <row r="8" customFormat="false" ht="43.5" hidden="false" customHeight="true" outlineLevel="0" collapsed="false">
      <c r="A8" s="6" t="s">
        <v>69</v>
      </c>
      <c r="B8" s="6" t="s">
        <v>70</v>
      </c>
      <c r="C8" s="6" t="s">
        <v>15</v>
      </c>
      <c r="D8" s="20" t="s">
        <v>71</v>
      </c>
      <c r="E8" s="6" t="s">
        <v>72</v>
      </c>
      <c r="F8" s="6" t="s">
        <v>73</v>
      </c>
      <c r="G8" s="6" t="s">
        <v>74</v>
      </c>
      <c r="H8" s="6" t="s">
        <v>19</v>
      </c>
      <c r="I8" s="20" t="s">
        <v>75</v>
      </c>
      <c r="J8" s="6" t="s">
        <v>21</v>
      </c>
      <c r="K8" s="6" t="s">
        <v>76</v>
      </c>
      <c r="L8" s="6" t="s">
        <v>77</v>
      </c>
    </row>
    <row r="9" customFormat="false" ht="15" hidden="false" customHeight="true" outlineLevel="0" collapsed="false">
      <c r="A9" s="8" t="s">
        <v>88</v>
      </c>
      <c r="B9" s="8" t="str">
        <f aca="false">IFERROR(INDEX('Source 2026'!$C:$C,MATCH($A9,'Source 2026'!$B:$B,0)),IFERROR(INDEX('Source 2025'!$C:$C,MATCH($A9,'Source 2025'!$B:$B,0)),""))</f>
        <v>סד ליד דו צדדי</v>
      </c>
      <c r="C9" s="9" t="n">
        <f aca="false">SUMIFS('Source 2025'!$T:$T,'Source 2025'!$B:$B,$A9,'Source 2025'!$A:$A,"Quantity (units)")</f>
        <v>0</v>
      </c>
      <c r="D9" s="9" t="n">
        <f aca="false">SUMIFS('Source 2026'!$T:$T,'Source 2026'!$B:$B,$A9,'Source 2026'!$A:$A,"Quantity (units)")</f>
        <v>648</v>
      </c>
      <c r="E9" s="9" t="n">
        <f aca="false">D9*$J$5</f>
        <v>818.526315789474</v>
      </c>
      <c r="F9" s="9" t="n">
        <f aca="false">E9-C9</f>
        <v>818.526315789474</v>
      </c>
      <c r="G9" s="11" t="str">
        <f aca="false">IF(AND(C9=0,E9=0),0,IF(C9=0,"New",(E9-C9)/C9))</f>
        <v>New</v>
      </c>
      <c r="H9" s="9" t="n">
        <f aca="false">SUMIFS('Source 2025'!$T:$T,'Source 2025'!$B:$B,$A9,'Source 2025'!$A:$A,"Amount (NIS)")</f>
        <v>0</v>
      </c>
      <c r="I9" s="9" t="n">
        <f aca="false">SUMIFS('Source 2026'!$T:$T,'Source 2026'!$B:$B,$A9,'Source 2026'!$A:$A,"Amount (NIS)")</f>
        <v>29484</v>
      </c>
      <c r="J9" s="9" t="n">
        <f aca="false">I9*$J$5</f>
        <v>37242.9473684211</v>
      </c>
      <c r="K9" s="9" t="n">
        <f aca="false">J9-H9</f>
        <v>37242.9473684211</v>
      </c>
      <c r="L9" s="11" t="str">
        <f aca="false">IF(AND(H9=0,J9=0),0,IF(H9=0,"New",(J9-H9)/H9))</f>
        <v>New</v>
      </c>
    </row>
    <row r="10" customFormat="false" ht="15" hidden="false" customHeight="true" outlineLevel="0" collapsed="false">
      <c r="A10" s="8" t="s">
        <v>185</v>
      </c>
      <c r="B10" s="8" t="str">
        <f aca="false">IFERROR(INDEX('Source 2026'!$C:$C,MATCH($A10,'Source 2026'!$B:$B,0)),IFERROR(INDEX('Source 2025'!$C:$C,MATCH($A10,'Source 2025'!$B:$B,0)),""))</f>
        <v>סד לאגודל</v>
      </c>
      <c r="C10" s="9" t="n">
        <f aca="false">SUMIFS('Source 2025'!$T:$T,'Source 2025'!$B:$B,$A10,'Source 2025'!$A:$A,"Quantity (units)")</f>
        <v>0</v>
      </c>
      <c r="D10" s="9" t="n">
        <f aca="false">SUMIFS('Source 2026'!$T:$T,'Source 2026'!$B:$B,$A10,'Source 2026'!$A:$A,"Quantity (units)")</f>
        <v>274</v>
      </c>
      <c r="E10" s="9" t="n">
        <f aca="false">D10*$J$5</f>
        <v>346.105263157895</v>
      </c>
      <c r="F10" s="9" t="n">
        <f aca="false">E10-C10</f>
        <v>346.105263157895</v>
      </c>
      <c r="G10" s="11" t="str">
        <f aca="false">IF(AND(C10=0,E10=0),0,IF(C10=0,"New",(E10-C10)/C10))</f>
        <v>New</v>
      </c>
      <c r="H10" s="9" t="n">
        <f aca="false">SUMIFS('Source 2025'!$T:$T,'Source 2025'!$B:$B,$A10,'Source 2025'!$A:$A,"Amount (NIS)")</f>
        <v>0</v>
      </c>
      <c r="I10" s="9" t="n">
        <f aca="false">SUMIFS('Source 2026'!$T:$T,'Source 2026'!$B:$B,$A10,'Source 2026'!$A:$A,"Amount (NIS)")</f>
        <v>21317.2</v>
      </c>
      <c r="J10" s="9" t="n">
        <f aca="false">I10*$J$5</f>
        <v>26926.9894736842</v>
      </c>
      <c r="K10" s="9" t="n">
        <f aca="false">J10-H10</f>
        <v>26926.9894736842</v>
      </c>
      <c r="L10" s="11" t="str">
        <f aca="false">IF(AND(H10=0,J10=0),0,IF(H10=0,"New",(J10-H10)/H10))</f>
        <v>New</v>
      </c>
    </row>
    <row r="11" customFormat="false" ht="15" hidden="false" customHeight="true" outlineLevel="0" collapsed="false">
      <c r="A11" s="8" t="s">
        <v>80</v>
      </c>
      <c r="B11" s="8" t="str">
        <f aca="false">IFERROR(INDEX('Source 2026'!$C:$C,MATCH($A11,'Source 2026'!$B:$B,0)),IFERROR(INDEX('Source 2025'!$C:$C,MATCH($A11,'Source 2025'!$B:$B,0)),""))</f>
        <v>טיסה אנטי בקטרי35-38</v>
      </c>
      <c r="C11" s="9" t="n">
        <f aca="false">SUMIFS('Source 2025'!$T:$T,'Source 2025'!$B:$B,$A11,'Source 2025'!$A:$A,"Quantity (units)")</f>
        <v>0</v>
      </c>
      <c r="D11" s="9" t="n">
        <f aca="false">SUMIFS('Source 2026'!$T:$T,'Source 2026'!$B:$B,$A11,'Source 2026'!$A:$A,"Quantity (units)")</f>
        <v>416</v>
      </c>
      <c r="E11" s="9" t="n">
        <f aca="false">D11*$J$5</f>
        <v>525.473684210526</v>
      </c>
      <c r="F11" s="9" t="n">
        <f aca="false">E11-C11</f>
        <v>525.473684210526</v>
      </c>
      <c r="G11" s="11" t="str">
        <f aca="false">IF(AND(C11=0,E11=0),0,IF(C11=0,"New",(E11-C11)/C11))</f>
        <v>New</v>
      </c>
      <c r="H11" s="9" t="n">
        <f aca="false">SUMIFS('Source 2025'!$T:$T,'Source 2025'!$B:$B,$A11,'Source 2025'!$A:$A,"Amount (NIS)")</f>
        <v>0</v>
      </c>
      <c r="I11" s="9" t="n">
        <f aca="false">SUMIFS('Source 2026'!$T:$T,'Source 2026'!$B:$B,$A11,'Source 2026'!$A:$A,"Amount (NIS)")</f>
        <v>17016.6</v>
      </c>
      <c r="J11" s="9" t="n">
        <f aca="false">I11*$J$5</f>
        <v>21494.6526315789</v>
      </c>
      <c r="K11" s="9" t="n">
        <f aca="false">J11-H11</f>
        <v>21494.6526315789</v>
      </c>
      <c r="L11" s="11" t="str">
        <f aca="false">IF(AND(H11=0,J11=0),0,IF(H11=0,"New",(J11-H11)/H11))</f>
        <v>New</v>
      </c>
    </row>
    <row r="12" customFormat="false" ht="15" hidden="false" customHeight="true" outlineLevel="0" collapsed="false">
      <c r="A12" s="8" t="s">
        <v>84</v>
      </c>
      <c r="B12" s="8" t="str">
        <f aca="false">IFERROR(INDEX('Source 2026'!$C:$C,MATCH($A12,'Source 2026'!$B:$B,0)),IFERROR(INDEX('Source 2025'!$C:$C,MATCH($A12,'Source 2025'!$B:$B,0)),""))</f>
        <v>L עקבים לדורבן-זוג כריות</v>
      </c>
      <c r="C12" s="9" t="n">
        <f aca="false">SUMIFS('Source 2025'!$T:$T,'Source 2025'!$B:$B,$A12,'Source 2025'!$A:$A,"Quantity (units)")</f>
        <v>0</v>
      </c>
      <c r="D12" s="9" t="n">
        <f aca="false">SUMIFS('Source 2026'!$T:$T,'Source 2026'!$B:$B,$A12,'Source 2026'!$A:$A,"Quantity (units)")</f>
        <v>233</v>
      </c>
      <c r="E12" s="9" t="n">
        <f aca="false">D12*$J$5</f>
        <v>294.315789473684</v>
      </c>
      <c r="F12" s="9" t="n">
        <f aca="false">E12-C12</f>
        <v>294.315789473684</v>
      </c>
      <c r="G12" s="11" t="str">
        <f aca="false">IF(AND(C12=0,E12=0),0,IF(C12=0,"New",(E12-C12)/C12))</f>
        <v>New</v>
      </c>
      <c r="H12" s="9" t="n">
        <f aca="false">SUMIFS('Source 2025'!$T:$T,'Source 2025'!$B:$B,$A12,'Source 2025'!$A:$A,"Amount (NIS)")</f>
        <v>0</v>
      </c>
      <c r="I12" s="9" t="n">
        <f aca="false">SUMIFS('Source 2026'!$T:$T,'Source 2026'!$B:$B,$A12,'Source 2026'!$A:$A,"Amount (NIS)")</f>
        <v>14504.7</v>
      </c>
      <c r="J12" s="9" t="n">
        <f aca="false">I12*$J$5</f>
        <v>18321.7263157895</v>
      </c>
      <c r="K12" s="9" t="n">
        <f aca="false">J12-H12</f>
        <v>18321.7263157895</v>
      </c>
      <c r="L12" s="11" t="str">
        <f aca="false">IF(AND(H12=0,J12=0),0,IF(H12=0,"New",(J12-H12)/H12))</f>
        <v>New</v>
      </c>
    </row>
    <row r="13" customFormat="false" ht="15" hidden="false" customHeight="true" outlineLevel="0" collapsed="false">
      <c r="A13" s="8" t="s">
        <v>83</v>
      </c>
      <c r="B13" s="8" t="str">
        <f aca="false">IFERROR(INDEX('Source 2026'!$C:$C,MATCH($A13,'Source 2026'!$B:$B,0)),IFERROR(INDEX('Source 2025'!$C:$C,MATCH($A13,'Source 2025'!$B:$B,0)),""))</f>
        <v>1 תומך ברך גנושילד</v>
      </c>
      <c r="C13" s="9" t="n">
        <f aca="false">SUMIFS('Source 2025'!$T:$T,'Source 2025'!$B:$B,$A13,'Source 2025'!$A:$A,"Quantity (units)")</f>
        <v>0</v>
      </c>
      <c r="D13" s="9" t="n">
        <f aca="false">SUMIFS('Source 2026'!$T:$T,'Source 2026'!$B:$B,$A13,'Source 2026'!$A:$A,"Quantity (units)")</f>
        <v>97</v>
      </c>
      <c r="E13" s="9" t="n">
        <f aca="false">D13*$J$5</f>
        <v>122.526315789474</v>
      </c>
      <c r="F13" s="9" t="n">
        <f aca="false">E13-C13</f>
        <v>122.526315789474</v>
      </c>
      <c r="G13" s="11" t="str">
        <f aca="false">IF(AND(C13=0,E13=0),0,IF(C13=0,"New",(E13-C13)/C13))</f>
        <v>New</v>
      </c>
      <c r="H13" s="9" t="n">
        <f aca="false">SUMIFS('Source 2025'!$T:$T,'Source 2025'!$B:$B,$A13,'Source 2025'!$A:$A,"Amount (NIS)")</f>
        <v>0</v>
      </c>
      <c r="I13" s="9" t="n">
        <f aca="false">SUMIFS('Source 2026'!$T:$T,'Source 2026'!$B:$B,$A13,'Source 2026'!$A:$A,"Amount (NIS)")</f>
        <v>12125</v>
      </c>
      <c r="J13" s="9" t="n">
        <f aca="false">I13*$J$5</f>
        <v>15315.7894736842</v>
      </c>
      <c r="K13" s="9" t="n">
        <f aca="false">J13-H13</f>
        <v>15315.7894736842</v>
      </c>
      <c r="L13" s="11" t="str">
        <f aca="false">IF(AND(H13=0,J13=0),0,IF(H13=0,"New",(J13-H13)/H13))</f>
        <v>New</v>
      </c>
    </row>
    <row r="14" customFormat="false" ht="15" hidden="false" customHeight="true" outlineLevel="0" collapsed="false">
      <c r="A14" s="8" t="s">
        <v>93</v>
      </c>
      <c r="B14" s="8" t="str">
        <f aca="false">IFERROR(INDEX('Source 2026'!$C:$C,MATCH($A14,'Source 2026'!$B:$B,0)),IFERROR(INDEX('Source 2025'!$C:$C,MATCH($A14,'Source 2025'!$B:$B,0)),""))</f>
        <v>M מגן קרסול עקב סגור</v>
      </c>
      <c r="C14" s="9" t="n">
        <f aca="false">SUMIFS('Source 2025'!$T:$T,'Source 2025'!$B:$B,$A14,'Source 2025'!$A:$A,"Quantity (units)")</f>
        <v>0</v>
      </c>
      <c r="D14" s="9" t="n">
        <f aca="false">SUMIFS('Source 2026'!$T:$T,'Source 2026'!$B:$B,$A14,'Source 2026'!$A:$A,"Quantity (units)")</f>
        <v>391</v>
      </c>
      <c r="E14" s="9" t="n">
        <f aca="false">D14*$J$5</f>
        <v>493.894736842105</v>
      </c>
      <c r="F14" s="9" t="n">
        <f aca="false">E14-C14</f>
        <v>493.894736842105</v>
      </c>
      <c r="G14" s="11" t="str">
        <f aca="false">IF(AND(C14=0,E14=0),0,IF(C14=0,"New",(E14-C14)/C14))</f>
        <v>New</v>
      </c>
      <c r="H14" s="9" t="n">
        <f aca="false">SUMIFS('Source 2025'!$T:$T,'Source 2025'!$B:$B,$A14,'Source 2025'!$A:$A,"Amount (NIS)")</f>
        <v>0</v>
      </c>
      <c r="I14" s="9" t="n">
        <f aca="false">SUMIFS('Source 2026'!$T:$T,'Source 2026'!$B:$B,$A14,'Source 2026'!$A:$A,"Amount (NIS)")</f>
        <v>10884.8</v>
      </c>
      <c r="J14" s="9" t="n">
        <f aca="false">I14*$J$5</f>
        <v>13749.2210526316</v>
      </c>
      <c r="K14" s="9" t="n">
        <f aca="false">J14-H14</f>
        <v>13749.2210526316</v>
      </c>
      <c r="L14" s="11" t="str">
        <f aca="false">IF(AND(H14=0,J14=0),0,IF(H14=0,"New",(J14-H14)/H14))</f>
        <v>New</v>
      </c>
    </row>
    <row r="15" customFormat="false" ht="15" hidden="false" customHeight="true" outlineLevel="0" collapsed="false">
      <c r="A15" s="8" t="s">
        <v>91</v>
      </c>
      <c r="B15" s="8" t="str">
        <f aca="false">IFERROR(INDEX('Source 2026'!$C:$C,MATCH($A15,'Source 2026'!$B:$B,0)),IFERROR(INDEX('Source 2025'!$C:$C,MATCH($A15,'Source 2025'!$B:$B,0)),""))</f>
        <v>L (מתלה ליד )כיס</v>
      </c>
      <c r="C15" s="9" t="n">
        <f aca="false">SUMIFS('Source 2025'!$T:$T,'Source 2025'!$B:$B,$A15,'Source 2025'!$A:$A,"Quantity (units)")</f>
        <v>0</v>
      </c>
      <c r="D15" s="9" t="n">
        <f aca="false">SUMIFS('Source 2026'!$T:$T,'Source 2026'!$B:$B,$A15,'Source 2026'!$A:$A,"Quantity (units)")</f>
        <v>323</v>
      </c>
      <c r="E15" s="9" t="n">
        <f aca="false">D15*$J$5</f>
        <v>408</v>
      </c>
      <c r="F15" s="9" t="n">
        <f aca="false">E15-C15</f>
        <v>408</v>
      </c>
      <c r="G15" s="11" t="str">
        <f aca="false">IF(AND(C15=0,E15=0),0,IF(C15=0,"New",(E15-C15)/C15))</f>
        <v>New</v>
      </c>
      <c r="H15" s="9" t="n">
        <f aca="false">SUMIFS('Source 2025'!$T:$T,'Source 2025'!$B:$B,$A15,'Source 2025'!$A:$A,"Amount (NIS)")</f>
        <v>0</v>
      </c>
      <c r="I15" s="9" t="n">
        <f aca="false">SUMIFS('Source 2026'!$T:$T,'Source 2026'!$B:$B,$A15,'Source 2026'!$A:$A,"Amount (NIS)")</f>
        <v>10806.4</v>
      </c>
      <c r="J15" s="9" t="n">
        <f aca="false">I15*$J$5</f>
        <v>13650.1894736842</v>
      </c>
      <c r="K15" s="9" t="n">
        <f aca="false">J15-H15</f>
        <v>13650.1894736842</v>
      </c>
      <c r="L15" s="11" t="str">
        <f aca="false">IF(AND(H15=0,J15=0),0,IF(H15=0,"New",(J15-H15)/H15))</f>
        <v>New</v>
      </c>
    </row>
    <row r="16" customFormat="false" ht="15" hidden="false" customHeight="true" outlineLevel="0" collapsed="false">
      <c r="A16" s="8" t="s">
        <v>100</v>
      </c>
      <c r="B16" s="8" t="str">
        <f aca="false">IFERROR(INDEX('Source 2026'!$C:$C,MATCH($A16,'Source 2026'!$B:$B,0)),IFERROR(INDEX('Source 2025'!$C:$C,MATCH($A16,'Source 2025'!$B:$B,0)),""))</f>
        <v>L מגן ברך לבן</v>
      </c>
      <c r="C16" s="9" t="n">
        <f aca="false">SUMIFS('Source 2025'!$T:$T,'Source 2025'!$B:$B,$A16,'Source 2025'!$A:$A,"Quantity (units)")</f>
        <v>0</v>
      </c>
      <c r="D16" s="9" t="n">
        <f aca="false">SUMIFS('Source 2026'!$T:$T,'Source 2026'!$B:$B,$A16,'Source 2026'!$A:$A,"Quantity (units)")</f>
        <v>617</v>
      </c>
      <c r="E16" s="9" t="n">
        <f aca="false">D16*$J$5</f>
        <v>779.368421052632</v>
      </c>
      <c r="F16" s="9" t="n">
        <f aca="false">E16-C16</f>
        <v>779.368421052632</v>
      </c>
      <c r="G16" s="11" t="str">
        <f aca="false">IF(AND(C16=0,E16=0),0,IF(C16=0,"New",(E16-C16)/C16))</f>
        <v>New</v>
      </c>
      <c r="H16" s="9" t="n">
        <f aca="false">SUMIFS('Source 2025'!$T:$T,'Source 2025'!$B:$B,$A16,'Source 2025'!$A:$A,"Amount (NIS)")</f>
        <v>0</v>
      </c>
      <c r="I16" s="9" t="n">
        <f aca="false">SUMIFS('Source 2026'!$T:$T,'Source 2026'!$B:$B,$A16,'Source 2026'!$A:$A,"Amount (NIS)")</f>
        <v>10007.2</v>
      </c>
      <c r="J16" s="9" t="n">
        <f aca="false">I16*$J$5</f>
        <v>12640.6736842105</v>
      </c>
      <c r="K16" s="9" t="n">
        <f aca="false">J16-H16</f>
        <v>12640.6736842105</v>
      </c>
      <c r="L16" s="11" t="str">
        <f aca="false">IF(AND(H16=0,J16=0),0,IF(H16=0,"New",(J16-H16)/H16))</f>
        <v>New</v>
      </c>
    </row>
    <row r="17" customFormat="false" ht="15" hidden="false" customHeight="true" outlineLevel="0" collapsed="false">
      <c r="A17" s="8" t="s">
        <v>78</v>
      </c>
      <c r="B17" s="8" t="str">
        <f aca="false">IFERROR(INDEX('Source 2026'!$C:$C,MATCH($A17,'Source 2026'!$B:$B,0)),IFERROR(INDEX('Source 2025'!$C:$C,MATCH($A17,'Source 2025'!$B:$B,0)),""))</f>
        <v>S  חבק יד ארוך</v>
      </c>
      <c r="C17" s="9" t="n">
        <f aca="false">SUMIFS('Source 2025'!$T:$T,'Source 2025'!$B:$B,$A17,'Source 2025'!$A:$A,"Quantity (units)")</f>
        <v>0</v>
      </c>
      <c r="D17" s="9" t="n">
        <f aca="false">SUMIFS('Source 2026'!$T:$T,'Source 2026'!$B:$B,$A17,'Source 2026'!$A:$A,"Quantity (units)")</f>
        <v>382</v>
      </c>
      <c r="E17" s="9" t="n">
        <f aca="false">D17*$J$5</f>
        <v>482.526315789474</v>
      </c>
      <c r="F17" s="9" t="n">
        <f aca="false">E17-C17</f>
        <v>482.526315789474</v>
      </c>
      <c r="G17" s="11" t="str">
        <f aca="false">IF(AND(C17=0,E17=0),0,IF(C17=0,"New",(E17-C17)/C17))</f>
        <v>New</v>
      </c>
      <c r="H17" s="9" t="n">
        <f aca="false">SUMIFS('Source 2025'!$T:$T,'Source 2025'!$B:$B,$A17,'Source 2025'!$A:$A,"Amount (NIS)")</f>
        <v>0</v>
      </c>
      <c r="I17" s="9" t="n">
        <f aca="false">SUMIFS('Source 2026'!$T:$T,'Source 2026'!$B:$B,$A17,'Source 2026'!$A:$A,"Amount (NIS)")</f>
        <v>8812.9</v>
      </c>
      <c r="J17" s="9" t="n">
        <f aca="false">I17*$J$5</f>
        <v>11132.0842105263</v>
      </c>
      <c r="K17" s="9" t="n">
        <f aca="false">J17-H17</f>
        <v>11132.0842105263</v>
      </c>
      <c r="L17" s="11" t="str">
        <f aca="false">IF(AND(H17=0,J17=0),0,IF(H17=0,"New",(J17-H17)/H17))</f>
        <v>New</v>
      </c>
    </row>
    <row r="18" customFormat="false" ht="15" hidden="false" customHeight="true" outlineLevel="0" collapsed="false">
      <c r="A18" s="8" t="s">
        <v>114</v>
      </c>
      <c r="B18" s="8" t="str">
        <f aca="false">IFERROR(INDEX('Source 2026'!$C:$C,MATCH($A18,'Source 2026'!$B:$B,0)),IFERROR(INDEX('Source 2025'!$C:$C,MATCH($A18,'Source 2025'!$B:$B,0)),""))</f>
        <v>Sמגן ברך ארוך לבן</v>
      </c>
      <c r="C18" s="9" t="n">
        <f aca="false">SUMIFS('Source 2025'!$T:$T,'Source 2025'!$B:$B,$A18,'Source 2025'!$A:$A,"Quantity (units)")</f>
        <v>0</v>
      </c>
      <c r="D18" s="9" t="n">
        <f aca="false">SUMIFS('Source 2026'!$T:$T,'Source 2026'!$B:$B,$A18,'Source 2026'!$A:$A,"Quantity (units)")</f>
        <v>442</v>
      </c>
      <c r="E18" s="9" t="n">
        <f aca="false">D18*$J$5</f>
        <v>558.315789473684</v>
      </c>
      <c r="F18" s="9" t="n">
        <f aca="false">E18-C18</f>
        <v>558.315789473684</v>
      </c>
      <c r="G18" s="11" t="str">
        <f aca="false">IF(AND(C18=0,E18=0),0,IF(C18=0,"New",(E18-C18)/C18))</f>
        <v>New</v>
      </c>
      <c r="H18" s="9" t="n">
        <f aca="false">SUMIFS('Source 2025'!$T:$T,'Source 2025'!$B:$B,$A18,'Source 2025'!$A:$A,"Amount (NIS)")</f>
        <v>0</v>
      </c>
      <c r="I18" s="9" t="n">
        <f aca="false">SUMIFS('Source 2026'!$T:$T,'Source 2026'!$B:$B,$A18,'Source 2026'!$A:$A,"Amount (NIS)")</f>
        <v>8727.8</v>
      </c>
      <c r="J18" s="9" t="n">
        <f aca="false">I18*$J$5</f>
        <v>11024.5894736842</v>
      </c>
      <c r="K18" s="9" t="n">
        <f aca="false">J18-H18</f>
        <v>11024.5894736842</v>
      </c>
      <c r="L18" s="11" t="str">
        <f aca="false">IF(AND(H18=0,J18=0),0,IF(H18=0,"New",(J18-H18)/H18))</f>
        <v>New</v>
      </c>
    </row>
    <row r="19" customFormat="false" ht="15" hidden="false" customHeight="true" outlineLevel="0" collapsed="false">
      <c r="A19" s="8" t="s">
        <v>270</v>
      </c>
      <c r="B19" s="8" t="str">
        <f aca="false">IFERROR(INDEX('Source 2026'!$C:$C,MATCH($A19,'Source 2026'!$B:$B,0)),IFERROR(INDEX('Source 2025'!$C:$C,MATCH($A19,'Source 2025'!$B:$B,0)),""))</f>
        <v>S מקבע כתף ויד</v>
      </c>
      <c r="C19" s="9" t="n">
        <f aca="false">SUMIFS('Source 2025'!$T:$T,'Source 2025'!$B:$B,$A19,'Source 2025'!$A:$A,"Quantity (units)")</f>
        <v>0</v>
      </c>
      <c r="D19" s="9" t="n">
        <f aca="false">SUMIFS('Source 2026'!$T:$T,'Source 2026'!$B:$B,$A19,'Source 2026'!$A:$A,"Quantity (units)")</f>
        <v>65</v>
      </c>
      <c r="E19" s="9" t="n">
        <f aca="false">D19*$J$5</f>
        <v>82.1052631578947</v>
      </c>
      <c r="F19" s="9" t="n">
        <f aca="false">E19-C19</f>
        <v>82.1052631578947</v>
      </c>
      <c r="G19" s="11" t="str">
        <f aca="false">IF(AND(C19=0,E19=0),0,IF(C19=0,"New",(E19-C19)/C19))</f>
        <v>New</v>
      </c>
      <c r="H19" s="9" t="n">
        <f aca="false">SUMIFS('Source 2025'!$T:$T,'Source 2025'!$B:$B,$A19,'Source 2025'!$A:$A,"Amount (NIS)")</f>
        <v>0</v>
      </c>
      <c r="I19" s="9" t="n">
        <f aca="false">SUMIFS('Source 2026'!$T:$T,'Source 2026'!$B:$B,$A19,'Source 2026'!$A:$A,"Amount (NIS)")</f>
        <v>8001.2</v>
      </c>
      <c r="J19" s="9" t="n">
        <f aca="false">I19*$J$5</f>
        <v>10106.7789473684</v>
      </c>
      <c r="K19" s="9" t="n">
        <f aca="false">J19-H19</f>
        <v>10106.7789473684</v>
      </c>
      <c r="L19" s="11" t="str">
        <f aca="false">IF(AND(H19=0,J19=0),0,IF(H19=0,"New",(J19-H19)/H19))</f>
        <v>New</v>
      </c>
    </row>
    <row r="20" customFormat="false" ht="15" hidden="false" customHeight="true" outlineLevel="0" collapsed="false">
      <c r="A20" s="8" t="s">
        <v>108</v>
      </c>
      <c r="B20" s="8" t="str">
        <f aca="false">IFERROR(INDEX('Source 2026'!$C:$C,MATCH($A20,'Source 2026'!$B:$B,0)),IFERROR(INDEX('Source 2025'!$C:$C,MATCH($A20,'Source 2025'!$B:$B,0)),""))</f>
        <v>S""חגורת בטן""אורירית</v>
      </c>
      <c r="C20" s="9" t="n">
        <f aca="false">SUMIFS('Source 2025'!$T:$T,'Source 2025'!$B:$B,$A20,'Source 2025'!$A:$A,"Quantity (units)")</f>
        <v>0</v>
      </c>
      <c r="D20" s="9" t="n">
        <f aca="false">SUMIFS('Source 2026'!$T:$T,'Source 2026'!$B:$B,$A20,'Source 2026'!$A:$A,"Quantity (units)")</f>
        <v>107</v>
      </c>
      <c r="E20" s="9" t="n">
        <f aca="false">D20*$J$5</f>
        <v>135.157894736842</v>
      </c>
      <c r="F20" s="9" t="n">
        <f aca="false">E20-C20</f>
        <v>135.157894736842</v>
      </c>
      <c r="G20" s="11" t="str">
        <f aca="false">IF(AND(C20=0,E20=0),0,IF(C20=0,"New",(E20-C20)/C20))</f>
        <v>New</v>
      </c>
      <c r="H20" s="9" t="n">
        <f aca="false">SUMIFS('Source 2025'!$T:$T,'Source 2025'!$B:$B,$A20,'Source 2025'!$A:$A,"Amount (NIS)")</f>
        <v>0</v>
      </c>
      <c r="I20" s="9" t="n">
        <f aca="false">SUMIFS('Source 2026'!$T:$T,'Source 2026'!$B:$B,$A20,'Source 2026'!$A:$A,"Amount (NIS)")</f>
        <v>7577.6</v>
      </c>
      <c r="J20" s="9" t="n">
        <f aca="false">I20*$J$5</f>
        <v>9571.70526315789</v>
      </c>
      <c r="K20" s="9" t="n">
        <f aca="false">J20-H20</f>
        <v>9571.70526315789</v>
      </c>
      <c r="L20" s="11" t="str">
        <f aca="false">IF(AND(H20=0,J20=0),0,IF(H20=0,"New",(J20-H20)/H20))</f>
        <v>New</v>
      </c>
    </row>
    <row r="21" customFormat="false" ht="15" hidden="false" customHeight="true" outlineLevel="0" collapsed="false">
      <c r="A21" s="8" t="s">
        <v>81</v>
      </c>
      <c r="B21" s="8" t="str">
        <f aca="false">IFERROR(INDEX('Source 2026'!$C:$C,MATCH($A21,'Source 2026'!$B:$B,0)),IFERROR(INDEX('Source 2025'!$C:$C,MATCH($A21,'Source 2025'!$B:$B,0)),""))</f>
        <v>מדרס ג'ל לגבר</v>
      </c>
      <c r="C21" s="9" t="n">
        <f aca="false">SUMIFS('Source 2025'!$T:$T,'Source 2025'!$B:$B,$A21,'Source 2025'!$A:$A,"Quantity (units)")</f>
        <v>0</v>
      </c>
      <c r="D21" s="9" t="n">
        <f aca="false">SUMIFS('Source 2026'!$T:$T,'Source 2026'!$B:$B,$A21,'Source 2026'!$A:$A,"Quantity (units)")</f>
        <v>142</v>
      </c>
      <c r="E21" s="9" t="n">
        <f aca="false">D21*$J$5</f>
        <v>179.368421052632</v>
      </c>
      <c r="F21" s="9" t="n">
        <f aca="false">E21-C21</f>
        <v>179.368421052632</v>
      </c>
      <c r="G21" s="11" t="str">
        <f aca="false">IF(AND(C21=0,E21=0),0,IF(C21=0,"New",(E21-C21)/C21))</f>
        <v>New</v>
      </c>
      <c r="H21" s="9" t="n">
        <f aca="false">SUMIFS('Source 2025'!$T:$T,'Source 2025'!$B:$B,$A21,'Source 2025'!$A:$A,"Amount (NIS)")</f>
        <v>0</v>
      </c>
      <c r="I21" s="9" t="n">
        <f aca="false">SUMIFS('Source 2026'!$T:$T,'Source 2026'!$B:$B,$A21,'Source 2026'!$A:$A,"Amount (NIS)")</f>
        <v>6706.7</v>
      </c>
      <c r="J21" s="9" t="n">
        <f aca="false">I21*$J$5</f>
        <v>8471.62105263158</v>
      </c>
      <c r="K21" s="9" t="n">
        <f aca="false">J21-H21</f>
        <v>8471.62105263158</v>
      </c>
      <c r="L21" s="11" t="str">
        <f aca="false">IF(AND(H21=0,J21=0),0,IF(H21=0,"New",(J21-H21)/H21))</f>
        <v>New</v>
      </c>
    </row>
    <row r="22" customFormat="false" ht="15" hidden="false" customHeight="true" outlineLevel="0" collapsed="false">
      <c r="A22" s="8" t="s">
        <v>231</v>
      </c>
      <c r="B22" s="8" t="str">
        <f aca="false">IFERROR(INDEX('Source 2026'!$C:$C,MATCH($A22,'Source 2026'!$B:$B,0)),IFERROR(INDEX('Source 2025'!$C:$C,MATCH($A22,'Source 2025'!$B:$B,0)),""))</f>
        <v>חגורת גב אפורה</v>
      </c>
      <c r="C22" s="9" t="n">
        <f aca="false">SUMIFS('Source 2025'!$T:$T,'Source 2025'!$B:$B,$A22,'Source 2025'!$A:$A,"Quantity (units)")</f>
        <v>0</v>
      </c>
      <c r="D22" s="9" t="n">
        <f aca="false">SUMIFS('Source 2026'!$T:$T,'Source 2026'!$B:$B,$A22,'Source 2026'!$A:$A,"Quantity (units)")</f>
        <v>102</v>
      </c>
      <c r="E22" s="9" t="n">
        <f aca="false">D22*$J$5</f>
        <v>128.842105263158</v>
      </c>
      <c r="F22" s="9" t="n">
        <f aca="false">E22-C22</f>
        <v>128.842105263158</v>
      </c>
      <c r="G22" s="11" t="str">
        <f aca="false">IF(AND(C22=0,E22=0),0,IF(C22=0,"New",(E22-C22)/C22))</f>
        <v>New</v>
      </c>
      <c r="H22" s="9" t="n">
        <f aca="false">SUMIFS('Source 2025'!$T:$T,'Source 2025'!$B:$B,$A22,'Source 2025'!$A:$A,"Amount (NIS)")</f>
        <v>0</v>
      </c>
      <c r="I22" s="9" t="n">
        <f aca="false">SUMIFS('Source 2026'!$T:$T,'Source 2026'!$B:$B,$A22,'Source 2026'!$A:$A,"Amount (NIS)")</f>
        <v>6630</v>
      </c>
      <c r="J22" s="9" t="n">
        <f aca="false">I22*$J$5</f>
        <v>8374.73684210526</v>
      </c>
      <c r="K22" s="9" t="n">
        <f aca="false">J22-H22</f>
        <v>8374.73684210526</v>
      </c>
      <c r="L22" s="11" t="str">
        <f aca="false">IF(AND(H22=0,J22=0),0,IF(H22=0,"New",(J22-H22)/H22))</f>
        <v>New</v>
      </c>
    </row>
    <row r="23" customFormat="false" ht="15" hidden="false" customHeight="true" outlineLevel="0" collapsed="false">
      <c r="A23" s="8" t="s">
        <v>392</v>
      </c>
      <c r="B23" s="8" t="str">
        <f aca="false">IFERROR(INDEX('Source 2026'!$C:$C,MATCH($A23,'Source 2026'!$B:$B,0)),IFERROR(INDEX('Source 2025'!$C:$C,MATCH($A23,'Source 2025'!$B:$B,0)),""))</f>
        <v>חבק שורש לכף היד</v>
      </c>
      <c r="C23" s="9" t="n">
        <f aca="false">SUMIFS('Source 2025'!$T:$T,'Source 2025'!$B:$B,$A23,'Source 2025'!$A:$A,"Quantity (units)")</f>
        <v>0</v>
      </c>
      <c r="D23" s="9" t="n">
        <f aca="false">SUMIFS('Source 2026'!$T:$T,'Source 2026'!$B:$B,$A23,'Source 2026'!$A:$A,"Quantity (units)")</f>
        <v>327</v>
      </c>
      <c r="E23" s="9" t="n">
        <f aca="false">D23*$J$5</f>
        <v>413.052631578947</v>
      </c>
      <c r="F23" s="9" t="n">
        <f aca="false">E23-C23</f>
        <v>413.052631578947</v>
      </c>
      <c r="G23" s="11" t="str">
        <f aca="false">IF(AND(C23=0,E23=0),0,IF(C23=0,"New",(E23-C23)/C23))</f>
        <v>New</v>
      </c>
      <c r="H23" s="9" t="n">
        <f aca="false">SUMIFS('Source 2025'!$T:$T,'Source 2025'!$B:$B,$A23,'Source 2025'!$A:$A,"Amount (NIS)")</f>
        <v>0</v>
      </c>
      <c r="I23" s="9" t="n">
        <f aca="false">SUMIFS('Source 2026'!$T:$T,'Source 2026'!$B:$B,$A23,'Source 2026'!$A:$A,"Amount (NIS)")</f>
        <v>5739.6</v>
      </c>
      <c r="J23" s="9" t="n">
        <f aca="false">I23*$J$5</f>
        <v>7250.02105263158</v>
      </c>
      <c r="K23" s="9" t="n">
        <f aca="false">J23-H23</f>
        <v>7250.02105263158</v>
      </c>
      <c r="L23" s="11" t="str">
        <f aca="false">IF(AND(H23=0,J23=0),0,IF(H23=0,"New",(J23-H23)/H23))</f>
        <v>New</v>
      </c>
    </row>
    <row r="24" customFormat="false" ht="15" hidden="false" customHeight="true" outlineLevel="0" collapsed="false">
      <c r="A24" s="8" t="s">
        <v>99</v>
      </c>
      <c r="B24" s="8" t="str">
        <f aca="false">IFERROR(INDEX('Source 2026'!$C:$C,MATCH($A24,'Source 2026'!$B:$B,0)),IFERROR(INDEX('Source 2025'!$C:$C,MATCH($A24,'Source 2025'!$B:$B,0)),""))</f>
        <v>S מגן קרסול לבן</v>
      </c>
      <c r="C24" s="9" t="n">
        <f aca="false">SUMIFS('Source 2025'!$T:$T,'Source 2025'!$B:$B,$A24,'Source 2025'!$A:$A,"Quantity (units)")</f>
        <v>0</v>
      </c>
      <c r="D24" s="9" t="n">
        <f aca="false">SUMIFS('Source 2026'!$T:$T,'Source 2026'!$B:$B,$A24,'Source 2026'!$A:$A,"Quantity (units)")</f>
        <v>321</v>
      </c>
      <c r="E24" s="9" t="n">
        <f aca="false">D24*$J$5</f>
        <v>405.473684210526</v>
      </c>
      <c r="F24" s="9" t="n">
        <f aca="false">E24-C24</f>
        <v>405.473684210526</v>
      </c>
      <c r="G24" s="11" t="str">
        <f aca="false">IF(AND(C24=0,E24=0),0,IF(C24=0,"New",(E24-C24)/C24))</f>
        <v>New</v>
      </c>
      <c r="H24" s="9" t="n">
        <f aca="false">SUMIFS('Source 2025'!$T:$T,'Source 2025'!$B:$B,$A24,'Source 2025'!$A:$A,"Amount (NIS)")</f>
        <v>0</v>
      </c>
      <c r="I24" s="9" t="n">
        <f aca="false">SUMIFS('Source 2026'!$T:$T,'Source 2026'!$B:$B,$A24,'Source 2026'!$A:$A,"Amount (NIS)")</f>
        <v>5202.1</v>
      </c>
      <c r="J24" s="9" t="n">
        <f aca="false">I24*$J$5</f>
        <v>6571.07368421053</v>
      </c>
      <c r="K24" s="9" t="n">
        <f aca="false">J24-H24</f>
        <v>6571.07368421053</v>
      </c>
      <c r="L24" s="11" t="str">
        <f aca="false">IF(AND(H24=0,J24=0),0,IF(H24=0,"New",(J24-H24)/H24))</f>
        <v>New</v>
      </c>
    </row>
    <row r="25" customFormat="false" ht="15" hidden="false" customHeight="true" outlineLevel="0" collapsed="false">
      <c r="A25" s="8" t="s">
        <v>139</v>
      </c>
      <c r="B25" s="8" t="str">
        <f aca="false">IFERROR(INDEX('Source 2026'!$C:$C,MATCH($A25,'Source 2026'!$B:$B,0)),IFERROR(INDEX('Source 2025'!$C:$C,MATCH($A25,'Source 2025'!$B:$B,0)),""))</f>
        <v>S מגן קרסול עקב סגור+רצוע</v>
      </c>
      <c r="C25" s="9" t="n">
        <f aca="false">SUMIFS('Source 2025'!$T:$T,'Source 2025'!$B:$B,$A25,'Source 2025'!$A:$A,"Quantity (units)")</f>
        <v>0</v>
      </c>
      <c r="D25" s="9" t="n">
        <f aca="false">SUMIFS('Source 2026'!$T:$T,'Source 2026'!$B:$B,$A25,'Source 2026'!$A:$A,"Quantity (units)")</f>
        <v>119</v>
      </c>
      <c r="E25" s="9" t="n">
        <f aca="false">D25*$J$5</f>
        <v>150.315789473684</v>
      </c>
      <c r="F25" s="9" t="n">
        <f aca="false">E25-C25</f>
        <v>150.315789473684</v>
      </c>
      <c r="G25" s="11" t="str">
        <f aca="false">IF(AND(C25=0,E25=0),0,IF(C25=0,"New",(E25-C25)/C25))</f>
        <v>New</v>
      </c>
      <c r="H25" s="9" t="n">
        <f aca="false">SUMIFS('Source 2025'!$T:$T,'Source 2025'!$B:$B,$A25,'Source 2025'!$A:$A,"Amount (NIS)")</f>
        <v>0</v>
      </c>
      <c r="I25" s="9" t="n">
        <f aca="false">SUMIFS('Source 2026'!$T:$T,'Source 2026'!$B:$B,$A25,'Source 2026'!$A:$A,"Amount (NIS)")</f>
        <v>4723</v>
      </c>
      <c r="J25" s="9" t="n">
        <f aca="false">I25*$J$5</f>
        <v>5965.89473684211</v>
      </c>
      <c r="K25" s="9" t="n">
        <f aca="false">J25-H25</f>
        <v>5965.89473684211</v>
      </c>
      <c r="L25" s="11" t="str">
        <f aca="false">IF(AND(H25=0,J25=0),0,IF(H25=0,"New",(J25-H25)/H25))</f>
        <v>New</v>
      </c>
    </row>
    <row r="26" customFormat="false" ht="15" hidden="false" customHeight="true" outlineLevel="0" collapsed="false">
      <c r="A26" s="8" t="s">
        <v>136</v>
      </c>
      <c r="B26" s="8" t="str">
        <f aca="false">IFERROR(INDEX('Source 2026'!$C:$C,MATCH($A26,'Source 2026'!$B:$B,0)),IFERROR(INDEX('Source 2025'!$C:$C,MATCH($A26,'Source 2025'!$B:$B,0)),""))</f>
        <v>L מגן מרפק רגיל לבן</v>
      </c>
      <c r="C26" s="9" t="n">
        <f aca="false">SUMIFS('Source 2025'!$T:$T,'Source 2025'!$B:$B,$A26,'Source 2025'!$A:$A,"Quantity (units)")</f>
        <v>0</v>
      </c>
      <c r="D26" s="9" t="n">
        <f aca="false">SUMIFS('Source 2026'!$T:$T,'Source 2026'!$B:$B,$A26,'Source 2026'!$A:$A,"Quantity (units)")</f>
        <v>273</v>
      </c>
      <c r="E26" s="9" t="n">
        <f aca="false">D26*$J$5</f>
        <v>344.842105263158</v>
      </c>
      <c r="F26" s="9" t="n">
        <f aca="false">E26-C26</f>
        <v>344.842105263158</v>
      </c>
      <c r="G26" s="11" t="str">
        <f aca="false">IF(AND(C26=0,E26=0),0,IF(C26=0,"New",(E26-C26)/C26))</f>
        <v>New</v>
      </c>
      <c r="H26" s="9" t="n">
        <f aca="false">SUMIFS('Source 2025'!$T:$T,'Source 2025'!$B:$B,$A26,'Source 2025'!$A:$A,"Amount (NIS)")</f>
        <v>0</v>
      </c>
      <c r="I26" s="9" t="n">
        <f aca="false">SUMIFS('Source 2026'!$T:$T,'Source 2026'!$B:$B,$A26,'Source 2026'!$A:$A,"Amount (NIS)")</f>
        <v>4462.7</v>
      </c>
      <c r="J26" s="9" t="n">
        <f aca="false">I26*$J$5</f>
        <v>5637.09473684211</v>
      </c>
      <c r="K26" s="9" t="n">
        <f aca="false">J26-H26</f>
        <v>5637.09473684211</v>
      </c>
      <c r="L26" s="11" t="str">
        <f aca="false">IF(AND(H26=0,J26=0),0,IF(H26=0,"New",(J26-H26)/H26))</f>
        <v>New</v>
      </c>
    </row>
    <row r="27" customFormat="false" ht="15" hidden="false" customHeight="true" outlineLevel="0" collapsed="false">
      <c r="A27" s="8" t="s">
        <v>105</v>
      </c>
      <c r="B27" s="8" t="str">
        <f aca="false">IFERROR(INDEX('Source 2026'!$C:$C,MATCH($A27,'Source 2026'!$B:$B,0)),IFERROR(INDEX('Source 2025'!$C:$C,MATCH($A27,'Source 2025'!$B:$B,0)),""))</f>
        <v>L חגורת גב +סגירה</v>
      </c>
      <c r="C27" s="9" t="n">
        <f aca="false">SUMIFS('Source 2025'!$T:$T,'Source 2025'!$B:$B,$A27,'Source 2025'!$A:$A,"Quantity (units)")</f>
        <v>0</v>
      </c>
      <c r="D27" s="9" t="n">
        <f aca="false">SUMIFS('Source 2026'!$T:$T,'Source 2026'!$B:$B,$A27,'Source 2026'!$A:$A,"Quantity (units)")</f>
        <v>69</v>
      </c>
      <c r="E27" s="9" t="n">
        <f aca="false">D27*$J$5</f>
        <v>87.1578947368421</v>
      </c>
      <c r="F27" s="9" t="n">
        <f aca="false">E27-C27</f>
        <v>87.1578947368421</v>
      </c>
      <c r="G27" s="11" t="str">
        <f aca="false">IF(AND(C27=0,E27=0),0,IF(C27=0,"New",(E27-C27)/C27))</f>
        <v>New</v>
      </c>
      <c r="H27" s="9" t="n">
        <f aca="false">SUMIFS('Source 2025'!$T:$T,'Source 2025'!$B:$B,$A27,'Source 2025'!$A:$A,"Amount (NIS)")</f>
        <v>0</v>
      </c>
      <c r="I27" s="9" t="n">
        <f aca="false">SUMIFS('Source 2026'!$T:$T,'Source 2026'!$B:$B,$A27,'Source 2026'!$A:$A,"Amount (NIS)")</f>
        <v>4241.3</v>
      </c>
      <c r="J27" s="9" t="n">
        <f aca="false">I27*$J$5</f>
        <v>5357.43157894737</v>
      </c>
      <c r="K27" s="9" t="n">
        <f aca="false">J27-H27</f>
        <v>5357.43157894737</v>
      </c>
      <c r="L27" s="11" t="str">
        <f aca="false">IF(AND(H27=0,J27=0),0,IF(H27=0,"New",(J27-H27)/H27))</f>
        <v>New</v>
      </c>
    </row>
    <row r="28" customFormat="false" ht="15" hidden="false" customHeight="true" outlineLevel="0" collapsed="false">
      <c r="A28" s="8" t="s">
        <v>176</v>
      </c>
      <c r="B28" s="8" t="str">
        <f aca="false">IFERROR(INDEX('Source 2026'!$C:$C,MATCH($A28,'Source 2026'!$B:$B,0)),IFERROR(INDEX('Source 2025'!$C:$C,MATCH($A28,'Source 2025'!$B:$B,0)),""))</f>
        <v>L-XL חגורת הריון</v>
      </c>
      <c r="C28" s="9" t="n">
        <f aca="false">SUMIFS('Source 2025'!$T:$T,'Source 2025'!$B:$B,$A28,'Source 2025'!$A:$A,"Quantity (units)")</f>
        <v>0</v>
      </c>
      <c r="D28" s="9" t="n">
        <f aca="false">SUMIFS('Source 2026'!$T:$T,'Source 2026'!$B:$B,$A28,'Source 2026'!$A:$A,"Quantity (units)")</f>
        <v>50</v>
      </c>
      <c r="E28" s="9" t="n">
        <f aca="false">D28*$J$5</f>
        <v>63.1578947368421</v>
      </c>
      <c r="F28" s="9" t="n">
        <f aca="false">E28-C28</f>
        <v>63.1578947368421</v>
      </c>
      <c r="G28" s="11" t="str">
        <f aca="false">IF(AND(C28=0,E28=0),0,IF(C28=0,"New",(E28-C28)/C28))</f>
        <v>New</v>
      </c>
      <c r="H28" s="9" t="n">
        <f aca="false">SUMIFS('Source 2025'!$T:$T,'Source 2025'!$B:$B,$A28,'Source 2025'!$A:$A,"Amount (NIS)")</f>
        <v>0</v>
      </c>
      <c r="I28" s="9" t="n">
        <f aca="false">SUMIFS('Source 2026'!$T:$T,'Source 2026'!$B:$B,$A28,'Source 2026'!$A:$A,"Amount (NIS)")</f>
        <v>3890</v>
      </c>
      <c r="J28" s="9" t="n">
        <f aca="false">I28*$J$5</f>
        <v>4913.68421052632</v>
      </c>
      <c r="K28" s="9" t="n">
        <f aca="false">J28-H28</f>
        <v>4913.68421052632</v>
      </c>
      <c r="L28" s="11" t="str">
        <f aca="false">IF(AND(H28=0,J28=0),0,IF(H28=0,"New",(J28-H28)/H28))</f>
        <v>New</v>
      </c>
    </row>
    <row r="29" customFormat="false" ht="15" hidden="false" customHeight="true" outlineLevel="0" collapsed="false">
      <c r="A29" s="8" t="s">
        <v>106</v>
      </c>
      <c r="B29" s="8" t="str">
        <f aca="false">IFERROR(INDEX('Source 2026'!$C:$C,MATCH($A29,'Source 2026'!$B:$B,0)),IFERROR(INDEX('Source 2025'!$C:$C,MATCH($A29,'Source 2025'!$B:$B,0)),""))</f>
        <v>טלק מעושר באלוורה</v>
      </c>
      <c r="C29" s="9" t="n">
        <f aca="false">SUMIFS('Source 2025'!$T:$T,'Source 2025'!$B:$B,$A29,'Source 2025'!$A:$A,"Quantity (units)")</f>
        <v>0</v>
      </c>
      <c r="D29" s="9" t="n">
        <f aca="false">SUMIFS('Source 2026'!$T:$T,'Source 2026'!$B:$B,$A29,'Source 2026'!$A:$A,"Quantity (units)")</f>
        <v>276</v>
      </c>
      <c r="E29" s="9" t="n">
        <f aca="false">D29*$J$5</f>
        <v>348.631578947368</v>
      </c>
      <c r="F29" s="9" t="n">
        <f aca="false">E29-C29</f>
        <v>348.631578947368</v>
      </c>
      <c r="G29" s="11" t="str">
        <f aca="false">IF(AND(C29=0,E29=0),0,IF(C29=0,"New",(E29-C29)/C29))</f>
        <v>New</v>
      </c>
      <c r="H29" s="9" t="n">
        <f aca="false">SUMIFS('Source 2025'!$T:$T,'Source 2025'!$B:$B,$A29,'Source 2025'!$A:$A,"Amount (NIS)")</f>
        <v>0</v>
      </c>
      <c r="I29" s="9" t="n">
        <f aca="false">SUMIFS('Source 2026'!$T:$T,'Source 2026'!$B:$B,$A29,'Source 2026'!$A:$A,"Amount (NIS)")</f>
        <v>3534.3</v>
      </c>
      <c r="J29" s="9" t="n">
        <f aca="false">I29*$J$5</f>
        <v>4464.37894736842</v>
      </c>
      <c r="K29" s="9" t="n">
        <f aca="false">J29-H29</f>
        <v>4464.37894736842</v>
      </c>
      <c r="L29" s="11" t="str">
        <f aca="false">IF(AND(H29=0,J29=0),0,IF(H29=0,"New",(J29-H29)/H29))</f>
        <v>New</v>
      </c>
    </row>
    <row r="30" customFormat="false" ht="15" hidden="false" customHeight="true" outlineLevel="0" collapsed="false">
      <c r="A30" s="8" t="s">
        <v>112</v>
      </c>
      <c r="B30" s="8" t="str">
        <f aca="false">IFERROR(INDEX('Source 2026'!$C:$C,MATCH($A30,'Source 2026'!$B:$B,0)),IFERROR(INDEX('Source 2025'!$C:$C,MATCH($A30,'Source 2025'!$B:$B,0)),""))</f>
        <v>חגורת גב +סגירה כפולה</v>
      </c>
      <c r="C30" s="9" t="n">
        <f aca="false">SUMIFS('Source 2025'!$T:$T,'Source 2025'!$B:$B,$A30,'Source 2025'!$A:$A,"Quantity (units)")</f>
        <v>0</v>
      </c>
      <c r="D30" s="9" t="n">
        <f aca="false">SUMIFS('Source 2026'!$T:$T,'Source 2026'!$B:$B,$A30,'Source 2026'!$A:$A,"Quantity (units)")</f>
        <v>54</v>
      </c>
      <c r="E30" s="9" t="n">
        <f aca="false">D30*$J$5</f>
        <v>68.2105263157895</v>
      </c>
      <c r="F30" s="9" t="n">
        <f aca="false">E30-C30</f>
        <v>68.2105263157895</v>
      </c>
      <c r="G30" s="11" t="str">
        <f aca="false">IF(AND(C30=0,E30=0),0,IF(C30=0,"New",(E30-C30)/C30))</f>
        <v>New</v>
      </c>
      <c r="H30" s="9" t="n">
        <f aca="false">SUMIFS('Source 2025'!$T:$T,'Source 2025'!$B:$B,$A30,'Source 2025'!$A:$A,"Amount (NIS)")</f>
        <v>0</v>
      </c>
      <c r="I30" s="9" t="n">
        <f aca="false">SUMIFS('Source 2026'!$T:$T,'Source 2026'!$B:$B,$A30,'Source 2026'!$A:$A,"Amount (NIS)")</f>
        <v>3510</v>
      </c>
      <c r="J30" s="9" t="n">
        <f aca="false">I30*$J$5</f>
        <v>4433.68421052632</v>
      </c>
      <c r="K30" s="9" t="n">
        <f aca="false">J30-H30</f>
        <v>4433.68421052632</v>
      </c>
      <c r="L30" s="11" t="str">
        <f aca="false">IF(AND(H30=0,J30=0),0,IF(H30=0,"New",(J30-H30)/H30))</f>
        <v>New</v>
      </c>
    </row>
    <row r="31" customFormat="false" ht="15" hidden="false" customHeight="true" outlineLevel="0" collapsed="false">
      <c r="A31" s="8" t="s">
        <v>173</v>
      </c>
      <c r="B31" s="8" t="str">
        <f aca="false">IFERROR(INDEX('Source 2026'!$C:$C,MATCH($A31,'Source 2026'!$B:$B,0)),IFERROR(INDEX('Source 2025'!$C:$C,MATCH($A31,'Source 2025'!$B:$B,0)),""))</f>
        <v>גב אפורה</v>
      </c>
      <c r="C31" s="9" t="n">
        <f aca="false">SUMIFS('Source 2025'!$T:$T,'Source 2025'!$B:$B,$A31,'Source 2025'!$A:$A,"Quantity (units)")</f>
        <v>0</v>
      </c>
      <c r="D31" s="9" t="n">
        <f aca="false">SUMIFS('Source 2026'!$T:$T,'Source 2026'!$B:$B,$A31,'Source 2026'!$A:$A,"Quantity (units)")</f>
        <v>54</v>
      </c>
      <c r="E31" s="9" t="n">
        <f aca="false">D31*$J$5</f>
        <v>68.2105263157895</v>
      </c>
      <c r="F31" s="9" t="n">
        <f aca="false">E31-C31</f>
        <v>68.2105263157895</v>
      </c>
      <c r="G31" s="11" t="str">
        <f aca="false">IF(AND(C31=0,E31=0),0,IF(C31=0,"New",(E31-C31)/C31))</f>
        <v>New</v>
      </c>
      <c r="H31" s="9" t="n">
        <f aca="false">SUMIFS('Source 2025'!$T:$T,'Source 2025'!$B:$B,$A31,'Source 2025'!$A:$A,"Amount (NIS)")</f>
        <v>0</v>
      </c>
      <c r="I31" s="9" t="n">
        <f aca="false">SUMIFS('Source 2026'!$T:$T,'Source 2026'!$B:$B,$A31,'Source 2026'!$A:$A,"Amount (NIS)")</f>
        <v>3510</v>
      </c>
      <c r="J31" s="9" t="n">
        <f aca="false">I31*$J$5</f>
        <v>4433.68421052632</v>
      </c>
      <c r="K31" s="9" t="n">
        <f aca="false">J31-H31</f>
        <v>4433.68421052632</v>
      </c>
      <c r="L31" s="11" t="str">
        <f aca="false">IF(AND(H31=0,J31=0),0,IF(H31=0,"New",(J31-H31)/H31))</f>
        <v>New</v>
      </c>
    </row>
    <row r="32" customFormat="false" ht="15" hidden="false" customHeight="true" outlineLevel="0" collapsed="false">
      <c r="A32" s="8" t="s">
        <v>97</v>
      </c>
      <c r="B32" s="8" t="str">
        <f aca="false">IFERROR(INDEX('Source 2026'!$C:$C,MATCH($A32,'Source 2026'!$B:$B,0)),IFERROR(INDEX('Source 2025'!$C:$C,MATCH($A32,'Source 2025'!$B:$B,0)),""))</f>
        <v>שרוול מסיליקון לאצבע</v>
      </c>
      <c r="C32" s="9" t="n">
        <f aca="false">SUMIFS('Source 2025'!$T:$T,'Source 2025'!$B:$B,$A32,'Source 2025'!$A:$A,"Quantity (units)")</f>
        <v>0</v>
      </c>
      <c r="D32" s="9" t="n">
        <f aca="false">SUMIFS('Source 2026'!$T:$T,'Source 2026'!$B:$B,$A32,'Source 2026'!$A:$A,"Quantity (units)")</f>
        <v>298</v>
      </c>
      <c r="E32" s="9" t="n">
        <f aca="false">D32*$J$5</f>
        <v>376.421052631579</v>
      </c>
      <c r="F32" s="9" t="n">
        <f aca="false">E32-C32</f>
        <v>376.421052631579</v>
      </c>
      <c r="G32" s="11" t="str">
        <f aca="false">IF(AND(C32=0,E32=0),0,IF(C32=0,"New",(E32-C32)/C32))</f>
        <v>New</v>
      </c>
      <c r="H32" s="9" t="n">
        <f aca="false">SUMIFS('Source 2025'!$T:$T,'Source 2025'!$B:$B,$A32,'Source 2025'!$A:$A,"Amount (NIS)")</f>
        <v>0</v>
      </c>
      <c r="I32" s="9" t="n">
        <f aca="false">SUMIFS('Source 2026'!$T:$T,'Source 2026'!$B:$B,$A32,'Source 2026'!$A:$A,"Amount (NIS)")</f>
        <v>3483.4</v>
      </c>
      <c r="J32" s="9" t="n">
        <f aca="false">I32*$J$5</f>
        <v>4400.08421052632</v>
      </c>
      <c r="K32" s="9" t="n">
        <f aca="false">J32-H32</f>
        <v>4400.08421052632</v>
      </c>
      <c r="L32" s="11" t="str">
        <f aca="false">IF(AND(H32=0,J32=0),0,IF(H32=0,"New",(J32-H32)/H32))</f>
        <v>New</v>
      </c>
    </row>
    <row r="33" customFormat="false" ht="15" hidden="false" customHeight="true" outlineLevel="0" collapsed="false">
      <c r="A33" s="8" t="s">
        <v>119</v>
      </c>
      <c r="B33" s="8" t="str">
        <f aca="false">IFERROR(INDEX('Source 2026'!$C:$C,MATCH($A33,'Source 2026'!$B:$B,0)),IFERROR(INDEX('Source 2025'!$C:$C,MATCH($A33,'Source 2025'!$B:$B,0)),""))</f>
        <v>סד לאגודל</v>
      </c>
      <c r="C33" s="9" t="n">
        <f aca="false">SUMIFS('Source 2025'!$T:$T,'Source 2025'!$B:$B,$A33,'Source 2025'!$A:$A,"Quantity (units)")</f>
        <v>0</v>
      </c>
      <c r="D33" s="9" t="n">
        <f aca="false">SUMIFS('Source 2026'!$T:$T,'Source 2026'!$B:$B,$A33,'Source 2026'!$A:$A,"Quantity (units)")</f>
        <v>167</v>
      </c>
      <c r="E33" s="9" t="n">
        <f aca="false">D33*$J$5</f>
        <v>210.947368421053</v>
      </c>
      <c r="F33" s="9" t="n">
        <f aca="false">E33-C33</f>
        <v>210.947368421053</v>
      </c>
      <c r="G33" s="11" t="str">
        <f aca="false">IF(AND(C33=0,E33=0),0,IF(C33=0,"New",(E33-C33)/C33))</f>
        <v>New</v>
      </c>
      <c r="H33" s="9" t="n">
        <f aca="false">SUMIFS('Source 2025'!$T:$T,'Source 2025'!$B:$B,$A33,'Source 2025'!$A:$A,"Amount (NIS)")</f>
        <v>0</v>
      </c>
      <c r="I33" s="9" t="n">
        <f aca="false">SUMIFS('Source 2026'!$T:$T,'Source 2026'!$B:$B,$A33,'Source 2026'!$A:$A,"Amount (NIS)")</f>
        <v>3340</v>
      </c>
      <c r="J33" s="9" t="n">
        <f aca="false">I33*$J$5</f>
        <v>4218.94736842105</v>
      </c>
      <c r="K33" s="9" t="n">
        <f aca="false">J33-H33</f>
        <v>4218.94736842105</v>
      </c>
      <c r="L33" s="11" t="str">
        <f aca="false">IF(AND(H33=0,J33=0),0,IF(H33=0,"New",(J33-H33)/H33))</f>
        <v>New</v>
      </c>
    </row>
    <row r="34" customFormat="false" ht="15" hidden="false" customHeight="true" outlineLevel="0" collapsed="false">
      <c r="A34" s="8" t="s">
        <v>153</v>
      </c>
      <c r="B34" s="8" t="str">
        <f aca="false">IFERROR(INDEX('Source 2026'!$C:$C,MATCH($A34,'Source 2026'!$B:$B,0)),IFERROR(INDEX('Source 2025'!$C:$C,MATCH($A34,'Source 2025'!$B:$B,0)),""))</f>
        <v>S ח.גב ""איטלקית"" אורירית</v>
      </c>
      <c r="C34" s="9" t="n">
        <f aca="false">SUMIFS('Source 2025'!$T:$T,'Source 2025'!$B:$B,$A34,'Source 2025'!$A:$A,"Quantity (units)")</f>
        <v>0</v>
      </c>
      <c r="D34" s="9" t="n">
        <f aca="false">SUMIFS('Source 2026'!$T:$T,'Source 2026'!$B:$B,$A34,'Source 2026'!$A:$A,"Quantity (units)")</f>
        <v>21</v>
      </c>
      <c r="E34" s="9" t="n">
        <f aca="false">D34*$J$5</f>
        <v>26.5263157894737</v>
      </c>
      <c r="F34" s="9" t="n">
        <f aca="false">E34-C34</f>
        <v>26.5263157894737</v>
      </c>
      <c r="G34" s="11" t="str">
        <f aca="false">IF(AND(C34=0,E34=0),0,IF(C34=0,"New",(E34-C34)/C34))</f>
        <v>New</v>
      </c>
      <c r="H34" s="9" t="n">
        <f aca="false">SUMIFS('Source 2025'!$T:$T,'Source 2025'!$B:$B,$A34,'Source 2025'!$A:$A,"Amount (NIS)")</f>
        <v>0</v>
      </c>
      <c r="I34" s="9" t="n">
        <f aca="false">SUMIFS('Source 2026'!$T:$T,'Source 2026'!$B:$B,$A34,'Source 2026'!$A:$A,"Amount (NIS)")</f>
        <v>3202.9</v>
      </c>
      <c r="J34" s="9" t="n">
        <f aca="false">I34*$J$5</f>
        <v>4045.76842105263</v>
      </c>
      <c r="K34" s="9" t="n">
        <f aca="false">J34-H34</f>
        <v>4045.76842105263</v>
      </c>
      <c r="L34" s="11" t="str">
        <f aca="false">IF(AND(H34=0,J34=0),0,IF(H34=0,"New",(J34-H34)/H34))</f>
        <v>New</v>
      </c>
    </row>
    <row r="35" customFormat="false" ht="15" hidden="false" customHeight="true" outlineLevel="0" collapsed="false">
      <c r="A35" s="8" t="s">
        <v>115</v>
      </c>
      <c r="B35" s="8" t="str">
        <f aca="false">IFERROR(INDEX('Source 2026'!$C:$C,MATCH($A35,'Source 2026'!$B:$B,0)),IFERROR(INDEX('Source 2025'!$C:$C,MATCH($A35,'Source 2025'!$B:$B,0)),""))</f>
        <v>ציפורניים</v>
      </c>
      <c r="C35" s="9" t="n">
        <f aca="false">SUMIFS('Source 2025'!$T:$T,'Source 2025'!$B:$B,$A35,'Source 2025'!$A:$A,"Quantity (units)")</f>
        <v>0</v>
      </c>
      <c r="D35" s="9" t="n">
        <f aca="false">SUMIFS('Source 2026'!$T:$T,'Source 2026'!$B:$B,$A35,'Source 2026'!$A:$A,"Quantity (units)")</f>
        <v>290</v>
      </c>
      <c r="E35" s="9" t="n">
        <f aca="false">D35*$J$5</f>
        <v>366.315789473684</v>
      </c>
      <c r="F35" s="9" t="n">
        <f aca="false">E35-C35</f>
        <v>366.315789473684</v>
      </c>
      <c r="G35" s="11" t="str">
        <f aca="false">IF(AND(C35=0,E35=0),0,IF(C35=0,"New",(E35-C35)/C35))</f>
        <v>New</v>
      </c>
      <c r="H35" s="9" t="n">
        <f aca="false">SUMIFS('Source 2025'!$T:$T,'Source 2025'!$B:$B,$A35,'Source 2025'!$A:$A,"Amount (NIS)")</f>
        <v>0</v>
      </c>
      <c r="I35" s="9" t="n">
        <f aca="false">SUMIFS('Source 2026'!$T:$T,'Source 2026'!$B:$B,$A35,'Source 2026'!$A:$A,"Amount (NIS)")</f>
        <v>2925</v>
      </c>
      <c r="J35" s="9" t="n">
        <f aca="false">I35*$J$5</f>
        <v>3694.73684210526</v>
      </c>
      <c r="K35" s="9" t="n">
        <f aca="false">J35-H35</f>
        <v>3694.73684210526</v>
      </c>
      <c r="L35" s="11" t="str">
        <f aca="false">IF(AND(H35=0,J35=0),0,IF(H35=0,"New",(J35-H35)/H35))</f>
        <v>New</v>
      </c>
    </row>
    <row r="36" customFormat="false" ht="15" hidden="false" customHeight="true" outlineLevel="0" collapsed="false">
      <c r="A36" s="8" t="s">
        <v>393</v>
      </c>
      <c r="B36" s="8" t="str">
        <f aca="false">IFERROR(INDEX('Source 2026'!$C:$C,MATCH($A36,'Source 2026'!$B:$B,0)),IFERROR(INDEX('Source 2025'!$C:$C,MATCH($A36,'Source 2025'!$B:$B,0)),""))</f>
        <v>מגן ברך+כרית ג'ל</v>
      </c>
      <c r="C36" s="9" t="n">
        <f aca="false">SUMIFS('Source 2025'!$T:$T,'Source 2025'!$B:$B,$A36,'Source 2025'!$A:$A,"Quantity (units)")</f>
        <v>0</v>
      </c>
      <c r="D36" s="9" t="n">
        <f aca="false">SUMIFS('Source 2026'!$T:$T,'Source 2026'!$B:$B,$A36,'Source 2026'!$A:$A,"Quantity (units)")</f>
        <v>56</v>
      </c>
      <c r="E36" s="9" t="n">
        <f aca="false">D36*$J$5</f>
        <v>70.7368421052632</v>
      </c>
      <c r="F36" s="9" t="n">
        <f aca="false">E36-C36</f>
        <v>70.7368421052632</v>
      </c>
      <c r="G36" s="11" t="str">
        <f aca="false">IF(AND(C36=0,E36=0),0,IF(C36=0,"New",(E36-C36)/C36))</f>
        <v>New</v>
      </c>
      <c r="H36" s="9" t="n">
        <f aca="false">SUMIFS('Source 2025'!$T:$T,'Source 2025'!$B:$B,$A36,'Source 2025'!$A:$A,"Amount (NIS)")</f>
        <v>0</v>
      </c>
      <c r="I36" s="9" t="n">
        <f aca="false">SUMIFS('Source 2026'!$T:$T,'Source 2026'!$B:$B,$A36,'Source 2026'!$A:$A,"Amount (NIS)")</f>
        <v>2875.6</v>
      </c>
      <c r="J36" s="9" t="n">
        <f aca="false">I36*$J$5</f>
        <v>3632.33684210526</v>
      </c>
      <c r="K36" s="9" t="n">
        <f aca="false">J36-H36</f>
        <v>3632.33684210526</v>
      </c>
      <c r="L36" s="11" t="str">
        <f aca="false">IF(AND(H36=0,J36=0),0,IF(H36=0,"New",(J36-H36)/H36))</f>
        <v>New</v>
      </c>
    </row>
    <row r="37" customFormat="false" ht="15" hidden="false" customHeight="true" outlineLevel="0" collapsed="false">
      <c r="A37" s="8" t="s">
        <v>124</v>
      </c>
      <c r="B37" s="8" t="str">
        <f aca="false">IFERROR(INDEX('Source 2026'!$C:$C,MATCH($A37,'Source 2026'!$B:$B,0)),IFERROR(INDEX('Source 2025'!$C:$C,MATCH($A37,'Source 2025'!$B:$B,0)),""))</f>
        <v>Sמיישר כתף יציב יישור ג.רחב</v>
      </c>
      <c r="C37" s="9" t="n">
        <f aca="false">SUMIFS('Source 2025'!$T:$T,'Source 2025'!$B:$B,$A37,'Source 2025'!$A:$A,"Quantity (units)")</f>
        <v>0</v>
      </c>
      <c r="D37" s="9" t="n">
        <f aca="false">SUMIFS('Source 2026'!$T:$T,'Source 2026'!$B:$B,$A37,'Source 2026'!$A:$A,"Quantity (units)")</f>
        <v>19</v>
      </c>
      <c r="E37" s="9" t="n">
        <f aca="false">D37*$J$5</f>
        <v>24</v>
      </c>
      <c r="F37" s="9" t="n">
        <f aca="false">E37-C37</f>
        <v>24</v>
      </c>
      <c r="G37" s="11" t="str">
        <f aca="false">IF(AND(C37=0,E37=0),0,IF(C37=0,"New",(E37-C37)/C37))</f>
        <v>New</v>
      </c>
      <c r="H37" s="9" t="n">
        <f aca="false">SUMIFS('Source 2025'!$T:$T,'Source 2025'!$B:$B,$A37,'Source 2025'!$A:$A,"Amount (NIS)")</f>
        <v>0</v>
      </c>
      <c r="I37" s="9" t="n">
        <f aca="false">SUMIFS('Source 2026'!$T:$T,'Source 2026'!$B:$B,$A37,'Source 2026'!$A:$A,"Amount (NIS)")</f>
        <v>2589.7</v>
      </c>
      <c r="J37" s="9" t="n">
        <f aca="false">I37*$J$5</f>
        <v>3271.2</v>
      </c>
      <c r="K37" s="9" t="n">
        <f aca="false">J37-H37</f>
        <v>3271.2</v>
      </c>
      <c r="L37" s="11" t="str">
        <f aca="false">IF(AND(H37=0,J37=0),0,IF(H37=0,"New",(J37-H37)/H37))</f>
        <v>New</v>
      </c>
    </row>
    <row r="38" customFormat="false" ht="15" hidden="false" customHeight="true" outlineLevel="0" collapsed="false">
      <c r="A38" s="8" t="s">
        <v>394</v>
      </c>
      <c r="B38" s="8" t="str">
        <f aca="false">IFERROR(INDEX('Source 2026'!$C:$C,MATCH($A38,'Source 2026'!$B:$B,0)),IFERROR(INDEX('Source 2025'!$C:$C,MATCH($A38,'Source 2025'!$B:$B,0)),""))</f>
        <v>מגן מרפק לטניס</v>
      </c>
      <c r="C38" s="9" t="n">
        <f aca="false">SUMIFS('Source 2025'!$T:$T,'Source 2025'!$B:$B,$A38,'Source 2025'!$A:$A,"Quantity (units)")</f>
        <v>0</v>
      </c>
      <c r="D38" s="9" t="n">
        <f aca="false">SUMIFS('Source 2026'!$T:$T,'Source 2026'!$B:$B,$A38,'Source 2026'!$A:$A,"Quantity (units)")</f>
        <v>131</v>
      </c>
      <c r="E38" s="9" t="n">
        <f aca="false">D38*$J$5</f>
        <v>165.473684210526</v>
      </c>
      <c r="F38" s="9" t="n">
        <f aca="false">E38-C38</f>
        <v>165.473684210526</v>
      </c>
      <c r="G38" s="11" t="str">
        <f aca="false">IF(AND(C38=0,E38=0),0,IF(C38=0,"New",(E38-C38)/C38))</f>
        <v>New</v>
      </c>
      <c r="H38" s="9" t="n">
        <f aca="false">SUMIFS('Source 2025'!$T:$T,'Source 2025'!$B:$B,$A38,'Source 2025'!$A:$A,"Amount (NIS)")</f>
        <v>0</v>
      </c>
      <c r="I38" s="9" t="n">
        <f aca="false">SUMIFS('Source 2026'!$T:$T,'Source 2026'!$B:$B,$A38,'Source 2026'!$A:$A,"Amount (NIS)")</f>
        <v>2563.6</v>
      </c>
      <c r="J38" s="9" t="n">
        <f aca="false">I38*$J$5</f>
        <v>3238.23157894737</v>
      </c>
      <c r="K38" s="9" t="n">
        <f aca="false">J38-H38</f>
        <v>3238.23157894737</v>
      </c>
      <c r="L38" s="11" t="str">
        <f aca="false">IF(AND(H38=0,J38=0),0,IF(H38=0,"New",(J38-H38)/H38))</f>
        <v>New</v>
      </c>
    </row>
    <row r="39" customFormat="false" ht="15" hidden="false" customHeight="true" outlineLevel="0" collapsed="false">
      <c r="A39" s="8" t="s">
        <v>215</v>
      </c>
      <c r="B39" s="8" t="str">
        <f aca="false">IFERROR(INDEX('Source 2026'!$C:$C,MATCH($A39,'Source 2026'!$B:$B,0)),IFERROR(INDEX('Source 2025'!$C:$C,MATCH($A39,'Source 2025'!$B:$B,0)),""))</f>
        <v>XS חגורת פאבליק</v>
      </c>
      <c r="C39" s="9" t="n">
        <f aca="false">SUMIFS('Source 2025'!$T:$T,'Source 2025'!$B:$B,$A39,'Source 2025'!$A:$A,"Quantity (units)")</f>
        <v>0</v>
      </c>
      <c r="D39" s="9" t="n">
        <f aca="false">SUMIFS('Source 2026'!$T:$T,'Source 2026'!$B:$B,$A39,'Source 2026'!$A:$A,"Quantity (units)")</f>
        <v>12</v>
      </c>
      <c r="E39" s="9" t="n">
        <f aca="false">D39*$J$5</f>
        <v>15.1578947368421</v>
      </c>
      <c r="F39" s="9" t="n">
        <f aca="false">E39-C39</f>
        <v>15.1578947368421</v>
      </c>
      <c r="G39" s="11" t="str">
        <f aca="false">IF(AND(C39=0,E39=0),0,IF(C39=0,"New",(E39-C39)/C39))</f>
        <v>New</v>
      </c>
      <c r="H39" s="9" t="n">
        <f aca="false">SUMIFS('Source 2025'!$T:$T,'Source 2025'!$B:$B,$A39,'Source 2025'!$A:$A,"Amount (NIS)")</f>
        <v>0</v>
      </c>
      <c r="I39" s="9" t="n">
        <f aca="false">SUMIFS('Source 2026'!$T:$T,'Source 2026'!$B:$B,$A39,'Source 2026'!$A:$A,"Amount (NIS)")</f>
        <v>2547</v>
      </c>
      <c r="J39" s="9" t="n">
        <f aca="false">I39*$J$5</f>
        <v>3217.26315789474</v>
      </c>
      <c r="K39" s="9" t="n">
        <f aca="false">J39-H39</f>
        <v>3217.26315789474</v>
      </c>
      <c r="L39" s="11" t="str">
        <f aca="false">IF(AND(H39=0,J39=0),0,IF(H39=0,"New",(J39-H39)/H39))</f>
        <v>New</v>
      </c>
    </row>
    <row r="40" customFormat="false" ht="15" hidden="false" customHeight="true" outlineLevel="0" collapsed="false">
      <c r="A40" s="8" t="s">
        <v>175</v>
      </c>
      <c r="B40" s="8" t="str">
        <f aca="false">IFERROR(INDEX('Source 2026'!$C:$C,MATCH($A40,'Source 2026'!$B:$B,0)),IFERROR(INDEX('Source 2025'!$C:$C,MATCH($A40,'Source 2025'!$B:$B,0)),""))</f>
        <v>גב אפורה</v>
      </c>
      <c r="C40" s="9" t="n">
        <f aca="false">SUMIFS('Source 2025'!$T:$T,'Source 2025'!$B:$B,$A40,'Source 2025'!$A:$A,"Quantity (units)")</f>
        <v>0</v>
      </c>
      <c r="D40" s="9" t="n">
        <f aca="false">SUMIFS('Source 2026'!$T:$T,'Source 2026'!$B:$B,$A40,'Source 2026'!$A:$A,"Quantity (units)")</f>
        <v>39</v>
      </c>
      <c r="E40" s="9" t="n">
        <f aca="false">D40*$J$5</f>
        <v>49.2631578947368</v>
      </c>
      <c r="F40" s="9" t="n">
        <f aca="false">E40-C40</f>
        <v>49.2631578947368</v>
      </c>
      <c r="G40" s="11" t="str">
        <f aca="false">IF(AND(C40=0,E40=0),0,IF(C40=0,"New",(E40-C40)/C40))</f>
        <v>New</v>
      </c>
      <c r="H40" s="9" t="n">
        <f aca="false">SUMIFS('Source 2025'!$T:$T,'Source 2025'!$B:$B,$A40,'Source 2025'!$A:$A,"Amount (NIS)")</f>
        <v>0</v>
      </c>
      <c r="I40" s="9" t="n">
        <f aca="false">SUMIFS('Source 2026'!$T:$T,'Source 2026'!$B:$B,$A40,'Source 2026'!$A:$A,"Amount (NIS)")</f>
        <v>2535</v>
      </c>
      <c r="J40" s="9" t="n">
        <f aca="false">I40*$J$5</f>
        <v>3202.10526315789</v>
      </c>
      <c r="K40" s="9" t="n">
        <f aca="false">J40-H40</f>
        <v>3202.10526315789</v>
      </c>
      <c r="L40" s="11" t="str">
        <f aca="false">IF(AND(H40=0,J40=0),0,IF(H40=0,"New",(J40-H40)/H40))</f>
        <v>New</v>
      </c>
    </row>
    <row r="41" customFormat="false" ht="15" hidden="false" customHeight="true" outlineLevel="0" collapsed="false">
      <c r="A41" s="8" t="s">
        <v>131</v>
      </c>
      <c r="B41" s="8" t="str">
        <f aca="false">IFERROR(INDEX('Source 2026'!$C:$C,MATCH($A41,'Source 2026'!$B:$B,0)),IFERROR(INDEX('Source 2025'!$C:$C,MATCH($A41,'Source 2025'!$B:$B,0)),""))</f>
        <v>S-L אצבעון מסיליקון יחידה</v>
      </c>
      <c r="C41" s="9" t="n">
        <f aca="false">SUMIFS('Source 2025'!$T:$T,'Source 2025'!$B:$B,$A41,'Source 2025'!$A:$A,"Quantity (units)")</f>
        <v>0</v>
      </c>
      <c r="D41" s="9" t="n">
        <f aca="false">SUMIFS('Source 2026'!$T:$T,'Source 2026'!$B:$B,$A41,'Source 2026'!$A:$A,"Quantity (units)")</f>
        <v>147</v>
      </c>
      <c r="E41" s="9" t="n">
        <f aca="false">D41*$J$5</f>
        <v>185.684210526316</v>
      </c>
      <c r="F41" s="9" t="n">
        <f aca="false">E41-C41</f>
        <v>185.684210526316</v>
      </c>
      <c r="G41" s="11" t="str">
        <f aca="false">IF(AND(C41=0,E41=0),0,IF(C41=0,"New",(E41-C41)/C41))</f>
        <v>New</v>
      </c>
      <c r="H41" s="9" t="n">
        <f aca="false">SUMIFS('Source 2025'!$T:$T,'Source 2025'!$B:$B,$A41,'Source 2025'!$A:$A,"Amount (NIS)")</f>
        <v>0</v>
      </c>
      <c r="I41" s="9" t="n">
        <f aca="false">SUMIFS('Source 2026'!$T:$T,'Source 2026'!$B:$B,$A41,'Source 2026'!$A:$A,"Amount (NIS)")</f>
        <v>2363.2</v>
      </c>
      <c r="J41" s="9" t="n">
        <f aca="false">I41*$J$5</f>
        <v>2985.09473684211</v>
      </c>
      <c r="K41" s="9" t="n">
        <f aca="false">J41-H41</f>
        <v>2985.09473684211</v>
      </c>
      <c r="L41" s="11" t="str">
        <f aca="false">IF(AND(H41=0,J41=0),0,IF(H41=0,"New",(J41-H41)/H41))</f>
        <v>New</v>
      </c>
    </row>
    <row r="42" customFormat="false" ht="15" hidden="false" customHeight="true" outlineLevel="0" collapsed="false">
      <c r="A42" s="8" t="s">
        <v>92</v>
      </c>
      <c r="B42" s="8" t="str">
        <f aca="false">IFERROR(INDEX('Source 2026'!$C:$C,MATCH($A42,'Source 2026'!$B:$B,0)),IFERROR(INDEX('Source 2025'!$C:$C,MATCH($A42,'Source 2025'!$B:$B,0)),""))</f>
        <v>דאודורנט אנטיבק.נעל333</v>
      </c>
      <c r="C42" s="9" t="n">
        <f aca="false">SUMIFS('Source 2025'!$T:$T,'Source 2025'!$B:$B,$A42,'Source 2025'!$A:$A,"Quantity (units)")</f>
        <v>0</v>
      </c>
      <c r="D42" s="9" t="n">
        <f aca="false">SUMIFS('Source 2026'!$T:$T,'Source 2026'!$B:$B,$A42,'Source 2026'!$A:$A,"Quantity (units)")</f>
        <v>156</v>
      </c>
      <c r="E42" s="9" t="n">
        <f aca="false">D42*$J$5</f>
        <v>197.052631578947</v>
      </c>
      <c r="F42" s="9" t="n">
        <f aca="false">E42-C42</f>
        <v>197.052631578947</v>
      </c>
      <c r="G42" s="11" t="str">
        <f aca="false">IF(AND(C42=0,E42=0),0,IF(C42=0,"New",(E42-C42)/C42))</f>
        <v>New</v>
      </c>
      <c r="H42" s="9" t="n">
        <f aca="false">SUMIFS('Source 2025'!$T:$T,'Source 2025'!$B:$B,$A42,'Source 2025'!$A:$A,"Amount (NIS)")</f>
        <v>0</v>
      </c>
      <c r="I42" s="9" t="n">
        <f aca="false">SUMIFS('Source 2026'!$T:$T,'Source 2026'!$B:$B,$A42,'Source 2026'!$A:$A,"Amount (NIS)")</f>
        <v>2308.8</v>
      </c>
      <c r="J42" s="9" t="n">
        <f aca="false">I42*$J$5</f>
        <v>2916.37894736842</v>
      </c>
      <c r="K42" s="9" t="n">
        <f aca="false">J42-H42</f>
        <v>2916.37894736842</v>
      </c>
      <c r="L42" s="11" t="str">
        <f aca="false">IF(AND(H42=0,J42=0),0,IF(H42=0,"New",(J42-H42)/H42))</f>
        <v>New</v>
      </c>
    </row>
    <row r="43" customFormat="false" ht="15" hidden="false" customHeight="true" outlineLevel="0" collapsed="false">
      <c r="A43" s="8" t="s">
        <v>127</v>
      </c>
      <c r="B43" s="8" t="str">
        <f aca="false">IFERROR(INDEX('Source 2026'!$C:$C,MATCH($A43,'Source 2026'!$B:$B,0)),IFERROR(INDEX('Source 2025'!$C:$C,MATCH($A43,'Source 2025'!$B:$B,0)),""))</f>
        <v>0 מ.בוניון+מפריד אצבע</v>
      </c>
      <c r="C43" s="9" t="n">
        <f aca="false">SUMIFS('Source 2025'!$T:$T,'Source 2025'!$B:$B,$A43,'Source 2025'!$A:$A,"Quantity (units)")</f>
        <v>0</v>
      </c>
      <c r="D43" s="9" t="n">
        <f aca="false">SUMIFS('Source 2026'!$T:$T,'Source 2026'!$B:$B,$A43,'Source 2026'!$A:$A,"Quantity (units)")</f>
        <v>81</v>
      </c>
      <c r="E43" s="9" t="n">
        <f aca="false">D43*$J$5</f>
        <v>102.315789473684</v>
      </c>
      <c r="F43" s="9" t="n">
        <f aca="false">E43-C43</f>
        <v>102.315789473684</v>
      </c>
      <c r="G43" s="11" t="str">
        <f aca="false">IF(AND(C43=0,E43=0),0,IF(C43=0,"New",(E43-C43)/C43))</f>
        <v>New</v>
      </c>
      <c r="H43" s="9" t="n">
        <f aca="false">SUMIFS('Source 2025'!$T:$T,'Source 2025'!$B:$B,$A43,'Source 2025'!$A:$A,"Amount (NIS)")</f>
        <v>0</v>
      </c>
      <c r="I43" s="9" t="n">
        <f aca="false">SUMIFS('Source 2026'!$T:$T,'Source 2026'!$B:$B,$A43,'Source 2026'!$A:$A,"Amount (NIS)")</f>
        <v>2231.6</v>
      </c>
      <c r="J43" s="9" t="n">
        <f aca="false">I43*$J$5</f>
        <v>2818.86315789474</v>
      </c>
      <c r="K43" s="9" t="n">
        <f aca="false">J43-H43</f>
        <v>2818.86315789474</v>
      </c>
      <c r="L43" s="11" t="str">
        <f aca="false">IF(AND(H43=0,J43=0),0,IF(H43=0,"New",(J43-H43)/H43))</f>
        <v>New</v>
      </c>
    </row>
    <row r="44" customFormat="false" ht="15" hidden="false" customHeight="true" outlineLevel="0" collapsed="false">
      <c r="A44" s="8" t="s">
        <v>121</v>
      </c>
      <c r="B44" s="8" t="str">
        <f aca="false">IFERROR(INDEX('Source 2026'!$C:$C,MATCH($A44,'Source 2026'!$B:$B,0)),IFERROR(INDEX('Source 2025'!$C:$C,MATCH($A44,'Source 2025'!$B:$B,0)),""))</f>
        <v>חגורת גב +סגירה כפולה</v>
      </c>
      <c r="C44" s="9" t="n">
        <f aca="false">SUMIFS('Source 2025'!$T:$T,'Source 2025'!$B:$B,$A44,'Source 2025'!$A:$A,"Quantity (units)")</f>
        <v>0</v>
      </c>
      <c r="D44" s="9" t="n">
        <f aca="false">SUMIFS('Source 2026'!$T:$T,'Source 2026'!$B:$B,$A44,'Source 2026'!$A:$A,"Quantity (units)")</f>
        <v>35</v>
      </c>
      <c r="E44" s="9" t="n">
        <f aca="false">D44*$J$5</f>
        <v>44.2105263157895</v>
      </c>
      <c r="F44" s="9" t="n">
        <f aca="false">E44-C44</f>
        <v>44.2105263157895</v>
      </c>
      <c r="G44" s="11" t="str">
        <f aca="false">IF(AND(C44=0,E44=0),0,IF(C44=0,"New",(E44-C44)/C44))</f>
        <v>New</v>
      </c>
      <c r="H44" s="9" t="n">
        <f aca="false">SUMIFS('Source 2025'!$T:$T,'Source 2025'!$B:$B,$A44,'Source 2025'!$A:$A,"Amount (NIS)")</f>
        <v>0</v>
      </c>
      <c r="I44" s="9" t="n">
        <f aca="false">SUMIFS('Source 2026'!$T:$T,'Source 2026'!$B:$B,$A44,'Source 2026'!$A:$A,"Amount (NIS)")</f>
        <v>2193.8</v>
      </c>
      <c r="J44" s="9" t="n">
        <f aca="false">I44*$J$5</f>
        <v>2771.11578947368</v>
      </c>
      <c r="K44" s="9" t="n">
        <f aca="false">J44-H44</f>
        <v>2771.11578947368</v>
      </c>
      <c r="L44" s="11" t="str">
        <f aca="false">IF(AND(H44=0,J44=0),0,IF(H44=0,"New",(J44-H44)/H44))</f>
        <v>New</v>
      </c>
    </row>
    <row r="45" customFormat="false" ht="15" hidden="false" customHeight="true" outlineLevel="0" collapsed="false">
      <c r="A45" s="8" t="s">
        <v>226</v>
      </c>
      <c r="B45" s="8" t="str">
        <f aca="false">IFERROR(INDEX('Source 2026'!$C:$C,MATCH($A45,'Source 2026'!$B:$B,0)),IFERROR(INDEX('Source 2025'!$C:$C,MATCH($A45,'Source 2025'!$B:$B,0)),""))</f>
        <v>S חגורה למנותחי בית החזה</v>
      </c>
      <c r="C45" s="9" t="n">
        <f aca="false">SUMIFS('Source 2025'!$T:$T,'Source 2025'!$B:$B,$A45,'Source 2025'!$A:$A,"Quantity (units)")</f>
        <v>0</v>
      </c>
      <c r="D45" s="9" t="n">
        <f aca="false">SUMIFS('Source 2026'!$T:$T,'Source 2026'!$B:$B,$A45,'Source 2026'!$A:$A,"Quantity (units)")</f>
        <v>22</v>
      </c>
      <c r="E45" s="9" t="n">
        <f aca="false">D45*$J$5</f>
        <v>27.7894736842105</v>
      </c>
      <c r="F45" s="9" t="n">
        <f aca="false">E45-C45</f>
        <v>27.7894736842105</v>
      </c>
      <c r="G45" s="11" t="str">
        <f aca="false">IF(AND(C45=0,E45=0),0,IF(C45=0,"New",(E45-C45)/C45))</f>
        <v>New</v>
      </c>
      <c r="H45" s="9" t="n">
        <f aca="false">SUMIFS('Source 2025'!$T:$T,'Source 2025'!$B:$B,$A45,'Source 2025'!$A:$A,"Amount (NIS)")</f>
        <v>0</v>
      </c>
      <c r="I45" s="9" t="n">
        <f aca="false">SUMIFS('Source 2026'!$T:$T,'Source 2026'!$B:$B,$A45,'Source 2026'!$A:$A,"Amount (NIS)")</f>
        <v>2168.5</v>
      </c>
      <c r="J45" s="9" t="n">
        <f aca="false">I45*$J$5</f>
        <v>2739.15789473684</v>
      </c>
      <c r="K45" s="9" t="n">
        <f aca="false">J45-H45</f>
        <v>2739.15789473684</v>
      </c>
      <c r="L45" s="11" t="str">
        <f aca="false">IF(AND(H45=0,J45=0),0,IF(H45=0,"New",(J45-H45)/H45))</f>
        <v>New</v>
      </c>
    </row>
    <row r="46" customFormat="false" ht="15" hidden="false" customHeight="true" outlineLevel="0" collapsed="false">
      <c r="A46" s="8" t="s">
        <v>120</v>
      </c>
      <c r="B46" s="8" t="str">
        <f aca="false">IFERROR(INDEX('Source 2026'!$C:$C,MATCH($A46,'Source 2026'!$B:$B,0)),IFERROR(INDEX('Source 2025'!$C:$C,MATCH($A46,'Source 2025'!$B:$B,0)),""))</f>
        <v>S תומך זרוע וכתף</v>
      </c>
      <c r="C46" s="9" t="n">
        <f aca="false">SUMIFS('Source 2025'!$T:$T,'Source 2025'!$B:$B,$A46,'Source 2025'!$A:$A,"Quantity (units)")</f>
        <v>0</v>
      </c>
      <c r="D46" s="9" t="n">
        <f aca="false">SUMIFS('Source 2026'!$T:$T,'Source 2026'!$B:$B,$A46,'Source 2026'!$A:$A,"Quantity (units)")</f>
        <v>16</v>
      </c>
      <c r="E46" s="9" t="n">
        <f aca="false">D46*$J$5</f>
        <v>20.2105263157895</v>
      </c>
      <c r="F46" s="9" t="n">
        <f aca="false">E46-C46</f>
        <v>20.2105263157895</v>
      </c>
      <c r="G46" s="11" t="str">
        <f aca="false">IF(AND(C46=0,E46=0),0,IF(C46=0,"New",(E46-C46)/C46))</f>
        <v>New</v>
      </c>
      <c r="H46" s="9" t="n">
        <f aca="false">SUMIFS('Source 2025'!$T:$T,'Source 2025'!$B:$B,$A46,'Source 2025'!$A:$A,"Amount (NIS)")</f>
        <v>0</v>
      </c>
      <c r="I46" s="9" t="n">
        <f aca="false">SUMIFS('Source 2026'!$T:$T,'Source 2026'!$B:$B,$A46,'Source 2026'!$A:$A,"Amount (NIS)")</f>
        <v>2027.2</v>
      </c>
      <c r="J46" s="9" t="n">
        <f aca="false">I46*$J$5</f>
        <v>2560.67368421053</v>
      </c>
      <c r="K46" s="9" t="n">
        <f aca="false">J46-H46</f>
        <v>2560.67368421053</v>
      </c>
      <c r="L46" s="11" t="str">
        <f aca="false">IF(AND(H46=0,J46=0),0,IF(H46=0,"New",(J46-H46)/H46))</f>
        <v>New</v>
      </c>
    </row>
    <row r="47" customFormat="false" ht="15" hidden="false" customHeight="true" outlineLevel="0" collapsed="false">
      <c r="A47" s="8" t="s">
        <v>395</v>
      </c>
      <c r="B47" s="8" t="str">
        <f aca="false">IFERROR(INDEX('Source 2026'!$C:$C,MATCH($A47,'Source 2026'!$B:$B,0)),IFERROR(INDEX('Source 2025'!$C:$C,MATCH($A47,'Source 2025'!$B:$B,0)),""))</f>
        <v>חבק לקרסול</v>
      </c>
      <c r="C47" s="9" t="n">
        <f aca="false">SUMIFS('Source 2025'!$T:$T,'Source 2025'!$B:$B,$A47,'Source 2025'!$A:$A,"Quantity (units)")</f>
        <v>0</v>
      </c>
      <c r="D47" s="9" t="n">
        <f aca="false">SUMIFS('Source 2026'!$T:$T,'Source 2026'!$B:$B,$A47,'Source 2026'!$A:$A,"Quantity (units)")</f>
        <v>97</v>
      </c>
      <c r="E47" s="9" t="n">
        <f aca="false">D47*$J$5</f>
        <v>122.526315789474</v>
      </c>
      <c r="F47" s="9" t="n">
        <f aca="false">E47-C47</f>
        <v>122.526315789474</v>
      </c>
      <c r="G47" s="11" t="str">
        <f aca="false">IF(AND(C47=0,E47=0),0,IF(C47=0,"New",(E47-C47)/C47))</f>
        <v>New</v>
      </c>
      <c r="H47" s="9" t="n">
        <f aca="false">SUMIFS('Source 2025'!$T:$T,'Source 2025'!$B:$B,$A47,'Source 2025'!$A:$A,"Amount (NIS)")</f>
        <v>0</v>
      </c>
      <c r="I47" s="9" t="n">
        <f aca="false">SUMIFS('Source 2026'!$T:$T,'Source 2026'!$B:$B,$A47,'Source 2026'!$A:$A,"Amount (NIS)")</f>
        <v>1989.8</v>
      </c>
      <c r="J47" s="9" t="n">
        <f aca="false">I47*$J$5</f>
        <v>2513.43157894737</v>
      </c>
      <c r="K47" s="9" t="n">
        <f aca="false">J47-H47</f>
        <v>2513.43157894737</v>
      </c>
      <c r="L47" s="11" t="str">
        <f aca="false">IF(AND(H47=0,J47=0),0,IF(H47=0,"New",(J47-H47)/H47))</f>
        <v>New</v>
      </c>
    </row>
    <row r="48" customFormat="false" ht="15" hidden="false" customHeight="true" outlineLevel="0" collapsed="false">
      <c r="A48" s="8" t="s">
        <v>349</v>
      </c>
      <c r="B48" s="8" t="str">
        <f aca="false">IFERROR(INDEX('Source 2026'!$C:$C,MATCH($A48,'Source 2026'!$B:$B,0)),IFERROR(INDEX('Source 2025'!$C:$C,MATCH($A48,'Source 2025'!$B:$B,0)),""))</f>
        <v>חגורת גב אפורה</v>
      </c>
      <c r="C48" s="9" t="n">
        <f aca="false">SUMIFS('Source 2025'!$T:$T,'Source 2025'!$B:$B,$A48,'Source 2025'!$A:$A,"Quantity (units)")</f>
        <v>0</v>
      </c>
      <c r="D48" s="9" t="n">
        <f aca="false">SUMIFS('Source 2026'!$T:$T,'Source 2026'!$B:$B,$A48,'Source 2026'!$A:$A,"Quantity (units)")</f>
        <v>30</v>
      </c>
      <c r="E48" s="9" t="n">
        <f aca="false">D48*$J$5</f>
        <v>37.8947368421053</v>
      </c>
      <c r="F48" s="9" t="n">
        <f aca="false">E48-C48</f>
        <v>37.8947368421053</v>
      </c>
      <c r="G48" s="11" t="str">
        <f aca="false">IF(AND(C48=0,E48=0),0,IF(C48=0,"New",(E48-C48)/C48))</f>
        <v>New</v>
      </c>
      <c r="H48" s="9" t="n">
        <f aca="false">SUMIFS('Source 2025'!$T:$T,'Source 2025'!$B:$B,$A48,'Source 2025'!$A:$A,"Amount (NIS)")</f>
        <v>0</v>
      </c>
      <c r="I48" s="9" t="n">
        <f aca="false">SUMIFS('Source 2026'!$T:$T,'Source 2026'!$B:$B,$A48,'Source 2026'!$A:$A,"Amount (NIS)")</f>
        <v>1950</v>
      </c>
      <c r="J48" s="9" t="n">
        <f aca="false">I48*$J$5</f>
        <v>2463.15789473684</v>
      </c>
      <c r="K48" s="9" t="n">
        <f aca="false">J48-H48</f>
        <v>2463.15789473684</v>
      </c>
      <c r="L48" s="11" t="str">
        <f aca="false">IF(AND(H48=0,J48=0),0,IF(H48=0,"New",(J48-H48)/H48))</f>
        <v>New</v>
      </c>
    </row>
    <row r="49" customFormat="false" ht="15" hidden="false" customHeight="true" outlineLevel="0" collapsed="false">
      <c r="A49" s="8" t="s">
        <v>196</v>
      </c>
      <c r="B49" s="8" t="str">
        <f aca="false">IFERROR(INDEX('Source 2026'!$C:$C,MATCH($A49,'Source 2026'!$B:$B,0)),IFERROR(INDEX('Source 2025'!$C:$C,MATCH($A49,'Source 2025'!$B:$B,0)),""))</f>
        <v>מקבע קרסול</v>
      </c>
      <c r="C49" s="9" t="n">
        <f aca="false">SUMIFS('Source 2025'!$T:$T,'Source 2025'!$B:$B,$A49,'Source 2025'!$A:$A,"Quantity (units)")</f>
        <v>0</v>
      </c>
      <c r="D49" s="9" t="n">
        <f aca="false">SUMIFS('Source 2026'!$T:$T,'Source 2026'!$B:$B,$A49,'Source 2026'!$A:$A,"Quantity (units)")</f>
        <v>21</v>
      </c>
      <c r="E49" s="9" t="n">
        <f aca="false">D49*$J$5</f>
        <v>26.5263157894737</v>
      </c>
      <c r="F49" s="9" t="n">
        <f aca="false">E49-C49</f>
        <v>26.5263157894737</v>
      </c>
      <c r="G49" s="11" t="str">
        <f aca="false">IF(AND(C49=0,E49=0),0,IF(C49=0,"New",(E49-C49)/C49))</f>
        <v>New</v>
      </c>
      <c r="H49" s="9" t="n">
        <f aca="false">SUMIFS('Source 2025'!$T:$T,'Source 2025'!$B:$B,$A49,'Source 2025'!$A:$A,"Amount (NIS)")</f>
        <v>0</v>
      </c>
      <c r="I49" s="9" t="n">
        <f aca="false">SUMIFS('Source 2026'!$T:$T,'Source 2026'!$B:$B,$A49,'Source 2026'!$A:$A,"Amount (NIS)")</f>
        <v>1932</v>
      </c>
      <c r="J49" s="9" t="n">
        <f aca="false">I49*$J$5</f>
        <v>2440.42105263158</v>
      </c>
      <c r="K49" s="9" t="n">
        <f aca="false">J49-H49</f>
        <v>2440.42105263158</v>
      </c>
      <c r="L49" s="11" t="str">
        <f aca="false">IF(AND(H49=0,J49=0),0,IF(H49=0,"New",(J49-H49)/H49))</f>
        <v>New</v>
      </c>
    </row>
    <row r="50" customFormat="false" ht="15" hidden="false" customHeight="true" outlineLevel="0" collapsed="false">
      <c r="A50" s="8" t="s">
        <v>144</v>
      </c>
      <c r="B50" s="8" t="str">
        <f aca="false">IFERROR(INDEX('Source 2026'!$C:$C,MATCH($A50,'Source 2026'!$B:$B,0)),IFERROR(INDEX('Source 2025'!$C:$C,MATCH($A50,'Source 2025'!$B:$B,0)),""))</f>
        <v>שרוול מטטרזלי מסיליקון</v>
      </c>
      <c r="C50" s="9" t="n">
        <f aca="false">SUMIFS('Source 2025'!$T:$T,'Source 2025'!$B:$B,$A50,'Source 2025'!$A:$A,"Quantity (units)")</f>
        <v>0</v>
      </c>
      <c r="D50" s="9" t="n">
        <f aca="false">SUMIFS('Source 2026'!$T:$T,'Source 2026'!$B:$B,$A50,'Source 2026'!$A:$A,"Quantity (units)")</f>
        <v>47</v>
      </c>
      <c r="E50" s="9" t="n">
        <f aca="false">D50*$J$5</f>
        <v>59.3684210526316</v>
      </c>
      <c r="F50" s="9" t="n">
        <f aca="false">E50-C50</f>
        <v>59.3684210526316</v>
      </c>
      <c r="G50" s="11" t="str">
        <f aca="false">IF(AND(C50=0,E50=0),0,IF(C50=0,"New",(E50-C50)/C50))</f>
        <v>New</v>
      </c>
      <c r="H50" s="9" t="n">
        <f aca="false">SUMIFS('Source 2025'!$T:$T,'Source 2025'!$B:$B,$A50,'Source 2025'!$A:$A,"Amount (NIS)")</f>
        <v>0</v>
      </c>
      <c r="I50" s="9" t="n">
        <f aca="false">SUMIFS('Source 2026'!$T:$T,'Source 2026'!$B:$B,$A50,'Source 2026'!$A:$A,"Amount (NIS)")</f>
        <v>1823.1</v>
      </c>
      <c r="J50" s="9" t="n">
        <f aca="false">I50*$J$5</f>
        <v>2302.86315789474</v>
      </c>
      <c r="K50" s="9" t="n">
        <f aca="false">J50-H50</f>
        <v>2302.86315789474</v>
      </c>
      <c r="L50" s="11" t="str">
        <f aca="false">IF(AND(H50=0,J50=0),0,IF(H50=0,"New",(J50-H50)/H50))</f>
        <v>New</v>
      </c>
    </row>
    <row r="51" customFormat="false" ht="15" hidden="false" customHeight="true" outlineLevel="0" collapsed="false">
      <c r="A51" s="8" t="s">
        <v>133</v>
      </c>
      <c r="B51" s="8" t="str">
        <f aca="false">IFERROR(INDEX('Source 2026'!$C:$C,MATCH($A51,'Source 2026'!$B:$B,0)),IFERROR(INDEX('Source 2025'!$C:$C,MATCH($A51,'Source 2025'!$B:$B,0)),""))</f>
        <v>L סד לילה שחור לבוהן שמאל</v>
      </c>
      <c r="C51" s="9" t="n">
        <f aca="false">SUMIFS('Source 2025'!$T:$T,'Source 2025'!$B:$B,$A51,'Source 2025'!$A:$A,"Quantity (units)")</f>
        <v>0</v>
      </c>
      <c r="D51" s="9" t="n">
        <f aca="false">SUMIFS('Source 2026'!$T:$T,'Source 2026'!$B:$B,$A51,'Source 2026'!$A:$A,"Quantity (units)")</f>
        <v>43</v>
      </c>
      <c r="E51" s="9" t="n">
        <f aca="false">D51*$J$5</f>
        <v>54.3157894736842</v>
      </c>
      <c r="F51" s="9" t="n">
        <f aca="false">E51-C51</f>
        <v>54.3157894736842</v>
      </c>
      <c r="G51" s="11" t="str">
        <f aca="false">IF(AND(C51=0,E51=0),0,IF(C51=0,"New",(E51-C51)/C51))</f>
        <v>New</v>
      </c>
      <c r="H51" s="9" t="n">
        <f aca="false">SUMIFS('Source 2025'!$T:$T,'Source 2025'!$B:$B,$A51,'Source 2025'!$A:$A,"Amount (NIS)")</f>
        <v>0</v>
      </c>
      <c r="I51" s="9" t="n">
        <f aca="false">SUMIFS('Source 2026'!$T:$T,'Source 2026'!$B:$B,$A51,'Source 2026'!$A:$A,"Amount (NIS)")</f>
        <v>1806</v>
      </c>
      <c r="J51" s="9" t="n">
        <f aca="false">I51*$J$5</f>
        <v>2281.26315789474</v>
      </c>
      <c r="K51" s="9" t="n">
        <f aca="false">J51-H51</f>
        <v>2281.26315789474</v>
      </c>
      <c r="L51" s="11" t="str">
        <f aca="false">IF(AND(H51=0,J51=0),0,IF(H51=0,"New",(J51-H51)/H51))</f>
        <v>New</v>
      </c>
    </row>
    <row r="52" customFormat="false" ht="15" hidden="false" customHeight="true" outlineLevel="0" collapsed="false">
      <c r="A52" s="8" t="s">
        <v>148</v>
      </c>
      <c r="B52" s="8" t="str">
        <f aca="false">IFERROR(INDEX('Source 2026'!$C:$C,MATCH($A52,'Source 2026'!$B:$B,0)),IFERROR(INDEX('Source 2025'!$C:$C,MATCH($A52,'Source 2025'!$B:$B,0)),""))</f>
        <v>רפידת אנטי ריח -זוג</v>
      </c>
      <c r="C52" s="9" t="n">
        <f aca="false">SUMIFS('Source 2025'!$T:$T,'Source 2025'!$B:$B,$A52,'Source 2025'!$A:$A,"Quantity (units)")</f>
        <v>0</v>
      </c>
      <c r="D52" s="9" t="n">
        <f aca="false">SUMIFS('Source 2026'!$T:$T,'Source 2026'!$B:$B,$A52,'Source 2026'!$A:$A,"Quantity (units)")</f>
        <v>188</v>
      </c>
      <c r="E52" s="9" t="n">
        <f aca="false">D52*$J$5</f>
        <v>237.473684210526</v>
      </c>
      <c r="F52" s="9" t="n">
        <f aca="false">E52-C52</f>
        <v>237.473684210526</v>
      </c>
      <c r="G52" s="11" t="str">
        <f aca="false">IF(AND(C52=0,E52=0),0,IF(C52=0,"New",(E52-C52)/C52))</f>
        <v>New</v>
      </c>
      <c r="H52" s="9" t="n">
        <f aca="false">SUMIFS('Source 2025'!$T:$T,'Source 2025'!$B:$B,$A52,'Source 2025'!$A:$A,"Amount (NIS)")</f>
        <v>0</v>
      </c>
      <c r="I52" s="9" t="n">
        <f aca="false">SUMIFS('Source 2026'!$T:$T,'Source 2026'!$B:$B,$A52,'Source 2026'!$A:$A,"Amount (NIS)")</f>
        <v>1755.3</v>
      </c>
      <c r="J52" s="9" t="n">
        <f aca="false">I52*$J$5</f>
        <v>2217.22105263158</v>
      </c>
      <c r="K52" s="9" t="n">
        <f aca="false">J52-H52</f>
        <v>2217.22105263158</v>
      </c>
      <c r="L52" s="11" t="str">
        <f aca="false">IF(AND(H52=0,J52=0),0,IF(H52=0,"New",(J52-H52)/H52))</f>
        <v>New</v>
      </c>
    </row>
    <row r="53" customFormat="false" ht="15" hidden="false" customHeight="true" outlineLevel="0" collapsed="false">
      <c r="A53" s="8" t="s">
        <v>286</v>
      </c>
      <c r="B53" s="8" t="str">
        <f aca="false">IFERROR(INDEX('Source 2026'!$C:$C,MATCH($A53,'Source 2026'!$B:$B,0)),IFERROR(INDEX('Source 2025'!$C:$C,MATCH($A53,'Source 2025'!$B:$B,0)),""))</f>
        <v>L ימין CTS כפפות</v>
      </c>
      <c r="C53" s="9" t="n">
        <f aca="false">SUMIFS('Source 2025'!$T:$T,'Source 2025'!$B:$B,$A53,'Source 2025'!$A:$A,"Quantity (units)")</f>
        <v>0</v>
      </c>
      <c r="D53" s="9" t="n">
        <f aca="false">SUMIFS('Source 2026'!$T:$T,'Source 2026'!$B:$B,$A53,'Source 2026'!$A:$A,"Quantity (units)")</f>
        <v>23</v>
      </c>
      <c r="E53" s="9" t="n">
        <f aca="false">D53*$J$5</f>
        <v>29.0526315789474</v>
      </c>
      <c r="F53" s="9" t="n">
        <f aca="false">E53-C53</f>
        <v>29.0526315789474</v>
      </c>
      <c r="G53" s="11" t="str">
        <f aca="false">IF(AND(C53=0,E53=0),0,IF(C53=0,"New",(E53-C53)/C53))</f>
        <v>New</v>
      </c>
      <c r="H53" s="9" t="n">
        <f aca="false">SUMIFS('Source 2025'!$T:$T,'Source 2025'!$B:$B,$A53,'Source 2025'!$A:$A,"Amount (NIS)")</f>
        <v>0</v>
      </c>
      <c r="I53" s="9" t="n">
        <f aca="false">SUMIFS('Source 2026'!$T:$T,'Source 2026'!$B:$B,$A53,'Source 2026'!$A:$A,"Amount (NIS)")</f>
        <v>1633</v>
      </c>
      <c r="J53" s="9" t="n">
        <f aca="false">I53*$J$5</f>
        <v>2062.73684210526</v>
      </c>
      <c r="K53" s="9" t="n">
        <f aca="false">J53-H53</f>
        <v>2062.73684210526</v>
      </c>
      <c r="L53" s="11" t="str">
        <f aca="false">IF(AND(H53=0,J53=0),0,IF(H53=0,"New",(J53-H53)/H53))</f>
        <v>New</v>
      </c>
    </row>
    <row r="54" customFormat="false" ht="15" hidden="false" customHeight="true" outlineLevel="0" collapsed="false">
      <c r="A54" s="8" t="s">
        <v>130</v>
      </c>
      <c r="B54" s="8" t="str">
        <f aca="false">IFERROR(INDEX('Source 2026'!$C:$C,MATCH($A54,'Source 2026'!$B:$B,0)),IFERROR(INDEX('Source 2025'!$C:$C,MATCH($A54,'Source 2025'!$B:$B,0)),""))</f>
        <v>Lמפר.אצבע סיליק. ליבל.זוג</v>
      </c>
      <c r="C54" s="9" t="n">
        <f aca="false">SUMIFS('Source 2025'!$T:$T,'Source 2025'!$B:$B,$A54,'Source 2025'!$A:$A,"Quantity (units)")</f>
        <v>0</v>
      </c>
      <c r="D54" s="9" t="n">
        <f aca="false">SUMIFS('Source 2026'!$T:$T,'Source 2026'!$B:$B,$A54,'Source 2026'!$A:$A,"Quantity (units)")</f>
        <v>183</v>
      </c>
      <c r="E54" s="9" t="n">
        <f aca="false">D54*$J$5</f>
        <v>231.157894736842</v>
      </c>
      <c r="F54" s="9" t="n">
        <f aca="false">E54-C54</f>
        <v>231.157894736842</v>
      </c>
      <c r="G54" s="11" t="str">
        <f aca="false">IF(AND(C54=0,E54=0),0,IF(C54=0,"New",(E54-C54)/C54))</f>
        <v>New</v>
      </c>
      <c r="H54" s="9" t="n">
        <f aca="false">SUMIFS('Source 2025'!$T:$T,'Source 2025'!$B:$B,$A54,'Source 2025'!$A:$A,"Amount (NIS)")</f>
        <v>0</v>
      </c>
      <c r="I54" s="9" t="n">
        <f aca="false">SUMIFS('Source 2026'!$T:$T,'Source 2026'!$B:$B,$A54,'Source 2026'!$A:$A,"Amount (NIS)")</f>
        <v>1582.1</v>
      </c>
      <c r="J54" s="9" t="n">
        <f aca="false">I54*$J$5</f>
        <v>1998.44210526316</v>
      </c>
      <c r="K54" s="9" t="n">
        <f aca="false">J54-H54</f>
        <v>1998.44210526316</v>
      </c>
      <c r="L54" s="11" t="str">
        <f aca="false">IF(AND(H54=0,J54=0),0,IF(H54=0,"New",(J54-H54)/H54))</f>
        <v>New</v>
      </c>
    </row>
    <row r="55" customFormat="false" ht="15" hidden="false" customHeight="true" outlineLevel="0" collapsed="false">
      <c r="A55" s="8" t="s">
        <v>257</v>
      </c>
      <c r="B55" s="8" t="str">
        <f aca="false">IFERROR(INDEX('Source 2026'!$C:$C,MATCH($A55,'Source 2026'!$B:$B,0)),IFERROR(INDEX('Source 2025'!$C:$C,MATCH($A55,'Source 2025'!$B:$B,0)),""))</f>
        <v>L שמאל CTS כפפות</v>
      </c>
      <c r="C55" s="9" t="n">
        <f aca="false">SUMIFS('Source 2025'!$T:$T,'Source 2025'!$B:$B,$A55,'Source 2025'!$A:$A,"Quantity (units)")</f>
        <v>0</v>
      </c>
      <c r="D55" s="9" t="n">
        <f aca="false">SUMIFS('Source 2026'!$T:$T,'Source 2026'!$B:$B,$A55,'Source 2026'!$A:$A,"Quantity (units)")</f>
        <v>22</v>
      </c>
      <c r="E55" s="9" t="n">
        <f aca="false">D55*$J$5</f>
        <v>27.7894736842105</v>
      </c>
      <c r="F55" s="9" t="n">
        <f aca="false">E55-C55</f>
        <v>27.7894736842105</v>
      </c>
      <c r="G55" s="11" t="str">
        <f aca="false">IF(AND(C55=0,E55=0),0,IF(C55=0,"New",(E55-C55)/C55))</f>
        <v>New</v>
      </c>
      <c r="H55" s="9" t="n">
        <f aca="false">SUMIFS('Source 2025'!$T:$T,'Source 2025'!$B:$B,$A55,'Source 2025'!$A:$A,"Amount (NIS)")</f>
        <v>0</v>
      </c>
      <c r="I55" s="9" t="n">
        <f aca="false">SUMIFS('Source 2026'!$T:$T,'Source 2026'!$B:$B,$A55,'Source 2026'!$A:$A,"Amount (NIS)")</f>
        <v>1562</v>
      </c>
      <c r="J55" s="9" t="n">
        <f aca="false">I55*$J$5</f>
        <v>1973.05263157895</v>
      </c>
      <c r="K55" s="9" t="n">
        <f aca="false">J55-H55</f>
        <v>1973.05263157895</v>
      </c>
      <c r="L55" s="11" t="str">
        <f aca="false">IF(AND(H55=0,J55=0),0,IF(H55=0,"New",(J55-H55)/H55))</f>
        <v>New</v>
      </c>
    </row>
    <row r="56" customFormat="false" ht="15" hidden="false" customHeight="true" outlineLevel="0" collapsed="false">
      <c r="A56" s="8" t="s">
        <v>126</v>
      </c>
      <c r="B56" s="8" t="str">
        <f aca="false">IFERROR(INDEX('Source 2026'!$C:$C,MATCH($A56,'Source 2026'!$B:$B,0)),IFERROR(INDEX('Source 2025'!$C:$C,MATCH($A56,'Source 2025'!$B:$B,0)),""))</f>
        <v>טייפ קינזיולוגי</v>
      </c>
      <c r="C56" s="9" t="n">
        <f aca="false">SUMIFS('Source 2025'!$T:$T,'Source 2025'!$B:$B,$A56,'Source 2025'!$A:$A,"Quantity (units)")</f>
        <v>0</v>
      </c>
      <c r="D56" s="9" t="n">
        <f aca="false">SUMIFS('Source 2026'!$T:$T,'Source 2026'!$B:$B,$A56,'Source 2026'!$A:$A,"Quantity (units)")</f>
        <v>60</v>
      </c>
      <c r="E56" s="9" t="n">
        <f aca="false">D56*$J$5</f>
        <v>75.7894736842105</v>
      </c>
      <c r="F56" s="9" t="n">
        <f aca="false">E56-C56</f>
        <v>75.7894736842105</v>
      </c>
      <c r="G56" s="11" t="str">
        <f aca="false">IF(AND(C56=0,E56=0),0,IF(C56=0,"New",(E56-C56)/C56))</f>
        <v>New</v>
      </c>
      <c r="H56" s="9" t="n">
        <f aca="false">SUMIFS('Source 2025'!$T:$T,'Source 2025'!$B:$B,$A56,'Source 2025'!$A:$A,"Amount (NIS)")</f>
        <v>0</v>
      </c>
      <c r="I56" s="9" t="n">
        <f aca="false">SUMIFS('Source 2026'!$T:$T,'Source 2026'!$B:$B,$A56,'Source 2026'!$A:$A,"Amount (NIS)")</f>
        <v>1500</v>
      </c>
      <c r="J56" s="9" t="n">
        <f aca="false">I56*$J$5</f>
        <v>1894.73684210526</v>
      </c>
      <c r="K56" s="9" t="n">
        <f aca="false">J56-H56</f>
        <v>1894.73684210526</v>
      </c>
      <c r="L56" s="11" t="str">
        <f aca="false">IF(AND(H56=0,J56=0),0,IF(H56=0,"New",(J56-H56)/H56))</f>
        <v>New</v>
      </c>
    </row>
    <row r="57" customFormat="false" ht="15" hidden="false" customHeight="true" outlineLevel="0" collapsed="false">
      <c r="A57" s="8" t="s">
        <v>396</v>
      </c>
      <c r="B57" s="8" t="str">
        <f aca="false">IFERROR(INDEX('Source 2026'!$C:$C,MATCH($A57,'Source 2026'!$B:$B,0)),IFERROR(INDEX('Source 2025'!$C:$C,MATCH($A57,'Source 2025'!$B:$B,0)),""))</f>
        <v>H מגן ברך עם ציר</v>
      </c>
      <c r="C57" s="9" t="n">
        <f aca="false">SUMIFS('Source 2025'!$T:$T,'Source 2025'!$B:$B,$A57,'Source 2025'!$A:$A,"Quantity (units)")</f>
        <v>0</v>
      </c>
      <c r="D57" s="9" t="n">
        <f aca="false">SUMIFS('Source 2026'!$T:$T,'Source 2026'!$B:$B,$A57,'Source 2026'!$A:$A,"Quantity (units)")</f>
        <v>16</v>
      </c>
      <c r="E57" s="9" t="n">
        <f aca="false">D57*$J$5</f>
        <v>20.2105263157895</v>
      </c>
      <c r="F57" s="9" t="n">
        <f aca="false">E57-C57</f>
        <v>20.2105263157895</v>
      </c>
      <c r="G57" s="11" t="str">
        <f aca="false">IF(AND(C57=0,E57=0),0,IF(C57=0,"New",(E57-C57)/C57))</f>
        <v>New</v>
      </c>
      <c r="H57" s="9" t="n">
        <f aca="false">SUMIFS('Source 2025'!$T:$T,'Source 2025'!$B:$B,$A57,'Source 2025'!$A:$A,"Amount (NIS)")</f>
        <v>0</v>
      </c>
      <c r="I57" s="9" t="n">
        <f aca="false">SUMIFS('Source 2026'!$T:$T,'Source 2026'!$B:$B,$A57,'Source 2026'!$A:$A,"Amount (NIS)")</f>
        <v>1496</v>
      </c>
      <c r="J57" s="9" t="n">
        <f aca="false">I57*$J$5</f>
        <v>1889.68421052632</v>
      </c>
      <c r="K57" s="9" t="n">
        <f aca="false">J57-H57</f>
        <v>1889.68421052632</v>
      </c>
      <c r="L57" s="11" t="str">
        <f aca="false">IF(AND(H57=0,J57=0),0,IF(H57=0,"New",(J57-H57)/H57))</f>
        <v>New</v>
      </c>
    </row>
    <row r="58" customFormat="false" ht="15" hidden="false" customHeight="true" outlineLevel="0" collapsed="false">
      <c r="A58" s="8" t="s">
        <v>192</v>
      </c>
      <c r="B58" s="8" t="str">
        <f aca="false">IFERROR(INDEX('Source 2026'!$C:$C,MATCH($A58,'Source 2026'!$B:$B,0)),IFERROR(INDEX('Source 2025'!$C:$C,MATCH($A58,'Source 2025'!$B:$B,0)),""))</f>
        <v>S חגורת שבר לצד ימין</v>
      </c>
      <c r="C58" s="9" t="n">
        <f aca="false">SUMIFS('Source 2025'!$T:$T,'Source 2025'!$B:$B,$A58,'Source 2025'!$A:$A,"Quantity (units)")</f>
        <v>0</v>
      </c>
      <c r="D58" s="9" t="n">
        <f aca="false">SUMIFS('Source 2026'!$T:$T,'Source 2026'!$B:$B,$A58,'Source 2026'!$A:$A,"Quantity (units)")</f>
        <v>13</v>
      </c>
      <c r="E58" s="9" t="n">
        <f aca="false">D58*$J$5</f>
        <v>16.4210526315789</v>
      </c>
      <c r="F58" s="9" t="n">
        <f aca="false">E58-C58</f>
        <v>16.4210526315789</v>
      </c>
      <c r="G58" s="11" t="str">
        <f aca="false">IF(AND(C58=0,E58=0),0,IF(C58=0,"New",(E58-C58)/C58))</f>
        <v>New</v>
      </c>
      <c r="H58" s="9" t="n">
        <f aca="false">SUMIFS('Source 2025'!$T:$T,'Source 2025'!$B:$B,$A58,'Source 2025'!$A:$A,"Amount (NIS)")</f>
        <v>0</v>
      </c>
      <c r="I58" s="9" t="n">
        <f aca="false">SUMIFS('Source 2026'!$T:$T,'Source 2026'!$B:$B,$A58,'Source 2026'!$A:$A,"Amount (NIS)")</f>
        <v>1487.2</v>
      </c>
      <c r="J58" s="9" t="n">
        <f aca="false">I58*$J$5</f>
        <v>1878.56842105263</v>
      </c>
      <c r="K58" s="9" t="n">
        <f aca="false">J58-H58</f>
        <v>1878.56842105263</v>
      </c>
      <c r="L58" s="11" t="str">
        <f aca="false">IF(AND(H58=0,J58=0),0,IF(H58=0,"New",(J58-H58)/H58))</f>
        <v>New</v>
      </c>
    </row>
    <row r="59" customFormat="false" ht="15" hidden="false" customHeight="true" outlineLevel="0" collapsed="false">
      <c r="A59" s="8" t="s">
        <v>159</v>
      </c>
      <c r="B59" s="8" t="str">
        <f aca="false">IFERROR(INDEX('Source 2026'!$C:$C,MATCH($A59,'Source 2026'!$B:$B,0)),IFERROR(INDEX('Source 2025'!$C:$C,MATCH($A59,'Source 2025'!$B:$B,0)),""))</f>
        <v>S-Lטבעת אלסטית מסיליקון</v>
      </c>
      <c r="C59" s="9" t="n">
        <f aca="false">SUMIFS('Source 2025'!$T:$T,'Source 2025'!$B:$B,$A59,'Source 2025'!$A:$A,"Quantity (units)")</f>
        <v>0</v>
      </c>
      <c r="D59" s="9" t="n">
        <f aca="false">SUMIFS('Source 2026'!$T:$T,'Source 2026'!$B:$B,$A59,'Source 2026'!$A:$A,"Quantity (units)")</f>
        <v>164</v>
      </c>
      <c r="E59" s="9" t="n">
        <f aca="false">D59*$J$5</f>
        <v>207.157894736842</v>
      </c>
      <c r="F59" s="9" t="n">
        <f aca="false">E59-C59</f>
        <v>207.157894736842</v>
      </c>
      <c r="G59" s="11" t="str">
        <f aca="false">IF(AND(C59=0,E59=0),0,IF(C59=0,"New",(E59-C59)/C59))</f>
        <v>New</v>
      </c>
      <c r="H59" s="9" t="n">
        <f aca="false">SUMIFS('Source 2025'!$T:$T,'Source 2025'!$B:$B,$A59,'Source 2025'!$A:$A,"Amount (NIS)")</f>
        <v>0</v>
      </c>
      <c r="I59" s="9" t="n">
        <f aca="false">SUMIFS('Source 2026'!$T:$T,'Source 2026'!$B:$B,$A59,'Source 2026'!$A:$A,"Amount (NIS)")</f>
        <v>1450.1</v>
      </c>
      <c r="J59" s="9" t="n">
        <f aca="false">I59*$J$5</f>
        <v>1831.70526315789</v>
      </c>
      <c r="K59" s="9" t="n">
        <f aca="false">J59-H59</f>
        <v>1831.70526315789</v>
      </c>
      <c r="L59" s="11" t="str">
        <f aca="false">IF(AND(H59=0,J59=0),0,IF(H59=0,"New",(J59-H59)/H59))</f>
        <v>New</v>
      </c>
    </row>
    <row r="60" customFormat="false" ht="15" hidden="false" customHeight="true" outlineLevel="0" collapsed="false">
      <c r="A60" s="8" t="s">
        <v>118</v>
      </c>
      <c r="B60" s="8" t="str">
        <f aca="false">IFERROR(INDEX('Source 2026'!$C:$C,MATCH($A60,'Source 2026'!$B:$B,0)),IFERROR(INDEX('Source 2025'!$C:$C,MATCH($A60,'Source 2025'!$B:$B,0)),""))</f>
        <v>טייפ קינזיולוגי</v>
      </c>
      <c r="C60" s="9" t="n">
        <f aca="false">SUMIFS('Source 2025'!$T:$T,'Source 2025'!$B:$B,$A60,'Source 2025'!$A:$A,"Quantity (units)")</f>
        <v>0</v>
      </c>
      <c r="D60" s="9" t="n">
        <f aca="false">SUMIFS('Source 2026'!$T:$T,'Source 2026'!$B:$B,$A60,'Source 2026'!$A:$A,"Quantity (units)")</f>
        <v>57</v>
      </c>
      <c r="E60" s="9" t="n">
        <f aca="false">D60*$J$5</f>
        <v>72</v>
      </c>
      <c r="F60" s="9" t="n">
        <f aca="false">E60-C60</f>
        <v>72</v>
      </c>
      <c r="G60" s="11" t="str">
        <f aca="false">IF(AND(C60=0,E60=0),0,IF(C60=0,"New",(E60-C60)/C60))</f>
        <v>New</v>
      </c>
      <c r="H60" s="9" t="n">
        <f aca="false">SUMIFS('Source 2025'!$T:$T,'Source 2025'!$B:$B,$A60,'Source 2025'!$A:$A,"Amount (NIS)")</f>
        <v>0</v>
      </c>
      <c r="I60" s="9" t="n">
        <f aca="false">SUMIFS('Source 2026'!$T:$T,'Source 2026'!$B:$B,$A60,'Source 2026'!$A:$A,"Amount (NIS)")</f>
        <v>1425</v>
      </c>
      <c r="J60" s="9" t="n">
        <f aca="false">I60*$J$5</f>
        <v>1800</v>
      </c>
      <c r="K60" s="9" t="n">
        <f aca="false">J60-H60</f>
        <v>1800</v>
      </c>
      <c r="L60" s="11" t="str">
        <f aca="false">IF(AND(H60=0,J60=0),0,IF(H60=0,"New",(J60-H60)/H60))</f>
        <v>New</v>
      </c>
    </row>
    <row r="61" customFormat="false" ht="15" hidden="false" customHeight="true" outlineLevel="0" collapsed="false">
      <c r="A61" s="8" t="s">
        <v>141</v>
      </c>
      <c r="B61" s="8" t="str">
        <f aca="false">IFERROR(INDEX('Source 2026'!$C:$C,MATCH($A61,'Source 2026'!$B:$B,0)),IFERROR(INDEX('Source 2025'!$C:$C,MATCH($A61,'Source 2025'!$B:$B,0)),""))</f>
        <v>מטטרזלי סיליקון362</v>
      </c>
      <c r="C61" s="9" t="n">
        <f aca="false">SUMIFS('Source 2025'!$T:$T,'Source 2025'!$B:$B,$A61,'Source 2025'!$A:$A,"Quantity (units)")</f>
        <v>0</v>
      </c>
      <c r="D61" s="9" t="n">
        <f aca="false">SUMIFS('Source 2026'!$T:$T,'Source 2026'!$B:$B,$A61,'Source 2026'!$A:$A,"Quantity (units)")</f>
        <v>76</v>
      </c>
      <c r="E61" s="9" t="n">
        <f aca="false">D61*$J$5</f>
        <v>96</v>
      </c>
      <c r="F61" s="9" t="n">
        <f aca="false">E61-C61</f>
        <v>96</v>
      </c>
      <c r="G61" s="11" t="str">
        <f aca="false">IF(AND(C61=0,E61=0),0,IF(C61=0,"New",(E61-C61)/C61))</f>
        <v>New</v>
      </c>
      <c r="H61" s="9" t="n">
        <f aca="false">SUMIFS('Source 2025'!$T:$T,'Source 2025'!$B:$B,$A61,'Source 2025'!$A:$A,"Amount (NIS)")</f>
        <v>0</v>
      </c>
      <c r="I61" s="9" t="n">
        <f aca="false">SUMIFS('Source 2026'!$T:$T,'Source 2026'!$B:$B,$A61,'Source 2026'!$A:$A,"Amount (NIS)")</f>
        <v>1300.7</v>
      </c>
      <c r="J61" s="9" t="n">
        <f aca="false">I61*$J$5</f>
        <v>1642.98947368421</v>
      </c>
      <c r="K61" s="9" t="n">
        <f aca="false">J61-H61</f>
        <v>1642.98947368421</v>
      </c>
      <c r="L61" s="11" t="str">
        <f aca="false">IF(AND(H61=0,J61=0),0,IF(H61=0,"New",(J61-H61)/H61))</f>
        <v>New</v>
      </c>
    </row>
    <row r="62" customFormat="false" ht="15" hidden="false" customHeight="true" outlineLevel="0" collapsed="false">
      <c r="A62" s="8" t="s">
        <v>264</v>
      </c>
      <c r="B62" s="8" t="str">
        <f aca="false">IFERROR(INDEX('Source 2026'!$C:$C,MATCH($A62,'Source 2026'!$B:$B,0)),IFERROR(INDEX('Source 2025'!$C:$C,MATCH($A62,'Source 2025'!$B:$B,0)),""))</f>
        <v>S חגורת שבר דו צדדי</v>
      </c>
      <c r="C62" s="9" t="n">
        <f aca="false">SUMIFS('Source 2025'!$T:$T,'Source 2025'!$B:$B,$A62,'Source 2025'!$A:$A,"Quantity (units)")</f>
        <v>0</v>
      </c>
      <c r="D62" s="9" t="n">
        <f aca="false">SUMIFS('Source 2026'!$T:$T,'Source 2026'!$B:$B,$A62,'Source 2026'!$A:$A,"Quantity (units)")</f>
        <v>7</v>
      </c>
      <c r="E62" s="9" t="n">
        <f aca="false">D62*$J$5</f>
        <v>8.84210526315789</v>
      </c>
      <c r="F62" s="9" t="n">
        <f aca="false">E62-C62</f>
        <v>8.84210526315789</v>
      </c>
      <c r="G62" s="11" t="str">
        <f aca="false">IF(AND(C62=0,E62=0),0,IF(C62=0,"New",(E62-C62)/C62))</f>
        <v>New</v>
      </c>
      <c r="H62" s="9" t="n">
        <f aca="false">SUMIFS('Source 2025'!$T:$T,'Source 2025'!$B:$B,$A62,'Source 2025'!$A:$A,"Amount (NIS)")</f>
        <v>0</v>
      </c>
      <c r="I62" s="9" t="n">
        <f aca="false">SUMIFS('Source 2026'!$T:$T,'Source 2026'!$B:$B,$A62,'Source 2026'!$A:$A,"Amount (NIS)")</f>
        <v>1272.2</v>
      </c>
      <c r="J62" s="9" t="n">
        <f aca="false">I62*$J$5</f>
        <v>1606.98947368421</v>
      </c>
      <c r="K62" s="9" t="n">
        <f aca="false">J62-H62</f>
        <v>1606.98947368421</v>
      </c>
      <c r="L62" s="11" t="str">
        <f aca="false">IF(AND(H62=0,J62=0),0,IF(H62=0,"New",(J62-H62)/H62))</f>
        <v>New</v>
      </c>
    </row>
    <row r="63" customFormat="false" ht="15" hidden="false" customHeight="true" outlineLevel="0" collapsed="false">
      <c r="A63" s="8" t="s">
        <v>182</v>
      </c>
      <c r="B63" s="8" t="str">
        <f aca="false">IFERROR(INDEX('Source 2026'!$C:$C,MATCH($A63,'Source 2026'!$B:$B,0)),IFERROR(INDEX('Source 2025'!$C:$C,MATCH($A63,'Source 2025'!$B:$B,0)),""))</f>
        <v>3667 מגן בוניון</v>
      </c>
      <c r="C63" s="9" t="n">
        <f aca="false">SUMIFS('Source 2025'!$T:$T,'Source 2025'!$B:$B,$A63,'Source 2025'!$A:$A,"Quantity (units)")</f>
        <v>0</v>
      </c>
      <c r="D63" s="9" t="n">
        <f aca="false">SUMIFS('Source 2026'!$T:$T,'Source 2026'!$B:$B,$A63,'Source 2026'!$A:$A,"Quantity (units)")</f>
        <v>62</v>
      </c>
      <c r="E63" s="9" t="n">
        <f aca="false">D63*$J$5</f>
        <v>78.3157894736842</v>
      </c>
      <c r="F63" s="9" t="n">
        <f aca="false">E63-C63</f>
        <v>78.3157894736842</v>
      </c>
      <c r="G63" s="11" t="str">
        <f aca="false">IF(AND(C63=0,E63=0),0,IF(C63=0,"New",(E63-C63)/C63))</f>
        <v>New</v>
      </c>
      <c r="H63" s="9" t="n">
        <f aca="false">SUMIFS('Source 2025'!$T:$T,'Source 2025'!$B:$B,$A63,'Source 2025'!$A:$A,"Amount (NIS)")</f>
        <v>0</v>
      </c>
      <c r="I63" s="9" t="n">
        <f aca="false">SUMIFS('Source 2026'!$T:$T,'Source 2026'!$B:$B,$A63,'Source 2026'!$A:$A,"Amount (NIS)")</f>
        <v>1262</v>
      </c>
      <c r="J63" s="9" t="n">
        <f aca="false">I63*$J$5</f>
        <v>1594.10526315789</v>
      </c>
      <c r="K63" s="9" t="n">
        <f aca="false">J63-H63</f>
        <v>1594.10526315789</v>
      </c>
      <c r="L63" s="11" t="str">
        <f aca="false">IF(AND(H63=0,J63=0),0,IF(H63=0,"New",(J63-H63)/H63))</f>
        <v>New</v>
      </c>
    </row>
    <row r="64" customFormat="false" ht="15" hidden="false" customHeight="true" outlineLevel="0" collapsed="false">
      <c r="A64" s="8" t="s">
        <v>302</v>
      </c>
      <c r="B64" s="8" t="str">
        <f aca="false">IFERROR(INDEX('Source 2026'!$C:$C,MATCH($A64,'Source 2026'!$B:$B,0)),IFERROR(INDEX('Source 2025'!$C:$C,MATCH($A64,'Source 2025'!$B:$B,0)),""))</f>
        <v>S חגורת שבר לצד שמאל</v>
      </c>
      <c r="C64" s="9" t="n">
        <f aca="false">SUMIFS('Source 2025'!$T:$T,'Source 2025'!$B:$B,$A64,'Source 2025'!$A:$A,"Quantity (units)")</f>
        <v>0</v>
      </c>
      <c r="D64" s="9" t="n">
        <f aca="false">SUMIFS('Source 2026'!$T:$T,'Source 2026'!$B:$B,$A64,'Source 2026'!$A:$A,"Quantity (units)")</f>
        <v>10</v>
      </c>
      <c r="E64" s="9" t="n">
        <f aca="false">D64*$J$5</f>
        <v>12.6315789473684</v>
      </c>
      <c r="F64" s="9" t="n">
        <f aca="false">E64-C64</f>
        <v>12.6315789473684</v>
      </c>
      <c r="G64" s="11" t="str">
        <f aca="false">IF(AND(C64=0,E64=0),0,IF(C64=0,"New",(E64-C64)/C64))</f>
        <v>New</v>
      </c>
      <c r="H64" s="9" t="n">
        <f aca="false">SUMIFS('Source 2025'!$T:$T,'Source 2025'!$B:$B,$A64,'Source 2025'!$A:$A,"Amount (NIS)")</f>
        <v>0</v>
      </c>
      <c r="I64" s="9" t="n">
        <f aca="false">SUMIFS('Source 2026'!$T:$T,'Source 2026'!$B:$B,$A64,'Source 2026'!$A:$A,"Amount (NIS)")</f>
        <v>1202.4</v>
      </c>
      <c r="J64" s="9" t="n">
        <f aca="false">I64*$J$5</f>
        <v>1518.82105263158</v>
      </c>
      <c r="K64" s="9" t="n">
        <f aca="false">J64-H64</f>
        <v>1518.82105263158</v>
      </c>
      <c r="L64" s="11" t="str">
        <f aca="false">IF(AND(H64=0,J64=0),0,IF(H64=0,"New",(J64-H64)/H64))</f>
        <v>New</v>
      </c>
    </row>
    <row r="65" customFormat="false" ht="15" hidden="false" customHeight="true" outlineLevel="0" collapsed="false">
      <c r="A65" s="8" t="s">
        <v>206</v>
      </c>
      <c r="B65" s="8" t="str">
        <f aca="false">IFERROR(INDEX('Source 2026'!$C:$C,MATCH($A65,'Source 2026'!$B:$B,0)),IFERROR(INDEX('Source 2025'!$C:$C,MATCH($A65,'Source 2025'!$B:$B,0)),""))</f>
        <v>XLמפריד אצבע סיליקון ליבלת</v>
      </c>
      <c r="C65" s="9" t="n">
        <f aca="false">SUMIFS('Source 2025'!$T:$T,'Source 2025'!$B:$B,$A65,'Source 2025'!$A:$A,"Quantity (units)")</f>
        <v>0</v>
      </c>
      <c r="D65" s="9" t="n">
        <f aca="false">SUMIFS('Source 2026'!$T:$T,'Source 2026'!$B:$B,$A65,'Source 2026'!$A:$A,"Quantity (units)")</f>
        <v>136</v>
      </c>
      <c r="E65" s="9" t="n">
        <f aca="false">D65*$J$5</f>
        <v>171.789473684211</v>
      </c>
      <c r="F65" s="9" t="n">
        <f aca="false">E65-C65</f>
        <v>171.789473684211</v>
      </c>
      <c r="G65" s="11" t="str">
        <f aca="false">IF(AND(C65=0,E65=0),0,IF(C65=0,"New",(E65-C65)/C65))</f>
        <v>New</v>
      </c>
      <c r="H65" s="9" t="n">
        <f aca="false">SUMIFS('Source 2025'!$T:$T,'Source 2025'!$B:$B,$A65,'Source 2025'!$A:$A,"Amount (NIS)")</f>
        <v>0</v>
      </c>
      <c r="I65" s="9" t="n">
        <f aca="false">SUMIFS('Source 2026'!$T:$T,'Source 2026'!$B:$B,$A65,'Source 2026'!$A:$A,"Amount (NIS)")</f>
        <v>1201.7</v>
      </c>
      <c r="J65" s="9" t="n">
        <f aca="false">I65*$J$5</f>
        <v>1517.93684210526</v>
      </c>
      <c r="K65" s="9" t="n">
        <f aca="false">J65-H65</f>
        <v>1517.93684210526</v>
      </c>
      <c r="L65" s="11" t="str">
        <f aca="false">IF(AND(H65=0,J65=0),0,IF(H65=0,"New",(J65-H65)/H65))</f>
        <v>New</v>
      </c>
    </row>
    <row r="66" customFormat="false" ht="15" hidden="false" customHeight="true" outlineLevel="0" collapsed="false">
      <c r="A66" s="8" t="s">
        <v>397</v>
      </c>
      <c r="B66" s="8" t="str">
        <f aca="false">IFERROR(INDEX('Source 2026'!$C:$C,MATCH($A66,'Source 2026'!$B:$B,0)),IFERROR(INDEX('Source 2025'!$C:$C,MATCH($A66,'Source 2025'!$B:$B,0)),""))</f>
        <v>חבק יד</v>
      </c>
      <c r="C66" s="9" t="n">
        <f aca="false">SUMIFS('Source 2025'!$T:$T,'Source 2025'!$B:$B,$A66,'Source 2025'!$A:$A,"Quantity (units)")</f>
        <v>0</v>
      </c>
      <c r="D66" s="9" t="n">
        <f aca="false">SUMIFS('Source 2026'!$T:$T,'Source 2026'!$B:$B,$A66,'Source 2026'!$A:$A,"Quantity (units)")</f>
        <v>72</v>
      </c>
      <c r="E66" s="9" t="n">
        <f aca="false">D66*$J$5</f>
        <v>90.9473684210526</v>
      </c>
      <c r="F66" s="9" t="n">
        <f aca="false">E66-C66</f>
        <v>90.9473684210526</v>
      </c>
      <c r="G66" s="11" t="str">
        <f aca="false">IF(AND(C66=0,E66=0),0,IF(C66=0,"New",(E66-C66)/C66))</f>
        <v>New</v>
      </c>
      <c r="H66" s="9" t="n">
        <f aca="false">SUMIFS('Source 2025'!$T:$T,'Source 2025'!$B:$B,$A66,'Source 2025'!$A:$A,"Amount (NIS)")</f>
        <v>0</v>
      </c>
      <c r="I66" s="9" t="n">
        <f aca="false">SUMIFS('Source 2026'!$T:$T,'Source 2026'!$B:$B,$A66,'Source 2026'!$A:$A,"Amount (NIS)")</f>
        <v>1133</v>
      </c>
      <c r="J66" s="9" t="n">
        <f aca="false">I66*$J$5</f>
        <v>1431.15789473684</v>
      </c>
      <c r="K66" s="9" t="n">
        <f aca="false">J66-H66</f>
        <v>1431.15789473684</v>
      </c>
      <c r="L66" s="11" t="str">
        <f aca="false">IF(AND(H66=0,J66=0),0,IF(H66=0,"New",(J66-H66)/H66))</f>
        <v>New</v>
      </c>
    </row>
    <row r="67" customFormat="false" ht="15" hidden="false" customHeight="true" outlineLevel="0" collapsed="false">
      <c r="A67" s="8" t="s">
        <v>169</v>
      </c>
      <c r="B67" s="8" t="str">
        <f aca="false">IFERROR(INDEX('Source 2026'!$C:$C,MATCH($A67,'Source 2026'!$B:$B,0)),IFERROR(INDEX('Source 2025'!$C:$C,MATCH($A67,'Source 2025'!$B:$B,0)),""))</f>
        <v>כרית ליישור אצבע פטיש</v>
      </c>
      <c r="C67" s="9" t="n">
        <f aca="false">SUMIFS('Source 2025'!$T:$T,'Source 2025'!$B:$B,$A67,'Source 2025'!$A:$A,"Quantity (units)")</f>
        <v>0</v>
      </c>
      <c r="D67" s="9" t="n">
        <f aca="false">SUMIFS('Source 2026'!$T:$T,'Source 2026'!$B:$B,$A67,'Source 2026'!$A:$A,"Quantity (units)")</f>
        <v>57</v>
      </c>
      <c r="E67" s="9" t="n">
        <f aca="false">D67*$J$5</f>
        <v>72</v>
      </c>
      <c r="F67" s="9" t="n">
        <f aca="false">E67-C67</f>
        <v>72</v>
      </c>
      <c r="G67" s="11" t="str">
        <f aca="false">IF(AND(C67=0,E67=0),0,IF(C67=0,"New",(E67-C67)/C67))</f>
        <v>New</v>
      </c>
      <c r="H67" s="9" t="n">
        <f aca="false">SUMIFS('Source 2025'!$T:$T,'Source 2025'!$B:$B,$A67,'Source 2025'!$A:$A,"Amount (NIS)")</f>
        <v>0</v>
      </c>
      <c r="I67" s="9" t="n">
        <f aca="false">SUMIFS('Source 2026'!$T:$T,'Source 2026'!$B:$B,$A67,'Source 2026'!$A:$A,"Amount (NIS)")</f>
        <v>1095.6</v>
      </c>
      <c r="J67" s="9" t="n">
        <f aca="false">I67*$J$5</f>
        <v>1383.91578947368</v>
      </c>
      <c r="K67" s="9" t="n">
        <f aca="false">J67-H67</f>
        <v>1383.91578947368</v>
      </c>
      <c r="L67" s="11" t="str">
        <f aca="false">IF(AND(H67=0,J67=0),0,IF(H67=0,"New",(J67-H67)/H67))</f>
        <v>New</v>
      </c>
    </row>
    <row r="68" customFormat="false" ht="15" hidden="false" customHeight="true" outlineLevel="0" collapsed="false">
      <c r="A68" s="8" t="s">
        <v>267</v>
      </c>
      <c r="B68" s="8" t="str">
        <f aca="false">IFERROR(INDEX('Source 2026'!$C:$C,MATCH($A68,'Source 2026'!$B:$B,0)),IFERROR(INDEX('Source 2025'!$C:$C,MATCH($A68,'Source 2025'!$B:$B,0)),""))</f>
        <v>S חגורה אחרי ניתוח</v>
      </c>
      <c r="C68" s="9" t="n">
        <f aca="false">SUMIFS('Source 2025'!$T:$T,'Source 2025'!$B:$B,$A68,'Source 2025'!$A:$A,"Quantity (units)")</f>
        <v>0</v>
      </c>
      <c r="D68" s="9" t="n">
        <f aca="false">SUMIFS('Source 2026'!$T:$T,'Source 2026'!$B:$B,$A68,'Source 2026'!$A:$A,"Quantity (units)")</f>
        <v>9</v>
      </c>
      <c r="E68" s="9" t="n">
        <f aca="false">D68*$J$5</f>
        <v>11.3684210526316</v>
      </c>
      <c r="F68" s="9" t="n">
        <f aca="false">E68-C68</f>
        <v>11.3684210526316</v>
      </c>
      <c r="G68" s="11" t="str">
        <f aca="false">IF(AND(C68=0,E68=0),0,IF(C68=0,"New",(E68-C68)/C68))</f>
        <v>New</v>
      </c>
      <c r="H68" s="9" t="n">
        <f aca="false">SUMIFS('Source 2025'!$T:$T,'Source 2025'!$B:$B,$A68,'Source 2025'!$A:$A,"Amount (NIS)")</f>
        <v>0</v>
      </c>
      <c r="I68" s="9" t="n">
        <f aca="false">SUMIFS('Source 2026'!$T:$T,'Source 2026'!$B:$B,$A68,'Source 2026'!$A:$A,"Amount (NIS)")</f>
        <v>1022.3</v>
      </c>
      <c r="J68" s="9" t="n">
        <f aca="false">I68*$J$5</f>
        <v>1291.32631578947</v>
      </c>
      <c r="K68" s="9" t="n">
        <f aca="false">J68-H68</f>
        <v>1291.32631578947</v>
      </c>
      <c r="L68" s="11" t="str">
        <f aca="false">IF(AND(H68=0,J68=0),0,IF(H68=0,"New",(J68-H68)/H68))</f>
        <v>New</v>
      </c>
    </row>
    <row r="69" customFormat="false" ht="15" hidden="false" customHeight="true" outlineLevel="0" collapsed="false">
      <c r="A69" s="8" t="s">
        <v>227</v>
      </c>
      <c r="B69" s="8" t="str">
        <f aca="false">IFERROR(INDEX('Source 2026'!$C:$C,MATCH($A69,'Source 2026'!$B:$B,0)),IFERROR(INDEX('Source 2025'!$C:$C,MATCH($A69,'Source 2025'!$B:$B,0)),""))</f>
        <v>להסרת עור קשה</v>
      </c>
      <c r="C69" s="9" t="n">
        <f aca="false">SUMIFS('Source 2025'!$T:$T,'Source 2025'!$B:$B,$A69,'Source 2025'!$A:$A,"Quantity (units)")</f>
        <v>0</v>
      </c>
      <c r="D69" s="9" t="n">
        <f aca="false">SUMIFS('Source 2026'!$T:$T,'Source 2026'!$B:$B,$A69,'Source 2026'!$A:$A,"Quantity (units)")</f>
        <v>48</v>
      </c>
      <c r="E69" s="9" t="n">
        <f aca="false">D69*$J$5</f>
        <v>60.6315789473684</v>
      </c>
      <c r="F69" s="9" t="n">
        <f aca="false">E69-C69</f>
        <v>60.6315789473684</v>
      </c>
      <c r="G69" s="11" t="str">
        <f aca="false">IF(AND(C69=0,E69=0),0,IF(C69=0,"New",(E69-C69)/C69))</f>
        <v>New</v>
      </c>
      <c r="H69" s="9" t="n">
        <f aca="false">SUMIFS('Source 2025'!$T:$T,'Source 2025'!$B:$B,$A69,'Source 2025'!$A:$A,"Amount (NIS)")</f>
        <v>0</v>
      </c>
      <c r="I69" s="9" t="n">
        <f aca="false">SUMIFS('Source 2026'!$T:$T,'Source 2026'!$B:$B,$A69,'Source 2026'!$A:$A,"Amount (NIS)")</f>
        <v>1004.4</v>
      </c>
      <c r="J69" s="9" t="n">
        <f aca="false">I69*$J$5</f>
        <v>1268.71578947368</v>
      </c>
      <c r="K69" s="9" t="n">
        <f aca="false">J69-H69</f>
        <v>1268.71578947368</v>
      </c>
      <c r="L69" s="11" t="str">
        <f aca="false">IF(AND(H69=0,J69=0),0,IF(H69=0,"New",(J69-H69)/H69))</f>
        <v>New</v>
      </c>
    </row>
    <row r="70" customFormat="false" ht="15" hidden="false" customHeight="true" outlineLevel="0" collapsed="false">
      <c r="A70" s="8" t="s">
        <v>209</v>
      </c>
      <c r="B70" s="8" t="str">
        <f aca="false">IFERROR(INDEX('Source 2026'!$C:$C,MATCH($A70,'Source 2026'!$B:$B,0)),IFERROR(INDEX('Source 2025'!$C:$C,MATCH($A70,'Source 2025'!$B:$B,0)),""))</f>
        <v>רצועת ""פיקה""+כרית</v>
      </c>
      <c r="C70" s="9" t="n">
        <f aca="false">SUMIFS('Source 2025'!$T:$T,'Source 2025'!$B:$B,$A70,'Source 2025'!$A:$A,"Quantity (units)")</f>
        <v>0</v>
      </c>
      <c r="D70" s="9" t="n">
        <f aca="false">SUMIFS('Source 2026'!$T:$T,'Source 2026'!$B:$B,$A70,'Source 2026'!$A:$A,"Quantity (units)")</f>
        <v>16</v>
      </c>
      <c r="E70" s="9" t="n">
        <f aca="false">D70*$J$5</f>
        <v>20.2105263157895</v>
      </c>
      <c r="F70" s="9" t="n">
        <f aca="false">E70-C70</f>
        <v>20.2105263157895</v>
      </c>
      <c r="G70" s="11" t="str">
        <f aca="false">IF(AND(C70=0,E70=0),0,IF(C70=0,"New",(E70-C70)/C70))</f>
        <v>New</v>
      </c>
      <c r="H70" s="9" t="n">
        <f aca="false">SUMIFS('Source 2025'!$T:$T,'Source 2025'!$B:$B,$A70,'Source 2025'!$A:$A,"Amount (NIS)")</f>
        <v>0</v>
      </c>
      <c r="I70" s="9" t="n">
        <f aca="false">SUMIFS('Source 2026'!$T:$T,'Source 2026'!$B:$B,$A70,'Source 2026'!$A:$A,"Amount (NIS)")</f>
        <v>957.1</v>
      </c>
      <c r="J70" s="9" t="n">
        <f aca="false">I70*$J$5</f>
        <v>1208.96842105263</v>
      </c>
      <c r="K70" s="9" t="n">
        <f aca="false">J70-H70</f>
        <v>1208.96842105263</v>
      </c>
      <c r="L70" s="11" t="str">
        <f aca="false">IF(AND(H70=0,J70=0),0,IF(H70=0,"New",(J70-H70)/H70))</f>
        <v>New</v>
      </c>
    </row>
    <row r="71" customFormat="false" ht="15" hidden="false" customHeight="true" outlineLevel="0" collapsed="false">
      <c r="A71" s="8" t="s">
        <v>167</v>
      </c>
      <c r="B71" s="8" t="str">
        <f aca="false">IFERROR(INDEX('Source 2026'!$C:$C,MATCH($A71,'Source 2026'!$B:$B,0)),IFERROR(INDEX('Source 2025'!$C:$C,MATCH($A71,'Source 2025'!$B:$B,0)),""))</f>
        <v>בליסטר פלסטר</v>
      </c>
      <c r="C71" s="9" t="n">
        <f aca="false">SUMIFS('Source 2025'!$T:$T,'Source 2025'!$B:$B,$A71,'Source 2025'!$A:$A,"Quantity (units)")</f>
        <v>0</v>
      </c>
      <c r="D71" s="9" t="n">
        <f aca="false">SUMIFS('Source 2026'!$T:$T,'Source 2026'!$B:$B,$A71,'Source 2026'!$A:$A,"Quantity (units)")</f>
        <v>78</v>
      </c>
      <c r="E71" s="9" t="n">
        <f aca="false">D71*$J$5</f>
        <v>98.5263157894737</v>
      </c>
      <c r="F71" s="9" t="n">
        <f aca="false">E71-C71</f>
        <v>98.5263157894737</v>
      </c>
      <c r="G71" s="11" t="str">
        <f aca="false">IF(AND(C71=0,E71=0),0,IF(C71=0,"New",(E71-C71)/C71))</f>
        <v>New</v>
      </c>
      <c r="H71" s="9" t="n">
        <f aca="false">SUMIFS('Source 2025'!$T:$T,'Source 2025'!$B:$B,$A71,'Source 2025'!$A:$A,"Amount (NIS)")</f>
        <v>0</v>
      </c>
      <c r="I71" s="9" t="n">
        <f aca="false">SUMIFS('Source 2026'!$T:$T,'Source 2026'!$B:$B,$A71,'Source 2026'!$A:$A,"Amount (NIS)")</f>
        <v>939.1</v>
      </c>
      <c r="J71" s="9" t="n">
        <f aca="false">I71*$J$5</f>
        <v>1186.23157894737</v>
      </c>
      <c r="K71" s="9" t="n">
        <f aca="false">J71-H71</f>
        <v>1186.23157894737</v>
      </c>
      <c r="L71" s="11" t="str">
        <f aca="false">IF(AND(H71=0,J71=0),0,IF(H71=0,"New",(J71-H71)/H71))</f>
        <v>New</v>
      </c>
    </row>
    <row r="72" customFormat="false" ht="15" hidden="false" customHeight="true" outlineLevel="0" collapsed="false">
      <c r="A72" s="8" t="s">
        <v>188</v>
      </c>
      <c r="B72" s="8" t="str">
        <f aca="false">IFERROR(INDEX('Source 2026'!$C:$C,MATCH($A72,'Source 2026'!$B:$B,0)),IFERROR(INDEX('Source 2025'!$C:$C,MATCH($A72,'Source 2025'!$B:$B,0)),""))</f>
        <v>מגן קרסול עקב סגור+רצוע</v>
      </c>
      <c r="C72" s="9" t="n">
        <f aca="false">SUMIFS('Source 2025'!$T:$T,'Source 2025'!$B:$B,$A72,'Source 2025'!$A:$A,"Quantity (units)")</f>
        <v>0</v>
      </c>
      <c r="D72" s="9" t="n">
        <f aca="false">SUMIFS('Source 2026'!$T:$T,'Source 2026'!$B:$B,$A72,'Source 2026'!$A:$A,"Quantity (units)")</f>
        <v>23</v>
      </c>
      <c r="E72" s="9" t="n">
        <f aca="false">D72*$J$5</f>
        <v>29.0526315789474</v>
      </c>
      <c r="F72" s="9" t="n">
        <f aca="false">E72-C72</f>
        <v>29.0526315789474</v>
      </c>
      <c r="G72" s="11" t="str">
        <f aca="false">IF(AND(C72=0,E72=0),0,IF(C72=0,"New",(E72-C72)/C72))</f>
        <v>New</v>
      </c>
      <c r="H72" s="9" t="n">
        <f aca="false">SUMIFS('Source 2025'!$T:$T,'Source 2025'!$B:$B,$A72,'Source 2025'!$A:$A,"Amount (NIS)")</f>
        <v>0</v>
      </c>
      <c r="I72" s="9" t="n">
        <f aca="false">SUMIFS('Source 2026'!$T:$T,'Source 2026'!$B:$B,$A72,'Source 2026'!$A:$A,"Amount (NIS)")</f>
        <v>906.6</v>
      </c>
      <c r="J72" s="9" t="n">
        <f aca="false">I72*$J$5</f>
        <v>1145.17894736842</v>
      </c>
      <c r="K72" s="9" t="n">
        <f aca="false">J72-H72</f>
        <v>1145.17894736842</v>
      </c>
      <c r="L72" s="11" t="str">
        <f aca="false">IF(AND(H72=0,J72=0),0,IF(H72=0,"New",(J72-H72)/H72))</f>
        <v>New</v>
      </c>
    </row>
    <row r="73" customFormat="false" ht="15" hidden="false" customHeight="true" outlineLevel="0" collapsed="false">
      <c r="A73" s="8" t="s">
        <v>343</v>
      </c>
      <c r="B73" s="8" t="str">
        <f aca="false">IFERROR(INDEX('Source 2026'!$C:$C,MATCH($A73,'Source 2026'!$B:$B,0)),IFERROR(INDEX('Source 2025'!$C:$C,MATCH($A73,'Source 2025'!$B:$B,0)),""))</f>
        <v>תחבושת אלסטית מקררת</v>
      </c>
      <c r="C73" s="9" t="n">
        <f aca="false">SUMIFS('Source 2025'!$T:$T,'Source 2025'!$B:$B,$A73,'Source 2025'!$A:$A,"Quantity (units)")</f>
        <v>0</v>
      </c>
      <c r="D73" s="9" t="n">
        <f aca="false">SUMIFS('Source 2026'!$T:$T,'Source 2026'!$B:$B,$A73,'Source 2026'!$A:$A,"Quantity (units)")</f>
        <v>65</v>
      </c>
      <c r="E73" s="9" t="n">
        <f aca="false">D73*$J$5</f>
        <v>82.1052631578947</v>
      </c>
      <c r="F73" s="9" t="n">
        <f aca="false">E73-C73</f>
        <v>82.1052631578947</v>
      </c>
      <c r="G73" s="11" t="str">
        <f aca="false">IF(AND(C73=0,E73=0),0,IF(C73=0,"New",(E73-C73)/C73))</f>
        <v>New</v>
      </c>
      <c r="H73" s="9" t="n">
        <f aca="false">SUMIFS('Source 2025'!$T:$T,'Source 2025'!$B:$B,$A73,'Source 2025'!$A:$A,"Amount (NIS)")</f>
        <v>0</v>
      </c>
      <c r="I73" s="9" t="n">
        <f aca="false">SUMIFS('Source 2026'!$T:$T,'Source 2026'!$B:$B,$A73,'Source 2026'!$A:$A,"Amount (NIS)")</f>
        <v>879.9</v>
      </c>
      <c r="J73" s="9" t="n">
        <f aca="false">I73*$J$5</f>
        <v>1111.45263157895</v>
      </c>
      <c r="K73" s="9" t="n">
        <f aca="false">J73-H73</f>
        <v>1111.45263157895</v>
      </c>
      <c r="L73" s="11" t="str">
        <f aca="false">IF(AND(H73=0,J73=0),0,IF(H73=0,"New",(J73-H73)/H73))</f>
        <v>New</v>
      </c>
    </row>
    <row r="74" customFormat="false" ht="15" hidden="false" customHeight="true" outlineLevel="0" collapsed="false">
      <c r="A74" s="8" t="s">
        <v>107</v>
      </c>
      <c r="B74" s="8" t="str">
        <f aca="false">IFERROR(INDEX('Source 2026'!$C:$C,MATCH($A74,'Source 2026'!$B:$B,0)),IFERROR(INDEX('Source 2025'!$C:$C,MATCH($A74,'Source 2025'!$B:$B,0)),""))</f>
        <v>טייפ קינזיולוגי</v>
      </c>
      <c r="C74" s="9" t="n">
        <f aca="false">SUMIFS('Source 2025'!$T:$T,'Source 2025'!$B:$B,$A74,'Source 2025'!$A:$A,"Quantity (units)")</f>
        <v>0</v>
      </c>
      <c r="D74" s="9" t="n">
        <f aca="false">SUMIFS('Source 2026'!$T:$T,'Source 2026'!$B:$B,$A74,'Source 2026'!$A:$A,"Quantity (units)")</f>
        <v>35</v>
      </c>
      <c r="E74" s="9" t="n">
        <f aca="false">D74*$J$5</f>
        <v>44.2105263157895</v>
      </c>
      <c r="F74" s="9" t="n">
        <f aca="false">E74-C74</f>
        <v>44.2105263157895</v>
      </c>
      <c r="G74" s="11" t="str">
        <f aca="false">IF(AND(C74=0,E74=0),0,IF(C74=0,"New",(E74-C74)/C74))</f>
        <v>New</v>
      </c>
      <c r="H74" s="9" t="n">
        <f aca="false">SUMIFS('Source 2025'!$T:$T,'Source 2025'!$B:$B,$A74,'Source 2025'!$A:$A,"Amount (NIS)")</f>
        <v>0</v>
      </c>
      <c r="I74" s="9" t="n">
        <f aca="false">SUMIFS('Source 2026'!$T:$T,'Source 2026'!$B:$B,$A74,'Source 2026'!$A:$A,"Amount (NIS)")</f>
        <v>875</v>
      </c>
      <c r="J74" s="9" t="n">
        <f aca="false">I74*$J$5</f>
        <v>1105.26315789474</v>
      </c>
      <c r="K74" s="9" t="n">
        <f aca="false">J74-H74</f>
        <v>1105.26315789474</v>
      </c>
      <c r="L74" s="11" t="str">
        <f aca="false">IF(AND(H74=0,J74=0),0,IF(H74=0,"New",(J74-H74)/H74))</f>
        <v>New</v>
      </c>
    </row>
    <row r="75" customFormat="false" ht="15" hidden="false" customHeight="true" outlineLevel="0" collapsed="false">
      <c r="A75" s="8" t="s">
        <v>132</v>
      </c>
      <c r="B75" s="8" t="str">
        <f aca="false">IFERROR(INDEX('Source 2026'!$C:$C,MATCH($A75,'Source 2026'!$B:$B,0)),IFERROR(INDEX('Source 2025'!$C:$C,MATCH($A75,'Source 2025'!$B:$B,0)),""))</f>
        <v>למניעת שפשוף 5 יח</v>
      </c>
      <c r="C75" s="9" t="n">
        <f aca="false">SUMIFS('Source 2025'!$T:$T,'Source 2025'!$B:$B,$A75,'Source 2025'!$A:$A,"Quantity (units)")</f>
        <v>0</v>
      </c>
      <c r="D75" s="9" t="n">
        <f aca="false">SUMIFS('Source 2026'!$T:$T,'Source 2026'!$B:$B,$A75,'Source 2026'!$A:$A,"Quantity (units)")</f>
        <v>90</v>
      </c>
      <c r="E75" s="9" t="n">
        <f aca="false">D75*$J$5</f>
        <v>113.684210526316</v>
      </c>
      <c r="F75" s="9" t="n">
        <f aca="false">E75-C75</f>
        <v>113.684210526316</v>
      </c>
      <c r="G75" s="11" t="str">
        <f aca="false">IF(AND(C75=0,E75=0),0,IF(C75=0,"New",(E75-C75)/C75))</f>
        <v>New</v>
      </c>
      <c r="H75" s="9" t="n">
        <f aca="false">SUMIFS('Source 2025'!$T:$T,'Source 2025'!$B:$B,$A75,'Source 2025'!$A:$A,"Amount (NIS)")</f>
        <v>0</v>
      </c>
      <c r="I75" s="9" t="n">
        <f aca="false">SUMIFS('Source 2026'!$T:$T,'Source 2026'!$B:$B,$A75,'Source 2026'!$A:$A,"Amount (NIS)")</f>
        <v>837.1</v>
      </c>
      <c r="J75" s="9" t="n">
        <f aca="false">I75*$J$5</f>
        <v>1057.38947368421</v>
      </c>
      <c r="K75" s="9" t="n">
        <f aca="false">J75-H75</f>
        <v>1057.38947368421</v>
      </c>
      <c r="L75" s="11" t="str">
        <f aca="false">IF(AND(H75=0,J75=0),0,IF(H75=0,"New",(J75-H75)/H75))</f>
        <v>New</v>
      </c>
    </row>
    <row r="76" customFormat="false" ht="15" hidden="false" customHeight="true" outlineLevel="0" collapsed="false">
      <c r="A76" s="8" t="s">
        <v>306</v>
      </c>
      <c r="B76" s="8" t="str">
        <f aca="false">IFERROR(INDEX('Source 2026'!$C:$C,MATCH($A76,'Source 2026'!$B:$B,0)),IFERROR(INDEX('Source 2025'!$C:$C,MATCH($A76,'Source 2025'!$B:$B,0)),""))</f>
        <v>מגן זרת מסיליקון</v>
      </c>
      <c r="C76" s="9" t="n">
        <f aca="false">SUMIFS('Source 2025'!$T:$T,'Source 2025'!$B:$B,$A76,'Source 2025'!$A:$A,"Quantity (units)")</f>
        <v>0</v>
      </c>
      <c r="D76" s="9" t="n">
        <f aca="false">SUMIFS('Source 2026'!$T:$T,'Source 2026'!$B:$B,$A76,'Source 2026'!$A:$A,"Quantity (units)")</f>
        <v>41</v>
      </c>
      <c r="E76" s="9" t="n">
        <f aca="false">D76*$J$5</f>
        <v>51.7894736842105</v>
      </c>
      <c r="F76" s="9" t="n">
        <f aca="false">E76-C76</f>
        <v>51.7894736842105</v>
      </c>
      <c r="G76" s="11" t="str">
        <f aca="false">IF(AND(C76=0,E76=0),0,IF(C76=0,"New",(E76-C76)/C76))</f>
        <v>New</v>
      </c>
      <c r="H76" s="9" t="n">
        <f aca="false">SUMIFS('Source 2025'!$T:$T,'Source 2025'!$B:$B,$A76,'Source 2025'!$A:$A,"Amount (NIS)")</f>
        <v>0</v>
      </c>
      <c r="I76" s="9" t="n">
        <f aca="false">SUMIFS('Source 2026'!$T:$T,'Source 2026'!$B:$B,$A76,'Source 2026'!$A:$A,"Amount (NIS)")</f>
        <v>829.8</v>
      </c>
      <c r="J76" s="9" t="n">
        <f aca="false">I76*$J$5</f>
        <v>1048.16842105263</v>
      </c>
      <c r="K76" s="9" t="n">
        <f aca="false">J76-H76</f>
        <v>1048.16842105263</v>
      </c>
      <c r="L76" s="11" t="str">
        <f aca="false">IF(AND(H76=0,J76=0),0,IF(H76=0,"New",(J76-H76)/H76))</f>
        <v>New</v>
      </c>
    </row>
    <row r="77" customFormat="false" ht="15" hidden="false" customHeight="true" outlineLevel="0" collapsed="false">
      <c r="A77" s="8" t="s">
        <v>180</v>
      </c>
      <c r="B77" s="8" t="str">
        <f aca="false">IFERROR(INDEX('Source 2026'!$C:$C,MATCH($A77,'Source 2026'!$B:$B,0)),IFERROR(INDEX('Source 2025'!$C:$C,MATCH($A77,'Source 2025'!$B:$B,0)),""))</f>
        <v>להסרת עור קשה</v>
      </c>
      <c r="C77" s="9" t="n">
        <f aca="false">SUMIFS('Source 2025'!$T:$T,'Source 2025'!$B:$B,$A77,'Source 2025'!$A:$A,"Quantity (units)")</f>
        <v>0</v>
      </c>
      <c r="D77" s="9" t="n">
        <f aca="false">SUMIFS('Source 2026'!$T:$T,'Source 2026'!$B:$B,$A77,'Source 2026'!$A:$A,"Quantity (units)")</f>
        <v>46</v>
      </c>
      <c r="E77" s="9" t="n">
        <f aca="false">D77*$J$5</f>
        <v>58.1052631578947</v>
      </c>
      <c r="F77" s="9" t="n">
        <f aca="false">E77-C77</f>
        <v>58.1052631578947</v>
      </c>
      <c r="G77" s="11" t="str">
        <f aca="false">IF(AND(C77=0,E77=0),0,IF(C77=0,"New",(E77-C77)/C77))</f>
        <v>New</v>
      </c>
      <c r="H77" s="9" t="n">
        <f aca="false">SUMIFS('Source 2025'!$T:$T,'Source 2025'!$B:$B,$A77,'Source 2025'!$A:$A,"Amount (NIS)")</f>
        <v>0</v>
      </c>
      <c r="I77" s="9" t="n">
        <f aca="false">SUMIFS('Source 2026'!$T:$T,'Source 2026'!$B:$B,$A77,'Source 2026'!$A:$A,"Amount (NIS)")</f>
        <v>821.2</v>
      </c>
      <c r="J77" s="9" t="n">
        <f aca="false">I77*$J$5</f>
        <v>1037.30526315789</v>
      </c>
      <c r="K77" s="9" t="n">
        <f aca="false">J77-H77</f>
        <v>1037.30526315789</v>
      </c>
      <c r="L77" s="11" t="str">
        <f aca="false">IF(AND(H77=0,J77=0),0,IF(H77=0,"New",(J77-H77)/H77))</f>
        <v>New</v>
      </c>
    </row>
    <row r="78" customFormat="false" ht="15" hidden="false" customHeight="true" outlineLevel="0" collapsed="false">
      <c r="A78" s="8" t="s">
        <v>198</v>
      </c>
      <c r="B78" s="8" t="str">
        <f aca="false">IFERROR(INDEX('Source 2026'!$C:$C,MATCH($A78,'Source 2026'!$B:$B,0)),IFERROR(INDEX('Source 2025'!$C:$C,MATCH($A78,'Source 2025'!$B:$B,0)),""))</f>
        <v>לחץ מיבלת2יח</v>
      </c>
      <c r="C78" s="9" t="n">
        <f aca="false">SUMIFS('Source 2025'!$T:$T,'Source 2025'!$B:$B,$A78,'Source 2025'!$A:$A,"Quantity (units)")</f>
        <v>0</v>
      </c>
      <c r="D78" s="9" t="n">
        <f aca="false">SUMIFS('Source 2026'!$T:$T,'Source 2026'!$B:$B,$A78,'Source 2026'!$A:$A,"Quantity (units)")</f>
        <v>75</v>
      </c>
      <c r="E78" s="9" t="n">
        <f aca="false">D78*$J$5</f>
        <v>94.7368421052632</v>
      </c>
      <c r="F78" s="9" t="n">
        <f aca="false">E78-C78</f>
        <v>94.7368421052632</v>
      </c>
      <c r="G78" s="11" t="str">
        <f aca="false">IF(AND(C78=0,E78=0),0,IF(C78=0,"New",(E78-C78)/C78))</f>
        <v>New</v>
      </c>
      <c r="H78" s="9" t="n">
        <f aca="false">SUMIFS('Source 2025'!$T:$T,'Source 2025'!$B:$B,$A78,'Source 2025'!$A:$A,"Amount (NIS)")</f>
        <v>0</v>
      </c>
      <c r="I78" s="9" t="n">
        <f aca="false">SUMIFS('Source 2026'!$T:$T,'Source 2026'!$B:$B,$A78,'Source 2026'!$A:$A,"Amount (NIS)")</f>
        <v>801.6</v>
      </c>
      <c r="J78" s="9" t="n">
        <f aca="false">I78*$J$5</f>
        <v>1012.54736842105</v>
      </c>
      <c r="K78" s="9" t="n">
        <f aca="false">J78-H78</f>
        <v>1012.54736842105</v>
      </c>
      <c r="L78" s="11" t="str">
        <f aca="false">IF(AND(H78=0,J78=0),0,IF(H78=0,"New",(J78-H78)/H78))</f>
        <v>New</v>
      </c>
    </row>
    <row r="79" customFormat="false" ht="15" hidden="false" customHeight="true" outlineLevel="0" collapsed="false">
      <c r="A79" s="8" t="s">
        <v>398</v>
      </c>
      <c r="B79" s="8" t="str">
        <f aca="false">IFERROR(INDEX('Source 2026'!$C:$C,MATCH($A79,'Source 2026'!$B:$B,0)),IFERROR(INDEX('Source 2025'!$C:$C,MATCH($A79,'Source 2025'!$B:$B,0)),""))</f>
        <v>סד אגודלי עם מוט תמיכה</v>
      </c>
      <c r="C79" s="9" t="n">
        <f aca="false">SUMIFS('Source 2025'!$T:$T,'Source 2025'!$B:$B,$A79,'Source 2025'!$A:$A,"Quantity (units)")</f>
        <v>0</v>
      </c>
      <c r="D79" s="9" t="n">
        <f aca="false">SUMIFS('Source 2026'!$T:$T,'Source 2026'!$B:$B,$A79,'Source 2026'!$A:$A,"Quantity (units)")</f>
        <v>32</v>
      </c>
      <c r="E79" s="9" t="n">
        <f aca="false">D79*$J$5</f>
        <v>40.4210526315789</v>
      </c>
      <c r="F79" s="9" t="n">
        <f aca="false">E79-C79</f>
        <v>40.4210526315789</v>
      </c>
      <c r="G79" s="11" t="str">
        <f aca="false">IF(AND(C79=0,E79=0),0,IF(C79=0,"New",(E79-C79)/C79))</f>
        <v>New</v>
      </c>
      <c r="H79" s="9" t="n">
        <f aca="false">SUMIFS('Source 2025'!$T:$T,'Source 2025'!$B:$B,$A79,'Source 2025'!$A:$A,"Amount (NIS)")</f>
        <v>0</v>
      </c>
      <c r="I79" s="9" t="n">
        <f aca="false">SUMIFS('Source 2026'!$T:$T,'Source 2026'!$B:$B,$A79,'Source 2026'!$A:$A,"Amount (NIS)")</f>
        <v>800</v>
      </c>
      <c r="J79" s="9" t="n">
        <f aca="false">I79*$J$5</f>
        <v>1010.52631578947</v>
      </c>
      <c r="K79" s="9" t="n">
        <f aca="false">J79-H79</f>
        <v>1010.52631578947</v>
      </c>
      <c r="L79" s="11" t="str">
        <f aca="false">IF(AND(H79=0,J79=0),0,IF(H79=0,"New",(J79-H79)/H79))</f>
        <v>New</v>
      </c>
    </row>
    <row r="80" customFormat="false" ht="15" hidden="false" customHeight="true" outlineLevel="0" collapsed="false">
      <c r="A80" s="8" t="s">
        <v>219</v>
      </c>
      <c r="B80" s="8" t="str">
        <f aca="false">IFERROR(INDEX('Source 2026'!$C:$C,MATCH($A80,'Source 2026'!$B:$B,0)),IFERROR(INDEX('Source 2025'!$C:$C,MATCH($A80,'Source 2025'!$B:$B,0)),""))</f>
        <v>מדבקה לשחרור לחץ 2 יח</v>
      </c>
      <c r="C80" s="9" t="n">
        <f aca="false">SUMIFS('Source 2025'!$T:$T,'Source 2025'!$B:$B,$A80,'Source 2025'!$A:$A,"Quantity (units)")</f>
        <v>0</v>
      </c>
      <c r="D80" s="9" t="n">
        <f aca="false">SUMIFS('Source 2026'!$T:$T,'Source 2026'!$B:$B,$A80,'Source 2026'!$A:$A,"Quantity (units)")</f>
        <v>36</v>
      </c>
      <c r="E80" s="9" t="n">
        <f aca="false">D80*$J$5</f>
        <v>45.4736842105263</v>
      </c>
      <c r="F80" s="9" t="n">
        <f aca="false">E80-C80</f>
        <v>45.4736842105263</v>
      </c>
      <c r="G80" s="11" t="str">
        <f aca="false">IF(AND(C80=0,E80=0),0,IF(C80=0,"New",(E80-C80)/C80))</f>
        <v>New</v>
      </c>
      <c r="H80" s="9" t="n">
        <f aca="false">SUMIFS('Source 2025'!$T:$T,'Source 2025'!$B:$B,$A80,'Source 2025'!$A:$A,"Amount (NIS)")</f>
        <v>0</v>
      </c>
      <c r="I80" s="9" t="n">
        <f aca="false">SUMIFS('Source 2026'!$T:$T,'Source 2026'!$B:$B,$A80,'Source 2026'!$A:$A,"Amount (NIS)")</f>
        <v>795.6</v>
      </c>
      <c r="J80" s="9" t="n">
        <f aca="false">I80*$J$5</f>
        <v>1004.96842105263</v>
      </c>
      <c r="K80" s="9" t="n">
        <f aca="false">J80-H80</f>
        <v>1004.96842105263</v>
      </c>
      <c r="L80" s="11" t="str">
        <f aca="false">IF(AND(H80=0,J80=0),0,IF(H80=0,"New",(J80-H80)/H80))</f>
        <v>New</v>
      </c>
    </row>
    <row r="81" customFormat="false" ht="15" hidden="false" customHeight="true" outlineLevel="0" collapsed="false">
      <c r="A81" s="8" t="s">
        <v>117</v>
      </c>
      <c r="B81" s="8" t="str">
        <f aca="false">IFERROR(INDEX('Source 2026'!$C:$C,MATCH($A81,'Source 2026'!$B:$B,0)),IFERROR(INDEX('Source 2025'!$C:$C,MATCH($A81,'Source 2025'!$B:$B,0)),""))</f>
        <v>טייפ קינזיולוגי</v>
      </c>
      <c r="C81" s="9" t="n">
        <f aca="false">SUMIFS('Source 2025'!$T:$T,'Source 2025'!$B:$B,$A81,'Source 2025'!$A:$A,"Quantity (units)")</f>
        <v>0</v>
      </c>
      <c r="D81" s="9" t="n">
        <f aca="false">SUMIFS('Source 2026'!$T:$T,'Source 2026'!$B:$B,$A81,'Source 2026'!$A:$A,"Quantity (units)")</f>
        <v>31</v>
      </c>
      <c r="E81" s="9" t="n">
        <f aca="false">D81*$J$5</f>
        <v>39.1578947368421</v>
      </c>
      <c r="F81" s="9" t="n">
        <f aca="false">E81-C81</f>
        <v>39.1578947368421</v>
      </c>
      <c r="G81" s="11" t="str">
        <f aca="false">IF(AND(C81=0,E81=0),0,IF(C81=0,"New",(E81-C81)/C81))</f>
        <v>New</v>
      </c>
      <c r="H81" s="9" t="n">
        <f aca="false">SUMIFS('Source 2025'!$T:$T,'Source 2025'!$B:$B,$A81,'Source 2025'!$A:$A,"Amount (NIS)")</f>
        <v>0</v>
      </c>
      <c r="I81" s="9" t="n">
        <f aca="false">SUMIFS('Source 2026'!$T:$T,'Source 2026'!$B:$B,$A81,'Source 2026'!$A:$A,"Amount (NIS)")</f>
        <v>775</v>
      </c>
      <c r="J81" s="9" t="n">
        <f aca="false">I81*$J$5</f>
        <v>978.947368421053</v>
      </c>
      <c r="K81" s="9" t="n">
        <f aca="false">J81-H81</f>
        <v>978.947368421053</v>
      </c>
      <c r="L81" s="11" t="str">
        <f aca="false">IF(AND(H81=0,J81=0),0,IF(H81=0,"New",(J81-H81)/H81))</f>
        <v>New</v>
      </c>
    </row>
    <row r="82" customFormat="false" ht="15" hidden="false" customHeight="true" outlineLevel="0" collapsed="false">
      <c r="A82" s="8" t="s">
        <v>235</v>
      </c>
      <c r="B82" s="8" t="str">
        <f aca="false">IFERROR(INDEX('Source 2026'!$C:$C,MATCH($A82,'Source 2026'!$B:$B,0)),IFERROR(INDEX('Source 2025'!$C:$C,MATCH($A82,'Source 2025'!$B:$B,0)),""))</f>
        <v>344-אבן טבעית להסרת עור קשה</v>
      </c>
      <c r="C82" s="9" t="n">
        <f aca="false">SUMIFS('Source 2025'!$T:$T,'Source 2025'!$B:$B,$A82,'Source 2025'!$A:$A,"Quantity (units)")</f>
        <v>0</v>
      </c>
      <c r="D82" s="9" t="n">
        <f aca="false">SUMIFS('Source 2026'!$T:$T,'Source 2026'!$B:$B,$A82,'Source 2026'!$A:$A,"Quantity (units)")</f>
        <v>138</v>
      </c>
      <c r="E82" s="9" t="n">
        <f aca="false">D82*$J$5</f>
        <v>174.315789473684</v>
      </c>
      <c r="F82" s="9" t="n">
        <f aca="false">E82-C82</f>
        <v>174.315789473684</v>
      </c>
      <c r="G82" s="11" t="str">
        <f aca="false">IF(AND(C82=0,E82=0),0,IF(C82=0,"New",(E82-C82)/C82))</f>
        <v>New</v>
      </c>
      <c r="H82" s="9" t="n">
        <f aca="false">SUMIFS('Source 2025'!$T:$T,'Source 2025'!$B:$B,$A82,'Source 2025'!$A:$A,"Amount (NIS)")</f>
        <v>0</v>
      </c>
      <c r="I82" s="9" t="n">
        <f aca="false">SUMIFS('Source 2026'!$T:$T,'Source 2026'!$B:$B,$A82,'Source 2026'!$A:$A,"Amount (NIS)")</f>
        <v>771.2</v>
      </c>
      <c r="J82" s="9" t="n">
        <f aca="false">I82*$J$5</f>
        <v>974.147368421053</v>
      </c>
      <c r="K82" s="9" t="n">
        <f aca="false">J82-H82</f>
        <v>974.147368421053</v>
      </c>
      <c r="L82" s="11" t="str">
        <f aca="false">IF(AND(H82=0,J82=0),0,IF(H82=0,"New",(J82-H82)/H82))</f>
        <v>New</v>
      </c>
    </row>
    <row r="83" customFormat="false" ht="15" hidden="false" customHeight="true" outlineLevel="0" collapsed="false">
      <c r="A83" s="8" t="s">
        <v>191</v>
      </c>
      <c r="B83" s="8" t="str">
        <f aca="false">IFERROR(INDEX('Source 2026'!$C:$C,MATCH($A83,'Source 2026'!$B:$B,0)),IFERROR(INDEX('Source 2025'!$C:$C,MATCH($A83,'Source 2025'!$B:$B,0)),""))</f>
        <v>35-38 גרב.כסף לסכרתים לבן</v>
      </c>
      <c r="C83" s="9" t="n">
        <f aca="false">SUMIFS('Source 2025'!$T:$T,'Source 2025'!$B:$B,$A83,'Source 2025'!$A:$A,"Quantity (units)")</f>
        <v>0</v>
      </c>
      <c r="D83" s="9" t="n">
        <f aca="false">SUMIFS('Source 2026'!$T:$T,'Source 2026'!$B:$B,$A83,'Source 2026'!$A:$A,"Quantity (units)")</f>
        <v>41</v>
      </c>
      <c r="E83" s="9" t="n">
        <f aca="false">D83*$J$5</f>
        <v>51.7894736842105</v>
      </c>
      <c r="F83" s="9" t="n">
        <f aca="false">E83-C83</f>
        <v>51.7894736842105</v>
      </c>
      <c r="G83" s="11" t="str">
        <f aca="false">IF(AND(C83=0,E83=0),0,IF(C83=0,"New",(E83-C83)/C83))</f>
        <v>New</v>
      </c>
      <c r="H83" s="9" t="n">
        <f aca="false">SUMIFS('Source 2025'!$T:$T,'Source 2025'!$B:$B,$A83,'Source 2025'!$A:$A,"Amount (NIS)")</f>
        <v>0</v>
      </c>
      <c r="I83" s="9" t="n">
        <f aca="false">SUMIFS('Source 2026'!$T:$T,'Source 2026'!$B:$B,$A83,'Source 2026'!$A:$A,"Amount (NIS)")</f>
        <v>754.4</v>
      </c>
      <c r="J83" s="9" t="n">
        <f aca="false">I83*$J$5</f>
        <v>952.926315789474</v>
      </c>
      <c r="K83" s="9" t="n">
        <f aca="false">J83-H83</f>
        <v>952.926315789474</v>
      </c>
      <c r="L83" s="11" t="str">
        <f aca="false">IF(AND(H83=0,J83=0),0,IF(H83=0,"New",(J83-H83)/H83))</f>
        <v>New</v>
      </c>
    </row>
    <row r="84" customFormat="false" ht="15" hidden="false" customHeight="true" outlineLevel="0" collapsed="false">
      <c r="A84" s="8" t="s">
        <v>207</v>
      </c>
      <c r="B84" s="8" t="str">
        <f aca="false">IFERROR(INDEX('Source 2026'!$C:$C,MATCH($A84,'Source 2026'!$B:$B,0)),IFERROR(INDEX('Source 2025'!$C:$C,MATCH($A84,'Source 2025'!$B:$B,0)),""))</f>
        <v>רפידת נוחות-זוג</v>
      </c>
      <c r="C84" s="9" t="n">
        <f aca="false">SUMIFS('Source 2025'!$T:$T,'Source 2025'!$B:$B,$A84,'Source 2025'!$A:$A,"Quantity (units)")</f>
        <v>0</v>
      </c>
      <c r="D84" s="9" t="n">
        <f aca="false">SUMIFS('Source 2026'!$T:$T,'Source 2026'!$B:$B,$A84,'Source 2026'!$A:$A,"Quantity (units)")</f>
        <v>100</v>
      </c>
      <c r="E84" s="9" t="n">
        <f aca="false">D84*$J$5</f>
        <v>126.315789473684</v>
      </c>
      <c r="F84" s="9" t="n">
        <f aca="false">E84-C84</f>
        <v>126.315789473684</v>
      </c>
      <c r="G84" s="11" t="str">
        <f aca="false">IF(AND(C84=0,E84=0),0,IF(C84=0,"New",(E84-C84)/C84))</f>
        <v>New</v>
      </c>
      <c r="H84" s="9" t="n">
        <f aca="false">SUMIFS('Source 2025'!$T:$T,'Source 2025'!$B:$B,$A84,'Source 2025'!$A:$A,"Amount (NIS)")</f>
        <v>0</v>
      </c>
      <c r="I84" s="9" t="n">
        <f aca="false">SUMIFS('Source 2026'!$T:$T,'Source 2026'!$B:$B,$A84,'Source 2026'!$A:$A,"Amount (NIS)")</f>
        <v>752.4</v>
      </c>
      <c r="J84" s="9" t="n">
        <f aca="false">I84*$J$5</f>
        <v>950.4</v>
      </c>
      <c r="K84" s="9" t="n">
        <f aca="false">J84-H84</f>
        <v>950.4</v>
      </c>
      <c r="L84" s="11" t="str">
        <f aca="false">IF(AND(H84=0,J84=0),0,IF(H84=0,"New",(J84-H84)/H84))</f>
        <v>New</v>
      </c>
    </row>
    <row r="85" customFormat="false" ht="15" hidden="false" customHeight="true" outlineLevel="0" collapsed="false">
      <c r="A85" s="8" t="s">
        <v>287</v>
      </c>
      <c r="B85" s="8" t="str">
        <f aca="false">IFERROR(INDEX('Source 2026'!$C:$C,MATCH($A85,'Source 2026'!$B:$B,0)),IFERROR(INDEX('Source 2025'!$C:$C,MATCH($A85,'Source 2025'!$B:$B,0)),""))</f>
        <v>פיקה לברך</v>
      </c>
      <c r="C85" s="9" t="n">
        <f aca="false">SUMIFS('Source 2025'!$T:$T,'Source 2025'!$B:$B,$A85,'Source 2025'!$A:$A,"Quantity (units)")</f>
        <v>0</v>
      </c>
      <c r="D85" s="9" t="n">
        <f aca="false">SUMIFS('Source 2026'!$T:$T,'Source 2026'!$B:$B,$A85,'Source 2026'!$A:$A,"Quantity (units)")</f>
        <v>21</v>
      </c>
      <c r="E85" s="9" t="n">
        <f aca="false">D85*$J$5</f>
        <v>26.5263157894737</v>
      </c>
      <c r="F85" s="9" t="n">
        <f aca="false">E85-C85</f>
        <v>26.5263157894737</v>
      </c>
      <c r="G85" s="11" t="str">
        <f aca="false">IF(AND(C85=0,E85=0),0,IF(C85=0,"New",(E85-C85)/C85))</f>
        <v>New</v>
      </c>
      <c r="H85" s="9" t="n">
        <f aca="false">SUMIFS('Source 2025'!$T:$T,'Source 2025'!$B:$B,$A85,'Source 2025'!$A:$A,"Amount (NIS)")</f>
        <v>0</v>
      </c>
      <c r="I85" s="9" t="n">
        <f aca="false">SUMIFS('Source 2026'!$T:$T,'Source 2026'!$B:$B,$A85,'Source 2026'!$A:$A,"Amount (NIS)")</f>
        <v>749.1</v>
      </c>
      <c r="J85" s="9" t="n">
        <f aca="false">I85*$J$5</f>
        <v>946.231578947368</v>
      </c>
      <c r="K85" s="9" t="n">
        <f aca="false">J85-H85</f>
        <v>946.231578947368</v>
      </c>
      <c r="L85" s="11" t="str">
        <f aca="false">IF(AND(H85=0,J85=0),0,IF(H85=0,"New",(J85-H85)/H85))</f>
        <v>New</v>
      </c>
    </row>
    <row r="86" customFormat="false" ht="15" hidden="false" customHeight="true" outlineLevel="0" collapsed="false">
      <c r="A86" s="8" t="s">
        <v>256</v>
      </c>
      <c r="B86" s="8" t="str">
        <f aca="false">IFERROR(INDEX('Source 2026'!$C:$C,MATCH($A86,'Source 2026'!$B:$B,0)),IFERROR(INDEX('Source 2025'!$C:$C,MATCH($A86,'Source 2025'!$B:$B,0)),""))</f>
        <v>בננה לתמיכת אצבעות ז.כרית</v>
      </c>
      <c r="C86" s="9" t="n">
        <f aca="false">SUMIFS('Source 2025'!$T:$T,'Source 2025'!$B:$B,$A86,'Source 2025'!$A:$A,"Quantity (units)")</f>
        <v>0</v>
      </c>
      <c r="D86" s="9" t="n">
        <f aca="false">SUMIFS('Source 2026'!$T:$T,'Source 2026'!$B:$B,$A86,'Source 2026'!$A:$A,"Quantity (units)")</f>
        <v>41</v>
      </c>
      <c r="E86" s="9" t="n">
        <f aca="false">D86*$J$5</f>
        <v>51.7894736842105</v>
      </c>
      <c r="F86" s="9" t="n">
        <f aca="false">E86-C86</f>
        <v>51.7894736842105</v>
      </c>
      <c r="G86" s="11" t="str">
        <f aca="false">IF(AND(C86=0,E86=0),0,IF(C86=0,"New",(E86-C86)/C86))</f>
        <v>New</v>
      </c>
      <c r="H86" s="9" t="n">
        <f aca="false">SUMIFS('Source 2025'!$T:$T,'Source 2025'!$B:$B,$A86,'Source 2025'!$A:$A,"Amount (NIS)")</f>
        <v>0</v>
      </c>
      <c r="I86" s="9" t="n">
        <f aca="false">SUMIFS('Source 2026'!$T:$T,'Source 2026'!$B:$B,$A86,'Source 2026'!$A:$A,"Amount (NIS)")</f>
        <v>668</v>
      </c>
      <c r="J86" s="9" t="n">
        <f aca="false">I86*$J$5</f>
        <v>843.789473684211</v>
      </c>
      <c r="K86" s="9" t="n">
        <f aca="false">J86-H86</f>
        <v>843.789473684211</v>
      </c>
      <c r="L86" s="11" t="str">
        <f aca="false">IF(AND(H86=0,J86=0),0,IF(H86=0,"New",(J86-H86)/H86))</f>
        <v>New</v>
      </c>
    </row>
    <row r="87" customFormat="false" ht="15" hidden="false" customHeight="true" outlineLevel="0" collapsed="false">
      <c r="A87" s="8" t="s">
        <v>281</v>
      </c>
      <c r="B87" s="8" t="str">
        <f aca="false">IFERROR(INDEX('Source 2026'!$C:$C,MATCH($A87,'Source 2026'!$B:$B,0)),IFERROR(INDEX('Source 2025'!$C:$C,MATCH($A87,'Source 2025'!$B:$B,0)),""))</f>
        <v>סד לקרסול עם כריות אויר</v>
      </c>
      <c r="C87" s="9" t="n">
        <f aca="false">SUMIFS('Source 2025'!$T:$T,'Source 2025'!$B:$B,$A87,'Source 2025'!$A:$A,"Quantity (units)")</f>
        <v>0</v>
      </c>
      <c r="D87" s="9" t="n">
        <f aca="false">SUMIFS('Source 2026'!$T:$T,'Source 2026'!$B:$B,$A87,'Source 2026'!$A:$A,"Quantity (units)")</f>
        <v>7</v>
      </c>
      <c r="E87" s="9" t="n">
        <f aca="false">D87*$J$5</f>
        <v>8.84210526315789</v>
      </c>
      <c r="F87" s="9" t="n">
        <f aca="false">E87-C87</f>
        <v>8.84210526315789</v>
      </c>
      <c r="G87" s="11" t="str">
        <f aca="false">IF(AND(C87=0,E87=0),0,IF(C87=0,"New",(E87-C87)/C87))</f>
        <v>New</v>
      </c>
      <c r="H87" s="9" t="n">
        <f aca="false">SUMIFS('Source 2025'!$T:$T,'Source 2025'!$B:$B,$A87,'Source 2025'!$A:$A,"Amount (NIS)")</f>
        <v>0</v>
      </c>
      <c r="I87" s="9" t="n">
        <f aca="false">SUMIFS('Source 2026'!$T:$T,'Source 2026'!$B:$B,$A87,'Source 2026'!$A:$A,"Amount (NIS)")</f>
        <v>632.8</v>
      </c>
      <c r="J87" s="9" t="n">
        <f aca="false">I87*$J$5</f>
        <v>799.326315789474</v>
      </c>
      <c r="K87" s="9" t="n">
        <f aca="false">J87-H87</f>
        <v>799.326315789474</v>
      </c>
      <c r="L87" s="11" t="str">
        <f aca="false">IF(AND(H87=0,J87=0),0,IF(H87=0,"New",(J87-H87)/H87))</f>
        <v>New</v>
      </c>
    </row>
    <row r="88" customFormat="false" ht="15" hidden="false" customHeight="true" outlineLevel="0" collapsed="false">
      <c r="A88" s="8" t="s">
        <v>249</v>
      </c>
      <c r="B88" s="8" t="str">
        <f aca="false">IFERROR(INDEX('Source 2026'!$C:$C,MATCH($A88,'Source 2026'!$B:$B,0)),IFERROR(INDEX('Source 2025'!$C:$C,MATCH($A88,'Source 2025'!$B:$B,0)),""))</f>
        <v>מפריד הלוקס</v>
      </c>
      <c r="C88" s="9" t="n">
        <f aca="false">SUMIFS('Source 2025'!$T:$T,'Source 2025'!$B:$B,$A88,'Source 2025'!$A:$A,"Quantity (units)")</f>
        <v>0</v>
      </c>
      <c r="D88" s="9" t="n">
        <f aca="false">SUMIFS('Source 2026'!$T:$T,'Source 2026'!$B:$B,$A88,'Source 2026'!$A:$A,"Quantity (units)")</f>
        <v>16</v>
      </c>
      <c r="E88" s="9" t="n">
        <f aca="false">D88*$J$5</f>
        <v>20.2105263157895</v>
      </c>
      <c r="F88" s="9" t="n">
        <f aca="false">E88-C88</f>
        <v>20.2105263157895</v>
      </c>
      <c r="G88" s="11" t="str">
        <f aca="false">IF(AND(C88=0,E88=0),0,IF(C88=0,"New",(E88-C88)/C88))</f>
        <v>New</v>
      </c>
      <c r="H88" s="9" t="n">
        <f aca="false">SUMIFS('Source 2025'!$T:$T,'Source 2025'!$B:$B,$A88,'Source 2025'!$A:$A,"Amount (NIS)")</f>
        <v>0</v>
      </c>
      <c r="I88" s="9" t="n">
        <f aca="false">SUMIFS('Source 2026'!$T:$T,'Source 2026'!$B:$B,$A88,'Source 2026'!$A:$A,"Amount (NIS)")</f>
        <v>619.2</v>
      </c>
      <c r="J88" s="9" t="n">
        <f aca="false">I88*$J$5</f>
        <v>782.147368421053</v>
      </c>
      <c r="K88" s="9" t="n">
        <f aca="false">J88-H88</f>
        <v>782.147368421053</v>
      </c>
      <c r="L88" s="11" t="str">
        <f aca="false">IF(AND(H88=0,J88=0),0,IF(H88=0,"New",(J88-H88)/H88))</f>
        <v>New</v>
      </c>
    </row>
    <row r="89" customFormat="false" ht="15" hidden="false" customHeight="true" outlineLevel="0" collapsed="false">
      <c r="A89" s="8" t="s">
        <v>244</v>
      </c>
      <c r="B89" s="8" t="str">
        <f aca="false">IFERROR(INDEX('Source 2026'!$C:$C,MATCH($A89,'Source 2026'!$B:$B,0)),IFERROR(INDEX('Source 2025'!$C:$C,MATCH($A89,'Source 2025'!$B:$B,0)),""))</f>
        <v>0 כרית חום וקור</v>
      </c>
      <c r="C89" s="9" t="n">
        <f aca="false">SUMIFS('Source 2025'!$T:$T,'Source 2025'!$B:$B,$A89,'Source 2025'!$A:$A,"Quantity (units)")</f>
        <v>0</v>
      </c>
      <c r="D89" s="9" t="n">
        <f aca="false">SUMIFS('Source 2026'!$T:$T,'Source 2026'!$B:$B,$A89,'Source 2026'!$A:$A,"Quantity (units)")</f>
        <v>18</v>
      </c>
      <c r="E89" s="9" t="n">
        <f aca="false">D89*$J$5</f>
        <v>22.7368421052632</v>
      </c>
      <c r="F89" s="9" t="n">
        <f aca="false">E89-C89</f>
        <v>22.7368421052632</v>
      </c>
      <c r="G89" s="11" t="str">
        <f aca="false">IF(AND(C89=0,E89=0),0,IF(C89=0,"New",(E89-C89)/C89))</f>
        <v>New</v>
      </c>
      <c r="H89" s="9" t="n">
        <f aca="false">SUMIFS('Source 2025'!$T:$T,'Source 2025'!$B:$B,$A89,'Source 2025'!$A:$A,"Amount (NIS)")</f>
        <v>0</v>
      </c>
      <c r="I89" s="9" t="n">
        <f aca="false">SUMIFS('Source 2026'!$T:$T,'Source 2026'!$B:$B,$A89,'Source 2026'!$A:$A,"Amount (NIS)")</f>
        <v>583.7</v>
      </c>
      <c r="J89" s="9" t="n">
        <f aca="false">I89*$J$5</f>
        <v>737.305263157895</v>
      </c>
      <c r="K89" s="9" t="n">
        <f aca="false">J89-H89</f>
        <v>737.305263157895</v>
      </c>
      <c r="L89" s="11" t="str">
        <f aca="false">IF(AND(H89=0,J89=0),0,IF(H89=0,"New",(J89-H89)/H89))</f>
        <v>New</v>
      </c>
    </row>
    <row r="90" customFormat="false" ht="15" hidden="false" customHeight="true" outlineLevel="0" collapsed="false">
      <c r="A90" s="8" t="s">
        <v>155</v>
      </c>
      <c r="B90" s="8" t="str">
        <f aca="false">IFERROR(INDEX('Source 2026'!$C:$C,MATCH($A90,'Source 2026'!$B:$B,0)),IFERROR(INDEX('Source 2025'!$C:$C,MATCH($A90,'Source 2025'!$B:$B,0)),""))</f>
        <v>גרב.כסף לסכרתים שחור35-38</v>
      </c>
      <c r="C90" s="9" t="n">
        <f aca="false">SUMIFS('Source 2025'!$T:$T,'Source 2025'!$B:$B,$A90,'Source 2025'!$A:$A,"Quantity (units)")</f>
        <v>0</v>
      </c>
      <c r="D90" s="9" t="n">
        <f aca="false">SUMIFS('Source 2026'!$T:$T,'Source 2026'!$B:$B,$A90,'Source 2026'!$A:$A,"Quantity (units)")</f>
        <v>26</v>
      </c>
      <c r="E90" s="9" t="n">
        <f aca="false">D90*$J$5</f>
        <v>32.8421052631579</v>
      </c>
      <c r="F90" s="9" t="n">
        <f aca="false">E90-C90</f>
        <v>32.8421052631579</v>
      </c>
      <c r="G90" s="11" t="str">
        <f aca="false">IF(AND(C90=0,E90=0),0,IF(C90=0,"New",(E90-C90)/C90))</f>
        <v>New</v>
      </c>
      <c r="H90" s="9" t="n">
        <f aca="false">SUMIFS('Source 2025'!$T:$T,'Source 2025'!$B:$B,$A90,'Source 2025'!$A:$A,"Amount (NIS)")</f>
        <v>0</v>
      </c>
      <c r="I90" s="9" t="n">
        <f aca="false">SUMIFS('Source 2026'!$T:$T,'Source 2026'!$B:$B,$A90,'Source 2026'!$A:$A,"Amount (NIS)")</f>
        <v>578.2</v>
      </c>
      <c r="J90" s="9" t="n">
        <f aca="false">I90*$J$5</f>
        <v>730.357894736842</v>
      </c>
      <c r="K90" s="9" t="n">
        <f aca="false">J90-H90</f>
        <v>730.357894736842</v>
      </c>
      <c r="L90" s="11" t="str">
        <f aca="false">IF(AND(H90=0,J90=0),0,IF(H90=0,"New",(J90-H90)/H90))</f>
        <v>New</v>
      </c>
    </row>
    <row r="91" customFormat="false" ht="15" hidden="false" customHeight="true" outlineLevel="0" collapsed="false">
      <c r="A91" s="8" t="s">
        <v>285</v>
      </c>
      <c r="B91" s="8" t="str">
        <f aca="false">IFERROR(INDEX('Source 2026'!$C:$C,MATCH($A91,'Source 2026'!$B:$B,0)),IFERROR(INDEX('Source 2025'!$C:$C,MATCH($A91,'Source 2025'!$B:$B,0)),""))</f>
        <v>S ימין CTS כפפות</v>
      </c>
      <c r="C91" s="9" t="n">
        <f aca="false">SUMIFS('Source 2025'!$T:$T,'Source 2025'!$B:$B,$A91,'Source 2025'!$A:$A,"Quantity (units)")</f>
        <v>0</v>
      </c>
      <c r="D91" s="9" t="n">
        <f aca="false">SUMIFS('Source 2026'!$T:$T,'Source 2026'!$B:$B,$A91,'Source 2026'!$A:$A,"Quantity (units)")</f>
        <v>8</v>
      </c>
      <c r="E91" s="9" t="n">
        <f aca="false">D91*$J$5</f>
        <v>10.1052631578947</v>
      </c>
      <c r="F91" s="9" t="n">
        <f aca="false">E91-C91</f>
        <v>10.1052631578947</v>
      </c>
      <c r="G91" s="11" t="str">
        <f aca="false">IF(AND(C91=0,E91=0),0,IF(C91=0,"New",(E91-C91)/C91))</f>
        <v>New</v>
      </c>
      <c r="H91" s="9" t="n">
        <f aca="false">SUMIFS('Source 2025'!$T:$T,'Source 2025'!$B:$B,$A91,'Source 2025'!$A:$A,"Amount (NIS)")</f>
        <v>0</v>
      </c>
      <c r="I91" s="9" t="n">
        <f aca="false">SUMIFS('Source 2026'!$T:$T,'Source 2026'!$B:$B,$A91,'Source 2026'!$A:$A,"Amount (NIS)")</f>
        <v>568</v>
      </c>
      <c r="J91" s="9" t="n">
        <f aca="false">I91*$J$5</f>
        <v>717.473684210526</v>
      </c>
      <c r="K91" s="9" t="n">
        <f aca="false">J91-H91</f>
        <v>717.473684210526</v>
      </c>
      <c r="L91" s="11" t="str">
        <f aca="false">IF(AND(H91=0,J91=0),0,IF(H91=0,"New",(J91-H91)/H91))</f>
        <v>New</v>
      </c>
    </row>
    <row r="92" customFormat="false" ht="15" hidden="false" customHeight="true" outlineLevel="0" collapsed="false">
      <c r="A92" s="8" t="s">
        <v>201</v>
      </c>
      <c r="B92" s="8" t="str">
        <f aca="false">IFERROR(INDEX('Source 2026'!$C:$C,MATCH($A92,'Source 2026'!$B:$B,0)),IFERROR(INDEX('Source 2025'!$C:$C,MATCH($A92,'Source 2025'!$B:$B,0)),""))</f>
        <v>9 מ""ס להתאמהX5 מדבקה גדולה</v>
      </c>
      <c r="C92" s="9" t="n">
        <f aca="false">SUMIFS('Source 2025'!$T:$T,'Source 2025'!$B:$B,$A92,'Source 2025'!$A:$A,"Quantity (units)")</f>
        <v>0</v>
      </c>
      <c r="D92" s="9" t="n">
        <f aca="false">SUMIFS('Source 2026'!$T:$T,'Source 2026'!$B:$B,$A92,'Source 2026'!$A:$A,"Quantity (units)")</f>
        <v>43</v>
      </c>
      <c r="E92" s="9" t="n">
        <f aca="false">D92*$J$5</f>
        <v>54.3157894736842</v>
      </c>
      <c r="F92" s="9" t="n">
        <f aca="false">E92-C92</f>
        <v>54.3157894736842</v>
      </c>
      <c r="G92" s="11" t="str">
        <f aca="false">IF(AND(C92=0,E92=0),0,IF(C92=0,"New",(E92-C92)/C92))</f>
        <v>New</v>
      </c>
      <c r="H92" s="9" t="n">
        <f aca="false">SUMIFS('Source 2025'!$T:$T,'Source 2025'!$B:$B,$A92,'Source 2025'!$A:$A,"Amount (NIS)")</f>
        <v>0</v>
      </c>
      <c r="I92" s="9" t="n">
        <f aca="false">SUMIFS('Source 2026'!$T:$T,'Source 2026'!$B:$B,$A92,'Source 2026'!$A:$A,"Amount (NIS)")</f>
        <v>556.9</v>
      </c>
      <c r="J92" s="9" t="n">
        <f aca="false">I92*$J$5</f>
        <v>703.452631578947</v>
      </c>
      <c r="K92" s="9" t="n">
        <f aca="false">J92-H92</f>
        <v>703.452631578947</v>
      </c>
      <c r="L92" s="11" t="str">
        <f aca="false">IF(AND(H92=0,J92=0),0,IF(H92=0,"New",(J92-H92)/H92))</f>
        <v>New</v>
      </c>
    </row>
    <row r="93" customFormat="false" ht="15" hidden="false" customHeight="true" outlineLevel="0" collapsed="false">
      <c r="A93" s="8" t="s">
        <v>232</v>
      </c>
      <c r="B93" s="8" t="str">
        <f aca="false">IFERROR(INDEX('Source 2026'!$C:$C,MATCH($A93,'Source 2026'!$B:$B,0)),IFERROR(INDEX('Source 2025'!$C:$C,MATCH($A93,'Source 2025'!$B:$B,0)),""))</f>
        <v>0 חגורה למנותחי בית חזה</v>
      </c>
      <c r="C93" s="9" t="n">
        <f aca="false">SUMIFS('Source 2025'!$T:$T,'Source 2025'!$B:$B,$A93,'Source 2025'!$A:$A,"Quantity (units)")</f>
        <v>0</v>
      </c>
      <c r="D93" s="9" t="n">
        <f aca="false">SUMIFS('Source 2026'!$T:$T,'Source 2026'!$B:$B,$A93,'Source 2026'!$A:$A,"Quantity (units)")</f>
        <v>3</v>
      </c>
      <c r="E93" s="9" t="n">
        <f aca="false">D93*$J$5</f>
        <v>3.78947368421053</v>
      </c>
      <c r="F93" s="9" t="n">
        <f aca="false">E93-C93</f>
        <v>3.78947368421053</v>
      </c>
      <c r="G93" s="11" t="str">
        <f aca="false">IF(AND(C93=0,E93=0),0,IF(C93=0,"New",(E93-C93)/C93))</f>
        <v>New</v>
      </c>
      <c r="H93" s="9" t="n">
        <f aca="false">SUMIFS('Source 2025'!$T:$T,'Source 2025'!$B:$B,$A93,'Source 2025'!$A:$A,"Amount (NIS)")</f>
        <v>0</v>
      </c>
      <c r="I93" s="9" t="n">
        <f aca="false">SUMIFS('Source 2026'!$T:$T,'Source 2026'!$B:$B,$A93,'Source 2026'!$A:$A,"Amount (NIS)")</f>
        <v>480</v>
      </c>
      <c r="J93" s="9" t="n">
        <f aca="false">I93*$J$5</f>
        <v>606.315789473684</v>
      </c>
      <c r="K93" s="9" t="n">
        <f aca="false">J93-H93</f>
        <v>606.315789473684</v>
      </c>
      <c r="L93" s="11" t="str">
        <f aca="false">IF(AND(H93=0,J93=0),0,IF(H93=0,"New",(J93-H93)/H93))</f>
        <v>New</v>
      </c>
    </row>
    <row r="94" customFormat="false" ht="15" hidden="false" customHeight="true" outlineLevel="0" collapsed="false">
      <c r="A94" s="8" t="s">
        <v>128</v>
      </c>
      <c r="B94" s="8" t="str">
        <f aca="false">IFERROR(INDEX('Source 2026'!$C:$C,MATCH($A94,'Source 2026'!$B:$B,0)),IFERROR(INDEX('Source 2025'!$C:$C,MATCH($A94,'Source 2025'!$B:$B,0)),""))</f>
        <v>גרב.כסף לסכרתים שחור35-38</v>
      </c>
      <c r="C94" s="9" t="n">
        <f aca="false">SUMIFS('Source 2025'!$T:$T,'Source 2025'!$B:$B,$A94,'Source 2025'!$A:$A,"Quantity (units)")</f>
        <v>0</v>
      </c>
      <c r="D94" s="9" t="n">
        <f aca="false">SUMIFS('Source 2026'!$T:$T,'Source 2026'!$B:$B,$A94,'Source 2026'!$A:$A,"Quantity (units)")</f>
        <v>25</v>
      </c>
      <c r="E94" s="9" t="n">
        <f aca="false">D94*$J$5</f>
        <v>31.5789473684211</v>
      </c>
      <c r="F94" s="9" t="n">
        <f aca="false">E94-C94</f>
        <v>31.5789473684211</v>
      </c>
      <c r="G94" s="11" t="str">
        <f aca="false">IF(AND(C94=0,E94=0),0,IF(C94=0,"New",(E94-C94)/C94))</f>
        <v>New</v>
      </c>
      <c r="H94" s="9" t="n">
        <f aca="false">SUMIFS('Source 2025'!$T:$T,'Source 2025'!$B:$B,$A94,'Source 2025'!$A:$A,"Amount (NIS)")</f>
        <v>0</v>
      </c>
      <c r="I94" s="9" t="n">
        <f aca="false">SUMIFS('Source 2026'!$T:$T,'Source 2026'!$B:$B,$A94,'Source 2026'!$A:$A,"Amount (NIS)")</f>
        <v>460</v>
      </c>
      <c r="J94" s="9" t="n">
        <f aca="false">I94*$J$5</f>
        <v>581.052631578947</v>
      </c>
      <c r="K94" s="9" t="n">
        <f aca="false">J94-H94</f>
        <v>581.052631578947</v>
      </c>
      <c r="L94" s="11" t="str">
        <f aca="false">IF(AND(H94=0,J94=0),0,IF(H94=0,"New",(J94-H94)/H94))</f>
        <v>New</v>
      </c>
    </row>
    <row r="95" customFormat="false" ht="15" hidden="false" customHeight="true" outlineLevel="0" collapsed="false">
      <c r="A95" s="8" t="s">
        <v>101</v>
      </c>
      <c r="B95" s="8" t="str">
        <f aca="false">IFERROR(INDEX('Source 2026'!$C:$C,MATCH($A95,'Source 2026'!$B:$B,0)),IFERROR(INDEX('Source 2025'!$C:$C,MATCH($A95,'Source 2025'!$B:$B,0)),""))</f>
        <v>תרסיס דאודורנט לכף הרגל</v>
      </c>
      <c r="C95" s="9" t="n">
        <f aca="false">SUMIFS('Source 2025'!$T:$T,'Source 2025'!$B:$B,$A95,'Source 2025'!$A:$A,"Quantity (units)")</f>
        <v>0</v>
      </c>
      <c r="D95" s="9" t="n">
        <f aca="false">SUMIFS('Source 2026'!$T:$T,'Source 2026'!$B:$B,$A95,'Source 2026'!$A:$A,"Quantity (units)")</f>
        <v>29</v>
      </c>
      <c r="E95" s="9" t="n">
        <f aca="false">D95*$J$5</f>
        <v>36.6315789473684</v>
      </c>
      <c r="F95" s="9" t="n">
        <f aca="false">E95-C95</f>
        <v>36.6315789473684</v>
      </c>
      <c r="G95" s="11" t="str">
        <f aca="false">IF(AND(C95=0,E95=0),0,IF(C95=0,"New",(E95-C95)/C95))</f>
        <v>New</v>
      </c>
      <c r="H95" s="9" t="n">
        <f aca="false">SUMIFS('Source 2025'!$T:$T,'Source 2025'!$B:$B,$A95,'Source 2025'!$A:$A,"Amount (NIS)")</f>
        <v>0</v>
      </c>
      <c r="I95" s="9" t="n">
        <f aca="false">SUMIFS('Source 2026'!$T:$T,'Source 2026'!$B:$B,$A95,'Source 2026'!$A:$A,"Amount (NIS)")</f>
        <v>429.2</v>
      </c>
      <c r="J95" s="9" t="n">
        <f aca="false">I95*$J$5</f>
        <v>542.147368421053</v>
      </c>
      <c r="K95" s="9" t="n">
        <f aca="false">J95-H95</f>
        <v>542.147368421053</v>
      </c>
      <c r="L95" s="11" t="str">
        <f aca="false">IF(AND(H95=0,J95=0),0,IF(H95=0,"New",(J95-H95)/H95))</f>
        <v>New</v>
      </c>
    </row>
    <row r="96" customFormat="false" ht="15" hidden="false" customHeight="true" outlineLevel="0" collapsed="false">
      <c r="A96" s="8" t="s">
        <v>190</v>
      </c>
      <c r="B96" s="8" t="str">
        <f aca="false">IFERROR(INDEX('Source 2026'!$C:$C,MATCH($A96,'Source 2026'!$B:$B,0)),IFERROR(INDEX('Source 2025'!$C:$C,MATCH($A96,'Source 2025'!$B:$B,0)),""))</f>
        <v>לחץ א.הבוניון</v>
      </c>
      <c r="C96" s="9" t="n">
        <f aca="false">SUMIFS('Source 2025'!$T:$T,'Source 2025'!$B:$B,$A96,'Source 2025'!$A:$A,"Quantity (units)")</f>
        <v>0</v>
      </c>
      <c r="D96" s="9" t="n">
        <f aca="false">SUMIFS('Source 2026'!$T:$T,'Source 2026'!$B:$B,$A96,'Source 2026'!$A:$A,"Quantity (units)")</f>
        <v>31</v>
      </c>
      <c r="E96" s="9" t="n">
        <f aca="false">D96*$J$5</f>
        <v>39.1578947368421</v>
      </c>
      <c r="F96" s="9" t="n">
        <f aca="false">E96-C96</f>
        <v>39.1578947368421</v>
      </c>
      <c r="G96" s="11" t="str">
        <f aca="false">IF(AND(C96=0,E96=0),0,IF(C96=0,"New",(E96-C96)/C96))</f>
        <v>New</v>
      </c>
      <c r="H96" s="9" t="n">
        <f aca="false">SUMIFS('Source 2025'!$T:$T,'Source 2025'!$B:$B,$A96,'Source 2025'!$A:$A,"Amount (NIS)")</f>
        <v>0</v>
      </c>
      <c r="I96" s="9" t="n">
        <f aca="false">SUMIFS('Source 2026'!$T:$T,'Source 2026'!$B:$B,$A96,'Source 2026'!$A:$A,"Amount (NIS)")</f>
        <v>404.8</v>
      </c>
      <c r="J96" s="9" t="n">
        <f aca="false">I96*$J$5</f>
        <v>511.326315789474</v>
      </c>
      <c r="K96" s="9" t="n">
        <f aca="false">J96-H96</f>
        <v>511.326315789474</v>
      </c>
      <c r="L96" s="11" t="str">
        <f aca="false">IF(AND(H96=0,J96=0),0,IF(H96=0,"New",(J96-H96)/H96))</f>
        <v>New</v>
      </c>
    </row>
    <row r="97" customFormat="false" ht="15" hidden="false" customHeight="true" outlineLevel="0" collapsed="false">
      <c r="A97" s="8" t="s">
        <v>202</v>
      </c>
      <c r="B97" s="8" t="str">
        <f aca="false">IFERROR(INDEX('Source 2026'!$C:$C,MATCH($A97,'Source 2026'!$B:$B,0)),IFERROR(INDEX('Source 2025'!$C:$C,MATCH($A97,'Source 2025'!$B:$B,0)),""))</f>
        <v>רפידת בולמת זעזועים -זוג</v>
      </c>
      <c r="C97" s="9" t="n">
        <f aca="false">SUMIFS('Source 2025'!$T:$T,'Source 2025'!$B:$B,$A97,'Source 2025'!$A:$A,"Quantity (units)")</f>
        <v>0</v>
      </c>
      <c r="D97" s="9" t="n">
        <f aca="false">SUMIFS('Source 2026'!$T:$T,'Source 2026'!$B:$B,$A97,'Source 2026'!$A:$A,"Quantity (units)")</f>
        <v>44</v>
      </c>
      <c r="E97" s="9" t="n">
        <f aca="false">D97*$J$5</f>
        <v>55.5789473684211</v>
      </c>
      <c r="F97" s="9" t="n">
        <f aca="false">E97-C97</f>
        <v>55.5789473684211</v>
      </c>
      <c r="G97" s="11" t="str">
        <f aca="false">IF(AND(C97=0,E97=0),0,IF(C97=0,"New",(E97-C97)/C97))</f>
        <v>New</v>
      </c>
      <c r="H97" s="9" t="n">
        <f aca="false">SUMIFS('Source 2025'!$T:$T,'Source 2025'!$B:$B,$A97,'Source 2025'!$A:$A,"Amount (NIS)")</f>
        <v>0</v>
      </c>
      <c r="I97" s="9" t="n">
        <f aca="false">SUMIFS('Source 2026'!$T:$T,'Source 2026'!$B:$B,$A97,'Source 2026'!$A:$A,"Amount (NIS)")</f>
        <v>400.2</v>
      </c>
      <c r="J97" s="9" t="n">
        <f aca="false">I97*$J$5</f>
        <v>505.515789473684</v>
      </c>
      <c r="K97" s="9" t="n">
        <f aca="false">J97-H97</f>
        <v>505.515789473684</v>
      </c>
      <c r="L97" s="11" t="str">
        <f aca="false">IF(AND(H97=0,J97=0),0,IF(H97=0,"New",(J97-H97)/H97))</f>
        <v>New</v>
      </c>
    </row>
    <row r="98" customFormat="false" ht="15" hidden="false" customHeight="true" outlineLevel="0" collapsed="false">
      <c r="A98" s="8" t="s">
        <v>168</v>
      </c>
      <c r="B98" s="8" t="str">
        <f aca="false">IFERROR(INDEX('Source 2026'!$C:$C,MATCH($A98,'Source 2026'!$B:$B,0)),IFERROR(INDEX('Source 2025'!$C:$C,MATCH($A98,'Source 2025'!$B:$B,0)),""))</f>
        <v>S מגן ירך</v>
      </c>
      <c r="C98" s="9" t="n">
        <f aca="false">SUMIFS('Source 2025'!$T:$T,'Source 2025'!$B:$B,$A98,'Source 2025'!$A:$A,"Quantity (units)")</f>
        <v>0</v>
      </c>
      <c r="D98" s="9" t="n">
        <f aca="false">SUMIFS('Source 2026'!$T:$T,'Source 2026'!$B:$B,$A98,'Source 2026'!$A:$A,"Quantity (units)")</f>
        <v>21</v>
      </c>
      <c r="E98" s="9" t="n">
        <f aca="false">D98*$J$5</f>
        <v>26.5263157894737</v>
      </c>
      <c r="F98" s="9" t="n">
        <f aca="false">E98-C98</f>
        <v>26.5263157894737</v>
      </c>
      <c r="G98" s="11" t="str">
        <f aca="false">IF(AND(C98=0,E98=0),0,IF(C98=0,"New",(E98-C98)/C98))</f>
        <v>New</v>
      </c>
      <c r="H98" s="9" t="n">
        <f aca="false">SUMIFS('Source 2025'!$T:$T,'Source 2025'!$B:$B,$A98,'Source 2025'!$A:$A,"Amount (NIS)")</f>
        <v>0</v>
      </c>
      <c r="I98" s="9" t="n">
        <f aca="false">SUMIFS('Source 2026'!$T:$T,'Source 2026'!$B:$B,$A98,'Source 2026'!$A:$A,"Amount (NIS)")</f>
        <v>388.6</v>
      </c>
      <c r="J98" s="9" t="n">
        <f aca="false">I98*$J$5</f>
        <v>490.863157894737</v>
      </c>
      <c r="K98" s="9" t="n">
        <f aca="false">J98-H98</f>
        <v>490.863157894737</v>
      </c>
      <c r="L98" s="11" t="str">
        <f aca="false">IF(AND(H98=0,J98=0),0,IF(H98=0,"New",(J98-H98)/H98))</f>
        <v>New</v>
      </c>
    </row>
    <row r="99" customFormat="false" ht="15" hidden="false" customHeight="true" outlineLevel="0" collapsed="false">
      <c r="A99" s="8" t="s">
        <v>353</v>
      </c>
      <c r="B99" s="8" t="str">
        <f aca="false">IFERROR(INDEX('Source 2026'!$C:$C,MATCH($A99,'Source 2026'!$B:$B,0)),IFERROR(INDEX('Source 2025'!$C:$C,MATCH($A99,'Source 2025'!$B:$B,0)),""))</f>
        <v>חגורת גב אפורה</v>
      </c>
      <c r="C99" s="9" t="n">
        <f aca="false">SUMIFS('Source 2025'!$T:$T,'Source 2025'!$B:$B,$A99,'Source 2025'!$A:$A,"Quantity (units)")</f>
        <v>0</v>
      </c>
      <c r="D99" s="9" t="n">
        <f aca="false">SUMIFS('Source 2026'!$T:$T,'Source 2026'!$B:$B,$A99,'Source 2026'!$A:$A,"Quantity (units)")</f>
        <v>5</v>
      </c>
      <c r="E99" s="9" t="n">
        <f aca="false">D99*$J$5</f>
        <v>6.31578947368421</v>
      </c>
      <c r="F99" s="9" t="n">
        <f aca="false">E99-C99</f>
        <v>6.31578947368421</v>
      </c>
      <c r="G99" s="11" t="str">
        <f aca="false">IF(AND(C99=0,E99=0),0,IF(C99=0,"New",(E99-C99)/C99))</f>
        <v>New</v>
      </c>
      <c r="H99" s="9" t="n">
        <f aca="false">SUMIFS('Source 2025'!$T:$T,'Source 2025'!$B:$B,$A99,'Source 2025'!$A:$A,"Amount (NIS)")</f>
        <v>0</v>
      </c>
      <c r="I99" s="9" t="n">
        <f aca="false">SUMIFS('Source 2026'!$T:$T,'Source 2026'!$B:$B,$A99,'Source 2026'!$A:$A,"Amount (NIS)")</f>
        <v>325</v>
      </c>
      <c r="J99" s="9" t="n">
        <f aca="false">I99*$J$5</f>
        <v>410.526315789474</v>
      </c>
      <c r="K99" s="9" t="n">
        <f aca="false">J99-H99</f>
        <v>410.526315789474</v>
      </c>
      <c r="L99" s="11" t="str">
        <f aca="false">IF(AND(H99=0,J99=0),0,IF(H99=0,"New",(J99-H99)/H99))</f>
        <v>New</v>
      </c>
    </row>
    <row r="100" customFormat="false" ht="15" hidden="false" customHeight="true" outlineLevel="0" collapsed="false">
      <c r="A100" s="8" t="s">
        <v>205</v>
      </c>
      <c r="B100" s="8" t="str">
        <f aca="false">IFERROR(INDEX('Source 2026'!$C:$C,MATCH($A100,'Source 2026'!$B:$B,0)),IFERROR(INDEX('Source 2025'!$C:$C,MATCH($A100,'Source 2025'!$B:$B,0)),""))</f>
        <v>Sמ.ברך מוצלב+ספירלות בצדדים</v>
      </c>
      <c r="C100" s="9" t="n">
        <f aca="false">SUMIFS('Source 2025'!$T:$T,'Source 2025'!$B:$B,$A100,'Source 2025'!$A:$A,"Quantity (units)")</f>
        <v>0</v>
      </c>
      <c r="D100" s="9" t="n">
        <f aca="false">SUMIFS('Source 2026'!$T:$T,'Source 2026'!$B:$B,$A100,'Source 2026'!$A:$A,"Quantity (units)")</f>
        <v>4</v>
      </c>
      <c r="E100" s="9" t="n">
        <f aca="false">D100*$J$5</f>
        <v>5.05263157894737</v>
      </c>
      <c r="F100" s="9" t="n">
        <f aca="false">E100-C100</f>
        <v>5.05263157894737</v>
      </c>
      <c r="G100" s="11" t="str">
        <f aca="false">IF(AND(C100=0,E100=0),0,IF(C100=0,"New",(E100-C100)/C100))</f>
        <v>New</v>
      </c>
      <c r="H100" s="9" t="n">
        <f aca="false">SUMIFS('Source 2025'!$T:$T,'Source 2025'!$B:$B,$A100,'Source 2025'!$A:$A,"Amount (NIS)")</f>
        <v>0</v>
      </c>
      <c r="I100" s="9" t="n">
        <f aca="false">SUMIFS('Source 2026'!$T:$T,'Source 2026'!$B:$B,$A100,'Source 2026'!$A:$A,"Amount (NIS)")</f>
        <v>309</v>
      </c>
      <c r="J100" s="9" t="n">
        <f aca="false">I100*$J$5</f>
        <v>390.315789473684</v>
      </c>
      <c r="K100" s="9" t="n">
        <f aca="false">J100-H100</f>
        <v>390.315789473684</v>
      </c>
      <c r="L100" s="11" t="str">
        <f aca="false">IF(AND(H100=0,J100=0),0,IF(H100=0,"New",(J100-H100)/H100))</f>
        <v>New</v>
      </c>
    </row>
    <row r="101" customFormat="false" ht="15" hidden="false" customHeight="true" outlineLevel="0" collapsed="false">
      <c r="A101" s="8" t="s">
        <v>218</v>
      </c>
      <c r="B101" s="8" t="str">
        <f aca="false">IFERROR(INDEX('Source 2026'!$C:$C,MATCH($A101,'Source 2026'!$B:$B,0)),IFERROR(INDEX('Source 2025'!$C:$C,MATCH($A101,'Source 2025'!$B:$B,0)),""))</f>
        <v>מדרס מטטרזלי לנעלי עקב</v>
      </c>
      <c r="C101" s="9" t="n">
        <f aca="false">SUMIFS('Source 2025'!$T:$T,'Source 2025'!$B:$B,$A101,'Source 2025'!$A:$A,"Quantity (units)")</f>
        <v>0</v>
      </c>
      <c r="D101" s="9" t="n">
        <f aca="false">SUMIFS('Source 2026'!$T:$T,'Source 2026'!$B:$B,$A101,'Source 2026'!$A:$A,"Quantity (units)")</f>
        <v>17</v>
      </c>
      <c r="E101" s="9" t="n">
        <f aca="false">D101*$J$5</f>
        <v>21.4736842105263</v>
      </c>
      <c r="F101" s="9" t="n">
        <f aca="false">E101-C101</f>
        <v>21.4736842105263</v>
      </c>
      <c r="G101" s="11" t="str">
        <f aca="false">IF(AND(C101=0,E101=0),0,IF(C101=0,"New",(E101-C101)/C101))</f>
        <v>New</v>
      </c>
      <c r="H101" s="9" t="n">
        <f aca="false">SUMIFS('Source 2025'!$T:$T,'Source 2025'!$B:$B,$A101,'Source 2025'!$A:$A,"Amount (NIS)")</f>
        <v>0</v>
      </c>
      <c r="I101" s="9" t="n">
        <f aca="false">SUMIFS('Source 2026'!$T:$T,'Source 2026'!$B:$B,$A101,'Source 2026'!$A:$A,"Amount (NIS)")</f>
        <v>275.4</v>
      </c>
      <c r="J101" s="9" t="n">
        <f aca="false">I101*$J$5</f>
        <v>347.873684210526</v>
      </c>
      <c r="K101" s="9" t="n">
        <f aca="false">J101-H101</f>
        <v>347.873684210526</v>
      </c>
      <c r="L101" s="11" t="str">
        <f aca="false">IF(AND(H101=0,J101=0),0,IF(H101=0,"New",(J101-H101)/H101))</f>
        <v>New</v>
      </c>
    </row>
    <row r="102" customFormat="false" ht="15" hidden="false" customHeight="true" outlineLevel="0" collapsed="false">
      <c r="A102" s="8" t="s">
        <v>143</v>
      </c>
      <c r="B102" s="8" t="str">
        <f aca="false">IFERROR(INDEX('Source 2026'!$C:$C,MATCH($A102,'Source 2026'!$B:$B,0)),IFERROR(INDEX('Source 2025'!$C:$C,MATCH($A102,'Source 2025'!$B:$B,0)),""))</f>
        <v>אמבט לכף הרגל</v>
      </c>
      <c r="C102" s="9" t="n">
        <f aca="false">SUMIFS('Source 2025'!$T:$T,'Source 2025'!$B:$B,$A102,'Source 2025'!$A:$A,"Quantity (units)")</f>
        <v>0</v>
      </c>
      <c r="D102" s="9" t="n">
        <f aca="false">SUMIFS('Source 2026'!$T:$T,'Source 2026'!$B:$B,$A102,'Source 2026'!$A:$A,"Quantity (units)")</f>
        <v>33</v>
      </c>
      <c r="E102" s="9" t="n">
        <f aca="false">D102*$J$5</f>
        <v>41.6842105263158</v>
      </c>
      <c r="F102" s="9" t="n">
        <f aca="false">E102-C102</f>
        <v>41.6842105263158</v>
      </c>
      <c r="G102" s="11" t="str">
        <f aca="false">IF(AND(C102=0,E102=0),0,IF(C102=0,"New",(E102-C102)/C102))</f>
        <v>New</v>
      </c>
      <c r="H102" s="9" t="n">
        <f aca="false">SUMIFS('Source 2025'!$T:$T,'Source 2025'!$B:$B,$A102,'Source 2025'!$A:$A,"Amount (NIS)")</f>
        <v>0</v>
      </c>
      <c r="I102" s="9" t="n">
        <f aca="false">SUMIFS('Source 2026'!$T:$T,'Source 2026'!$B:$B,$A102,'Source 2026'!$A:$A,"Amount (NIS)")</f>
        <v>270.6</v>
      </c>
      <c r="J102" s="9" t="n">
        <f aca="false">I102*$J$5</f>
        <v>341.81052631579</v>
      </c>
      <c r="K102" s="9" t="n">
        <f aca="false">J102-H102</f>
        <v>341.81052631579</v>
      </c>
      <c r="L102" s="11" t="str">
        <f aca="false">IF(AND(H102=0,J102=0),0,IF(H102=0,"New",(J102-H102)/H102))</f>
        <v>New</v>
      </c>
    </row>
    <row r="103" customFormat="false" ht="15" hidden="false" customHeight="true" outlineLevel="0" collapsed="false">
      <c r="A103" s="8" t="s">
        <v>189</v>
      </c>
      <c r="B103" s="8" t="str">
        <f aca="false">IFERROR(INDEX('Source 2026'!$C:$C,MATCH($A103,'Source 2026'!$B:$B,0)),IFERROR(INDEX('Source 2025'!$C:$C,MATCH($A103,'Source 2025'!$B:$B,0)),""))</f>
        <v>חגורת גב +סגירה כפולה</v>
      </c>
      <c r="C103" s="9" t="n">
        <f aca="false">SUMIFS('Source 2025'!$T:$T,'Source 2025'!$B:$B,$A103,'Source 2025'!$A:$A,"Quantity (units)")</f>
        <v>0</v>
      </c>
      <c r="D103" s="9" t="n">
        <f aca="false">SUMIFS('Source 2026'!$T:$T,'Source 2026'!$B:$B,$A103,'Source 2026'!$A:$A,"Quantity (units)")</f>
        <v>4</v>
      </c>
      <c r="E103" s="9" t="n">
        <f aca="false">D103*$J$5</f>
        <v>5.05263157894737</v>
      </c>
      <c r="F103" s="9" t="n">
        <f aca="false">E103-C103</f>
        <v>5.05263157894737</v>
      </c>
      <c r="G103" s="11" t="str">
        <f aca="false">IF(AND(C103=0,E103=0),0,IF(C103=0,"New",(E103-C103)/C103))</f>
        <v>New</v>
      </c>
      <c r="H103" s="9" t="n">
        <f aca="false">SUMIFS('Source 2025'!$T:$T,'Source 2025'!$B:$B,$A103,'Source 2025'!$A:$A,"Amount (NIS)")</f>
        <v>0</v>
      </c>
      <c r="I103" s="9" t="n">
        <f aca="false">SUMIFS('Source 2026'!$T:$T,'Source 2026'!$B:$B,$A103,'Source 2026'!$A:$A,"Amount (NIS)")</f>
        <v>260</v>
      </c>
      <c r="J103" s="9" t="n">
        <f aca="false">I103*$J$5</f>
        <v>328.421052631579</v>
      </c>
      <c r="K103" s="9" t="n">
        <f aca="false">J103-H103</f>
        <v>328.421052631579</v>
      </c>
      <c r="L103" s="11" t="str">
        <f aca="false">IF(AND(H103=0,J103=0),0,IF(H103=0,"New",(J103-H103)/H103))</f>
        <v>New</v>
      </c>
    </row>
    <row r="104" customFormat="false" ht="15" hidden="false" customHeight="true" outlineLevel="0" collapsed="false">
      <c r="A104" s="8" t="s">
        <v>259</v>
      </c>
      <c r="B104" s="8" t="str">
        <f aca="false">IFERROR(INDEX('Source 2026'!$C:$C,MATCH($A104,'Source 2026'!$B:$B,0)),IFERROR(INDEX('Source 2025'!$C:$C,MATCH($A104,'Source 2025'!$B:$B,0)),""))</f>
        <v>סיליק.לכרית כף הרגל373</v>
      </c>
      <c r="C104" s="9" t="n">
        <f aca="false">SUMIFS('Source 2025'!$T:$T,'Source 2025'!$B:$B,$A104,'Source 2025'!$A:$A,"Quantity (units)")</f>
        <v>0</v>
      </c>
      <c r="D104" s="9" t="n">
        <f aca="false">SUMIFS('Source 2026'!$T:$T,'Source 2026'!$B:$B,$A104,'Source 2026'!$A:$A,"Quantity (units)")</f>
        <v>15</v>
      </c>
      <c r="E104" s="9" t="n">
        <f aca="false">D104*$J$5</f>
        <v>18.9473684210526</v>
      </c>
      <c r="F104" s="9" t="n">
        <f aca="false">E104-C104</f>
        <v>18.9473684210526</v>
      </c>
      <c r="G104" s="11" t="str">
        <f aca="false">IF(AND(C104=0,E104=0),0,IF(C104=0,"New",(E104-C104)/C104))</f>
        <v>New</v>
      </c>
      <c r="H104" s="9" t="n">
        <f aca="false">SUMIFS('Source 2025'!$T:$T,'Source 2025'!$B:$B,$A104,'Source 2025'!$A:$A,"Amount (NIS)")</f>
        <v>0</v>
      </c>
      <c r="I104" s="9" t="n">
        <f aca="false">SUMIFS('Source 2026'!$T:$T,'Source 2026'!$B:$B,$A104,'Source 2026'!$A:$A,"Amount (NIS)")</f>
        <v>205.9</v>
      </c>
      <c r="J104" s="9" t="n">
        <f aca="false">I104*$J$5</f>
        <v>260.084210526316</v>
      </c>
      <c r="K104" s="9" t="n">
        <f aca="false">J104-H104</f>
        <v>260.084210526316</v>
      </c>
      <c r="L104" s="11" t="str">
        <f aca="false">IF(AND(H104=0,J104=0),0,IF(H104=0,"New",(J104-H104)/H104))</f>
        <v>New</v>
      </c>
    </row>
    <row r="105" customFormat="false" ht="15" hidden="false" customHeight="true" outlineLevel="0" collapsed="false">
      <c r="A105" s="8" t="s">
        <v>399</v>
      </c>
      <c r="B105" s="8" t="str">
        <f aca="false">IFERROR(INDEX('Source 2026'!$C:$C,MATCH($A105,'Source 2026'!$B:$B,0)),IFERROR(INDEX('Source 2025'!$C:$C,MATCH($A105,'Source 2025'!$B:$B,0)),""))</f>
        <v>חגורת בטן</v>
      </c>
      <c r="C105" s="9" t="n">
        <f aca="false">SUMIFS('Source 2025'!$T:$T,'Source 2025'!$B:$B,$A105,'Source 2025'!$A:$A,"Quantity (units)")</f>
        <v>0</v>
      </c>
      <c r="D105" s="9" t="n">
        <f aca="false">SUMIFS('Source 2026'!$T:$T,'Source 2026'!$B:$B,$A105,'Source 2026'!$A:$A,"Quantity (units)")</f>
        <v>5</v>
      </c>
      <c r="E105" s="9" t="n">
        <f aca="false">D105*$J$5</f>
        <v>6.31578947368421</v>
      </c>
      <c r="F105" s="9" t="n">
        <f aca="false">E105-C105</f>
        <v>6.31578947368421</v>
      </c>
      <c r="G105" s="11" t="str">
        <f aca="false">IF(AND(C105=0,E105=0),0,IF(C105=0,"New",(E105-C105)/C105))</f>
        <v>New</v>
      </c>
      <c r="H105" s="9" t="n">
        <f aca="false">SUMIFS('Source 2025'!$T:$T,'Source 2025'!$B:$B,$A105,'Source 2025'!$A:$A,"Amount (NIS)")</f>
        <v>0</v>
      </c>
      <c r="I105" s="9" t="n">
        <f aca="false">SUMIFS('Source 2026'!$T:$T,'Source 2026'!$B:$B,$A105,'Source 2026'!$A:$A,"Amount (NIS)")</f>
        <v>171</v>
      </c>
      <c r="J105" s="9" t="n">
        <f aca="false">I105*$J$5</f>
        <v>216</v>
      </c>
      <c r="K105" s="9" t="n">
        <f aca="false">J105-H105</f>
        <v>216</v>
      </c>
      <c r="L105" s="11" t="str">
        <f aca="false">IF(AND(H105=0,J105=0),0,IF(H105=0,"New",(J105-H105)/H105))</f>
        <v>New</v>
      </c>
    </row>
    <row r="106" customFormat="false" ht="15" hidden="false" customHeight="true" outlineLevel="0" collapsed="false">
      <c r="A106" s="8" t="s">
        <v>225</v>
      </c>
      <c r="B106" s="8" t="str">
        <f aca="false">IFERROR(INDEX('Source 2026'!$C:$C,MATCH($A106,'Source 2026'!$B:$B,0)),IFERROR(INDEX('Source 2025'!$C:$C,MATCH($A106,'Source 2025'!$B:$B,0)),""))</f>
        <v>ריפוד סיליק.לעקב תחתון</v>
      </c>
      <c r="C106" s="9" t="n">
        <f aca="false">SUMIFS('Source 2025'!$T:$T,'Source 2025'!$B:$B,$A106,'Source 2025'!$A:$A,"Quantity (units)")</f>
        <v>0</v>
      </c>
      <c r="D106" s="9" t="n">
        <f aca="false">SUMIFS('Source 2026'!$T:$T,'Source 2026'!$B:$B,$A106,'Source 2026'!$A:$A,"Quantity (units)")</f>
        <v>11</v>
      </c>
      <c r="E106" s="9" t="n">
        <f aca="false">D106*$J$5</f>
        <v>13.8947368421053</v>
      </c>
      <c r="F106" s="9" t="n">
        <f aca="false">E106-C106</f>
        <v>13.8947368421053</v>
      </c>
      <c r="G106" s="11" t="str">
        <f aca="false">IF(AND(C106=0,E106=0),0,IF(C106=0,"New",(E106-C106)/C106))</f>
        <v>New</v>
      </c>
      <c r="H106" s="9" t="n">
        <f aca="false">SUMIFS('Source 2025'!$T:$T,'Source 2025'!$B:$B,$A106,'Source 2025'!$A:$A,"Amount (NIS)")</f>
        <v>0</v>
      </c>
      <c r="I106" s="9" t="n">
        <f aca="false">SUMIFS('Source 2026'!$T:$T,'Source 2026'!$B:$B,$A106,'Source 2026'!$A:$A,"Amount (NIS)")</f>
        <v>171</v>
      </c>
      <c r="J106" s="9" t="n">
        <f aca="false">I106*$J$5</f>
        <v>216</v>
      </c>
      <c r="K106" s="9" t="n">
        <f aca="false">J106-H106</f>
        <v>216</v>
      </c>
      <c r="L106" s="11" t="str">
        <f aca="false">IF(AND(H106=0,J106=0),0,IF(H106=0,"New",(J106-H106)/H106))</f>
        <v>New</v>
      </c>
    </row>
    <row r="107" customFormat="false" ht="15" hidden="false" customHeight="true" outlineLevel="0" collapsed="false">
      <c r="A107" s="8" t="s">
        <v>268</v>
      </c>
      <c r="B107" s="8" t="str">
        <f aca="false">IFERROR(INDEX('Source 2026'!$C:$C,MATCH($A107,'Source 2026'!$B:$B,0)),IFERROR(INDEX('Source 2025'!$C:$C,MATCH($A107,'Source 2025'!$B:$B,0)),""))</f>
        <v>מ.קרסול+עכב סגור+רצועות</v>
      </c>
      <c r="C107" s="9" t="n">
        <f aca="false">SUMIFS('Source 2025'!$T:$T,'Source 2025'!$B:$B,$A107,'Source 2025'!$A:$A,"Quantity (units)")</f>
        <v>0</v>
      </c>
      <c r="D107" s="9" t="n">
        <f aca="false">SUMIFS('Source 2026'!$T:$T,'Source 2026'!$B:$B,$A107,'Source 2026'!$A:$A,"Quantity (units)")</f>
        <v>4</v>
      </c>
      <c r="E107" s="9" t="n">
        <f aca="false">D107*$J$5</f>
        <v>5.05263157894737</v>
      </c>
      <c r="F107" s="9" t="n">
        <f aca="false">E107-C107</f>
        <v>5.05263157894737</v>
      </c>
      <c r="G107" s="11" t="str">
        <f aca="false">IF(AND(C107=0,E107=0),0,IF(C107=0,"New",(E107-C107)/C107))</f>
        <v>New</v>
      </c>
      <c r="H107" s="9" t="n">
        <f aca="false">SUMIFS('Source 2025'!$T:$T,'Source 2025'!$B:$B,$A107,'Source 2025'!$A:$A,"Amount (NIS)")</f>
        <v>0</v>
      </c>
      <c r="I107" s="9" t="n">
        <f aca="false">SUMIFS('Source 2026'!$T:$T,'Source 2026'!$B:$B,$A107,'Source 2026'!$A:$A,"Amount (NIS)")</f>
        <v>158.1</v>
      </c>
      <c r="J107" s="9" t="n">
        <f aca="false">I107*$J$5</f>
        <v>199.705263157895</v>
      </c>
      <c r="K107" s="9" t="n">
        <f aca="false">J107-H107</f>
        <v>199.705263157895</v>
      </c>
      <c r="L107" s="11" t="str">
        <f aca="false">IF(AND(H107=0,J107=0),0,IF(H107=0,"New",(J107-H107)/H107))</f>
        <v>New</v>
      </c>
    </row>
    <row r="108" customFormat="false" ht="15" hidden="false" customHeight="true" outlineLevel="0" collapsed="false">
      <c r="A108" s="8" t="s">
        <v>358</v>
      </c>
      <c r="B108" s="8" t="str">
        <f aca="false">IFERROR(INDEX('Source 2026'!$C:$C,MATCH($A108,'Source 2026'!$B:$B,0)),IFERROR(INDEX('Source 2025'!$C:$C,MATCH($A108,'Source 2025'!$B:$B,0)),""))</f>
        <v>ריפוד סיליקון לעקב אחורי</v>
      </c>
      <c r="C108" s="9" t="n">
        <f aca="false">SUMIFS('Source 2025'!$T:$T,'Source 2025'!$B:$B,$A108,'Source 2025'!$A:$A,"Quantity (units)")</f>
        <v>0</v>
      </c>
      <c r="D108" s="9" t="n">
        <f aca="false">SUMIFS('Source 2026'!$T:$T,'Source 2026'!$B:$B,$A108,'Source 2026'!$A:$A,"Quantity (units)")</f>
        <v>9</v>
      </c>
      <c r="E108" s="9" t="n">
        <f aca="false">D108*$J$5</f>
        <v>11.3684210526316</v>
      </c>
      <c r="F108" s="9" t="n">
        <f aca="false">E108-C108</f>
        <v>11.3684210526316</v>
      </c>
      <c r="G108" s="11" t="str">
        <f aca="false">IF(AND(C108=0,E108=0),0,IF(C108=0,"New",(E108-C108)/C108))</f>
        <v>New</v>
      </c>
      <c r="H108" s="9" t="n">
        <f aca="false">SUMIFS('Source 2025'!$T:$T,'Source 2025'!$B:$B,$A108,'Source 2025'!$A:$A,"Amount (NIS)")</f>
        <v>0</v>
      </c>
      <c r="I108" s="9" t="n">
        <f aca="false">SUMIFS('Source 2026'!$T:$T,'Source 2026'!$B:$B,$A108,'Source 2026'!$A:$A,"Amount (NIS)")</f>
        <v>135.2</v>
      </c>
      <c r="J108" s="9" t="n">
        <f aca="false">I108*$J$5</f>
        <v>170.778947368421</v>
      </c>
      <c r="K108" s="9" t="n">
        <f aca="false">J108-H108</f>
        <v>170.778947368421</v>
      </c>
      <c r="L108" s="11" t="str">
        <f aca="false">IF(AND(H108=0,J108=0),0,IF(H108=0,"New",(J108-H108)/H108))</f>
        <v>New</v>
      </c>
    </row>
    <row r="109" customFormat="false" ht="15" hidden="false" customHeight="true" outlineLevel="0" collapsed="false">
      <c r="A109" s="8" t="s">
        <v>335</v>
      </c>
      <c r="B109" s="8" t="str">
        <f aca="false">IFERROR(INDEX('Source 2026'!$C:$C,MATCH($A109,'Source 2026'!$B:$B,0)),IFERROR(INDEX('Source 2025'!$C:$C,MATCH($A109,'Source 2025'!$B:$B,0)),""))</f>
        <v>ג.כסף לסכרתיים אפור35-38</v>
      </c>
      <c r="C109" s="9" t="n">
        <f aca="false">SUMIFS('Source 2025'!$T:$T,'Source 2025'!$B:$B,$A109,'Source 2025'!$A:$A,"Quantity (units)")</f>
        <v>0</v>
      </c>
      <c r="D109" s="9" t="n">
        <f aca="false">SUMIFS('Source 2026'!$T:$T,'Source 2026'!$B:$B,$A109,'Source 2026'!$A:$A,"Quantity (units)")</f>
        <v>5</v>
      </c>
      <c r="E109" s="9" t="n">
        <f aca="false">D109*$J$5</f>
        <v>6.31578947368421</v>
      </c>
      <c r="F109" s="9" t="n">
        <f aca="false">E109-C109</f>
        <v>6.31578947368421</v>
      </c>
      <c r="G109" s="11" t="str">
        <f aca="false">IF(AND(C109=0,E109=0),0,IF(C109=0,"New",(E109-C109)/C109))</f>
        <v>New</v>
      </c>
      <c r="H109" s="9" t="n">
        <f aca="false">SUMIFS('Source 2025'!$T:$T,'Source 2025'!$B:$B,$A109,'Source 2025'!$A:$A,"Amount (NIS)")</f>
        <v>0</v>
      </c>
      <c r="I109" s="9" t="n">
        <f aca="false">SUMIFS('Source 2026'!$T:$T,'Source 2026'!$B:$B,$A109,'Source 2026'!$A:$A,"Amount (NIS)")</f>
        <v>118</v>
      </c>
      <c r="J109" s="9" t="n">
        <f aca="false">I109*$J$5</f>
        <v>149.052631578947</v>
      </c>
      <c r="K109" s="9" t="n">
        <f aca="false">J109-H109</f>
        <v>149.052631578947</v>
      </c>
      <c r="L109" s="11" t="str">
        <f aca="false">IF(AND(H109=0,J109=0),0,IF(H109=0,"New",(J109-H109)/H109))</f>
        <v>New</v>
      </c>
    </row>
    <row r="110" customFormat="false" ht="15" hidden="false" customHeight="true" outlineLevel="0" collapsed="false">
      <c r="A110" s="8" t="s">
        <v>329</v>
      </c>
      <c r="B110" s="8" t="str">
        <f aca="false">IFERROR(INDEX('Source 2026'!$C:$C,MATCH($A110,'Source 2026'!$B:$B,0)),IFERROR(INDEX('Source 2025'!$C:$C,MATCH($A110,'Source 2025'!$B:$B,0)),""))</f>
        <v>רצועת טניס אלבו עם פלסטיק</v>
      </c>
      <c r="C110" s="9" t="n">
        <f aca="false">SUMIFS('Source 2025'!$T:$T,'Source 2025'!$B:$B,$A110,'Source 2025'!$A:$A,"Quantity (units)")</f>
        <v>0</v>
      </c>
      <c r="D110" s="9" t="n">
        <f aca="false">SUMIFS('Source 2026'!$T:$T,'Source 2026'!$B:$B,$A110,'Source 2026'!$A:$A,"Quantity (units)")</f>
        <v>2</v>
      </c>
      <c r="E110" s="9" t="n">
        <f aca="false">D110*$J$5</f>
        <v>2.52631578947368</v>
      </c>
      <c r="F110" s="9" t="n">
        <f aca="false">E110-C110</f>
        <v>2.52631578947368</v>
      </c>
      <c r="G110" s="11" t="str">
        <f aca="false">IF(AND(C110=0,E110=0),0,IF(C110=0,"New",(E110-C110)/C110))</f>
        <v>New</v>
      </c>
      <c r="H110" s="9" t="n">
        <f aca="false">SUMIFS('Source 2025'!$T:$T,'Source 2025'!$B:$B,$A110,'Source 2025'!$A:$A,"Amount (NIS)")</f>
        <v>0</v>
      </c>
      <c r="I110" s="9" t="n">
        <f aca="false">SUMIFS('Source 2026'!$T:$T,'Source 2026'!$B:$B,$A110,'Source 2026'!$A:$A,"Amount (NIS)")</f>
        <v>115.9</v>
      </c>
      <c r="J110" s="9" t="n">
        <f aca="false">I110*$J$5</f>
        <v>146.4</v>
      </c>
      <c r="K110" s="9" t="n">
        <f aca="false">J110-H110</f>
        <v>146.4</v>
      </c>
      <c r="L110" s="11" t="str">
        <f aca="false">IF(AND(H110=0,J110=0),0,IF(H110=0,"New",(J110-H110)/H110))</f>
        <v>New</v>
      </c>
    </row>
    <row r="111" customFormat="false" ht="15" hidden="false" customHeight="true" outlineLevel="0" collapsed="false">
      <c r="A111" s="8" t="s">
        <v>228</v>
      </c>
      <c r="B111" s="8" t="str">
        <f aca="false">IFERROR(INDEX('Source 2026'!$C:$C,MATCH($A111,'Source 2026'!$B:$B,0)),IFERROR(INDEX('Source 2025'!$C:$C,MATCH($A111,'Source 2025'!$B:$B,0)),""))</f>
        <v>סכינים למקצוע</v>
      </c>
      <c r="C111" s="9" t="n">
        <f aca="false">SUMIFS('Source 2025'!$T:$T,'Source 2025'!$B:$B,$A111,'Source 2025'!$A:$A,"Quantity (units)")</f>
        <v>0</v>
      </c>
      <c r="D111" s="9" t="n">
        <f aca="false">SUMIFS('Source 2026'!$T:$T,'Source 2026'!$B:$B,$A111,'Source 2026'!$A:$A,"Quantity (units)")</f>
        <v>17</v>
      </c>
      <c r="E111" s="9" t="n">
        <f aca="false">D111*$J$5</f>
        <v>21.4736842105263</v>
      </c>
      <c r="F111" s="9" t="n">
        <f aca="false">E111-C111</f>
        <v>21.4736842105263</v>
      </c>
      <c r="G111" s="11" t="str">
        <f aca="false">IF(AND(C111=0,E111=0),0,IF(C111=0,"New",(E111-C111)/C111))</f>
        <v>New</v>
      </c>
      <c r="H111" s="9" t="n">
        <f aca="false">SUMIFS('Source 2025'!$T:$T,'Source 2025'!$B:$B,$A111,'Source 2025'!$A:$A,"Amount (NIS)")</f>
        <v>0</v>
      </c>
      <c r="I111" s="9" t="n">
        <f aca="false">SUMIFS('Source 2026'!$T:$T,'Source 2026'!$B:$B,$A111,'Source 2026'!$A:$A,"Amount (NIS)")</f>
        <v>115.6</v>
      </c>
      <c r="J111" s="9" t="n">
        <f aca="false">I111*$J$5</f>
        <v>146.021052631579</v>
      </c>
      <c r="K111" s="9" t="n">
        <f aca="false">J111-H111</f>
        <v>146.021052631579</v>
      </c>
      <c r="L111" s="11" t="str">
        <f aca="false">IF(AND(H111=0,J111=0),0,IF(H111=0,"New",(J111-H111)/H111))</f>
        <v>New</v>
      </c>
    </row>
    <row r="112" customFormat="false" ht="15" hidden="false" customHeight="true" outlineLevel="0" collapsed="false">
      <c r="A112" s="8" t="s">
        <v>340</v>
      </c>
      <c r="B112" s="8" t="str">
        <f aca="false">IFERROR(INDEX('Source 2026'!$C:$C,MATCH($A112,'Source 2026'!$B:$B,0)),IFERROR(INDEX('Source 2025'!$C:$C,MATCH($A112,'Source 2025'!$B:$B,0)),""))</f>
        <v>L-XL STRAP4U</v>
      </c>
      <c r="C112" s="9" t="n">
        <f aca="false">SUMIFS('Source 2025'!$T:$T,'Source 2025'!$B:$B,$A112,'Source 2025'!$A:$A,"Quantity (units)")</f>
        <v>0</v>
      </c>
      <c r="D112" s="9" t="n">
        <f aca="false">SUMIFS('Source 2026'!$T:$T,'Source 2026'!$B:$B,$A112,'Source 2026'!$A:$A,"Quantity (units)")</f>
        <v>6</v>
      </c>
      <c r="E112" s="9" t="n">
        <f aca="false">D112*$J$5</f>
        <v>7.57894736842105</v>
      </c>
      <c r="F112" s="9" t="n">
        <f aca="false">E112-C112</f>
        <v>7.57894736842105</v>
      </c>
      <c r="G112" s="11" t="str">
        <f aca="false">IF(AND(C112=0,E112=0),0,IF(C112=0,"New",(E112-C112)/C112))</f>
        <v>New</v>
      </c>
      <c r="H112" s="9" t="n">
        <f aca="false">SUMIFS('Source 2025'!$T:$T,'Source 2025'!$B:$B,$A112,'Source 2025'!$A:$A,"Amount (NIS)")</f>
        <v>0</v>
      </c>
      <c r="I112" s="9" t="n">
        <f aca="false">SUMIFS('Source 2026'!$T:$T,'Source 2026'!$B:$B,$A112,'Source 2026'!$A:$A,"Amount (NIS)")</f>
        <v>66</v>
      </c>
      <c r="J112" s="9" t="n">
        <f aca="false">I112*$J$5</f>
        <v>83.3684210526316</v>
      </c>
      <c r="K112" s="9" t="n">
        <f aca="false">J112-H112</f>
        <v>83.3684210526316</v>
      </c>
      <c r="L112" s="11" t="str">
        <f aca="false">IF(AND(H112=0,J112=0),0,IF(H112=0,"New",(J112-H112)/H112))</f>
        <v>New</v>
      </c>
    </row>
    <row r="113" customFormat="false" ht="15" hidden="false" customHeight="true" outlineLevel="0" collapsed="false">
      <c r="A113" s="8" t="s">
        <v>400</v>
      </c>
      <c r="B113" s="8" t="str">
        <f aca="false">IFERROR(INDEX('Source 2026'!$C:$C,MATCH($A113,'Source 2026'!$B:$B,0)),IFERROR(INDEX('Source 2025'!$C:$C,MATCH($A113,'Source 2025'!$B:$B,0)),""))</f>
        <v>מגן ירך</v>
      </c>
      <c r="C113" s="9" t="n">
        <f aca="false">SUMIFS('Source 2025'!$T:$T,'Source 2025'!$B:$B,$A113,'Source 2025'!$A:$A,"Quantity (units)")</f>
        <v>0</v>
      </c>
      <c r="D113" s="9" t="n">
        <f aca="false">SUMIFS('Source 2026'!$T:$T,'Source 2026'!$B:$B,$A113,'Source 2026'!$A:$A,"Quantity (units)")</f>
        <v>3</v>
      </c>
      <c r="E113" s="9" t="n">
        <f aca="false">D113*$J$5</f>
        <v>3.78947368421053</v>
      </c>
      <c r="F113" s="9" t="n">
        <f aca="false">E113-C113</f>
        <v>3.78947368421053</v>
      </c>
      <c r="G113" s="11" t="str">
        <f aca="false">IF(AND(C113=0,E113=0),0,IF(C113=0,"New",(E113-C113)/C113))</f>
        <v>New</v>
      </c>
      <c r="H113" s="9" t="n">
        <f aca="false">SUMIFS('Source 2025'!$T:$T,'Source 2025'!$B:$B,$A113,'Source 2025'!$A:$A,"Amount (NIS)")</f>
        <v>0</v>
      </c>
      <c r="I113" s="9" t="n">
        <f aca="false">SUMIFS('Source 2026'!$T:$T,'Source 2026'!$B:$B,$A113,'Source 2026'!$A:$A,"Amount (NIS)")</f>
        <v>61.5</v>
      </c>
      <c r="J113" s="9" t="n">
        <f aca="false">I113*$J$5</f>
        <v>77.6842105263158</v>
      </c>
      <c r="K113" s="9" t="n">
        <f aca="false">J113-H113</f>
        <v>77.6842105263158</v>
      </c>
      <c r="L113" s="11" t="str">
        <f aca="false">IF(AND(H113=0,J113=0),0,IF(H113=0,"New",(J113-H113)/H113))</f>
        <v>New</v>
      </c>
    </row>
    <row r="114" customFormat="false" ht="15" hidden="false" customHeight="true" outlineLevel="0" collapsed="false">
      <c r="A114" s="8" t="s">
        <v>263</v>
      </c>
      <c r="B114" s="8" t="str">
        <f aca="false">IFERROR(INDEX('Source 2026'!$C:$C,MATCH($A114,'Source 2026'!$B:$B,0)),IFERROR(INDEX('Source 2025'!$C:$C,MATCH($A114,'Source 2025'!$B:$B,0)),""))</f>
        <v>גרבי כסף לסכרת מידה</v>
      </c>
      <c r="C114" s="9" t="n">
        <f aca="false">SUMIFS('Source 2025'!$T:$T,'Source 2025'!$B:$B,$A114,'Source 2025'!$A:$A,"Quantity (units)")</f>
        <v>0</v>
      </c>
      <c r="D114" s="9" t="n">
        <f aca="false">SUMIFS('Source 2026'!$T:$T,'Source 2026'!$B:$B,$A114,'Source 2026'!$A:$A,"Quantity (units)")</f>
        <v>3</v>
      </c>
      <c r="E114" s="9" t="n">
        <f aca="false">D114*$J$5</f>
        <v>3.78947368421053</v>
      </c>
      <c r="F114" s="9" t="n">
        <f aca="false">E114-C114</f>
        <v>3.78947368421053</v>
      </c>
      <c r="G114" s="11" t="str">
        <f aca="false">IF(AND(C114=0,E114=0),0,IF(C114=0,"New",(E114-C114)/C114))</f>
        <v>New</v>
      </c>
      <c r="H114" s="9" t="n">
        <f aca="false">SUMIFS('Source 2025'!$T:$T,'Source 2025'!$B:$B,$A114,'Source 2025'!$A:$A,"Amount (NIS)")</f>
        <v>0</v>
      </c>
      <c r="I114" s="9" t="n">
        <f aca="false">SUMIFS('Source 2026'!$T:$T,'Source 2026'!$B:$B,$A114,'Source 2026'!$A:$A,"Amount (NIS)")</f>
        <v>53.1</v>
      </c>
      <c r="J114" s="9" t="n">
        <f aca="false">I114*$J$5</f>
        <v>67.0736842105263</v>
      </c>
      <c r="K114" s="9" t="n">
        <f aca="false">J114-H114</f>
        <v>67.0736842105263</v>
      </c>
      <c r="L114" s="11" t="str">
        <f aca="false">IF(AND(H114=0,J114=0),0,IF(H114=0,"New",(J114-H114)/H114))</f>
        <v>New</v>
      </c>
    </row>
    <row r="115" customFormat="false" ht="15" hidden="false" customHeight="true" outlineLevel="0" collapsed="false">
      <c r="A115" s="8" t="s">
        <v>312</v>
      </c>
      <c r="B115" s="8" t="str">
        <f aca="false">IFERROR(INDEX('Source 2026'!$C:$C,MATCH($A115,'Source 2026'!$B:$B,0)),IFERROR(INDEX('Source 2025'!$C:$C,MATCH($A115,'Source 2025'!$B:$B,0)),""))</f>
        <v>L-מדרס סיליקון לנעלי עקב</v>
      </c>
      <c r="C115" s="9" t="n">
        <f aca="false">SUMIFS('Source 2025'!$T:$T,'Source 2025'!$B:$B,$A115,'Source 2025'!$A:$A,"Quantity (units)")</f>
        <v>0</v>
      </c>
      <c r="D115" s="9" t="n">
        <f aca="false">SUMIFS('Source 2026'!$T:$T,'Source 2026'!$B:$B,$A115,'Source 2026'!$A:$A,"Quantity (units)")</f>
        <v>1</v>
      </c>
      <c r="E115" s="9" t="n">
        <f aca="false">D115*$J$5</f>
        <v>1.26315789473684</v>
      </c>
      <c r="F115" s="9" t="n">
        <f aca="false">E115-C115</f>
        <v>1.26315789473684</v>
      </c>
      <c r="G115" s="11" t="str">
        <f aca="false">IF(AND(C115=0,E115=0),0,IF(C115=0,"New",(E115-C115)/C115))</f>
        <v>New</v>
      </c>
      <c r="H115" s="9" t="n">
        <f aca="false">SUMIFS('Source 2025'!$T:$T,'Source 2025'!$B:$B,$A115,'Source 2025'!$A:$A,"Amount (NIS)")</f>
        <v>0</v>
      </c>
      <c r="I115" s="9" t="n">
        <f aca="false">SUMIFS('Source 2026'!$T:$T,'Source 2026'!$B:$B,$A115,'Source 2026'!$A:$A,"Amount (NIS)")</f>
        <v>32.1</v>
      </c>
      <c r="J115" s="9" t="n">
        <f aca="false">I115*$J$5</f>
        <v>40.5473684210526</v>
      </c>
      <c r="K115" s="9" t="n">
        <f aca="false">J115-H115</f>
        <v>40.5473684210526</v>
      </c>
      <c r="L115" s="11" t="str">
        <f aca="false">IF(AND(H115=0,J115=0),0,IF(H115=0,"New",(J115-H115)/H115))</f>
        <v>New</v>
      </c>
    </row>
    <row r="117" customFormat="false" ht="15" hidden="false" customHeight="true" outlineLevel="0" collapsed="false">
      <c r="A117" s="21"/>
      <c r="B117" s="22" t="s">
        <v>361</v>
      </c>
      <c r="C117" s="23" t="n">
        <f aca="false">SUM(C9:C115)</f>
        <v>0</v>
      </c>
      <c r="D117" s="23" t="n">
        <f aca="false">SUM(D9:D115)</f>
        <v>10037</v>
      </c>
      <c r="E117" s="23" t="n">
        <f aca="false">SUM(E9:E115)</f>
        <v>12678.3157894737</v>
      </c>
      <c r="F117" s="23" t="n">
        <f aca="false">SUM(F9:F115)</f>
        <v>12678.3157894737</v>
      </c>
      <c r="G117" s="24" t="str">
        <f aca="false">IF(C117=0,"N/A",F117/C117)</f>
        <v>N/A</v>
      </c>
      <c r="H117" s="23" t="n">
        <f aca="false">SUM(H9:H115)</f>
        <v>0</v>
      </c>
      <c r="I117" s="23" t="n">
        <f aca="false">SUM(I9:I115)</f>
        <v>307514.4</v>
      </c>
      <c r="J117" s="23" t="n">
        <f aca="false">SUM(J9:J115)</f>
        <v>388439.242105263</v>
      </c>
      <c r="K117" s="23" t="n">
        <f aca="false">SUM(K9:K115)</f>
        <v>388439.242105263</v>
      </c>
      <c r="L117" s="24" t="str">
        <f aca="false">IF(H117=0,"N/A",K117/H117)</f>
        <v>N/A</v>
      </c>
    </row>
  </sheetData>
  <mergeCells count="2">
    <mergeCell ref="A3:L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0"/>
    <col collapsed="false" customWidth="true" hidden="false" outlineLevel="0" max="3" min="3" style="1" width="13"/>
    <col collapsed="false" customWidth="true" hidden="false" outlineLevel="0" max="6" min="4" style="1" width="15"/>
    <col collapsed="false" customWidth="true" hidden="false" outlineLevel="0" max="7" min="7" style="1" width="16"/>
    <col collapsed="false" customWidth="true" hidden="false" outlineLevel="0" max="8" min="8" style="1" width="15"/>
    <col collapsed="false" customWidth="true" hidden="false" outlineLevel="0" max="9" min="9" style="1" width="17"/>
    <col collapsed="false" customWidth="true" hidden="false" outlineLevel="0" max="11" min="10" style="1" width="15"/>
    <col collapsed="false" customWidth="true" hidden="false" outlineLevel="0" max="12" min="12" style="1" width="16"/>
  </cols>
  <sheetData>
    <row r="1" customFormat="false" ht="15" hidden="false" customHeight="true" outlineLevel="0" collapsed="false">
      <c r="A1" s="2" t="s">
        <v>401</v>
      </c>
    </row>
    <row r="2" customFormat="false" ht="15" hidden="false" customHeight="true" outlineLevel="0" collapsed="false">
      <c r="A2" s="3" t="s">
        <v>1</v>
      </c>
      <c r="B2" s="4" t="n">
        <v>46284</v>
      </c>
    </row>
    <row r="3" customFormat="false" ht="90" hidden="false" customHeight="true" outlineLevel="0" collapsed="false">
      <c r="A3" s="5" t="s">
        <v>402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customFormat="false" ht="54.75" hidden="false" customHeight="true" outlineLevel="0" collapsed="false">
      <c r="A4" s="5" t="s">
        <v>59</v>
      </c>
      <c r="B4" s="5"/>
      <c r="C4" s="5"/>
      <c r="D4" s="5"/>
      <c r="E4" s="5"/>
      <c r="F4" s="5"/>
      <c r="G4" s="5"/>
      <c r="H4" s="5"/>
      <c r="I4" s="14" t="s">
        <v>60</v>
      </c>
      <c r="J4" s="15" t="n">
        <v>12</v>
      </c>
      <c r="K4" s="16" t="s">
        <v>61</v>
      </c>
      <c r="L4" s="15" t="n">
        <v>9.5</v>
      </c>
    </row>
    <row r="5" customFormat="false" ht="30" hidden="false" customHeight="true" outlineLevel="0" collapsed="false">
      <c r="A5" s="17" t="s">
        <v>62</v>
      </c>
      <c r="B5" s="18" t="n">
        <f aca="false">SUMPRODUCT(--((($C$9:$C$263&lt;&gt;0)+($H$9:$H$263&lt;&gt;0)&gt;0)*(($D$9:$D$263=0)*($I$9:$I$263=0))))</f>
        <v>24</v>
      </c>
      <c r="C5" s="17" t="s">
        <v>63</v>
      </c>
      <c r="D5" s="18" t="n">
        <f aca="false">SUMPRODUCT(--((($D$9:$D$263&lt;&gt;0)+($I$9:$I$263&lt;&gt;0)&gt;0)*(($C$9:$C$263=0)*($H$9:$H$263=0))))</f>
        <v>20</v>
      </c>
      <c r="I5" s="17" t="s">
        <v>64</v>
      </c>
      <c r="J5" s="19" t="n">
        <f aca="false">J4/L4</f>
        <v>1.26315789473684</v>
      </c>
    </row>
    <row r="6" customFormat="false" ht="30" hidden="false" customHeight="true" outlineLevel="0" collapsed="false">
      <c r="A6" s="17" t="s">
        <v>65</v>
      </c>
      <c r="B6" s="18" t="n">
        <f aca="false">SUMPRODUCT(--((($C$9:$C$263&lt;&gt;0)+($H$9:$H$263&lt;&gt;0)&gt;0)*(($D$9:$D$263=0)*($I$9:$I$263=0)))*$C$9:$C$263)</f>
        <v>-40</v>
      </c>
      <c r="C6" s="17" t="s">
        <v>66</v>
      </c>
      <c r="D6" s="18" t="n">
        <f aca="false">SUMPRODUCT(--((($C$9:$C$263&lt;&gt;0)+($H$9:$H$263&lt;&gt;0)&gt;0)*(($D$9:$D$263=0)*($I$9:$I$263=0)))*$H$9:$H$263)</f>
        <v>-2736.3</v>
      </c>
      <c r="E6" s="17" t="s">
        <v>67</v>
      </c>
      <c r="F6" s="18" t="n">
        <f aca="false">SUMPRODUCT(--((($D$9:$D$263&lt;&gt;0)+($I$9:$I$263&lt;&gt;0)&gt;0)*(($C$9:$C$263=0)*($H$9:$H$263=0)))*$D$9:$D$263)</f>
        <v>1972</v>
      </c>
      <c r="G6" s="17" t="s">
        <v>68</v>
      </c>
      <c r="H6" s="18" t="n">
        <f aca="false">SUMPRODUCT(--((($D$9:$D$263&lt;&gt;0)+($I$9:$I$263&lt;&gt;0)&gt;0)*(($C$9:$C$263=0)*($H$9:$H$263=0)))*$I$9:$I$263)</f>
        <v>148341.1</v>
      </c>
    </row>
    <row r="8" customFormat="false" ht="43.5" hidden="false" customHeight="true" outlineLevel="0" collapsed="false">
      <c r="A8" s="6" t="s">
        <v>69</v>
      </c>
      <c r="B8" s="6" t="s">
        <v>70</v>
      </c>
      <c r="C8" s="6" t="s">
        <v>15</v>
      </c>
      <c r="D8" s="20" t="s">
        <v>71</v>
      </c>
      <c r="E8" s="6" t="s">
        <v>72</v>
      </c>
      <c r="F8" s="6" t="s">
        <v>73</v>
      </c>
      <c r="G8" s="6" t="s">
        <v>74</v>
      </c>
      <c r="H8" s="6" t="s">
        <v>19</v>
      </c>
      <c r="I8" s="20" t="s">
        <v>75</v>
      </c>
      <c r="J8" s="6" t="s">
        <v>21</v>
      </c>
      <c r="K8" s="6" t="s">
        <v>76</v>
      </c>
      <c r="L8" s="6" t="s">
        <v>77</v>
      </c>
    </row>
    <row r="9" customFormat="false" ht="15" hidden="false" customHeight="true" outlineLevel="0" collapsed="false">
      <c r="A9" s="8" t="s">
        <v>151</v>
      </c>
      <c r="B9" s="8" t="str">
        <f aca="false">IFERROR(INDEX('Source 2026'!$C:$C,MATCH($A9,'Source 2026'!$B:$B,0)),IFERROR(INDEX('Source 2025'!$C:$C,MATCH($A9,'Source 2025'!$B:$B,0)),""))</f>
        <v>אפיק ג'ל מולט.ספורט35-38</v>
      </c>
      <c r="C9" s="9" t="n">
        <f aca="false">SUMIFS('Source 2025'!$I:$I,'Source 2025'!$B:$B,$A9,'Source 2025'!$A:$A,"Quantity (units)")</f>
        <v>2855</v>
      </c>
      <c r="D9" s="9" t="n">
        <f aca="false">SUMIFS('Source 2026'!$I:$I,'Source 2026'!$B:$B,$A9,'Source 2026'!$A:$A,"Quantity (units)")</f>
        <v>481</v>
      </c>
      <c r="E9" s="9" t="n">
        <f aca="false">D9*$J$5</f>
        <v>607.578947368421</v>
      </c>
      <c r="F9" s="9" t="n">
        <f aca="false">E9-C9</f>
        <v>-2247.42105263158</v>
      </c>
      <c r="G9" s="11" t="n">
        <f aca="false">IF(AND(C9=0,E9=0),0,IF(C9=0,"New",(E9-C9)/C9))</f>
        <v>-0.787187759240483</v>
      </c>
      <c r="H9" s="9" t="n">
        <f aca="false">SUMIFS('Source 2025'!$I:$I,'Source 2025'!$B:$B,$A9,'Source 2025'!$A:$A,"Amount (NIS)")</f>
        <v>265726.2</v>
      </c>
      <c r="I9" s="9" t="n">
        <f aca="false">SUMIFS('Source 2026'!$I:$I,'Source 2026'!$B:$B,$A9,'Source 2026'!$A:$A,"Amount (NIS)")</f>
        <v>47626.6</v>
      </c>
      <c r="J9" s="9" t="n">
        <f aca="false">I9*$J$5</f>
        <v>60159.9157894737</v>
      </c>
      <c r="K9" s="9" t="n">
        <f aca="false">J9-H9</f>
        <v>-205566.284210526</v>
      </c>
      <c r="L9" s="11" t="n">
        <f aca="false">IF(AND(H9=0,J9=0),0,IF(H9=0,"New",(J9-H9)/H9))</f>
        <v>-0.773601866170992</v>
      </c>
    </row>
    <row r="10" customFormat="false" ht="15" hidden="false" customHeight="true" outlineLevel="0" collapsed="false">
      <c r="A10" s="8" t="s">
        <v>288</v>
      </c>
      <c r="B10" s="8" t="str">
        <f aca="false">IFERROR(INDEX('Source 2026'!$C:$C,MATCH($A10,'Source 2026'!$B:$B,0)),IFERROR(INDEX('Source 2025'!$C:$C,MATCH($A10,'Source 2025'!$B:$B,0)),""))</f>
        <v>מדרסי אפיק ג'ל נוחות</v>
      </c>
      <c r="C10" s="9" t="n">
        <f aca="false">SUMIFS('Source 2025'!$I:$I,'Source 2025'!$B:$B,$A10,'Source 2025'!$A:$A,"Quantity (units)")</f>
        <v>1776</v>
      </c>
      <c r="D10" s="9" t="n">
        <f aca="false">SUMIFS('Source 2026'!$I:$I,'Source 2026'!$B:$B,$A10,'Source 2026'!$A:$A,"Quantity (units)")</f>
        <v>112</v>
      </c>
      <c r="E10" s="9" t="n">
        <f aca="false">D10*$J$5</f>
        <v>141.473684210526</v>
      </c>
      <c r="F10" s="9" t="n">
        <f aca="false">E10-C10</f>
        <v>-1634.52631578947</v>
      </c>
      <c r="G10" s="11" t="n">
        <f aca="false">IF(AND(C10=0,E10=0),0,IF(C10=0,"New",(E10-C10)/C10))</f>
        <v>-0.920341394025605</v>
      </c>
      <c r="H10" s="9" t="n">
        <f aca="false">SUMIFS('Source 2025'!$I:$I,'Source 2025'!$B:$B,$A10,'Source 2025'!$A:$A,"Amount (NIS)")</f>
        <v>164431.7</v>
      </c>
      <c r="I10" s="9" t="n">
        <f aca="false">SUMIFS('Source 2026'!$I:$I,'Source 2026'!$B:$B,$A10,'Source 2026'!$A:$A,"Amount (NIS)")</f>
        <v>11519.9</v>
      </c>
      <c r="J10" s="9" t="n">
        <f aca="false">I10*$J$5</f>
        <v>14551.4526315789</v>
      </c>
      <c r="K10" s="9" t="n">
        <f aca="false">J10-H10</f>
        <v>-149880.247368421</v>
      </c>
      <c r="L10" s="11" t="n">
        <f aca="false">IF(AND(H10=0,J10=0),0,IF(H10=0,"New",(J10-H10)/H10))</f>
        <v>-0.911504578304676</v>
      </c>
    </row>
    <row r="11" customFormat="false" ht="15" hidden="false" customHeight="true" outlineLevel="0" collapsed="false">
      <c r="A11" s="8" t="s">
        <v>171</v>
      </c>
      <c r="B11" s="8" t="str">
        <f aca="false">IFERROR(INDEX('Source 2026'!$C:$C,MATCH($A11,'Source 2026'!$B:$B,0)),IFERROR(INDEX('Source 2025'!$C:$C,MATCH($A11,'Source 2025'!$B:$B,0)),""))</f>
        <v>מדרסי אפיק ג'ל נוחות</v>
      </c>
      <c r="C11" s="9" t="n">
        <f aca="false">SUMIFS('Source 2025'!$I:$I,'Source 2025'!$B:$B,$A11,'Source 2025'!$A:$A,"Quantity (units)")</f>
        <v>2025</v>
      </c>
      <c r="D11" s="9" t="n">
        <f aca="false">SUMIFS('Source 2026'!$I:$I,'Source 2026'!$B:$B,$A11,'Source 2026'!$A:$A,"Quantity (units)")</f>
        <v>522</v>
      </c>
      <c r="E11" s="9" t="n">
        <f aca="false">D11*$J$5</f>
        <v>659.368421052632</v>
      </c>
      <c r="F11" s="9" t="n">
        <f aca="false">E11-C11</f>
        <v>-1365.63157894737</v>
      </c>
      <c r="G11" s="11" t="n">
        <f aca="false">IF(AND(C11=0,E11=0),0,IF(C11=0,"New",(E11-C11)/C11))</f>
        <v>-0.674385964912281</v>
      </c>
      <c r="H11" s="9" t="n">
        <f aca="false">SUMIFS('Source 2025'!$I:$I,'Source 2025'!$B:$B,$A11,'Source 2025'!$A:$A,"Amount (NIS)")</f>
        <v>188767.1</v>
      </c>
      <c r="I11" s="9" t="n">
        <f aca="false">SUMIFS('Source 2026'!$I:$I,'Source 2026'!$B:$B,$A11,'Source 2026'!$A:$A,"Amount (NIS)")</f>
        <v>52314</v>
      </c>
      <c r="J11" s="9" t="n">
        <f aca="false">I11*$J$5</f>
        <v>66080.8421052632</v>
      </c>
      <c r="K11" s="9" t="n">
        <f aca="false">J11-H11</f>
        <v>-122686.257894737</v>
      </c>
      <c r="L11" s="11" t="n">
        <f aca="false">IF(AND(H11=0,J11=0),0,IF(H11=0,"New",(J11-H11)/H11))</f>
        <v>-0.649934537823259</v>
      </c>
    </row>
    <row r="12" customFormat="false" ht="15" hidden="false" customHeight="true" outlineLevel="0" collapsed="false">
      <c r="A12" s="8" t="s">
        <v>179</v>
      </c>
      <c r="B12" s="8" t="str">
        <f aca="false">IFERROR(INDEX('Source 2026'!$C:$C,MATCH($A12,'Source 2026'!$B:$B,0)),IFERROR(INDEX('Source 2025'!$C:$C,MATCH($A12,'Source 2025'!$B:$B,0)),""))</f>
        <v>מדרסי אפיק ג'ל נוחות</v>
      </c>
      <c r="C12" s="9" t="n">
        <f aca="false">SUMIFS('Source 2025'!$I:$I,'Source 2025'!$B:$B,$A12,'Source 2025'!$A:$A,"Quantity (units)")</f>
        <v>2122</v>
      </c>
      <c r="D12" s="9" t="n">
        <f aca="false">SUMIFS('Source 2026'!$I:$I,'Source 2026'!$B:$B,$A12,'Source 2026'!$A:$A,"Quantity (units)")</f>
        <v>789</v>
      </c>
      <c r="E12" s="9" t="n">
        <f aca="false">D12*$J$5</f>
        <v>996.631578947368</v>
      </c>
      <c r="F12" s="9" t="n">
        <f aca="false">E12-C12</f>
        <v>-1125.36842105263</v>
      </c>
      <c r="G12" s="11" t="n">
        <f aca="false">IF(AND(C12=0,E12=0),0,IF(C12=0,"New",(E12-C12)/C12))</f>
        <v>-0.530333845924897</v>
      </c>
      <c r="H12" s="9" t="n">
        <f aca="false">SUMIFS('Source 2025'!$I:$I,'Source 2025'!$B:$B,$A12,'Source 2025'!$A:$A,"Amount (NIS)")</f>
        <v>197774.9</v>
      </c>
      <c r="I12" s="9" t="n">
        <f aca="false">SUMIFS('Source 2026'!$I:$I,'Source 2026'!$B:$B,$A12,'Source 2026'!$A:$A,"Amount (NIS)")</f>
        <v>78734.4</v>
      </c>
      <c r="J12" s="9" t="n">
        <f aca="false">I12*$J$5</f>
        <v>99453.9789473684</v>
      </c>
      <c r="K12" s="9" t="n">
        <f aca="false">J12-H12</f>
        <v>-98320.9210526316</v>
      </c>
      <c r="L12" s="11" t="n">
        <f aca="false">IF(AND(H12=0,J12=0),0,IF(H12=0,"New",(J12-H12)/H12))</f>
        <v>-0.497135486113918</v>
      </c>
    </row>
    <row r="13" customFormat="false" ht="15" hidden="false" customHeight="true" outlineLevel="0" collapsed="false">
      <c r="A13" s="8" t="s">
        <v>85</v>
      </c>
      <c r="B13" s="8" t="str">
        <f aca="false">IFERROR(INDEX('Source 2026'!$C:$C,MATCH($A13,'Source 2026'!$B:$B,0)),IFERROR(INDEX('Source 2025'!$C:$C,MATCH($A13,'Source 2025'!$B:$B,0)),""))</f>
        <v>L סד ליד דו צדדי לאחר שבר</v>
      </c>
      <c r="C13" s="9" t="n">
        <f aca="false">SUMIFS('Source 2025'!$I:$I,'Source 2025'!$B:$B,$A13,'Source 2025'!$A:$A,"Quantity (units)")</f>
        <v>2734</v>
      </c>
      <c r="D13" s="9" t="n">
        <f aca="false">SUMIFS('Source 2026'!$I:$I,'Source 2026'!$B:$B,$A13,'Source 2026'!$A:$A,"Quantity (units)")</f>
        <v>1361</v>
      </c>
      <c r="E13" s="9" t="n">
        <f aca="false">D13*$J$5</f>
        <v>1719.15789473684</v>
      </c>
      <c r="F13" s="9" t="n">
        <f aca="false">E13-C13</f>
        <v>-1014.84210526316</v>
      </c>
      <c r="G13" s="11" t="n">
        <f aca="false">IF(AND(C13=0,E13=0),0,IF(C13=0,"New",(E13-C13)/C13))</f>
        <v>-0.371193162129904</v>
      </c>
      <c r="H13" s="9" t="n">
        <f aca="false">SUMIFS('Source 2025'!$I:$I,'Source 2025'!$B:$B,$A13,'Source 2025'!$A:$A,"Amount (NIS)")</f>
        <v>224663.9</v>
      </c>
      <c r="I13" s="9" t="n">
        <f aca="false">SUMIFS('Source 2026'!$I:$I,'Source 2026'!$B:$B,$A13,'Source 2026'!$A:$A,"Amount (NIS)")</f>
        <v>113662.8</v>
      </c>
      <c r="J13" s="9" t="n">
        <f aca="false">I13*$J$5</f>
        <v>143574.063157895</v>
      </c>
      <c r="K13" s="9" t="n">
        <f aca="false">J13-H13</f>
        <v>-81089.8368421053</v>
      </c>
      <c r="L13" s="11" t="n">
        <f aca="false">IF(AND(H13=0,J13=0),0,IF(H13=0,"New",(J13-H13)/H13))</f>
        <v>-0.360938436669644</v>
      </c>
    </row>
    <row r="14" customFormat="false" ht="15" hidden="false" customHeight="true" outlineLevel="0" collapsed="false">
      <c r="A14" s="8" t="s">
        <v>79</v>
      </c>
      <c r="B14" s="8" t="str">
        <f aca="false">IFERROR(INDEX('Source 2026'!$C:$C,MATCH($A14,'Source 2026'!$B:$B,0)),IFERROR(INDEX('Source 2025'!$C:$C,MATCH($A14,'Source 2025'!$B:$B,0)),""))</f>
        <v>35-38 גרבי טיסה מידה</v>
      </c>
      <c r="C14" s="9" t="n">
        <f aca="false">SUMIFS('Source 2025'!$I:$I,'Source 2025'!$B:$B,$A14,'Source 2025'!$A:$A,"Quantity (units)")</f>
        <v>2048</v>
      </c>
      <c r="D14" s="9" t="n">
        <f aca="false">SUMIFS('Source 2026'!$I:$I,'Source 2026'!$B:$B,$A14,'Source 2026'!$A:$A,"Quantity (units)")</f>
        <v>-9</v>
      </c>
      <c r="E14" s="9" t="n">
        <f aca="false">D14*$J$5</f>
        <v>-11.3684210526316</v>
      </c>
      <c r="F14" s="9" t="n">
        <f aca="false">E14-C14</f>
        <v>-2059.36842105263</v>
      </c>
      <c r="G14" s="11" t="n">
        <f aca="false">IF(AND(C14=0,E14=0),0,IF(C14=0,"New",(E14-C14)/C14))</f>
        <v>-1.00555098684211</v>
      </c>
      <c r="H14" s="9" t="n">
        <f aca="false">SUMIFS('Source 2025'!$I:$I,'Source 2025'!$B:$B,$A14,'Source 2025'!$A:$A,"Amount (NIS)")</f>
        <v>110040.8</v>
      </c>
      <c r="I14" s="9" t="n">
        <f aca="false">SUMIFS('Source 2026'!$I:$I,'Source 2026'!$B:$B,$A14,'Source 2026'!$A:$A,"Amount (NIS)")</f>
        <v>-457.7</v>
      </c>
      <c r="J14" s="9" t="n">
        <f aca="false">I14*$J$5</f>
        <v>-578.147368421053</v>
      </c>
      <c r="K14" s="9" t="n">
        <f aca="false">J14-H14</f>
        <v>-110618.947368421</v>
      </c>
      <c r="L14" s="11" t="n">
        <f aca="false">IF(AND(H14=0,J14=0),0,IF(H14=0,"New",(J14-H14)/H14))</f>
        <v>-1.00525393643468</v>
      </c>
    </row>
    <row r="15" customFormat="false" ht="15" hidden="false" customHeight="true" outlineLevel="0" collapsed="false">
      <c r="A15" s="8" t="s">
        <v>94</v>
      </c>
      <c r="B15" s="8" t="str">
        <f aca="false">IFERROR(INDEX('Source 2026'!$C:$C,MATCH($A15,'Source 2026'!$B:$B,0)),IFERROR(INDEX('Source 2025'!$C:$C,MATCH($A15,'Source 2025'!$B:$B,0)),""))</f>
        <v>S מגן קרסול חום</v>
      </c>
      <c r="C15" s="9" t="n">
        <f aca="false">SUMIFS('Source 2025'!$I:$I,'Source 2025'!$B:$B,$A15,'Source 2025'!$A:$A,"Quantity (units)")</f>
        <v>11682</v>
      </c>
      <c r="D15" s="9" t="n">
        <f aca="false">SUMIFS('Source 2026'!$I:$I,'Source 2026'!$B:$B,$A15,'Source 2026'!$A:$A,"Quantity (units)")</f>
        <v>7746</v>
      </c>
      <c r="E15" s="9" t="n">
        <f aca="false">D15*$J$5</f>
        <v>9784.42105263158</v>
      </c>
      <c r="F15" s="9" t="n">
        <f aca="false">E15-C15</f>
        <v>-1897.57894736842</v>
      </c>
      <c r="G15" s="11" t="n">
        <f aca="false">IF(AND(C15=0,E15=0),0,IF(C15=0,"New",(E15-C15)/C15))</f>
        <v>-0.162436136566377</v>
      </c>
      <c r="H15" s="9" t="n">
        <f aca="false">SUMIFS('Source 2025'!$I:$I,'Source 2025'!$B:$B,$A15,'Source 2025'!$A:$A,"Amount (NIS)")</f>
        <v>302519</v>
      </c>
      <c r="I15" s="9" t="n">
        <f aca="false">SUMIFS('Source 2026'!$I:$I,'Source 2026'!$B:$B,$A15,'Source 2026'!$A:$A,"Amount (NIS)")</f>
        <v>203753.2</v>
      </c>
      <c r="J15" s="9" t="n">
        <f aca="false">I15*$J$5</f>
        <v>257372.463157895</v>
      </c>
      <c r="K15" s="9" t="n">
        <f aca="false">J15-H15</f>
        <v>-45146.5368421053</v>
      </c>
      <c r="L15" s="11" t="n">
        <f aca="false">IF(AND(H15=0,J15=0),0,IF(H15=0,"New",(J15-H15)/H15))</f>
        <v>-0.149235376429597</v>
      </c>
    </row>
    <row r="16" customFormat="false" ht="15" hidden="false" customHeight="true" outlineLevel="0" collapsed="false">
      <c r="A16" s="8" t="s">
        <v>78</v>
      </c>
      <c r="B16" s="8" t="str">
        <f aca="false">IFERROR(INDEX('Source 2026'!$C:$C,MATCH($A16,'Source 2026'!$B:$B,0)),IFERROR(INDEX('Source 2025'!$C:$C,MATCH($A16,'Source 2025'!$B:$B,0)),""))</f>
        <v>S  חבק יד ארוך</v>
      </c>
      <c r="C16" s="9" t="n">
        <f aca="false">SUMIFS('Source 2025'!$I:$I,'Source 2025'!$B:$B,$A16,'Source 2025'!$A:$A,"Quantity (units)")</f>
        <v>9023</v>
      </c>
      <c r="D16" s="9" t="n">
        <f aca="false">SUMIFS('Source 2026'!$I:$I,'Source 2026'!$B:$B,$A16,'Source 2026'!$A:$A,"Quantity (units)")</f>
        <v>6005</v>
      </c>
      <c r="E16" s="9" t="n">
        <f aca="false">D16*$J$5</f>
        <v>7585.26315789474</v>
      </c>
      <c r="F16" s="9" t="n">
        <f aca="false">E16-C16</f>
        <v>-1437.73684210526</v>
      </c>
      <c r="G16" s="11" t="n">
        <f aca="false">IF(AND(C16=0,E16=0),0,IF(C16=0,"New",(E16-C16)/C16))</f>
        <v>-0.159341332384491</v>
      </c>
      <c r="H16" s="9" t="n">
        <f aca="false">SUMIFS('Source 2025'!$I:$I,'Source 2025'!$B:$B,$A16,'Source 2025'!$A:$A,"Amount (NIS)")</f>
        <v>296880.7</v>
      </c>
      <c r="I16" s="9" t="n">
        <f aca="false">SUMIFS('Source 2026'!$I:$I,'Source 2026'!$B:$B,$A16,'Source 2026'!$A:$A,"Amount (NIS)")</f>
        <v>199190.1</v>
      </c>
      <c r="J16" s="9" t="n">
        <f aca="false">I16*$J$5</f>
        <v>251608.547368421</v>
      </c>
      <c r="K16" s="9" t="n">
        <f aca="false">J16-H16</f>
        <v>-45272.152631579</v>
      </c>
      <c r="L16" s="11" t="n">
        <f aca="false">IF(AND(H16=0,J16=0),0,IF(H16=0,"New",(J16-H16)/H16))</f>
        <v>-0.152492744161473</v>
      </c>
    </row>
    <row r="17" customFormat="false" ht="15" hidden="false" customHeight="true" outlineLevel="0" collapsed="false">
      <c r="A17" s="8" t="s">
        <v>80</v>
      </c>
      <c r="B17" s="8" t="str">
        <f aca="false">IFERROR(INDEX('Source 2026'!$C:$C,MATCH($A17,'Source 2026'!$B:$B,0)),IFERROR(INDEX('Source 2025'!$C:$C,MATCH($A17,'Source 2025'!$B:$B,0)),""))</f>
        <v>טיסה אנטי בקטרי35-38</v>
      </c>
      <c r="C17" s="9" t="n">
        <f aca="false">SUMIFS('Source 2025'!$I:$I,'Source 2025'!$B:$B,$A17,'Source 2025'!$A:$A,"Quantity (units)")</f>
        <v>0</v>
      </c>
      <c r="D17" s="9" t="n">
        <f aca="false">SUMIFS('Source 2026'!$I:$I,'Source 2026'!$B:$B,$A17,'Source 2026'!$A:$A,"Quantity (units)")</f>
        <v>1552</v>
      </c>
      <c r="E17" s="9" t="n">
        <f aca="false">D17*$J$5</f>
        <v>1960.42105263158</v>
      </c>
      <c r="F17" s="9" t="n">
        <f aca="false">E17-C17</f>
        <v>1960.42105263158</v>
      </c>
      <c r="G17" s="11" t="str">
        <f aca="false">IF(AND(C17=0,E17=0),0,IF(C17=0,"New",(E17-C17)/C17))</f>
        <v>New</v>
      </c>
      <c r="H17" s="9" t="n">
        <f aca="false">SUMIFS('Source 2025'!$I:$I,'Source 2025'!$B:$B,$A17,'Source 2025'!$A:$A,"Amount (NIS)")</f>
        <v>0</v>
      </c>
      <c r="I17" s="9" t="n">
        <f aca="false">SUMIFS('Source 2026'!$I:$I,'Source 2026'!$B:$B,$A17,'Source 2026'!$A:$A,"Amount (NIS)")</f>
        <v>84761</v>
      </c>
      <c r="J17" s="9" t="n">
        <f aca="false">I17*$J$5</f>
        <v>107066.526315789</v>
      </c>
      <c r="K17" s="9" t="n">
        <f aca="false">J17-H17</f>
        <v>107066.526315789</v>
      </c>
      <c r="L17" s="11" t="str">
        <f aca="false">IF(AND(H17=0,J17=0),0,IF(H17=0,"New",(J17-H17)/H17))</f>
        <v>New</v>
      </c>
    </row>
    <row r="18" customFormat="false" ht="15" hidden="false" customHeight="true" outlineLevel="0" collapsed="false">
      <c r="A18" s="8" t="s">
        <v>93</v>
      </c>
      <c r="B18" s="8" t="str">
        <f aca="false">IFERROR(INDEX('Source 2026'!$C:$C,MATCH($A18,'Source 2026'!$B:$B,0)),IFERROR(INDEX('Source 2025'!$C:$C,MATCH($A18,'Source 2025'!$B:$B,0)),""))</f>
        <v>M מגן קרסול עקב סגור</v>
      </c>
      <c r="C18" s="9" t="n">
        <f aca="false">SUMIFS('Source 2025'!$I:$I,'Source 2025'!$B:$B,$A18,'Source 2025'!$A:$A,"Quantity (units)")</f>
        <v>6872</v>
      </c>
      <c r="D18" s="9" t="n">
        <f aca="false">SUMIFS('Source 2026'!$I:$I,'Source 2026'!$B:$B,$A18,'Source 2026'!$A:$A,"Quantity (units)")</f>
        <v>4609</v>
      </c>
      <c r="E18" s="9" t="n">
        <f aca="false">D18*$J$5</f>
        <v>5821.89473684211</v>
      </c>
      <c r="F18" s="9" t="n">
        <f aca="false">E18-C18</f>
        <v>-1050.1052631579</v>
      </c>
      <c r="G18" s="11" t="n">
        <f aca="false">IF(AND(C18=0,E18=0),0,IF(C18=0,"New",(E18-C18)/C18))</f>
        <v>-0.152809264138227</v>
      </c>
      <c r="H18" s="9" t="n">
        <f aca="false">SUMIFS('Source 2025'!$I:$I,'Source 2025'!$B:$B,$A18,'Source 2025'!$A:$A,"Amount (NIS)")</f>
        <v>260017.5</v>
      </c>
      <c r="I18" s="9" t="n">
        <f aca="false">SUMIFS('Source 2026'!$I:$I,'Source 2026'!$B:$B,$A18,'Source 2026'!$A:$A,"Amount (NIS)")</f>
        <v>176444.8</v>
      </c>
      <c r="J18" s="9" t="n">
        <f aca="false">I18*$J$5</f>
        <v>222877.642105263</v>
      </c>
      <c r="K18" s="9" t="n">
        <f aca="false">J18-H18</f>
        <v>-37139.8578947369</v>
      </c>
      <c r="L18" s="11" t="n">
        <f aca="false">IF(AND(H18=0,J18=0),0,IF(H18=0,"New",(J18-H18)/H18))</f>
        <v>-0.14283599332636</v>
      </c>
    </row>
    <row r="19" customFormat="false" ht="15" hidden="false" customHeight="true" outlineLevel="0" collapsed="false">
      <c r="A19" s="8" t="s">
        <v>87</v>
      </c>
      <c r="B19" s="8" t="str">
        <f aca="false">IFERROR(INDEX('Source 2026'!$C:$C,MATCH($A19,'Source 2026'!$B:$B,0)),IFERROR(INDEX('Source 2025'!$C:$C,MATCH($A19,'Source 2025'!$B:$B,0)),""))</f>
        <v>S מגן ברך חום</v>
      </c>
      <c r="C19" s="9" t="n">
        <f aca="false">SUMIFS('Source 2025'!$I:$I,'Source 2025'!$B:$B,$A19,'Source 2025'!$A:$A,"Quantity (units)")</f>
        <v>11105</v>
      </c>
      <c r="D19" s="9" t="n">
        <f aca="false">SUMIFS('Source 2026'!$I:$I,'Source 2026'!$B:$B,$A19,'Source 2026'!$A:$A,"Quantity (units)")</f>
        <v>8013</v>
      </c>
      <c r="E19" s="9" t="n">
        <f aca="false">D19*$J$5</f>
        <v>10121.6842105263</v>
      </c>
      <c r="F19" s="9" t="n">
        <f aca="false">E19-C19</f>
        <v>-983.315789473685</v>
      </c>
      <c r="G19" s="11" t="n">
        <f aca="false">IF(AND(C19=0,E19=0),0,IF(C19=0,"New",(E19-C19)/C19))</f>
        <v>-0.088547121969715</v>
      </c>
      <c r="H19" s="9" t="n">
        <f aca="false">SUMIFS('Source 2025'!$I:$I,'Source 2025'!$B:$B,$A19,'Source 2025'!$A:$A,"Amount (NIS)")</f>
        <v>287948.7</v>
      </c>
      <c r="I19" s="9" t="n">
        <f aca="false">SUMIFS('Source 2026'!$I:$I,'Source 2026'!$B:$B,$A19,'Source 2026'!$A:$A,"Amount (NIS)")</f>
        <v>209745.6</v>
      </c>
      <c r="J19" s="9" t="n">
        <f aca="false">I19*$J$5</f>
        <v>264941.810526316</v>
      </c>
      <c r="K19" s="9" t="n">
        <f aca="false">J19-H19</f>
        <v>-23006.8894736843</v>
      </c>
      <c r="L19" s="11" t="n">
        <f aca="false">IF(AND(H19=0,J19=0),0,IF(H19=0,"New",(J19-H19)/H19))</f>
        <v>-0.0798992649513064</v>
      </c>
    </row>
    <row r="20" customFormat="false" ht="15" hidden="false" customHeight="true" outlineLevel="0" collapsed="false">
      <c r="A20" s="8" t="s">
        <v>95</v>
      </c>
      <c r="B20" s="8" t="str">
        <f aca="false">IFERROR(INDEX('Source 2026'!$C:$C,MATCH($A20,'Source 2026'!$B:$B,0)),IFERROR(INDEX('Source 2025'!$C:$C,MATCH($A20,'Source 2025'!$B:$B,0)),""))</f>
        <v>מישר כתפיים אקטיב</v>
      </c>
      <c r="C20" s="9" t="n">
        <f aca="false">SUMIFS('Source 2025'!$I:$I,'Source 2025'!$B:$B,$A20,'Source 2025'!$A:$A,"Quantity (units)")</f>
        <v>738</v>
      </c>
      <c r="D20" s="9" t="n">
        <f aca="false">SUMIFS('Source 2026'!$I:$I,'Source 2026'!$B:$B,$A20,'Source 2026'!$A:$A,"Quantity (units)")</f>
        <v>1790</v>
      </c>
      <c r="E20" s="9" t="n">
        <f aca="false">D20*$J$5</f>
        <v>2261.05263157895</v>
      </c>
      <c r="F20" s="9" t="n">
        <f aca="false">E20-C20</f>
        <v>1523.05263157895</v>
      </c>
      <c r="G20" s="11" t="n">
        <f aca="false">IF(AND(C20=0,E20=0),0,IF(C20=0,"New",(E20-C20)/C20))</f>
        <v>2.06375695335901</v>
      </c>
      <c r="H20" s="9" t="n">
        <f aca="false">SUMIFS('Source 2025'!$I:$I,'Source 2025'!$B:$B,$A20,'Source 2025'!$A:$A,"Amount (NIS)")</f>
        <v>46423.4</v>
      </c>
      <c r="I20" s="9" t="n">
        <f aca="false">SUMIFS('Source 2026'!$I:$I,'Source 2026'!$B:$B,$A20,'Source 2026'!$A:$A,"Amount (NIS)")</f>
        <v>116307.2</v>
      </c>
      <c r="J20" s="9" t="n">
        <f aca="false">I20*$J$5</f>
        <v>146914.357894737</v>
      </c>
      <c r="K20" s="9" t="n">
        <f aca="false">J20-H20</f>
        <v>100490.957894737</v>
      </c>
      <c r="L20" s="11" t="n">
        <f aca="false">IF(AND(H20=0,J20=0),0,IF(H20=0,"New",(J20-H20)/H20))</f>
        <v>2.16466174159447</v>
      </c>
    </row>
    <row r="21" customFormat="false" ht="15" hidden="false" customHeight="true" outlineLevel="0" collapsed="false">
      <c r="A21" s="8" t="s">
        <v>114</v>
      </c>
      <c r="B21" s="8" t="str">
        <f aca="false">IFERROR(INDEX('Source 2026'!$C:$C,MATCH($A21,'Source 2026'!$B:$B,0)),IFERROR(INDEX('Source 2025'!$C:$C,MATCH($A21,'Source 2025'!$B:$B,0)),""))</f>
        <v>Sמגן ברך ארוך לבן</v>
      </c>
      <c r="C21" s="9" t="n">
        <f aca="false">SUMIFS('Source 2025'!$I:$I,'Source 2025'!$B:$B,$A21,'Source 2025'!$A:$A,"Quantity (units)")</f>
        <v>5513</v>
      </c>
      <c r="D21" s="9" t="n">
        <f aca="false">SUMIFS('Source 2026'!$I:$I,'Source 2026'!$B:$B,$A21,'Source 2026'!$A:$A,"Quantity (units)")</f>
        <v>3324</v>
      </c>
      <c r="E21" s="9" t="n">
        <f aca="false">D21*$J$5</f>
        <v>4198.73684210526</v>
      </c>
      <c r="F21" s="9" t="n">
        <f aca="false">E21-C21</f>
        <v>-1314.26315789474</v>
      </c>
      <c r="G21" s="11" t="n">
        <f aca="false">IF(AND(C21=0,E21=0),0,IF(C21=0,"New",(E21-C21)/C21))</f>
        <v>-0.238393462342597</v>
      </c>
      <c r="H21" s="9" t="n">
        <f aca="false">SUMIFS('Source 2025'!$I:$I,'Source 2025'!$B:$B,$A21,'Source 2025'!$A:$A,"Amount (NIS)")</f>
        <v>173295.8</v>
      </c>
      <c r="I21" s="9" t="n">
        <f aca="false">SUMIFS('Source 2026'!$I:$I,'Source 2026'!$B:$B,$A21,'Source 2026'!$A:$A,"Amount (NIS)")</f>
        <v>105234.2</v>
      </c>
      <c r="J21" s="9" t="n">
        <f aca="false">I21*$J$5</f>
        <v>132927.410526316</v>
      </c>
      <c r="K21" s="9" t="n">
        <f aca="false">J21-H21</f>
        <v>-40368.3894736842</v>
      </c>
      <c r="L21" s="11" t="n">
        <f aca="false">IF(AND(H21=0,J21=0),0,IF(H21=0,"New",(J21-H21)/H21))</f>
        <v>-0.232944996206972</v>
      </c>
    </row>
    <row r="22" customFormat="false" ht="15" hidden="false" customHeight="true" outlineLevel="0" collapsed="false">
      <c r="A22" s="8" t="s">
        <v>194</v>
      </c>
      <c r="B22" s="8" t="str">
        <f aca="false">IFERROR(INDEX('Source 2026'!$C:$C,MATCH($A22,'Source 2026'!$B:$B,0)),IFERROR(INDEX('Source 2025'!$C:$C,MATCH($A22,'Source 2025'!$B:$B,0)),""))</f>
        <v>S 'מגן ברך ארוך בז</v>
      </c>
      <c r="C22" s="9" t="n">
        <f aca="false">SUMIFS('Source 2025'!$I:$I,'Source 2025'!$B:$B,$A22,'Source 2025'!$A:$A,"Quantity (units)")</f>
        <v>9351</v>
      </c>
      <c r="D22" s="9" t="n">
        <f aca="false">SUMIFS('Source 2026'!$I:$I,'Source 2026'!$B:$B,$A22,'Source 2026'!$A:$A,"Quantity (units)")</f>
        <v>7130</v>
      </c>
      <c r="E22" s="9" t="n">
        <f aca="false">D22*$J$5</f>
        <v>9006.31578947368</v>
      </c>
      <c r="F22" s="9" t="n">
        <f aca="false">E22-C22</f>
        <v>-344.684210526317</v>
      </c>
      <c r="G22" s="11" t="n">
        <f aca="false">IF(AND(C22=0,E22=0),0,IF(C22=0,"New",(E22-C22)/C22))</f>
        <v>-0.0368606791280416</v>
      </c>
      <c r="H22" s="9" t="n">
        <f aca="false">SUMIFS('Source 2025'!$I:$I,'Source 2025'!$B:$B,$A22,'Source 2025'!$A:$A,"Amount (NIS)")</f>
        <v>290388.7</v>
      </c>
      <c r="I22" s="9" t="n">
        <f aca="false">SUMIFS('Source 2026'!$I:$I,'Source 2026'!$B:$B,$A22,'Source 2026'!$A:$A,"Amount (NIS)")</f>
        <v>222926.7</v>
      </c>
      <c r="J22" s="9" t="n">
        <f aca="false">I22*$J$5</f>
        <v>281591.621052632</v>
      </c>
      <c r="K22" s="9" t="n">
        <f aca="false">J22-H22</f>
        <v>-8797.07894736843</v>
      </c>
      <c r="L22" s="11" t="n">
        <f aca="false">IF(AND(H22=0,J22=0),0,IF(H22=0,"New",(J22-H22)/H22))</f>
        <v>-0.0302941503831534</v>
      </c>
    </row>
    <row r="23" customFormat="false" ht="15" hidden="false" customHeight="true" outlineLevel="0" collapsed="false">
      <c r="A23" s="8" t="s">
        <v>89</v>
      </c>
      <c r="B23" s="8" t="str">
        <f aca="false">IFERROR(INDEX('Source 2026'!$C:$C,MATCH($A23,'Source 2026'!$B:$B,0)),IFERROR(INDEX('Source 2025'!$C:$C,MATCH($A23,'Source 2025'!$B:$B,0)),""))</f>
        <v>L סד לאגודל לאחר שבר</v>
      </c>
      <c r="C23" s="9" t="n">
        <f aca="false">SUMIFS('Source 2025'!$I:$I,'Source 2025'!$B:$B,$A23,'Source 2025'!$A:$A,"Quantity (units)")</f>
        <v>2198</v>
      </c>
      <c r="D23" s="9" t="n">
        <f aca="false">SUMIFS('Source 2026'!$I:$I,'Source 2026'!$B:$B,$A23,'Source 2026'!$A:$A,"Quantity (units)")</f>
        <v>1421</v>
      </c>
      <c r="E23" s="9" t="n">
        <f aca="false">D23*$J$5</f>
        <v>1794.94736842105</v>
      </c>
      <c r="F23" s="9" t="n">
        <f aca="false">E23-C23</f>
        <v>-403.052631578948</v>
      </c>
      <c r="G23" s="11" t="n">
        <f aca="false">IF(AND(C23=0,E23=0),0,IF(C23=0,"New",(E23-C23)/C23))</f>
        <v>-0.183372443848475</v>
      </c>
      <c r="H23" s="9" t="n">
        <f aca="false">SUMIFS('Source 2025'!$I:$I,'Source 2025'!$B:$B,$A23,'Source 2025'!$A:$A,"Amount (NIS)")</f>
        <v>181024.5</v>
      </c>
      <c r="I23" s="9" t="n">
        <f aca="false">SUMIFS('Source 2026'!$I:$I,'Source 2026'!$B:$B,$A23,'Source 2026'!$A:$A,"Amount (NIS)")</f>
        <v>117841.5</v>
      </c>
      <c r="J23" s="9" t="n">
        <f aca="false">I23*$J$5</f>
        <v>148852.421052632</v>
      </c>
      <c r="K23" s="9" t="n">
        <f aca="false">J23-H23</f>
        <v>-32172.0789473684</v>
      </c>
      <c r="L23" s="11" t="n">
        <f aca="false">IF(AND(H23=0,J23=0),0,IF(H23=0,"New",(J23-H23)/H23))</f>
        <v>-0.177722236202108</v>
      </c>
    </row>
    <row r="24" customFormat="false" ht="15" hidden="false" customHeight="true" outlineLevel="0" collapsed="false">
      <c r="A24" s="8" t="s">
        <v>88</v>
      </c>
      <c r="B24" s="8" t="str">
        <f aca="false">IFERROR(INDEX('Source 2026'!$C:$C,MATCH($A24,'Source 2026'!$B:$B,0)),IFERROR(INDEX('Source 2025'!$C:$C,MATCH($A24,'Source 2025'!$B:$B,0)),""))</f>
        <v>סד ליד דו צדדי</v>
      </c>
      <c r="C24" s="9" t="n">
        <f aca="false">SUMIFS('Source 2025'!$I:$I,'Source 2025'!$B:$B,$A24,'Source 2025'!$A:$A,"Quantity (units)")</f>
        <v>4888</v>
      </c>
      <c r="D24" s="9" t="n">
        <f aca="false">SUMIFS('Source 2026'!$I:$I,'Source 2026'!$B:$B,$A24,'Source 2026'!$A:$A,"Quantity (units)")</f>
        <v>3963</v>
      </c>
      <c r="E24" s="9" t="n">
        <f aca="false">D24*$J$5</f>
        <v>5005.89473684211</v>
      </c>
      <c r="F24" s="9" t="n">
        <f aca="false">E24-C24</f>
        <v>117.894736842105</v>
      </c>
      <c r="G24" s="11" t="n">
        <f aca="false">IF(AND(C24=0,E24=0),0,IF(C24=0,"New",(E24-C24)/C24))</f>
        <v>0.0241192178482211</v>
      </c>
      <c r="H24" s="9" t="n">
        <f aca="false">SUMIFS('Source 2025'!$I:$I,'Source 2025'!$B:$B,$A24,'Source 2025'!$A:$A,"Amount (NIS)")</f>
        <v>331446.1</v>
      </c>
      <c r="I24" s="9" t="n">
        <f aca="false">SUMIFS('Source 2026'!$I:$I,'Source 2026'!$B:$B,$A24,'Source 2026'!$A:$A,"Amount (NIS)")</f>
        <v>269878.4</v>
      </c>
      <c r="J24" s="9" t="n">
        <f aca="false">I24*$J$5</f>
        <v>340899.031578947</v>
      </c>
      <c r="K24" s="9" t="n">
        <f aca="false">J24-H24</f>
        <v>9452.93157894741</v>
      </c>
      <c r="L24" s="11" t="n">
        <f aca="false">IF(AND(H24=0,J24=0),0,IF(H24=0,"New",(J24-H24)/H24))</f>
        <v>0.0285202679378258</v>
      </c>
    </row>
    <row r="25" customFormat="false" ht="15" hidden="false" customHeight="true" outlineLevel="0" collapsed="false">
      <c r="A25" s="8" t="s">
        <v>99</v>
      </c>
      <c r="B25" s="8" t="str">
        <f aca="false">IFERROR(INDEX('Source 2026'!$C:$C,MATCH($A25,'Source 2026'!$B:$B,0)),IFERROR(INDEX('Source 2025'!$C:$C,MATCH($A25,'Source 2025'!$B:$B,0)),""))</f>
        <v>S מגן קרסול לבן</v>
      </c>
      <c r="C25" s="9" t="n">
        <f aca="false">SUMIFS('Source 2025'!$I:$I,'Source 2025'!$B:$B,$A25,'Source 2025'!$A:$A,"Quantity (units)")</f>
        <v>6813</v>
      </c>
      <c r="D25" s="9" t="n">
        <f aca="false">SUMIFS('Source 2026'!$I:$I,'Source 2026'!$B:$B,$A25,'Source 2026'!$A:$A,"Quantity (units)")</f>
        <v>4496</v>
      </c>
      <c r="E25" s="9" t="n">
        <f aca="false">D25*$J$5</f>
        <v>5679.15789473684</v>
      </c>
      <c r="F25" s="9" t="n">
        <f aca="false">E25-C25</f>
        <v>-1133.84210526316</v>
      </c>
      <c r="G25" s="11" t="n">
        <f aca="false">IF(AND(C25=0,E25=0),0,IF(C25=0,"New",(E25-C25)/C25))</f>
        <v>-0.166423323831375</v>
      </c>
      <c r="H25" s="9" t="n">
        <f aca="false">SUMIFS('Source 2025'!$I:$I,'Source 2025'!$B:$B,$A25,'Source 2025'!$A:$A,"Amount (NIS)")</f>
        <v>177028.3</v>
      </c>
      <c r="I25" s="9" t="n">
        <f aca="false">SUMIFS('Source 2026'!$I:$I,'Source 2026'!$B:$B,$A25,'Source 2026'!$A:$A,"Amount (NIS)")</f>
        <v>118238.6</v>
      </c>
      <c r="J25" s="9" t="n">
        <f aca="false">I25*$J$5</f>
        <v>149354.021052632</v>
      </c>
      <c r="K25" s="9" t="n">
        <f aca="false">J25-H25</f>
        <v>-27674.2789473684</v>
      </c>
      <c r="L25" s="11" t="n">
        <f aca="false">IF(AND(H25=0,J25=0),0,IF(H25=0,"New",(J25-H25)/H25))</f>
        <v>-0.156326863825549</v>
      </c>
    </row>
    <row r="26" customFormat="false" ht="15" hidden="false" customHeight="true" outlineLevel="0" collapsed="false">
      <c r="A26" s="8" t="s">
        <v>100</v>
      </c>
      <c r="B26" s="8" t="str">
        <f aca="false">IFERROR(INDEX('Source 2026'!$C:$C,MATCH($A26,'Source 2026'!$B:$B,0)),IFERROR(INDEX('Source 2025'!$C:$C,MATCH($A26,'Source 2025'!$B:$B,0)),""))</f>
        <v>L מגן ברך לבן</v>
      </c>
      <c r="C26" s="9" t="n">
        <f aca="false">SUMIFS('Source 2025'!$I:$I,'Source 2025'!$B:$B,$A26,'Source 2025'!$A:$A,"Quantity (units)")</f>
        <v>6259</v>
      </c>
      <c r="D26" s="9" t="n">
        <f aca="false">SUMIFS('Source 2026'!$I:$I,'Source 2026'!$B:$B,$A26,'Source 2026'!$A:$A,"Quantity (units)")</f>
        <v>4006</v>
      </c>
      <c r="E26" s="9" t="n">
        <f aca="false">D26*$J$5</f>
        <v>5060.21052631579</v>
      </c>
      <c r="F26" s="9" t="n">
        <f aca="false">E26-C26</f>
        <v>-1198.78947368421</v>
      </c>
      <c r="G26" s="11" t="n">
        <f aca="false">IF(AND(C26=0,E26=0),0,IF(C26=0,"New",(E26-C26)/C26))</f>
        <v>-0.191530511852406</v>
      </c>
      <c r="H26" s="9" t="n">
        <f aca="false">SUMIFS('Source 2025'!$I:$I,'Source 2025'!$B:$B,$A26,'Source 2025'!$A:$A,"Amount (NIS)")</f>
        <v>162645.6</v>
      </c>
      <c r="I26" s="9" t="n">
        <f aca="false">SUMIFS('Source 2026'!$I:$I,'Source 2026'!$B:$B,$A26,'Source 2026'!$A:$A,"Amount (NIS)")</f>
        <v>105352.3</v>
      </c>
      <c r="J26" s="9" t="n">
        <f aca="false">I26*$J$5</f>
        <v>133076.589473684</v>
      </c>
      <c r="K26" s="9" t="n">
        <f aca="false">J26-H26</f>
        <v>-29569.0105263158</v>
      </c>
      <c r="L26" s="11" t="n">
        <f aca="false">IF(AND(H26=0,J26=0),0,IF(H26=0,"New",(J26-H26)/H26))</f>
        <v>-0.18180024867759</v>
      </c>
    </row>
    <row r="27" customFormat="false" ht="15" hidden="false" customHeight="true" outlineLevel="0" collapsed="false">
      <c r="A27" s="8" t="s">
        <v>173</v>
      </c>
      <c r="B27" s="8" t="str">
        <f aca="false">IFERROR(INDEX('Source 2026'!$C:$C,MATCH($A27,'Source 2026'!$B:$B,0)),IFERROR(INDEX('Source 2025'!$C:$C,MATCH($A27,'Source 2025'!$B:$B,0)),""))</f>
        <v>גב אפורה</v>
      </c>
      <c r="C27" s="9" t="n">
        <f aca="false">SUMIFS('Source 2025'!$I:$I,'Source 2025'!$B:$B,$A27,'Source 2025'!$A:$A,"Quantity (units)")</f>
        <v>1596</v>
      </c>
      <c r="D27" s="9" t="n">
        <f aca="false">SUMIFS('Source 2026'!$I:$I,'Source 2026'!$B:$B,$A27,'Source 2026'!$A:$A,"Quantity (units)")</f>
        <v>1002</v>
      </c>
      <c r="E27" s="9" t="n">
        <f aca="false">D27*$J$5</f>
        <v>1265.68421052632</v>
      </c>
      <c r="F27" s="9" t="n">
        <f aca="false">E27-C27</f>
        <v>-330.315789473684</v>
      </c>
      <c r="G27" s="11" t="n">
        <f aca="false">IF(AND(C27=0,E27=0),0,IF(C27=0,"New",(E27-C27)/C27))</f>
        <v>-0.206964780371983</v>
      </c>
      <c r="H27" s="9" t="n">
        <f aca="false">SUMIFS('Source 2025'!$I:$I,'Source 2025'!$B:$B,$A27,'Source 2025'!$A:$A,"Amount (NIS)")</f>
        <v>147542.2</v>
      </c>
      <c r="I27" s="9" t="n">
        <f aca="false">SUMIFS('Source 2026'!$I:$I,'Source 2026'!$B:$B,$A27,'Source 2026'!$A:$A,"Amount (NIS)")</f>
        <v>94468</v>
      </c>
      <c r="J27" s="9" t="n">
        <f aca="false">I27*$J$5</f>
        <v>119328</v>
      </c>
      <c r="K27" s="9" t="n">
        <f aca="false">J27-H27</f>
        <v>-28214.2</v>
      </c>
      <c r="L27" s="11" t="n">
        <f aca="false">IF(AND(H27=0,J27=0),0,IF(H27=0,"New",(J27-H27)/H27))</f>
        <v>-0.191228001209146</v>
      </c>
    </row>
    <row r="28" customFormat="false" ht="15" hidden="false" customHeight="true" outlineLevel="0" collapsed="false">
      <c r="A28" s="8" t="s">
        <v>108</v>
      </c>
      <c r="B28" s="8" t="str">
        <f aca="false">IFERROR(INDEX('Source 2026'!$C:$C,MATCH($A28,'Source 2026'!$B:$B,0)),IFERROR(INDEX('Source 2025'!$C:$C,MATCH($A28,'Source 2025'!$B:$B,0)),""))</f>
        <v>S""חגורת בטן""אורירית</v>
      </c>
      <c r="C28" s="9" t="n">
        <f aca="false">SUMIFS('Source 2025'!$I:$I,'Source 2025'!$B:$B,$A28,'Source 2025'!$A:$A,"Quantity (units)")</f>
        <v>1596</v>
      </c>
      <c r="D28" s="9" t="n">
        <f aca="false">SUMIFS('Source 2026'!$I:$I,'Source 2026'!$B:$B,$A28,'Source 2026'!$A:$A,"Quantity (units)")</f>
        <v>1000</v>
      </c>
      <c r="E28" s="9" t="n">
        <f aca="false">D28*$J$5</f>
        <v>1263.15789473684</v>
      </c>
      <c r="F28" s="9" t="n">
        <f aca="false">E28-C28</f>
        <v>-332.842105263158</v>
      </c>
      <c r="G28" s="11" t="n">
        <f aca="false">IF(AND(C28=0,E28=0),0,IF(C28=0,"New",(E28-C28)/C28))</f>
        <v>-0.208547685001979</v>
      </c>
      <c r="H28" s="9" t="n">
        <f aca="false">SUMIFS('Source 2025'!$I:$I,'Source 2025'!$B:$B,$A28,'Source 2025'!$A:$A,"Amount (NIS)")</f>
        <v>144702.3</v>
      </c>
      <c r="I28" s="9" t="n">
        <f aca="false">SUMIFS('Source 2026'!$I:$I,'Source 2026'!$B:$B,$A28,'Source 2026'!$A:$A,"Amount (NIS)")</f>
        <v>91878</v>
      </c>
      <c r="J28" s="9" t="n">
        <f aca="false">I28*$J$5</f>
        <v>116056.421052632</v>
      </c>
      <c r="K28" s="9" t="n">
        <f aca="false">J28-H28</f>
        <v>-28645.8789473684</v>
      </c>
      <c r="L28" s="11" t="n">
        <f aca="false">IF(AND(H28=0,J28=0),0,IF(H28=0,"New",(J28-H28)/H28))</f>
        <v>-0.197964226880764</v>
      </c>
    </row>
    <row r="29" customFormat="false" ht="15" hidden="false" customHeight="true" outlineLevel="0" collapsed="false">
      <c r="A29" s="8" t="s">
        <v>231</v>
      </c>
      <c r="B29" s="8" t="str">
        <f aca="false">IFERROR(INDEX('Source 2026'!$C:$C,MATCH($A29,'Source 2026'!$B:$B,0)),IFERROR(INDEX('Source 2025'!$C:$C,MATCH($A29,'Source 2025'!$B:$B,0)),""))</f>
        <v>חגורת גב אפורה</v>
      </c>
      <c r="C29" s="9" t="n">
        <f aca="false">SUMIFS('Source 2025'!$I:$I,'Source 2025'!$B:$B,$A29,'Source 2025'!$A:$A,"Quantity (units)")</f>
        <v>1906</v>
      </c>
      <c r="D29" s="9" t="n">
        <f aca="false">SUMIFS('Source 2026'!$I:$I,'Source 2026'!$B:$B,$A29,'Source 2026'!$A:$A,"Quantity (units)")</f>
        <v>1326</v>
      </c>
      <c r="E29" s="9" t="n">
        <f aca="false">D29*$J$5</f>
        <v>1674.94736842105</v>
      </c>
      <c r="F29" s="9" t="n">
        <f aca="false">E29-C29</f>
        <v>-231.052631578948</v>
      </c>
      <c r="G29" s="11" t="n">
        <f aca="false">IF(AND(C29=0,E29=0),0,IF(C29=0,"New",(E29-C29)/C29))</f>
        <v>-0.121223836085492</v>
      </c>
      <c r="H29" s="9" t="n">
        <f aca="false">SUMIFS('Source 2025'!$I:$I,'Source 2025'!$B:$B,$A29,'Source 2025'!$A:$A,"Amount (NIS)")</f>
        <v>176482.5</v>
      </c>
      <c r="I29" s="9" t="n">
        <f aca="false">SUMIFS('Source 2026'!$I:$I,'Source 2026'!$B:$B,$A29,'Source 2026'!$A:$A,"Amount (NIS)")</f>
        <v>124925.3</v>
      </c>
      <c r="J29" s="9" t="n">
        <f aca="false">I29*$J$5</f>
        <v>157800.378947368</v>
      </c>
      <c r="K29" s="9" t="n">
        <f aca="false">J29-H29</f>
        <v>-18682.1210526316</v>
      </c>
      <c r="L29" s="11" t="n">
        <f aca="false">IF(AND(H29=0,J29=0),0,IF(H29=0,"New",(J29-H29)/H29))</f>
        <v>-0.105858207202593</v>
      </c>
    </row>
    <row r="30" customFormat="false" ht="15" hidden="false" customHeight="true" outlineLevel="0" collapsed="false">
      <c r="A30" s="8" t="s">
        <v>91</v>
      </c>
      <c r="B30" s="8" t="str">
        <f aca="false">IFERROR(INDEX('Source 2026'!$C:$C,MATCH($A30,'Source 2026'!$B:$B,0)),IFERROR(INDEX('Source 2025'!$C:$C,MATCH($A30,'Source 2025'!$B:$B,0)),""))</f>
        <v>L (מתלה ליד )כיס</v>
      </c>
      <c r="C30" s="9" t="n">
        <f aca="false">SUMIFS('Source 2025'!$I:$I,'Source 2025'!$B:$B,$A30,'Source 2025'!$A:$A,"Quantity (units)")</f>
        <v>2869</v>
      </c>
      <c r="D30" s="9" t="n">
        <f aca="false">SUMIFS('Source 2026'!$I:$I,'Source 2026'!$B:$B,$A30,'Source 2026'!$A:$A,"Quantity (units)")</f>
        <v>1893</v>
      </c>
      <c r="E30" s="9" t="n">
        <f aca="false">D30*$J$5</f>
        <v>2391.15789473684</v>
      </c>
      <c r="F30" s="9" t="n">
        <f aca="false">E30-C30</f>
        <v>-477.842105263158</v>
      </c>
      <c r="G30" s="11" t="n">
        <f aca="false">IF(AND(C30=0,E30=0),0,IF(C30=0,"New",(E30-C30)/C30))</f>
        <v>-0.166553539652547</v>
      </c>
      <c r="H30" s="9" t="n">
        <f aca="false">SUMIFS('Source 2025'!$I:$I,'Source 2025'!$B:$B,$A30,'Source 2025'!$A:$A,"Amount (NIS)")</f>
        <v>142560.8</v>
      </c>
      <c r="I30" s="9" t="n">
        <f aca="false">SUMIFS('Source 2026'!$I:$I,'Source 2026'!$B:$B,$A30,'Source 2026'!$A:$A,"Amount (NIS)")</f>
        <v>94031.4</v>
      </c>
      <c r="J30" s="9" t="n">
        <f aca="false">I30*$J$5</f>
        <v>118776.505263158</v>
      </c>
      <c r="K30" s="9" t="n">
        <f aca="false">J30-H30</f>
        <v>-23784.2947368421</v>
      </c>
      <c r="L30" s="11" t="n">
        <f aca="false">IF(AND(H30=0,J30=0),0,IF(H30=0,"New",(J30-H30)/H30))</f>
        <v>-0.166836148063438</v>
      </c>
    </row>
    <row r="31" customFormat="false" ht="15" hidden="false" customHeight="true" outlineLevel="0" collapsed="false">
      <c r="A31" s="8" t="s">
        <v>125</v>
      </c>
      <c r="B31" s="8" t="str">
        <f aca="false">IFERROR(INDEX('Source 2026'!$C:$C,MATCH($A31,'Source 2026'!$B:$B,0)),IFERROR(INDEX('Source 2025'!$C:$C,MATCH($A31,'Source 2025'!$B:$B,0)),""))</f>
        <v>יד אגודלי</v>
      </c>
      <c r="C31" s="9" t="n">
        <f aca="false">SUMIFS('Source 2025'!$I:$I,'Source 2025'!$B:$B,$A31,'Source 2025'!$A:$A,"Quantity (units)")</f>
        <v>5745</v>
      </c>
      <c r="D31" s="9" t="n">
        <f aca="false">SUMIFS('Source 2026'!$I:$I,'Source 2026'!$B:$B,$A31,'Source 2026'!$A:$A,"Quantity (units)")</f>
        <v>4378</v>
      </c>
      <c r="E31" s="9" t="n">
        <f aca="false">D31*$J$5</f>
        <v>5530.10526315789</v>
      </c>
      <c r="F31" s="9" t="n">
        <f aca="false">E31-C31</f>
        <v>-214.894736842106</v>
      </c>
      <c r="G31" s="11" t="n">
        <f aca="false">IF(AND(C31=0,E31=0),0,IF(C31=0,"New",(E31-C31)/C31))</f>
        <v>-0.0374055242545006</v>
      </c>
      <c r="H31" s="9" t="n">
        <f aca="false">SUMIFS('Source 2025'!$I:$I,'Source 2025'!$B:$B,$A31,'Source 2025'!$A:$A,"Amount (NIS)")</f>
        <v>212254.7</v>
      </c>
      <c r="I31" s="9" t="n">
        <f aca="false">SUMIFS('Source 2026'!$I:$I,'Source 2026'!$B:$B,$A31,'Source 2026'!$A:$A,"Amount (NIS)")</f>
        <v>164101.8</v>
      </c>
      <c r="J31" s="9" t="n">
        <f aca="false">I31*$J$5</f>
        <v>207286.484210526</v>
      </c>
      <c r="K31" s="9" t="n">
        <f aca="false">J31-H31</f>
        <v>-4968.21578947373</v>
      </c>
      <c r="L31" s="11" t="n">
        <f aca="false">IF(AND(H31=0,J31=0),0,IF(H31=0,"New",(J31-H31)/H31))</f>
        <v>-0.023406858785571</v>
      </c>
    </row>
    <row r="32" customFormat="false" ht="15" hidden="false" customHeight="true" outlineLevel="0" collapsed="false">
      <c r="A32" s="8" t="s">
        <v>96</v>
      </c>
      <c r="B32" s="8" t="str">
        <f aca="false">IFERROR(INDEX('Source 2026'!$C:$C,MATCH($A32,'Source 2026'!$B:$B,0)),IFERROR(INDEX('Source 2025'!$C:$C,MATCH($A32,'Source 2025'!$B:$B,0)),""))</f>
        <v>יד אגודלי</v>
      </c>
      <c r="C32" s="9" t="n">
        <f aca="false">SUMIFS('Source 2025'!$I:$I,'Source 2025'!$B:$B,$A32,'Source 2025'!$A:$A,"Quantity (units)")</f>
        <v>4789</v>
      </c>
      <c r="D32" s="9" t="n">
        <f aca="false">SUMIFS('Source 2026'!$I:$I,'Source 2026'!$B:$B,$A32,'Source 2026'!$A:$A,"Quantity (units)")</f>
        <v>3578</v>
      </c>
      <c r="E32" s="9" t="n">
        <f aca="false">D32*$J$5</f>
        <v>4519.57894736842</v>
      </c>
      <c r="F32" s="9" t="n">
        <f aca="false">E32-C32</f>
        <v>-269.421052631579</v>
      </c>
      <c r="G32" s="11" t="n">
        <f aca="false">IF(AND(C32=0,E32=0),0,IF(C32=0,"New",(E32-C32)/C32))</f>
        <v>-0.0562583112615534</v>
      </c>
      <c r="H32" s="9" t="n">
        <f aca="false">SUMIFS('Source 2025'!$I:$I,'Source 2025'!$B:$B,$A32,'Source 2025'!$A:$A,"Amount (NIS)")</f>
        <v>177353.6</v>
      </c>
      <c r="I32" s="9" t="n">
        <f aca="false">SUMIFS('Source 2026'!$I:$I,'Source 2026'!$B:$B,$A32,'Source 2026'!$A:$A,"Amount (NIS)")</f>
        <v>134216.9</v>
      </c>
      <c r="J32" s="9" t="n">
        <f aca="false">I32*$J$5</f>
        <v>169537.136842105</v>
      </c>
      <c r="K32" s="9" t="n">
        <f aca="false">J32-H32</f>
        <v>-7816.46315789476</v>
      </c>
      <c r="L32" s="11" t="n">
        <f aca="false">IF(AND(H32=0,J32=0),0,IF(H32=0,"New",(J32-H32)/H32))</f>
        <v>-0.0440727628753787</v>
      </c>
    </row>
    <row r="33" customFormat="false" ht="15" hidden="false" customHeight="true" outlineLevel="0" collapsed="false">
      <c r="A33" s="8" t="s">
        <v>349</v>
      </c>
      <c r="B33" s="8" t="str">
        <f aca="false">IFERROR(INDEX('Source 2026'!$C:$C,MATCH($A33,'Source 2026'!$B:$B,0)),IFERROR(INDEX('Source 2025'!$C:$C,MATCH($A33,'Source 2025'!$B:$B,0)),""))</f>
        <v>חגורת גב אפורה</v>
      </c>
      <c r="C33" s="9" t="n">
        <f aca="false">SUMIFS('Source 2025'!$I:$I,'Source 2025'!$B:$B,$A33,'Source 2025'!$A:$A,"Quantity (units)")</f>
        <v>1282</v>
      </c>
      <c r="D33" s="9" t="n">
        <f aca="false">SUMIFS('Source 2026'!$I:$I,'Source 2026'!$B:$B,$A33,'Source 2026'!$A:$A,"Quantity (units)")</f>
        <v>866</v>
      </c>
      <c r="E33" s="9" t="n">
        <f aca="false">D33*$J$5</f>
        <v>1093.89473684211</v>
      </c>
      <c r="F33" s="9" t="n">
        <f aca="false">E33-C33</f>
        <v>-188.105263157895</v>
      </c>
      <c r="G33" s="11" t="n">
        <f aca="false">IF(AND(C33=0,E33=0),0,IF(C33=0,"New",(E33-C33)/C33))</f>
        <v>-0.146727974382133</v>
      </c>
      <c r="H33" s="9" t="n">
        <f aca="false">SUMIFS('Source 2025'!$I:$I,'Source 2025'!$B:$B,$A33,'Source 2025'!$A:$A,"Amount (NIS)")</f>
        <v>118489.3</v>
      </c>
      <c r="I33" s="9" t="n">
        <f aca="false">SUMIFS('Source 2026'!$I:$I,'Source 2026'!$B:$B,$A33,'Source 2026'!$A:$A,"Amount (NIS)")</f>
        <v>81426.9</v>
      </c>
      <c r="J33" s="9" t="n">
        <f aca="false">I33*$J$5</f>
        <v>102855.031578947</v>
      </c>
      <c r="K33" s="9" t="n">
        <f aca="false">J33-H33</f>
        <v>-15634.2684210527</v>
      </c>
      <c r="L33" s="11" t="n">
        <f aca="false">IF(AND(H33=0,J33=0),0,IF(H33=0,"New",(J33-H33)/H33))</f>
        <v>-0.131946668779819</v>
      </c>
    </row>
    <row r="34" customFormat="false" ht="15" hidden="false" customHeight="true" outlineLevel="0" collapsed="false">
      <c r="A34" s="8" t="s">
        <v>84</v>
      </c>
      <c r="B34" s="8" t="str">
        <f aca="false">IFERROR(INDEX('Source 2026'!$C:$C,MATCH($A34,'Source 2026'!$B:$B,0)),IFERROR(INDEX('Source 2025'!$C:$C,MATCH($A34,'Source 2025'!$B:$B,0)),""))</f>
        <v>L עקבים לדורבן-זוג כריות</v>
      </c>
      <c r="C34" s="9" t="n">
        <f aca="false">SUMIFS('Source 2025'!$I:$I,'Source 2025'!$B:$B,$A34,'Source 2025'!$A:$A,"Quantity (units)")</f>
        <v>1599</v>
      </c>
      <c r="D34" s="9" t="n">
        <f aca="false">SUMIFS('Source 2026'!$I:$I,'Source 2026'!$B:$B,$A34,'Source 2026'!$A:$A,"Quantity (units)")</f>
        <v>1219</v>
      </c>
      <c r="E34" s="9" t="n">
        <f aca="false">D34*$J$5</f>
        <v>1539.78947368421</v>
      </c>
      <c r="F34" s="9" t="n">
        <f aca="false">E34-C34</f>
        <v>-59.2105263157896</v>
      </c>
      <c r="G34" s="11" t="n">
        <f aca="false">IF(AND(C34=0,E34=0),0,IF(C34=0,"New",(E34-C34)/C34))</f>
        <v>-0.037029722523946</v>
      </c>
      <c r="H34" s="9" t="n">
        <f aca="false">SUMIFS('Source 2025'!$I:$I,'Source 2025'!$B:$B,$A34,'Source 2025'!$A:$A,"Amount (NIS)")</f>
        <v>131658.1</v>
      </c>
      <c r="I34" s="9" t="n">
        <f aca="false">SUMIFS('Source 2026'!$I:$I,'Source 2026'!$B:$B,$A34,'Source 2026'!$A:$A,"Amount (NIS)")</f>
        <v>100335.9</v>
      </c>
      <c r="J34" s="9" t="n">
        <f aca="false">I34*$J$5</f>
        <v>126740.084210526</v>
      </c>
      <c r="K34" s="9" t="n">
        <f aca="false">J34-H34</f>
        <v>-4918.01578947371</v>
      </c>
      <c r="L34" s="11" t="n">
        <f aca="false">IF(AND(H34=0,J34=0),0,IF(H34=0,"New",(J34-H34)/H34))</f>
        <v>-0.0373544490576251</v>
      </c>
    </row>
    <row r="35" customFormat="false" ht="15" hidden="false" customHeight="true" outlineLevel="0" collapsed="false">
      <c r="A35" s="8" t="s">
        <v>113</v>
      </c>
      <c r="B35" s="8" t="str">
        <f aca="false">IFERROR(INDEX('Source 2026'!$C:$C,MATCH($A35,'Source 2026'!$B:$B,0)),IFERROR(INDEX('Source 2025'!$C:$C,MATCH($A35,'Source 2025'!$B:$B,0)),""))</f>
        <v>M 'מגן מרפק בז</v>
      </c>
      <c r="C35" s="9" t="n">
        <f aca="false">SUMIFS('Source 2025'!$I:$I,'Source 2025'!$B:$B,$A35,'Source 2025'!$A:$A,"Quantity (units)")</f>
        <v>3430</v>
      </c>
      <c r="D35" s="9" t="n">
        <f aca="false">SUMIFS('Source 2026'!$I:$I,'Source 2026'!$B:$B,$A35,'Source 2026'!$A:$A,"Quantity (units)")</f>
        <v>2324</v>
      </c>
      <c r="E35" s="9" t="n">
        <f aca="false">D35*$J$5</f>
        <v>2935.57894736842</v>
      </c>
      <c r="F35" s="9" t="n">
        <f aca="false">E35-C35</f>
        <v>-494.421052631579</v>
      </c>
      <c r="G35" s="11" t="n">
        <f aca="false">IF(AND(C35=0,E35=0),0,IF(C35=0,"New",(E35-C35)/C35))</f>
        <v>-0.144146079484425</v>
      </c>
      <c r="H35" s="9" t="n">
        <f aca="false">SUMIFS('Source 2025'!$I:$I,'Source 2025'!$B:$B,$A35,'Source 2025'!$A:$A,"Amount (NIS)")</f>
        <v>89082.3</v>
      </c>
      <c r="I35" s="9" t="n">
        <f aca="false">SUMIFS('Source 2026'!$I:$I,'Source 2026'!$B:$B,$A35,'Source 2026'!$A:$A,"Amount (NIS)")</f>
        <v>61292</v>
      </c>
      <c r="J35" s="9" t="n">
        <f aca="false">I35*$J$5</f>
        <v>77421.4736842105</v>
      </c>
      <c r="K35" s="9" t="n">
        <f aca="false">J35-H35</f>
        <v>-11660.8263157895</v>
      </c>
      <c r="L35" s="11" t="n">
        <f aca="false">IF(AND(H35=0,J35=0),0,IF(H35=0,"New",(J35-H35)/H35))</f>
        <v>-0.130899475157124</v>
      </c>
    </row>
    <row r="36" customFormat="false" ht="15" hidden="false" customHeight="true" outlineLevel="0" collapsed="false">
      <c r="A36" s="8" t="s">
        <v>83</v>
      </c>
      <c r="B36" s="8" t="str">
        <f aca="false">IFERROR(INDEX('Source 2026'!$C:$C,MATCH($A36,'Source 2026'!$B:$B,0)),IFERROR(INDEX('Source 2025'!$C:$C,MATCH($A36,'Source 2025'!$B:$B,0)),""))</f>
        <v>1 תומך ברך גנושילד</v>
      </c>
      <c r="C36" s="9" t="n">
        <f aca="false">SUMIFS('Source 2025'!$I:$I,'Source 2025'!$B:$B,$A36,'Source 2025'!$A:$A,"Quantity (units)")</f>
        <v>0</v>
      </c>
      <c r="D36" s="9" t="n">
        <f aca="false">SUMIFS('Source 2026'!$I:$I,'Source 2026'!$B:$B,$A36,'Source 2026'!$A:$A,"Quantity (units)")</f>
        <v>149</v>
      </c>
      <c r="E36" s="9" t="n">
        <f aca="false">D36*$J$5</f>
        <v>188.210526315789</v>
      </c>
      <c r="F36" s="9" t="n">
        <f aca="false">E36-C36</f>
        <v>188.210526315789</v>
      </c>
      <c r="G36" s="11" t="str">
        <f aca="false">IF(AND(C36=0,E36=0),0,IF(C36=0,"New",(E36-C36)/C36))</f>
        <v>New</v>
      </c>
      <c r="H36" s="9" t="n">
        <f aca="false">SUMIFS('Source 2025'!$I:$I,'Source 2025'!$B:$B,$A36,'Source 2025'!$A:$A,"Amount (NIS)")</f>
        <v>0</v>
      </c>
      <c r="I36" s="9" t="n">
        <f aca="false">SUMIFS('Source 2026'!$I:$I,'Source 2026'!$B:$B,$A36,'Source 2026'!$A:$A,"Amount (NIS)")</f>
        <v>26893.1</v>
      </c>
      <c r="J36" s="9" t="n">
        <f aca="false">I36*$J$5</f>
        <v>33970.2315789474</v>
      </c>
      <c r="K36" s="9" t="n">
        <f aca="false">J36-H36</f>
        <v>33970.2315789474</v>
      </c>
      <c r="L36" s="11" t="str">
        <f aca="false">IF(AND(H36=0,J36=0),0,IF(H36=0,"New",(J36-H36)/H36))</f>
        <v>New</v>
      </c>
    </row>
    <row r="37" customFormat="false" ht="15" hidden="false" customHeight="true" outlineLevel="0" collapsed="false">
      <c r="A37" s="8" t="s">
        <v>129</v>
      </c>
      <c r="B37" s="8" t="str">
        <f aca="false">IFERROR(INDEX('Source 2026'!$C:$C,MATCH($A37,'Source 2026'!$B:$B,0)),IFERROR(INDEX('Source 2025'!$C:$C,MATCH($A37,'Source 2025'!$B:$B,0)),""))</f>
        <v>תחבושת א.נצמ</v>
      </c>
      <c r="C37" s="9" t="n">
        <f aca="false">SUMIFS('Source 2025'!$I:$I,'Source 2025'!$B:$B,$A37,'Source 2025'!$A:$A,"Quantity (units)")</f>
        <v>4000</v>
      </c>
      <c r="D37" s="9" t="n">
        <f aca="false">SUMIFS('Source 2026'!$I:$I,'Source 2026'!$B:$B,$A37,'Source 2026'!$A:$A,"Quantity (units)")</f>
        <v>1460</v>
      </c>
      <c r="E37" s="9" t="n">
        <f aca="false">D37*$J$5</f>
        <v>1844.21052631579</v>
      </c>
      <c r="F37" s="9" t="n">
        <f aca="false">E37-C37</f>
        <v>-2155.78947368421</v>
      </c>
      <c r="G37" s="11" t="n">
        <f aca="false">IF(AND(C37=0,E37=0),0,IF(C37=0,"New",(E37-C37)/C37))</f>
        <v>-0.538947368421053</v>
      </c>
      <c r="H37" s="9" t="n">
        <f aca="false">SUMIFS('Source 2025'!$I:$I,'Source 2025'!$B:$B,$A37,'Source 2025'!$A:$A,"Amount (NIS)")</f>
        <v>41284.6</v>
      </c>
      <c r="I37" s="9" t="n">
        <f aca="false">SUMIFS('Source 2026'!$I:$I,'Source 2026'!$B:$B,$A37,'Source 2026'!$A:$A,"Amount (NIS)")</f>
        <v>15123.4</v>
      </c>
      <c r="J37" s="9" t="n">
        <f aca="false">I37*$J$5</f>
        <v>19103.2421052632</v>
      </c>
      <c r="K37" s="9" t="n">
        <f aca="false">J37-H37</f>
        <v>-22181.3578947368</v>
      </c>
      <c r="L37" s="11" t="n">
        <f aca="false">IF(AND(H37=0,J37=0),0,IF(H37=0,"New",(J37-H37)/H37))</f>
        <v>-0.537279225055755</v>
      </c>
    </row>
    <row r="38" customFormat="false" ht="15" hidden="false" customHeight="true" outlineLevel="0" collapsed="false">
      <c r="A38" s="8" t="s">
        <v>146</v>
      </c>
      <c r="B38" s="8" t="str">
        <f aca="false">IFERROR(INDEX('Source 2026'!$C:$C,MATCH($A38,'Source 2026'!$B:$B,0)),IFERROR(INDEX('Source 2025'!$C:$C,MATCH($A38,'Source 2025'!$B:$B,0)),""))</f>
        <v>מגן ברך עם תמיכות</v>
      </c>
      <c r="C38" s="9" t="n">
        <f aca="false">SUMIFS('Source 2025'!$I:$I,'Source 2025'!$B:$B,$A38,'Source 2025'!$A:$A,"Quantity (units)")</f>
        <v>100</v>
      </c>
      <c r="D38" s="9" t="n">
        <f aca="false">SUMIFS('Source 2026'!$I:$I,'Source 2026'!$B:$B,$A38,'Source 2026'!$A:$A,"Quantity (units)")</f>
        <v>496</v>
      </c>
      <c r="E38" s="9" t="n">
        <f aca="false">D38*$J$5</f>
        <v>626.526315789474</v>
      </c>
      <c r="F38" s="9" t="n">
        <f aca="false">E38-C38</f>
        <v>526.526315789474</v>
      </c>
      <c r="G38" s="11" t="n">
        <f aca="false">IF(AND(C38=0,E38=0),0,IF(C38=0,"New",(E38-C38)/C38))</f>
        <v>5.26526315789474</v>
      </c>
      <c r="H38" s="9" t="n">
        <f aca="false">SUMIFS('Source 2025'!$I:$I,'Source 2025'!$B:$B,$A38,'Source 2025'!$A:$A,"Amount (NIS)")</f>
        <v>6000.1</v>
      </c>
      <c r="I38" s="9" t="n">
        <f aca="false">SUMIFS('Source 2026'!$I:$I,'Source 2026'!$B:$B,$A38,'Source 2026'!$A:$A,"Amount (NIS)")</f>
        <v>31792.8</v>
      </c>
      <c r="J38" s="9" t="n">
        <f aca="false">I38*$J$5</f>
        <v>40159.3263157895</v>
      </c>
      <c r="K38" s="9" t="n">
        <f aca="false">J38-H38</f>
        <v>34159.2263157895</v>
      </c>
      <c r="L38" s="11" t="n">
        <f aca="false">IF(AND(H38=0,J38=0),0,IF(H38=0,"New",(J38-H38)/H38))</f>
        <v>5.69310950080657</v>
      </c>
    </row>
    <row r="39" customFormat="false" ht="15" hidden="false" customHeight="true" outlineLevel="0" collapsed="false">
      <c r="A39" s="8" t="s">
        <v>144</v>
      </c>
      <c r="B39" s="8" t="str">
        <f aca="false">IFERROR(INDEX('Source 2026'!$C:$C,MATCH($A39,'Source 2026'!$B:$B,0)),IFERROR(INDEX('Source 2025'!$C:$C,MATCH($A39,'Source 2025'!$B:$B,0)),""))</f>
        <v>שרוול מטטרזלי מסיליקון</v>
      </c>
      <c r="C39" s="9" t="n">
        <f aca="false">SUMIFS('Source 2025'!$I:$I,'Source 2025'!$B:$B,$A39,'Source 2025'!$A:$A,"Quantity (units)")</f>
        <v>1239</v>
      </c>
      <c r="D39" s="9" t="n">
        <f aca="false">SUMIFS('Source 2026'!$I:$I,'Source 2026'!$B:$B,$A39,'Source 2026'!$A:$A,"Quantity (units)")</f>
        <v>769</v>
      </c>
      <c r="E39" s="9" t="n">
        <f aca="false">D39*$J$5</f>
        <v>971.368421052632</v>
      </c>
      <c r="F39" s="9" t="n">
        <f aca="false">E39-C39</f>
        <v>-267.631578947368</v>
      </c>
      <c r="G39" s="11" t="n">
        <f aca="false">IF(AND(C39=0,E39=0),0,IF(C39=0,"New",(E39-C39)/C39))</f>
        <v>-0.216006116987384</v>
      </c>
      <c r="H39" s="9" t="n">
        <f aca="false">SUMIFS('Source 2025'!$I:$I,'Source 2025'!$B:$B,$A39,'Source 2025'!$A:$A,"Amount (NIS)")</f>
        <v>64494.5</v>
      </c>
      <c r="I39" s="9" t="n">
        <f aca="false">SUMIFS('Source 2026'!$I:$I,'Source 2026'!$B:$B,$A39,'Source 2026'!$A:$A,"Amount (NIS)")</f>
        <v>40241</v>
      </c>
      <c r="J39" s="9" t="n">
        <f aca="false">I39*$J$5</f>
        <v>50830.7368421053</v>
      </c>
      <c r="K39" s="9" t="n">
        <f aca="false">J39-H39</f>
        <v>-13663.7631578947</v>
      </c>
      <c r="L39" s="11" t="n">
        <f aca="false">IF(AND(H39=0,J39=0),0,IF(H39=0,"New",(J39-H39)/H39))</f>
        <v>-0.211859354796064</v>
      </c>
    </row>
    <row r="40" customFormat="false" ht="15" hidden="false" customHeight="true" outlineLevel="0" collapsed="false">
      <c r="A40" s="8" t="s">
        <v>287</v>
      </c>
      <c r="B40" s="8" t="str">
        <f aca="false">IFERROR(INDEX('Source 2026'!$C:$C,MATCH($A40,'Source 2026'!$B:$B,0)),IFERROR(INDEX('Source 2025'!$C:$C,MATCH($A40,'Source 2025'!$B:$B,0)),""))</f>
        <v>פיקה לברך</v>
      </c>
      <c r="C40" s="9" t="n">
        <f aca="false">SUMIFS('Source 2025'!$I:$I,'Source 2025'!$B:$B,$A40,'Source 2025'!$A:$A,"Quantity (units)")</f>
        <v>1021</v>
      </c>
      <c r="D40" s="9" t="n">
        <f aca="false">SUMIFS('Source 2026'!$I:$I,'Source 2026'!$B:$B,$A40,'Source 2026'!$A:$A,"Quantity (units)")</f>
        <v>494</v>
      </c>
      <c r="E40" s="9" t="n">
        <f aca="false">D40*$J$5</f>
        <v>624</v>
      </c>
      <c r="F40" s="9" t="n">
        <f aca="false">E40-C40</f>
        <v>-397</v>
      </c>
      <c r="G40" s="11" t="n">
        <f aca="false">IF(AND(C40=0,E40=0),0,IF(C40=0,"New",(E40-C40)/C40))</f>
        <v>-0.388834476003918</v>
      </c>
      <c r="H40" s="9" t="n">
        <f aca="false">SUMIFS('Source 2025'!$I:$I,'Source 2025'!$B:$B,$A40,'Source 2025'!$A:$A,"Amount (NIS)")</f>
        <v>46100.5</v>
      </c>
      <c r="I40" s="9" t="n">
        <f aca="false">SUMIFS('Source 2026'!$I:$I,'Source 2026'!$B:$B,$A40,'Source 2026'!$A:$A,"Amount (NIS)")</f>
        <v>22307.3</v>
      </c>
      <c r="J40" s="9" t="n">
        <f aca="false">I40*$J$5</f>
        <v>28177.6421052632</v>
      </c>
      <c r="K40" s="9" t="n">
        <f aca="false">J40-H40</f>
        <v>-17922.8578947368</v>
      </c>
      <c r="L40" s="11" t="n">
        <f aca="false">IF(AND(H40=0,J40=0),0,IF(H40=0,"New",(J40-H40)/H40))</f>
        <v>-0.388777950233443</v>
      </c>
    </row>
    <row r="41" customFormat="false" ht="15" hidden="false" customHeight="true" outlineLevel="0" collapsed="false">
      <c r="A41" s="8" t="s">
        <v>106</v>
      </c>
      <c r="B41" s="8" t="str">
        <f aca="false">IFERROR(INDEX('Source 2026'!$C:$C,MATCH($A41,'Source 2026'!$B:$B,0)),IFERROR(INDEX('Source 2025'!$C:$C,MATCH($A41,'Source 2025'!$B:$B,0)),""))</f>
        <v>טלק מעושר באלוורה</v>
      </c>
      <c r="C41" s="9" t="n">
        <f aca="false">SUMIFS('Source 2025'!$I:$I,'Source 2025'!$B:$B,$A41,'Source 2025'!$A:$A,"Quantity (units)")</f>
        <v>2669</v>
      </c>
      <c r="D41" s="9" t="n">
        <f aca="false">SUMIFS('Source 2026'!$I:$I,'Source 2026'!$B:$B,$A41,'Source 2026'!$A:$A,"Quantity (units)")</f>
        <v>1303</v>
      </c>
      <c r="E41" s="9" t="n">
        <f aca="false">D41*$J$5</f>
        <v>1645.89473684211</v>
      </c>
      <c r="F41" s="9" t="n">
        <f aca="false">E41-C41</f>
        <v>-1023.10526315789</v>
      </c>
      <c r="G41" s="11" t="n">
        <f aca="false">IF(AND(C41=0,E41=0),0,IF(C41=0,"New",(E41-C41)/C41))</f>
        <v>-0.383329060756049</v>
      </c>
      <c r="H41" s="9" t="n">
        <f aca="false">SUMIFS('Source 2025'!$I:$I,'Source 2025'!$B:$B,$A41,'Source 2025'!$A:$A,"Amount (NIS)")</f>
        <v>45083.3</v>
      </c>
      <c r="I41" s="9" t="n">
        <f aca="false">SUMIFS('Source 2026'!$I:$I,'Source 2026'!$B:$B,$A41,'Source 2026'!$A:$A,"Amount (NIS)")</f>
        <v>22114.5</v>
      </c>
      <c r="J41" s="9" t="n">
        <f aca="false">I41*$J$5</f>
        <v>27934.1052631579</v>
      </c>
      <c r="K41" s="9" t="n">
        <f aca="false">J41-H41</f>
        <v>-17149.1947368421</v>
      </c>
      <c r="L41" s="11" t="n">
        <f aca="false">IF(AND(H41=0,J41=0),0,IF(H41=0,"New",(J41-H41)/H41))</f>
        <v>-0.380389073932967</v>
      </c>
    </row>
    <row r="42" customFormat="false" ht="15" hidden="false" customHeight="true" outlineLevel="0" collapsed="false">
      <c r="A42" s="8" t="s">
        <v>109</v>
      </c>
      <c r="B42" s="8" t="str">
        <f aca="false">IFERROR(INDEX('Source 2026'!$C:$C,MATCH($A42,'Source 2026'!$B:$B,0)),IFERROR(INDEX('Source 2025'!$C:$C,MATCH($A42,'Source 2025'!$B:$B,0)),""))</f>
        <v>לציפורן חודרנית</v>
      </c>
      <c r="C42" s="9" t="n">
        <f aca="false">SUMIFS('Source 2025'!$I:$I,'Source 2025'!$B:$B,$A42,'Source 2025'!$A:$A,"Quantity (units)")</f>
        <v>2328</v>
      </c>
      <c r="D42" s="9" t="n">
        <f aca="false">SUMIFS('Source 2026'!$I:$I,'Source 2026'!$B:$B,$A42,'Source 2026'!$A:$A,"Quantity (units)")</f>
        <v>1600</v>
      </c>
      <c r="E42" s="9" t="n">
        <f aca="false">D42*$J$5</f>
        <v>2021.05263157895</v>
      </c>
      <c r="F42" s="9" t="n">
        <f aca="false">E42-C42</f>
        <v>-306.947368421053</v>
      </c>
      <c r="G42" s="11" t="n">
        <f aca="false">IF(AND(C42=0,E42=0),0,IF(C42=0,"New",(E42-C42)/C42))</f>
        <v>-0.131850244167119</v>
      </c>
      <c r="H42" s="9" t="n">
        <f aca="false">SUMIFS('Source 2025'!$I:$I,'Source 2025'!$B:$B,$A42,'Source 2025'!$A:$A,"Amount (NIS)")</f>
        <v>73148</v>
      </c>
      <c r="I42" s="9" t="n">
        <f aca="false">SUMIFS('Source 2026'!$I:$I,'Source 2026'!$B:$B,$A42,'Source 2026'!$A:$A,"Amount (NIS)")</f>
        <v>50431.7</v>
      </c>
      <c r="J42" s="9" t="n">
        <f aca="false">I42*$J$5</f>
        <v>63703.2</v>
      </c>
      <c r="K42" s="9" t="n">
        <f aca="false">J42-H42</f>
        <v>-9444.80000000001</v>
      </c>
      <c r="L42" s="11" t="n">
        <f aca="false">IF(AND(H42=0,J42=0),0,IF(H42=0,"New",(J42-H42)/H42))</f>
        <v>-0.129119046317056</v>
      </c>
    </row>
    <row r="43" customFormat="false" ht="15" hidden="false" customHeight="true" outlineLevel="0" collapsed="false">
      <c r="A43" s="8" t="s">
        <v>86</v>
      </c>
      <c r="B43" s="8" t="str">
        <f aca="false">IFERROR(INDEX('Source 2026'!$C:$C,MATCH($A43,'Source 2026'!$B:$B,0)),IFERROR(INDEX('Source 2025'!$C:$C,MATCH($A43,'Source 2025'!$B:$B,0)),""))</f>
        <v>L צוארון ספוגי</v>
      </c>
      <c r="C43" s="9" t="n">
        <f aca="false">SUMIFS('Source 2025'!$I:$I,'Source 2025'!$B:$B,$A43,'Source 2025'!$A:$A,"Quantity (units)")</f>
        <v>2500</v>
      </c>
      <c r="D43" s="9" t="n">
        <f aca="false">SUMIFS('Source 2026'!$I:$I,'Source 2026'!$B:$B,$A43,'Source 2026'!$A:$A,"Quantity (units)")</f>
        <v>1675</v>
      </c>
      <c r="E43" s="9" t="n">
        <f aca="false">D43*$J$5</f>
        <v>2115.78947368421</v>
      </c>
      <c r="F43" s="9" t="n">
        <f aca="false">E43-C43</f>
        <v>-384.21052631579</v>
      </c>
      <c r="G43" s="11" t="n">
        <f aca="false">IF(AND(C43=0,E43=0),0,IF(C43=0,"New",(E43-C43)/C43))</f>
        <v>-0.153684210526316</v>
      </c>
      <c r="H43" s="9" t="n">
        <f aca="false">SUMIFS('Source 2025'!$I:$I,'Source 2025'!$B:$B,$A43,'Source 2025'!$A:$A,"Amount (NIS)")</f>
        <v>75752.2</v>
      </c>
      <c r="I43" s="9" t="n">
        <f aca="false">SUMIFS('Source 2026'!$I:$I,'Source 2026'!$B:$B,$A43,'Source 2026'!$A:$A,"Amount (NIS)")</f>
        <v>53058.3</v>
      </c>
      <c r="J43" s="9" t="n">
        <f aca="false">I43*$J$5</f>
        <v>67021.0105263158</v>
      </c>
      <c r="K43" s="9" t="n">
        <f aca="false">J43-H43</f>
        <v>-8731.18947368421</v>
      </c>
      <c r="L43" s="11" t="n">
        <f aca="false">IF(AND(H43=0,J43=0),0,IF(H43=0,"New",(J43-H43)/H43))</f>
        <v>-0.115259879893709</v>
      </c>
    </row>
    <row r="44" customFormat="false" ht="15" hidden="false" customHeight="true" outlineLevel="0" collapsed="false">
      <c r="A44" s="8" t="s">
        <v>208</v>
      </c>
      <c r="B44" s="8" t="str">
        <f aca="false">IFERROR(INDEX('Source 2026'!$C:$C,MATCH($A44,'Source 2026'!$B:$B,0)),IFERROR(INDEX('Source 2025'!$C:$C,MATCH($A44,'Source 2025'!$B:$B,0)),""))</f>
        <v>חבק ""טניס אלבו רצועה</v>
      </c>
      <c r="C44" s="9" t="n">
        <f aca="false">SUMIFS('Source 2025'!$I:$I,'Source 2025'!$B:$B,$A44,'Source 2025'!$A:$A,"Quantity (units)")</f>
        <v>259</v>
      </c>
      <c r="D44" s="9" t="n">
        <f aca="false">SUMIFS('Source 2026'!$I:$I,'Source 2026'!$B:$B,$A44,'Source 2026'!$A:$A,"Quantity (units)")</f>
        <v>-31</v>
      </c>
      <c r="E44" s="9" t="n">
        <f aca="false">D44*$J$5</f>
        <v>-39.1578947368421</v>
      </c>
      <c r="F44" s="9" t="n">
        <f aca="false">E44-C44</f>
        <v>-298.157894736842</v>
      </c>
      <c r="G44" s="11" t="n">
        <f aca="false">IF(AND(C44=0,E44=0),0,IF(C44=0,"New",(E44-C44)/C44))</f>
        <v>-1.15118878276773</v>
      </c>
      <c r="H44" s="9" t="n">
        <f aca="false">SUMIFS('Source 2025'!$I:$I,'Source 2025'!$B:$B,$A44,'Source 2025'!$A:$A,"Amount (NIS)")</f>
        <v>18291</v>
      </c>
      <c r="I44" s="9" t="n">
        <f aca="false">SUMIFS('Source 2026'!$I:$I,'Source 2026'!$B:$B,$A44,'Source 2026'!$A:$A,"Amount (NIS)")</f>
        <v>-2165</v>
      </c>
      <c r="J44" s="9" t="n">
        <f aca="false">I44*$J$5</f>
        <v>-2734.73684210526</v>
      </c>
      <c r="K44" s="9" t="n">
        <f aca="false">J44-H44</f>
        <v>-21025.7368421053</v>
      </c>
      <c r="L44" s="11" t="n">
        <f aca="false">IF(AND(H44=0,J44=0),0,IF(H44=0,"New",(J44-H44)/H44))</f>
        <v>-1.14951270253705</v>
      </c>
    </row>
    <row r="45" customFormat="false" ht="15" hidden="false" customHeight="true" outlineLevel="0" collapsed="false">
      <c r="A45" s="8" t="s">
        <v>117</v>
      </c>
      <c r="B45" s="8" t="str">
        <f aca="false">IFERROR(INDEX('Source 2026'!$C:$C,MATCH($A45,'Source 2026'!$B:$B,0)),IFERROR(INDEX('Source 2025'!$C:$C,MATCH($A45,'Source 2025'!$B:$B,0)),""))</f>
        <v>טייפ קינזיולוגי</v>
      </c>
      <c r="C45" s="9" t="n">
        <f aca="false">SUMIFS('Source 2025'!$I:$I,'Source 2025'!$B:$B,$A45,'Source 2025'!$A:$A,"Quantity (units)")</f>
        <v>1052</v>
      </c>
      <c r="D45" s="9" t="n">
        <f aca="false">SUMIFS('Source 2026'!$I:$I,'Source 2026'!$B:$B,$A45,'Source 2026'!$A:$A,"Quantity (units)")</f>
        <v>563</v>
      </c>
      <c r="E45" s="9" t="n">
        <f aca="false">D45*$J$5</f>
        <v>711.157894736842</v>
      </c>
      <c r="F45" s="9" t="n">
        <f aca="false">E45-C45</f>
        <v>-340.842105263158</v>
      </c>
      <c r="G45" s="11" t="n">
        <f aca="false">IF(AND(C45=0,E45=0),0,IF(C45=0,"New",(E45-C45)/C45))</f>
        <v>-0.323994396637983</v>
      </c>
      <c r="H45" s="9" t="n">
        <f aca="false">SUMIFS('Source 2025'!$I:$I,'Source 2025'!$B:$B,$A45,'Source 2025'!$A:$A,"Amount (NIS)")</f>
        <v>43432.7</v>
      </c>
      <c r="I45" s="9" t="n">
        <f aca="false">SUMIFS('Source 2026'!$I:$I,'Source 2026'!$B:$B,$A45,'Source 2026'!$A:$A,"Amount (NIS)")</f>
        <v>23392.6</v>
      </c>
      <c r="J45" s="9" t="n">
        <f aca="false">I45*$J$5</f>
        <v>29548.5473684211</v>
      </c>
      <c r="K45" s="9" t="n">
        <f aca="false">J45-H45</f>
        <v>-13884.1526315789</v>
      </c>
      <c r="L45" s="11" t="n">
        <f aca="false">IF(AND(H45=0,J45=0),0,IF(H45=0,"New",(J45-H45)/H45))</f>
        <v>-0.319670493236178</v>
      </c>
    </row>
    <row r="46" customFormat="false" ht="15" hidden="false" customHeight="true" outlineLevel="0" collapsed="false">
      <c r="A46" s="8" t="s">
        <v>107</v>
      </c>
      <c r="B46" s="8" t="str">
        <f aca="false">IFERROR(INDEX('Source 2026'!$C:$C,MATCH($A46,'Source 2026'!$B:$B,0)),IFERROR(INDEX('Source 2025'!$C:$C,MATCH($A46,'Source 2025'!$B:$B,0)),""))</f>
        <v>טייפ קינזיולוגי</v>
      </c>
      <c r="C46" s="9" t="n">
        <f aca="false">SUMIFS('Source 2025'!$I:$I,'Source 2025'!$B:$B,$A46,'Source 2025'!$A:$A,"Quantity (units)")</f>
        <v>1200</v>
      </c>
      <c r="D46" s="9" t="n">
        <f aca="false">SUMIFS('Source 2026'!$I:$I,'Source 2026'!$B:$B,$A46,'Source 2026'!$A:$A,"Quantity (units)")</f>
        <v>711</v>
      </c>
      <c r="E46" s="9" t="n">
        <f aca="false">D46*$J$5</f>
        <v>898.105263157895</v>
      </c>
      <c r="F46" s="9" t="n">
        <f aca="false">E46-C46</f>
        <v>-301.894736842105</v>
      </c>
      <c r="G46" s="11" t="n">
        <f aca="false">IF(AND(C46=0,E46=0),0,IF(C46=0,"New",(E46-C46)/C46))</f>
        <v>-0.251578947368421</v>
      </c>
      <c r="H46" s="9" t="n">
        <f aca="false">SUMIFS('Source 2025'!$I:$I,'Source 2025'!$B:$B,$A46,'Source 2025'!$A:$A,"Amount (NIS)")</f>
        <v>48495.6</v>
      </c>
      <c r="I46" s="9" t="n">
        <f aca="false">SUMIFS('Source 2026'!$I:$I,'Source 2026'!$B:$B,$A46,'Source 2026'!$A:$A,"Amount (NIS)")</f>
        <v>28682.6</v>
      </c>
      <c r="J46" s="9" t="n">
        <f aca="false">I46*$J$5</f>
        <v>36230.6526315789</v>
      </c>
      <c r="K46" s="9" t="n">
        <f aca="false">J46-H46</f>
        <v>-12264.9473684211</v>
      </c>
      <c r="L46" s="11" t="n">
        <f aca="false">IF(AND(H46=0,J46=0),0,IF(H46=0,"New",(J46-H46)/H46))</f>
        <v>-0.252908457023339</v>
      </c>
    </row>
    <row r="47" customFormat="false" ht="15" hidden="false" customHeight="true" outlineLevel="0" collapsed="false">
      <c r="A47" s="8" t="s">
        <v>136</v>
      </c>
      <c r="B47" s="8" t="str">
        <f aca="false">IFERROR(INDEX('Source 2026'!$C:$C,MATCH($A47,'Source 2026'!$B:$B,0)),IFERROR(INDEX('Source 2025'!$C:$C,MATCH($A47,'Source 2025'!$B:$B,0)),""))</f>
        <v>L מגן מרפק רגיל לבן</v>
      </c>
      <c r="C47" s="9" t="n">
        <f aca="false">SUMIFS('Source 2025'!$I:$I,'Source 2025'!$B:$B,$A47,'Source 2025'!$A:$A,"Quantity (units)")</f>
        <v>1944</v>
      </c>
      <c r="D47" s="9" t="n">
        <f aca="false">SUMIFS('Source 2026'!$I:$I,'Source 2026'!$B:$B,$A47,'Source 2026'!$A:$A,"Quantity (units)")</f>
        <v>1193</v>
      </c>
      <c r="E47" s="9" t="n">
        <f aca="false">D47*$J$5</f>
        <v>1506.94736842105</v>
      </c>
      <c r="F47" s="9" t="n">
        <f aca="false">E47-C47</f>
        <v>-437.052631578948</v>
      </c>
      <c r="G47" s="11" t="n">
        <f aca="false">IF(AND(C47=0,E47=0),0,IF(C47=0,"New",(E47-C47)/C47))</f>
        <v>-0.224821312540611</v>
      </c>
      <c r="H47" s="9" t="n">
        <f aca="false">SUMIFS('Source 2025'!$I:$I,'Source 2025'!$B:$B,$A47,'Source 2025'!$A:$A,"Amount (NIS)")</f>
        <v>50757.7</v>
      </c>
      <c r="I47" s="9" t="n">
        <f aca="false">SUMIFS('Source 2026'!$I:$I,'Source 2026'!$B:$B,$A47,'Source 2026'!$A:$A,"Amount (NIS)")</f>
        <v>31560.2</v>
      </c>
      <c r="J47" s="9" t="n">
        <f aca="false">I47*$J$5</f>
        <v>39865.5157894737</v>
      </c>
      <c r="K47" s="9" t="n">
        <f aca="false">J47-H47</f>
        <v>-10892.1842105263</v>
      </c>
      <c r="L47" s="11" t="n">
        <f aca="false">IF(AND(H47=0,J47=0),0,IF(H47=0,"New",(J47-H47)/H47))</f>
        <v>-0.214591760669343</v>
      </c>
    </row>
    <row r="48" customFormat="false" ht="15" hidden="false" customHeight="true" outlineLevel="0" collapsed="false">
      <c r="A48" s="8" t="s">
        <v>118</v>
      </c>
      <c r="B48" s="8" t="str">
        <f aca="false">IFERROR(INDEX('Source 2026'!$C:$C,MATCH($A48,'Source 2026'!$B:$B,0)),IFERROR(INDEX('Source 2025'!$C:$C,MATCH($A48,'Source 2025'!$B:$B,0)),""))</f>
        <v>טייפ קינזיולוגי</v>
      </c>
      <c r="C48" s="9" t="n">
        <f aca="false">SUMIFS('Source 2025'!$I:$I,'Source 2025'!$B:$B,$A48,'Source 2025'!$A:$A,"Quantity (units)")</f>
        <v>1250</v>
      </c>
      <c r="D48" s="9" t="n">
        <f aca="false">SUMIFS('Source 2026'!$I:$I,'Source 2026'!$B:$B,$A48,'Source 2026'!$A:$A,"Quantity (units)")</f>
        <v>779</v>
      </c>
      <c r="E48" s="9" t="n">
        <f aca="false">D48*$J$5</f>
        <v>984</v>
      </c>
      <c r="F48" s="9" t="n">
        <f aca="false">E48-C48</f>
        <v>-266</v>
      </c>
      <c r="G48" s="11" t="n">
        <f aca="false">IF(AND(C48=0,E48=0),0,IF(C48=0,"New",(E48-C48)/C48))</f>
        <v>-0.2128</v>
      </c>
      <c r="H48" s="9" t="n">
        <f aca="false">SUMIFS('Source 2025'!$I:$I,'Source 2025'!$B:$B,$A48,'Source 2025'!$A:$A,"Amount (NIS)")</f>
        <v>49625.3</v>
      </c>
      <c r="I48" s="9" t="n">
        <f aca="false">SUMIFS('Source 2026'!$I:$I,'Source 2026'!$B:$B,$A48,'Source 2026'!$A:$A,"Amount (NIS)")</f>
        <v>31161.7</v>
      </c>
      <c r="J48" s="9" t="n">
        <f aca="false">I48*$J$5</f>
        <v>39362.1473684211</v>
      </c>
      <c r="K48" s="9" t="n">
        <f aca="false">J48-H48</f>
        <v>-10263.152631579</v>
      </c>
      <c r="L48" s="11" t="n">
        <f aca="false">IF(AND(H48=0,J48=0),0,IF(H48=0,"New",(J48-H48)/H48))</f>
        <v>-0.206812908568391</v>
      </c>
    </row>
    <row r="49" customFormat="false" ht="15" hidden="false" customHeight="true" outlineLevel="0" collapsed="false">
      <c r="A49" s="8" t="s">
        <v>270</v>
      </c>
      <c r="B49" s="8" t="str">
        <f aca="false">IFERROR(INDEX('Source 2026'!$C:$C,MATCH($A49,'Source 2026'!$B:$B,0)),IFERROR(INDEX('Source 2025'!$C:$C,MATCH($A49,'Source 2025'!$B:$B,0)),""))</f>
        <v>S מקבע כתף ויד</v>
      </c>
      <c r="C49" s="9" t="n">
        <f aca="false">SUMIFS('Source 2025'!$I:$I,'Source 2025'!$B:$B,$A49,'Source 2025'!$A:$A,"Quantity (units)")</f>
        <v>574</v>
      </c>
      <c r="D49" s="9" t="n">
        <f aca="false">SUMIFS('Source 2026'!$I:$I,'Source 2026'!$B:$B,$A49,'Source 2026'!$A:$A,"Quantity (units)")</f>
        <v>463</v>
      </c>
      <c r="E49" s="9" t="n">
        <f aca="false">D49*$J$5</f>
        <v>584.842105263158</v>
      </c>
      <c r="F49" s="9" t="n">
        <f aca="false">E49-C49</f>
        <v>10.8421052631579</v>
      </c>
      <c r="G49" s="11" t="n">
        <f aca="false">IF(AND(C49=0,E49=0),0,IF(C49=0,"New",(E49-C49)/C49))</f>
        <v>0.0188886851274528</v>
      </c>
      <c r="H49" s="9" t="n">
        <f aca="false">SUMIFS('Source 2025'!$I:$I,'Source 2025'!$B:$B,$A49,'Source 2025'!$A:$A,"Amount (NIS)")</f>
        <v>92968.5</v>
      </c>
      <c r="I49" s="9" t="n">
        <f aca="false">SUMIFS('Source 2026'!$I:$I,'Source 2026'!$B:$B,$A49,'Source 2026'!$A:$A,"Amount (NIS)")</f>
        <v>75091.9</v>
      </c>
      <c r="J49" s="9" t="n">
        <f aca="false">I49*$J$5</f>
        <v>94852.9263157895</v>
      </c>
      <c r="K49" s="9" t="n">
        <f aca="false">J49-H49</f>
        <v>1884.42631578946</v>
      </c>
      <c r="L49" s="11" t="n">
        <f aca="false">IF(AND(H49=0,J49=0),0,IF(H49=0,"New",(J49-H49)/H49))</f>
        <v>0.020269514037437</v>
      </c>
    </row>
    <row r="50" customFormat="false" ht="15" hidden="false" customHeight="true" outlineLevel="0" collapsed="false">
      <c r="A50" s="8" t="s">
        <v>126</v>
      </c>
      <c r="B50" s="8" t="str">
        <f aca="false">IFERROR(INDEX('Source 2026'!$C:$C,MATCH($A50,'Source 2026'!$B:$B,0)),IFERROR(INDEX('Source 2025'!$C:$C,MATCH($A50,'Source 2025'!$B:$B,0)),""))</f>
        <v>טייפ קינזיולוגי</v>
      </c>
      <c r="C50" s="9" t="n">
        <f aca="false">SUMIFS('Source 2025'!$I:$I,'Source 2025'!$B:$B,$A50,'Source 2025'!$A:$A,"Quantity (units)")</f>
        <v>1150</v>
      </c>
      <c r="D50" s="9" t="n">
        <f aca="false">SUMIFS('Source 2026'!$I:$I,'Source 2026'!$B:$B,$A50,'Source 2026'!$A:$A,"Quantity (units)")</f>
        <v>704</v>
      </c>
      <c r="E50" s="9" t="n">
        <f aca="false">D50*$J$5</f>
        <v>889.263157894737</v>
      </c>
      <c r="F50" s="9" t="n">
        <f aca="false">E50-C50</f>
        <v>-260.736842105263</v>
      </c>
      <c r="G50" s="11" t="n">
        <f aca="false">IF(AND(C50=0,E50=0),0,IF(C50=0,"New",(E50-C50)/C50))</f>
        <v>-0.226727688787185</v>
      </c>
      <c r="H50" s="9" t="n">
        <f aca="false">SUMIFS('Source 2025'!$I:$I,'Source 2025'!$B:$B,$A50,'Source 2025'!$A:$A,"Amount (NIS)")</f>
        <v>45598.1</v>
      </c>
      <c r="I50" s="9" t="n">
        <f aca="false">SUMIFS('Source 2026'!$I:$I,'Source 2026'!$B:$B,$A50,'Source 2026'!$A:$A,"Amount (NIS)")</f>
        <v>28209.3</v>
      </c>
      <c r="J50" s="9" t="n">
        <f aca="false">I50*$J$5</f>
        <v>35632.8</v>
      </c>
      <c r="K50" s="9" t="n">
        <f aca="false">J50-H50</f>
        <v>-9965.3</v>
      </c>
      <c r="L50" s="11" t="n">
        <f aca="false">IF(AND(H50=0,J50=0),0,IF(H50=0,"New",(J50-H50)/H50))</f>
        <v>-0.218546386801205</v>
      </c>
    </row>
    <row r="51" customFormat="false" ht="15" hidden="false" customHeight="true" outlineLevel="0" collapsed="false">
      <c r="A51" s="8" t="s">
        <v>127</v>
      </c>
      <c r="B51" s="8" t="str">
        <f aca="false">IFERROR(INDEX('Source 2026'!$C:$C,MATCH($A51,'Source 2026'!$B:$B,0)),IFERROR(INDEX('Source 2025'!$C:$C,MATCH($A51,'Source 2025'!$B:$B,0)),""))</f>
        <v>0 מ.בוניון+מפריד אצבע</v>
      </c>
      <c r="C51" s="9" t="n">
        <f aca="false">SUMIFS('Source 2025'!$I:$I,'Source 2025'!$B:$B,$A51,'Source 2025'!$A:$A,"Quantity (units)")</f>
        <v>1966</v>
      </c>
      <c r="D51" s="9" t="n">
        <f aca="false">SUMIFS('Source 2026'!$I:$I,'Source 2026'!$B:$B,$A51,'Source 2026'!$A:$A,"Quantity (units)")</f>
        <v>1490</v>
      </c>
      <c r="E51" s="9" t="n">
        <f aca="false">D51*$J$5</f>
        <v>1882.10526315789</v>
      </c>
      <c r="F51" s="9" t="n">
        <f aca="false">E51-C51</f>
        <v>-83.8947368421054</v>
      </c>
      <c r="G51" s="11" t="n">
        <f aca="false">IF(AND(C51=0,E51=0),0,IF(C51=0,"New",(E51-C51)/C51))</f>
        <v>-0.0426728061251808</v>
      </c>
      <c r="H51" s="9" t="n">
        <f aca="false">SUMIFS('Source 2025'!$I:$I,'Source 2025'!$B:$B,$A51,'Source 2025'!$A:$A,"Amount (NIS)")</f>
        <v>68574.3</v>
      </c>
      <c r="I51" s="9" t="n">
        <f aca="false">SUMIFS('Source 2026'!$I:$I,'Source 2026'!$B:$B,$A51,'Source 2026'!$A:$A,"Amount (NIS)")</f>
        <v>51711.1</v>
      </c>
      <c r="J51" s="9" t="n">
        <f aca="false">I51*$J$5</f>
        <v>65319.2842105263</v>
      </c>
      <c r="K51" s="9" t="n">
        <f aca="false">J51-H51</f>
        <v>-3255.01578947369</v>
      </c>
      <c r="L51" s="11" t="n">
        <f aca="false">IF(AND(H51=0,J51=0),0,IF(H51=0,"New",(J51-H51)/H51))</f>
        <v>-0.0474669925828436</v>
      </c>
    </row>
    <row r="52" customFormat="false" ht="15" hidden="false" customHeight="true" outlineLevel="0" collapsed="false">
      <c r="A52" s="8" t="s">
        <v>131</v>
      </c>
      <c r="B52" s="8" t="str">
        <f aca="false">IFERROR(INDEX('Source 2026'!$C:$C,MATCH($A52,'Source 2026'!$B:$B,0)),IFERROR(INDEX('Source 2025'!$C:$C,MATCH($A52,'Source 2025'!$B:$B,0)),""))</f>
        <v>S-L אצבעון מסיליקון יחידה</v>
      </c>
      <c r="C52" s="9" t="n">
        <f aca="false">SUMIFS('Source 2025'!$I:$I,'Source 2025'!$B:$B,$A52,'Source 2025'!$A:$A,"Quantity (units)")</f>
        <v>2474</v>
      </c>
      <c r="D52" s="9" t="n">
        <f aca="false">SUMIFS('Source 2026'!$I:$I,'Source 2026'!$B:$B,$A52,'Source 2026'!$A:$A,"Quantity (units)")</f>
        <v>1747</v>
      </c>
      <c r="E52" s="9" t="n">
        <f aca="false">D52*$J$5</f>
        <v>2206.73684210526</v>
      </c>
      <c r="F52" s="9" t="n">
        <f aca="false">E52-C52</f>
        <v>-267.263157894737</v>
      </c>
      <c r="G52" s="11" t="n">
        <f aca="false">IF(AND(C52=0,E52=0),0,IF(C52=0,"New",(E52-C52)/C52))</f>
        <v>-0.108028762285666</v>
      </c>
      <c r="H52" s="9" t="n">
        <f aca="false">SUMIFS('Source 2025'!$I:$I,'Source 2025'!$B:$B,$A52,'Source 2025'!$A:$A,"Amount (NIS)")</f>
        <v>54688.9</v>
      </c>
      <c r="I52" s="9" t="n">
        <f aca="false">SUMIFS('Source 2026'!$I:$I,'Source 2026'!$B:$B,$A52,'Source 2026'!$A:$A,"Amount (NIS)")</f>
        <v>38938.5</v>
      </c>
      <c r="J52" s="9" t="n">
        <f aca="false">I52*$J$5</f>
        <v>49185.4736842105</v>
      </c>
      <c r="K52" s="9" t="n">
        <f aca="false">J52-H52</f>
        <v>-5503.42631578948</v>
      </c>
      <c r="L52" s="11" t="n">
        <f aca="false">IF(AND(H52=0,J52=0),0,IF(H52=0,"New",(J52-H52)/H52))</f>
        <v>-0.100631505036479</v>
      </c>
    </row>
    <row r="53" customFormat="false" ht="15" hidden="false" customHeight="true" outlineLevel="0" collapsed="false">
      <c r="A53" s="8" t="s">
        <v>242</v>
      </c>
      <c r="B53" s="8" t="str">
        <f aca="false">IFERROR(INDEX('Source 2026'!$C:$C,MATCH($A53,'Source 2026'!$B:$B,0)),IFERROR(INDEX('Source 2025'!$C:$C,MATCH($A53,'Source 2025'!$B:$B,0)),""))</f>
        <v>S ""חגורת גב ""לומבו</v>
      </c>
      <c r="C53" s="9" t="n">
        <f aca="false">SUMIFS('Source 2025'!$I:$I,'Source 2025'!$B:$B,$A53,'Source 2025'!$A:$A,"Quantity (units)")</f>
        <v>177</v>
      </c>
      <c r="D53" s="9" t="n">
        <f aca="false">SUMIFS('Source 2026'!$I:$I,'Source 2026'!$B:$B,$A53,'Source 2026'!$A:$A,"Quantity (units)")</f>
        <v>57</v>
      </c>
      <c r="E53" s="9" t="n">
        <f aca="false">D53*$J$5</f>
        <v>72</v>
      </c>
      <c r="F53" s="9" t="n">
        <f aca="false">E53-C53</f>
        <v>-105</v>
      </c>
      <c r="G53" s="11" t="n">
        <f aca="false">IF(AND(C53=0,E53=0),0,IF(C53=0,"New",(E53-C53)/C53))</f>
        <v>-0.593220338983051</v>
      </c>
      <c r="H53" s="9" t="n">
        <f aca="false">SUMIFS('Source 2025'!$I:$I,'Source 2025'!$B:$B,$A53,'Source 2025'!$A:$A,"Amount (NIS)")</f>
        <v>23269.9</v>
      </c>
      <c r="I53" s="9" t="n">
        <f aca="false">SUMIFS('Source 2026'!$I:$I,'Source 2026'!$B:$B,$A53,'Source 2026'!$A:$A,"Amount (NIS)")</f>
        <v>7725.5</v>
      </c>
      <c r="J53" s="9" t="n">
        <f aca="false">I53*$J$5</f>
        <v>9758.52631578947</v>
      </c>
      <c r="K53" s="9" t="n">
        <f aca="false">J53-H53</f>
        <v>-13511.3736842105</v>
      </c>
      <c r="L53" s="11" t="n">
        <f aca="false">IF(AND(H53=0,J53=0),0,IF(H53=0,"New",(J53-H53)/H53))</f>
        <v>-0.58063737636219</v>
      </c>
    </row>
    <row r="54" customFormat="false" ht="15" hidden="false" customHeight="true" outlineLevel="0" collapsed="false">
      <c r="A54" s="8" t="s">
        <v>251</v>
      </c>
      <c r="B54" s="8" t="str">
        <f aca="false">IFERROR(INDEX('Source 2026'!$C:$C,MATCH($A54,'Source 2026'!$B:$B,0)),IFERROR(INDEX('Source 2025'!$C:$C,MATCH($A54,'Source 2025'!$B:$B,0)),""))</f>
        <v>45 M מגן ברך רגיל</v>
      </c>
      <c r="C54" s="9" t="n">
        <f aca="false">SUMIFS('Source 2025'!$I:$I,'Source 2025'!$B:$B,$A54,'Source 2025'!$A:$A,"Quantity (units)")</f>
        <v>302</v>
      </c>
      <c r="D54" s="9" t="n">
        <f aca="false">SUMIFS('Source 2026'!$I:$I,'Source 2026'!$B:$B,$A54,'Source 2026'!$A:$A,"Quantity (units)")</f>
        <v>132</v>
      </c>
      <c r="E54" s="9" t="n">
        <f aca="false">D54*$J$5</f>
        <v>166.736842105263</v>
      </c>
      <c r="F54" s="9" t="n">
        <f aca="false">E54-C54</f>
        <v>-135.263157894737</v>
      </c>
      <c r="G54" s="11" t="n">
        <f aca="false">IF(AND(C54=0,E54=0),0,IF(C54=0,"New",(E54-C54)/C54))</f>
        <v>-0.447891251307076</v>
      </c>
      <c r="H54" s="9" t="n">
        <f aca="false">SUMIFS('Source 2025'!$I:$I,'Source 2025'!$B:$B,$A54,'Source 2025'!$A:$A,"Amount (NIS)")</f>
        <v>27486.1</v>
      </c>
      <c r="I54" s="9" t="n">
        <f aca="false">SUMIFS('Source 2026'!$I:$I,'Source 2026'!$B:$B,$A54,'Source 2026'!$A:$A,"Amount (NIS)")</f>
        <v>12246.5</v>
      </c>
      <c r="J54" s="9" t="n">
        <f aca="false">I54*$J$5</f>
        <v>15469.2631578947</v>
      </c>
      <c r="K54" s="9" t="n">
        <f aca="false">J54-H54</f>
        <v>-12016.8368421053</v>
      </c>
      <c r="L54" s="11" t="n">
        <f aca="false">IF(AND(H54=0,J54=0),0,IF(H54=0,"New",(J54-H54)/H54))</f>
        <v>-0.437196868311811</v>
      </c>
    </row>
    <row r="55" customFormat="false" ht="15" hidden="false" customHeight="true" outlineLevel="0" collapsed="false">
      <c r="A55" s="8" t="s">
        <v>132</v>
      </c>
      <c r="B55" s="8" t="str">
        <f aca="false">IFERROR(INDEX('Source 2026'!$C:$C,MATCH($A55,'Source 2026'!$B:$B,0)),IFERROR(INDEX('Source 2025'!$C:$C,MATCH($A55,'Source 2025'!$B:$B,0)),""))</f>
        <v>למניעת שפשוף 5 יח</v>
      </c>
      <c r="C55" s="9" t="n">
        <f aca="false">SUMIFS('Source 2025'!$I:$I,'Source 2025'!$B:$B,$A55,'Source 2025'!$A:$A,"Quantity (units)")</f>
        <v>4630</v>
      </c>
      <c r="D55" s="9" t="n">
        <f aca="false">SUMIFS('Source 2026'!$I:$I,'Source 2026'!$B:$B,$A55,'Source 2026'!$A:$A,"Quantity (units)")</f>
        <v>3276</v>
      </c>
      <c r="E55" s="9" t="n">
        <f aca="false">D55*$J$5</f>
        <v>4138.10526315789</v>
      </c>
      <c r="F55" s="9" t="n">
        <f aca="false">E55-C55</f>
        <v>-491.894736842106</v>
      </c>
      <c r="G55" s="11" t="n">
        <f aca="false">IF(AND(C55=0,E55=0),0,IF(C55=0,"New",(E55-C55)/C55))</f>
        <v>-0.106240763896783</v>
      </c>
      <c r="H55" s="9" t="n">
        <f aca="false">SUMIFS('Source 2025'!$I:$I,'Source 2025'!$B:$B,$A55,'Source 2025'!$A:$A,"Amount (NIS)")</f>
        <v>57852</v>
      </c>
      <c r="I55" s="9" t="n">
        <f aca="false">SUMIFS('Source 2026'!$I:$I,'Source 2026'!$B:$B,$A55,'Source 2026'!$A:$A,"Amount (NIS)")</f>
        <v>44217.4</v>
      </c>
      <c r="J55" s="9" t="n">
        <f aca="false">I55*$J$5</f>
        <v>55853.5578947368</v>
      </c>
      <c r="K55" s="9" t="n">
        <f aca="false">J55-H55</f>
        <v>-1998.44210526316</v>
      </c>
      <c r="L55" s="11" t="n">
        <f aca="false">IF(AND(H55=0,J55=0),0,IF(H55=0,"New",(J55-H55)/H55))</f>
        <v>-0.0345440452406686</v>
      </c>
    </row>
    <row r="56" customFormat="false" ht="15" hidden="false" customHeight="true" outlineLevel="0" collapsed="false">
      <c r="A56" s="8" t="s">
        <v>215</v>
      </c>
      <c r="B56" s="8" t="str">
        <f aca="false">IFERROR(INDEX('Source 2026'!$C:$C,MATCH($A56,'Source 2026'!$B:$B,0)),IFERROR(INDEX('Source 2025'!$C:$C,MATCH($A56,'Source 2025'!$B:$B,0)),""))</f>
        <v>XS חגורת פאבליק</v>
      </c>
      <c r="C56" s="9" t="n">
        <f aca="false">SUMIFS('Source 2025'!$I:$I,'Source 2025'!$B:$B,$A56,'Source 2025'!$A:$A,"Quantity (units)")</f>
        <v>0</v>
      </c>
      <c r="D56" s="9" t="n">
        <f aca="false">SUMIFS('Source 2026'!$I:$I,'Source 2026'!$B:$B,$A56,'Source 2026'!$A:$A,"Quantity (units)")</f>
        <v>47</v>
      </c>
      <c r="E56" s="9" t="n">
        <f aca="false">D56*$J$5</f>
        <v>59.3684210526316</v>
      </c>
      <c r="F56" s="9" t="n">
        <f aca="false">E56-C56</f>
        <v>59.3684210526316</v>
      </c>
      <c r="G56" s="11" t="str">
        <f aca="false">IF(AND(C56=0,E56=0),0,IF(C56=0,"New",(E56-C56)/C56))</f>
        <v>New</v>
      </c>
      <c r="H56" s="9" t="n">
        <f aca="false">SUMIFS('Source 2025'!$I:$I,'Source 2025'!$B:$B,$A56,'Source 2025'!$A:$A,"Amount (NIS)")</f>
        <v>0</v>
      </c>
      <c r="I56" s="9" t="n">
        <f aca="false">SUMIFS('Source 2026'!$I:$I,'Source 2026'!$B:$B,$A56,'Source 2026'!$A:$A,"Amount (NIS)")</f>
        <v>13130.3</v>
      </c>
      <c r="J56" s="9" t="n">
        <f aca="false">I56*$J$5</f>
        <v>16585.6421052632</v>
      </c>
      <c r="K56" s="9" t="n">
        <f aca="false">J56-H56</f>
        <v>16585.6421052632</v>
      </c>
      <c r="L56" s="11" t="str">
        <f aca="false">IF(AND(H56=0,J56=0),0,IF(H56=0,"New",(J56-H56)/H56))</f>
        <v>New</v>
      </c>
    </row>
    <row r="57" customFormat="false" ht="15" hidden="false" customHeight="true" outlineLevel="0" collapsed="false">
      <c r="A57" s="8" t="s">
        <v>111</v>
      </c>
      <c r="B57" s="8" t="str">
        <f aca="false">IFERROR(INDEX('Source 2026'!$C:$C,MATCH($A57,'Source 2026'!$B:$B,0)),IFERROR(INDEX('Source 2025'!$C:$C,MATCH($A57,'Source 2025'!$B:$B,0)),""))</f>
        <v>מדרס אורטופ.מתכוון35-36</v>
      </c>
      <c r="C57" s="9" t="n">
        <f aca="false">SUMIFS('Source 2025'!$I:$I,'Source 2025'!$B:$B,$A57,'Source 2025'!$A:$A,"Quantity (units)")</f>
        <v>573</v>
      </c>
      <c r="D57" s="9" t="n">
        <f aca="false">SUMIFS('Source 2026'!$I:$I,'Source 2026'!$B:$B,$A57,'Source 2026'!$A:$A,"Quantity (units)")</f>
        <v>386</v>
      </c>
      <c r="E57" s="9" t="n">
        <f aca="false">D57*$J$5</f>
        <v>487.578947368421</v>
      </c>
      <c r="F57" s="9" t="n">
        <f aca="false">E57-C57</f>
        <v>-85.421052631579</v>
      </c>
      <c r="G57" s="11" t="n">
        <f aca="false">IF(AND(C57=0,E57=0),0,IF(C57=0,"New",(E57-C57)/C57))</f>
        <v>-0.149076880683384</v>
      </c>
      <c r="H57" s="9" t="n">
        <f aca="false">SUMIFS('Source 2025'!$I:$I,'Source 2025'!$B:$B,$A57,'Source 2025'!$A:$A,"Amount (NIS)")</f>
        <v>38173.9</v>
      </c>
      <c r="I57" s="9" t="n">
        <f aca="false">SUMIFS('Source 2026'!$I:$I,'Source 2026'!$B:$B,$A57,'Source 2026'!$A:$A,"Amount (NIS)")</f>
        <v>25266.8</v>
      </c>
      <c r="J57" s="9" t="n">
        <f aca="false">I57*$J$5</f>
        <v>31915.9578947368</v>
      </c>
      <c r="K57" s="9" t="n">
        <f aca="false">J57-H57</f>
        <v>-6257.94210526316</v>
      </c>
      <c r="L57" s="11" t="n">
        <f aca="false">IF(AND(H57=0,J57=0),0,IF(H57=0,"New",(J57-H57)/H57))</f>
        <v>-0.16393248018314</v>
      </c>
    </row>
    <row r="58" customFormat="false" ht="15" hidden="false" customHeight="true" outlineLevel="0" collapsed="false">
      <c r="A58" s="8" t="s">
        <v>174</v>
      </c>
      <c r="B58" s="8" t="str">
        <f aca="false">IFERROR(INDEX('Source 2026'!$C:$C,MATCH($A58,'Source 2026'!$B:$B,0)),IFERROR(INDEX('Source 2025'!$C:$C,MATCH($A58,'Source 2025'!$B:$B,0)),""))</f>
        <v>נצמדת שחור 20 מ""מ</v>
      </c>
      <c r="C58" s="9" t="n">
        <f aca="false">SUMIFS('Source 2025'!$I:$I,'Source 2025'!$B:$B,$A58,'Source 2025'!$A:$A,"Quantity (units)")</f>
        <v>1790</v>
      </c>
      <c r="D58" s="9" t="n">
        <f aca="false">SUMIFS('Source 2026'!$I:$I,'Source 2026'!$B:$B,$A58,'Source 2026'!$A:$A,"Quantity (units)")</f>
        <v>580</v>
      </c>
      <c r="E58" s="9" t="n">
        <f aca="false">D58*$J$5</f>
        <v>732.631578947368</v>
      </c>
      <c r="F58" s="9" t="n">
        <f aca="false">E58-C58</f>
        <v>-1057.36842105263</v>
      </c>
      <c r="G58" s="11" t="n">
        <f aca="false">IF(AND(C58=0,E58=0),0,IF(C58=0,"New",(E58-C58)/C58))</f>
        <v>-0.590708615113202</v>
      </c>
      <c r="H58" s="9" t="n">
        <f aca="false">SUMIFS('Source 2025'!$I:$I,'Source 2025'!$B:$B,$A58,'Source 2025'!$A:$A,"Amount (NIS)")</f>
        <v>18164.7</v>
      </c>
      <c r="I58" s="9" t="n">
        <f aca="false">SUMIFS('Source 2026'!$I:$I,'Source 2026'!$B:$B,$A58,'Source 2026'!$A:$A,"Amount (NIS)")</f>
        <v>5942.1</v>
      </c>
      <c r="J58" s="9" t="n">
        <f aca="false">I58*$J$5</f>
        <v>7505.81052631579</v>
      </c>
      <c r="K58" s="9" t="n">
        <f aca="false">J58-H58</f>
        <v>-10658.8894736842</v>
      </c>
      <c r="L58" s="11" t="n">
        <f aca="false">IF(AND(H58=0,J58=0),0,IF(H58=0,"New",(J58-H58)/H58))</f>
        <v>-0.586791385141743</v>
      </c>
    </row>
    <row r="59" customFormat="false" ht="15" hidden="false" customHeight="true" outlineLevel="0" collapsed="false">
      <c r="A59" s="8" t="s">
        <v>163</v>
      </c>
      <c r="B59" s="8" t="str">
        <f aca="false">IFERROR(INDEX('Source 2026'!$C:$C,MATCH($A59,'Source 2026'!$B:$B,0)),IFERROR(INDEX('Source 2025'!$C:$C,MATCH($A59,'Source 2025'!$B:$B,0)),""))</f>
        <v>נצמדת כחול20מ""מ</v>
      </c>
      <c r="C59" s="9" t="n">
        <f aca="false">SUMIFS('Source 2025'!$I:$I,'Source 2025'!$B:$B,$A59,'Source 2025'!$A:$A,"Quantity (units)")</f>
        <v>1556</v>
      </c>
      <c r="D59" s="9" t="n">
        <f aca="false">SUMIFS('Source 2026'!$I:$I,'Source 2026'!$B:$B,$A59,'Source 2026'!$A:$A,"Quantity (units)")</f>
        <v>358</v>
      </c>
      <c r="E59" s="9" t="n">
        <f aca="false">D59*$J$5</f>
        <v>452.210526315789</v>
      </c>
      <c r="F59" s="9" t="n">
        <f aca="false">E59-C59</f>
        <v>-1103.78947368421</v>
      </c>
      <c r="G59" s="11" t="n">
        <f aca="false">IF(AND(C59=0,E59=0),0,IF(C59=0,"New",(E59-C59)/C59))</f>
        <v>-0.709376268434583</v>
      </c>
      <c r="H59" s="9" t="n">
        <f aca="false">SUMIFS('Source 2025'!$I:$I,'Source 2025'!$B:$B,$A59,'Source 2025'!$A:$A,"Amount (NIS)")</f>
        <v>15795.7</v>
      </c>
      <c r="I59" s="9" t="n">
        <f aca="false">SUMIFS('Source 2026'!$I:$I,'Source 2026'!$B:$B,$A59,'Source 2026'!$A:$A,"Amount (NIS)")</f>
        <v>3674.8</v>
      </c>
      <c r="J59" s="9" t="n">
        <f aca="false">I59*$J$5</f>
        <v>4641.85263157895</v>
      </c>
      <c r="K59" s="9" t="n">
        <f aca="false">J59-H59</f>
        <v>-11153.8473684211</v>
      </c>
      <c r="L59" s="11" t="n">
        <f aca="false">IF(AND(H59=0,J59=0),0,IF(H59=0,"New",(J59-H59)/H59))</f>
        <v>-0.706131881994534</v>
      </c>
    </row>
    <row r="60" customFormat="false" ht="15" hidden="false" customHeight="true" outlineLevel="0" collapsed="false">
      <c r="A60" s="8" t="s">
        <v>167</v>
      </c>
      <c r="B60" s="8" t="str">
        <f aca="false">IFERROR(INDEX('Source 2026'!$C:$C,MATCH($A60,'Source 2026'!$B:$B,0)),IFERROR(INDEX('Source 2025'!$C:$C,MATCH($A60,'Source 2025'!$B:$B,0)),""))</f>
        <v>בליסטר פלסטר</v>
      </c>
      <c r="C60" s="9" t="n">
        <f aca="false">SUMIFS('Source 2025'!$I:$I,'Source 2025'!$B:$B,$A60,'Source 2025'!$A:$A,"Quantity (units)")</f>
        <v>2062</v>
      </c>
      <c r="D60" s="9" t="n">
        <f aca="false">SUMIFS('Source 2026'!$I:$I,'Source 2026'!$B:$B,$A60,'Source 2026'!$A:$A,"Quantity (units)")</f>
        <v>1386</v>
      </c>
      <c r="E60" s="9" t="n">
        <f aca="false">D60*$J$5</f>
        <v>1750.73684210526</v>
      </c>
      <c r="F60" s="9" t="n">
        <f aca="false">E60-C60</f>
        <v>-311.263157894737</v>
      </c>
      <c r="G60" s="11" t="n">
        <f aca="false">IF(AND(C60=0,E60=0),0,IF(C60=0,"New",(E60-C60)/C60))</f>
        <v>-0.150952064934402</v>
      </c>
      <c r="H60" s="9" t="n">
        <f aca="false">SUMIFS('Source 2025'!$I:$I,'Source 2025'!$B:$B,$A60,'Source 2025'!$A:$A,"Amount (NIS)")</f>
        <v>36835</v>
      </c>
      <c r="I60" s="9" t="n">
        <f aca="false">SUMIFS('Source 2026'!$I:$I,'Source 2026'!$B:$B,$A60,'Source 2026'!$A:$A,"Amount (NIS)")</f>
        <v>24943.6</v>
      </c>
      <c r="J60" s="9" t="n">
        <f aca="false">I60*$J$5</f>
        <v>31507.7052631579</v>
      </c>
      <c r="K60" s="9" t="n">
        <f aca="false">J60-H60</f>
        <v>-5327.29473684211</v>
      </c>
      <c r="L60" s="11" t="n">
        <f aca="false">IF(AND(H60=0,J60=0),0,IF(H60=0,"New",(J60-H60)/H60))</f>
        <v>-0.144625892136341</v>
      </c>
    </row>
    <row r="61" customFormat="false" ht="15" hidden="false" customHeight="true" outlineLevel="0" collapsed="false">
      <c r="A61" s="8" t="s">
        <v>141</v>
      </c>
      <c r="B61" s="8" t="str">
        <f aca="false">IFERROR(INDEX('Source 2026'!$C:$C,MATCH($A61,'Source 2026'!$B:$B,0)),IFERROR(INDEX('Source 2025'!$C:$C,MATCH($A61,'Source 2025'!$B:$B,0)),""))</f>
        <v>מטטרזלי סיליקון362</v>
      </c>
      <c r="C61" s="9" t="n">
        <f aca="false">SUMIFS('Source 2025'!$I:$I,'Source 2025'!$B:$B,$A61,'Source 2025'!$A:$A,"Quantity (units)")</f>
        <v>2372</v>
      </c>
      <c r="D61" s="9" t="n">
        <f aca="false">SUMIFS('Source 2026'!$I:$I,'Source 2026'!$B:$B,$A61,'Source 2026'!$A:$A,"Quantity (units)")</f>
        <v>1832</v>
      </c>
      <c r="E61" s="9" t="n">
        <f aca="false">D61*$J$5</f>
        <v>2314.10526315789</v>
      </c>
      <c r="F61" s="9" t="n">
        <f aca="false">E61-C61</f>
        <v>-57.8947368421054</v>
      </c>
      <c r="G61" s="11" t="n">
        <f aca="false">IF(AND(C61=0,E61=0),0,IF(C61=0,"New",(E61-C61)/C61))</f>
        <v>-0.0244075619064525</v>
      </c>
      <c r="H61" s="9" t="n">
        <f aca="false">SUMIFS('Source 2025'!$I:$I,'Source 2025'!$B:$B,$A61,'Source 2025'!$A:$A,"Amount (NIS)")</f>
        <v>55348</v>
      </c>
      <c r="I61" s="9" t="n">
        <f aca="false">SUMIFS('Source 2026'!$I:$I,'Source 2026'!$B:$B,$A61,'Source 2026'!$A:$A,"Amount (NIS)")</f>
        <v>43701.2</v>
      </c>
      <c r="J61" s="9" t="n">
        <f aca="false">I61*$J$5</f>
        <v>55201.5157894737</v>
      </c>
      <c r="K61" s="9" t="n">
        <f aca="false">J61-H61</f>
        <v>-146.484210526323</v>
      </c>
      <c r="L61" s="11" t="n">
        <f aca="false">IF(AND(H61=0,J61=0),0,IF(H61=0,"New",(J61-H61)/H61))</f>
        <v>-0.00264660350015038</v>
      </c>
    </row>
    <row r="62" customFormat="false" ht="15" hidden="false" customHeight="true" outlineLevel="0" collapsed="false">
      <c r="A62" s="8" t="s">
        <v>122</v>
      </c>
      <c r="B62" s="8" t="str">
        <f aca="false">IFERROR(INDEX('Source 2026'!$C:$C,MATCH($A62,'Source 2026'!$B:$B,0)),IFERROR(INDEX('Source 2025'!$C:$C,MATCH($A62,'Source 2025'!$B:$B,0)),""))</f>
        <v>Sמיישר כתף יציב יישור גב צר</v>
      </c>
      <c r="C62" s="9" t="n">
        <f aca="false">SUMIFS('Source 2025'!$I:$I,'Source 2025'!$B:$B,$A62,'Source 2025'!$A:$A,"Quantity (units)")</f>
        <v>267</v>
      </c>
      <c r="D62" s="9" t="n">
        <f aca="false">SUMIFS('Source 2026'!$I:$I,'Source 2026'!$B:$B,$A62,'Source 2026'!$A:$A,"Quantity (units)")</f>
        <v>171</v>
      </c>
      <c r="E62" s="9" t="n">
        <f aca="false">D62*$J$5</f>
        <v>216</v>
      </c>
      <c r="F62" s="9" t="n">
        <f aca="false">E62-C62</f>
        <v>-51</v>
      </c>
      <c r="G62" s="11" t="n">
        <f aca="false">IF(AND(C62=0,E62=0),0,IF(C62=0,"New",(E62-C62)/C62))</f>
        <v>-0.191011235955056</v>
      </c>
      <c r="H62" s="9" t="n">
        <f aca="false">SUMIFS('Source 2025'!$I:$I,'Source 2025'!$B:$B,$A62,'Source 2025'!$A:$A,"Amount (NIS)")</f>
        <v>36138.1</v>
      </c>
      <c r="I62" s="9" t="n">
        <f aca="false">SUMIFS('Source 2026'!$I:$I,'Source 2026'!$B:$B,$A62,'Source 2026'!$A:$A,"Amount (NIS)")</f>
        <v>24630.6</v>
      </c>
      <c r="J62" s="9" t="n">
        <f aca="false">I62*$J$5</f>
        <v>31112.3368421053</v>
      </c>
      <c r="K62" s="9" t="n">
        <f aca="false">J62-H62</f>
        <v>-5025.76315789474</v>
      </c>
      <c r="L62" s="11" t="n">
        <f aca="false">IF(AND(H62=0,J62=0),0,IF(H62=0,"New",(J62-H62)/H62))</f>
        <v>-0.139071040201193</v>
      </c>
    </row>
    <row r="63" customFormat="false" ht="15" hidden="false" customHeight="true" outlineLevel="0" collapsed="false">
      <c r="A63" s="8" t="s">
        <v>226</v>
      </c>
      <c r="B63" s="8" t="str">
        <f aca="false">IFERROR(INDEX('Source 2026'!$C:$C,MATCH($A63,'Source 2026'!$B:$B,0)),IFERROR(INDEX('Source 2025'!$C:$C,MATCH($A63,'Source 2025'!$B:$B,0)),""))</f>
        <v>S חגורה למנותחי בית החזה</v>
      </c>
      <c r="C63" s="9" t="n">
        <f aca="false">SUMIFS('Source 2025'!$I:$I,'Source 2025'!$B:$B,$A63,'Source 2025'!$A:$A,"Quantity (units)")</f>
        <v>247</v>
      </c>
      <c r="D63" s="9" t="n">
        <f aca="false">SUMIFS('Source 2026'!$I:$I,'Source 2026'!$B:$B,$A63,'Source 2026'!$A:$A,"Quantity (units)")</f>
        <v>324</v>
      </c>
      <c r="E63" s="9" t="n">
        <f aca="false">D63*$J$5</f>
        <v>409.263157894737</v>
      </c>
      <c r="F63" s="9" t="n">
        <f aca="false">E63-C63</f>
        <v>162.263157894737</v>
      </c>
      <c r="G63" s="11" t="n">
        <f aca="false">IF(AND(C63=0,E63=0),0,IF(C63=0,"New",(E63-C63)/C63))</f>
        <v>0.656935861922012</v>
      </c>
      <c r="H63" s="9" t="n">
        <f aca="false">SUMIFS('Source 2025'!$I:$I,'Source 2025'!$B:$B,$A63,'Source 2025'!$A:$A,"Amount (NIS)")</f>
        <v>34609.9</v>
      </c>
      <c r="I63" s="9" t="n">
        <f aca="false">SUMIFS('Source 2026'!$I:$I,'Source 2026'!$B:$B,$A63,'Source 2026'!$A:$A,"Amount (NIS)")</f>
        <v>45987.8</v>
      </c>
      <c r="J63" s="9" t="n">
        <f aca="false">I63*$J$5</f>
        <v>58089.852631579</v>
      </c>
      <c r="K63" s="9" t="n">
        <f aca="false">J63-H63</f>
        <v>23479.9526315789</v>
      </c>
      <c r="L63" s="11" t="n">
        <f aca="false">IF(AND(H63=0,J63=0),0,IF(H63=0,"New",(J63-H63)/H63))</f>
        <v>0.678417234131822</v>
      </c>
    </row>
    <row r="64" customFormat="false" ht="15" hidden="false" customHeight="true" outlineLevel="0" collapsed="false">
      <c r="A64" s="8" t="s">
        <v>157</v>
      </c>
      <c r="B64" s="8" t="str">
        <f aca="false">IFERROR(INDEX('Source 2026'!$C:$C,MATCH($A64,'Source 2026'!$B:$B,0)),IFERROR(INDEX('Source 2025'!$C:$C,MATCH($A64,'Source 2025'!$B:$B,0)),""))</f>
        <v>תחבושת א.נצמ</v>
      </c>
      <c r="C64" s="9" t="n">
        <f aca="false">SUMIFS('Source 2025'!$I:$I,'Source 2025'!$B:$B,$A64,'Source 2025'!$A:$A,"Quantity (units)")</f>
        <v>2036</v>
      </c>
      <c r="D64" s="9" t="n">
        <f aca="false">SUMIFS('Source 2026'!$I:$I,'Source 2026'!$B:$B,$A64,'Source 2026'!$A:$A,"Quantity (units)")</f>
        <v>954</v>
      </c>
      <c r="E64" s="9" t="n">
        <f aca="false">D64*$J$5</f>
        <v>1205.05263157895</v>
      </c>
      <c r="F64" s="9" t="n">
        <f aca="false">E64-C64</f>
        <v>-830.947368421053</v>
      </c>
      <c r="G64" s="11" t="n">
        <f aca="false">IF(AND(C64=0,E64=0),0,IF(C64=0,"New",(E64-C64)/C64))</f>
        <v>-0.408127391169476</v>
      </c>
      <c r="H64" s="9" t="n">
        <f aca="false">SUMIFS('Source 2025'!$I:$I,'Source 2025'!$B:$B,$A64,'Source 2025'!$A:$A,"Amount (NIS)")</f>
        <v>21006.6</v>
      </c>
      <c r="I64" s="9" t="n">
        <f aca="false">SUMIFS('Source 2026'!$I:$I,'Source 2026'!$B:$B,$A64,'Source 2026'!$A:$A,"Amount (NIS)")</f>
        <v>9939.5</v>
      </c>
      <c r="J64" s="9" t="n">
        <f aca="false">I64*$J$5</f>
        <v>12555.1578947368</v>
      </c>
      <c r="K64" s="9" t="n">
        <f aca="false">J64-H64</f>
        <v>-8451.44210526316</v>
      </c>
      <c r="L64" s="11" t="n">
        <f aca="false">IF(AND(H64=0,J64=0),0,IF(H64=0,"New",(J64-H64)/H64))</f>
        <v>-0.402323179632266</v>
      </c>
    </row>
    <row r="65" customFormat="false" ht="15" hidden="false" customHeight="true" outlineLevel="0" collapsed="false">
      <c r="A65" s="8" t="s">
        <v>186</v>
      </c>
      <c r="B65" s="8" t="str">
        <f aca="false">IFERROR(INDEX('Source 2026'!$C:$C,MATCH($A65,'Source 2026'!$B:$B,0)),IFERROR(INDEX('Source 2025'!$C:$C,MATCH($A65,'Source 2025'!$B:$B,0)),""))</f>
        <v>שרוול מגן לבוניון</v>
      </c>
      <c r="C65" s="9" t="n">
        <f aca="false">SUMIFS('Source 2025'!$I:$I,'Source 2025'!$B:$B,$A65,'Source 2025'!$A:$A,"Quantity (units)")</f>
        <v>1069</v>
      </c>
      <c r="D65" s="9" t="n">
        <f aca="false">SUMIFS('Source 2026'!$I:$I,'Source 2026'!$B:$B,$A65,'Source 2026'!$A:$A,"Quantity (units)")</f>
        <v>680</v>
      </c>
      <c r="E65" s="9" t="n">
        <f aca="false">D65*$J$5</f>
        <v>858.947368421053</v>
      </c>
      <c r="F65" s="9" t="n">
        <f aca="false">E65-C65</f>
        <v>-210.052631578947</v>
      </c>
      <c r="G65" s="11" t="n">
        <f aca="false">IF(AND(C65=0,E65=0),0,IF(C65=0,"New",(E65-C65)/C65))</f>
        <v>-0.196494510363842</v>
      </c>
      <c r="H65" s="9" t="n">
        <f aca="false">SUMIFS('Source 2025'!$I:$I,'Source 2025'!$B:$B,$A65,'Source 2025'!$A:$A,"Amount (NIS)")</f>
        <v>30816.1</v>
      </c>
      <c r="I65" s="9" t="n">
        <f aca="false">SUMIFS('Source 2026'!$I:$I,'Source 2026'!$B:$B,$A65,'Source 2026'!$A:$A,"Amount (NIS)")</f>
        <v>19986</v>
      </c>
      <c r="J65" s="9" t="n">
        <f aca="false">I65*$J$5</f>
        <v>25245.4736842105</v>
      </c>
      <c r="K65" s="9" t="n">
        <f aca="false">J65-H65</f>
        <v>-5570.62631578947</v>
      </c>
      <c r="L65" s="11" t="n">
        <f aca="false">IF(AND(H65=0,J65=0),0,IF(H65=0,"New",(J65-H65)/H65))</f>
        <v>-0.180769997364672</v>
      </c>
    </row>
    <row r="66" customFormat="false" ht="15" hidden="false" customHeight="true" outlineLevel="0" collapsed="false">
      <c r="A66" s="8" t="s">
        <v>145</v>
      </c>
      <c r="B66" s="8" t="str">
        <f aca="false">IFERROR(INDEX('Source 2026'!$C:$C,MATCH($A66,'Source 2026'!$B:$B,0)),IFERROR(INDEX('Source 2025'!$C:$C,MATCH($A66,'Source 2025'!$B:$B,0)),""))</f>
        <v>תחבושת א.נצמ</v>
      </c>
      <c r="C66" s="9" t="n">
        <f aca="false">SUMIFS('Source 2025'!$I:$I,'Source 2025'!$B:$B,$A66,'Source 2025'!$A:$A,"Quantity (units)")</f>
        <v>3355</v>
      </c>
      <c r="D66" s="9" t="n">
        <f aca="false">SUMIFS('Source 2026'!$I:$I,'Source 2026'!$B:$B,$A66,'Source 2026'!$A:$A,"Quantity (units)")</f>
        <v>2312</v>
      </c>
      <c r="E66" s="9" t="n">
        <f aca="false">D66*$J$5</f>
        <v>2920.42105263158</v>
      </c>
      <c r="F66" s="9" t="n">
        <f aca="false">E66-C66</f>
        <v>-434.578947368421</v>
      </c>
      <c r="G66" s="11" t="n">
        <f aca="false">IF(AND(C66=0,E66=0),0,IF(C66=0,"New",(E66-C66)/C66))</f>
        <v>-0.129531727978665</v>
      </c>
      <c r="H66" s="9" t="n">
        <f aca="false">SUMIFS('Source 2025'!$I:$I,'Source 2025'!$B:$B,$A66,'Source 2025'!$A:$A,"Amount (NIS)")</f>
        <v>34596.7</v>
      </c>
      <c r="I66" s="9" t="n">
        <f aca="false">SUMIFS('Source 2026'!$I:$I,'Source 2026'!$B:$B,$A66,'Source 2026'!$A:$A,"Amount (NIS)")</f>
        <v>24034.3</v>
      </c>
      <c r="J66" s="9" t="n">
        <f aca="false">I66*$J$5</f>
        <v>30359.1157894737</v>
      </c>
      <c r="K66" s="9" t="n">
        <f aca="false">J66-H66</f>
        <v>-4237.58421052632</v>
      </c>
      <c r="L66" s="11" t="n">
        <f aca="false">IF(AND(H66=0,J66=0),0,IF(H66=0,"New",(J66-H66)/H66))</f>
        <v>-0.122485214211943</v>
      </c>
    </row>
    <row r="67" customFormat="false" ht="15" hidden="false" customHeight="true" outlineLevel="0" collapsed="false">
      <c r="A67" s="8" t="s">
        <v>158</v>
      </c>
      <c r="B67" s="8" t="str">
        <f aca="false">IFERROR(INDEX('Source 2026'!$C:$C,MATCH($A67,'Source 2026'!$B:$B,0)),IFERROR(INDEX('Source 2025'!$C:$C,MATCH($A67,'Source 2025'!$B:$B,0)),""))</f>
        <v>S מגן קרסול מתכוון עם סקוטש</v>
      </c>
      <c r="C67" s="9" t="n">
        <f aca="false">SUMIFS('Source 2025'!$I:$I,'Source 2025'!$B:$B,$A67,'Source 2025'!$A:$A,"Quantity (units)")</f>
        <v>136</v>
      </c>
      <c r="D67" s="9" t="n">
        <f aca="false">SUMIFS('Source 2026'!$I:$I,'Source 2026'!$B:$B,$A67,'Source 2026'!$A:$A,"Quantity (units)")</f>
        <v>-45</v>
      </c>
      <c r="E67" s="9" t="n">
        <f aca="false">D67*$J$5</f>
        <v>-56.8421052631579</v>
      </c>
      <c r="F67" s="9" t="n">
        <f aca="false">E67-C67</f>
        <v>-192.842105263158</v>
      </c>
      <c r="G67" s="11" t="n">
        <f aca="false">IF(AND(C67=0,E67=0),0,IF(C67=0,"New",(E67-C67)/C67))</f>
        <v>-1.41795665634675</v>
      </c>
      <c r="H67" s="9" t="n">
        <f aca="false">SUMIFS('Source 2025'!$I:$I,'Source 2025'!$B:$B,$A67,'Source 2025'!$A:$A,"Amount (NIS)")</f>
        <v>7975.8</v>
      </c>
      <c r="I67" s="9" t="n">
        <f aca="false">SUMIFS('Source 2026'!$I:$I,'Source 2026'!$B:$B,$A67,'Source 2026'!$A:$A,"Amount (NIS)")</f>
        <v>-2538.3</v>
      </c>
      <c r="J67" s="9" t="n">
        <f aca="false">I67*$J$5</f>
        <v>-3206.27368421053</v>
      </c>
      <c r="K67" s="9" t="n">
        <f aca="false">J67-H67</f>
        <v>-11182.0736842105</v>
      </c>
      <c r="L67" s="11" t="n">
        <f aca="false">IF(AND(H67=0,J67=0),0,IF(H67=0,"New",(J67-H67)/H67))</f>
        <v>-1.4020002613168</v>
      </c>
    </row>
    <row r="68" customFormat="false" ht="15" hidden="false" customHeight="true" outlineLevel="0" collapsed="false">
      <c r="A68" s="8" t="s">
        <v>104</v>
      </c>
      <c r="B68" s="8" t="str">
        <f aca="false">IFERROR(INDEX('Source 2026'!$C:$C,MATCH($A68,'Source 2026'!$B:$B,0)),IFERROR(INDEX('Source 2025'!$C:$C,MATCH($A68,'Source 2025'!$B:$B,0)),""))</f>
        <v>L חבק יד מתכוון עם צמדן</v>
      </c>
      <c r="C68" s="9" t="n">
        <f aca="false">SUMIFS('Source 2025'!$I:$I,'Source 2025'!$B:$B,$A68,'Source 2025'!$A:$A,"Quantity (units)")</f>
        <v>1092</v>
      </c>
      <c r="D68" s="9" t="n">
        <f aca="false">SUMIFS('Source 2026'!$I:$I,'Source 2026'!$B:$B,$A68,'Source 2026'!$A:$A,"Quantity (units)")</f>
        <v>688</v>
      </c>
      <c r="E68" s="9" t="n">
        <f aca="false">D68*$J$5</f>
        <v>869.052631578947</v>
      </c>
      <c r="F68" s="9" t="n">
        <f aca="false">E68-C68</f>
        <v>-222.947368421053</v>
      </c>
      <c r="G68" s="11" t="n">
        <f aca="false">IF(AND(C68=0,E68=0),0,IF(C68=0,"New",(E68-C68)/C68))</f>
        <v>-0.204164256795836</v>
      </c>
      <c r="H68" s="9" t="n">
        <f aca="false">SUMIFS('Source 2025'!$I:$I,'Source 2025'!$B:$B,$A68,'Source 2025'!$A:$A,"Amount (NIS)")</f>
        <v>28193.9</v>
      </c>
      <c r="I68" s="9" t="n">
        <f aca="false">SUMIFS('Source 2026'!$I:$I,'Source 2026'!$B:$B,$A68,'Source 2026'!$A:$A,"Amount (NIS)")</f>
        <v>18222.6</v>
      </c>
      <c r="J68" s="9" t="n">
        <f aca="false">I68*$J$5</f>
        <v>23018.0210526316</v>
      </c>
      <c r="K68" s="9" t="n">
        <f aca="false">J68-H68</f>
        <v>-5175.87894736843</v>
      </c>
      <c r="L68" s="11" t="n">
        <f aca="false">IF(AND(H68=0,J68=0),0,IF(H68=0,"New",(J68-H68)/H68))</f>
        <v>-0.183581517539909</v>
      </c>
    </row>
    <row r="69" customFormat="false" ht="15" hidden="false" customHeight="true" outlineLevel="0" collapsed="false">
      <c r="A69" s="8" t="s">
        <v>257</v>
      </c>
      <c r="B69" s="8" t="str">
        <f aca="false">IFERROR(INDEX('Source 2026'!$C:$C,MATCH($A69,'Source 2026'!$B:$B,0)),IFERROR(INDEX('Source 2025'!$C:$C,MATCH($A69,'Source 2025'!$B:$B,0)),""))</f>
        <v>L שמאל CTS כפפות</v>
      </c>
      <c r="C69" s="9" t="n">
        <f aca="false">SUMIFS('Source 2025'!$I:$I,'Source 2025'!$B:$B,$A69,'Source 2025'!$A:$A,"Quantity (units)")</f>
        <v>0</v>
      </c>
      <c r="D69" s="9" t="n">
        <f aca="false">SUMIFS('Source 2026'!$I:$I,'Source 2026'!$B:$B,$A69,'Source 2026'!$A:$A,"Quantity (units)")</f>
        <v>93</v>
      </c>
      <c r="E69" s="9" t="n">
        <f aca="false">D69*$J$5</f>
        <v>117.473684210526</v>
      </c>
      <c r="F69" s="9" t="n">
        <f aca="false">E69-C69</f>
        <v>117.473684210526</v>
      </c>
      <c r="G69" s="11" t="str">
        <f aca="false">IF(AND(C69=0,E69=0),0,IF(C69=0,"New",(E69-C69)/C69))</f>
        <v>New</v>
      </c>
      <c r="H69" s="9" t="n">
        <f aca="false">SUMIFS('Source 2025'!$I:$I,'Source 2025'!$B:$B,$A69,'Source 2025'!$A:$A,"Amount (NIS)")</f>
        <v>0</v>
      </c>
      <c r="I69" s="9" t="n">
        <f aca="false">SUMIFS('Source 2026'!$I:$I,'Source 2026'!$B:$B,$A69,'Source 2026'!$A:$A,"Amount (NIS)")</f>
        <v>9344.9</v>
      </c>
      <c r="J69" s="9" t="n">
        <f aca="false">I69*$J$5</f>
        <v>11804.0842105263</v>
      </c>
      <c r="K69" s="9" t="n">
        <f aca="false">J69-H69</f>
        <v>11804.0842105263</v>
      </c>
      <c r="L69" s="11" t="str">
        <f aca="false">IF(AND(H69=0,J69=0),0,IF(H69=0,"New",(J69-H69)/H69))</f>
        <v>New</v>
      </c>
    </row>
    <row r="70" customFormat="false" ht="15" hidden="false" customHeight="true" outlineLevel="0" collapsed="false">
      <c r="A70" s="8" t="s">
        <v>92</v>
      </c>
      <c r="B70" s="8" t="str">
        <f aca="false">IFERROR(INDEX('Source 2026'!$C:$C,MATCH($A70,'Source 2026'!$B:$B,0)),IFERROR(INDEX('Source 2025'!$C:$C,MATCH($A70,'Source 2025'!$B:$B,0)),""))</f>
        <v>דאודורנט אנטיבק.נעל333</v>
      </c>
      <c r="C70" s="9" t="n">
        <f aca="false">SUMIFS('Source 2025'!$I:$I,'Source 2025'!$B:$B,$A70,'Source 2025'!$A:$A,"Quantity (units)")</f>
        <v>1681</v>
      </c>
      <c r="D70" s="9" t="n">
        <f aca="false">SUMIFS('Source 2026'!$I:$I,'Source 2026'!$B:$B,$A70,'Source 2026'!$A:$A,"Quantity (units)")</f>
        <v>1283</v>
      </c>
      <c r="E70" s="9" t="n">
        <f aca="false">D70*$J$5</f>
        <v>1620.63157894737</v>
      </c>
      <c r="F70" s="9" t="n">
        <f aca="false">E70-C70</f>
        <v>-60.3684210526317</v>
      </c>
      <c r="G70" s="11" t="n">
        <f aca="false">IF(AND(C70=0,E70=0),0,IF(C70=0,"New",(E70-C70)/C70))</f>
        <v>-0.0359122076458249</v>
      </c>
      <c r="H70" s="9" t="n">
        <f aca="false">SUMIFS('Source 2025'!$I:$I,'Source 2025'!$B:$B,$A70,'Source 2025'!$A:$A,"Amount (NIS)")</f>
        <v>30910.4</v>
      </c>
      <c r="I70" s="9" t="n">
        <f aca="false">SUMIFS('Source 2026'!$I:$I,'Source 2026'!$B:$B,$A70,'Source 2026'!$A:$A,"Amount (NIS)")</f>
        <v>22225.7</v>
      </c>
      <c r="J70" s="9" t="n">
        <f aca="false">I70*$J$5</f>
        <v>28074.5684210526</v>
      </c>
      <c r="K70" s="9" t="n">
        <f aca="false">J70-H70</f>
        <v>-2835.83157894737</v>
      </c>
      <c r="L70" s="11" t="n">
        <f aca="false">IF(AND(H70=0,J70=0),0,IF(H70=0,"New",(J70-H70)/H70))</f>
        <v>-0.0917436066484863</v>
      </c>
    </row>
    <row r="71" customFormat="false" ht="15" hidden="false" customHeight="true" outlineLevel="0" collapsed="false">
      <c r="A71" s="8" t="s">
        <v>204</v>
      </c>
      <c r="B71" s="8" t="str">
        <f aca="false">IFERROR(INDEX('Source 2026'!$C:$C,MATCH($A71,'Source 2026'!$B:$B,0)),IFERROR(INDEX('Source 2025'!$C:$C,MATCH($A71,'Source 2025'!$B:$B,0)),""))</f>
        <v>תחבושת נצמדת ורוד 20ממ</v>
      </c>
      <c r="C71" s="9" t="n">
        <f aca="false">SUMIFS('Source 2025'!$I:$I,'Source 2025'!$B:$B,$A71,'Source 2025'!$A:$A,"Quantity (units)")</f>
        <v>1134</v>
      </c>
      <c r="D71" s="9" t="n">
        <f aca="false">SUMIFS('Source 2026'!$I:$I,'Source 2026'!$B:$B,$A71,'Source 2026'!$A:$A,"Quantity (units)")</f>
        <v>283</v>
      </c>
      <c r="E71" s="9" t="n">
        <f aca="false">D71*$J$5</f>
        <v>357.473684210526</v>
      </c>
      <c r="F71" s="9" t="n">
        <f aca="false">E71-C71</f>
        <v>-776.526315789474</v>
      </c>
      <c r="G71" s="11" t="n">
        <f aca="false">IF(AND(C71=0,E71=0),0,IF(C71=0,"New",(E71-C71)/C71))</f>
        <v>-0.684767474241159</v>
      </c>
      <c r="H71" s="9" t="n">
        <f aca="false">SUMIFS('Source 2025'!$I:$I,'Source 2025'!$B:$B,$A71,'Source 2025'!$A:$A,"Amount (NIS)")</f>
        <v>11512.2</v>
      </c>
      <c r="I71" s="9" t="n">
        <f aca="false">SUMIFS('Source 2026'!$I:$I,'Source 2026'!$B:$B,$A71,'Source 2026'!$A:$A,"Amount (NIS)")</f>
        <v>2916</v>
      </c>
      <c r="J71" s="9" t="n">
        <f aca="false">I71*$J$5</f>
        <v>3683.36842105263</v>
      </c>
      <c r="K71" s="9" t="n">
        <f aca="false">J71-H71</f>
        <v>-7828.83157894737</v>
      </c>
      <c r="L71" s="11" t="n">
        <f aca="false">IF(AND(H71=0,J71=0),0,IF(H71=0,"New",(J71-H71)/H71))</f>
        <v>-0.680046522727834</v>
      </c>
    </row>
    <row r="72" customFormat="false" ht="15" hidden="false" customHeight="true" outlineLevel="0" collapsed="false">
      <c r="A72" s="8" t="s">
        <v>112</v>
      </c>
      <c r="B72" s="8" t="str">
        <f aca="false">IFERROR(INDEX('Source 2026'!$C:$C,MATCH($A72,'Source 2026'!$B:$B,0)),IFERROR(INDEX('Source 2025'!$C:$C,MATCH($A72,'Source 2025'!$B:$B,0)),""))</f>
        <v>חגורת גב +סגירה כפולה</v>
      </c>
      <c r="C72" s="9" t="n">
        <f aca="false">SUMIFS('Source 2025'!$I:$I,'Source 2025'!$B:$B,$A72,'Source 2025'!$A:$A,"Quantity (units)")</f>
        <v>132</v>
      </c>
      <c r="D72" s="9" t="n">
        <f aca="false">SUMIFS('Source 2026'!$I:$I,'Source 2026'!$B:$B,$A72,'Source 2026'!$A:$A,"Quantity (units)")</f>
        <v>42</v>
      </c>
      <c r="E72" s="9" t="n">
        <f aca="false">D72*$J$5</f>
        <v>53.0526315789474</v>
      </c>
      <c r="F72" s="9" t="n">
        <f aca="false">E72-C72</f>
        <v>-78.9473684210526</v>
      </c>
      <c r="G72" s="11" t="n">
        <f aca="false">IF(AND(C72=0,E72=0),0,IF(C72=0,"New",(E72-C72)/C72))</f>
        <v>-0.598086124401914</v>
      </c>
      <c r="H72" s="9" t="n">
        <f aca="false">SUMIFS('Source 2025'!$I:$I,'Source 2025'!$B:$B,$A72,'Source 2025'!$A:$A,"Amount (NIS)")</f>
        <v>12600.2</v>
      </c>
      <c r="I72" s="9" t="n">
        <f aca="false">SUMIFS('Source 2026'!$I:$I,'Source 2026'!$B:$B,$A72,'Source 2026'!$A:$A,"Amount (NIS)")</f>
        <v>4263.8</v>
      </c>
      <c r="J72" s="9" t="n">
        <f aca="false">I72*$J$5</f>
        <v>5385.85263157895</v>
      </c>
      <c r="K72" s="9" t="n">
        <f aca="false">J72-H72</f>
        <v>-7214.34736842105</v>
      </c>
      <c r="L72" s="11" t="n">
        <f aca="false">IF(AND(H72=0,J72=0),0,IF(H72=0,"New",(J72-H72)/H72))</f>
        <v>-0.572558163237175</v>
      </c>
    </row>
    <row r="73" customFormat="false" ht="15" hidden="false" customHeight="true" outlineLevel="0" collapsed="false">
      <c r="A73" s="8" t="s">
        <v>182</v>
      </c>
      <c r="B73" s="8" t="str">
        <f aca="false">IFERROR(INDEX('Source 2026'!$C:$C,MATCH($A73,'Source 2026'!$B:$B,0)),IFERROR(INDEX('Source 2025'!$C:$C,MATCH($A73,'Source 2025'!$B:$B,0)),""))</f>
        <v>3667 מגן בוניון</v>
      </c>
      <c r="C73" s="9" t="n">
        <f aca="false">SUMIFS('Source 2025'!$I:$I,'Source 2025'!$B:$B,$A73,'Source 2025'!$A:$A,"Quantity (units)")</f>
        <v>1043</v>
      </c>
      <c r="D73" s="9" t="n">
        <f aca="false">SUMIFS('Source 2026'!$I:$I,'Source 2026'!$B:$B,$A73,'Source 2026'!$A:$A,"Quantity (units)")</f>
        <v>740</v>
      </c>
      <c r="E73" s="9" t="n">
        <f aca="false">D73*$J$5</f>
        <v>934.736842105263</v>
      </c>
      <c r="F73" s="9" t="n">
        <f aca="false">E73-C73</f>
        <v>-108.263157894737</v>
      </c>
      <c r="G73" s="11" t="n">
        <f aca="false">IF(AND(C73=0,E73=0),0,IF(C73=0,"New",(E73-C73)/C73))</f>
        <v>-0.103799767876066</v>
      </c>
      <c r="H73" s="9" t="n">
        <f aca="false">SUMIFS('Source 2025'!$I:$I,'Source 2025'!$B:$B,$A73,'Source 2025'!$A:$A,"Amount (NIS)")</f>
        <v>28034.3</v>
      </c>
      <c r="I73" s="9" t="n">
        <f aca="false">SUMIFS('Source 2026'!$I:$I,'Source 2026'!$B:$B,$A73,'Source 2026'!$A:$A,"Amount (NIS)")</f>
        <v>20141.7</v>
      </c>
      <c r="J73" s="9" t="n">
        <f aca="false">I73*$J$5</f>
        <v>25442.1473684211</v>
      </c>
      <c r="K73" s="9" t="n">
        <f aca="false">J73-H73</f>
        <v>-2592.15263157895</v>
      </c>
      <c r="L73" s="11" t="n">
        <f aca="false">IF(AND(H73=0,J73=0),0,IF(H73=0,"New",(J73-H73)/H73))</f>
        <v>-0.092463611774824</v>
      </c>
    </row>
    <row r="74" customFormat="false" ht="15" hidden="false" customHeight="true" outlineLevel="0" collapsed="false">
      <c r="A74" s="8" t="s">
        <v>282</v>
      </c>
      <c r="B74" s="8" t="str">
        <f aca="false">IFERROR(INDEX('Source 2026'!$C:$C,MATCH($A74,'Source 2026'!$B:$B,0)),IFERROR(INDEX('Source 2025'!$C:$C,MATCH($A74,'Source 2025'!$B:$B,0)),""))</f>
        <v>מיישר בוניון-האלוקס ולגוס</v>
      </c>
      <c r="C74" s="9" t="n">
        <f aca="false">SUMIFS('Source 2025'!$I:$I,'Source 2025'!$B:$B,$A74,'Source 2025'!$A:$A,"Quantity (units)")</f>
        <v>864</v>
      </c>
      <c r="D74" s="9" t="n">
        <f aca="false">SUMIFS('Source 2026'!$I:$I,'Source 2026'!$B:$B,$A74,'Source 2026'!$A:$A,"Quantity (units)")</f>
        <v>681</v>
      </c>
      <c r="E74" s="9" t="n">
        <f aca="false">D74*$J$5</f>
        <v>860.21052631579</v>
      </c>
      <c r="F74" s="9" t="n">
        <f aca="false">E74-C74</f>
        <v>-3.78947368421052</v>
      </c>
      <c r="G74" s="11" t="n">
        <f aca="false">IF(AND(C74=0,E74=0),0,IF(C74=0,"New",(E74-C74)/C74))</f>
        <v>-0.0043859649122807</v>
      </c>
      <c r="H74" s="9" t="n">
        <f aca="false">SUMIFS('Source 2025'!$I:$I,'Source 2025'!$B:$B,$A74,'Source 2025'!$A:$A,"Amount (NIS)")</f>
        <v>35507.8</v>
      </c>
      <c r="I74" s="9" t="n">
        <f aca="false">SUMIFS('Source 2026'!$I:$I,'Source 2026'!$B:$B,$A74,'Source 2026'!$A:$A,"Amount (NIS)")</f>
        <v>27867.7</v>
      </c>
      <c r="J74" s="9" t="n">
        <f aca="false">I74*$J$5</f>
        <v>35201.3052631579</v>
      </c>
      <c r="K74" s="9" t="n">
        <f aca="false">J74-H74</f>
        <v>-306.494736842113</v>
      </c>
      <c r="L74" s="11" t="n">
        <f aca="false">IF(AND(H74=0,J74=0),0,IF(H74=0,"New",(J74-H74)/H74))</f>
        <v>-0.00863175800365307</v>
      </c>
    </row>
    <row r="75" customFormat="false" ht="15" hidden="false" customHeight="true" outlineLevel="0" collapsed="false">
      <c r="A75" s="8" t="s">
        <v>105</v>
      </c>
      <c r="B75" s="8" t="str">
        <f aca="false">IFERROR(INDEX('Source 2026'!$C:$C,MATCH($A75,'Source 2026'!$B:$B,0)),IFERROR(INDEX('Source 2025'!$C:$C,MATCH($A75,'Source 2025'!$B:$B,0)),""))</f>
        <v>L חגורת גב +סגירה</v>
      </c>
      <c r="C75" s="9" t="n">
        <f aca="false">SUMIFS('Source 2025'!$I:$I,'Source 2025'!$B:$B,$A75,'Source 2025'!$A:$A,"Quantity (units)")</f>
        <v>164</v>
      </c>
      <c r="D75" s="9" t="n">
        <f aca="false">SUMIFS('Source 2026'!$I:$I,'Source 2026'!$B:$B,$A75,'Source 2026'!$A:$A,"Quantity (units)")</f>
        <v>82</v>
      </c>
      <c r="E75" s="9" t="n">
        <f aca="false">D75*$J$5</f>
        <v>103.578947368421</v>
      </c>
      <c r="F75" s="9" t="n">
        <f aca="false">E75-C75</f>
        <v>-60.421052631579</v>
      </c>
      <c r="G75" s="11" t="n">
        <f aca="false">IF(AND(C75=0,E75=0),0,IF(C75=0,"New",(E75-C75)/C75))</f>
        <v>-0.368421052631579</v>
      </c>
      <c r="H75" s="9" t="n">
        <f aca="false">SUMIFS('Source 2025'!$I:$I,'Source 2025'!$B:$B,$A75,'Source 2025'!$A:$A,"Amount (NIS)")</f>
        <v>15702.7</v>
      </c>
      <c r="I75" s="9" t="n">
        <f aca="false">SUMIFS('Source 2026'!$I:$I,'Source 2026'!$B:$B,$A75,'Source 2026'!$A:$A,"Amount (NIS)")</f>
        <v>8230.7</v>
      </c>
      <c r="J75" s="9" t="n">
        <f aca="false">I75*$J$5</f>
        <v>10396.6736842105</v>
      </c>
      <c r="K75" s="9" t="n">
        <f aca="false">J75-H75</f>
        <v>-5306.02631578947</v>
      </c>
      <c r="L75" s="11" t="n">
        <f aca="false">IF(AND(H75=0,J75=0),0,IF(H75=0,"New",(J75-H75)/H75))</f>
        <v>-0.337905348493538</v>
      </c>
    </row>
    <row r="76" customFormat="false" ht="15" hidden="false" customHeight="true" outlineLevel="0" collapsed="false">
      <c r="A76" s="8" t="s">
        <v>353</v>
      </c>
      <c r="B76" s="8" t="str">
        <f aca="false">IFERROR(INDEX('Source 2026'!$C:$C,MATCH($A76,'Source 2026'!$B:$B,0)),IFERROR(INDEX('Source 2025'!$C:$C,MATCH($A76,'Source 2025'!$B:$B,0)),""))</f>
        <v>חגורת גב אפורה</v>
      </c>
      <c r="C76" s="9" t="n">
        <f aca="false">SUMIFS('Source 2025'!$I:$I,'Source 2025'!$B:$B,$A76,'Source 2025'!$A:$A,"Quantity (units)")</f>
        <v>377</v>
      </c>
      <c r="D76" s="9" t="n">
        <f aca="false">SUMIFS('Source 2026'!$I:$I,'Source 2026'!$B:$B,$A76,'Source 2026'!$A:$A,"Quantity (units)")</f>
        <v>290</v>
      </c>
      <c r="E76" s="9" t="n">
        <f aca="false">D76*$J$5</f>
        <v>366.315789473684</v>
      </c>
      <c r="F76" s="9" t="n">
        <f aca="false">E76-C76</f>
        <v>-10.6842105263158</v>
      </c>
      <c r="G76" s="11" t="n">
        <f aca="false">IF(AND(C76=0,E76=0),0,IF(C76=0,"New",(E76-C76)/C76))</f>
        <v>-0.02834008097166</v>
      </c>
      <c r="H76" s="9" t="n">
        <f aca="false">SUMIFS('Source 2025'!$I:$I,'Source 2025'!$B:$B,$A76,'Source 2025'!$A:$A,"Amount (NIS)")</f>
        <v>34663.2</v>
      </c>
      <c r="I76" s="9" t="n">
        <f aca="false">SUMIFS('Source 2026'!$I:$I,'Source 2026'!$B:$B,$A76,'Source 2026'!$A:$A,"Amount (NIS)")</f>
        <v>27286.9</v>
      </c>
      <c r="J76" s="9" t="n">
        <f aca="false">I76*$J$5</f>
        <v>34467.6631578947</v>
      </c>
      <c r="K76" s="9" t="n">
        <f aca="false">J76-H76</f>
        <v>-195.536842105263</v>
      </c>
      <c r="L76" s="11" t="n">
        <f aca="false">IF(AND(H76=0,J76=0),0,IF(H76=0,"New",(J76-H76)/H76))</f>
        <v>-0.005641049934953</v>
      </c>
    </row>
    <row r="77" customFormat="false" ht="15" hidden="false" customHeight="true" outlineLevel="0" collapsed="false">
      <c r="A77" s="8" t="s">
        <v>175</v>
      </c>
      <c r="B77" s="8" t="str">
        <f aca="false">IFERROR(INDEX('Source 2026'!$C:$C,MATCH($A77,'Source 2026'!$B:$B,0)),IFERROR(INDEX('Source 2025'!$C:$C,MATCH($A77,'Source 2025'!$B:$B,0)),""))</f>
        <v>גב אפורה</v>
      </c>
      <c r="C77" s="9" t="n">
        <f aca="false">SUMIFS('Source 2025'!$I:$I,'Source 2025'!$B:$B,$A77,'Source 2025'!$A:$A,"Quantity (units)")</f>
        <v>221</v>
      </c>
      <c r="D77" s="9" t="n">
        <f aca="false">SUMIFS('Source 2026'!$I:$I,'Source 2026'!$B:$B,$A77,'Source 2026'!$A:$A,"Quantity (units)")</f>
        <v>141</v>
      </c>
      <c r="E77" s="9" t="n">
        <f aca="false">D77*$J$5</f>
        <v>178.105263157895</v>
      </c>
      <c r="F77" s="9" t="n">
        <f aca="false">E77-C77</f>
        <v>-42.8947368421053</v>
      </c>
      <c r="G77" s="11" t="n">
        <f aca="false">IF(AND(C77=0,E77=0),0,IF(C77=0,"New",(E77-C77)/C77))</f>
        <v>-0.19409383186473</v>
      </c>
      <c r="H77" s="9" t="n">
        <f aca="false">SUMIFS('Source 2025'!$I:$I,'Source 2025'!$B:$B,$A77,'Source 2025'!$A:$A,"Amount (NIS)")</f>
        <v>20730.3</v>
      </c>
      <c r="I77" s="9" t="n">
        <f aca="false">SUMIFS('Source 2026'!$I:$I,'Source 2026'!$B:$B,$A77,'Source 2026'!$A:$A,"Amount (NIS)")</f>
        <v>13459.4</v>
      </c>
      <c r="J77" s="9" t="n">
        <f aca="false">I77*$J$5</f>
        <v>17001.3473684211</v>
      </c>
      <c r="K77" s="9" t="n">
        <f aca="false">J77-H77</f>
        <v>-3728.95263157895</v>
      </c>
      <c r="L77" s="11" t="n">
        <f aca="false">IF(AND(H77=0,J77=0),0,IF(H77=0,"New",(J77-H77)/H77))</f>
        <v>-0.179879337567664</v>
      </c>
    </row>
    <row r="78" customFormat="false" ht="15" hidden="false" customHeight="true" outlineLevel="0" collapsed="false">
      <c r="A78" s="8" t="s">
        <v>166</v>
      </c>
      <c r="B78" s="8" t="str">
        <f aca="false">IFERROR(INDEX('Source 2026'!$C:$C,MATCH($A78,'Source 2026'!$B:$B,0)),IFERROR(INDEX('Source 2025'!$C:$C,MATCH($A78,'Source 2025'!$B:$B,0)),""))</f>
        <v>S-M סד לאגודל</v>
      </c>
      <c r="C78" s="9" t="n">
        <f aca="false">SUMIFS('Source 2025'!$I:$I,'Source 2025'!$B:$B,$A78,'Source 2025'!$A:$A,"Quantity (units)")</f>
        <v>485</v>
      </c>
      <c r="D78" s="9" t="n">
        <f aca="false">SUMIFS('Source 2026'!$I:$I,'Source 2026'!$B:$B,$A78,'Source 2026'!$A:$A,"Quantity (units)")</f>
        <v>360</v>
      </c>
      <c r="E78" s="9" t="n">
        <f aca="false">D78*$J$5</f>
        <v>454.736842105263</v>
      </c>
      <c r="F78" s="9" t="n">
        <f aca="false">E78-C78</f>
        <v>-30.2631578947369</v>
      </c>
      <c r="G78" s="11" t="n">
        <f aca="false">IF(AND(C78=0,E78=0),0,IF(C78=0,"New",(E78-C78)/C78))</f>
        <v>-0.0623982637004884</v>
      </c>
      <c r="H78" s="9" t="n">
        <f aca="false">SUMIFS('Source 2025'!$I:$I,'Source 2025'!$B:$B,$A78,'Source 2025'!$A:$A,"Amount (NIS)")</f>
        <v>28234.1</v>
      </c>
      <c r="I78" s="9" t="n">
        <f aca="false">SUMIFS('Source 2026'!$I:$I,'Source 2026'!$B:$B,$A78,'Source 2026'!$A:$A,"Amount (NIS)")</f>
        <v>21127.7</v>
      </c>
      <c r="J78" s="9" t="n">
        <f aca="false">I78*$J$5</f>
        <v>26687.6210526316</v>
      </c>
      <c r="K78" s="9" t="n">
        <f aca="false">J78-H78</f>
        <v>-1546.47894736842</v>
      </c>
      <c r="L78" s="11" t="n">
        <f aca="false">IF(AND(H78=0,J78=0),0,IF(H78=0,"New",(J78-H78)/H78))</f>
        <v>-0.0547734458462788</v>
      </c>
    </row>
    <row r="79" customFormat="false" ht="15" hidden="false" customHeight="true" outlineLevel="0" collapsed="false">
      <c r="A79" s="8" t="s">
        <v>139</v>
      </c>
      <c r="B79" s="8" t="str">
        <f aca="false">IFERROR(INDEX('Source 2026'!$C:$C,MATCH($A79,'Source 2026'!$B:$B,0)),IFERROR(INDEX('Source 2025'!$C:$C,MATCH($A79,'Source 2025'!$B:$B,0)),""))</f>
        <v>S מגן קרסול עקב סגור+רצוע</v>
      </c>
      <c r="C79" s="9" t="n">
        <f aca="false">SUMIFS('Source 2025'!$I:$I,'Source 2025'!$B:$B,$A79,'Source 2025'!$A:$A,"Quantity (units)")</f>
        <v>594</v>
      </c>
      <c r="D79" s="9" t="n">
        <f aca="false">SUMIFS('Source 2026'!$I:$I,'Source 2026'!$B:$B,$A79,'Source 2026'!$A:$A,"Quantity (units)")</f>
        <v>466</v>
      </c>
      <c r="E79" s="9" t="n">
        <f aca="false">D79*$J$5</f>
        <v>588.631578947368</v>
      </c>
      <c r="F79" s="9" t="n">
        <f aca="false">E79-C79</f>
        <v>-5.36842105263156</v>
      </c>
      <c r="G79" s="11" t="n">
        <f aca="false">IF(AND(C79=0,E79=0),0,IF(C79=0,"New",(E79-C79)/C79))</f>
        <v>-0.00903774587985111</v>
      </c>
      <c r="H79" s="9" t="n">
        <f aca="false">SUMIFS('Source 2025'!$I:$I,'Source 2025'!$B:$B,$A79,'Source 2025'!$A:$A,"Amount (NIS)")</f>
        <v>32796.7</v>
      </c>
      <c r="I79" s="9" t="n">
        <f aca="false">SUMIFS('Source 2026'!$I:$I,'Source 2026'!$B:$B,$A79,'Source 2026'!$A:$A,"Amount (NIS)")</f>
        <v>26002.3</v>
      </c>
      <c r="J79" s="9" t="n">
        <f aca="false">I79*$J$5</f>
        <v>32845.0105263158</v>
      </c>
      <c r="K79" s="9" t="n">
        <f aca="false">J79-H79</f>
        <v>48.3105263157922</v>
      </c>
      <c r="L79" s="11" t="n">
        <f aca="false">IF(AND(H79=0,J79=0),0,IF(H79=0,"New",(J79-H79)/H79))</f>
        <v>0.00147303010107091</v>
      </c>
    </row>
    <row r="80" customFormat="false" ht="15" hidden="false" customHeight="true" outlineLevel="0" collapsed="false">
      <c r="A80" s="8" t="s">
        <v>254</v>
      </c>
      <c r="B80" s="8" t="str">
        <f aca="false">IFERROR(INDEX('Source 2026'!$C:$C,MATCH($A80,'Source 2026'!$B:$B,0)),IFERROR(INDEX('Source 2025'!$C:$C,MATCH($A80,'Source 2025'!$B:$B,0)),""))</f>
        <v>S-M STRAP4U</v>
      </c>
      <c r="C80" s="9" t="n">
        <f aca="false">SUMIFS('Source 2025'!$I:$I,'Source 2025'!$B:$B,$A80,'Source 2025'!$A:$A,"Quantity (units)")</f>
        <v>496</v>
      </c>
      <c r="D80" s="9" t="n">
        <f aca="false">SUMIFS('Source 2026'!$I:$I,'Source 2026'!$B:$B,$A80,'Source 2026'!$A:$A,"Quantity (units)")</f>
        <v>89</v>
      </c>
      <c r="E80" s="9" t="n">
        <f aca="false">D80*$J$5</f>
        <v>112.421052631579</v>
      </c>
      <c r="F80" s="9" t="n">
        <f aca="false">E80-C80</f>
        <v>-383.578947368421</v>
      </c>
      <c r="G80" s="11" t="n">
        <f aca="false">IF(AND(C80=0,E80=0),0,IF(C80=0,"New",(E80-C80)/C80))</f>
        <v>-0.773344651952462</v>
      </c>
      <c r="H80" s="9" t="n">
        <f aca="false">SUMIFS('Source 2025'!$I:$I,'Source 2025'!$B:$B,$A80,'Source 2025'!$A:$A,"Amount (NIS)")</f>
        <v>8292.2</v>
      </c>
      <c r="I80" s="9" t="n">
        <f aca="false">SUMIFS('Source 2026'!$I:$I,'Source 2026'!$B:$B,$A80,'Source 2026'!$A:$A,"Amount (NIS)")</f>
        <v>1612.2</v>
      </c>
      <c r="J80" s="9" t="n">
        <f aca="false">I80*$J$5</f>
        <v>2036.46315789474</v>
      </c>
      <c r="K80" s="9" t="n">
        <f aca="false">J80-H80</f>
        <v>-6255.73684210526</v>
      </c>
      <c r="L80" s="11" t="n">
        <f aca="false">IF(AND(H80=0,J80=0),0,IF(H80=0,"New",(J80-H80)/H80))</f>
        <v>-0.754412199670204</v>
      </c>
    </row>
    <row r="81" customFormat="false" ht="15" hidden="false" customHeight="true" outlineLevel="0" collapsed="false">
      <c r="A81" s="8" t="s">
        <v>128</v>
      </c>
      <c r="B81" s="8" t="str">
        <f aca="false">IFERROR(INDEX('Source 2026'!$C:$C,MATCH($A81,'Source 2026'!$B:$B,0)),IFERROR(INDEX('Source 2025'!$C:$C,MATCH($A81,'Source 2025'!$B:$B,0)),""))</f>
        <v>גרב.כסף לסכרתים שחור35-38</v>
      </c>
      <c r="C81" s="9" t="n">
        <f aca="false">SUMIFS('Source 2025'!$I:$I,'Source 2025'!$B:$B,$A81,'Source 2025'!$A:$A,"Quantity (units)")</f>
        <v>473</v>
      </c>
      <c r="D81" s="9" t="n">
        <f aca="false">SUMIFS('Source 2026'!$I:$I,'Source 2026'!$B:$B,$A81,'Source 2026'!$A:$A,"Quantity (units)")</f>
        <v>178</v>
      </c>
      <c r="E81" s="9" t="n">
        <f aca="false">D81*$J$5</f>
        <v>224.842105263158</v>
      </c>
      <c r="F81" s="9" t="n">
        <f aca="false">E81-C81</f>
        <v>-248.157894736842</v>
      </c>
      <c r="G81" s="11" t="n">
        <f aca="false">IF(AND(C81=0,E81=0),0,IF(C81=0,"New",(E81-C81)/C81))</f>
        <v>-0.524646711917214</v>
      </c>
      <c r="H81" s="9" t="n">
        <f aca="false">SUMIFS('Source 2025'!$I:$I,'Source 2025'!$B:$B,$A81,'Source 2025'!$A:$A,"Amount (NIS)")</f>
        <v>10594.9</v>
      </c>
      <c r="I81" s="9" t="n">
        <f aca="false">SUMIFS('Source 2026'!$I:$I,'Source 2026'!$B:$B,$A81,'Source 2026'!$A:$A,"Amount (NIS)")</f>
        <v>3940.9</v>
      </c>
      <c r="J81" s="9" t="n">
        <f aca="false">I81*$J$5</f>
        <v>4977.97894736842</v>
      </c>
      <c r="K81" s="9" t="n">
        <f aca="false">J81-H81</f>
        <v>-5616.92105263158</v>
      </c>
      <c r="L81" s="11" t="n">
        <f aca="false">IF(AND(H81=0,J81=0),0,IF(H81=0,"New",(J81-H81)/H81))</f>
        <v>-0.530153286263351</v>
      </c>
    </row>
    <row r="82" customFormat="false" ht="15" hidden="false" customHeight="true" outlineLevel="0" collapsed="false">
      <c r="A82" s="8" t="s">
        <v>286</v>
      </c>
      <c r="B82" s="8" t="str">
        <f aca="false">IFERROR(INDEX('Source 2026'!$C:$C,MATCH($A82,'Source 2026'!$B:$B,0)),IFERROR(INDEX('Source 2025'!$C:$C,MATCH($A82,'Source 2025'!$B:$B,0)),""))</f>
        <v>L ימין CTS כפפות</v>
      </c>
      <c r="C82" s="9" t="n">
        <f aca="false">SUMIFS('Source 2025'!$I:$I,'Source 2025'!$B:$B,$A82,'Source 2025'!$A:$A,"Quantity (units)")</f>
        <v>0</v>
      </c>
      <c r="D82" s="9" t="n">
        <f aca="false">SUMIFS('Source 2026'!$I:$I,'Source 2026'!$B:$B,$A82,'Source 2026'!$A:$A,"Quantity (units)")</f>
        <v>64</v>
      </c>
      <c r="E82" s="9" t="n">
        <f aca="false">D82*$J$5</f>
        <v>80.8421052631579</v>
      </c>
      <c r="F82" s="9" t="n">
        <f aca="false">E82-C82</f>
        <v>80.8421052631579</v>
      </c>
      <c r="G82" s="11" t="str">
        <f aca="false">IF(AND(C82=0,E82=0),0,IF(C82=0,"New",(E82-C82)/C82))</f>
        <v>New</v>
      </c>
      <c r="H82" s="9" t="n">
        <f aca="false">SUMIFS('Source 2025'!$I:$I,'Source 2025'!$B:$B,$A82,'Source 2025'!$A:$A,"Amount (NIS)")</f>
        <v>0</v>
      </c>
      <c r="I82" s="9" t="n">
        <f aca="false">SUMIFS('Source 2026'!$I:$I,'Source 2026'!$B:$B,$A82,'Source 2026'!$A:$A,"Amount (NIS)")</f>
        <v>6431.2</v>
      </c>
      <c r="J82" s="9" t="n">
        <f aca="false">I82*$J$5</f>
        <v>8123.62105263158</v>
      </c>
      <c r="K82" s="9" t="n">
        <f aca="false">J82-H82</f>
        <v>8123.62105263158</v>
      </c>
      <c r="L82" s="11" t="str">
        <f aca="false">IF(AND(H82=0,J82=0),0,IF(H82=0,"New",(J82-H82)/H82))</f>
        <v>New</v>
      </c>
    </row>
    <row r="83" customFormat="false" ht="15" hidden="false" customHeight="true" outlineLevel="0" collapsed="false">
      <c r="A83" s="8" t="s">
        <v>143</v>
      </c>
      <c r="B83" s="8" t="str">
        <f aca="false">IFERROR(INDEX('Source 2026'!$C:$C,MATCH($A83,'Source 2026'!$B:$B,0)),IFERROR(INDEX('Source 2025'!$C:$C,MATCH($A83,'Source 2025'!$B:$B,0)),""))</f>
        <v>אמבט לכף הרגל</v>
      </c>
      <c r="C83" s="9" t="n">
        <f aca="false">SUMIFS('Source 2025'!$I:$I,'Source 2025'!$B:$B,$A83,'Source 2025'!$A:$A,"Quantity (units)")</f>
        <v>1085</v>
      </c>
      <c r="D83" s="9" t="n">
        <f aca="false">SUMIFS('Source 2026'!$I:$I,'Source 2026'!$B:$B,$A83,'Source 2026'!$A:$A,"Quantity (units)")</f>
        <v>477</v>
      </c>
      <c r="E83" s="9" t="n">
        <f aca="false">D83*$J$5</f>
        <v>602.526315789474</v>
      </c>
      <c r="F83" s="9" t="n">
        <f aca="false">E83-C83</f>
        <v>-482.473684210526</v>
      </c>
      <c r="G83" s="11" t="n">
        <f aca="false">IF(AND(C83=0,E83=0),0,IF(C83=0,"New",(E83-C83)/C83))</f>
        <v>-0.444676206645646</v>
      </c>
      <c r="H83" s="9" t="n">
        <f aca="false">SUMIFS('Source 2025'!$I:$I,'Source 2025'!$B:$B,$A83,'Source 2025'!$A:$A,"Amount (NIS)")</f>
        <v>11157.6</v>
      </c>
      <c r="I83" s="9" t="n">
        <f aca="false">SUMIFS('Source 2026'!$I:$I,'Source 2026'!$B:$B,$A83,'Source 2026'!$A:$A,"Amount (NIS)")</f>
        <v>4958.1</v>
      </c>
      <c r="J83" s="9" t="n">
        <f aca="false">I83*$J$5</f>
        <v>6262.86315789474</v>
      </c>
      <c r="K83" s="9" t="n">
        <f aca="false">J83-H83</f>
        <v>-4894.73684210526</v>
      </c>
      <c r="L83" s="11" t="n">
        <f aca="false">IF(AND(H83=0,J83=0),0,IF(H83=0,"New",(J83-H83)/H83))</f>
        <v>-0.438690833342768</v>
      </c>
    </row>
    <row r="84" customFormat="false" ht="15" hidden="false" customHeight="true" outlineLevel="0" collapsed="false">
      <c r="A84" s="8" t="s">
        <v>162</v>
      </c>
      <c r="B84" s="8" t="str">
        <f aca="false">IFERROR(INDEX('Source 2026'!$C:$C,MATCH($A84,'Source 2026'!$B:$B,0)),IFERROR(INDEX('Source 2025'!$C:$C,MATCH($A84,'Source 2025'!$B:$B,0)),""))</f>
        <v>חבק טניס</v>
      </c>
      <c r="C84" s="9" t="n">
        <f aca="false">SUMIFS('Source 2025'!$I:$I,'Source 2025'!$B:$B,$A84,'Source 2025'!$A:$A,"Quantity (units)")</f>
        <v>934</v>
      </c>
      <c r="D84" s="9" t="n">
        <f aca="false">SUMIFS('Source 2026'!$I:$I,'Source 2026'!$B:$B,$A84,'Source 2026'!$A:$A,"Quantity (units)")</f>
        <v>687</v>
      </c>
      <c r="E84" s="9" t="n">
        <f aca="false">D84*$J$5</f>
        <v>867.789473684211</v>
      </c>
      <c r="F84" s="9" t="n">
        <f aca="false">E84-C84</f>
        <v>-66.2105263157895</v>
      </c>
      <c r="G84" s="11" t="n">
        <f aca="false">IF(AND(C84=0,E84=0),0,IF(C84=0,"New",(E84-C84)/C84))</f>
        <v>-0.0708892144708667</v>
      </c>
      <c r="H84" s="9" t="n">
        <f aca="false">SUMIFS('Source 2025'!$I:$I,'Source 2025'!$B:$B,$A84,'Source 2025'!$A:$A,"Amount (NIS)")</f>
        <v>25227.4</v>
      </c>
      <c r="I84" s="9" t="n">
        <f aca="false">SUMIFS('Source 2026'!$I:$I,'Source 2026'!$B:$B,$A84,'Source 2026'!$A:$A,"Amount (NIS)")</f>
        <v>19060.4</v>
      </c>
      <c r="J84" s="9" t="n">
        <f aca="false">I84*$J$5</f>
        <v>24076.2947368421</v>
      </c>
      <c r="K84" s="9" t="n">
        <f aca="false">J84-H84</f>
        <v>-1151.1052631579</v>
      </c>
      <c r="L84" s="11" t="n">
        <f aca="false">IF(AND(H84=0,J84=0),0,IF(H84=0,"New",(J84-H84)/H84))</f>
        <v>-0.0456291676176656</v>
      </c>
    </row>
    <row r="85" customFormat="false" ht="15" hidden="false" customHeight="true" outlineLevel="0" collapsed="false">
      <c r="A85" s="8" t="s">
        <v>196</v>
      </c>
      <c r="B85" s="8" t="str">
        <f aca="false">IFERROR(INDEX('Source 2026'!$C:$C,MATCH($A85,'Source 2026'!$B:$B,0)),IFERROR(INDEX('Source 2025'!$C:$C,MATCH($A85,'Source 2025'!$B:$B,0)),""))</f>
        <v>מקבע קרסול</v>
      </c>
      <c r="C85" s="9" t="n">
        <f aca="false">SUMIFS('Source 2025'!$I:$I,'Source 2025'!$B:$B,$A85,'Source 2025'!$A:$A,"Quantity (units)")</f>
        <v>0</v>
      </c>
      <c r="D85" s="9" t="n">
        <f aca="false">SUMIFS('Source 2026'!$I:$I,'Source 2026'!$B:$B,$A85,'Source 2026'!$A:$A,"Quantity (units)")</f>
        <v>40</v>
      </c>
      <c r="E85" s="9" t="n">
        <f aca="false">D85*$J$5</f>
        <v>50.5263157894737</v>
      </c>
      <c r="F85" s="9" t="n">
        <f aca="false">E85-C85</f>
        <v>50.5263157894737</v>
      </c>
      <c r="G85" s="11" t="str">
        <f aca="false">IF(AND(C85=0,E85=0),0,IF(C85=0,"New",(E85-C85)/C85))</f>
        <v>New</v>
      </c>
      <c r="H85" s="9" t="n">
        <f aca="false">SUMIFS('Source 2025'!$I:$I,'Source 2025'!$B:$B,$A85,'Source 2025'!$A:$A,"Amount (NIS)")</f>
        <v>0</v>
      </c>
      <c r="I85" s="9" t="n">
        <f aca="false">SUMIFS('Source 2026'!$I:$I,'Source 2026'!$B:$B,$A85,'Source 2026'!$A:$A,"Amount (NIS)")</f>
        <v>5635.8</v>
      </c>
      <c r="J85" s="9" t="n">
        <f aca="false">I85*$J$5</f>
        <v>7118.90526315789</v>
      </c>
      <c r="K85" s="9" t="n">
        <f aca="false">J85-H85</f>
        <v>7118.90526315789</v>
      </c>
      <c r="L85" s="11" t="str">
        <f aca="false">IF(AND(H85=0,J85=0),0,IF(H85=0,"New",(J85-H85)/H85))</f>
        <v>New</v>
      </c>
    </row>
    <row r="86" customFormat="false" ht="15" hidden="false" customHeight="true" outlineLevel="0" collapsed="false">
      <c r="A86" s="8" t="s">
        <v>115</v>
      </c>
      <c r="B86" s="8" t="str">
        <f aca="false">IFERROR(INDEX('Source 2026'!$C:$C,MATCH($A86,'Source 2026'!$B:$B,0)),IFERROR(INDEX('Source 2025'!$C:$C,MATCH($A86,'Source 2025'!$B:$B,0)),""))</f>
        <v>ציפורניים</v>
      </c>
      <c r="C86" s="9" t="n">
        <f aca="false">SUMIFS('Source 2025'!$I:$I,'Source 2025'!$B:$B,$A86,'Source 2025'!$A:$A,"Quantity (units)")</f>
        <v>937</v>
      </c>
      <c r="D86" s="9" t="n">
        <f aca="false">SUMIFS('Source 2026'!$I:$I,'Source 2026'!$B:$B,$A86,'Source 2026'!$A:$A,"Quantity (units)")</f>
        <v>515</v>
      </c>
      <c r="E86" s="9" t="n">
        <f aca="false">D86*$J$5</f>
        <v>650.526315789474</v>
      </c>
      <c r="F86" s="9" t="n">
        <f aca="false">E86-C86</f>
        <v>-286.473684210526</v>
      </c>
      <c r="G86" s="11" t="n">
        <f aca="false">IF(AND(C86=0,E86=0),0,IF(C86=0,"New",(E86-C86)/C86))</f>
        <v>-0.305734988485087</v>
      </c>
      <c r="H86" s="9" t="n">
        <f aca="false">SUMIFS('Source 2025'!$I:$I,'Source 2025'!$B:$B,$A86,'Source 2025'!$A:$A,"Amount (NIS)")</f>
        <v>12313.6</v>
      </c>
      <c r="I86" s="9" t="n">
        <f aca="false">SUMIFS('Source 2026'!$I:$I,'Source 2026'!$B:$B,$A86,'Source 2026'!$A:$A,"Amount (NIS)")</f>
        <v>6779.2</v>
      </c>
      <c r="J86" s="9" t="n">
        <f aca="false">I86*$J$5</f>
        <v>8563.2</v>
      </c>
      <c r="K86" s="9" t="n">
        <f aca="false">J86-H86</f>
        <v>-3750.4</v>
      </c>
      <c r="L86" s="11" t="n">
        <f aca="false">IF(AND(H86=0,J86=0),0,IF(H86=0,"New",(J86-H86)/H86))</f>
        <v>-0.304573804573805</v>
      </c>
    </row>
    <row r="87" customFormat="false" ht="15" hidden="false" customHeight="true" outlineLevel="0" collapsed="false">
      <c r="A87" s="8" t="s">
        <v>150</v>
      </c>
      <c r="B87" s="8" t="str">
        <f aca="false">IFERROR(INDEX('Source 2026'!$C:$C,MATCH($A87,'Source 2026'!$B:$B,0)),IFERROR(INDEX('Source 2025'!$C:$C,MATCH($A87,'Source 2025'!$B:$B,0)),""))</f>
        <v>S מגן ברך</v>
      </c>
      <c r="C87" s="9" t="n">
        <f aca="false">SUMIFS('Source 2025'!$I:$I,'Source 2025'!$B:$B,$A87,'Source 2025'!$A:$A,"Quantity (units)")</f>
        <v>96</v>
      </c>
      <c r="D87" s="9" t="n">
        <f aca="false">SUMIFS('Source 2026'!$I:$I,'Source 2026'!$B:$B,$A87,'Source 2026'!$A:$A,"Quantity (units)")</f>
        <v>133</v>
      </c>
      <c r="E87" s="9" t="n">
        <f aca="false">D87*$J$5</f>
        <v>168</v>
      </c>
      <c r="F87" s="9" t="n">
        <f aca="false">E87-C87</f>
        <v>72</v>
      </c>
      <c r="G87" s="11" t="n">
        <f aca="false">IF(AND(C87=0,E87=0),0,IF(C87=0,"New",(E87-C87)/C87))</f>
        <v>0.75</v>
      </c>
      <c r="H87" s="9" t="n">
        <f aca="false">SUMIFS('Source 2025'!$I:$I,'Source 2025'!$B:$B,$A87,'Source 2025'!$A:$A,"Amount (NIS)")</f>
        <v>12515</v>
      </c>
      <c r="I87" s="9" t="n">
        <f aca="false">SUMIFS('Source 2026'!$I:$I,'Source 2026'!$B:$B,$A87,'Source 2026'!$A:$A,"Amount (NIS)")</f>
        <v>17764.4</v>
      </c>
      <c r="J87" s="9" t="n">
        <f aca="false">I87*$J$5</f>
        <v>22439.2421052632</v>
      </c>
      <c r="K87" s="9" t="n">
        <f aca="false">J87-H87</f>
        <v>9924.24210526316</v>
      </c>
      <c r="L87" s="11" t="n">
        <f aca="false">IF(AND(H87=0,J87=0),0,IF(H87=0,"New",(J87-H87)/H87))</f>
        <v>0.792987783081355</v>
      </c>
    </row>
    <row r="88" customFormat="false" ht="15" hidden="false" customHeight="true" outlineLevel="0" collapsed="false">
      <c r="A88" s="8" t="s">
        <v>219</v>
      </c>
      <c r="B88" s="8" t="str">
        <f aca="false">IFERROR(INDEX('Source 2026'!$C:$C,MATCH($A88,'Source 2026'!$B:$B,0)),IFERROR(INDEX('Source 2025'!$C:$C,MATCH($A88,'Source 2025'!$B:$B,0)),""))</f>
        <v>מדבקה לשחרור לחץ 2 יח</v>
      </c>
      <c r="C88" s="9" t="n">
        <f aca="false">SUMIFS('Source 2025'!$I:$I,'Source 2025'!$B:$B,$A88,'Source 2025'!$A:$A,"Quantity (units)")</f>
        <v>655</v>
      </c>
      <c r="D88" s="9" t="n">
        <f aca="false">SUMIFS('Source 2026'!$I:$I,'Source 2026'!$B:$B,$A88,'Source 2026'!$A:$A,"Quantity (units)")</f>
        <v>459</v>
      </c>
      <c r="E88" s="9" t="n">
        <f aca="false">D88*$J$5</f>
        <v>579.789473684211</v>
      </c>
      <c r="F88" s="9" t="n">
        <f aca="false">E88-C88</f>
        <v>-75.2105263157895</v>
      </c>
      <c r="G88" s="11" t="n">
        <f aca="false">IF(AND(C88=0,E88=0),0,IF(C88=0,"New",(E88-C88)/C88))</f>
        <v>-0.114825231016472</v>
      </c>
      <c r="H88" s="9" t="n">
        <f aca="false">SUMIFS('Source 2025'!$I:$I,'Source 2025'!$B:$B,$A88,'Source 2025'!$A:$A,"Amount (NIS)")</f>
        <v>17718.3</v>
      </c>
      <c r="I88" s="9" t="n">
        <f aca="false">SUMIFS('Source 2026'!$I:$I,'Source 2026'!$B:$B,$A88,'Source 2026'!$A:$A,"Amount (NIS)")</f>
        <v>12492.2</v>
      </c>
      <c r="J88" s="9" t="n">
        <f aca="false">I88*$J$5</f>
        <v>15779.6210526316</v>
      </c>
      <c r="K88" s="9" t="n">
        <f aca="false">J88-H88</f>
        <v>-1938.67894736842</v>
      </c>
      <c r="L88" s="11" t="n">
        <f aca="false">IF(AND(H88=0,J88=0),0,IF(H88=0,"New",(J88-H88)/H88))</f>
        <v>-0.109416758231231</v>
      </c>
    </row>
    <row r="89" customFormat="false" ht="15" hidden="false" customHeight="true" outlineLevel="0" collapsed="false">
      <c r="A89" s="8" t="s">
        <v>214</v>
      </c>
      <c r="B89" s="8" t="str">
        <f aca="false">IFERROR(INDEX('Source 2026'!$C:$C,MATCH($A89,'Source 2026'!$B:$B,0)),IFERROR(INDEX('Source 2025'!$C:$C,MATCH($A89,'Source 2025'!$B:$B,0)),""))</f>
        <v>S-M חבק יד עם צמדן</v>
      </c>
      <c r="C89" s="9" t="n">
        <f aca="false">SUMIFS('Source 2025'!$I:$I,'Source 2025'!$B:$B,$A89,'Source 2025'!$A:$A,"Quantity (units)")</f>
        <v>381</v>
      </c>
      <c r="D89" s="9" t="n">
        <f aca="false">SUMIFS('Source 2026'!$I:$I,'Source 2026'!$B:$B,$A89,'Source 2026'!$A:$A,"Quantity (units)")</f>
        <v>235</v>
      </c>
      <c r="E89" s="9" t="n">
        <f aca="false">D89*$J$5</f>
        <v>296.842105263158</v>
      </c>
      <c r="F89" s="9" t="n">
        <f aca="false">E89-C89</f>
        <v>-84.1578947368421</v>
      </c>
      <c r="G89" s="11" t="n">
        <f aca="false">IF(AND(C89=0,E89=0),0,IF(C89=0,"New",(E89-C89)/C89))</f>
        <v>-0.220886862826357</v>
      </c>
      <c r="H89" s="9" t="n">
        <f aca="false">SUMIFS('Source 2025'!$I:$I,'Source 2025'!$B:$B,$A89,'Source 2025'!$A:$A,"Amount (NIS)")</f>
        <v>12313.2</v>
      </c>
      <c r="I89" s="9" t="n">
        <f aca="false">SUMIFS('Source 2026'!$I:$I,'Source 2026'!$B:$B,$A89,'Source 2026'!$A:$A,"Amount (NIS)")</f>
        <v>7532.1</v>
      </c>
      <c r="J89" s="9" t="n">
        <f aca="false">I89*$J$5</f>
        <v>9514.23157894737</v>
      </c>
      <c r="K89" s="9" t="n">
        <f aca="false">J89-H89</f>
        <v>-2798.96842105263</v>
      </c>
      <c r="L89" s="11" t="n">
        <f aca="false">IF(AND(H89=0,J89=0),0,IF(H89=0,"New",(J89-H89)/H89))</f>
        <v>-0.227314460989234</v>
      </c>
    </row>
    <row r="90" customFormat="false" ht="15" hidden="false" customHeight="true" outlineLevel="0" collapsed="false">
      <c r="A90" s="8" t="s">
        <v>155</v>
      </c>
      <c r="B90" s="8" t="str">
        <f aca="false">IFERROR(INDEX('Source 2026'!$C:$C,MATCH($A90,'Source 2026'!$B:$B,0)),IFERROR(INDEX('Source 2025'!$C:$C,MATCH($A90,'Source 2025'!$B:$B,0)),""))</f>
        <v>גרב.כסף לסכרתים שחור35-38</v>
      </c>
      <c r="C90" s="9" t="n">
        <f aca="false">SUMIFS('Source 2025'!$I:$I,'Source 2025'!$B:$B,$A90,'Source 2025'!$A:$A,"Quantity (units)")</f>
        <v>233</v>
      </c>
      <c r="D90" s="9" t="n">
        <f aca="false">SUMIFS('Source 2026'!$I:$I,'Source 2026'!$B:$B,$A90,'Source 2026'!$A:$A,"Quantity (units)")</f>
        <v>73</v>
      </c>
      <c r="E90" s="9" t="n">
        <f aca="false">D90*$J$5</f>
        <v>92.2105263157895</v>
      </c>
      <c r="F90" s="9" t="n">
        <f aca="false">E90-C90</f>
        <v>-140.789473684211</v>
      </c>
      <c r="G90" s="11" t="n">
        <f aca="false">IF(AND(C90=0,E90=0),0,IF(C90=0,"New",(E90-C90)/C90))</f>
        <v>-0.604246668172577</v>
      </c>
      <c r="H90" s="9" t="n">
        <f aca="false">SUMIFS('Source 2025'!$I:$I,'Source 2025'!$B:$B,$A90,'Source 2025'!$A:$A,"Amount (NIS)")</f>
        <v>6859.5</v>
      </c>
      <c r="I90" s="9" t="n">
        <f aca="false">SUMIFS('Source 2026'!$I:$I,'Source 2026'!$B:$B,$A90,'Source 2026'!$A:$A,"Amount (NIS)")</f>
        <v>2170.3</v>
      </c>
      <c r="J90" s="9" t="n">
        <f aca="false">I90*$J$5</f>
        <v>2741.43157894737</v>
      </c>
      <c r="K90" s="9" t="n">
        <f aca="false">J90-H90</f>
        <v>-4118.06842105263</v>
      </c>
      <c r="L90" s="11" t="n">
        <f aca="false">IF(AND(H90=0,J90=0),0,IF(H90=0,"New",(J90-H90)/H90))</f>
        <v>-0.600345276048201</v>
      </c>
    </row>
    <row r="91" customFormat="false" ht="15" hidden="false" customHeight="true" outlineLevel="0" collapsed="false">
      <c r="A91" s="8" t="s">
        <v>97</v>
      </c>
      <c r="B91" s="8" t="str">
        <f aca="false">IFERROR(INDEX('Source 2026'!$C:$C,MATCH($A91,'Source 2026'!$B:$B,0)),IFERROR(INDEX('Source 2025'!$C:$C,MATCH($A91,'Source 2025'!$B:$B,0)),""))</f>
        <v>שרוול מסיליקון לאצבע</v>
      </c>
      <c r="C91" s="9" t="n">
        <f aca="false">SUMIFS('Source 2025'!$I:$I,'Source 2025'!$B:$B,$A91,'Source 2025'!$A:$A,"Quantity (units)")</f>
        <v>905</v>
      </c>
      <c r="D91" s="9" t="n">
        <f aca="false">SUMIFS('Source 2026'!$I:$I,'Source 2026'!$B:$B,$A91,'Source 2026'!$A:$A,"Quantity (units)")</f>
        <v>638</v>
      </c>
      <c r="E91" s="9" t="n">
        <f aca="false">D91*$J$5</f>
        <v>805.894736842105</v>
      </c>
      <c r="F91" s="9" t="n">
        <f aca="false">E91-C91</f>
        <v>-99.1052631578948</v>
      </c>
      <c r="G91" s="11" t="n">
        <f aca="false">IF(AND(C91=0,E91=0),0,IF(C91=0,"New",(E91-C91)/C91))</f>
        <v>-0.109508578075022</v>
      </c>
      <c r="H91" s="9" t="n">
        <f aca="false">SUMIFS('Source 2025'!$I:$I,'Source 2025'!$B:$B,$A91,'Source 2025'!$A:$A,"Amount (NIS)")</f>
        <v>15182</v>
      </c>
      <c r="I91" s="9" t="n">
        <f aca="false">SUMIFS('Source 2026'!$I:$I,'Source 2026'!$B:$B,$A91,'Source 2026'!$A:$A,"Amount (NIS)")</f>
        <v>10783.3</v>
      </c>
      <c r="J91" s="9" t="n">
        <f aca="false">I91*$J$5</f>
        <v>13621.0105263158</v>
      </c>
      <c r="K91" s="9" t="n">
        <f aca="false">J91-H91</f>
        <v>-1560.98947368421</v>
      </c>
      <c r="L91" s="11" t="n">
        <f aca="false">IF(AND(H91=0,J91=0),0,IF(H91=0,"New",(J91-H91)/H91))</f>
        <v>-0.102818434572798</v>
      </c>
    </row>
    <row r="92" customFormat="false" ht="15" hidden="false" customHeight="true" outlineLevel="0" collapsed="false">
      <c r="A92" s="8" t="s">
        <v>81</v>
      </c>
      <c r="B92" s="8" t="str">
        <f aca="false">IFERROR(INDEX('Source 2026'!$C:$C,MATCH($A92,'Source 2026'!$B:$B,0)),IFERROR(INDEX('Source 2025'!$C:$C,MATCH($A92,'Source 2025'!$B:$B,0)),""))</f>
        <v>מדרס ג'ל לגבר</v>
      </c>
      <c r="C92" s="9" t="n">
        <f aca="false">SUMIFS('Source 2025'!$I:$I,'Source 2025'!$B:$B,$A92,'Source 2025'!$A:$A,"Quantity (units)")</f>
        <v>287</v>
      </c>
      <c r="D92" s="9" t="n">
        <f aca="false">SUMIFS('Source 2026'!$I:$I,'Source 2026'!$B:$B,$A92,'Source 2026'!$A:$A,"Quantity (units)")</f>
        <v>219</v>
      </c>
      <c r="E92" s="9" t="n">
        <f aca="false">D92*$J$5</f>
        <v>276.631578947368</v>
      </c>
      <c r="F92" s="9" t="n">
        <f aca="false">E92-C92</f>
        <v>-10.3684210526316</v>
      </c>
      <c r="G92" s="11" t="n">
        <f aca="false">IF(AND(C92=0,E92=0),0,IF(C92=0,"New",(E92-C92)/C92))</f>
        <v>-0.0361269026224098</v>
      </c>
      <c r="H92" s="9" t="n">
        <f aca="false">SUMIFS('Source 2025'!$I:$I,'Source 2025'!$B:$B,$A92,'Source 2025'!$A:$A,"Amount (NIS)")</f>
        <v>18523.3</v>
      </c>
      <c r="I92" s="9" t="n">
        <f aca="false">SUMIFS('Source 2026'!$I:$I,'Source 2026'!$B:$B,$A92,'Source 2026'!$A:$A,"Amount (NIS)")</f>
        <v>14287.6</v>
      </c>
      <c r="J92" s="9" t="n">
        <f aca="false">I92*$J$5</f>
        <v>18047.4947368421</v>
      </c>
      <c r="K92" s="9" t="n">
        <f aca="false">J92-H92</f>
        <v>-475.805263157894</v>
      </c>
      <c r="L92" s="11" t="n">
        <f aca="false">IF(AND(H92=0,J92=0),0,IF(H92=0,"New",(J92-H92)/H92))</f>
        <v>-0.0256868518653746</v>
      </c>
    </row>
    <row r="93" customFormat="false" ht="15" hidden="false" customHeight="true" outlineLevel="0" collapsed="false">
      <c r="A93" s="8" t="s">
        <v>271</v>
      </c>
      <c r="B93" s="8" t="str">
        <f aca="false">IFERROR(INDEX('Source 2026'!$C:$C,MATCH($A93,'Source 2026'!$B:$B,0)),IFERROR(INDEX('Source 2025'!$C:$C,MATCH($A93,'Source 2025'!$B:$B,0)),""))</f>
        <v>כפפות אגודל לחץ</v>
      </c>
      <c r="C93" s="9" t="n">
        <f aca="false">SUMIFS('Source 2025'!$I:$I,'Source 2025'!$B:$B,$A93,'Source 2025'!$A:$A,"Quantity (units)")</f>
        <v>395</v>
      </c>
      <c r="D93" s="9" t="n">
        <f aca="false">SUMIFS('Source 2026'!$I:$I,'Source 2026'!$B:$B,$A93,'Source 2026'!$A:$A,"Quantity (units)")</f>
        <v>247</v>
      </c>
      <c r="E93" s="9" t="n">
        <f aca="false">D93*$J$5</f>
        <v>312</v>
      </c>
      <c r="F93" s="9" t="n">
        <f aca="false">E93-C93</f>
        <v>-83</v>
      </c>
      <c r="G93" s="11" t="n">
        <f aca="false">IF(AND(C93=0,E93=0),0,IF(C93=0,"New",(E93-C93)/C93))</f>
        <v>-0.210126582278481</v>
      </c>
      <c r="H93" s="9" t="n">
        <f aca="false">SUMIFS('Source 2025'!$I:$I,'Source 2025'!$B:$B,$A93,'Source 2025'!$A:$A,"Amount (NIS)")</f>
        <v>11254.2</v>
      </c>
      <c r="I93" s="9" t="n">
        <f aca="false">SUMIFS('Source 2026'!$I:$I,'Source 2026'!$B:$B,$A93,'Source 2026'!$A:$A,"Amount (NIS)")</f>
        <v>7189.1</v>
      </c>
      <c r="J93" s="9" t="n">
        <f aca="false">I93*$J$5</f>
        <v>9080.96842105263</v>
      </c>
      <c r="K93" s="9" t="n">
        <f aca="false">J93-H93</f>
        <v>-2173.23157894737</v>
      </c>
      <c r="L93" s="11" t="n">
        <f aca="false">IF(AND(H93=0,J93=0),0,IF(H93=0,"New",(J93-H93)/H93))</f>
        <v>-0.193104048172893</v>
      </c>
    </row>
    <row r="94" customFormat="false" ht="15" hidden="false" customHeight="true" outlineLevel="0" collapsed="false">
      <c r="A94" s="8" t="s">
        <v>168</v>
      </c>
      <c r="B94" s="8" t="str">
        <f aca="false">IFERROR(INDEX('Source 2026'!$C:$C,MATCH($A94,'Source 2026'!$B:$B,0)),IFERROR(INDEX('Source 2025'!$C:$C,MATCH($A94,'Source 2025'!$B:$B,0)),""))</f>
        <v>S מגן ירך</v>
      </c>
      <c r="C94" s="9" t="n">
        <f aca="false">SUMIFS('Source 2025'!$I:$I,'Source 2025'!$B:$B,$A94,'Source 2025'!$A:$A,"Quantity (units)")</f>
        <v>283</v>
      </c>
      <c r="D94" s="9" t="n">
        <f aca="false">SUMIFS('Source 2026'!$I:$I,'Source 2026'!$B:$B,$A94,'Source 2026'!$A:$A,"Quantity (units)")</f>
        <v>143</v>
      </c>
      <c r="E94" s="9" t="n">
        <f aca="false">D94*$J$5</f>
        <v>180.631578947368</v>
      </c>
      <c r="F94" s="9" t="n">
        <f aca="false">E94-C94</f>
        <v>-102.368421052632</v>
      </c>
      <c r="G94" s="11" t="n">
        <f aca="false">IF(AND(C94=0,E94=0),0,IF(C94=0,"New",(E94-C94)/C94))</f>
        <v>-0.361725869443928</v>
      </c>
      <c r="H94" s="9" t="n">
        <f aca="false">SUMIFS('Source 2025'!$I:$I,'Source 2025'!$B:$B,$A94,'Source 2025'!$A:$A,"Amount (NIS)")</f>
        <v>8222.9</v>
      </c>
      <c r="I94" s="9" t="n">
        <f aca="false">SUMIFS('Source 2026'!$I:$I,'Source 2026'!$B:$B,$A94,'Source 2026'!$A:$A,"Amount (NIS)")</f>
        <v>4174.9</v>
      </c>
      <c r="J94" s="9" t="n">
        <f aca="false">I94*$J$5</f>
        <v>5273.55789473684</v>
      </c>
      <c r="K94" s="9" t="n">
        <f aca="false">J94-H94</f>
        <v>-2949.34210526316</v>
      </c>
      <c r="L94" s="11" t="n">
        <f aca="false">IF(AND(H94=0,J94=0),0,IF(H94=0,"New",(J94-H94)/H94))</f>
        <v>-0.358674203172015</v>
      </c>
    </row>
    <row r="95" customFormat="false" ht="15" hidden="false" customHeight="true" outlineLevel="0" collapsed="false">
      <c r="A95" s="8" t="s">
        <v>170</v>
      </c>
      <c r="B95" s="8" t="str">
        <f aca="false">IFERROR(INDEX('Source 2026'!$C:$C,MATCH($A95,'Source 2026'!$B:$B,0)),IFERROR(INDEX('Source 2025'!$C:$C,MATCH($A95,'Source 2025'!$B:$B,0)),""))</f>
        <v>גרב.כסף לסכרתים אפור35-38</v>
      </c>
      <c r="C95" s="9" t="n">
        <f aca="false">SUMIFS('Source 2025'!$I:$I,'Source 2025'!$B:$B,$A95,'Source 2025'!$A:$A,"Quantity (units)")</f>
        <v>161</v>
      </c>
      <c r="D95" s="9" t="n">
        <f aca="false">SUMIFS('Source 2026'!$I:$I,'Source 2026'!$B:$B,$A95,'Source 2026'!$A:$A,"Quantity (units)")</f>
        <v>-13</v>
      </c>
      <c r="E95" s="9" t="n">
        <f aca="false">D95*$J$5</f>
        <v>-16.4210526315789</v>
      </c>
      <c r="F95" s="9" t="n">
        <f aca="false">E95-C95</f>
        <v>-177.421052631579</v>
      </c>
      <c r="G95" s="11" t="n">
        <f aca="false">IF(AND(C95=0,E95=0),0,IF(C95=0,"New",(E95-C95)/C95))</f>
        <v>-1.10199411572409</v>
      </c>
      <c r="H95" s="9" t="n">
        <f aca="false">SUMIFS('Source 2025'!$I:$I,'Source 2025'!$B:$B,$A95,'Source 2025'!$A:$A,"Amount (NIS)")</f>
        <v>3595.8</v>
      </c>
      <c r="I95" s="9" t="n">
        <f aca="false">SUMIFS('Source 2026'!$I:$I,'Source 2026'!$B:$B,$A95,'Source 2026'!$A:$A,"Amount (NIS)")</f>
        <v>-328.2</v>
      </c>
      <c r="J95" s="9" t="n">
        <f aca="false">I95*$J$5</f>
        <v>-414.568421052632</v>
      </c>
      <c r="K95" s="9" t="n">
        <f aca="false">J95-H95</f>
        <v>-4010.36842105263</v>
      </c>
      <c r="L95" s="11" t="n">
        <f aca="false">IF(AND(H95=0,J95=0),0,IF(H95=0,"New",(J95-H95)/H95))</f>
        <v>-1.11529240253981</v>
      </c>
    </row>
    <row r="96" customFormat="false" ht="15" hidden="false" customHeight="true" outlineLevel="0" collapsed="false">
      <c r="A96" s="8" t="s">
        <v>156</v>
      </c>
      <c r="B96" s="8" t="str">
        <f aca="false">IFERROR(INDEX('Source 2026'!$C:$C,MATCH($A96,'Source 2026'!$B:$B,0)),IFERROR(INDEX('Source 2025'!$C:$C,MATCH($A96,'Source 2025'!$B:$B,0)),""))</f>
        <v>תחבושת א.נצמ</v>
      </c>
      <c r="C96" s="9" t="n">
        <f aca="false">SUMIFS('Source 2025'!$I:$I,'Source 2025'!$B:$B,$A96,'Source 2025'!$A:$A,"Quantity (units)")</f>
        <v>1335</v>
      </c>
      <c r="D96" s="9" t="n">
        <f aca="false">SUMIFS('Source 2026'!$I:$I,'Source 2026'!$B:$B,$A96,'Source 2026'!$A:$A,"Quantity (units)")</f>
        <v>980</v>
      </c>
      <c r="E96" s="9" t="n">
        <f aca="false">D96*$J$5</f>
        <v>1237.89473684211</v>
      </c>
      <c r="F96" s="9" t="n">
        <f aca="false">E96-C96</f>
        <v>-97.1052631578948</v>
      </c>
      <c r="G96" s="11" t="n">
        <f aca="false">IF(AND(C96=0,E96=0),0,IF(C96=0,"New",(E96-C96)/C96))</f>
        <v>-0.0727380248373744</v>
      </c>
      <c r="H96" s="9" t="n">
        <f aca="false">SUMIFS('Source 2025'!$I:$I,'Source 2025'!$B:$B,$A96,'Source 2025'!$A:$A,"Amount (NIS)")</f>
        <v>13834.2</v>
      </c>
      <c r="I96" s="9" t="n">
        <f aca="false">SUMIFS('Source 2026'!$I:$I,'Source 2026'!$B:$B,$A96,'Source 2026'!$A:$A,"Amount (NIS)")</f>
        <v>10274</v>
      </c>
      <c r="J96" s="9" t="n">
        <f aca="false">I96*$J$5</f>
        <v>12977.6842105263</v>
      </c>
      <c r="K96" s="9" t="n">
        <f aca="false">J96-H96</f>
        <v>-856.515789473686</v>
      </c>
      <c r="L96" s="11" t="n">
        <f aca="false">IF(AND(H96=0,J96=0),0,IF(H96=0,"New",(J96-H96)/H96))</f>
        <v>-0.0619129251762795</v>
      </c>
    </row>
    <row r="97" customFormat="false" ht="15" hidden="false" customHeight="true" outlineLevel="0" collapsed="false">
      <c r="A97" s="8" t="s">
        <v>340</v>
      </c>
      <c r="B97" s="8" t="str">
        <f aca="false">IFERROR(INDEX('Source 2026'!$C:$C,MATCH($A97,'Source 2026'!$B:$B,0)),IFERROR(INDEX('Source 2025'!$C:$C,MATCH($A97,'Source 2025'!$B:$B,0)),""))</f>
        <v>L-XL STRAP4U</v>
      </c>
      <c r="C97" s="9" t="n">
        <f aca="false">SUMIFS('Source 2025'!$I:$I,'Source 2025'!$B:$B,$A97,'Source 2025'!$A:$A,"Quantity (units)")</f>
        <v>328</v>
      </c>
      <c r="D97" s="9" t="n">
        <f aca="false">SUMIFS('Source 2026'!$I:$I,'Source 2026'!$B:$B,$A97,'Source 2026'!$A:$A,"Quantity (units)")</f>
        <v>118</v>
      </c>
      <c r="E97" s="9" t="n">
        <f aca="false">D97*$J$5</f>
        <v>149.052631578947</v>
      </c>
      <c r="F97" s="9" t="n">
        <f aca="false">E97-C97</f>
        <v>-178.947368421053</v>
      </c>
      <c r="G97" s="11" t="n">
        <f aca="false">IF(AND(C97=0,E97=0),0,IF(C97=0,"New",(E97-C97)/C97))</f>
        <v>-0.545571245186136</v>
      </c>
      <c r="H97" s="9" t="n">
        <f aca="false">SUMIFS('Source 2025'!$I:$I,'Source 2025'!$B:$B,$A97,'Source 2025'!$A:$A,"Amount (NIS)")</f>
        <v>5450</v>
      </c>
      <c r="I97" s="9" t="n">
        <f aca="false">SUMIFS('Source 2026'!$I:$I,'Source 2026'!$B:$B,$A97,'Source 2026'!$A:$A,"Amount (NIS)")</f>
        <v>1978.2</v>
      </c>
      <c r="J97" s="9" t="n">
        <f aca="false">I97*$J$5</f>
        <v>2498.77894736842</v>
      </c>
      <c r="K97" s="9" t="n">
        <f aca="false">J97-H97</f>
        <v>-2951.22105263158</v>
      </c>
      <c r="L97" s="11" t="n">
        <f aca="false">IF(AND(H97=0,J97=0),0,IF(H97=0,"New",(J97-H97)/H97))</f>
        <v>-0.541508450024143</v>
      </c>
    </row>
    <row r="98" customFormat="false" ht="15" hidden="false" customHeight="true" outlineLevel="0" collapsed="false">
      <c r="A98" s="8" t="s">
        <v>216</v>
      </c>
      <c r="B98" s="8" t="str">
        <f aca="false">IFERROR(INDEX('Source 2026'!$C:$C,MATCH($A98,'Source 2026'!$B:$B,0)),IFERROR(INDEX('Source 2025'!$C:$C,MATCH($A98,'Source 2025'!$B:$B,0)),""))</f>
        <v>חבק טניס אלבו</v>
      </c>
      <c r="C98" s="9" t="n">
        <f aca="false">SUMIFS('Source 2025'!$I:$I,'Source 2025'!$B:$B,$A98,'Source 2025'!$A:$A,"Quantity (units)")</f>
        <v>922</v>
      </c>
      <c r="D98" s="9" t="n">
        <f aca="false">SUMIFS('Source 2026'!$I:$I,'Source 2026'!$B:$B,$A98,'Source 2026'!$A:$A,"Quantity (units)")</f>
        <v>909</v>
      </c>
      <c r="E98" s="9" t="n">
        <f aca="false">D98*$J$5</f>
        <v>1148.21052631579</v>
      </c>
      <c r="F98" s="9" t="n">
        <f aca="false">E98-C98</f>
        <v>226.210526315789</v>
      </c>
      <c r="G98" s="11" t="n">
        <f aca="false">IF(AND(C98=0,E98=0),0,IF(C98=0,"New",(E98-C98)/C98))</f>
        <v>0.245347642424934</v>
      </c>
      <c r="H98" s="9" t="n">
        <f aca="false">SUMIFS('Source 2025'!$I:$I,'Source 2025'!$B:$B,$A98,'Source 2025'!$A:$A,"Amount (NIS)")</f>
        <v>62831.2</v>
      </c>
      <c r="I98" s="9" t="n">
        <f aca="false">SUMIFS('Source 2026'!$I:$I,'Source 2026'!$B:$B,$A98,'Source 2026'!$A:$A,"Amount (NIS)")</f>
        <v>66257.5</v>
      </c>
      <c r="J98" s="9" t="n">
        <f aca="false">I98*$J$5</f>
        <v>83693.6842105263</v>
      </c>
      <c r="K98" s="9" t="n">
        <f aca="false">J98-H98</f>
        <v>20862.4842105263</v>
      </c>
      <c r="L98" s="11" t="n">
        <f aca="false">IF(AND(H98=0,J98=0),0,IF(H98=0,"New",(J98-H98)/H98))</f>
        <v>0.332040199940894</v>
      </c>
    </row>
    <row r="99" customFormat="false" ht="15" hidden="false" customHeight="true" outlineLevel="0" collapsed="false">
      <c r="A99" s="8" t="s">
        <v>299</v>
      </c>
      <c r="B99" s="8" t="str">
        <f aca="false">IFERROR(INDEX('Source 2026'!$C:$C,MATCH($A99,'Source 2026'!$B:$B,0)),IFERROR(INDEX('Source 2025'!$C:$C,MATCH($A99,'Source 2025'!$B:$B,0)),""))</f>
        <v>11 אפורUG חגורת בטן</v>
      </c>
      <c r="C99" s="9" t="n">
        <f aca="false">SUMIFS('Source 2025'!$I:$I,'Source 2025'!$B:$B,$A99,'Source 2025'!$A:$A,"Quantity (units)")</f>
        <v>45</v>
      </c>
      <c r="D99" s="9" t="n">
        <f aca="false">SUMIFS('Source 2026'!$I:$I,'Source 2026'!$B:$B,$A99,'Source 2026'!$A:$A,"Quantity (units)")</f>
        <v>2</v>
      </c>
      <c r="E99" s="9" t="n">
        <f aca="false">D99*$J$5</f>
        <v>2.52631578947368</v>
      </c>
      <c r="F99" s="9" t="n">
        <f aca="false">E99-C99</f>
        <v>-42.4736842105263</v>
      </c>
      <c r="G99" s="11" t="n">
        <f aca="false">IF(AND(C99=0,E99=0),0,IF(C99=0,"New",(E99-C99)/C99))</f>
        <v>-0.943859649122807</v>
      </c>
      <c r="H99" s="9" t="n">
        <f aca="false">SUMIFS('Source 2025'!$I:$I,'Source 2025'!$B:$B,$A99,'Source 2025'!$A:$A,"Amount (NIS)")</f>
        <v>3611.3</v>
      </c>
      <c r="I99" s="9" t="n">
        <f aca="false">SUMIFS('Source 2026'!$I:$I,'Source 2026'!$B:$B,$A99,'Source 2026'!$A:$A,"Amount (NIS)")</f>
        <v>203.1</v>
      </c>
      <c r="J99" s="9" t="n">
        <f aca="false">I99*$J$5</f>
        <v>256.547368421053</v>
      </c>
      <c r="K99" s="9" t="n">
        <f aca="false">J99-H99</f>
        <v>-3354.75263157895</v>
      </c>
      <c r="L99" s="11" t="n">
        <f aca="false">IF(AND(H99=0,J99=0),0,IF(H99=0,"New",(J99-H99)/H99))</f>
        <v>-0.928959829307714</v>
      </c>
    </row>
    <row r="100" customFormat="false" ht="15" hidden="false" customHeight="true" outlineLevel="0" collapsed="false">
      <c r="A100" s="8" t="s">
        <v>159</v>
      </c>
      <c r="B100" s="8" t="str">
        <f aca="false">IFERROR(INDEX('Source 2026'!$C:$C,MATCH($A100,'Source 2026'!$B:$B,0)),IFERROR(INDEX('Source 2025'!$C:$C,MATCH($A100,'Source 2025'!$B:$B,0)),""))</f>
        <v>S-Lטבעת אלסטית מסיליקון</v>
      </c>
      <c r="C100" s="9" t="n">
        <f aca="false">SUMIFS('Source 2025'!$I:$I,'Source 2025'!$B:$B,$A100,'Source 2025'!$A:$A,"Quantity (units)")</f>
        <v>614</v>
      </c>
      <c r="D100" s="9" t="n">
        <f aca="false">SUMIFS('Source 2026'!$I:$I,'Source 2026'!$B:$B,$A100,'Source 2026'!$A:$A,"Quantity (units)")</f>
        <v>328</v>
      </c>
      <c r="E100" s="9" t="n">
        <f aca="false">D100*$J$5</f>
        <v>414.315789473684</v>
      </c>
      <c r="F100" s="9" t="n">
        <f aca="false">E100-C100</f>
        <v>-199.684210526316</v>
      </c>
      <c r="G100" s="11" t="n">
        <f aca="false">IF(AND(C100=0,E100=0),0,IF(C100=0,"New",(E100-C100)/C100))</f>
        <v>-0.325218583919081</v>
      </c>
      <c r="H100" s="9" t="n">
        <f aca="false">SUMIFS('Source 2025'!$I:$I,'Source 2025'!$B:$B,$A100,'Source 2025'!$A:$A,"Amount (NIS)")</f>
        <v>7226.6</v>
      </c>
      <c r="I100" s="9" t="n">
        <f aca="false">SUMIFS('Source 2026'!$I:$I,'Source 2026'!$B:$B,$A100,'Source 2026'!$A:$A,"Amount (NIS)")</f>
        <v>3846.2</v>
      </c>
      <c r="J100" s="9" t="n">
        <f aca="false">I100*$J$5</f>
        <v>4858.35789473684</v>
      </c>
      <c r="K100" s="9" t="n">
        <f aca="false">J100-H100</f>
        <v>-2368.24210526316</v>
      </c>
      <c r="L100" s="11" t="n">
        <f aca="false">IF(AND(H100=0,J100=0),0,IF(H100=0,"New",(J100-H100)/H100))</f>
        <v>-0.327711801575175</v>
      </c>
    </row>
    <row r="101" customFormat="false" ht="15" hidden="false" customHeight="true" outlineLevel="0" collapsed="false">
      <c r="A101" s="8" t="s">
        <v>187</v>
      </c>
      <c r="B101" s="8" t="str">
        <f aca="false">IFERROR(INDEX('Source 2026'!$C:$C,MATCH($A101,'Source 2026'!$B:$B,0)),IFERROR(INDEX('Source 2025'!$C:$C,MATCH($A101,'Source 2025'!$B:$B,0)),""))</f>
        <v>S מגן ברך מחמם</v>
      </c>
      <c r="C101" s="9" t="n">
        <f aca="false">SUMIFS('Source 2025'!$I:$I,'Source 2025'!$B:$B,$A101,'Source 2025'!$A:$A,"Quantity (units)")</f>
        <v>73</v>
      </c>
      <c r="D101" s="9" t="n">
        <f aca="false">SUMIFS('Source 2026'!$I:$I,'Source 2026'!$B:$B,$A101,'Source 2026'!$A:$A,"Quantity (units)")</f>
        <v>8</v>
      </c>
      <c r="E101" s="9" t="n">
        <f aca="false">D101*$J$5</f>
        <v>10.1052631578947</v>
      </c>
      <c r="F101" s="9" t="n">
        <f aca="false">E101-C101</f>
        <v>-62.8947368421053</v>
      </c>
      <c r="G101" s="11" t="n">
        <f aca="false">IF(AND(C101=0,E101=0),0,IF(C101=0,"New",(E101-C101)/C101))</f>
        <v>-0.861571737563086</v>
      </c>
      <c r="H101" s="9" t="n">
        <f aca="false">SUMIFS('Source 2025'!$I:$I,'Source 2025'!$B:$B,$A101,'Source 2025'!$A:$A,"Amount (NIS)")</f>
        <v>3710.1</v>
      </c>
      <c r="I101" s="9" t="n">
        <f aca="false">SUMIFS('Source 2026'!$I:$I,'Source 2026'!$B:$B,$A101,'Source 2026'!$A:$A,"Amount (NIS)")</f>
        <v>395.8</v>
      </c>
      <c r="J101" s="9" t="n">
        <f aca="false">I101*$J$5</f>
        <v>499.957894736842</v>
      </c>
      <c r="K101" s="9" t="n">
        <f aca="false">J101-H101</f>
        <v>-3210.14210526316</v>
      </c>
      <c r="L101" s="11" t="n">
        <f aca="false">IF(AND(H101=0,J101=0),0,IF(H101=0,"New",(J101-H101)/H101))</f>
        <v>-0.865244091874386</v>
      </c>
    </row>
    <row r="102" customFormat="false" ht="15" hidden="false" customHeight="true" outlineLevel="0" collapsed="false">
      <c r="A102" s="8" t="s">
        <v>138</v>
      </c>
      <c r="B102" s="8" t="str">
        <f aca="false">IFERROR(INDEX('Source 2026'!$C:$C,MATCH($A102,'Source 2026'!$B:$B,0)),IFERROR(INDEX('Source 2025'!$C:$C,MATCH($A102,'Source 2025'!$B:$B,0)),""))</f>
        <v>S-M חבק יד עם צמדןחום</v>
      </c>
      <c r="C102" s="9" t="n">
        <f aca="false">SUMIFS('Source 2025'!$I:$I,'Source 2025'!$B:$B,$A102,'Source 2025'!$A:$A,"Quantity (units)")</f>
        <v>218</v>
      </c>
      <c r="D102" s="9" t="n">
        <f aca="false">SUMIFS('Source 2026'!$I:$I,'Source 2026'!$B:$B,$A102,'Source 2026'!$A:$A,"Quantity (units)")</f>
        <v>118</v>
      </c>
      <c r="E102" s="9" t="n">
        <f aca="false">D102*$J$5</f>
        <v>149.052631578947</v>
      </c>
      <c r="F102" s="9" t="n">
        <f aca="false">E102-C102</f>
        <v>-68.9473684210526</v>
      </c>
      <c r="G102" s="11" t="n">
        <f aca="false">IF(AND(C102=0,E102=0),0,IF(C102=0,"New",(E102-C102)/C102))</f>
        <v>-0.316272332206663</v>
      </c>
      <c r="H102" s="9" t="n">
        <f aca="false">SUMIFS('Source 2025'!$I:$I,'Source 2025'!$B:$B,$A102,'Source 2025'!$A:$A,"Amount (NIS)")</f>
        <v>6935.2</v>
      </c>
      <c r="I102" s="9" t="n">
        <f aca="false">SUMIFS('Source 2026'!$I:$I,'Source 2026'!$B:$B,$A102,'Source 2026'!$A:$A,"Amount (NIS)")</f>
        <v>3707.3</v>
      </c>
      <c r="J102" s="9" t="n">
        <f aca="false">I102*$J$5</f>
        <v>4682.90526315789</v>
      </c>
      <c r="K102" s="9" t="n">
        <f aca="false">J102-H102</f>
        <v>-2252.29473684211</v>
      </c>
      <c r="L102" s="11" t="n">
        <f aca="false">IF(AND(H102=0,J102=0),0,IF(H102=0,"New",(J102-H102)/H102))</f>
        <v>-0.324762766299762</v>
      </c>
    </row>
    <row r="103" customFormat="false" ht="15" hidden="false" customHeight="true" outlineLevel="0" collapsed="false">
      <c r="A103" s="8" t="s">
        <v>185</v>
      </c>
      <c r="B103" s="8" t="str">
        <f aca="false">IFERROR(INDEX('Source 2026'!$C:$C,MATCH($A103,'Source 2026'!$B:$B,0)),IFERROR(INDEX('Source 2025'!$C:$C,MATCH($A103,'Source 2025'!$B:$B,0)),""))</f>
        <v>סד לאגודל</v>
      </c>
      <c r="C103" s="9" t="n">
        <f aca="false">SUMIFS('Source 2025'!$I:$I,'Source 2025'!$B:$B,$A103,'Source 2025'!$A:$A,"Quantity (units)")</f>
        <v>188</v>
      </c>
      <c r="D103" s="9" t="n">
        <f aca="false">SUMIFS('Source 2026'!$I:$I,'Source 2026'!$B:$B,$A103,'Source 2026'!$A:$A,"Quantity (units)")</f>
        <v>158</v>
      </c>
      <c r="E103" s="9" t="n">
        <f aca="false">D103*$J$5</f>
        <v>199.578947368421</v>
      </c>
      <c r="F103" s="9" t="n">
        <f aca="false">E103-C103</f>
        <v>11.578947368421</v>
      </c>
      <c r="G103" s="11" t="n">
        <f aca="false">IF(AND(C103=0,E103=0),0,IF(C103=0,"New",(E103-C103)/C103))</f>
        <v>0.0615901455767077</v>
      </c>
      <c r="H103" s="9" t="n">
        <f aca="false">SUMIFS('Source 2025'!$I:$I,'Source 2025'!$B:$B,$A103,'Source 2025'!$A:$A,"Amount (NIS)")</f>
        <v>19519.4</v>
      </c>
      <c r="I103" s="9" t="n">
        <f aca="false">SUMIFS('Source 2026'!$I:$I,'Source 2026'!$B:$B,$A103,'Source 2026'!$A:$A,"Amount (NIS)")</f>
        <v>16330.7</v>
      </c>
      <c r="J103" s="9" t="n">
        <f aca="false">I103*$J$5</f>
        <v>20628.2526315789</v>
      </c>
      <c r="K103" s="9" t="n">
        <f aca="false">J103-H103</f>
        <v>1108.85263157895</v>
      </c>
      <c r="L103" s="11" t="n">
        <f aca="false">IF(AND(H103=0,J103=0),0,IF(H103=0,"New",(J103-H103)/H103))</f>
        <v>0.0568077211173984</v>
      </c>
    </row>
    <row r="104" customFormat="false" ht="15" hidden="false" customHeight="true" outlineLevel="0" collapsed="false">
      <c r="A104" s="8" t="s">
        <v>285</v>
      </c>
      <c r="B104" s="8" t="str">
        <f aca="false">IFERROR(INDEX('Source 2026'!$C:$C,MATCH($A104,'Source 2026'!$B:$B,0)),IFERROR(INDEX('Source 2025'!$C:$C,MATCH($A104,'Source 2025'!$B:$B,0)),""))</f>
        <v>S ימין CTS כפפות</v>
      </c>
      <c r="C104" s="9" t="n">
        <f aca="false">SUMIFS('Source 2025'!$I:$I,'Source 2025'!$B:$B,$A104,'Source 2025'!$A:$A,"Quantity (units)")</f>
        <v>0</v>
      </c>
      <c r="D104" s="9" t="n">
        <f aca="false">SUMIFS('Source 2026'!$I:$I,'Source 2026'!$B:$B,$A104,'Source 2026'!$A:$A,"Quantity (units)")</f>
        <v>31</v>
      </c>
      <c r="E104" s="9" t="n">
        <f aca="false">D104*$J$5</f>
        <v>39.1578947368421</v>
      </c>
      <c r="F104" s="9" t="n">
        <f aca="false">E104-C104</f>
        <v>39.1578947368421</v>
      </c>
      <c r="G104" s="11" t="str">
        <f aca="false">IF(AND(C104=0,E104=0),0,IF(C104=0,"New",(E104-C104)/C104))</f>
        <v>New</v>
      </c>
      <c r="H104" s="9" t="n">
        <f aca="false">SUMIFS('Source 2025'!$I:$I,'Source 2025'!$B:$B,$A104,'Source 2025'!$A:$A,"Amount (NIS)")</f>
        <v>0</v>
      </c>
      <c r="I104" s="9" t="n">
        <f aca="false">SUMIFS('Source 2026'!$I:$I,'Source 2026'!$B:$B,$A104,'Source 2026'!$A:$A,"Amount (NIS)")</f>
        <v>3111.6</v>
      </c>
      <c r="J104" s="9" t="n">
        <f aca="false">I104*$J$5</f>
        <v>3930.44210526316</v>
      </c>
      <c r="K104" s="9" t="n">
        <f aca="false">J104-H104</f>
        <v>3930.44210526316</v>
      </c>
      <c r="L104" s="11" t="str">
        <f aca="false">IF(AND(H104=0,J104=0),0,IF(H104=0,"New",(J104-H104)/H104))</f>
        <v>New</v>
      </c>
    </row>
    <row r="105" customFormat="false" ht="15" hidden="false" customHeight="true" outlineLevel="0" collapsed="false">
      <c r="A105" s="8" t="s">
        <v>177</v>
      </c>
      <c r="B105" s="8" t="str">
        <f aca="false">IFERROR(INDEX('Source 2026'!$C:$C,MATCH($A105,'Source 2026'!$B:$B,0)),IFERROR(INDEX('Source 2025'!$C:$C,MATCH($A105,'Source 2025'!$B:$B,0)),""))</f>
        <v>מתלה ליד לילדים</v>
      </c>
      <c r="C105" s="9" t="n">
        <f aca="false">SUMIFS('Source 2025'!$I:$I,'Source 2025'!$B:$B,$A105,'Source 2025'!$A:$A,"Quantity (units)")</f>
        <v>320</v>
      </c>
      <c r="D105" s="9" t="n">
        <f aca="false">SUMIFS('Source 2026'!$I:$I,'Source 2026'!$B:$B,$A105,'Source 2026'!$A:$A,"Quantity (units)")</f>
        <v>253</v>
      </c>
      <c r="E105" s="9" t="n">
        <f aca="false">D105*$J$5</f>
        <v>319.578947368421</v>
      </c>
      <c r="F105" s="9" t="n">
        <f aca="false">E105-C105</f>
        <v>-0.421052631578959</v>
      </c>
      <c r="G105" s="11" t="n">
        <f aca="false">IF(AND(C105=0,E105=0),0,IF(C105=0,"New",(E105-C105)/C105))</f>
        <v>-0.00131578947368425</v>
      </c>
      <c r="H105" s="9" t="n">
        <f aca="false">SUMIFS('Source 2025'!$I:$I,'Source 2025'!$B:$B,$A105,'Source 2025'!$A:$A,"Amount (NIS)")</f>
        <v>14406.4</v>
      </c>
      <c r="I105" s="9" t="n">
        <f aca="false">SUMIFS('Source 2026'!$I:$I,'Source 2026'!$B:$B,$A105,'Source 2026'!$A:$A,"Amount (NIS)")</f>
        <v>11372.4</v>
      </c>
      <c r="J105" s="9" t="n">
        <f aca="false">I105*$J$5</f>
        <v>14365.1368421053</v>
      </c>
      <c r="K105" s="9" t="n">
        <f aca="false">J105-H105</f>
        <v>-41.2631578947385</v>
      </c>
      <c r="L105" s="11" t="n">
        <f aca="false">IF(AND(H105=0,J105=0),0,IF(H105=0,"New",(J105-H105)/H105))</f>
        <v>-0.00286422408754015</v>
      </c>
    </row>
    <row r="106" customFormat="false" ht="15" hidden="false" customHeight="true" outlineLevel="0" collapsed="false">
      <c r="A106" s="8" t="s">
        <v>183</v>
      </c>
      <c r="B106" s="8" t="str">
        <f aca="false">IFERROR(INDEX('Source 2026'!$C:$C,MATCH($A106,'Source 2026'!$B:$B,0)),IFERROR(INDEX('Source 2025'!$C:$C,MATCH($A106,'Source 2025'!$B:$B,0)),""))</f>
        <v>S מגן שוק</v>
      </c>
      <c r="C106" s="9" t="n">
        <f aca="false">SUMIFS('Source 2025'!$I:$I,'Source 2025'!$B:$B,$A106,'Source 2025'!$A:$A,"Quantity (units)")</f>
        <v>29</v>
      </c>
      <c r="D106" s="9" t="n">
        <f aca="false">SUMIFS('Source 2026'!$I:$I,'Source 2026'!$B:$B,$A106,'Source 2026'!$A:$A,"Quantity (units)")</f>
        <v>49</v>
      </c>
      <c r="E106" s="9" t="n">
        <f aca="false">D106*$J$5</f>
        <v>61.8947368421053</v>
      </c>
      <c r="F106" s="9" t="n">
        <f aca="false">E106-C106</f>
        <v>32.8947368421053</v>
      </c>
      <c r="G106" s="11" t="n">
        <f aca="false">IF(AND(C106=0,E106=0),0,IF(C106=0,"New",(E106-C106)/C106))</f>
        <v>1.13430127041742</v>
      </c>
      <c r="H106" s="9" t="n">
        <f aca="false">SUMIFS('Source 2025'!$I:$I,'Source 2025'!$B:$B,$A106,'Source 2025'!$A:$A,"Amount (NIS)")</f>
        <v>3655.3</v>
      </c>
      <c r="I106" s="9" t="n">
        <f aca="false">SUMIFS('Source 2026'!$I:$I,'Source 2026'!$B:$B,$A106,'Source 2026'!$A:$A,"Amount (NIS)")</f>
        <v>6612.2</v>
      </c>
      <c r="J106" s="9" t="n">
        <f aca="false">I106*$J$5</f>
        <v>8352.25263157895</v>
      </c>
      <c r="K106" s="9" t="n">
        <f aca="false">J106-H106</f>
        <v>4696.95263157895</v>
      </c>
      <c r="L106" s="11" t="n">
        <f aca="false">IF(AND(H106=0,J106=0),0,IF(H106=0,"New",(J106-H106)/H106))</f>
        <v>1.28497048985827</v>
      </c>
    </row>
    <row r="107" customFormat="false" ht="15" hidden="false" customHeight="true" outlineLevel="0" collapsed="false">
      <c r="A107" s="8" t="s">
        <v>266</v>
      </c>
      <c r="B107" s="8" t="str">
        <f aca="false">IFERROR(INDEX('Source 2026'!$C:$C,MATCH($A107,'Source 2026'!$B:$B,0)),IFERROR(INDEX('Source 2025'!$C:$C,MATCH($A107,'Source 2025'!$B:$B,0)),""))</f>
        <v>Sחגורה למנותחי בטן</v>
      </c>
      <c r="C107" s="9" t="n">
        <f aca="false">SUMIFS('Source 2025'!$I:$I,'Source 2025'!$B:$B,$A107,'Source 2025'!$A:$A,"Quantity (units)")</f>
        <v>29</v>
      </c>
      <c r="D107" s="9" t="n">
        <f aca="false">SUMIFS('Source 2026'!$I:$I,'Source 2026'!$B:$B,$A107,'Source 2026'!$A:$A,"Quantity (units)")</f>
        <v>4</v>
      </c>
      <c r="E107" s="9" t="n">
        <f aca="false">D107*$J$5</f>
        <v>5.05263157894737</v>
      </c>
      <c r="F107" s="9" t="n">
        <f aca="false">E107-C107</f>
        <v>-23.9473684210526</v>
      </c>
      <c r="G107" s="11" t="n">
        <f aca="false">IF(AND(C107=0,E107=0),0,IF(C107=0,"New",(E107-C107)/C107))</f>
        <v>-0.825771324863884</v>
      </c>
      <c r="H107" s="9" t="n">
        <f aca="false">SUMIFS('Source 2025'!$I:$I,'Source 2025'!$B:$B,$A107,'Source 2025'!$A:$A,"Amount (NIS)")</f>
        <v>3359.1</v>
      </c>
      <c r="I107" s="9" t="n">
        <f aca="false">SUMIFS('Source 2026'!$I:$I,'Source 2026'!$B:$B,$A107,'Source 2026'!$A:$A,"Amount (NIS)")</f>
        <v>455.1</v>
      </c>
      <c r="J107" s="9" t="n">
        <f aca="false">I107*$J$5</f>
        <v>574.863157894737</v>
      </c>
      <c r="K107" s="9" t="n">
        <f aca="false">J107-H107</f>
        <v>-2784.23684210526</v>
      </c>
      <c r="L107" s="11" t="n">
        <f aca="false">IF(AND(H107=0,J107=0),0,IF(H107=0,"New",(J107-H107)/H107))</f>
        <v>-0.828863934418524</v>
      </c>
    </row>
    <row r="108" customFormat="false" ht="15" hidden="false" customHeight="true" outlineLevel="0" collapsed="false">
      <c r="A108" s="8" t="s">
        <v>195</v>
      </c>
      <c r="B108" s="8" t="str">
        <f aca="false">IFERROR(INDEX('Source 2026'!$C:$C,MATCH($A108,'Source 2026'!$B:$B,0)),IFERROR(INDEX('Source 2025'!$C:$C,MATCH($A108,'Source 2025'!$B:$B,0)),""))</f>
        <v>S-M סד לאגודל</v>
      </c>
      <c r="C108" s="9" t="n">
        <f aca="false">SUMIFS('Source 2025'!$I:$I,'Source 2025'!$B:$B,$A108,'Source 2025'!$A:$A,"Quantity (units)")</f>
        <v>2404</v>
      </c>
      <c r="D108" s="9" t="n">
        <f aca="false">SUMIFS('Source 2026'!$I:$I,'Source 2026'!$B:$B,$A108,'Source 2026'!$A:$A,"Quantity (units)")</f>
        <v>2342</v>
      </c>
      <c r="E108" s="9" t="n">
        <f aca="false">D108*$J$5</f>
        <v>2958.31578947368</v>
      </c>
      <c r="F108" s="9" t="n">
        <f aca="false">E108-C108</f>
        <v>554.315789473684</v>
      </c>
      <c r="G108" s="11" t="n">
        <f aca="false">IF(AND(C108=0,E108=0),0,IF(C108=0,"New",(E108-C108)/C108))</f>
        <v>0.230580611261932</v>
      </c>
      <c r="H108" s="9" t="n">
        <f aca="false">SUMIFS('Source 2025'!$I:$I,'Source 2025'!$B:$B,$A108,'Source 2025'!$A:$A,"Amount (NIS)")</f>
        <v>141502.4</v>
      </c>
      <c r="I108" s="9" t="n">
        <f aca="false">SUMIFS('Source 2026'!$I:$I,'Source 2026'!$B:$B,$A108,'Source 2026'!$A:$A,"Amount (NIS)")</f>
        <v>138664.5</v>
      </c>
      <c r="J108" s="9" t="n">
        <f aca="false">I108*$J$5</f>
        <v>175155.157894737</v>
      </c>
      <c r="K108" s="9" t="n">
        <f aca="false">J108-H108</f>
        <v>33652.7578947368</v>
      </c>
      <c r="L108" s="11" t="n">
        <f aca="false">IF(AND(H108=0,J108=0),0,IF(H108=0,"New",(J108-H108)/H108))</f>
        <v>0.237824643926441</v>
      </c>
    </row>
    <row r="109" customFormat="false" ht="15" hidden="false" customHeight="true" outlineLevel="0" collapsed="false">
      <c r="A109" s="8" t="s">
        <v>217</v>
      </c>
      <c r="B109" s="8" t="str">
        <f aca="false">IFERROR(INDEX('Source 2026'!$C:$C,MATCH($A109,'Source 2026'!$B:$B,0)),IFERROR(INDEX('Source 2025'!$C:$C,MATCH($A109,'Source 2025'!$B:$B,0)),""))</f>
        <v>סד ליישור אצבע</v>
      </c>
      <c r="C109" s="9" t="n">
        <f aca="false">SUMIFS('Source 2025'!$I:$I,'Source 2025'!$B:$B,$A109,'Source 2025'!$A:$A,"Quantity (units)")</f>
        <v>1778</v>
      </c>
      <c r="D109" s="9" t="n">
        <f aca="false">SUMIFS('Source 2026'!$I:$I,'Source 2026'!$B:$B,$A109,'Source 2026'!$A:$A,"Quantity (units)")</f>
        <v>1904</v>
      </c>
      <c r="E109" s="9" t="n">
        <f aca="false">D109*$J$5</f>
        <v>2405.05263157895</v>
      </c>
      <c r="F109" s="9" t="n">
        <f aca="false">E109-C109</f>
        <v>627.052631578947</v>
      </c>
      <c r="G109" s="11" t="n">
        <f aca="false">IF(AND(C109=0,E109=0),0,IF(C109=0,"New",(E109-C109)/C109))</f>
        <v>0.352673021135516</v>
      </c>
      <c r="H109" s="9" t="n">
        <f aca="false">SUMIFS('Source 2025'!$I:$I,'Source 2025'!$B:$B,$A109,'Source 2025'!$A:$A,"Amount (NIS)")</f>
        <v>25918.2</v>
      </c>
      <c r="I109" s="9" t="n">
        <f aca="false">SUMIFS('Source 2026'!$I:$I,'Source 2026'!$B:$B,$A109,'Source 2026'!$A:$A,"Amount (NIS)")</f>
        <v>28720.8</v>
      </c>
      <c r="J109" s="9" t="n">
        <f aca="false">I109*$J$5</f>
        <v>36278.9052631579</v>
      </c>
      <c r="K109" s="9" t="n">
        <f aca="false">J109-H109</f>
        <v>10360.7052631579</v>
      </c>
      <c r="L109" s="11" t="n">
        <f aca="false">IF(AND(H109=0,J109=0),0,IF(H109=0,"New",(J109-H109)/H109))</f>
        <v>0.399746327413088</v>
      </c>
    </row>
    <row r="110" customFormat="false" ht="15" hidden="false" customHeight="true" outlineLevel="0" collapsed="false">
      <c r="A110" s="8" t="s">
        <v>103</v>
      </c>
      <c r="B110" s="8" t="str">
        <f aca="false">IFERROR(INDEX('Source 2026'!$C:$C,MATCH($A110,'Source 2026'!$B:$B,0)),IFERROR(INDEX('Source 2025'!$C:$C,MATCH($A110,'Source 2025'!$B:$B,0)),""))</f>
        <v>L מתלה רשת לזרוע שחור</v>
      </c>
      <c r="C110" s="9" t="n">
        <f aca="false">SUMIFS('Source 2025'!$I:$I,'Source 2025'!$B:$B,$A110,'Source 2025'!$A:$A,"Quantity (units)")</f>
        <v>2789</v>
      </c>
      <c r="D110" s="9" t="n">
        <f aca="false">SUMIFS('Source 2026'!$I:$I,'Source 2026'!$B:$B,$A110,'Source 2026'!$A:$A,"Quantity (units)")</f>
        <v>2847</v>
      </c>
      <c r="E110" s="9" t="n">
        <f aca="false">D110*$J$5</f>
        <v>3596.21052631579</v>
      </c>
      <c r="F110" s="9" t="n">
        <f aca="false">E110-C110</f>
        <v>807.210526315789</v>
      </c>
      <c r="G110" s="11" t="n">
        <f aca="false">IF(AND(C110=0,E110=0),0,IF(C110=0,"New",(E110-C110)/C110))</f>
        <v>0.289426506387877</v>
      </c>
      <c r="H110" s="9" t="n">
        <f aca="false">SUMIFS('Source 2025'!$I:$I,'Source 2025'!$B:$B,$A110,'Source 2025'!$A:$A,"Amount (NIS)")</f>
        <v>136637.6</v>
      </c>
      <c r="I110" s="9" t="n">
        <f aca="false">SUMIFS('Source 2026'!$I:$I,'Source 2026'!$B:$B,$A110,'Source 2026'!$A:$A,"Amount (NIS)")</f>
        <v>139434.1</v>
      </c>
      <c r="J110" s="9" t="n">
        <f aca="false">I110*$J$5</f>
        <v>176127.284210526</v>
      </c>
      <c r="K110" s="9" t="n">
        <f aca="false">J110-H110</f>
        <v>39489.6842105263</v>
      </c>
      <c r="L110" s="11" t="n">
        <f aca="false">IF(AND(H110=0,J110=0),0,IF(H110=0,"New",(J110-H110)/H110))</f>
        <v>0.289010376430253</v>
      </c>
    </row>
    <row r="111" customFormat="false" ht="15" hidden="false" customHeight="true" outlineLevel="0" collapsed="false">
      <c r="A111" s="8" t="s">
        <v>249</v>
      </c>
      <c r="B111" s="8" t="str">
        <f aca="false">IFERROR(INDEX('Source 2026'!$C:$C,MATCH($A111,'Source 2026'!$B:$B,0)),IFERROR(INDEX('Source 2025'!$C:$C,MATCH($A111,'Source 2025'!$B:$B,0)),""))</f>
        <v>מפריד הלוקס</v>
      </c>
      <c r="C111" s="9" t="n">
        <f aca="false">SUMIFS('Source 2025'!$I:$I,'Source 2025'!$B:$B,$A111,'Source 2025'!$A:$A,"Quantity (units)")</f>
        <v>137</v>
      </c>
      <c r="D111" s="9" t="n">
        <f aca="false">SUMIFS('Source 2026'!$I:$I,'Source 2026'!$B:$B,$A111,'Source 2026'!$A:$A,"Quantity (units)")</f>
        <v>65</v>
      </c>
      <c r="E111" s="9" t="n">
        <f aca="false">D111*$J$5</f>
        <v>82.1052631578947</v>
      </c>
      <c r="F111" s="9" t="n">
        <f aca="false">E111-C111</f>
        <v>-54.8947368421053</v>
      </c>
      <c r="G111" s="11" t="n">
        <f aca="false">IF(AND(C111=0,E111=0),0,IF(C111=0,"New",(E111-C111)/C111))</f>
        <v>-0.400691509796389</v>
      </c>
      <c r="H111" s="9" t="n">
        <f aca="false">SUMIFS('Source 2025'!$I:$I,'Source 2025'!$B:$B,$A111,'Source 2025'!$A:$A,"Amount (NIS)")</f>
        <v>5560</v>
      </c>
      <c r="I111" s="9" t="n">
        <f aca="false">SUMIFS('Source 2026'!$I:$I,'Source 2026'!$B:$B,$A111,'Source 2026'!$A:$A,"Amount (NIS)")</f>
        <v>2802.7</v>
      </c>
      <c r="J111" s="9" t="n">
        <f aca="false">I111*$J$5</f>
        <v>3540.25263157895</v>
      </c>
      <c r="K111" s="9" t="n">
        <f aca="false">J111-H111</f>
        <v>-2019.74736842105</v>
      </c>
      <c r="L111" s="11" t="n">
        <f aca="false">IF(AND(H111=0,J111=0),0,IF(H111=0,"New",(J111-H111)/H111))</f>
        <v>-0.363263915183643</v>
      </c>
    </row>
    <row r="112" customFormat="false" ht="15" hidden="false" customHeight="true" outlineLevel="0" collapsed="false">
      <c r="A112" s="8" t="s">
        <v>256</v>
      </c>
      <c r="B112" s="8" t="str">
        <f aca="false">IFERROR(INDEX('Source 2026'!$C:$C,MATCH($A112,'Source 2026'!$B:$B,0)),IFERROR(INDEX('Source 2025'!$C:$C,MATCH($A112,'Source 2025'!$B:$B,0)),""))</f>
        <v>בננה לתמיכת אצבעות ז.כרית</v>
      </c>
      <c r="C112" s="9" t="n">
        <f aca="false">SUMIFS('Source 2025'!$I:$I,'Source 2025'!$B:$B,$A112,'Source 2025'!$A:$A,"Quantity (units)")</f>
        <v>252</v>
      </c>
      <c r="D112" s="9" t="n">
        <f aca="false">SUMIFS('Source 2026'!$I:$I,'Source 2026'!$B:$B,$A112,'Source 2026'!$A:$A,"Quantity (units)")</f>
        <v>125</v>
      </c>
      <c r="E112" s="9" t="n">
        <f aca="false">D112*$J$5</f>
        <v>157.894736842105</v>
      </c>
      <c r="F112" s="9" t="n">
        <f aca="false">E112-C112</f>
        <v>-94.1052631578947</v>
      </c>
      <c r="G112" s="11" t="n">
        <f aca="false">IF(AND(C112=0,E112=0),0,IF(C112=0,"New",(E112-C112)/C112))</f>
        <v>-0.3734335839599</v>
      </c>
      <c r="H112" s="9" t="n">
        <f aca="false">SUMIFS('Source 2025'!$I:$I,'Source 2025'!$B:$B,$A112,'Source 2025'!$A:$A,"Amount (NIS)")</f>
        <v>5544.2</v>
      </c>
      <c r="I112" s="9" t="n">
        <f aca="false">SUMIFS('Source 2026'!$I:$I,'Source 2026'!$B:$B,$A112,'Source 2026'!$A:$A,"Amount (NIS)")</f>
        <v>2790.2</v>
      </c>
      <c r="J112" s="9" t="n">
        <f aca="false">I112*$J$5</f>
        <v>3524.46315789474</v>
      </c>
      <c r="K112" s="9" t="n">
        <f aca="false">J112-H112</f>
        <v>-2019.73684210526</v>
      </c>
      <c r="L112" s="11" t="n">
        <f aca="false">IF(AND(H112=0,J112=0),0,IF(H112=0,"New",(J112-H112)/H112))</f>
        <v>-0.364297255168512</v>
      </c>
    </row>
    <row r="113" customFormat="false" ht="15" hidden="false" customHeight="true" outlineLevel="0" collapsed="false">
      <c r="A113" s="8" t="s">
        <v>193</v>
      </c>
      <c r="B113" s="8" t="str">
        <f aca="false">IFERROR(INDEX('Source 2026'!$C:$C,MATCH($A113,'Source 2026'!$B:$B,0)),IFERROR(INDEX('Source 2025'!$C:$C,MATCH($A113,'Source 2025'!$B:$B,0)),""))</f>
        <v>סד ליישור אצבע</v>
      </c>
      <c r="C113" s="9" t="n">
        <f aca="false">SUMIFS('Source 2025'!$I:$I,'Source 2025'!$B:$B,$A113,'Source 2025'!$A:$A,"Quantity (units)")</f>
        <v>2441</v>
      </c>
      <c r="D113" s="9" t="n">
        <f aca="false">SUMIFS('Source 2026'!$I:$I,'Source 2026'!$B:$B,$A113,'Source 2026'!$A:$A,"Quantity (units)")</f>
        <v>2182</v>
      </c>
      <c r="E113" s="9" t="n">
        <f aca="false">D113*$J$5</f>
        <v>2756.21052631579</v>
      </c>
      <c r="F113" s="9" t="n">
        <f aca="false">E113-C113</f>
        <v>315.210526315789</v>
      </c>
      <c r="G113" s="11" t="n">
        <f aca="false">IF(AND(C113=0,E113=0),0,IF(C113=0,"New",(E113-C113)/C113))</f>
        <v>0.129131719097005</v>
      </c>
      <c r="H113" s="9" t="n">
        <f aca="false">SUMIFS('Source 2025'!$I:$I,'Source 2025'!$B:$B,$A113,'Source 2025'!$A:$A,"Amount (NIS)")</f>
        <v>35520.6</v>
      </c>
      <c r="I113" s="9" t="n">
        <f aca="false">SUMIFS('Source 2026'!$I:$I,'Source 2026'!$B:$B,$A113,'Source 2026'!$A:$A,"Amount (NIS)")</f>
        <v>32850.6</v>
      </c>
      <c r="J113" s="9" t="n">
        <f aca="false">I113*$J$5</f>
        <v>41495.4947368421</v>
      </c>
      <c r="K113" s="9" t="n">
        <f aca="false">J113-H113</f>
        <v>5974.8947368421</v>
      </c>
      <c r="L113" s="11" t="n">
        <f aca="false">IF(AND(H113=0,J113=0),0,IF(H113=0,"New",(J113-H113)/H113))</f>
        <v>0.168209285227223</v>
      </c>
    </row>
    <row r="114" customFormat="false" ht="15" hidden="false" customHeight="true" outlineLevel="0" collapsed="false">
      <c r="A114" s="8" t="s">
        <v>275</v>
      </c>
      <c r="B114" s="8" t="str">
        <f aca="false">IFERROR(INDEX('Source 2026'!$C:$C,MATCH($A114,'Source 2026'!$B:$B,0)),IFERROR(INDEX('Source 2025'!$C:$C,MATCH($A114,'Source 2025'!$B:$B,0)),""))</f>
        <v>11 אפורUG חגורת בטן</v>
      </c>
      <c r="C114" s="9" t="n">
        <f aca="false">SUMIFS('Source 2025'!$I:$I,'Source 2025'!$B:$B,$A114,'Source 2025'!$A:$A,"Quantity (units)")</f>
        <v>34</v>
      </c>
      <c r="D114" s="9" t="n">
        <f aca="false">SUMIFS('Source 2026'!$I:$I,'Source 2026'!$B:$B,$A114,'Source 2026'!$A:$A,"Quantity (units)")</f>
        <v>0</v>
      </c>
      <c r="E114" s="9" t="n">
        <f aca="false">D114*$J$5</f>
        <v>0</v>
      </c>
      <c r="F114" s="9" t="n">
        <f aca="false">E114-C114</f>
        <v>-34</v>
      </c>
      <c r="G114" s="11" t="n">
        <f aca="false">IF(AND(C114=0,E114=0),0,IF(C114=0,"New",(E114-C114)/C114))</f>
        <v>-1</v>
      </c>
      <c r="H114" s="9" t="n">
        <f aca="false">SUMIFS('Source 2025'!$I:$I,'Source 2025'!$B:$B,$A114,'Source 2025'!$A:$A,"Amount (NIS)")</f>
        <v>2730.6</v>
      </c>
      <c r="I114" s="9" t="n">
        <f aca="false">SUMIFS('Source 2026'!$I:$I,'Source 2026'!$B:$B,$A114,'Source 2026'!$A:$A,"Amount (NIS)")</f>
        <v>68.2</v>
      </c>
      <c r="J114" s="9" t="n">
        <f aca="false">I114*$J$5</f>
        <v>86.1473684210526</v>
      </c>
      <c r="K114" s="9" t="n">
        <f aca="false">J114-H114</f>
        <v>-2644.45263157895</v>
      </c>
      <c r="L114" s="11" t="n">
        <f aca="false">IF(AND(H114=0,J114=0),0,IF(H114=0,"New",(J114-H114)/H114))</f>
        <v>-0.96845112121107</v>
      </c>
    </row>
    <row r="115" customFormat="false" ht="15" hidden="false" customHeight="true" outlineLevel="0" collapsed="false">
      <c r="A115" s="8" t="s">
        <v>245</v>
      </c>
      <c r="B115" s="8" t="str">
        <f aca="false">IFERROR(INDEX('Source 2026'!$C:$C,MATCH($A115,'Source 2026'!$B:$B,0)),IFERROR(INDEX('Source 2025'!$C:$C,MATCH($A115,'Source 2025'!$B:$B,0)),""))</f>
        <v>כפפות לחץ</v>
      </c>
      <c r="C115" s="9" t="n">
        <f aca="false">SUMIFS('Source 2025'!$I:$I,'Source 2025'!$B:$B,$A115,'Source 2025'!$A:$A,"Quantity (units)")</f>
        <v>258</v>
      </c>
      <c r="D115" s="9" t="n">
        <f aca="false">SUMIFS('Source 2026'!$I:$I,'Source 2026'!$B:$B,$A115,'Source 2026'!$A:$A,"Quantity (units)")</f>
        <v>162</v>
      </c>
      <c r="E115" s="9" t="n">
        <f aca="false">D115*$J$5</f>
        <v>204.631578947368</v>
      </c>
      <c r="F115" s="9" t="n">
        <f aca="false">E115-C115</f>
        <v>-53.3684210526316</v>
      </c>
      <c r="G115" s="11" t="n">
        <f aca="false">IF(AND(C115=0,E115=0),0,IF(C115=0,"New",(E115-C115)/C115))</f>
        <v>-0.206854345165239</v>
      </c>
      <c r="H115" s="9" t="n">
        <f aca="false">SUMIFS('Source 2025'!$I:$I,'Source 2025'!$B:$B,$A115,'Source 2025'!$A:$A,"Amount (NIS)")</f>
        <v>7344.8</v>
      </c>
      <c r="I115" s="9" t="n">
        <f aca="false">SUMIFS('Source 2026'!$I:$I,'Source 2026'!$B:$B,$A115,'Source 2026'!$A:$A,"Amount (NIS)")</f>
        <v>4690.8</v>
      </c>
      <c r="J115" s="9" t="n">
        <f aca="false">I115*$J$5</f>
        <v>5925.22105263158</v>
      </c>
      <c r="K115" s="9" t="n">
        <f aca="false">J115-H115</f>
        <v>-1419.57894736842</v>
      </c>
      <c r="L115" s="11" t="n">
        <f aca="false">IF(AND(H115=0,J115=0),0,IF(H115=0,"New",(J115-H115)/H115))</f>
        <v>-0.193276732840707</v>
      </c>
    </row>
    <row r="116" customFormat="false" ht="15" hidden="false" customHeight="true" outlineLevel="0" collapsed="false">
      <c r="A116" s="8" t="s">
        <v>161</v>
      </c>
      <c r="B116" s="8" t="str">
        <f aca="false">IFERROR(INDEX('Source 2026'!$C:$C,MATCH($A116,'Source 2026'!$B:$B,0)),IFERROR(INDEX('Source 2025'!$C:$C,MATCH($A116,'Source 2025'!$B:$B,0)),""))</f>
        <v>בוהן סיליקון קשיח</v>
      </c>
      <c r="C116" s="9" t="n">
        <f aca="false">SUMIFS('Source 2025'!$I:$I,'Source 2025'!$B:$B,$A116,'Source 2025'!$A:$A,"Quantity (units)")</f>
        <v>157</v>
      </c>
      <c r="D116" s="9" t="n">
        <f aca="false">SUMIFS('Source 2026'!$I:$I,'Source 2026'!$B:$B,$A116,'Source 2026'!$A:$A,"Quantity (units)")</f>
        <v>25</v>
      </c>
      <c r="E116" s="9" t="n">
        <f aca="false">D116*$J$5</f>
        <v>31.5789473684211</v>
      </c>
      <c r="F116" s="9" t="n">
        <f aca="false">E116-C116</f>
        <v>-125.421052631579</v>
      </c>
      <c r="G116" s="11" t="n">
        <f aca="false">IF(AND(C116=0,E116=0),0,IF(C116=0,"New",(E116-C116)/C116))</f>
        <v>-0.798860207844452</v>
      </c>
      <c r="H116" s="9" t="n">
        <f aca="false">SUMIFS('Source 2025'!$I:$I,'Source 2025'!$B:$B,$A116,'Source 2025'!$A:$A,"Amount (NIS)")</f>
        <v>3108.4</v>
      </c>
      <c r="I116" s="9" t="n">
        <f aca="false">SUMIFS('Source 2026'!$I:$I,'Source 2026'!$B:$B,$A116,'Source 2026'!$A:$A,"Amount (NIS)")</f>
        <v>493.6</v>
      </c>
      <c r="J116" s="9" t="n">
        <f aca="false">I116*$J$5</f>
        <v>623.494736842105</v>
      </c>
      <c r="K116" s="9" t="n">
        <f aca="false">J116-H116</f>
        <v>-2484.90526315789</v>
      </c>
      <c r="L116" s="11" t="n">
        <f aca="false">IF(AND(H116=0,J116=0),0,IF(H116=0,"New",(J116-H116)/H116))</f>
        <v>-0.799416182974487</v>
      </c>
    </row>
    <row r="117" customFormat="false" ht="15" hidden="false" customHeight="true" outlineLevel="0" collapsed="false">
      <c r="A117" s="8" t="s">
        <v>133</v>
      </c>
      <c r="B117" s="8" t="str">
        <f aca="false">IFERROR(INDEX('Source 2026'!$C:$C,MATCH($A117,'Source 2026'!$B:$B,0)),IFERROR(INDEX('Source 2025'!$C:$C,MATCH($A117,'Source 2025'!$B:$B,0)),""))</f>
        <v>L סד לילה שחור לבוהן שמאל</v>
      </c>
      <c r="C117" s="9" t="n">
        <f aca="false">SUMIFS('Source 2025'!$I:$I,'Source 2025'!$B:$B,$A117,'Source 2025'!$A:$A,"Quantity (units)")</f>
        <v>87</v>
      </c>
      <c r="D117" s="9" t="n">
        <f aca="false">SUMIFS('Source 2026'!$I:$I,'Source 2026'!$B:$B,$A117,'Source 2026'!$A:$A,"Quantity (units)")</f>
        <v>40</v>
      </c>
      <c r="E117" s="9" t="n">
        <f aca="false">D117*$J$5</f>
        <v>50.5263157894737</v>
      </c>
      <c r="F117" s="9" t="n">
        <f aca="false">E117-C117</f>
        <v>-36.4736842105263</v>
      </c>
      <c r="G117" s="11" t="n">
        <f aca="false">IF(AND(C117=0,E117=0),0,IF(C117=0,"New",(E117-C117)/C117))</f>
        <v>-0.419237749546279</v>
      </c>
      <c r="H117" s="9" t="n">
        <f aca="false">SUMIFS('Source 2025'!$I:$I,'Source 2025'!$B:$B,$A117,'Source 2025'!$A:$A,"Amount (NIS)")</f>
        <v>5148.8</v>
      </c>
      <c r="I117" s="9" t="n">
        <f aca="false">SUMIFS('Source 2026'!$I:$I,'Source 2026'!$B:$B,$A117,'Source 2026'!$A:$A,"Amount (NIS)")</f>
        <v>2571.3</v>
      </c>
      <c r="J117" s="9" t="n">
        <f aca="false">I117*$J$5</f>
        <v>3247.95789473684</v>
      </c>
      <c r="K117" s="9" t="n">
        <f aca="false">J117-H117</f>
        <v>-1900.84210526316</v>
      </c>
      <c r="L117" s="11" t="n">
        <f aca="false">IF(AND(H117=0,J117=0),0,IF(H117=0,"New",(J117-H117)/H117))</f>
        <v>-0.369181577311832</v>
      </c>
    </row>
    <row r="118" customFormat="false" ht="15" hidden="false" customHeight="true" outlineLevel="0" collapsed="false">
      <c r="A118" s="8" t="s">
        <v>121</v>
      </c>
      <c r="B118" s="8" t="str">
        <f aca="false">IFERROR(INDEX('Source 2026'!$C:$C,MATCH($A118,'Source 2026'!$B:$B,0)),IFERROR(INDEX('Source 2025'!$C:$C,MATCH($A118,'Source 2025'!$B:$B,0)),""))</f>
        <v>חגורת גב +סגירה כפולה</v>
      </c>
      <c r="C118" s="9" t="n">
        <f aca="false">SUMIFS('Source 2025'!$I:$I,'Source 2025'!$B:$B,$A118,'Source 2025'!$A:$A,"Quantity (units)")</f>
        <v>65</v>
      </c>
      <c r="D118" s="9" t="n">
        <f aca="false">SUMIFS('Source 2026'!$I:$I,'Source 2026'!$B:$B,$A118,'Source 2026'!$A:$A,"Quantity (units)")</f>
        <v>36</v>
      </c>
      <c r="E118" s="9" t="n">
        <f aca="false">D118*$J$5</f>
        <v>45.4736842105263</v>
      </c>
      <c r="F118" s="9" t="n">
        <f aca="false">E118-C118</f>
        <v>-19.5263157894737</v>
      </c>
      <c r="G118" s="11" t="n">
        <f aca="false">IF(AND(C118=0,E118=0),0,IF(C118=0,"New",(E118-C118)/C118))</f>
        <v>-0.300404858299595</v>
      </c>
      <c r="H118" s="9" t="n">
        <f aca="false">SUMIFS('Source 2025'!$I:$I,'Source 2025'!$B:$B,$A118,'Source 2025'!$A:$A,"Amount (NIS)")</f>
        <v>6213.6</v>
      </c>
      <c r="I118" s="9" t="n">
        <f aca="false">SUMIFS('Source 2026'!$I:$I,'Source 2026'!$B:$B,$A118,'Source 2026'!$A:$A,"Amount (NIS)")</f>
        <v>3644.6</v>
      </c>
      <c r="J118" s="9" t="n">
        <f aca="false">I118*$J$5</f>
        <v>4603.70526315789</v>
      </c>
      <c r="K118" s="9" t="n">
        <f aca="false">J118-H118</f>
        <v>-1609.89473684211</v>
      </c>
      <c r="L118" s="11" t="n">
        <f aca="false">IF(AND(H118=0,J118=0),0,IF(H118=0,"New",(J118-H118)/H118))</f>
        <v>-0.259092110345389</v>
      </c>
    </row>
    <row r="119" customFormat="false" ht="15" hidden="false" customHeight="true" outlineLevel="0" collapsed="false">
      <c r="A119" s="8" t="s">
        <v>209</v>
      </c>
      <c r="B119" s="8" t="str">
        <f aca="false">IFERROR(INDEX('Source 2026'!$C:$C,MATCH($A119,'Source 2026'!$B:$B,0)),IFERROR(INDEX('Source 2025'!$C:$C,MATCH($A119,'Source 2025'!$B:$B,0)),""))</f>
        <v>רצועת ""פיקה""+כרית</v>
      </c>
      <c r="C119" s="9" t="n">
        <f aca="false">SUMIFS('Source 2025'!$I:$I,'Source 2025'!$B:$B,$A119,'Source 2025'!$A:$A,"Quantity (units)")</f>
        <v>40</v>
      </c>
      <c r="D119" s="9" t="n">
        <f aca="false">SUMIFS('Source 2026'!$I:$I,'Source 2026'!$B:$B,$A119,'Source 2026'!$A:$A,"Quantity (units)")</f>
        <v>12</v>
      </c>
      <c r="E119" s="9" t="n">
        <f aca="false">D119*$J$5</f>
        <v>15.1578947368421</v>
      </c>
      <c r="F119" s="9" t="n">
        <f aca="false">E119-C119</f>
        <v>-24.8421052631579</v>
      </c>
      <c r="G119" s="11" t="n">
        <f aca="false">IF(AND(C119=0,E119=0),0,IF(C119=0,"New",(E119-C119)/C119))</f>
        <v>-0.621052631578947</v>
      </c>
      <c r="H119" s="9" t="n">
        <f aca="false">SUMIFS('Source 2025'!$I:$I,'Source 2025'!$B:$B,$A119,'Source 2025'!$A:$A,"Amount (NIS)")</f>
        <v>3726.4</v>
      </c>
      <c r="I119" s="9" t="n">
        <f aca="false">SUMIFS('Source 2026'!$I:$I,'Source 2026'!$B:$B,$A119,'Source 2026'!$A:$A,"Amount (NIS)")</f>
        <v>1185.3</v>
      </c>
      <c r="J119" s="9" t="n">
        <f aca="false">I119*$J$5</f>
        <v>1497.22105263158</v>
      </c>
      <c r="K119" s="9" t="n">
        <f aca="false">J119-H119</f>
        <v>-2229.17894736842</v>
      </c>
      <c r="L119" s="11" t="n">
        <f aca="false">IF(AND(H119=0,J119=0),0,IF(H119=0,"New",(J119-H119)/H119))</f>
        <v>-0.598212469774694</v>
      </c>
    </row>
    <row r="120" customFormat="false" ht="15" hidden="false" customHeight="true" outlineLevel="0" collapsed="false">
      <c r="A120" s="8" t="s">
        <v>253</v>
      </c>
      <c r="B120" s="8" t="str">
        <f aca="false">IFERROR(INDEX('Source 2026'!$C:$C,MATCH($A120,'Source 2026'!$B:$B,0)),IFERROR(INDEX('Source 2025'!$C:$C,MATCH($A120,'Source 2025'!$B:$B,0)),""))</f>
        <v>כפפות לחץ</v>
      </c>
      <c r="C120" s="9" t="n">
        <f aca="false">SUMIFS('Source 2025'!$I:$I,'Source 2025'!$B:$B,$A120,'Source 2025'!$A:$A,"Quantity (units)")</f>
        <v>246</v>
      </c>
      <c r="D120" s="9" t="n">
        <f aca="false">SUMIFS('Source 2026'!$I:$I,'Source 2026'!$B:$B,$A120,'Source 2026'!$A:$A,"Quantity (units)")</f>
        <v>156</v>
      </c>
      <c r="E120" s="9" t="n">
        <f aca="false">D120*$J$5</f>
        <v>197.052631578947</v>
      </c>
      <c r="F120" s="9" t="n">
        <f aca="false">E120-C120</f>
        <v>-48.9473684210526</v>
      </c>
      <c r="G120" s="11" t="n">
        <f aca="false">IF(AND(C120=0,E120=0),0,IF(C120=0,"New",(E120-C120)/C120))</f>
        <v>-0.198973042362003</v>
      </c>
      <c r="H120" s="9" t="n">
        <f aca="false">SUMIFS('Source 2025'!$I:$I,'Source 2025'!$B:$B,$A120,'Source 2025'!$A:$A,"Amount (NIS)")</f>
        <v>6998.3</v>
      </c>
      <c r="I120" s="9" t="n">
        <f aca="false">SUMIFS('Source 2026'!$I:$I,'Source 2026'!$B:$B,$A120,'Source 2026'!$A:$A,"Amount (NIS)")</f>
        <v>4514.3</v>
      </c>
      <c r="J120" s="9" t="n">
        <f aca="false">I120*$J$5</f>
        <v>5702.27368421053</v>
      </c>
      <c r="K120" s="9" t="n">
        <f aca="false">J120-H120</f>
        <v>-1296.02631578947</v>
      </c>
      <c r="L120" s="11" t="n">
        <f aca="false">IF(AND(H120=0,J120=0),0,IF(H120=0,"New",(J120-H120)/H120))</f>
        <v>-0.185191591642181</v>
      </c>
    </row>
    <row r="121" customFormat="false" ht="15" hidden="false" customHeight="true" outlineLevel="0" collapsed="false">
      <c r="A121" s="8" t="s">
        <v>197</v>
      </c>
      <c r="B121" s="8" t="str">
        <f aca="false">IFERROR(INDEX('Source 2026'!$C:$C,MATCH($A121,'Source 2026'!$B:$B,0)),IFERROR(INDEX('Source 2025'!$C:$C,MATCH($A121,'Source 2025'!$B:$B,0)),""))</f>
        <v>נצמדת בז' 20 מ""מ</v>
      </c>
      <c r="C121" s="9" t="n">
        <f aca="false">SUMIFS('Source 2025'!$I:$I,'Source 2025'!$B:$B,$A121,'Source 2025'!$A:$A,"Quantity (units)")</f>
        <v>1235</v>
      </c>
      <c r="D121" s="9" t="n">
        <f aca="false">SUMIFS('Source 2026'!$I:$I,'Source 2026'!$B:$B,$A121,'Source 2026'!$A:$A,"Quantity (units)")</f>
        <v>988</v>
      </c>
      <c r="E121" s="9" t="n">
        <f aca="false">D121*$J$5</f>
        <v>1248</v>
      </c>
      <c r="F121" s="9" t="n">
        <f aca="false">E121-C121</f>
        <v>13</v>
      </c>
      <c r="G121" s="11" t="n">
        <f aca="false">IF(AND(C121=0,E121=0),0,IF(C121=0,"New",(E121-C121)/C121))</f>
        <v>0.0105263157894737</v>
      </c>
      <c r="H121" s="9" t="n">
        <f aca="false">SUMIFS('Source 2025'!$I:$I,'Source 2025'!$B:$B,$A121,'Source 2025'!$A:$A,"Amount (NIS)")</f>
        <v>12532.2</v>
      </c>
      <c r="I121" s="9" t="n">
        <f aca="false">SUMIFS('Source 2026'!$I:$I,'Source 2026'!$B:$B,$A121,'Source 2026'!$A:$A,"Amount (NIS)")</f>
        <v>10070.6</v>
      </c>
      <c r="J121" s="9" t="n">
        <f aca="false">I121*$J$5</f>
        <v>12720.7578947368</v>
      </c>
      <c r="K121" s="9" t="n">
        <f aca="false">J121-H121</f>
        <v>188.557894736841</v>
      </c>
      <c r="L121" s="11" t="n">
        <f aca="false">IF(AND(H121=0,J121=0),0,IF(H121=0,"New",(J121-H121)/H121))</f>
        <v>0.0150458734090456</v>
      </c>
    </row>
    <row r="122" customFormat="false" ht="15" hidden="false" customHeight="true" outlineLevel="0" collapsed="false">
      <c r="A122" s="8" t="s">
        <v>327</v>
      </c>
      <c r="B122" s="8" t="str">
        <f aca="false">IFERROR(INDEX('Source 2026'!$C:$C,MATCH($A122,'Source 2026'!$B:$B,0)),IFERROR(INDEX('Source 2025'!$C:$C,MATCH($A122,'Source 2025'!$B:$B,0)),""))</f>
        <v>11 אפורUG חגורת בטן</v>
      </c>
      <c r="C122" s="9" t="n">
        <f aca="false">SUMIFS('Source 2025'!$I:$I,'Source 2025'!$B:$B,$A122,'Source 2025'!$A:$A,"Quantity (units)")</f>
        <v>32</v>
      </c>
      <c r="D122" s="9" t="n">
        <f aca="false">SUMIFS('Source 2026'!$I:$I,'Source 2026'!$B:$B,$A122,'Source 2026'!$A:$A,"Quantity (units)")</f>
        <v>1</v>
      </c>
      <c r="E122" s="9" t="n">
        <f aca="false">D122*$J$5</f>
        <v>1.26315789473684</v>
      </c>
      <c r="F122" s="9" t="n">
        <f aca="false">E122-C122</f>
        <v>-30.7368421052632</v>
      </c>
      <c r="G122" s="11" t="n">
        <f aca="false">IF(AND(C122=0,E122=0),0,IF(C122=0,"New",(E122-C122)/C122))</f>
        <v>-0.960526315789474</v>
      </c>
      <c r="H122" s="9" t="n">
        <f aca="false">SUMIFS('Source 2025'!$I:$I,'Source 2025'!$B:$B,$A122,'Source 2025'!$A:$A,"Amount (NIS)")</f>
        <v>2549.6</v>
      </c>
      <c r="I122" s="9" t="n">
        <f aca="false">SUMIFS('Source 2026'!$I:$I,'Source 2026'!$B:$B,$A122,'Source 2026'!$A:$A,"Amount (NIS)")</f>
        <v>132.3</v>
      </c>
      <c r="J122" s="9" t="n">
        <f aca="false">I122*$J$5</f>
        <v>167.115789473684</v>
      </c>
      <c r="K122" s="9" t="n">
        <f aca="false">J122-H122</f>
        <v>-2382.48421052632</v>
      </c>
      <c r="L122" s="11" t="n">
        <f aca="false">IF(AND(H122=0,J122=0),0,IF(H122=0,"New",(J122-H122)/H122))</f>
        <v>-0.934454114577312</v>
      </c>
    </row>
    <row r="123" customFormat="false" ht="15" hidden="false" customHeight="true" outlineLevel="0" collapsed="false">
      <c r="A123" s="8" t="s">
        <v>243</v>
      </c>
      <c r="B123" s="8" t="str">
        <f aca="false">IFERROR(INDEX('Source 2026'!$C:$C,MATCH($A123,'Source 2026'!$B:$B,0)),IFERROR(INDEX('Source 2025'!$C:$C,MATCH($A123,'Source 2025'!$B:$B,0)),""))</f>
        <v>כפפות אגודל לחץ</v>
      </c>
      <c r="C123" s="9" t="n">
        <f aca="false">SUMIFS('Source 2025'!$I:$I,'Source 2025'!$B:$B,$A123,'Source 2025'!$A:$A,"Quantity (units)")</f>
        <v>419</v>
      </c>
      <c r="D123" s="9" t="n">
        <f aca="false">SUMIFS('Source 2026'!$I:$I,'Source 2026'!$B:$B,$A123,'Source 2026'!$A:$A,"Quantity (units)")</f>
        <v>324</v>
      </c>
      <c r="E123" s="9" t="n">
        <f aca="false">D123*$J$5</f>
        <v>409.263157894737</v>
      </c>
      <c r="F123" s="9" t="n">
        <f aca="false">E123-C123</f>
        <v>-9.73684210526318</v>
      </c>
      <c r="G123" s="11" t="n">
        <f aca="false">IF(AND(C123=0,E123=0),0,IF(C123=0,"New",(E123-C123)/C123))</f>
        <v>-0.0232382866474062</v>
      </c>
      <c r="H123" s="9" t="n">
        <f aca="false">SUMIFS('Source 2025'!$I:$I,'Source 2025'!$B:$B,$A123,'Source 2025'!$A:$A,"Amount (NIS)")</f>
        <v>11927.2</v>
      </c>
      <c r="I123" s="9" t="n">
        <f aca="false">SUMIFS('Source 2026'!$I:$I,'Source 2026'!$B:$B,$A123,'Source 2026'!$A:$A,"Amount (NIS)")</f>
        <v>9579</v>
      </c>
      <c r="J123" s="9" t="n">
        <f aca="false">I123*$J$5</f>
        <v>12099.7894736842</v>
      </c>
      <c r="K123" s="9" t="n">
        <f aca="false">J123-H123</f>
        <v>172.589473684209</v>
      </c>
      <c r="L123" s="11" t="n">
        <f aca="false">IF(AND(H123=0,J123=0),0,IF(H123=0,"New",(J123-H123)/H123))</f>
        <v>0.0144702422768302</v>
      </c>
    </row>
    <row r="124" customFormat="false" ht="15" hidden="false" customHeight="true" outlineLevel="0" collapsed="false">
      <c r="A124" s="8" t="s">
        <v>335</v>
      </c>
      <c r="B124" s="8" t="str">
        <f aca="false">IFERROR(INDEX('Source 2026'!$C:$C,MATCH($A124,'Source 2026'!$B:$B,0)),IFERROR(INDEX('Source 2025'!$C:$C,MATCH($A124,'Source 2025'!$B:$B,0)),""))</f>
        <v>ג.כסף לסכרתיים אפור35-38</v>
      </c>
      <c r="C124" s="9" t="n">
        <f aca="false">SUMIFS('Source 2025'!$I:$I,'Source 2025'!$B:$B,$A124,'Source 2025'!$A:$A,"Quantity (units)")</f>
        <v>78</v>
      </c>
      <c r="D124" s="9" t="n">
        <f aca="false">SUMIFS('Source 2026'!$I:$I,'Source 2026'!$B:$B,$A124,'Source 2026'!$A:$A,"Quantity (units)")</f>
        <v>1</v>
      </c>
      <c r="E124" s="9" t="n">
        <f aca="false">D124*$J$5</f>
        <v>1.26315789473684</v>
      </c>
      <c r="F124" s="9" t="n">
        <f aca="false">E124-C124</f>
        <v>-76.7368421052632</v>
      </c>
      <c r="G124" s="11" t="n">
        <f aca="false">IF(AND(C124=0,E124=0),0,IF(C124=0,"New",(E124-C124)/C124))</f>
        <v>-0.983805668016194</v>
      </c>
      <c r="H124" s="9" t="n">
        <f aca="false">SUMIFS('Source 2025'!$I:$I,'Source 2025'!$B:$B,$A124,'Source 2025'!$A:$A,"Amount (NIS)")</f>
        <v>2287.4</v>
      </c>
      <c r="I124" s="9" t="n">
        <f aca="false">SUMIFS('Source 2026'!$I:$I,'Source 2026'!$B:$B,$A124,'Source 2026'!$A:$A,"Amount (NIS)")</f>
        <v>35</v>
      </c>
      <c r="J124" s="9" t="n">
        <f aca="false">I124*$J$5</f>
        <v>44.2105263157895</v>
      </c>
      <c r="K124" s="9" t="n">
        <f aca="false">J124-H124</f>
        <v>-2243.18947368421</v>
      </c>
      <c r="L124" s="11" t="n">
        <f aca="false">IF(AND(H124=0,J124=0),0,IF(H124=0,"New",(J124-H124)/H124))</f>
        <v>-0.980672149026935</v>
      </c>
    </row>
    <row r="125" customFormat="false" ht="15" hidden="false" customHeight="true" outlineLevel="0" collapsed="false">
      <c r="A125" s="8" t="s">
        <v>250</v>
      </c>
      <c r="B125" s="8" t="str">
        <f aca="false">IFERROR(INDEX('Source 2026'!$C:$C,MATCH($A125,'Source 2026'!$B:$B,0)),IFERROR(INDEX('Source 2025'!$C:$C,MATCH($A125,'Source 2025'!$B:$B,0)),""))</f>
        <v>סד ליישור אצבע</v>
      </c>
      <c r="C125" s="9" t="n">
        <f aca="false">SUMIFS('Source 2025'!$I:$I,'Source 2025'!$B:$B,$A125,'Source 2025'!$A:$A,"Quantity (units)")</f>
        <v>2616</v>
      </c>
      <c r="D125" s="9" t="n">
        <f aca="false">SUMIFS('Source 2026'!$I:$I,'Source 2026'!$B:$B,$A125,'Source 2026'!$A:$A,"Quantity (units)")</f>
        <v>2382</v>
      </c>
      <c r="E125" s="9" t="n">
        <f aca="false">D125*$J$5</f>
        <v>3008.84210526316</v>
      </c>
      <c r="F125" s="9" t="n">
        <f aca="false">E125-C125</f>
        <v>392.842105263158</v>
      </c>
      <c r="G125" s="11" t="n">
        <f aca="false">IF(AND(C125=0,E125=0),0,IF(C125=0,"New",(E125-C125)/C125))</f>
        <v>0.150169000482859</v>
      </c>
      <c r="H125" s="9" t="n">
        <f aca="false">SUMIFS('Source 2025'!$I:$I,'Source 2025'!$B:$B,$A125,'Source 2025'!$A:$A,"Amount (NIS)")</f>
        <v>38080.5</v>
      </c>
      <c r="I125" s="9" t="n">
        <f aca="false">SUMIFS('Source 2026'!$I:$I,'Source 2026'!$B:$B,$A125,'Source 2026'!$A:$A,"Amount (NIS)")</f>
        <v>35836</v>
      </c>
      <c r="J125" s="9" t="n">
        <f aca="false">I125*$J$5</f>
        <v>45266.5263157895</v>
      </c>
      <c r="K125" s="9" t="n">
        <f aca="false">J125-H125</f>
        <v>7186.02631578947</v>
      </c>
      <c r="L125" s="11" t="n">
        <f aca="false">IF(AND(H125=0,J125=0),0,IF(H125=0,"New",(J125-H125)/H125))</f>
        <v>0.188706196499244</v>
      </c>
    </row>
    <row r="126" customFormat="false" ht="15" hidden="false" customHeight="true" outlineLevel="0" collapsed="false">
      <c r="A126" s="8" t="s">
        <v>342</v>
      </c>
      <c r="B126" s="8" t="str">
        <f aca="false">IFERROR(INDEX('Source 2026'!$C:$C,MATCH($A126,'Source 2026'!$B:$B,0)),IFERROR(INDEX('Source 2025'!$C:$C,MATCH($A126,'Source 2025'!$B:$B,0)),""))</f>
        <v>S-M STRAP4U</v>
      </c>
      <c r="C126" s="9" t="n">
        <f aca="false">SUMIFS('Source 2025'!$I:$I,'Source 2025'!$B:$B,$A126,'Source 2025'!$A:$A,"Quantity (units)")</f>
        <v>95</v>
      </c>
      <c r="D126" s="9" t="n">
        <f aca="false">SUMIFS('Source 2026'!$I:$I,'Source 2026'!$B:$B,$A126,'Source 2026'!$A:$A,"Quantity (units)")</f>
        <v>-57</v>
      </c>
      <c r="E126" s="9" t="n">
        <f aca="false">D126*$J$5</f>
        <v>-72</v>
      </c>
      <c r="F126" s="9" t="n">
        <f aca="false">E126-C126</f>
        <v>-167</v>
      </c>
      <c r="G126" s="11" t="n">
        <f aca="false">IF(AND(C126=0,E126=0),0,IF(C126=0,"New",(E126-C126)/C126))</f>
        <v>-1.75789473684211</v>
      </c>
      <c r="H126" s="9" t="n">
        <f aca="false">SUMIFS('Source 2025'!$I:$I,'Source 2025'!$B:$B,$A126,'Source 2025'!$A:$A,"Amount (NIS)")</f>
        <v>1673</v>
      </c>
      <c r="I126" s="9" t="n">
        <f aca="false">SUMIFS('Source 2026'!$I:$I,'Source 2026'!$B:$B,$A126,'Source 2026'!$A:$A,"Amount (NIS)")</f>
        <v>-564.6</v>
      </c>
      <c r="J126" s="9" t="n">
        <f aca="false">I126*$J$5</f>
        <v>-713.178947368421</v>
      </c>
      <c r="K126" s="9" t="n">
        <f aca="false">J126-H126</f>
        <v>-2386.17894736842</v>
      </c>
      <c r="L126" s="11" t="n">
        <f aca="false">IF(AND(H126=0,J126=0),0,IF(H126=0,"New",(J126-H126)/H126))</f>
        <v>-1.42628747601221</v>
      </c>
    </row>
    <row r="127" customFormat="false" ht="15" hidden="false" customHeight="true" outlineLevel="0" collapsed="false">
      <c r="A127" s="8" t="s">
        <v>201</v>
      </c>
      <c r="B127" s="8" t="str">
        <f aca="false">IFERROR(INDEX('Source 2026'!$C:$C,MATCH($A127,'Source 2026'!$B:$B,0)),IFERROR(INDEX('Source 2025'!$C:$C,MATCH($A127,'Source 2025'!$B:$B,0)),""))</f>
        <v>9 מ""ס להתאמהX5 מדבקה גדולה</v>
      </c>
      <c r="C127" s="9" t="n">
        <f aca="false">SUMIFS('Source 2025'!$I:$I,'Source 2025'!$B:$B,$A127,'Source 2025'!$A:$A,"Quantity (units)")</f>
        <v>253</v>
      </c>
      <c r="D127" s="9" t="n">
        <f aca="false">SUMIFS('Source 2026'!$I:$I,'Source 2026'!$B:$B,$A127,'Source 2026'!$A:$A,"Quantity (units)")</f>
        <v>143</v>
      </c>
      <c r="E127" s="9" t="n">
        <f aca="false">D127*$J$5</f>
        <v>180.631578947368</v>
      </c>
      <c r="F127" s="9" t="n">
        <f aca="false">E127-C127</f>
        <v>-72.3684210526316</v>
      </c>
      <c r="G127" s="11" t="n">
        <f aca="false">IF(AND(C127=0,E127=0),0,IF(C127=0,"New",(E127-C127)/C127))</f>
        <v>-0.28604118993135</v>
      </c>
      <c r="H127" s="9" t="n">
        <f aca="false">SUMIFS('Source 2025'!$I:$I,'Source 2025'!$B:$B,$A127,'Source 2025'!$A:$A,"Amount (NIS)")</f>
        <v>5080.7</v>
      </c>
      <c r="I127" s="9" t="n">
        <f aca="false">SUMIFS('Source 2026'!$I:$I,'Source 2026'!$B:$B,$A127,'Source 2026'!$A:$A,"Amount (NIS)")</f>
        <v>2862.2</v>
      </c>
      <c r="J127" s="9" t="n">
        <f aca="false">I127*$J$5</f>
        <v>3615.41052631579</v>
      </c>
      <c r="K127" s="9" t="n">
        <f aca="false">J127-H127</f>
        <v>-1465.28947368421</v>
      </c>
      <c r="L127" s="11" t="n">
        <f aca="false">IF(AND(H127=0,J127=0),0,IF(H127=0,"New",(J127-H127)/H127))</f>
        <v>-0.288403069199955</v>
      </c>
    </row>
    <row r="128" customFormat="false" ht="15" hidden="false" customHeight="true" outlineLevel="0" collapsed="false">
      <c r="A128" s="8" t="s">
        <v>227</v>
      </c>
      <c r="B128" s="8" t="str">
        <f aca="false">IFERROR(INDEX('Source 2026'!$C:$C,MATCH($A128,'Source 2026'!$B:$B,0)),IFERROR(INDEX('Source 2025'!$C:$C,MATCH($A128,'Source 2025'!$B:$B,0)),""))</f>
        <v>להסרת עור קשה</v>
      </c>
      <c r="C128" s="9" t="n">
        <f aca="false">SUMIFS('Source 2025'!$I:$I,'Source 2025'!$B:$B,$A128,'Source 2025'!$A:$A,"Quantity (units)")</f>
        <v>179</v>
      </c>
      <c r="D128" s="9" t="n">
        <f aca="false">SUMIFS('Source 2026'!$I:$I,'Source 2026'!$B:$B,$A128,'Source 2026'!$A:$A,"Quantity (units)")</f>
        <v>96</v>
      </c>
      <c r="E128" s="9" t="n">
        <f aca="false">D128*$J$5</f>
        <v>121.263157894737</v>
      </c>
      <c r="F128" s="9" t="n">
        <f aca="false">E128-C128</f>
        <v>-57.7368421052632</v>
      </c>
      <c r="G128" s="11" t="n">
        <f aca="false">IF(AND(C128=0,E128=0),0,IF(C128=0,"New",(E128-C128)/C128))</f>
        <v>-0.322552190532196</v>
      </c>
      <c r="H128" s="9" t="n">
        <f aca="false">SUMIFS('Source 2025'!$I:$I,'Source 2025'!$B:$B,$A128,'Source 2025'!$A:$A,"Amount (NIS)")</f>
        <v>4648.5</v>
      </c>
      <c r="I128" s="9" t="n">
        <f aca="false">SUMIFS('Source 2026'!$I:$I,'Source 2026'!$B:$B,$A128,'Source 2026'!$A:$A,"Amount (NIS)")</f>
        <v>2465</v>
      </c>
      <c r="J128" s="9" t="n">
        <f aca="false">I128*$J$5</f>
        <v>3113.68421052632</v>
      </c>
      <c r="K128" s="9" t="n">
        <f aca="false">J128-H128</f>
        <v>-1534.81578947368</v>
      </c>
      <c r="L128" s="11" t="n">
        <f aca="false">IF(AND(H128=0,J128=0),0,IF(H128=0,"New",(J128-H128)/H128))</f>
        <v>-0.330174419592059</v>
      </c>
    </row>
    <row r="129" customFormat="false" ht="15" hidden="false" customHeight="true" outlineLevel="0" collapsed="false">
      <c r="A129" s="8" t="s">
        <v>180</v>
      </c>
      <c r="B129" s="8" t="str">
        <f aca="false">IFERROR(INDEX('Source 2026'!$C:$C,MATCH($A129,'Source 2026'!$B:$B,0)),IFERROR(INDEX('Source 2025'!$C:$C,MATCH($A129,'Source 2025'!$B:$B,0)),""))</f>
        <v>להסרת עור קשה</v>
      </c>
      <c r="C129" s="9" t="n">
        <f aca="false">SUMIFS('Source 2025'!$I:$I,'Source 2025'!$B:$B,$A129,'Source 2025'!$A:$A,"Quantity (units)")</f>
        <v>200</v>
      </c>
      <c r="D129" s="9" t="n">
        <f aca="false">SUMIFS('Source 2026'!$I:$I,'Source 2026'!$B:$B,$A129,'Source 2026'!$A:$A,"Quantity (units)")</f>
        <v>101</v>
      </c>
      <c r="E129" s="9" t="n">
        <f aca="false">D129*$J$5</f>
        <v>127.578947368421</v>
      </c>
      <c r="F129" s="9" t="n">
        <f aca="false">E129-C129</f>
        <v>-72.421052631579</v>
      </c>
      <c r="G129" s="11" t="n">
        <f aca="false">IF(AND(C129=0,E129=0),0,IF(C129=0,"New",(E129-C129)/C129))</f>
        <v>-0.362105263157895</v>
      </c>
      <c r="H129" s="9" t="n">
        <f aca="false">SUMIFS('Source 2025'!$I:$I,'Source 2025'!$B:$B,$A129,'Source 2025'!$A:$A,"Amount (NIS)")</f>
        <v>4371.1</v>
      </c>
      <c r="I129" s="9" t="n">
        <f aca="false">SUMIFS('Source 2026'!$I:$I,'Source 2026'!$B:$B,$A129,'Source 2026'!$A:$A,"Amount (NIS)")</f>
        <v>2222.3</v>
      </c>
      <c r="J129" s="9" t="n">
        <f aca="false">I129*$J$5</f>
        <v>2807.11578947368</v>
      </c>
      <c r="K129" s="9" t="n">
        <f aca="false">J129-H129</f>
        <v>-1563.98421052632</v>
      </c>
      <c r="L129" s="11" t="n">
        <f aca="false">IF(AND(H129=0,J129=0),0,IF(H129=0,"New",(J129-H129)/H129))</f>
        <v>-0.35780105935035</v>
      </c>
    </row>
    <row r="130" customFormat="false" ht="15" hidden="false" customHeight="true" outlineLevel="0" collapsed="false">
      <c r="A130" s="8" t="s">
        <v>101</v>
      </c>
      <c r="B130" s="8" t="str">
        <f aca="false">IFERROR(INDEX('Source 2026'!$C:$C,MATCH($A130,'Source 2026'!$B:$B,0)),IFERROR(INDEX('Source 2025'!$C:$C,MATCH($A130,'Source 2025'!$B:$B,0)),""))</f>
        <v>תרסיס דאודורנט לכף הרגל</v>
      </c>
      <c r="C130" s="9" t="n">
        <f aca="false">SUMIFS('Source 2025'!$I:$I,'Source 2025'!$B:$B,$A130,'Source 2025'!$A:$A,"Quantity (units)")</f>
        <v>583</v>
      </c>
      <c r="D130" s="9" t="n">
        <f aca="false">SUMIFS('Source 2026'!$I:$I,'Source 2026'!$B:$B,$A130,'Source 2026'!$A:$A,"Quantity (units)")</f>
        <v>536</v>
      </c>
      <c r="E130" s="9" t="n">
        <f aca="false">D130*$J$5</f>
        <v>677.052631578947</v>
      </c>
      <c r="F130" s="9" t="n">
        <f aca="false">E130-C130</f>
        <v>94.0526315789473</v>
      </c>
      <c r="G130" s="11" t="n">
        <f aca="false">IF(AND(C130=0,E130=0),0,IF(C130=0,"New",(E130-C130)/C130))</f>
        <v>0.161325268574524</v>
      </c>
      <c r="H130" s="9" t="n">
        <f aca="false">SUMIFS('Source 2025'!$I:$I,'Source 2025'!$B:$B,$A130,'Source 2025'!$A:$A,"Amount (NIS)")</f>
        <v>12662</v>
      </c>
      <c r="I130" s="9" t="n">
        <f aca="false">SUMIFS('Source 2026'!$I:$I,'Source 2026'!$B:$B,$A130,'Source 2026'!$A:$A,"Amount (NIS)")</f>
        <v>10680.7</v>
      </c>
      <c r="J130" s="9" t="n">
        <f aca="false">I130*$J$5</f>
        <v>13491.4105263158</v>
      </c>
      <c r="K130" s="9" t="n">
        <f aca="false">J130-H130</f>
        <v>829.410526315789</v>
      </c>
      <c r="L130" s="11" t="n">
        <f aca="false">IF(AND(H130=0,J130=0),0,IF(H130=0,"New",(J130-H130)/H130))</f>
        <v>0.0655039114133462</v>
      </c>
    </row>
    <row r="131" customFormat="false" ht="15" hidden="false" customHeight="true" outlineLevel="0" collapsed="false">
      <c r="A131" s="8" t="s">
        <v>234</v>
      </c>
      <c r="B131" s="8" t="str">
        <f aca="false">IFERROR(INDEX('Source 2026'!$C:$C,MATCH($A131,'Source 2026'!$B:$B,0)),IFERROR(INDEX('Source 2025'!$C:$C,MATCH($A131,'Source 2025'!$B:$B,0)),""))</f>
        <v>S  חגורת גב פוג'יאמה</v>
      </c>
      <c r="C131" s="9" t="n">
        <f aca="false">SUMIFS('Source 2025'!$I:$I,'Source 2025'!$B:$B,$A131,'Source 2025'!$A:$A,"Quantity (units)")</f>
        <v>40</v>
      </c>
      <c r="D131" s="9" t="n">
        <f aca="false">SUMIFS('Source 2026'!$I:$I,'Source 2026'!$B:$B,$A131,'Source 2026'!$A:$A,"Quantity (units)")</f>
        <v>16</v>
      </c>
      <c r="E131" s="9" t="n">
        <f aca="false">D131*$J$5</f>
        <v>20.2105263157895</v>
      </c>
      <c r="F131" s="9" t="n">
        <f aca="false">E131-C131</f>
        <v>-19.7894736842105</v>
      </c>
      <c r="G131" s="11" t="n">
        <f aca="false">IF(AND(C131=0,E131=0),0,IF(C131=0,"New",(E131-C131)/C131))</f>
        <v>-0.494736842105263</v>
      </c>
      <c r="H131" s="9" t="n">
        <f aca="false">SUMIFS('Source 2025'!$I:$I,'Source 2025'!$B:$B,$A131,'Source 2025'!$A:$A,"Amount (NIS)")</f>
        <v>3331.1</v>
      </c>
      <c r="I131" s="9" t="n">
        <f aca="false">SUMIFS('Source 2026'!$I:$I,'Source 2026'!$B:$B,$A131,'Source 2026'!$A:$A,"Amount (NIS)")</f>
        <v>1352.7</v>
      </c>
      <c r="J131" s="9" t="n">
        <f aca="false">I131*$J$5</f>
        <v>1708.67368421053</v>
      </c>
      <c r="K131" s="9" t="n">
        <f aca="false">J131-H131</f>
        <v>-1622.42631578947</v>
      </c>
      <c r="L131" s="11" t="n">
        <f aca="false">IF(AND(H131=0,J131=0),0,IF(H131=0,"New",(J131-H131)/H131))</f>
        <v>-0.487054221064956</v>
      </c>
    </row>
    <row r="132" customFormat="false" ht="15" hidden="false" customHeight="true" outlineLevel="0" collapsed="false">
      <c r="A132" s="8" t="s">
        <v>232</v>
      </c>
      <c r="B132" s="8" t="str">
        <f aca="false">IFERROR(INDEX('Source 2026'!$C:$C,MATCH($A132,'Source 2026'!$B:$B,0)),IFERROR(INDEX('Source 2025'!$C:$C,MATCH($A132,'Source 2025'!$B:$B,0)),""))</f>
        <v>0 חגורה למנותחי בית חזה</v>
      </c>
      <c r="C132" s="9" t="n">
        <f aca="false">SUMIFS('Source 2025'!$I:$I,'Source 2025'!$B:$B,$A132,'Source 2025'!$A:$A,"Quantity (units)")</f>
        <v>2</v>
      </c>
      <c r="D132" s="9" t="n">
        <f aca="false">SUMIFS('Source 2026'!$I:$I,'Source 2026'!$B:$B,$A132,'Source 2026'!$A:$A,"Quantity (units)")</f>
        <v>13</v>
      </c>
      <c r="E132" s="9" t="n">
        <f aca="false">D132*$J$5</f>
        <v>16.4210526315789</v>
      </c>
      <c r="F132" s="9" t="n">
        <f aca="false">E132-C132</f>
        <v>14.4210526315789</v>
      </c>
      <c r="G132" s="11" t="n">
        <f aca="false">IF(AND(C132=0,E132=0),0,IF(C132=0,"New",(E132-C132)/C132))</f>
        <v>7.21052631578947</v>
      </c>
      <c r="H132" s="9" t="n">
        <f aca="false">SUMIFS('Source 2025'!$I:$I,'Source 2025'!$B:$B,$A132,'Source 2025'!$A:$A,"Amount (NIS)")</f>
        <v>442.1</v>
      </c>
      <c r="I132" s="9" t="n">
        <f aca="false">SUMIFS('Source 2026'!$I:$I,'Source 2026'!$B:$B,$A132,'Source 2026'!$A:$A,"Amount (NIS)")</f>
        <v>2399.3</v>
      </c>
      <c r="J132" s="9" t="n">
        <f aca="false">I132*$J$5</f>
        <v>3030.69473684211</v>
      </c>
      <c r="K132" s="9" t="n">
        <f aca="false">J132-H132</f>
        <v>2588.59473684211</v>
      </c>
      <c r="L132" s="11" t="n">
        <f aca="false">IF(AND(H132=0,J132=0),0,IF(H132=0,"New",(J132-H132)/H132))</f>
        <v>5.85522446695794</v>
      </c>
    </row>
    <row r="133" customFormat="false" ht="15" hidden="false" customHeight="true" outlineLevel="0" collapsed="false">
      <c r="A133" s="8" t="s">
        <v>213</v>
      </c>
      <c r="B133" s="8" t="str">
        <f aca="false">IFERROR(INDEX('Source 2026'!$C:$C,MATCH($A133,'Source 2026'!$B:$B,0)),IFERROR(INDEX('Source 2025'!$C:$C,MATCH($A133,'Source 2025'!$B:$B,0)),""))</f>
        <v>לגבס קצר יד</v>
      </c>
      <c r="C133" s="9" t="n">
        <f aca="false">SUMIFS('Source 2025'!$I:$I,'Source 2025'!$B:$B,$A133,'Source 2025'!$A:$A,"Quantity (units)")</f>
        <v>1526</v>
      </c>
      <c r="D133" s="9" t="n">
        <f aca="false">SUMIFS('Source 2026'!$I:$I,'Source 2026'!$B:$B,$A133,'Source 2026'!$A:$A,"Quantity (units)")</f>
        <v>1595</v>
      </c>
      <c r="E133" s="9" t="n">
        <f aca="false">D133*$J$5</f>
        <v>2014.73684210526</v>
      </c>
      <c r="F133" s="9" t="n">
        <f aca="false">E133-C133</f>
        <v>488.736842105263</v>
      </c>
      <c r="G133" s="11" t="n">
        <f aca="false">IF(AND(C133=0,E133=0),0,IF(C133=0,"New",(E133-C133)/C133))</f>
        <v>0.32027315996413</v>
      </c>
      <c r="H133" s="9" t="n">
        <f aca="false">SUMIFS('Source 2025'!$I:$I,'Source 2025'!$B:$B,$A133,'Source 2025'!$A:$A,"Amount (NIS)")</f>
        <v>50607.4</v>
      </c>
      <c r="I133" s="9" t="n">
        <f aca="false">SUMIFS('Source 2026'!$I:$I,'Source 2026'!$B:$B,$A133,'Source 2026'!$A:$A,"Amount (NIS)")</f>
        <v>52502.9</v>
      </c>
      <c r="J133" s="9" t="n">
        <f aca="false">I133*$J$5</f>
        <v>66319.4526315789</v>
      </c>
      <c r="K133" s="9" t="n">
        <f aca="false">J133-H133</f>
        <v>15712.0526315789</v>
      </c>
      <c r="L133" s="11" t="n">
        <f aca="false">IF(AND(H133=0,J133=0),0,IF(H133=0,"New",(J133-H133)/H133))</f>
        <v>0.3104694695159</v>
      </c>
    </row>
    <row r="134" customFormat="false" ht="15" hidden="false" customHeight="true" outlineLevel="0" collapsed="false">
      <c r="A134" s="8" t="s">
        <v>130</v>
      </c>
      <c r="B134" s="8" t="str">
        <f aca="false">IFERROR(INDEX('Source 2026'!$C:$C,MATCH($A134,'Source 2026'!$B:$B,0)),IFERROR(INDEX('Source 2025'!$C:$C,MATCH($A134,'Source 2025'!$B:$B,0)),""))</f>
        <v>Lמפר.אצבע סיליק. ליבל.זוג</v>
      </c>
      <c r="C134" s="9" t="n">
        <f aca="false">SUMIFS('Source 2025'!$I:$I,'Source 2025'!$B:$B,$A134,'Source 2025'!$A:$A,"Quantity (units)")</f>
        <v>686</v>
      </c>
      <c r="D134" s="9" t="n">
        <f aca="false">SUMIFS('Source 2026'!$I:$I,'Source 2026'!$B:$B,$A134,'Source 2026'!$A:$A,"Quantity (units)")</f>
        <v>545</v>
      </c>
      <c r="E134" s="9" t="n">
        <f aca="false">D134*$J$5</f>
        <v>688.421052631579</v>
      </c>
      <c r="F134" s="9" t="n">
        <f aca="false">E134-C134</f>
        <v>2.42105263157896</v>
      </c>
      <c r="G134" s="11" t="n">
        <f aca="false">IF(AND(C134=0,E134=0),0,IF(C134=0,"New",(E134-C134)/C134))</f>
        <v>0.00352923124136875</v>
      </c>
      <c r="H134" s="9" t="n">
        <f aca="false">SUMIFS('Source 2025'!$I:$I,'Source 2025'!$B:$B,$A134,'Source 2025'!$A:$A,"Amount (NIS)")</f>
        <v>9256.5</v>
      </c>
      <c r="I134" s="9" t="n">
        <f aca="false">SUMIFS('Source 2026'!$I:$I,'Source 2026'!$B:$B,$A134,'Source 2026'!$A:$A,"Amount (NIS)")</f>
        <v>7409.3</v>
      </c>
      <c r="J134" s="9" t="n">
        <f aca="false">I134*$J$5</f>
        <v>9359.11578947368</v>
      </c>
      <c r="K134" s="9" t="n">
        <f aca="false">J134-H134</f>
        <v>102.615789473684</v>
      </c>
      <c r="L134" s="11" t="n">
        <f aca="false">IF(AND(H134=0,J134=0),0,IF(H134=0,"New",(J134-H134)/H134))</f>
        <v>0.0110858088341905</v>
      </c>
    </row>
    <row r="135" customFormat="false" ht="15" hidden="false" customHeight="true" outlineLevel="0" collapsed="false">
      <c r="A135" s="8" t="s">
        <v>137</v>
      </c>
      <c r="B135" s="8" t="str">
        <f aca="false">IFERROR(INDEX('Source 2026'!$C:$C,MATCH($A135,'Source 2026'!$B:$B,0)),IFERROR(INDEX('Source 2025'!$C:$C,MATCH($A135,'Source 2025'!$B:$B,0)),""))</f>
        <v>S ח.בטן לאחר ניתוח</v>
      </c>
      <c r="C135" s="9" t="n">
        <f aca="false">SUMIFS('Source 2025'!$I:$I,'Source 2025'!$B:$B,$A135,'Source 2025'!$A:$A,"Quantity (units)")</f>
        <v>84</v>
      </c>
      <c r="D135" s="9" t="n">
        <f aca="false">SUMIFS('Source 2026'!$I:$I,'Source 2026'!$B:$B,$A135,'Source 2026'!$A:$A,"Quantity (units)")</f>
        <v>103</v>
      </c>
      <c r="E135" s="9" t="n">
        <f aca="false">D135*$J$5</f>
        <v>130.105263157895</v>
      </c>
      <c r="F135" s="9" t="n">
        <f aca="false">E135-C135</f>
        <v>46.1052631578947</v>
      </c>
      <c r="G135" s="11" t="n">
        <f aca="false">IF(AND(C135=0,E135=0),0,IF(C135=0,"New",(E135-C135)/C135))</f>
        <v>0.548872180451128</v>
      </c>
      <c r="H135" s="9" t="n">
        <f aca="false">SUMIFS('Source 2025'!$I:$I,'Source 2025'!$B:$B,$A135,'Source 2025'!$A:$A,"Amount (NIS)")</f>
        <v>7998.2</v>
      </c>
      <c r="I135" s="9" t="n">
        <f aca="false">SUMIFS('Source 2026'!$I:$I,'Source 2026'!$B:$B,$A135,'Source 2026'!$A:$A,"Amount (NIS)")</f>
        <v>9818.5</v>
      </c>
      <c r="J135" s="9" t="n">
        <f aca="false">I135*$J$5</f>
        <v>12402.3157894737</v>
      </c>
      <c r="K135" s="9" t="n">
        <f aca="false">J135-H135</f>
        <v>4404.11578947368</v>
      </c>
      <c r="L135" s="11" t="n">
        <f aca="false">IF(AND(H135=0,J135=0),0,IF(H135=0,"New",(J135-H135)/H135))</f>
        <v>0.550638367316857</v>
      </c>
    </row>
    <row r="136" customFormat="false" ht="15" hidden="false" customHeight="true" outlineLevel="0" collapsed="false">
      <c r="A136" s="8" t="s">
        <v>252</v>
      </c>
      <c r="B136" s="8" t="str">
        <f aca="false">IFERROR(INDEX('Source 2026'!$C:$C,MATCH($A136,'Source 2026'!$B:$B,0)),IFERROR(INDEX('Source 2025'!$C:$C,MATCH($A136,'Source 2025'!$B:$B,0)),""))</f>
        <v>כפפות לחץ</v>
      </c>
      <c r="C136" s="9" t="n">
        <f aca="false">SUMIFS('Source 2025'!$I:$I,'Source 2025'!$B:$B,$A136,'Source 2025'!$A:$A,"Quantity (units)")</f>
        <v>180</v>
      </c>
      <c r="D136" s="9" t="n">
        <f aca="false">SUMIFS('Source 2026'!$I:$I,'Source 2026'!$B:$B,$A136,'Source 2026'!$A:$A,"Quantity (units)")</f>
        <v>113</v>
      </c>
      <c r="E136" s="9" t="n">
        <f aca="false">D136*$J$5</f>
        <v>142.736842105263</v>
      </c>
      <c r="F136" s="9" t="n">
        <f aca="false">E136-C136</f>
        <v>-37.2631578947369</v>
      </c>
      <c r="G136" s="11" t="n">
        <f aca="false">IF(AND(C136=0,E136=0),0,IF(C136=0,"New",(E136-C136)/C136))</f>
        <v>-0.207017543859649</v>
      </c>
      <c r="H136" s="9" t="n">
        <f aca="false">SUMIFS('Source 2025'!$I:$I,'Source 2025'!$B:$B,$A136,'Source 2025'!$A:$A,"Amount (NIS)")</f>
        <v>5113.7</v>
      </c>
      <c r="I136" s="9" t="n">
        <f aca="false">SUMIFS('Source 2026'!$I:$I,'Source 2026'!$B:$B,$A136,'Source 2026'!$A:$A,"Amount (NIS)")</f>
        <v>3300.4</v>
      </c>
      <c r="J136" s="9" t="n">
        <f aca="false">I136*$J$5</f>
        <v>4168.92631578947</v>
      </c>
      <c r="K136" s="9" t="n">
        <f aca="false">J136-H136</f>
        <v>-944.773684210526</v>
      </c>
      <c r="L136" s="11" t="n">
        <f aca="false">IF(AND(H136=0,J136=0),0,IF(H136=0,"New",(J136-H136)/H136))</f>
        <v>-0.184753443536094</v>
      </c>
    </row>
    <row r="137" customFormat="false" ht="15" hidden="false" customHeight="true" outlineLevel="0" collapsed="false">
      <c r="A137" s="8" t="s">
        <v>205</v>
      </c>
      <c r="B137" s="8" t="str">
        <f aca="false">IFERROR(INDEX('Source 2026'!$C:$C,MATCH($A137,'Source 2026'!$B:$B,0)),IFERROR(INDEX('Source 2025'!$C:$C,MATCH($A137,'Source 2025'!$B:$B,0)),""))</f>
        <v>Sמ.ברך מוצלב+ספירלות בצדדים</v>
      </c>
      <c r="C137" s="9" t="n">
        <f aca="false">SUMIFS('Source 2025'!$I:$I,'Source 2025'!$B:$B,$A137,'Source 2025'!$A:$A,"Quantity (units)")</f>
        <v>25</v>
      </c>
      <c r="D137" s="9" t="n">
        <f aca="false">SUMIFS('Source 2026'!$I:$I,'Source 2026'!$B:$B,$A137,'Source 2026'!$A:$A,"Quantity (units)")</f>
        <v>10</v>
      </c>
      <c r="E137" s="9" t="n">
        <f aca="false">D137*$J$5</f>
        <v>12.6315789473684</v>
      </c>
      <c r="F137" s="9" t="n">
        <f aca="false">E137-C137</f>
        <v>-12.3684210526316</v>
      </c>
      <c r="G137" s="11" t="n">
        <f aca="false">IF(AND(C137=0,E137=0),0,IF(C137=0,"New",(E137-C137)/C137))</f>
        <v>-0.494736842105263</v>
      </c>
      <c r="H137" s="9" t="n">
        <f aca="false">SUMIFS('Source 2025'!$I:$I,'Source 2025'!$B:$B,$A137,'Source 2025'!$A:$A,"Amount (NIS)")</f>
        <v>2809.4</v>
      </c>
      <c r="I137" s="9" t="n">
        <f aca="false">SUMIFS('Source 2026'!$I:$I,'Source 2026'!$B:$B,$A137,'Source 2026'!$A:$A,"Amount (NIS)")</f>
        <v>1017.3</v>
      </c>
      <c r="J137" s="9" t="n">
        <f aca="false">I137*$J$5</f>
        <v>1285.01052631579</v>
      </c>
      <c r="K137" s="9" t="n">
        <f aca="false">J137-H137</f>
        <v>-1524.38947368421</v>
      </c>
      <c r="L137" s="11" t="n">
        <f aca="false">IF(AND(H137=0,J137=0),0,IF(H137=0,"New",(J137-H137)/H137))</f>
        <v>-0.542603215520827</v>
      </c>
    </row>
    <row r="138" customFormat="false" ht="15" hidden="false" customHeight="true" outlineLevel="0" collapsed="false">
      <c r="A138" s="8" t="s">
        <v>244</v>
      </c>
      <c r="B138" s="8" t="str">
        <f aca="false">IFERROR(INDEX('Source 2026'!$C:$C,MATCH($A138,'Source 2026'!$B:$B,0)),IFERROR(INDEX('Source 2025'!$C:$C,MATCH($A138,'Source 2025'!$B:$B,0)),""))</f>
        <v>0 כרית חום וקור</v>
      </c>
      <c r="C138" s="9" t="n">
        <f aca="false">SUMIFS('Source 2025'!$I:$I,'Source 2025'!$B:$B,$A138,'Source 2025'!$A:$A,"Quantity (units)")</f>
        <v>21</v>
      </c>
      <c r="D138" s="9" t="n">
        <f aca="false">SUMIFS('Source 2026'!$I:$I,'Source 2026'!$B:$B,$A138,'Source 2026'!$A:$A,"Quantity (units)")</f>
        <v>67</v>
      </c>
      <c r="E138" s="9" t="n">
        <f aca="false">D138*$J$5</f>
        <v>84.6315789473684</v>
      </c>
      <c r="F138" s="9" t="n">
        <f aca="false">E138-C138</f>
        <v>63.6315789473684</v>
      </c>
      <c r="G138" s="11" t="n">
        <f aca="false">IF(AND(C138=0,E138=0),0,IF(C138=0,"New",(E138-C138)/C138))</f>
        <v>3.03007518796992</v>
      </c>
      <c r="H138" s="9" t="n">
        <f aca="false">SUMIFS('Source 2025'!$I:$I,'Source 2025'!$B:$B,$A138,'Source 2025'!$A:$A,"Amount (NIS)")</f>
        <v>826.4</v>
      </c>
      <c r="I138" s="9" t="n">
        <f aca="false">SUMIFS('Source 2026'!$I:$I,'Source 2026'!$B:$B,$A138,'Source 2026'!$A:$A,"Amount (NIS)")</f>
        <v>2616.2</v>
      </c>
      <c r="J138" s="9" t="n">
        <f aca="false">I138*$J$5</f>
        <v>3304.67368421053</v>
      </c>
      <c r="K138" s="9" t="n">
        <f aca="false">J138-H138</f>
        <v>2478.27368421053</v>
      </c>
      <c r="L138" s="11" t="n">
        <f aca="false">IF(AND(H138=0,J138=0),0,IF(H138=0,"New",(J138-H138)/H138))</f>
        <v>2.99887909512406</v>
      </c>
    </row>
    <row r="139" customFormat="false" ht="15" hidden="false" customHeight="true" outlineLevel="0" collapsed="false">
      <c r="A139" s="8" t="s">
        <v>343</v>
      </c>
      <c r="B139" s="8" t="str">
        <f aca="false">IFERROR(INDEX('Source 2026'!$C:$C,MATCH($A139,'Source 2026'!$B:$B,0)),IFERROR(INDEX('Source 2025'!$C:$C,MATCH($A139,'Source 2025'!$B:$B,0)),""))</f>
        <v>תחבושת אלסטית מקררת</v>
      </c>
      <c r="C139" s="9" t="n">
        <f aca="false">SUMIFS('Source 2025'!$I:$I,'Source 2025'!$B:$B,$A139,'Source 2025'!$A:$A,"Quantity (units)")</f>
        <v>425</v>
      </c>
      <c r="D139" s="9" t="n">
        <f aca="false">SUMIFS('Source 2026'!$I:$I,'Source 2026'!$B:$B,$A139,'Source 2026'!$A:$A,"Quantity (units)")</f>
        <v>527</v>
      </c>
      <c r="E139" s="9" t="n">
        <f aca="false">D139*$J$5</f>
        <v>665.684210526316</v>
      </c>
      <c r="F139" s="9" t="n">
        <f aca="false">E139-C139</f>
        <v>240.684210526316</v>
      </c>
      <c r="G139" s="11" t="n">
        <f aca="false">IF(AND(C139=0,E139=0),0,IF(C139=0,"New",(E139-C139)/C139))</f>
        <v>0.566315789473684</v>
      </c>
      <c r="H139" s="9" t="n">
        <f aca="false">SUMIFS('Source 2025'!$I:$I,'Source 2025'!$B:$B,$A139,'Source 2025'!$A:$A,"Amount (NIS)")</f>
        <v>7074</v>
      </c>
      <c r="I139" s="9" t="n">
        <f aca="false">SUMIFS('Source 2026'!$I:$I,'Source 2026'!$B:$B,$A139,'Source 2026'!$A:$A,"Amount (NIS)")</f>
        <v>8847.9</v>
      </c>
      <c r="J139" s="9" t="n">
        <f aca="false">I139*$J$5</f>
        <v>11176.2947368421</v>
      </c>
      <c r="K139" s="9" t="n">
        <f aca="false">J139-H139</f>
        <v>4102.29473684211</v>
      </c>
      <c r="L139" s="11" t="n">
        <f aca="false">IF(AND(H139=0,J139=0),0,IF(H139=0,"New",(J139-H139)/H139))</f>
        <v>0.579911611088791</v>
      </c>
    </row>
    <row r="140" customFormat="false" ht="15" hidden="false" customHeight="true" outlineLevel="0" collapsed="false">
      <c r="A140" s="8" t="s">
        <v>269</v>
      </c>
      <c r="B140" s="8" t="str">
        <f aca="false">IFERROR(INDEX('Source 2026'!$C:$C,MATCH($A140,'Source 2026'!$B:$B,0)),IFERROR(INDEX('Source 2025'!$C:$C,MATCH($A140,'Source 2025'!$B:$B,0)),""))</f>
        <v>טייפ חבישה לספורט</v>
      </c>
      <c r="C140" s="9" t="n">
        <f aca="false">SUMIFS('Source 2025'!$I:$I,'Source 2025'!$B:$B,$A140,'Source 2025'!$A:$A,"Quantity (units)")</f>
        <v>282</v>
      </c>
      <c r="D140" s="9" t="n">
        <f aca="false">SUMIFS('Source 2026'!$I:$I,'Source 2026'!$B:$B,$A140,'Source 2026'!$A:$A,"Quantity (units)")</f>
        <v>168</v>
      </c>
      <c r="E140" s="9" t="n">
        <f aca="false">D140*$J$5</f>
        <v>212.210526315789</v>
      </c>
      <c r="F140" s="9" t="n">
        <f aca="false">E140-C140</f>
        <v>-69.7894736842106</v>
      </c>
      <c r="G140" s="11" t="n">
        <f aca="false">IF(AND(C140=0,E140=0),0,IF(C140=0,"New",(E140-C140)/C140))</f>
        <v>-0.247480403135498</v>
      </c>
      <c r="H140" s="9" t="n">
        <f aca="false">SUMIFS('Source 2025'!$I:$I,'Source 2025'!$B:$B,$A140,'Source 2025'!$A:$A,"Amount (NIS)")</f>
        <v>4342.8</v>
      </c>
      <c r="I140" s="9" t="n">
        <f aca="false">SUMIFS('Source 2026'!$I:$I,'Source 2026'!$B:$B,$A140,'Source 2026'!$A:$A,"Amount (NIS)")</f>
        <v>2587.2</v>
      </c>
      <c r="J140" s="9" t="n">
        <f aca="false">I140*$J$5</f>
        <v>3268.04210526316</v>
      </c>
      <c r="K140" s="9" t="n">
        <f aca="false">J140-H140</f>
        <v>-1074.75789473684</v>
      </c>
      <c r="L140" s="11" t="n">
        <f aca="false">IF(AND(H140=0,J140=0),0,IF(H140=0,"New",(J140-H140)/H140))</f>
        <v>-0.247480403135499</v>
      </c>
    </row>
    <row r="141" customFormat="false" ht="15" hidden="false" customHeight="true" outlineLevel="0" collapsed="false">
      <c r="A141" s="8" t="s">
        <v>154</v>
      </c>
      <c r="B141" s="8" t="str">
        <f aca="false">IFERROR(INDEX('Source 2026'!$C:$C,MATCH($A141,'Source 2026'!$B:$B,0)),IFERROR(INDEX('Source 2025'!$C:$C,MATCH($A141,'Source 2025'!$B:$B,0)),""))</f>
        <v>מגן ברך + צירים</v>
      </c>
      <c r="C141" s="9" t="n">
        <f aca="false">SUMIFS('Source 2025'!$I:$I,'Source 2025'!$B:$B,$A141,'Source 2025'!$A:$A,"Quantity (units)")</f>
        <v>3</v>
      </c>
      <c r="D141" s="9" t="n">
        <f aca="false">SUMIFS('Source 2026'!$I:$I,'Source 2026'!$B:$B,$A141,'Source 2026'!$A:$A,"Quantity (units)")</f>
        <v>22</v>
      </c>
      <c r="E141" s="9" t="n">
        <f aca="false">D141*$J$5</f>
        <v>27.7894736842105</v>
      </c>
      <c r="F141" s="9" t="n">
        <f aca="false">E141-C141</f>
        <v>24.7894736842105</v>
      </c>
      <c r="G141" s="11" t="n">
        <f aca="false">IF(AND(C141=0,E141=0),0,IF(C141=0,"New",(E141-C141)/C141))</f>
        <v>8.26315789473684</v>
      </c>
      <c r="H141" s="9" t="n">
        <f aca="false">SUMIFS('Source 2025'!$I:$I,'Source 2025'!$B:$B,$A141,'Source 2025'!$A:$A,"Amount (NIS)")</f>
        <v>270.4</v>
      </c>
      <c r="I141" s="9" t="n">
        <f aca="false">SUMIFS('Source 2026'!$I:$I,'Source 2026'!$B:$B,$A141,'Source 2026'!$A:$A,"Amount (NIS)")</f>
        <v>1982.6</v>
      </c>
      <c r="J141" s="9" t="n">
        <f aca="false">I141*$J$5</f>
        <v>2504.33684210526</v>
      </c>
      <c r="K141" s="9" t="n">
        <f aca="false">J141-H141</f>
        <v>2233.93684210526</v>
      </c>
      <c r="L141" s="11" t="n">
        <f aca="false">IF(AND(H141=0,J141=0),0,IF(H141=0,"New",(J141-H141)/H141))</f>
        <v>8.26160074743071</v>
      </c>
    </row>
    <row r="142" customFormat="false" ht="15" hidden="false" customHeight="true" outlineLevel="0" collapsed="false">
      <c r="A142" s="8" t="s">
        <v>279</v>
      </c>
      <c r="B142" s="8" t="str">
        <f aca="false">IFERROR(INDEX('Source 2026'!$C:$C,MATCH($A142,'Source 2026'!$B:$B,0)),IFERROR(INDEX('Source 2025'!$C:$C,MATCH($A142,'Source 2025'!$B:$B,0)),""))</f>
        <v>L מגן ברך מוצלב+מוט</v>
      </c>
      <c r="C142" s="9" t="n">
        <f aca="false">SUMIFS('Source 2025'!$I:$I,'Source 2025'!$B:$B,$A142,'Source 2025'!$A:$A,"Quantity (units)")</f>
        <v>8</v>
      </c>
      <c r="D142" s="9" t="n">
        <f aca="false">SUMIFS('Source 2026'!$I:$I,'Source 2026'!$B:$B,$A142,'Source 2026'!$A:$A,"Quantity (units)")</f>
        <v>-5</v>
      </c>
      <c r="E142" s="9" t="n">
        <f aca="false">D142*$J$5</f>
        <v>-6.31578947368421</v>
      </c>
      <c r="F142" s="9" t="n">
        <f aca="false">E142-C142</f>
        <v>-14.3157894736842</v>
      </c>
      <c r="G142" s="11" t="n">
        <f aca="false">IF(AND(C142=0,E142=0),0,IF(C142=0,"New",(E142-C142)/C142))</f>
        <v>-1.78947368421053</v>
      </c>
      <c r="H142" s="9" t="n">
        <f aca="false">SUMIFS('Source 2025'!$I:$I,'Source 2025'!$B:$B,$A142,'Source 2025'!$A:$A,"Amount (NIS)")</f>
        <v>1014.7</v>
      </c>
      <c r="I142" s="9" t="n">
        <f aca="false">SUMIFS('Source 2026'!$I:$I,'Source 2026'!$B:$B,$A142,'Source 2026'!$A:$A,"Amount (NIS)")</f>
        <v>-670.5</v>
      </c>
      <c r="J142" s="9" t="n">
        <f aca="false">I142*$J$5</f>
        <v>-846.947368421053</v>
      </c>
      <c r="K142" s="9" t="n">
        <f aca="false">J142-H142</f>
        <v>-1861.64736842105</v>
      </c>
      <c r="L142" s="11" t="n">
        <f aca="false">IF(AND(H142=0,J142=0),0,IF(H142=0,"New",(J142-H142)/H142))</f>
        <v>-1.83467760758949</v>
      </c>
    </row>
    <row r="143" customFormat="false" ht="15" hidden="false" customHeight="true" outlineLevel="0" collapsed="false">
      <c r="A143" s="8" t="s">
        <v>206</v>
      </c>
      <c r="B143" s="8" t="str">
        <f aca="false">IFERROR(INDEX('Source 2026'!$C:$C,MATCH($A143,'Source 2026'!$B:$B,0)),IFERROR(INDEX('Source 2025'!$C:$C,MATCH($A143,'Source 2025'!$B:$B,0)),""))</f>
        <v>XLמפריד אצבע סיליקון ליבלת</v>
      </c>
      <c r="C143" s="9" t="n">
        <f aca="false">SUMIFS('Source 2025'!$I:$I,'Source 2025'!$B:$B,$A143,'Source 2025'!$A:$A,"Quantity (units)")</f>
        <v>344</v>
      </c>
      <c r="D143" s="9" t="n">
        <f aca="false">SUMIFS('Source 2026'!$I:$I,'Source 2026'!$B:$B,$A143,'Source 2026'!$A:$A,"Quantity (units)")</f>
        <v>221</v>
      </c>
      <c r="E143" s="9" t="n">
        <f aca="false">D143*$J$5</f>
        <v>279.157894736842</v>
      </c>
      <c r="F143" s="9" t="n">
        <f aca="false">E143-C143</f>
        <v>-64.8421052631579</v>
      </c>
      <c r="G143" s="11" t="n">
        <f aca="false">IF(AND(C143=0,E143=0),0,IF(C143=0,"New",(E143-C143)/C143))</f>
        <v>-0.188494492044064</v>
      </c>
      <c r="H143" s="9" t="n">
        <f aca="false">SUMIFS('Source 2025'!$I:$I,'Source 2025'!$B:$B,$A143,'Source 2025'!$A:$A,"Amount (NIS)")</f>
        <v>4647.4</v>
      </c>
      <c r="I143" s="9" t="n">
        <f aca="false">SUMIFS('Source 2026'!$I:$I,'Source 2026'!$B:$B,$A143,'Source 2026'!$A:$A,"Amount (NIS)")</f>
        <v>3005.5</v>
      </c>
      <c r="J143" s="9" t="n">
        <f aca="false">I143*$J$5</f>
        <v>3796.42105263158</v>
      </c>
      <c r="K143" s="9" t="n">
        <f aca="false">J143-H143</f>
        <v>-850.978947368421</v>
      </c>
      <c r="L143" s="11" t="n">
        <f aca="false">IF(AND(H143=0,J143=0),0,IF(H143=0,"New",(J143-H143)/H143))</f>
        <v>-0.183108608548526</v>
      </c>
    </row>
    <row r="144" customFormat="false" ht="15" hidden="false" customHeight="true" outlineLevel="0" collapsed="false">
      <c r="A144" s="8" t="s">
        <v>184</v>
      </c>
      <c r="B144" s="8" t="str">
        <f aca="false">IFERROR(INDEX('Source 2026'!$C:$C,MATCH($A144,'Source 2026'!$B:$B,0)),IFERROR(INDEX('Source 2025'!$C:$C,MATCH($A144,'Source 2025'!$B:$B,0)),""))</f>
        <v>S ח.גב סג. כפולה שחור+אדום</v>
      </c>
      <c r="C144" s="9" t="n">
        <f aca="false">SUMIFS('Source 2025'!$I:$I,'Source 2025'!$B:$B,$A144,'Source 2025'!$A:$A,"Quantity (units)")</f>
        <v>-2</v>
      </c>
      <c r="D144" s="9" t="n">
        <f aca="false">SUMIFS('Source 2026'!$I:$I,'Source 2026'!$B:$B,$A144,'Source 2026'!$A:$A,"Quantity (units)")</f>
        <v>-18</v>
      </c>
      <c r="E144" s="9" t="n">
        <f aca="false">D144*$J$5</f>
        <v>-22.7368421052632</v>
      </c>
      <c r="F144" s="9" t="n">
        <f aca="false">E144-C144</f>
        <v>-20.7368421052632</v>
      </c>
      <c r="G144" s="11" t="n">
        <f aca="false">IF(AND(C144=0,E144=0),0,IF(C144=0,"New",(E144-C144)/C144))</f>
        <v>10.3684210526316</v>
      </c>
      <c r="H144" s="9" t="n">
        <f aca="false">SUMIFS('Source 2025'!$I:$I,'Source 2025'!$B:$B,$A144,'Source 2025'!$A:$A,"Amount (NIS)")</f>
        <v>-38.7</v>
      </c>
      <c r="I144" s="9" t="n">
        <f aca="false">SUMIFS('Source 2026'!$I:$I,'Source 2026'!$B:$B,$A144,'Source 2026'!$A:$A,"Amount (NIS)")</f>
        <v>-1655.7</v>
      </c>
      <c r="J144" s="9" t="n">
        <f aca="false">I144*$J$5</f>
        <v>-2091.41052631579</v>
      </c>
      <c r="K144" s="9" t="n">
        <f aca="false">J144-H144</f>
        <v>-2052.71052631579</v>
      </c>
      <c r="L144" s="11" t="n">
        <f aca="false">IF(AND(H144=0,J144=0),0,IF(H144=0,"New",(J144-H144)/H144))</f>
        <v>53.0416156670746</v>
      </c>
    </row>
    <row r="145" customFormat="false" ht="15" hidden="false" customHeight="true" outlineLevel="0" collapsed="false">
      <c r="A145" s="8" t="s">
        <v>123</v>
      </c>
      <c r="B145" s="8" t="str">
        <f aca="false">IFERROR(INDEX('Source 2026'!$C:$C,MATCH($A145,'Source 2026'!$B:$B,0)),IFERROR(INDEX('Source 2025'!$C:$C,MATCH($A145,'Source 2025'!$B:$B,0)),""))</f>
        <v>Lעקבים סיליקון כחול לדורבן</v>
      </c>
      <c r="C145" s="9" t="n">
        <f aca="false">SUMIFS('Source 2025'!$I:$I,'Source 2025'!$B:$B,$A145,'Source 2025'!$A:$A,"Quantity (units)")</f>
        <v>207</v>
      </c>
      <c r="D145" s="9" t="n">
        <f aca="false">SUMIFS('Source 2026'!$I:$I,'Source 2026'!$B:$B,$A145,'Source 2026'!$A:$A,"Quantity (units)")</f>
        <v>179</v>
      </c>
      <c r="E145" s="9" t="n">
        <f aca="false">D145*$J$5</f>
        <v>226.105263157895</v>
      </c>
      <c r="F145" s="9" t="n">
        <f aca="false">E145-C145</f>
        <v>19.1052631578947</v>
      </c>
      <c r="G145" s="11" t="n">
        <f aca="false">IF(AND(C145=0,E145=0),0,IF(C145=0,"New",(E145-C145)/C145))</f>
        <v>0.0922959572845155</v>
      </c>
      <c r="H145" s="9" t="n">
        <f aca="false">SUMIFS('Source 2025'!$I:$I,'Source 2025'!$B:$B,$A145,'Source 2025'!$A:$A,"Amount (NIS)")</f>
        <v>11336</v>
      </c>
      <c r="I145" s="9" t="n">
        <f aca="false">SUMIFS('Source 2026'!$I:$I,'Source 2026'!$B:$B,$A145,'Source 2026'!$A:$A,"Amount (NIS)")</f>
        <v>9773.3</v>
      </c>
      <c r="J145" s="9" t="n">
        <f aca="false">I145*$J$5</f>
        <v>12345.2210526316</v>
      </c>
      <c r="K145" s="9" t="n">
        <f aca="false">J145-H145</f>
        <v>1009.22105263158</v>
      </c>
      <c r="L145" s="11" t="n">
        <f aca="false">IF(AND(H145=0,J145=0),0,IF(H145=0,"New",(J145-H145)/H145))</f>
        <v>0.089027968651339</v>
      </c>
    </row>
    <row r="146" customFormat="false" ht="15" hidden="false" customHeight="true" outlineLevel="0" collapsed="false">
      <c r="A146" s="8" t="s">
        <v>247</v>
      </c>
      <c r="B146" s="8" t="str">
        <f aca="false">IFERROR(INDEX('Source 2026'!$C:$C,MATCH($A146,'Source 2026'!$B:$B,0)),IFERROR(INDEX('Source 2025'!$C:$C,MATCH($A146,'Source 2025'!$B:$B,0)),""))</f>
        <v>כפפות אגודל לחץ</v>
      </c>
      <c r="C146" s="9" t="n">
        <f aca="false">SUMIFS('Source 2025'!$I:$I,'Source 2025'!$B:$B,$A146,'Source 2025'!$A:$A,"Quantity (units)")</f>
        <v>244</v>
      </c>
      <c r="D146" s="9" t="n">
        <f aca="false">SUMIFS('Source 2026'!$I:$I,'Source 2026'!$B:$B,$A146,'Source 2026'!$A:$A,"Quantity (units)")</f>
        <v>183</v>
      </c>
      <c r="E146" s="9" t="n">
        <f aca="false">D146*$J$5</f>
        <v>231.157894736842</v>
      </c>
      <c r="F146" s="9" t="n">
        <f aca="false">E146-C146</f>
        <v>-12.8421052631579</v>
      </c>
      <c r="G146" s="11" t="n">
        <f aca="false">IF(AND(C146=0,E146=0),0,IF(C146=0,"New",(E146-C146)/C146))</f>
        <v>-0.0526315789473685</v>
      </c>
      <c r="H146" s="9" t="n">
        <f aca="false">SUMIFS('Source 2025'!$I:$I,'Source 2025'!$B:$B,$A146,'Source 2025'!$A:$A,"Amount (NIS)")</f>
        <v>6942.4</v>
      </c>
      <c r="I146" s="9" t="n">
        <f aca="false">SUMIFS('Source 2026'!$I:$I,'Source 2026'!$B:$B,$A146,'Source 2026'!$A:$A,"Amount (NIS)")</f>
        <v>5400.6</v>
      </c>
      <c r="J146" s="9" t="n">
        <f aca="false">I146*$J$5</f>
        <v>6821.81052631579</v>
      </c>
      <c r="K146" s="9" t="n">
        <f aca="false">J146-H146</f>
        <v>-120.58947368421</v>
      </c>
      <c r="L146" s="11" t="n">
        <f aca="false">IF(AND(H146=0,J146=0),0,IF(H146=0,"New",(J146-H146)/H146))</f>
        <v>-0.0173699979379192</v>
      </c>
    </row>
    <row r="147" customFormat="false" ht="15" hidden="false" customHeight="true" outlineLevel="0" collapsed="false">
      <c r="A147" s="8" t="s">
        <v>188</v>
      </c>
      <c r="B147" s="8" t="str">
        <f aca="false">IFERROR(INDEX('Source 2026'!$C:$C,MATCH($A147,'Source 2026'!$B:$B,0)),IFERROR(INDEX('Source 2025'!$C:$C,MATCH($A147,'Source 2025'!$B:$B,0)),""))</f>
        <v>מגן קרסול עקב סגור+רצוע</v>
      </c>
      <c r="C147" s="9" t="n">
        <f aca="false">SUMIFS('Source 2025'!$I:$I,'Source 2025'!$B:$B,$A147,'Source 2025'!$A:$A,"Quantity (units)")</f>
        <v>199</v>
      </c>
      <c r="D147" s="9" t="n">
        <f aca="false">SUMIFS('Source 2026'!$I:$I,'Source 2026'!$B:$B,$A147,'Source 2026'!$A:$A,"Quantity (units)")</f>
        <v>169</v>
      </c>
      <c r="E147" s="9" t="n">
        <f aca="false">D147*$J$5</f>
        <v>213.473684210526</v>
      </c>
      <c r="F147" s="9" t="n">
        <f aca="false">E147-C147</f>
        <v>14.4736842105263</v>
      </c>
      <c r="G147" s="11" t="n">
        <f aca="false">IF(AND(C147=0,E147=0),0,IF(C147=0,"New",(E147-C147)/C147))</f>
        <v>0.0727320814599312</v>
      </c>
      <c r="H147" s="9" t="n">
        <f aca="false">SUMIFS('Source 2025'!$I:$I,'Source 2025'!$B:$B,$A147,'Source 2025'!$A:$A,"Amount (NIS)")</f>
        <v>11049.3</v>
      </c>
      <c r="I147" s="9" t="n">
        <f aca="false">SUMIFS('Source 2026'!$I:$I,'Source 2026'!$B:$B,$A147,'Source 2026'!$A:$A,"Amount (NIS)")</f>
        <v>9531.8</v>
      </c>
      <c r="J147" s="9" t="n">
        <f aca="false">I147*$J$5</f>
        <v>12040.1684210526</v>
      </c>
      <c r="K147" s="9" t="n">
        <f aca="false">J147-H147</f>
        <v>990.86842105263</v>
      </c>
      <c r="L147" s="11" t="n">
        <f aca="false">IF(AND(H147=0,J147=0),0,IF(H147=0,"New",(J147-H147)/H147))</f>
        <v>0.0896770312194103</v>
      </c>
    </row>
    <row r="148" customFormat="false" ht="15" hidden="false" customHeight="true" outlineLevel="0" collapsed="false">
      <c r="A148" s="8" t="s">
        <v>199</v>
      </c>
      <c r="B148" s="8" t="str">
        <f aca="false">IFERROR(INDEX('Source 2026'!$C:$C,MATCH($A148,'Source 2026'!$B:$B,0)),IFERROR(INDEX('Source 2025'!$C:$C,MATCH($A148,'Source 2025'!$B:$B,0)),""))</f>
        <v>סד ליישור אצבע</v>
      </c>
      <c r="C148" s="9" t="n">
        <f aca="false">SUMIFS('Source 2025'!$I:$I,'Source 2025'!$B:$B,$A148,'Source 2025'!$A:$A,"Quantity (units)")</f>
        <v>1389</v>
      </c>
      <c r="D148" s="9" t="n">
        <f aca="false">SUMIFS('Source 2026'!$I:$I,'Source 2026'!$B:$B,$A148,'Source 2026'!$A:$A,"Quantity (units)")</f>
        <v>1242</v>
      </c>
      <c r="E148" s="9" t="n">
        <f aca="false">D148*$J$5</f>
        <v>1568.84210526316</v>
      </c>
      <c r="F148" s="9" t="n">
        <f aca="false">E148-C148</f>
        <v>179.842105263158</v>
      </c>
      <c r="G148" s="11" t="n">
        <f aca="false">IF(AND(C148=0,E148=0),0,IF(C148=0,"New",(E148-C148)/C148))</f>
        <v>0.129475957712857</v>
      </c>
      <c r="H148" s="9" t="n">
        <f aca="false">SUMIFS('Source 2025'!$I:$I,'Source 2025'!$B:$B,$A148,'Source 2025'!$A:$A,"Amount (NIS)")</f>
        <v>20155.3</v>
      </c>
      <c r="I148" s="9" t="n">
        <f aca="false">SUMIFS('Source 2026'!$I:$I,'Source 2026'!$B:$B,$A148,'Source 2026'!$A:$A,"Amount (NIS)")</f>
        <v>18693.6</v>
      </c>
      <c r="J148" s="9" t="n">
        <f aca="false">I148*$J$5</f>
        <v>23612.9684210526</v>
      </c>
      <c r="K148" s="9" t="n">
        <f aca="false">J148-H148</f>
        <v>3457.66842105263</v>
      </c>
      <c r="L148" s="11" t="n">
        <f aca="false">IF(AND(H148=0,J148=0),0,IF(H148=0,"New",(J148-H148)/H148))</f>
        <v>0.171551325013899</v>
      </c>
    </row>
    <row r="149" customFormat="false" ht="15" hidden="false" customHeight="true" outlineLevel="0" collapsed="false">
      <c r="A149" s="8" t="s">
        <v>149</v>
      </c>
      <c r="B149" s="8" t="str">
        <f aca="false">IFERROR(INDEX('Source 2026'!$C:$C,MATCH($A149,'Source 2026'!$B:$B,0)),IFERROR(INDEX('Source 2025'!$C:$C,MATCH($A149,'Source 2025'!$B:$B,0)),""))</f>
        <v>גרבי ג'ל לריכוך עור העקב</v>
      </c>
      <c r="C149" s="9" t="n">
        <f aca="false">SUMIFS('Source 2025'!$I:$I,'Source 2025'!$B:$B,$A149,'Source 2025'!$A:$A,"Quantity (units)")</f>
        <v>111</v>
      </c>
      <c r="D149" s="9" t="n">
        <f aca="false">SUMIFS('Source 2026'!$I:$I,'Source 2026'!$B:$B,$A149,'Source 2026'!$A:$A,"Quantity (units)")</f>
        <v>62</v>
      </c>
      <c r="E149" s="9" t="n">
        <f aca="false">D149*$J$5</f>
        <v>78.3157894736842</v>
      </c>
      <c r="F149" s="9" t="n">
        <f aca="false">E149-C149</f>
        <v>-32.6842105263158</v>
      </c>
      <c r="G149" s="11" t="n">
        <f aca="false">IF(AND(C149=0,E149=0),0,IF(C149=0,"New",(E149-C149)/C149))</f>
        <v>-0.294452347083926</v>
      </c>
      <c r="H149" s="9" t="n">
        <f aca="false">SUMIFS('Source 2025'!$I:$I,'Source 2025'!$B:$B,$A149,'Source 2025'!$A:$A,"Amount (NIS)")</f>
        <v>3384.7</v>
      </c>
      <c r="I149" s="9" t="n">
        <f aca="false">SUMIFS('Source 2026'!$I:$I,'Source 2026'!$B:$B,$A149,'Source 2026'!$A:$A,"Amount (NIS)")</f>
        <v>1987</v>
      </c>
      <c r="J149" s="9" t="n">
        <f aca="false">I149*$J$5</f>
        <v>2509.89473684211</v>
      </c>
      <c r="K149" s="9" t="n">
        <f aca="false">J149-H149</f>
        <v>-874.805263157895</v>
      </c>
      <c r="L149" s="11" t="n">
        <f aca="false">IF(AND(H149=0,J149=0),0,IF(H149=0,"New",(J149-H149)/H149))</f>
        <v>-0.258458729919312</v>
      </c>
    </row>
    <row r="150" customFormat="false" ht="15" hidden="false" customHeight="true" outlineLevel="0" collapsed="false">
      <c r="A150" s="8" t="s">
        <v>207</v>
      </c>
      <c r="B150" s="8" t="str">
        <f aca="false">IFERROR(INDEX('Source 2026'!$C:$C,MATCH($A150,'Source 2026'!$B:$B,0)),IFERROR(INDEX('Source 2025'!$C:$C,MATCH($A150,'Source 2025'!$B:$B,0)),""))</f>
        <v>רפידת נוחות-זוג</v>
      </c>
      <c r="C150" s="9" t="n">
        <f aca="false">SUMIFS('Source 2025'!$I:$I,'Source 2025'!$B:$B,$A150,'Source 2025'!$A:$A,"Quantity (units)")</f>
        <v>348</v>
      </c>
      <c r="D150" s="9" t="n">
        <f aca="false">SUMIFS('Source 2026'!$I:$I,'Source 2026'!$B:$B,$A150,'Source 2026'!$A:$A,"Quantity (units)")</f>
        <v>214</v>
      </c>
      <c r="E150" s="9" t="n">
        <f aca="false">D150*$J$5</f>
        <v>270.315789473684</v>
      </c>
      <c r="F150" s="9" t="n">
        <f aca="false">E150-C150</f>
        <v>-77.6842105263158</v>
      </c>
      <c r="G150" s="11" t="n">
        <f aca="false">IF(AND(C150=0,E150=0),0,IF(C150=0,"New",(E150-C150)/C150))</f>
        <v>-0.223230490018149</v>
      </c>
      <c r="H150" s="9" t="n">
        <f aca="false">SUMIFS('Source 2025'!$I:$I,'Source 2025'!$B:$B,$A150,'Source 2025'!$A:$A,"Amount (NIS)")</f>
        <v>3648.6</v>
      </c>
      <c r="I150" s="9" t="n">
        <f aca="false">SUMIFS('Source 2026'!$I:$I,'Source 2026'!$B:$B,$A150,'Source 2026'!$A:$A,"Amount (NIS)")</f>
        <v>2308.6</v>
      </c>
      <c r="J150" s="9" t="n">
        <f aca="false">I150*$J$5</f>
        <v>2916.12631578947</v>
      </c>
      <c r="K150" s="9" t="n">
        <f aca="false">J150-H150</f>
        <v>-732.473684210527</v>
      </c>
      <c r="L150" s="11" t="n">
        <f aca="false">IF(AND(H150=0,J150=0),0,IF(H150=0,"New",(J150-H150)/H150))</f>
        <v>-0.200754723513273</v>
      </c>
    </row>
    <row r="151" customFormat="false" ht="15" hidden="false" customHeight="true" outlineLevel="0" collapsed="false">
      <c r="A151" s="8" t="s">
        <v>304</v>
      </c>
      <c r="B151" s="8" t="str">
        <f aca="false">IFERROR(INDEX('Source 2026'!$C:$C,MATCH($A151,'Source 2026'!$B:$B,0)),IFERROR(INDEX('Source 2025'!$C:$C,MATCH($A151,'Source 2025'!$B:$B,0)),""))</f>
        <v>גרב כסף לסכרתיים לבן35-38</v>
      </c>
      <c r="C151" s="9" t="n">
        <f aca="false">SUMIFS('Source 2025'!$I:$I,'Source 2025'!$B:$B,$A151,'Source 2025'!$A:$A,"Quantity (units)")</f>
        <v>112</v>
      </c>
      <c r="D151" s="9" t="n">
        <f aca="false">SUMIFS('Source 2026'!$I:$I,'Source 2026'!$B:$B,$A151,'Source 2026'!$A:$A,"Quantity (units)")</f>
        <v>67</v>
      </c>
      <c r="E151" s="9" t="n">
        <f aca="false">D151*$J$5</f>
        <v>84.6315789473684</v>
      </c>
      <c r="F151" s="9" t="n">
        <f aca="false">E151-C151</f>
        <v>-27.3684210526316</v>
      </c>
      <c r="G151" s="11" t="n">
        <f aca="false">IF(AND(C151=0,E151=0),0,IF(C151=0,"New",(E151-C151)/C151))</f>
        <v>-0.244360902255639</v>
      </c>
      <c r="H151" s="9" t="n">
        <f aca="false">SUMIFS('Source 2025'!$I:$I,'Source 2025'!$B:$B,$A151,'Source 2025'!$A:$A,"Amount (NIS)")</f>
        <v>3309.2</v>
      </c>
      <c r="I151" s="9" t="n">
        <f aca="false">SUMIFS('Source 2026'!$I:$I,'Source 2026'!$B:$B,$A151,'Source 2026'!$A:$A,"Amount (NIS)")</f>
        <v>1984.1</v>
      </c>
      <c r="J151" s="9" t="n">
        <f aca="false">I151*$J$5</f>
        <v>2506.23157894737</v>
      </c>
      <c r="K151" s="9" t="n">
        <f aca="false">J151-H151</f>
        <v>-802.968421052632</v>
      </c>
      <c r="L151" s="11" t="n">
        <f aca="false">IF(AND(H151=0,J151=0),0,IF(H151=0,"New",(J151-H151)/H151))</f>
        <v>-0.242647292715046</v>
      </c>
    </row>
    <row r="152" customFormat="false" ht="15" hidden="false" customHeight="true" outlineLevel="0" collapsed="false">
      <c r="A152" s="8" t="s">
        <v>152</v>
      </c>
      <c r="B152" s="8" t="str">
        <f aca="false">IFERROR(INDEX('Source 2026'!$C:$C,MATCH($A152,'Source 2026'!$B:$B,0)),IFERROR(INDEX('Source 2025'!$C:$C,MATCH($A152,'Source 2025'!$B:$B,0)),""))</f>
        <v>Lמ.ברך+כרית סיל.סביב לפיקה</v>
      </c>
      <c r="C152" s="9" t="n">
        <f aca="false">SUMIFS('Source 2025'!$I:$I,'Source 2025'!$B:$B,$A152,'Source 2025'!$A:$A,"Quantity (units)")</f>
        <v>0</v>
      </c>
      <c r="D152" s="9" t="n">
        <f aca="false">SUMIFS('Source 2026'!$I:$I,'Source 2026'!$B:$B,$A152,'Source 2026'!$A:$A,"Quantity (units)")</f>
        <v>-9</v>
      </c>
      <c r="E152" s="9" t="n">
        <f aca="false">D152*$J$5</f>
        <v>-11.3684210526316</v>
      </c>
      <c r="F152" s="9" t="n">
        <f aca="false">E152-C152</f>
        <v>-11.3684210526316</v>
      </c>
      <c r="G152" s="11" t="str">
        <f aca="false">IF(AND(C152=0,E152=0),0,IF(C152=0,"New",(E152-C152)/C152))</f>
        <v>New</v>
      </c>
      <c r="H152" s="9" t="n">
        <f aca="false">SUMIFS('Source 2025'!$I:$I,'Source 2025'!$B:$B,$A152,'Source 2025'!$A:$A,"Amount (NIS)")</f>
        <v>103.2</v>
      </c>
      <c r="I152" s="9" t="n">
        <f aca="false">SUMIFS('Source 2026'!$I:$I,'Source 2026'!$B:$B,$A152,'Source 2026'!$A:$A,"Amount (NIS)")</f>
        <v>-1207.9</v>
      </c>
      <c r="J152" s="9" t="n">
        <f aca="false">I152*$J$5</f>
        <v>-1525.76842105263</v>
      </c>
      <c r="K152" s="9" t="n">
        <f aca="false">J152-H152</f>
        <v>-1628.96842105263</v>
      </c>
      <c r="L152" s="11" t="n">
        <f aca="false">IF(AND(H152=0,J152=0),0,IF(H152=0,"New",(J152-H152)/H152))</f>
        <v>-15.7845777233782</v>
      </c>
    </row>
    <row r="153" customFormat="false" ht="15" hidden="false" customHeight="true" outlineLevel="0" collapsed="false">
      <c r="A153" s="8" t="s">
        <v>311</v>
      </c>
      <c r="B153" s="8" t="str">
        <f aca="false">IFERROR(INDEX('Source 2026'!$C:$C,MATCH($A153,'Source 2026'!$B:$B,0)),IFERROR(INDEX('Source 2025'!$C:$C,MATCH($A153,'Source 2025'!$B:$B,0)),""))</f>
        <v>S מגן קרסול שמאל</v>
      </c>
      <c r="C153" s="9" t="n">
        <f aca="false">SUMIFS('Source 2025'!$I:$I,'Source 2025'!$B:$B,$A153,'Source 2025'!$A:$A,"Quantity (units)")</f>
        <v>68</v>
      </c>
      <c r="D153" s="9" t="n">
        <f aca="false">SUMIFS('Source 2026'!$I:$I,'Source 2026'!$B:$B,$A153,'Source 2026'!$A:$A,"Quantity (units)")</f>
        <v>49</v>
      </c>
      <c r="E153" s="9" t="n">
        <f aca="false">D153*$J$5</f>
        <v>61.8947368421053</v>
      </c>
      <c r="F153" s="9" t="n">
        <f aca="false">E153-C153</f>
        <v>-6.10526315789474</v>
      </c>
      <c r="G153" s="11" t="n">
        <f aca="false">IF(AND(C153=0,E153=0),0,IF(C153=0,"New",(E153-C153)/C153))</f>
        <v>-0.0897832817337462</v>
      </c>
      <c r="H153" s="9" t="n">
        <f aca="false">SUMIFS('Source 2025'!$I:$I,'Source 2025'!$B:$B,$A153,'Source 2025'!$A:$A,"Amount (NIS)")</f>
        <v>4941.6</v>
      </c>
      <c r="I153" s="9" t="n">
        <f aca="false">SUMIFS('Source 2026'!$I:$I,'Source 2026'!$B:$B,$A153,'Source 2026'!$A:$A,"Amount (NIS)")</f>
        <v>3665.5</v>
      </c>
      <c r="J153" s="9" t="n">
        <f aca="false">I153*$J$5</f>
        <v>4630.10526315789</v>
      </c>
      <c r="K153" s="9" t="n">
        <f aca="false">J153-H153</f>
        <v>-311.494736842106</v>
      </c>
      <c r="L153" s="11" t="n">
        <f aca="false">IF(AND(H153=0,J153=0),0,IF(H153=0,"New",(J153-H153)/H153))</f>
        <v>-0.0630351984867465</v>
      </c>
    </row>
    <row r="154" customFormat="false" ht="15" hidden="false" customHeight="true" outlineLevel="0" collapsed="false">
      <c r="A154" s="8" t="s">
        <v>258</v>
      </c>
      <c r="B154" s="8" t="str">
        <f aca="false">IFERROR(INDEX('Source 2026'!$C:$C,MATCH($A154,'Source 2026'!$B:$B,0)),IFERROR(INDEX('Source 2025'!$C:$C,MATCH($A154,'Source 2025'!$B:$B,0)),""))</f>
        <v>S מגן מרפק</v>
      </c>
      <c r="C154" s="9" t="n">
        <f aca="false">SUMIFS('Source 2025'!$I:$I,'Source 2025'!$B:$B,$A154,'Source 2025'!$A:$A,"Quantity (units)")</f>
        <v>64</v>
      </c>
      <c r="D154" s="9" t="n">
        <f aca="false">SUMIFS('Source 2026'!$I:$I,'Source 2026'!$B:$B,$A154,'Source 2026'!$A:$A,"Quantity (units)")</f>
        <v>45</v>
      </c>
      <c r="E154" s="9" t="n">
        <f aca="false">D154*$J$5</f>
        <v>56.8421052631579</v>
      </c>
      <c r="F154" s="9" t="n">
        <f aca="false">E154-C154</f>
        <v>-7.15789473684211</v>
      </c>
      <c r="G154" s="11" t="n">
        <f aca="false">IF(AND(C154=0,E154=0),0,IF(C154=0,"New",(E154-C154)/C154))</f>
        <v>-0.111842105263158</v>
      </c>
      <c r="H154" s="9" t="n">
        <f aca="false">SUMIFS('Source 2025'!$I:$I,'Source 2025'!$B:$B,$A154,'Source 2025'!$A:$A,"Amount (NIS)")</f>
        <v>4662.7</v>
      </c>
      <c r="I154" s="9" t="n">
        <f aca="false">SUMIFS('Source 2026'!$I:$I,'Source 2026'!$B:$B,$A154,'Source 2026'!$A:$A,"Amount (NIS)")</f>
        <v>3398.1</v>
      </c>
      <c r="J154" s="9" t="n">
        <f aca="false">I154*$J$5</f>
        <v>4292.33684210526</v>
      </c>
      <c r="K154" s="9" t="n">
        <f aca="false">J154-H154</f>
        <v>-370.363157894737</v>
      </c>
      <c r="L154" s="11" t="n">
        <f aca="false">IF(AND(H154=0,J154=0),0,IF(H154=0,"New",(J154-H154)/H154))</f>
        <v>-0.0794310502272797</v>
      </c>
    </row>
    <row r="155" customFormat="false" ht="15" hidden="false" customHeight="true" outlineLevel="0" collapsed="false">
      <c r="A155" s="8" t="s">
        <v>372</v>
      </c>
      <c r="B155" s="8" t="str">
        <f aca="false">IFERROR(INDEX('Source 2026'!$C:$C,MATCH($A155,'Source 2026'!$B:$B,0)),IFERROR(INDEX('Source 2025'!$C:$C,MATCH($A155,'Source 2025'!$B:$B,0)),""))</f>
        <v>11 אפורUGחגורת בטן</v>
      </c>
      <c r="C155" s="9" t="n">
        <f aca="false">SUMIFS('Source 2025'!$I:$I,'Source 2025'!$B:$B,$A155,'Source 2025'!$A:$A,"Quantity (units)")</f>
        <v>15</v>
      </c>
      <c r="D155" s="9" t="n">
        <f aca="false">SUMIFS('Source 2026'!$I:$I,'Source 2026'!$B:$B,$A155,'Source 2026'!$A:$A,"Quantity (units)")</f>
        <v>0</v>
      </c>
      <c r="E155" s="9" t="n">
        <f aca="false">D155*$J$5</f>
        <v>0</v>
      </c>
      <c r="F155" s="9" t="n">
        <f aca="false">E155-C155</f>
        <v>-15</v>
      </c>
      <c r="G155" s="11" t="n">
        <f aca="false">IF(AND(C155=0,E155=0),0,IF(C155=0,"New",(E155-C155)/C155))</f>
        <v>-1</v>
      </c>
      <c r="H155" s="9" t="n">
        <f aca="false">SUMIFS('Source 2025'!$I:$I,'Source 2025'!$B:$B,$A155,'Source 2025'!$A:$A,"Amount (NIS)")</f>
        <v>1210.5</v>
      </c>
      <c r="I155" s="9" t="n">
        <f aca="false">SUMIFS('Source 2026'!$I:$I,'Source 2026'!$B:$B,$A155,'Source 2026'!$A:$A,"Amount (NIS)")</f>
        <v>25.9</v>
      </c>
      <c r="J155" s="9" t="n">
        <f aca="false">I155*$J$5</f>
        <v>32.7157894736842</v>
      </c>
      <c r="K155" s="9" t="n">
        <f aca="false">J155-H155</f>
        <v>-1177.78421052632</v>
      </c>
      <c r="L155" s="11" t="n">
        <f aca="false">IF(AND(H155=0,J155=0),0,IF(H155=0,"New",(J155-H155)/H155))</f>
        <v>-0.972973325507076</v>
      </c>
    </row>
    <row r="156" customFormat="false" ht="15" hidden="false" customHeight="true" outlineLevel="0" collapsed="false">
      <c r="A156" s="8" t="s">
        <v>148</v>
      </c>
      <c r="B156" s="8" t="str">
        <f aca="false">IFERROR(INDEX('Source 2026'!$C:$C,MATCH($A156,'Source 2026'!$B:$B,0)),IFERROR(INDEX('Source 2025'!$C:$C,MATCH($A156,'Source 2025'!$B:$B,0)),""))</f>
        <v>רפידת אנטי ריח -זוג</v>
      </c>
      <c r="C156" s="9" t="n">
        <f aca="false">SUMIFS('Source 2025'!$I:$I,'Source 2025'!$B:$B,$A156,'Source 2025'!$A:$A,"Quantity (units)")</f>
        <v>246</v>
      </c>
      <c r="D156" s="9" t="n">
        <f aca="false">SUMIFS('Source 2026'!$I:$I,'Source 2026'!$B:$B,$A156,'Source 2026'!$A:$A,"Quantity (units)")</f>
        <v>157</v>
      </c>
      <c r="E156" s="9" t="n">
        <f aca="false">D156*$J$5</f>
        <v>198.315789473684</v>
      </c>
      <c r="F156" s="9" t="n">
        <f aca="false">E156-C156</f>
        <v>-47.6842105263158</v>
      </c>
      <c r="G156" s="11" t="n">
        <f aca="false">IF(AND(C156=0,E156=0),0,IF(C156=0,"New",(E156-C156)/C156))</f>
        <v>-0.193838254172015</v>
      </c>
      <c r="H156" s="9" t="n">
        <f aca="false">SUMIFS('Source 2025'!$I:$I,'Source 2025'!$B:$B,$A156,'Source 2025'!$A:$A,"Amount (NIS)")</f>
        <v>3292.9</v>
      </c>
      <c r="I156" s="9" t="n">
        <f aca="false">SUMIFS('Source 2026'!$I:$I,'Source 2026'!$B:$B,$A156,'Source 2026'!$A:$A,"Amount (NIS)")</f>
        <v>2127.7</v>
      </c>
      <c r="J156" s="9" t="n">
        <f aca="false">I156*$J$5</f>
        <v>2687.62105263158</v>
      </c>
      <c r="K156" s="9" t="n">
        <f aca="false">J156-H156</f>
        <v>-605.278947368422</v>
      </c>
      <c r="L156" s="11" t="n">
        <f aca="false">IF(AND(H156=0,J156=0),0,IF(H156=0,"New",(J156-H156)/H156))</f>
        <v>-0.18381334002503</v>
      </c>
    </row>
    <row r="157" customFormat="false" ht="15" hidden="false" customHeight="true" outlineLevel="0" collapsed="false">
      <c r="A157" s="8" t="s">
        <v>276</v>
      </c>
      <c r="B157" s="8" t="str">
        <f aca="false">IFERROR(INDEX('Source 2026'!$C:$C,MATCH($A157,'Source 2026'!$B:$B,0)),IFERROR(INDEX('Source 2025'!$C:$C,MATCH($A157,'Source 2025'!$B:$B,0)),""))</f>
        <v>כפפות לחץ</v>
      </c>
      <c r="C157" s="9" t="n">
        <f aca="false">SUMIFS('Source 2025'!$I:$I,'Source 2025'!$B:$B,$A157,'Source 2025'!$A:$A,"Quantity (units)")</f>
        <v>76</v>
      </c>
      <c r="D157" s="9" t="n">
        <f aca="false">SUMIFS('Source 2026'!$I:$I,'Source 2026'!$B:$B,$A157,'Source 2026'!$A:$A,"Quantity (units)")</f>
        <v>34</v>
      </c>
      <c r="E157" s="9" t="n">
        <f aca="false">D157*$J$5</f>
        <v>42.9473684210526</v>
      </c>
      <c r="F157" s="9" t="n">
        <f aca="false">E157-C157</f>
        <v>-33.0526315789474</v>
      </c>
      <c r="G157" s="11" t="n">
        <f aca="false">IF(AND(C157=0,E157=0),0,IF(C157=0,"New",(E157-C157)/C157))</f>
        <v>-0.434903047091413</v>
      </c>
      <c r="H157" s="9" t="n">
        <f aca="false">SUMIFS('Source 2025'!$I:$I,'Source 2025'!$B:$B,$A157,'Source 2025'!$A:$A,"Amount (NIS)")</f>
        <v>2156.6</v>
      </c>
      <c r="I157" s="9" t="n">
        <f aca="false">SUMIFS('Source 2026'!$I:$I,'Source 2026'!$B:$B,$A157,'Source 2026'!$A:$A,"Amount (NIS)")</f>
        <v>993.8</v>
      </c>
      <c r="J157" s="9" t="n">
        <f aca="false">I157*$J$5</f>
        <v>1255.32631578947</v>
      </c>
      <c r="K157" s="9" t="n">
        <f aca="false">J157-H157</f>
        <v>-901.273684210526</v>
      </c>
      <c r="L157" s="11" t="n">
        <f aca="false">IF(AND(H157=0,J157=0),0,IF(H157=0,"New",(J157-H157)/H157))</f>
        <v>-0.417914163132026</v>
      </c>
    </row>
    <row r="158" customFormat="false" ht="15" hidden="false" customHeight="true" outlineLevel="0" collapsed="false">
      <c r="A158" s="8" t="s">
        <v>181</v>
      </c>
      <c r="B158" s="8" t="str">
        <f aca="false">IFERROR(INDEX('Source 2026'!$C:$C,MATCH($A158,'Source 2026'!$B:$B,0)),IFERROR(INDEX('Source 2025'!$C:$C,MATCH($A158,'Source 2025'!$B:$B,0)),""))</f>
        <v>37-38 מדרסי סיליק.לח.סכרת</v>
      </c>
      <c r="C158" s="9" t="n">
        <f aca="false">SUMIFS('Source 2025'!$I:$I,'Source 2025'!$B:$B,$A158,'Source 2025'!$A:$A,"Quantity (units)")</f>
        <v>11</v>
      </c>
      <c r="D158" s="9" t="n">
        <f aca="false">SUMIFS('Source 2026'!$I:$I,'Source 2026'!$B:$B,$A158,'Source 2026'!$A:$A,"Quantity (units)")</f>
        <v>1</v>
      </c>
      <c r="E158" s="9" t="n">
        <f aca="false">D158*$J$5</f>
        <v>1.26315789473684</v>
      </c>
      <c r="F158" s="9" t="n">
        <f aca="false">E158-C158</f>
        <v>-9.73684210526316</v>
      </c>
      <c r="G158" s="11" t="n">
        <f aca="false">IF(AND(C158=0,E158=0),0,IF(C158=0,"New",(E158-C158)/C158))</f>
        <v>-0.885167464114833</v>
      </c>
      <c r="H158" s="9" t="n">
        <f aca="false">SUMIFS('Source 2025'!$I:$I,'Source 2025'!$B:$B,$A158,'Source 2025'!$A:$A,"Amount (NIS)")</f>
        <v>1262.7</v>
      </c>
      <c r="I158" s="9" t="n">
        <f aca="false">SUMIFS('Source 2026'!$I:$I,'Source 2026'!$B:$B,$A158,'Source 2026'!$A:$A,"Amount (NIS)")</f>
        <v>110.5</v>
      </c>
      <c r="J158" s="9" t="n">
        <f aca="false">I158*$J$5</f>
        <v>139.578947368421</v>
      </c>
      <c r="K158" s="9" t="n">
        <f aca="false">J158-H158</f>
        <v>-1123.12105263158</v>
      </c>
      <c r="L158" s="11" t="n">
        <f aca="false">IF(AND(H158=0,J158=0),0,IF(H158=0,"New",(J158-H158)/H158))</f>
        <v>-0.889459929224344</v>
      </c>
    </row>
    <row r="159" customFormat="false" ht="15" hidden="false" customHeight="true" outlineLevel="0" collapsed="false">
      <c r="A159" s="8" t="s">
        <v>119</v>
      </c>
      <c r="B159" s="8" t="str">
        <f aca="false">IFERROR(INDEX('Source 2026'!$C:$C,MATCH($A159,'Source 2026'!$B:$B,0)),IFERROR(INDEX('Source 2025'!$C:$C,MATCH($A159,'Source 2025'!$B:$B,0)),""))</f>
        <v>סד לאגודל</v>
      </c>
      <c r="C159" s="9" t="n">
        <f aca="false">SUMIFS('Source 2025'!$I:$I,'Source 2025'!$B:$B,$A159,'Source 2025'!$A:$A,"Quantity (units)")</f>
        <v>256</v>
      </c>
      <c r="D159" s="9" t="n">
        <f aca="false">SUMIFS('Source 2026'!$I:$I,'Source 2026'!$B:$B,$A159,'Source 2026'!$A:$A,"Quantity (units)")</f>
        <v>190</v>
      </c>
      <c r="E159" s="9" t="n">
        <f aca="false">D159*$J$5</f>
        <v>240</v>
      </c>
      <c r="F159" s="9" t="n">
        <f aca="false">E159-C159</f>
        <v>-16</v>
      </c>
      <c r="G159" s="11" t="n">
        <f aca="false">IF(AND(C159=0,E159=0),0,IF(C159=0,"New",(E159-C159)/C159))</f>
        <v>-0.0625</v>
      </c>
      <c r="H159" s="9" t="n">
        <f aca="false">SUMIFS('Source 2025'!$I:$I,'Source 2025'!$B:$B,$A159,'Source 2025'!$A:$A,"Amount (NIS)")</f>
        <v>5941.9</v>
      </c>
      <c r="I159" s="9" t="n">
        <f aca="false">SUMIFS('Source 2026'!$I:$I,'Source 2026'!$B:$B,$A159,'Source 2026'!$A:$A,"Amount (NIS)")</f>
        <v>4799.3</v>
      </c>
      <c r="J159" s="9" t="n">
        <f aca="false">I159*$J$5</f>
        <v>6062.27368421053</v>
      </c>
      <c r="K159" s="9" t="n">
        <f aca="false">J159-H159</f>
        <v>120.373684210526</v>
      </c>
      <c r="L159" s="11" t="n">
        <f aca="false">IF(AND(H159=0,J159=0),0,IF(H159=0,"New",(J159-H159)/H159))</f>
        <v>0.0202584500261745</v>
      </c>
    </row>
    <row r="160" customFormat="false" ht="15" hidden="false" customHeight="true" outlineLevel="0" collapsed="false">
      <c r="A160" s="8" t="s">
        <v>233</v>
      </c>
      <c r="B160" s="8" t="str">
        <f aca="false">IFERROR(INDEX('Source 2026'!$C:$C,MATCH($A160,'Source 2026'!$B:$B,0)),IFERROR(INDEX('Source 2025'!$C:$C,MATCH($A160,'Source 2025'!$B:$B,0)),""))</f>
        <v>S ח.הריון מכנס למניעת כאבים</v>
      </c>
      <c r="C160" s="9" t="n">
        <f aca="false">SUMIFS('Source 2025'!$I:$I,'Source 2025'!$B:$B,$A160,'Source 2025'!$A:$A,"Quantity (units)")</f>
        <v>2</v>
      </c>
      <c r="D160" s="9" t="n">
        <f aca="false">SUMIFS('Source 2026'!$I:$I,'Source 2026'!$B:$B,$A160,'Source 2026'!$A:$A,"Quantity (units)")</f>
        <v>-2</v>
      </c>
      <c r="E160" s="9" t="n">
        <f aca="false">D160*$J$5</f>
        <v>-2.52631578947368</v>
      </c>
      <c r="F160" s="9" t="n">
        <f aca="false">E160-C160</f>
        <v>-4.52631578947368</v>
      </c>
      <c r="G160" s="11" t="n">
        <f aca="false">IF(AND(C160=0,E160=0),0,IF(C160=0,"New",(E160-C160)/C160))</f>
        <v>-2.26315789473684</v>
      </c>
      <c r="H160" s="9" t="n">
        <f aca="false">SUMIFS('Source 2025'!$I:$I,'Source 2025'!$B:$B,$A160,'Source 2025'!$A:$A,"Amount (NIS)")</f>
        <v>573.5</v>
      </c>
      <c r="I160" s="9" t="n">
        <f aca="false">SUMIFS('Source 2026'!$I:$I,'Source 2026'!$B:$B,$A160,'Source 2026'!$A:$A,"Amount (NIS)")</f>
        <v>-553</v>
      </c>
      <c r="J160" s="9" t="n">
        <f aca="false">I160*$J$5</f>
        <v>-698.526315789474</v>
      </c>
      <c r="K160" s="9" t="n">
        <f aca="false">J160-H160</f>
        <v>-1272.02631578947</v>
      </c>
      <c r="L160" s="11" t="n">
        <f aca="false">IF(AND(H160=0,J160=0),0,IF(H160=0,"New",(J160-H160)/H160))</f>
        <v>-2.21800578167301</v>
      </c>
    </row>
    <row r="161" customFormat="false" ht="15" hidden="false" customHeight="true" outlineLevel="0" collapsed="false">
      <c r="A161" s="8" t="s">
        <v>165</v>
      </c>
      <c r="B161" s="8" t="str">
        <f aca="false">IFERROR(INDEX('Source 2026'!$C:$C,MATCH($A161,'Source 2026'!$B:$B,0)),IFERROR(INDEX('Source 2025'!$C:$C,MATCH($A161,'Source 2025'!$B:$B,0)),""))</f>
        <v>S חבק יד</v>
      </c>
      <c r="C161" s="9" t="n">
        <f aca="false">SUMIFS('Source 2025'!$I:$I,'Source 2025'!$B:$B,$A161,'Source 2025'!$A:$A,"Quantity (units)")</f>
        <v>39</v>
      </c>
      <c r="D161" s="9" t="n">
        <f aca="false">SUMIFS('Source 2026'!$I:$I,'Source 2026'!$B:$B,$A161,'Source 2026'!$A:$A,"Quantity (units)")</f>
        <v>50</v>
      </c>
      <c r="E161" s="9" t="n">
        <f aca="false">D161*$J$5</f>
        <v>63.1578947368421</v>
      </c>
      <c r="F161" s="9" t="n">
        <f aca="false">E161-C161</f>
        <v>24.1578947368421</v>
      </c>
      <c r="G161" s="11" t="n">
        <f aca="false">IF(AND(C161=0,E161=0),0,IF(C161=0,"New",(E161-C161)/C161))</f>
        <v>0.619433198380567</v>
      </c>
      <c r="H161" s="9" t="n">
        <f aca="false">SUMIFS('Source 2025'!$I:$I,'Source 2025'!$B:$B,$A161,'Source 2025'!$A:$A,"Amount (NIS)")</f>
        <v>2718.6</v>
      </c>
      <c r="I161" s="9" t="n">
        <f aca="false">SUMIFS('Source 2026'!$I:$I,'Source 2026'!$B:$B,$A161,'Source 2026'!$A:$A,"Amount (NIS)")</f>
        <v>3724.2</v>
      </c>
      <c r="J161" s="9" t="n">
        <f aca="false">I161*$J$5</f>
        <v>4704.25263157895</v>
      </c>
      <c r="K161" s="9" t="n">
        <f aca="false">J161-H161</f>
        <v>1985.65263157895</v>
      </c>
      <c r="L161" s="11" t="n">
        <f aca="false">IF(AND(H161=0,J161=0),0,IF(H161=0,"New",(J161-H161)/H161))</f>
        <v>0.730395288596685</v>
      </c>
    </row>
    <row r="162" customFormat="false" ht="15" hidden="false" customHeight="true" outlineLevel="0" collapsed="false">
      <c r="A162" s="8" t="s">
        <v>202</v>
      </c>
      <c r="B162" s="8" t="str">
        <f aca="false">IFERROR(INDEX('Source 2026'!$C:$C,MATCH($A162,'Source 2026'!$B:$B,0)),IFERROR(INDEX('Source 2025'!$C:$C,MATCH($A162,'Source 2025'!$B:$B,0)),""))</f>
        <v>רפידת בולמת זעזועים -זוג</v>
      </c>
      <c r="C162" s="9" t="n">
        <f aca="false">SUMIFS('Source 2025'!$I:$I,'Source 2025'!$B:$B,$A162,'Source 2025'!$A:$A,"Quantity (units)")</f>
        <v>186</v>
      </c>
      <c r="D162" s="9" t="n">
        <f aca="false">SUMIFS('Source 2026'!$I:$I,'Source 2026'!$B:$B,$A162,'Source 2026'!$A:$A,"Quantity (units)")</f>
        <v>105</v>
      </c>
      <c r="E162" s="9" t="n">
        <f aca="false">D162*$J$5</f>
        <v>132.631578947368</v>
      </c>
      <c r="F162" s="9" t="n">
        <f aca="false">E162-C162</f>
        <v>-53.3684210526316</v>
      </c>
      <c r="G162" s="11" t="n">
        <f aca="false">IF(AND(C162=0,E162=0),0,IF(C162=0,"New",(E162-C162)/C162))</f>
        <v>-0.286926994906621</v>
      </c>
      <c r="H162" s="9" t="n">
        <f aca="false">SUMIFS('Source 2025'!$I:$I,'Source 2025'!$B:$B,$A162,'Source 2025'!$A:$A,"Amount (NIS)")</f>
        <v>2396.7</v>
      </c>
      <c r="I162" s="9" t="n">
        <f aca="false">SUMIFS('Source 2026'!$I:$I,'Source 2026'!$B:$B,$A162,'Source 2026'!$A:$A,"Amount (NIS)")</f>
        <v>1409.1</v>
      </c>
      <c r="J162" s="9" t="n">
        <f aca="false">I162*$J$5</f>
        <v>1779.91578947368</v>
      </c>
      <c r="K162" s="9" t="n">
        <f aca="false">J162-H162</f>
        <v>-616.784210526316</v>
      </c>
      <c r="L162" s="11" t="n">
        <f aca="false">IF(AND(H162=0,J162=0),0,IF(H162=0,"New",(J162-H162)/H162))</f>
        <v>-0.257347273553768</v>
      </c>
    </row>
    <row r="163" customFormat="false" ht="15" hidden="false" customHeight="true" outlineLevel="0" collapsed="false">
      <c r="A163" s="8" t="s">
        <v>246</v>
      </c>
      <c r="B163" s="8" t="str">
        <f aca="false">IFERROR(INDEX('Source 2026'!$C:$C,MATCH($A163,'Source 2026'!$B:$B,0)),IFERROR(INDEX('Source 2025'!$C:$C,MATCH($A163,'Source 2025'!$B:$B,0)),""))</f>
        <v>0 רפידת לילדים אנטי ריח</v>
      </c>
      <c r="C163" s="9" t="n">
        <f aca="false">SUMIFS('Source 2025'!$I:$I,'Source 2025'!$B:$B,$A163,'Source 2025'!$A:$A,"Quantity (units)")</f>
        <v>146</v>
      </c>
      <c r="D163" s="9" t="n">
        <f aca="false">SUMIFS('Source 2026'!$I:$I,'Source 2026'!$B:$B,$A163,'Source 2026'!$A:$A,"Quantity (units)")</f>
        <v>56</v>
      </c>
      <c r="E163" s="9" t="n">
        <f aca="false">D163*$J$5</f>
        <v>70.7368421052632</v>
      </c>
      <c r="F163" s="9" t="n">
        <f aca="false">E163-C163</f>
        <v>-75.2631578947369</v>
      </c>
      <c r="G163" s="11" t="n">
        <f aca="false">IF(AND(C163=0,E163=0),0,IF(C163=0,"New",(E163-C163)/C163))</f>
        <v>-0.5155010814708</v>
      </c>
      <c r="H163" s="9" t="n">
        <f aca="false">SUMIFS('Source 2025'!$I:$I,'Source 2025'!$B:$B,$A163,'Source 2025'!$A:$A,"Amount (NIS)")</f>
        <v>1504.7</v>
      </c>
      <c r="I163" s="9" t="n">
        <f aca="false">SUMIFS('Source 2026'!$I:$I,'Source 2026'!$B:$B,$A163,'Source 2026'!$A:$A,"Amount (NIS)")</f>
        <v>574.5</v>
      </c>
      <c r="J163" s="9" t="n">
        <f aca="false">I163*$J$5</f>
        <v>725.684210526316</v>
      </c>
      <c r="K163" s="9" t="n">
        <f aca="false">J163-H163</f>
        <v>-779.015789473684</v>
      </c>
      <c r="L163" s="11" t="n">
        <f aca="false">IF(AND(H163=0,J163=0),0,IF(H163=0,"New",(J163-H163)/H163))</f>
        <v>-0.517721665098481</v>
      </c>
    </row>
    <row r="164" customFormat="false" ht="15" hidden="false" customHeight="true" outlineLevel="0" collapsed="false">
      <c r="A164" s="8" t="s">
        <v>169</v>
      </c>
      <c r="B164" s="8" t="str">
        <f aca="false">IFERROR(INDEX('Source 2026'!$C:$C,MATCH($A164,'Source 2026'!$B:$B,0)),IFERROR(INDEX('Source 2025'!$C:$C,MATCH($A164,'Source 2025'!$B:$B,0)),""))</f>
        <v>כרית ליישור אצבע פטיש</v>
      </c>
      <c r="C164" s="9" t="n">
        <f aca="false">SUMIFS('Source 2025'!$I:$I,'Source 2025'!$B:$B,$A164,'Source 2025'!$A:$A,"Quantity (units)")</f>
        <v>301</v>
      </c>
      <c r="D164" s="9" t="n">
        <f aca="false">SUMIFS('Source 2026'!$I:$I,'Source 2026'!$B:$B,$A164,'Source 2026'!$A:$A,"Quantity (units)")</f>
        <v>261</v>
      </c>
      <c r="E164" s="9" t="n">
        <f aca="false">D164*$J$5</f>
        <v>329.684210526316</v>
      </c>
      <c r="F164" s="9" t="n">
        <f aca="false">E164-C164</f>
        <v>28.6842105263158</v>
      </c>
      <c r="G164" s="11" t="n">
        <f aca="false">IF(AND(C164=0,E164=0),0,IF(C164=0,"New",(E164-C164)/C164))</f>
        <v>0.0952963804860989</v>
      </c>
      <c r="H164" s="9" t="n">
        <f aca="false">SUMIFS('Source 2025'!$I:$I,'Source 2025'!$B:$B,$A164,'Source 2025'!$A:$A,"Amount (NIS)")</f>
        <v>7428.9</v>
      </c>
      <c r="I164" s="9" t="n">
        <f aca="false">SUMIFS('Source 2026'!$I:$I,'Source 2026'!$B:$B,$A164,'Source 2026'!$A:$A,"Amount (NIS)")</f>
        <v>6510.6</v>
      </c>
      <c r="J164" s="9" t="n">
        <f aca="false">I164*$J$5</f>
        <v>8223.91578947368</v>
      </c>
      <c r="K164" s="9" t="n">
        <f aca="false">J164-H164</f>
        <v>795.015789473684</v>
      </c>
      <c r="L164" s="11" t="n">
        <f aca="false">IF(AND(H164=0,J164=0),0,IF(H164=0,"New",(J164-H164)/H164))</f>
        <v>0.107016622847755</v>
      </c>
    </row>
    <row r="165" customFormat="false" ht="15" hidden="false" customHeight="true" outlineLevel="0" collapsed="false">
      <c r="A165" s="8" t="s">
        <v>264</v>
      </c>
      <c r="B165" s="8" t="str">
        <f aca="false">IFERROR(INDEX('Source 2026'!$C:$C,MATCH($A165,'Source 2026'!$B:$B,0)),IFERROR(INDEX('Source 2025'!$C:$C,MATCH($A165,'Source 2025'!$B:$B,0)),""))</f>
        <v>S חגורת שבר דו צדדי</v>
      </c>
      <c r="C165" s="9" t="n">
        <f aca="false">SUMIFS('Source 2025'!$I:$I,'Source 2025'!$B:$B,$A165,'Source 2025'!$A:$A,"Quantity (units)")</f>
        <v>6</v>
      </c>
      <c r="D165" s="9" t="n">
        <f aca="false">SUMIFS('Source 2026'!$I:$I,'Source 2026'!$B:$B,$A165,'Source 2026'!$A:$A,"Quantity (units)")</f>
        <v>9</v>
      </c>
      <c r="E165" s="9" t="n">
        <f aca="false">D165*$J$5</f>
        <v>11.3684210526316</v>
      </c>
      <c r="F165" s="9" t="n">
        <f aca="false">E165-C165</f>
        <v>5.36842105263158</v>
      </c>
      <c r="G165" s="11" t="n">
        <f aca="false">IF(AND(C165=0,E165=0),0,IF(C165=0,"New",(E165-C165)/C165))</f>
        <v>0.894736842105263</v>
      </c>
      <c r="H165" s="9" t="n">
        <f aca="false">SUMIFS('Source 2025'!$I:$I,'Source 2025'!$B:$B,$A165,'Source 2025'!$A:$A,"Amount (NIS)")</f>
        <v>1810.2</v>
      </c>
      <c r="I165" s="9" t="n">
        <f aca="false">SUMIFS('Source 2026'!$I:$I,'Source 2026'!$B:$B,$A165,'Source 2026'!$A:$A,"Amount (NIS)")</f>
        <v>2715.4</v>
      </c>
      <c r="J165" s="9" t="n">
        <f aca="false">I165*$J$5</f>
        <v>3429.97894736842</v>
      </c>
      <c r="K165" s="9" t="n">
        <f aca="false">J165-H165</f>
        <v>1619.77894736842</v>
      </c>
      <c r="L165" s="11" t="n">
        <f aca="false">IF(AND(H165=0,J165=0),0,IF(H165=0,"New",(J165-H165)/H165))</f>
        <v>0.894806622123755</v>
      </c>
    </row>
    <row r="166" customFormat="false" ht="15" hidden="false" customHeight="true" outlineLevel="0" collapsed="false">
      <c r="A166" s="8" t="s">
        <v>236</v>
      </c>
      <c r="B166" s="8" t="str">
        <f aca="false">IFERROR(INDEX('Source 2026'!$C:$C,MATCH($A166,'Source 2026'!$B:$B,0)),IFERROR(INDEX('Source 2025'!$C:$C,MATCH($A166,'Source 2025'!$B:$B,0)),""))</f>
        <v>רפ.אורטופדית ספורט זוג35</v>
      </c>
      <c r="C166" s="9" t="n">
        <f aca="false">SUMIFS('Source 2025'!$I:$I,'Source 2025'!$B:$B,$A166,'Source 2025'!$A:$A,"Quantity (units)")</f>
        <v>19</v>
      </c>
      <c r="D166" s="9" t="n">
        <f aca="false">SUMIFS('Source 2026'!$I:$I,'Source 2026'!$B:$B,$A166,'Source 2026'!$A:$A,"Quantity (units)")</f>
        <v>-6</v>
      </c>
      <c r="E166" s="9" t="n">
        <f aca="false">D166*$J$5</f>
        <v>-7.57894736842105</v>
      </c>
      <c r="F166" s="9" t="n">
        <f aca="false">E166-C166</f>
        <v>-26.5789473684211</v>
      </c>
      <c r="G166" s="11" t="n">
        <f aca="false">IF(AND(C166=0,E166=0),0,IF(C166=0,"New",(E166-C166)/C166))</f>
        <v>-1.398891966759</v>
      </c>
      <c r="H166" s="9" t="n">
        <f aca="false">SUMIFS('Source 2025'!$I:$I,'Source 2025'!$B:$B,$A166,'Source 2025'!$A:$A,"Amount (NIS)")</f>
        <v>642</v>
      </c>
      <c r="I166" s="9" t="n">
        <f aca="false">SUMIFS('Source 2026'!$I:$I,'Source 2026'!$B:$B,$A166,'Source 2026'!$A:$A,"Amount (NIS)")</f>
        <v>-215.2</v>
      </c>
      <c r="J166" s="9" t="n">
        <f aca="false">I166*$J$5</f>
        <v>-271.831578947368</v>
      </c>
      <c r="K166" s="9" t="n">
        <f aca="false">J166-H166</f>
        <v>-913.831578947368</v>
      </c>
      <c r="L166" s="11" t="n">
        <f aca="false">IF(AND(H166=0,J166=0),0,IF(H166=0,"New",(J166-H166)/H166))</f>
        <v>-1.42341367437285</v>
      </c>
    </row>
    <row r="167" customFormat="false" ht="15" hidden="false" customHeight="true" outlineLevel="0" collapsed="false">
      <c r="A167" s="8" t="s">
        <v>189</v>
      </c>
      <c r="B167" s="8" t="str">
        <f aca="false">IFERROR(INDEX('Source 2026'!$C:$C,MATCH($A167,'Source 2026'!$B:$B,0)),IFERROR(INDEX('Source 2025'!$C:$C,MATCH($A167,'Source 2025'!$B:$B,0)),""))</f>
        <v>חגורת גב +סגירה כפולה</v>
      </c>
      <c r="C167" s="9" t="n">
        <f aca="false">SUMIFS('Source 2025'!$I:$I,'Source 2025'!$B:$B,$A167,'Source 2025'!$A:$A,"Quantity (units)")</f>
        <v>12</v>
      </c>
      <c r="D167" s="9" t="n">
        <f aca="false">SUMIFS('Source 2026'!$I:$I,'Source 2026'!$B:$B,$A167,'Source 2026'!$A:$A,"Quantity (units)")</f>
        <v>3</v>
      </c>
      <c r="E167" s="9" t="n">
        <f aca="false">D167*$J$5</f>
        <v>3.78947368421053</v>
      </c>
      <c r="F167" s="9" t="n">
        <f aca="false">E167-C167</f>
        <v>-8.21052631578947</v>
      </c>
      <c r="G167" s="11" t="n">
        <f aca="false">IF(AND(C167=0,E167=0),0,IF(C167=0,"New",(E167-C167)/C167))</f>
        <v>-0.68421052631579</v>
      </c>
      <c r="H167" s="9" t="n">
        <f aca="false">SUMIFS('Source 2025'!$I:$I,'Source 2025'!$B:$B,$A167,'Source 2025'!$A:$A,"Amount (NIS)")</f>
        <v>1152.7</v>
      </c>
      <c r="I167" s="9" t="n">
        <f aca="false">SUMIFS('Source 2026'!$I:$I,'Source 2026'!$B:$B,$A167,'Source 2026'!$A:$A,"Amount (NIS)")</f>
        <v>314.7</v>
      </c>
      <c r="J167" s="9" t="n">
        <f aca="false">I167*$J$5</f>
        <v>397.515789473684</v>
      </c>
      <c r="K167" s="9" t="n">
        <f aca="false">J167-H167</f>
        <v>-755.184210526316</v>
      </c>
      <c r="L167" s="11" t="n">
        <f aca="false">IF(AND(H167=0,J167=0),0,IF(H167=0,"New",(J167-H167)/H167))</f>
        <v>-0.655143758589673</v>
      </c>
    </row>
    <row r="168" customFormat="false" ht="15" hidden="false" customHeight="true" outlineLevel="0" collapsed="false">
      <c r="A168" s="8" t="s">
        <v>316</v>
      </c>
      <c r="B168" s="8" t="str">
        <f aca="false">IFERROR(INDEX('Source 2026'!$C:$C,MATCH($A168,'Source 2026'!$B:$B,0)),IFERROR(INDEX('Source 2025'!$C:$C,MATCH($A168,'Source 2025'!$B:$B,0)),""))</f>
        <v>סד לילה לבוהן</v>
      </c>
      <c r="C168" s="9" t="n">
        <f aca="false">SUMIFS('Source 2025'!$I:$I,'Source 2025'!$B:$B,$A168,'Source 2025'!$A:$A,"Quantity (units)")</f>
        <v>-16</v>
      </c>
      <c r="D168" s="9" t="n">
        <f aca="false">SUMIFS('Source 2026'!$I:$I,'Source 2026'!$B:$B,$A168,'Source 2026'!$A:$A,"Quantity (units)")</f>
        <v>-3</v>
      </c>
      <c r="E168" s="9" t="n">
        <f aca="false">D168*$J$5</f>
        <v>-3.78947368421053</v>
      </c>
      <c r="F168" s="9" t="n">
        <f aca="false">E168-C168</f>
        <v>12.2105263157895</v>
      </c>
      <c r="G168" s="11" t="n">
        <f aca="false">IF(AND(C168=0,E168=0),0,IF(C168=0,"New",(E168-C168)/C168))</f>
        <v>-0.763157894736842</v>
      </c>
      <c r="H168" s="9" t="n">
        <f aca="false">SUMIFS('Source 2025'!$I:$I,'Source 2025'!$B:$B,$A168,'Source 2025'!$A:$A,"Amount (NIS)")</f>
        <v>-1026.6</v>
      </c>
      <c r="I168" s="9" t="n">
        <f aca="false">SUMIFS('Source 2026'!$I:$I,'Source 2026'!$B:$B,$A168,'Source 2026'!$A:$A,"Amount (NIS)")</f>
        <v>-192.5</v>
      </c>
      <c r="J168" s="9" t="n">
        <f aca="false">I168*$J$5</f>
        <v>-243.157894736842</v>
      </c>
      <c r="K168" s="9" t="n">
        <f aca="false">J168-H168</f>
        <v>783.442105263158</v>
      </c>
      <c r="L168" s="11" t="n">
        <f aca="false">IF(AND(H168=0,J168=0),0,IF(H168=0,"New",(J168-H168)/H168))</f>
        <v>-0.763142514380633</v>
      </c>
    </row>
    <row r="169" customFormat="false" ht="15" hidden="false" customHeight="true" outlineLevel="0" collapsed="false">
      <c r="A169" s="8" t="s">
        <v>259</v>
      </c>
      <c r="B169" s="8" t="str">
        <f aca="false">IFERROR(INDEX('Source 2026'!$C:$C,MATCH($A169,'Source 2026'!$B:$B,0)),IFERROR(INDEX('Source 2025'!$C:$C,MATCH($A169,'Source 2025'!$B:$B,0)),""))</f>
        <v>סיליק.לכרית כף הרגל373</v>
      </c>
      <c r="C169" s="9" t="n">
        <f aca="false">SUMIFS('Source 2025'!$I:$I,'Source 2025'!$B:$B,$A169,'Source 2025'!$A:$A,"Quantity (units)")</f>
        <v>59</v>
      </c>
      <c r="D169" s="9" t="n">
        <f aca="false">SUMIFS('Source 2026'!$I:$I,'Source 2026'!$B:$B,$A169,'Source 2026'!$A:$A,"Quantity (units)")</f>
        <v>18</v>
      </c>
      <c r="E169" s="9" t="n">
        <f aca="false">D169*$J$5</f>
        <v>22.7368421052632</v>
      </c>
      <c r="F169" s="9" t="n">
        <f aca="false">E169-C169</f>
        <v>-36.2631578947368</v>
      </c>
      <c r="G169" s="11" t="n">
        <f aca="false">IF(AND(C169=0,E169=0),0,IF(C169=0,"New",(E169-C169)/C169))</f>
        <v>-0.614629794826048</v>
      </c>
      <c r="H169" s="9" t="n">
        <f aca="false">SUMIFS('Source 2025'!$I:$I,'Source 2025'!$B:$B,$A169,'Source 2025'!$A:$A,"Amount (NIS)")</f>
        <v>1132</v>
      </c>
      <c r="I169" s="9" t="n">
        <f aca="false">SUMIFS('Source 2026'!$I:$I,'Source 2026'!$B:$B,$A169,'Source 2026'!$A:$A,"Amount (NIS)")</f>
        <v>344.5</v>
      </c>
      <c r="J169" s="9" t="n">
        <f aca="false">I169*$J$5</f>
        <v>435.157894736842</v>
      </c>
      <c r="K169" s="9" t="n">
        <f aca="false">J169-H169</f>
        <v>-696.842105263158</v>
      </c>
      <c r="L169" s="11" t="n">
        <f aca="false">IF(AND(H169=0,J169=0),0,IF(H169=0,"New",(J169-H169)/H169))</f>
        <v>-0.615584898642366</v>
      </c>
    </row>
    <row r="170" customFormat="false" ht="15" hidden="false" customHeight="true" outlineLevel="0" collapsed="false">
      <c r="A170" s="8" t="s">
        <v>228</v>
      </c>
      <c r="B170" s="8" t="str">
        <f aca="false">IFERROR(INDEX('Source 2026'!$C:$C,MATCH($A170,'Source 2026'!$B:$B,0)),IFERROR(INDEX('Source 2025'!$C:$C,MATCH($A170,'Source 2025'!$B:$B,0)),""))</f>
        <v>סכינים למקצוע</v>
      </c>
      <c r="C170" s="9" t="n">
        <f aca="false">SUMIFS('Source 2025'!$I:$I,'Source 2025'!$B:$B,$A170,'Source 2025'!$A:$A,"Quantity (units)")</f>
        <v>166</v>
      </c>
      <c r="D170" s="9" t="n">
        <f aca="false">SUMIFS('Source 2026'!$I:$I,'Source 2026'!$B:$B,$A170,'Source 2026'!$A:$A,"Quantity (units)")</f>
        <v>73</v>
      </c>
      <c r="E170" s="9" t="n">
        <f aca="false">D170*$J$5</f>
        <v>92.2105263157895</v>
      </c>
      <c r="F170" s="9" t="n">
        <f aca="false">E170-C170</f>
        <v>-73.7894736842105</v>
      </c>
      <c r="G170" s="11" t="n">
        <f aca="false">IF(AND(C170=0,E170=0),0,IF(C170=0,"New",(E170-C170)/C170))</f>
        <v>-0.444514901712112</v>
      </c>
      <c r="H170" s="9" t="n">
        <f aca="false">SUMIFS('Source 2025'!$I:$I,'Source 2025'!$B:$B,$A170,'Source 2025'!$A:$A,"Amount (NIS)")</f>
        <v>1355.6</v>
      </c>
      <c r="I170" s="9" t="n">
        <f aca="false">SUMIFS('Source 2026'!$I:$I,'Source 2026'!$B:$B,$A170,'Source 2026'!$A:$A,"Amount (NIS)")</f>
        <v>575.8</v>
      </c>
      <c r="J170" s="9" t="n">
        <f aca="false">I170*$J$5</f>
        <v>727.326315789474</v>
      </c>
      <c r="K170" s="9" t="n">
        <f aca="false">J170-H170</f>
        <v>-628.273684210526</v>
      </c>
      <c r="L170" s="11" t="n">
        <f aca="false">IF(AND(H170=0,J170=0),0,IF(H170=0,"New",(J170-H170)/H170))</f>
        <v>-0.463465391126089</v>
      </c>
    </row>
    <row r="171" customFormat="false" ht="15" hidden="false" customHeight="true" outlineLevel="0" collapsed="false">
      <c r="A171" s="8" t="s">
        <v>239</v>
      </c>
      <c r="B171" s="8" t="str">
        <f aca="false">IFERROR(INDEX('Source 2026'!$C:$C,MATCH($A171,'Source 2026'!$B:$B,0)),IFERROR(INDEX('Source 2025'!$C:$C,MATCH($A171,'Source 2025'!$B:$B,0)),""))</f>
        <v>S מגן קרסול ימין</v>
      </c>
      <c r="C171" s="9" t="n">
        <f aca="false">SUMIFS('Source 2025'!$I:$I,'Source 2025'!$B:$B,$A171,'Source 2025'!$A:$A,"Quantity (units)")</f>
        <v>52</v>
      </c>
      <c r="D171" s="9" t="n">
        <f aca="false">SUMIFS('Source 2026'!$I:$I,'Source 2026'!$B:$B,$A171,'Source 2026'!$A:$A,"Quantity (units)")</f>
        <v>60</v>
      </c>
      <c r="E171" s="9" t="n">
        <f aca="false">D171*$J$5</f>
        <v>75.7894736842105</v>
      </c>
      <c r="F171" s="9" t="n">
        <f aca="false">E171-C171</f>
        <v>23.7894736842105</v>
      </c>
      <c r="G171" s="11" t="n">
        <f aca="false">IF(AND(C171=0,E171=0),0,IF(C171=0,"New",(E171-C171)/C171))</f>
        <v>0.45748987854251</v>
      </c>
      <c r="H171" s="9" t="n">
        <f aca="false">SUMIFS('Source 2025'!$I:$I,'Source 2025'!$B:$B,$A171,'Source 2025'!$A:$A,"Amount (NIS)")</f>
        <v>3708.5</v>
      </c>
      <c r="I171" s="9" t="n">
        <f aca="false">SUMIFS('Source 2026'!$I:$I,'Source 2026'!$B:$B,$A171,'Source 2026'!$A:$A,"Amount (NIS)")</f>
        <v>4486.7</v>
      </c>
      <c r="J171" s="9" t="n">
        <f aca="false">I171*$J$5</f>
        <v>5667.41052631579</v>
      </c>
      <c r="K171" s="9" t="n">
        <f aca="false">J171-H171</f>
        <v>1958.91052631579</v>
      </c>
      <c r="L171" s="11" t="n">
        <f aca="false">IF(AND(H171=0,J171=0),0,IF(H171=0,"New",(J171-H171)/H171))</f>
        <v>0.528221794880892</v>
      </c>
    </row>
    <row r="172" customFormat="false" ht="15" hidden="false" customHeight="true" outlineLevel="0" collapsed="false">
      <c r="A172" s="8" t="s">
        <v>280</v>
      </c>
      <c r="B172" s="8" t="str">
        <f aca="false">IFERROR(INDEX('Source 2026'!$C:$C,MATCH($A172,'Source 2026'!$B:$B,0)),IFERROR(INDEX('Source 2025'!$C:$C,MATCH($A172,'Source 2025'!$B:$B,0)),""))</f>
        <v>M חבק יד אגודלי</v>
      </c>
      <c r="C172" s="9" t="n">
        <f aca="false">SUMIFS('Source 2025'!$I:$I,'Source 2025'!$B:$B,$A172,'Source 2025'!$A:$A,"Quantity (units)")</f>
        <v>-14</v>
      </c>
      <c r="D172" s="9" t="n">
        <f aca="false">SUMIFS('Source 2026'!$I:$I,'Source 2026'!$B:$B,$A172,'Source 2026'!$A:$A,"Quantity (units)")</f>
        <v>-3</v>
      </c>
      <c r="E172" s="9" t="n">
        <f aca="false">D172*$J$5</f>
        <v>-3.78947368421053</v>
      </c>
      <c r="F172" s="9" t="n">
        <f aca="false">E172-C172</f>
        <v>10.2105263157895</v>
      </c>
      <c r="G172" s="11" t="n">
        <f aca="false">IF(AND(C172=0,E172=0),0,IF(C172=0,"New",(E172-C172)/C172))</f>
        <v>-0.729323308270677</v>
      </c>
      <c r="H172" s="9" t="n">
        <f aca="false">SUMIFS('Source 2025'!$I:$I,'Source 2025'!$B:$B,$A172,'Source 2025'!$A:$A,"Amount (NIS)")</f>
        <v>-942.3</v>
      </c>
      <c r="I172" s="9" t="n">
        <f aca="false">SUMIFS('Source 2026'!$I:$I,'Source 2026'!$B:$B,$A172,'Source 2026'!$A:$A,"Amount (NIS)")</f>
        <v>-192.6</v>
      </c>
      <c r="J172" s="9" t="n">
        <f aca="false">I172*$J$5</f>
        <v>-243.284210526316</v>
      </c>
      <c r="K172" s="9" t="n">
        <f aca="false">J172-H172</f>
        <v>699.015789473684</v>
      </c>
      <c r="L172" s="11" t="n">
        <f aca="false">IF(AND(H172=0,J172=0),0,IF(H172=0,"New",(J172-H172)/H172))</f>
        <v>-0.741818730206605</v>
      </c>
    </row>
    <row r="173" customFormat="false" ht="15" hidden="false" customHeight="true" outlineLevel="0" collapsed="false">
      <c r="A173" s="8" t="s">
        <v>153</v>
      </c>
      <c r="B173" s="8" t="str">
        <f aca="false">IFERROR(INDEX('Source 2026'!$C:$C,MATCH($A173,'Source 2026'!$B:$B,0)),IFERROR(INDEX('Source 2025'!$C:$C,MATCH($A173,'Source 2025'!$B:$B,0)),""))</f>
        <v>S ח.גב ""איטלקית"" אורירית</v>
      </c>
      <c r="C173" s="9" t="n">
        <f aca="false">SUMIFS('Source 2025'!$I:$I,'Source 2025'!$B:$B,$A173,'Source 2025'!$A:$A,"Quantity (units)")</f>
        <v>2</v>
      </c>
      <c r="D173" s="9" t="n">
        <f aca="false">SUMIFS('Source 2026'!$I:$I,'Source 2026'!$B:$B,$A173,'Source 2026'!$A:$A,"Quantity (units)")</f>
        <v>-1</v>
      </c>
      <c r="E173" s="9" t="n">
        <f aca="false">D173*$J$5</f>
        <v>-1.26315789473684</v>
      </c>
      <c r="F173" s="9" t="n">
        <f aca="false">E173-C173</f>
        <v>-3.26315789473684</v>
      </c>
      <c r="G173" s="11" t="n">
        <f aca="false">IF(AND(C173=0,E173=0),0,IF(C173=0,"New",(E173-C173)/C173))</f>
        <v>-1.63157894736842</v>
      </c>
      <c r="H173" s="9" t="n">
        <f aca="false">SUMIFS('Source 2025'!$I:$I,'Source 2025'!$B:$B,$A173,'Source 2025'!$A:$A,"Amount (NIS)")</f>
        <v>517.2</v>
      </c>
      <c r="I173" s="9" t="n">
        <f aca="false">SUMIFS('Source 2026'!$I:$I,'Source 2026'!$B:$B,$A173,'Source 2026'!$A:$A,"Amount (NIS)")</f>
        <v>-215.4</v>
      </c>
      <c r="J173" s="9" t="n">
        <f aca="false">I173*$J$5</f>
        <v>-272.084210526316</v>
      </c>
      <c r="K173" s="9" t="n">
        <f aca="false">J173-H173</f>
        <v>-789.284210526316</v>
      </c>
      <c r="L173" s="11" t="n">
        <f aca="false">IF(AND(H173=0,J173=0),0,IF(H173=0,"New",(J173-H173)/H173))</f>
        <v>-1.52607155940896</v>
      </c>
    </row>
    <row r="174" customFormat="false" ht="15" hidden="false" customHeight="true" outlineLevel="0" collapsed="false">
      <c r="A174" s="8" t="s">
        <v>191</v>
      </c>
      <c r="B174" s="8" t="str">
        <f aca="false">IFERROR(INDEX('Source 2026'!$C:$C,MATCH($A174,'Source 2026'!$B:$B,0)),IFERROR(INDEX('Source 2025'!$C:$C,MATCH($A174,'Source 2025'!$B:$B,0)),""))</f>
        <v>35-38 גרב.כסף לסכרתים לבן</v>
      </c>
      <c r="C174" s="9" t="n">
        <f aca="false">SUMIFS('Source 2025'!$I:$I,'Source 2025'!$B:$B,$A174,'Source 2025'!$A:$A,"Quantity (units)")</f>
        <v>209</v>
      </c>
      <c r="D174" s="9" t="n">
        <f aca="false">SUMIFS('Source 2026'!$I:$I,'Source 2026'!$B:$B,$A174,'Source 2026'!$A:$A,"Quantity (units)")</f>
        <v>173</v>
      </c>
      <c r="E174" s="9" t="n">
        <f aca="false">D174*$J$5</f>
        <v>218.526315789474</v>
      </c>
      <c r="F174" s="9" t="n">
        <f aca="false">E174-C174</f>
        <v>9.52631578947367</v>
      </c>
      <c r="G174" s="11" t="n">
        <f aca="false">IF(AND(C174=0,E174=0),0,IF(C174=0,"New",(E174-C174)/C174))</f>
        <v>0.0455804583228405</v>
      </c>
      <c r="H174" s="9" t="n">
        <f aca="false">SUMIFS('Source 2025'!$I:$I,'Source 2025'!$B:$B,$A174,'Source 2025'!$A:$A,"Amount (NIS)")</f>
        <v>4659.6</v>
      </c>
      <c r="I174" s="9" t="n">
        <f aca="false">SUMIFS('Source 2026'!$I:$I,'Source 2026'!$B:$B,$A174,'Source 2026'!$A:$A,"Amount (NIS)")</f>
        <v>3937.8</v>
      </c>
      <c r="J174" s="9" t="n">
        <f aca="false">I174*$J$5</f>
        <v>4974.06315789474</v>
      </c>
      <c r="K174" s="9" t="n">
        <f aca="false">J174-H174</f>
        <v>314.463157894736</v>
      </c>
      <c r="L174" s="11" t="n">
        <f aca="false">IF(AND(H174=0,J174=0),0,IF(H174=0,"New",(J174-H174)/H174))</f>
        <v>0.0674871572441275</v>
      </c>
    </row>
    <row r="175" customFormat="false" ht="15" hidden="false" customHeight="true" outlineLevel="0" collapsed="false">
      <c r="A175" s="8" t="s">
        <v>82</v>
      </c>
      <c r="B175" s="8" t="str">
        <f aca="false">IFERROR(INDEX('Source 2026'!$C:$C,MATCH($A175,'Source 2026'!$B:$B,0)),IFERROR(INDEX('Source 2025'!$C:$C,MATCH($A175,'Source 2025'!$B:$B,0)),""))</f>
        <v>חגורת גב עם תמיכות</v>
      </c>
      <c r="C175" s="9" t="n">
        <f aca="false">SUMIFS('Source 2025'!$I:$I,'Source 2025'!$B:$B,$A175,'Source 2025'!$A:$A,"Quantity (units)")</f>
        <v>34</v>
      </c>
      <c r="D175" s="9" t="n">
        <f aca="false">SUMIFS('Source 2026'!$I:$I,'Source 2026'!$B:$B,$A175,'Source 2026'!$A:$A,"Quantity (units)")</f>
        <v>27</v>
      </c>
      <c r="E175" s="9" t="n">
        <f aca="false">D175*$J$5</f>
        <v>34.1052631578947</v>
      </c>
      <c r="F175" s="9" t="n">
        <f aca="false">E175-C175</f>
        <v>0.105263157894733</v>
      </c>
      <c r="G175" s="11" t="n">
        <f aca="false">IF(AND(C175=0,E175=0),0,IF(C175=0,"New",(E175-C175)/C175))</f>
        <v>0.00309597523219802</v>
      </c>
      <c r="H175" s="9" t="n">
        <f aca="false">SUMIFS('Source 2025'!$I:$I,'Source 2025'!$B:$B,$A175,'Source 2025'!$A:$A,"Amount (NIS)")</f>
        <v>3108</v>
      </c>
      <c r="I175" s="9" t="n">
        <f aca="false">SUMIFS('Source 2026'!$I:$I,'Source 2026'!$B:$B,$A175,'Source 2026'!$A:$A,"Amount (NIS)")</f>
        <v>2408.6</v>
      </c>
      <c r="J175" s="9" t="n">
        <f aca="false">I175*$J$5</f>
        <v>3042.44210526316</v>
      </c>
      <c r="K175" s="9" t="n">
        <f aca="false">J175-H175</f>
        <v>-65.5578947368422</v>
      </c>
      <c r="L175" s="11" t="n">
        <f aca="false">IF(AND(H175=0,J175=0),0,IF(H175=0,"New",(J175-H175)/H175))</f>
        <v>-0.0210932737248527</v>
      </c>
    </row>
    <row r="176" customFormat="false" ht="15" hidden="false" customHeight="true" outlineLevel="0" collapsed="false">
      <c r="A176" s="8" t="s">
        <v>314</v>
      </c>
      <c r="B176" s="8" t="str">
        <f aca="false">IFERROR(INDEX('Source 2026'!$C:$C,MATCH($A176,'Source 2026'!$B:$B,0)),IFERROR(INDEX('Source 2025'!$C:$C,MATCH($A176,'Source 2025'!$B:$B,0)),""))</f>
        <v>קיבוע לאצבע הדק</v>
      </c>
      <c r="C176" s="9" t="n">
        <f aca="false">SUMIFS('Source 2025'!$I:$I,'Source 2025'!$B:$B,$A176,'Source 2025'!$A:$A,"Quantity (units)")</f>
        <v>230</v>
      </c>
      <c r="D176" s="9" t="n">
        <f aca="false">SUMIFS('Source 2026'!$I:$I,'Source 2026'!$B:$B,$A176,'Source 2026'!$A:$A,"Quantity (units)")</f>
        <v>188</v>
      </c>
      <c r="E176" s="9" t="n">
        <f aca="false">D176*$J$5</f>
        <v>237.473684210526</v>
      </c>
      <c r="F176" s="9" t="n">
        <f aca="false">E176-C176</f>
        <v>7.4736842105263</v>
      </c>
      <c r="G176" s="11" t="n">
        <f aca="false">IF(AND(C176=0,E176=0),0,IF(C176=0,"New",(E176-C176)/C176))</f>
        <v>0.0324942791762013</v>
      </c>
      <c r="H176" s="9" t="n">
        <f aca="false">SUMIFS('Source 2025'!$I:$I,'Source 2025'!$B:$B,$A176,'Source 2025'!$A:$A,"Amount (NIS)")</f>
        <v>5827.9</v>
      </c>
      <c r="I176" s="9" t="n">
        <f aca="false">SUMIFS('Source 2026'!$I:$I,'Source 2026'!$B:$B,$A176,'Source 2026'!$A:$A,"Amount (NIS)")</f>
        <v>5129.6</v>
      </c>
      <c r="J176" s="9" t="n">
        <f aca="false">I176*$J$5</f>
        <v>6479.49473684211</v>
      </c>
      <c r="K176" s="9" t="n">
        <f aca="false">J176-H176</f>
        <v>651.594736842106</v>
      </c>
      <c r="L176" s="11" t="n">
        <f aca="false">IF(AND(H176=0,J176=0),0,IF(H176=0,"New",(J176-H176)/H176))</f>
        <v>0.111806094277888</v>
      </c>
    </row>
    <row r="177" customFormat="false" ht="15" hidden="false" customHeight="true" outlineLevel="0" collapsed="false">
      <c r="A177" s="8" t="s">
        <v>263</v>
      </c>
      <c r="B177" s="8" t="str">
        <f aca="false">IFERROR(INDEX('Source 2026'!$C:$C,MATCH($A177,'Source 2026'!$B:$B,0)),IFERROR(INDEX('Source 2025'!$C:$C,MATCH($A177,'Source 2025'!$B:$B,0)),""))</f>
        <v>גרבי כסף לסכרת מידה</v>
      </c>
      <c r="C177" s="9" t="n">
        <f aca="false">SUMIFS('Source 2025'!$I:$I,'Source 2025'!$B:$B,$A177,'Source 2025'!$A:$A,"Quantity (units)")</f>
        <v>42</v>
      </c>
      <c r="D177" s="9" t="n">
        <f aca="false">SUMIFS('Source 2026'!$I:$I,'Source 2026'!$B:$B,$A177,'Source 2026'!$A:$A,"Quantity (units)")</f>
        <v>18</v>
      </c>
      <c r="E177" s="9" t="n">
        <f aca="false">D177*$J$5</f>
        <v>22.7368421052632</v>
      </c>
      <c r="F177" s="9" t="n">
        <f aca="false">E177-C177</f>
        <v>-19.2631578947368</v>
      </c>
      <c r="G177" s="11" t="n">
        <f aca="false">IF(AND(C177=0,E177=0),0,IF(C177=0,"New",(E177-C177)/C177))</f>
        <v>-0.458646616541353</v>
      </c>
      <c r="H177" s="9" t="n">
        <f aca="false">SUMIFS('Source 2025'!$I:$I,'Source 2025'!$B:$B,$A177,'Source 2025'!$A:$A,"Amount (NIS)")</f>
        <v>1227</v>
      </c>
      <c r="I177" s="9" t="n">
        <f aca="false">SUMIFS('Source 2026'!$I:$I,'Source 2026'!$B:$B,$A177,'Source 2026'!$A:$A,"Amount (NIS)")</f>
        <v>530.1</v>
      </c>
      <c r="J177" s="9" t="n">
        <f aca="false">I177*$J$5</f>
        <v>669.6</v>
      </c>
      <c r="K177" s="9" t="n">
        <f aca="false">J177-H177</f>
        <v>-557.4</v>
      </c>
      <c r="L177" s="11" t="n">
        <f aca="false">IF(AND(H177=0,J177=0),0,IF(H177=0,"New",(J177-H177)/H177))</f>
        <v>-0.454278728606357</v>
      </c>
    </row>
    <row r="178" customFormat="false" ht="15" hidden="false" customHeight="true" outlineLevel="0" collapsed="false">
      <c r="A178" s="8" t="s">
        <v>124</v>
      </c>
      <c r="B178" s="8" t="str">
        <f aca="false">IFERROR(INDEX('Source 2026'!$C:$C,MATCH($A178,'Source 2026'!$B:$B,0)),IFERROR(INDEX('Source 2025'!$C:$C,MATCH($A178,'Source 2025'!$B:$B,0)),""))</f>
        <v>Sמיישר כתף יציב יישור ג.רחב</v>
      </c>
      <c r="C178" s="9" t="n">
        <f aca="false">SUMIFS('Source 2025'!$I:$I,'Source 2025'!$B:$B,$A178,'Source 2025'!$A:$A,"Quantity (units)")</f>
        <v>30</v>
      </c>
      <c r="D178" s="9" t="n">
        <f aca="false">SUMIFS('Source 2026'!$I:$I,'Source 2026'!$B:$B,$A178,'Source 2026'!$A:$A,"Quantity (units)")</f>
        <v>33</v>
      </c>
      <c r="E178" s="9" t="n">
        <f aca="false">D178*$J$5</f>
        <v>41.6842105263158</v>
      </c>
      <c r="F178" s="9" t="n">
        <f aca="false">E178-C178</f>
        <v>11.6842105263158</v>
      </c>
      <c r="G178" s="11" t="n">
        <f aca="false">IF(AND(C178=0,E178=0),0,IF(C178=0,"New",(E178-C178)/C178))</f>
        <v>0.389473684210526</v>
      </c>
      <c r="H178" s="9" t="n">
        <f aca="false">SUMIFS('Source 2025'!$I:$I,'Source 2025'!$B:$B,$A178,'Source 2025'!$A:$A,"Amount (NIS)")</f>
        <v>4948.4</v>
      </c>
      <c r="I178" s="9" t="n">
        <f aca="false">SUMIFS('Source 2026'!$I:$I,'Source 2026'!$B:$B,$A178,'Source 2026'!$A:$A,"Amount (NIS)")</f>
        <v>5645</v>
      </c>
      <c r="J178" s="9" t="n">
        <f aca="false">I178*$J$5</f>
        <v>7130.52631578947</v>
      </c>
      <c r="K178" s="9" t="n">
        <f aca="false">J178-H178</f>
        <v>2182.12631578947</v>
      </c>
      <c r="L178" s="11" t="n">
        <f aca="false">IF(AND(H178=0,J178=0),0,IF(H178=0,"New",(J178-H178)/H178))</f>
        <v>0.440976136890606</v>
      </c>
    </row>
    <row r="179" customFormat="false" ht="15" hidden="false" customHeight="true" outlineLevel="0" collapsed="false">
      <c r="A179" s="8" t="s">
        <v>302</v>
      </c>
      <c r="B179" s="8" t="str">
        <f aca="false">IFERROR(INDEX('Source 2026'!$C:$C,MATCH($A179,'Source 2026'!$B:$B,0)),IFERROR(INDEX('Source 2025'!$C:$C,MATCH($A179,'Source 2025'!$B:$B,0)),""))</f>
        <v>S חגורת שבר לצד שמאל</v>
      </c>
      <c r="C179" s="9" t="n">
        <f aca="false">SUMIFS('Source 2025'!$I:$I,'Source 2025'!$B:$B,$A179,'Source 2025'!$A:$A,"Quantity (units)")</f>
        <v>-2</v>
      </c>
      <c r="D179" s="9" t="n">
        <f aca="false">SUMIFS('Source 2026'!$I:$I,'Source 2026'!$B:$B,$A179,'Source 2026'!$A:$A,"Quantity (units)")</f>
        <v>1</v>
      </c>
      <c r="E179" s="9" t="n">
        <f aca="false">D179*$J$5</f>
        <v>1.26315789473684</v>
      </c>
      <c r="F179" s="9" t="n">
        <f aca="false">E179-C179</f>
        <v>3.26315789473684</v>
      </c>
      <c r="G179" s="11" t="n">
        <f aca="false">IF(AND(C179=0,E179=0),0,IF(C179=0,"New",(E179-C179)/C179))</f>
        <v>-1.63157894736842</v>
      </c>
      <c r="H179" s="9" t="n">
        <f aca="false">SUMIFS('Source 2025'!$I:$I,'Source 2025'!$B:$B,$A179,'Source 2025'!$A:$A,"Amount (NIS)")</f>
        <v>-345</v>
      </c>
      <c r="I179" s="9" t="n">
        <f aca="false">SUMIFS('Source 2026'!$I:$I,'Source 2026'!$B:$B,$A179,'Source 2026'!$A:$A,"Amount (NIS)")</f>
        <v>334.5</v>
      </c>
      <c r="J179" s="9" t="n">
        <f aca="false">I179*$J$5</f>
        <v>422.526315789474</v>
      </c>
      <c r="K179" s="9" t="n">
        <f aca="false">J179-H179</f>
        <v>767.526315789474</v>
      </c>
      <c r="L179" s="11" t="n">
        <f aca="false">IF(AND(H179=0,J179=0),0,IF(H179=0,"New",(J179-H179)/H179))</f>
        <v>-2.22471395881007</v>
      </c>
    </row>
    <row r="180" customFormat="false" ht="15" hidden="false" customHeight="true" outlineLevel="0" collapsed="false">
      <c r="A180" s="8" t="s">
        <v>230</v>
      </c>
      <c r="B180" s="8" t="str">
        <f aca="false">IFERROR(INDEX('Source 2026'!$C:$C,MATCH($A180,'Source 2026'!$B:$B,0)),IFERROR(INDEX('Source 2025'!$C:$C,MATCH($A180,'Source 2025'!$B:$B,0)),""))</f>
        <v>נגד פטרת הציפורן</v>
      </c>
      <c r="C180" s="9" t="n">
        <f aca="false">SUMIFS('Source 2025'!$I:$I,'Source 2025'!$B:$B,$A180,'Source 2025'!$A:$A,"Quantity (units)")</f>
        <v>-25</v>
      </c>
      <c r="D180" s="9" t="n">
        <f aca="false">SUMIFS('Source 2026'!$I:$I,'Source 2026'!$B:$B,$A180,'Source 2026'!$A:$A,"Quantity (units)")</f>
        <v>-8</v>
      </c>
      <c r="E180" s="9" t="n">
        <f aca="false">D180*$J$5</f>
        <v>-10.1052631578947</v>
      </c>
      <c r="F180" s="9" t="n">
        <f aca="false">E180-C180</f>
        <v>14.8947368421053</v>
      </c>
      <c r="G180" s="11" t="n">
        <f aca="false">IF(AND(C180=0,E180=0),0,IF(C180=0,"New",(E180-C180)/C180))</f>
        <v>-0.595789473684211</v>
      </c>
      <c r="H180" s="9" t="n">
        <f aca="false">SUMIFS('Source 2025'!$I:$I,'Source 2025'!$B:$B,$A180,'Source 2025'!$A:$A,"Amount (NIS)")</f>
        <v>-884.7</v>
      </c>
      <c r="I180" s="9" t="n">
        <f aca="false">SUMIFS('Source 2026'!$I:$I,'Source 2026'!$B:$B,$A180,'Source 2026'!$A:$A,"Amount (NIS)")</f>
        <v>-249.4</v>
      </c>
      <c r="J180" s="9" t="n">
        <f aca="false">I180*$J$5</f>
        <v>-315.031578947368</v>
      </c>
      <c r="K180" s="9" t="n">
        <f aca="false">J180-H180</f>
        <v>569.668421052632</v>
      </c>
      <c r="L180" s="11" t="n">
        <f aca="false">IF(AND(H180=0,J180=0),0,IF(H180=0,"New",(J180-H180)/H180))</f>
        <v>-0.643911406185861</v>
      </c>
    </row>
    <row r="181" customFormat="false" ht="15" hidden="false" customHeight="true" outlineLevel="0" collapsed="false">
      <c r="A181" s="8" t="s">
        <v>303</v>
      </c>
      <c r="B181" s="8" t="str">
        <f aca="false">IFERROR(INDEX('Source 2026'!$C:$C,MATCH($A181,'Source 2026'!$B:$B,0)),IFERROR(INDEX('Source 2025'!$C:$C,MATCH($A181,'Source 2025'!$B:$B,0)),""))</f>
        <v>11אפורUGחגורת בטן</v>
      </c>
      <c r="C181" s="9" t="n">
        <f aca="false">SUMIFS('Source 2025'!$I:$I,'Source 2025'!$B:$B,$A181,'Source 2025'!$A:$A,"Quantity (units)")</f>
        <v>8</v>
      </c>
      <c r="D181" s="9" t="n">
        <f aca="false">SUMIFS('Source 2026'!$I:$I,'Source 2026'!$B:$B,$A181,'Source 2026'!$A:$A,"Quantity (units)")</f>
        <v>0</v>
      </c>
      <c r="E181" s="9" t="n">
        <f aca="false">D181*$J$5</f>
        <v>0</v>
      </c>
      <c r="F181" s="9" t="n">
        <f aca="false">E181-C181</f>
        <v>-8</v>
      </c>
      <c r="G181" s="11" t="n">
        <f aca="false">IF(AND(C181=0,E181=0),0,IF(C181=0,"New",(E181-C181)/C181))</f>
        <v>-1</v>
      </c>
      <c r="H181" s="9" t="n">
        <f aca="false">SUMIFS('Source 2025'!$I:$I,'Source 2025'!$B:$B,$A181,'Source 2025'!$A:$A,"Amount (NIS)")</f>
        <v>635.4</v>
      </c>
      <c r="I181" s="9" t="n">
        <f aca="false">SUMIFS('Source 2026'!$I:$I,'Source 2026'!$B:$B,$A181,'Source 2026'!$A:$A,"Amount (NIS)")</f>
        <v>17</v>
      </c>
      <c r="J181" s="9" t="n">
        <f aca="false">I181*$J$5</f>
        <v>21.4736842105263</v>
      </c>
      <c r="K181" s="9" t="n">
        <f aca="false">J181-H181</f>
        <v>-613.926315789474</v>
      </c>
      <c r="L181" s="11" t="n">
        <f aca="false">IF(AND(H181=0,J181=0),0,IF(H181=0,"New",(J181-H181)/H181))</f>
        <v>-0.966204462998857</v>
      </c>
    </row>
    <row r="182" customFormat="false" ht="15" hidden="false" customHeight="true" outlineLevel="0" collapsed="false">
      <c r="A182" s="8" t="s">
        <v>301</v>
      </c>
      <c r="B182" s="8" t="str">
        <f aca="false">IFERROR(INDEX('Source 2026'!$C:$C,MATCH($A182,'Source 2026'!$B:$B,0)),IFERROR(INDEX('Source 2025'!$C:$C,MATCH($A182,'Source 2025'!$B:$B,0)),""))</f>
        <v>סד לאגודל לאחר שבר</v>
      </c>
      <c r="C182" s="9" t="n">
        <f aca="false">SUMIFS('Source 2025'!$I:$I,'Source 2025'!$B:$B,$A182,'Source 2025'!$A:$A,"Quantity (units)")</f>
        <v>0</v>
      </c>
      <c r="D182" s="9" t="n">
        <f aca="false">SUMIFS('Source 2026'!$I:$I,'Source 2026'!$B:$B,$A182,'Source 2026'!$A:$A,"Quantity (units)")</f>
        <v>7</v>
      </c>
      <c r="E182" s="9" t="n">
        <f aca="false">D182*$J$5</f>
        <v>8.84210526315789</v>
      </c>
      <c r="F182" s="9" t="n">
        <f aca="false">E182-C182</f>
        <v>8.84210526315789</v>
      </c>
      <c r="G182" s="11" t="str">
        <f aca="false">IF(AND(C182=0,E182=0),0,IF(C182=0,"New",(E182-C182)/C182))</f>
        <v>New</v>
      </c>
      <c r="H182" s="9" t="n">
        <f aca="false">SUMIFS('Source 2025'!$I:$I,'Source 2025'!$B:$B,$A182,'Source 2025'!$A:$A,"Amount (NIS)")</f>
        <v>0</v>
      </c>
      <c r="I182" s="9" t="n">
        <f aca="false">SUMIFS('Source 2026'!$I:$I,'Source 2026'!$B:$B,$A182,'Source 2026'!$A:$A,"Amount (NIS)")</f>
        <v>617.4</v>
      </c>
      <c r="J182" s="9" t="n">
        <f aca="false">I182*$J$5</f>
        <v>779.873684210526</v>
      </c>
      <c r="K182" s="9" t="n">
        <f aca="false">J182-H182</f>
        <v>779.873684210526</v>
      </c>
      <c r="L182" s="11" t="str">
        <f aca="false">IF(AND(H182=0,J182=0),0,IF(H182=0,"New",(J182-H182)/H182))</f>
        <v>New</v>
      </c>
    </row>
    <row r="183" customFormat="false" ht="15" hidden="false" customHeight="true" outlineLevel="0" collapsed="false">
      <c r="A183" s="8" t="s">
        <v>218</v>
      </c>
      <c r="B183" s="8" t="str">
        <f aca="false">IFERROR(INDEX('Source 2026'!$C:$C,MATCH($A183,'Source 2026'!$B:$B,0)),IFERROR(INDEX('Source 2025'!$C:$C,MATCH($A183,'Source 2025'!$B:$B,0)),""))</f>
        <v>מדרס מטטרזלי לנעלי עקב</v>
      </c>
      <c r="C183" s="9" t="n">
        <f aca="false">SUMIFS('Source 2025'!$I:$I,'Source 2025'!$B:$B,$A183,'Source 2025'!$A:$A,"Quantity (units)")</f>
        <v>68</v>
      </c>
      <c r="D183" s="9" t="n">
        <f aca="false">SUMIFS('Source 2026'!$I:$I,'Source 2026'!$B:$B,$A183,'Source 2026'!$A:$A,"Quantity (units)")</f>
        <v>37</v>
      </c>
      <c r="E183" s="9" t="n">
        <f aca="false">D183*$J$5</f>
        <v>46.7368421052632</v>
      </c>
      <c r="F183" s="9" t="n">
        <f aca="false">E183-C183</f>
        <v>-21.2631578947368</v>
      </c>
      <c r="G183" s="11" t="n">
        <f aca="false">IF(AND(C183=0,E183=0),0,IF(C183=0,"New",(E183-C183)/C183))</f>
        <v>-0.312693498452012</v>
      </c>
      <c r="H183" s="9" t="n">
        <f aca="false">SUMIFS('Source 2025'!$I:$I,'Source 2025'!$B:$B,$A183,'Source 2025'!$A:$A,"Amount (NIS)")</f>
        <v>1396.3</v>
      </c>
      <c r="I183" s="9" t="n">
        <f aca="false">SUMIFS('Source 2026'!$I:$I,'Source 2026'!$B:$B,$A183,'Source 2026'!$A:$A,"Amount (NIS)")</f>
        <v>790.3</v>
      </c>
      <c r="J183" s="9" t="n">
        <f aca="false">I183*$J$5</f>
        <v>998.273684210526</v>
      </c>
      <c r="K183" s="9" t="n">
        <f aca="false">J183-H183</f>
        <v>-398.026315789474</v>
      </c>
      <c r="L183" s="11" t="n">
        <f aca="false">IF(AND(H183=0,J183=0),0,IF(H183=0,"New",(J183-H183)/H183))</f>
        <v>-0.285057878528593</v>
      </c>
    </row>
    <row r="184" customFormat="false" ht="15" hidden="false" customHeight="true" outlineLevel="0" collapsed="false">
      <c r="A184" s="8" t="s">
        <v>312</v>
      </c>
      <c r="B184" s="8" t="str">
        <f aca="false">IFERROR(INDEX('Source 2026'!$C:$C,MATCH($A184,'Source 2026'!$B:$B,0)),IFERROR(INDEX('Source 2025'!$C:$C,MATCH($A184,'Source 2025'!$B:$B,0)),""))</f>
        <v>L-מדרס סיליקון לנעלי עקב</v>
      </c>
      <c r="C184" s="9" t="n">
        <f aca="false">SUMIFS('Source 2025'!$I:$I,'Source 2025'!$B:$B,$A184,'Source 2025'!$A:$A,"Quantity (units)")</f>
        <v>-1</v>
      </c>
      <c r="D184" s="9" t="n">
        <f aca="false">SUMIFS('Source 2026'!$I:$I,'Source 2026'!$B:$B,$A184,'Source 2026'!$A:$A,"Quantity (units)")</f>
        <v>11</v>
      </c>
      <c r="E184" s="9" t="n">
        <f aca="false">D184*$J$5</f>
        <v>13.8947368421053</v>
      </c>
      <c r="F184" s="9" t="n">
        <f aca="false">E184-C184</f>
        <v>14.8947368421053</v>
      </c>
      <c r="G184" s="11" t="n">
        <f aca="false">IF(AND(C184=0,E184=0),0,IF(C184=0,"New",(E184-C184)/C184))</f>
        <v>-14.8947368421053</v>
      </c>
      <c r="H184" s="9" t="n">
        <f aca="false">SUMIFS('Source 2025'!$I:$I,'Source 2025'!$B:$B,$A184,'Source 2025'!$A:$A,"Amount (NIS)")</f>
        <v>-159.9</v>
      </c>
      <c r="I184" s="9" t="n">
        <f aca="false">SUMIFS('Source 2026'!$I:$I,'Source 2026'!$B:$B,$A184,'Source 2026'!$A:$A,"Amount (NIS)")</f>
        <v>425.4</v>
      </c>
      <c r="J184" s="9" t="n">
        <f aca="false">I184*$J$5</f>
        <v>537.347368421053</v>
      </c>
      <c r="K184" s="9" t="n">
        <f aca="false">J184-H184</f>
        <v>697.247368421053</v>
      </c>
      <c r="L184" s="11" t="n">
        <f aca="false">IF(AND(H184=0,J184=0),0,IF(H184=0,"New",(J184-H184)/H184))</f>
        <v>-4.36052137849314</v>
      </c>
    </row>
    <row r="185" customFormat="false" ht="15" hidden="false" customHeight="true" outlineLevel="0" collapsed="false">
      <c r="A185" s="8" t="s">
        <v>224</v>
      </c>
      <c r="B185" s="8" t="str">
        <f aca="false">IFERROR(INDEX('Source 2026'!$C:$C,MATCH($A185,'Source 2026'!$B:$B,0)),IFERROR(INDEX('Source 2025'!$C:$C,MATCH($A185,'Source 2025'!$B:$B,0)),""))</f>
        <v>S מגן שוק</v>
      </c>
      <c r="C185" s="9" t="n">
        <f aca="false">SUMIFS('Source 2025'!$I:$I,'Source 2025'!$B:$B,$A185,'Source 2025'!$A:$A,"Quantity (units)")</f>
        <v>-5</v>
      </c>
      <c r="D185" s="9" t="n">
        <f aca="false">SUMIFS('Source 2026'!$I:$I,'Source 2026'!$B:$B,$A185,'Source 2026'!$A:$A,"Quantity (units)")</f>
        <v>1</v>
      </c>
      <c r="E185" s="9" t="n">
        <f aca="false">D185*$J$5</f>
        <v>1.26315789473684</v>
      </c>
      <c r="F185" s="9" t="n">
        <f aca="false">E185-C185</f>
        <v>6.26315789473684</v>
      </c>
      <c r="G185" s="11" t="n">
        <f aca="false">IF(AND(C185=0,E185=0),0,IF(C185=0,"New",(E185-C185)/C185))</f>
        <v>-1.25263157894737</v>
      </c>
      <c r="H185" s="9" t="n">
        <f aca="false">SUMIFS('Source 2025'!$I:$I,'Source 2025'!$B:$B,$A185,'Source 2025'!$A:$A,"Amount (NIS)")</f>
        <v>-450.5</v>
      </c>
      <c r="I185" s="9" t="n">
        <f aca="false">SUMIFS('Source 2026'!$I:$I,'Source 2026'!$B:$B,$A185,'Source 2026'!$A:$A,"Amount (NIS)")</f>
        <v>97</v>
      </c>
      <c r="J185" s="9" t="n">
        <f aca="false">I185*$J$5</f>
        <v>122.526315789474</v>
      </c>
      <c r="K185" s="9" t="n">
        <f aca="false">J185-H185</f>
        <v>573.026315789474</v>
      </c>
      <c r="L185" s="11" t="n">
        <f aca="false">IF(AND(H185=0,J185=0),0,IF(H185=0,"New",(J185-H185)/H185))</f>
        <v>-1.27197850341726</v>
      </c>
    </row>
    <row r="186" customFormat="false" ht="15" hidden="false" customHeight="true" outlineLevel="0" collapsed="false">
      <c r="A186" s="8" t="s">
        <v>339</v>
      </c>
      <c r="B186" s="8" t="str">
        <f aca="false">IFERROR(INDEX('Source 2026'!$C:$C,MATCH($A186,'Source 2026'!$B:$B,0)),IFERROR(INDEX('Source 2025'!$C:$C,MATCH($A186,'Source 2025'!$B:$B,0)),""))</f>
        <v>סד לילה לבוהן</v>
      </c>
      <c r="C186" s="9" t="n">
        <f aca="false">SUMIFS('Source 2025'!$I:$I,'Source 2025'!$B:$B,$A186,'Source 2025'!$A:$A,"Quantity (units)")</f>
        <v>-12</v>
      </c>
      <c r="D186" s="9" t="n">
        <f aca="false">SUMIFS('Source 2026'!$I:$I,'Source 2026'!$B:$B,$A186,'Source 2026'!$A:$A,"Quantity (units)")</f>
        <v>-4</v>
      </c>
      <c r="E186" s="9" t="n">
        <f aca="false">D186*$J$5</f>
        <v>-5.05263157894737</v>
      </c>
      <c r="F186" s="9" t="n">
        <f aca="false">E186-C186</f>
        <v>6.94736842105263</v>
      </c>
      <c r="G186" s="11" t="n">
        <f aca="false">IF(AND(C186=0,E186=0),0,IF(C186=0,"New",(E186-C186)/C186))</f>
        <v>-0.578947368421053</v>
      </c>
      <c r="H186" s="9" t="n">
        <f aca="false">SUMIFS('Source 2025'!$I:$I,'Source 2025'!$B:$B,$A186,'Source 2025'!$A:$A,"Amount (NIS)")</f>
        <v>-769.9</v>
      </c>
      <c r="I186" s="9" t="n">
        <f aca="false">SUMIFS('Source 2026'!$I:$I,'Source 2026'!$B:$B,$A186,'Source 2026'!$A:$A,"Amount (NIS)")</f>
        <v>-256.6</v>
      </c>
      <c r="J186" s="9" t="n">
        <f aca="false">I186*$J$5</f>
        <v>-324.126315789474</v>
      </c>
      <c r="K186" s="9" t="n">
        <f aca="false">J186-H186</f>
        <v>445.773684210526</v>
      </c>
      <c r="L186" s="11" t="n">
        <f aca="false">IF(AND(H186=0,J186=0),0,IF(H186=0,"New",(J186-H186)/H186))</f>
        <v>-0.5790020576835</v>
      </c>
    </row>
    <row r="187" customFormat="false" ht="15" hidden="false" customHeight="true" outlineLevel="0" collapsed="false">
      <c r="A187" s="8" t="s">
        <v>297</v>
      </c>
      <c r="B187" s="8" t="str">
        <f aca="false">IFERROR(INDEX('Source 2026'!$C:$C,MATCH($A187,'Source 2026'!$B:$B,0)),IFERROR(INDEX('Source 2025'!$C:$C,MATCH($A187,'Source 2025'!$B:$B,0)),""))</f>
        <v>M'חגורת גב+סגירה כפו בז</v>
      </c>
      <c r="C187" s="9" t="n">
        <f aca="false">SUMIFS('Source 2025'!$I:$I,'Source 2025'!$B:$B,$A187,'Source 2025'!$A:$A,"Quantity (units)")</f>
        <v>-17</v>
      </c>
      <c r="D187" s="9" t="n">
        <f aca="false">SUMIFS('Source 2026'!$I:$I,'Source 2026'!$B:$B,$A187,'Source 2026'!$A:$A,"Quantity (units)")</f>
        <v>-22</v>
      </c>
      <c r="E187" s="9" t="n">
        <f aca="false">D187*$J$5</f>
        <v>-27.7894736842105</v>
      </c>
      <c r="F187" s="9" t="n">
        <f aca="false">E187-C187</f>
        <v>-10.7894736842105</v>
      </c>
      <c r="G187" s="11" t="n">
        <f aca="false">IF(AND(C187=0,E187=0),0,IF(C187=0,"New",(E187-C187)/C187))</f>
        <v>0.634674922600619</v>
      </c>
      <c r="H187" s="9" t="n">
        <f aca="false">SUMIFS('Source 2025'!$I:$I,'Source 2025'!$B:$B,$A187,'Source 2025'!$A:$A,"Amount (NIS)")</f>
        <v>-1595.3</v>
      </c>
      <c r="I187" s="9" t="n">
        <f aca="false">SUMIFS('Source 2026'!$I:$I,'Source 2026'!$B:$B,$A187,'Source 2026'!$A:$A,"Amount (NIS)")</f>
        <v>-2058</v>
      </c>
      <c r="J187" s="9" t="n">
        <f aca="false">I187*$J$5</f>
        <v>-2599.57894736842</v>
      </c>
      <c r="K187" s="9" t="n">
        <f aca="false">J187-H187</f>
        <v>-1004.27894736842</v>
      </c>
      <c r="L187" s="11" t="n">
        <f aca="false">IF(AND(H187=0,J187=0),0,IF(H187=0,"New",(J187-H187)/H187))</f>
        <v>0.629523567585044</v>
      </c>
    </row>
    <row r="188" customFormat="false" ht="15" hidden="false" customHeight="true" outlineLevel="0" collapsed="false">
      <c r="A188" s="8" t="s">
        <v>364</v>
      </c>
      <c r="B188" s="8" t="str">
        <f aca="false">IFERROR(INDEX('Source 2026'!$C:$C,MATCH($A188,'Source 2026'!$B:$B,0)),IFERROR(INDEX('Source 2025'!$C:$C,MATCH($A188,'Source 2025'!$B:$B,0)),""))</f>
        <v>Mמגן קרסול+ צמדן</v>
      </c>
      <c r="C188" s="9" t="n">
        <f aca="false">SUMIFS('Source 2025'!$I:$I,'Source 2025'!$B:$B,$A188,'Source 2025'!$A:$A,"Quantity (units)")</f>
        <v>-7</v>
      </c>
      <c r="D188" s="9" t="n">
        <f aca="false">SUMIFS('Source 2026'!$I:$I,'Source 2026'!$B:$B,$A188,'Source 2026'!$A:$A,"Quantity (units)")</f>
        <v>0</v>
      </c>
      <c r="E188" s="9" t="n">
        <f aca="false">D188*$J$5</f>
        <v>0</v>
      </c>
      <c r="F188" s="9" t="n">
        <f aca="false">E188-C188</f>
        <v>7</v>
      </c>
      <c r="G188" s="11" t="n">
        <f aca="false">IF(AND(C188=0,E188=0),0,IF(C188=0,"New",(E188-C188)/C188))</f>
        <v>-1</v>
      </c>
      <c r="H188" s="9" t="n">
        <f aca="false">SUMIFS('Source 2025'!$I:$I,'Source 2025'!$B:$B,$A188,'Source 2025'!$A:$A,"Amount (NIS)")</f>
        <v>-448.1</v>
      </c>
      <c r="I188" s="9" t="n">
        <f aca="false">SUMIFS('Source 2026'!$I:$I,'Source 2026'!$B:$B,$A188,'Source 2026'!$A:$A,"Amount (NIS)")</f>
        <v>0</v>
      </c>
      <c r="J188" s="9" t="n">
        <f aca="false">I188*$J$5</f>
        <v>0</v>
      </c>
      <c r="K188" s="9" t="n">
        <f aca="false">J188-H188</f>
        <v>448.1</v>
      </c>
      <c r="L188" s="11" t="n">
        <f aca="false">IF(AND(H188=0,J188=0),0,IF(H188=0,"New",(J188-H188)/H188))</f>
        <v>-1</v>
      </c>
    </row>
    <row r="189" customFormat="false" ht="15" hidden="false" customHeight="true" outlineLevel="0" collapsed="false">
      <c r="A189" s="8" t="s">
        <v>248</v>
      </c>
      <c r="B189" s="8" t="str">
        <f aca="false">IFERROR(INDEX('Source 2026'!$C:$C,MATCH($A189,'Source 2026'!$B:$B,0)),IFERROR(INDEX('Source 2025'!$C:$C,MATCH($A189,'Source 2025'!$B:$B,0)),""))</f>
        <v>טייפ חבישה לספורט</v>
      </c>
      <c r="C189" s="9" t="n">
        <f aca="false">SUMIFS('Source 2025'!$I:$I,'Source 2025'!$B:$B,$A189,'Source 2025'!$A:$A,"Quantity (units)")</f>
        <v>218</v>
      </c>
      <c r="D189" s="9" t="n">
        <f aca="false">SUMIFS('Source 2026'!$I:$I,'Source 2026'!$B:$B,$A189,'Source 2026'!$A:$A,"Quantity (units)")</f>
        <v>189</v>
      </c>
      <c r="E189" s="9" t="n">
        <f aca="false">D189*$J$5</f>
        <v>238.736842105263</v>
      </c>
      <c r="F189" s="9" t="n">
        <f aca="false">E189-C189</f>
        <v>20.7368421052632</v>
      </c>
      <c r="G189" s="11" t="n">
        <f aca="false">IF(AND(C189=0,E189=0),0,IF(C189=0,"New",(E189-C189)/C189))</f>
        <v>0.0951231289232255</v>
      </c>
      <c r="H189" s="9" t="n">
        <f aca="false">SUMIFS('Source 2025'!$I:$I,'Source 2025'!$B:$B,$A189,'Source 2025'!$A:$A,"Amount (NIS)")</f>
        <v>3357.2</v>
      </c>
      <c r="I189" s="9" t="n">
        <f aca="false">SUMIFS('Source 2026'!$I:$I,'Source 2026'!$B:$B,$A189,'Source 2026'!$A:$A,"Amount (NIS)")</f>
        <v>2910.6</v>
      </c>
      <c r="J189" s="9" t="n">
        <f aca="false">I189*$J$5</f>
        <v>3676.54736842105</v>
      </c>
      <c r="K189" s="9" t="n">
        <f aca="false">J189-H189</f>
        <v>319.347368421053</v>
      </c>
      <c r="L189" s="11" t="n">
        <f aca="false">IF(AND(H189=0,J189=0),0,IF(H189=0,"New",(J189-H189)/H189))</f>
        <v>0.0951231289232255</v>
      </c>
    </row>
    <row r="190" customFormat="false" ht="15" hidden="false" customHeight="true" outlineLevel="0" collapsed="false">
      <c r="A190" s="8" t="s">
        <v>296</v>
      </c>
      <c r="B190" s="8" t="str">
        <f aca="false">IFERROR(INDEX('Source 2026'!$C:$C,MATCH($A190,'Source 2026'!$B:$B,0)),IFERROR(INDEX('Source 2025'!$C:$C,MATCH($A190,'Source 2025'!$B:$B,0)),""))</f>
        <v>L-XLחגורת הריון בכאב.חזק</v>
      </c>
      <c r="C190" s="9" t="n">
        <f aca="false">SUMIFS('Source 2025'!$I:$I,'Source 2025'!$B:$B,$A190,'Source 2025'!$A:$A,"Quantity (units)")</f>
        <v>0</v>
      </c>
      <c r="D190" s="9" t="n">
        <f aca="false">SUMIFS('Source 2026'!$I:$I,'Source 2026'!$B:$B,$A190,'Source 2026'!$A:$A,"Quantity (units)")</f>
        <v>-2</v>
      </c>
      <c r="E190" s="9" t="n">
        <f aca="false">D190*$J$5</f>
        <v>-2.52631578947368</v>
      </c>
      <c r="F190" s="9" t="n">
        <f aca="false">E190-C190</f>
        <v>-2.52631578947368</v>
      </c>
      <c r="G190" s="11" t="str">
        <f aca="false">IF(AND(C190=0,E190=0),0,IF(C190=0,"New",(E190-C190)/C190))</f>
        <v>New</v>
      </c>
      <c r="H190" s="9" t="n">
        <f aca="false">SUMIFS('Source 2025'!$I:$I,'Source 2025'!$B:$B,$A190,'Source 2025'!$A:$A,"Amount (NIS)")</f>
        <v>0</v>
      </c>
      <c r="I190" s="9" t="n">
        <f aca="false">SUMIFS('Source 2026'!$I:$I,'Source 2026'!$B:$B,$A190,'Source 2026'!$A:$A,"Amount (NIS)")</f>
        <v>-430.4</v>
      </c>
      <c r="J190" s="9" t="n">
        <f aca="false">I190*$J$5</f>
        <v>-543.663157894737</v>
      </c>
      <c r="K190" s="9" t="n">
        <f aca="false">J190-H190</f>
        <v>-543.663157894737</v>
      </c>
      <c r="L190" s="11" t="str">
        <f aca="false">IF(AND(H190=0,J190=0),0,IF(H190=0,"New",(J190-H190)/H190))</f>
        <v>New</v>
      </c>
    </row>
    <row r="191" customFormat="false" ht="15" hidden="false" customHeight="true" outlineLevel="0" collapsed="false">
      <c r="A191" s="8" t="s">
        <v>102</v>
      </c>
      <c r="B191" s="8" t="str">
        <f aca="false">IFERROR(INDEX('Source 2026'!$C:$C,MATCH($A191,'Source 2026'!$B:$B,0)),IFERROR(INDEX('Source 2025'!$C:$C,MATCH($A191,'Source 2025'!$B:$B,0)),""))</f>
        <v>חבק לשורש כף היד</v>
      </c>
      <c r="C191" s="9" t="n">
        <f aca="false">SUMIFS('Source 2025'!$I:$I,'Source 2025'!$B:$B,$A191,'Source 2025'!$A:$A,"Quantity (units)")</f>
        <v>73</v>
      </c>
      <c r="D191" s="9" t="n">
        <f aca="false">SUMIFS('Source 2026'!$I:$I,'Source 2026'!$B:$B,$A191,'Source 2026'!$A:$A,"Quantity (units)")</f>
        <v>54</v>
      </c>
      <c r="E191" s="9" t="n">
        <f aca="false">D191*$J$5</f>
        <v>68.2105263157895</v>
      </c>
      <c r="F191" s="9" t="n">
        <f aca="false">E191-C191</f>
        <v>-4.78947368421053</v>
      </c>
      <c r="G191" s="11" t="n">
        <f aca="false">IF(AND(C191=0,E191=0),0,IF(C191=0,"New",(E191-C191)/C191))</f>
        <v>-0.0656092285508292</v>
      </c>
      <c r="H191" s="9" t="n">
        <f aca="false">SUMIFS('Source 2025'!$I:$I,'Source 2025'!$B:$B,$A191,'Source 2025'!$A:$A,"Amount (NIS)")</f>
        <v>1864</v>
      </c>
      <c r="I191" s="9" t="n">
        <f aca="false">SUMIFS('Source 2026'!$I:$I,'Source 2026'!$B:$B,$A191,'Source 2026'!$A:$A,"Amount (NIS)")</f>
        <v>1458.9</v>
      </c>
      <c r="J191" s="9" t="n">
        <f aca="false">I191*$J$5</f>
        <v>1842.82105263158</v>
      </c>
      <c r="K191" s="9" t="n">
        <f aca="false">J191-H191</f>
        <v>-21.178947368421</v>
      </c>
      <c r="L191" s="11" t="n">
        <f aca="false">IF(AND(H191=0,J191=0),0,IF(H191=0,"New",(J191-H191)/H191))</f>
        <v>-0.0113620962276936</v>
      </c>
    </row>
    <row r="192" customFormat="false" ht="15" hidden="false" customHeight="true" outlineLevel="0" collapsed="false">
      <c r="A192" s="8" t="s">
        <v>373</v>
      </c>
      <c r="B192" s="8" t="str">
        <f aca="false">IFERROR(INDEX('Source 2026'!$C:$C,MATCH($A192,'Source 2026'!$B:$B,0)),IFERROR(INDEX('Source 2025'!$C:$C,MATCH($A192,'Source 2025'!$B:$B,0)),""))</f>
        <v>כרית שינה חלומי</v>
      </c>
      <c r="C192" s="9" t="n">
        <f aca="false">SUMIFS('Source 2025'!$I:$I,'Source 2025'!$B:$B,$A192,'Source 2025'!$A:$A,"Quantity (units)")</f>
        <v>-3</v>
      </c>
      <c r="D192" s="9" t="n">
        <f aca="false">SUMIFS('Source 2026'!$I:$I,'Source 2026'!$B:$B,$A192,'Source 2026'!$A:$A,"Quantity (units)")</f>
        <v>0</v>
      </c>
      <c r="E192" s="9" t="n">
        <f aca="false">D192*$J$5</f>
        <v>0</v>
      </c>
      <c r="F192" s="9" t="n">
        <f aca="false">E192-C192</f>
        <v>3</v>
      </c>
      <c r="G192" s="11" t="n">
        <f aca="false">IF(AND(C192=0,E192=0),0,IF(C192=0,"New",(E192-C192)/C192))</f>
        <v>-1</v>
      </c>
      <c r="H192" s="9" t="n">
        <f aca="false">SUMIFS('Source 2025'!$I:$I,'Source 2025'!$B:$B,$A192,'Source 2025'!$A:$A,"Amount (NIS)")</f>
        <v>-393.2</v>
      </c>
      <c r="I192" s="9" t="n">
        <f aca="false">SUMIFS('Source 2026'!$I:$I,'Source 2026'!$B:$B,$A192,'Source 2026'!$A:$A,"Amount (NIS)")</f>
        <v>0</v>
      </c>
      <c r="J192" s="9" t="n">
        <f aca="false">I192*$J$5</f>
        <v>0</v>
      </c>
      <c r="K192" s="9" t="n">
        <f aca="false">J192-H192</f>
        <v>393.2</v>
      </c>
      <c r="L192" s="11" t="n">
        <f aca="false">IF(AND(H192=0,J192=0),0,IF(H192=0,"New",(J192-H192)/H192))</f>
        <v>-1</v>
      </c>
    </row>
    <row r="193" customFormat="false" ht="15" hidden="false" customHeight="true" outlineLevel="0" collapsed="false">
      <c r="A193" s="8" t="s">
        <v>332</v>
      </c>
      <c r="B193" s="8" t="str">
        <f aca="false">IFERROR(INDEX('Source 2026'!$C:$C,MATCH($A193,'Source 2026'!$B:$B,0)),IFERROR(INDEX('Source 2025'!$C:$C,MATCH($A193,'Source 2025'!$B:$B,0)),""))</f>
        <v>S מגן מרפק רגיל</v>
      </c>
      <c r="C193" s="9" t="n">
        <f aca="false">SUMIFS('Source 2025'!$I:$I,'Source 2025'!$B:$B,$A193,'Source 2025'!$A:$A,"Quantity (units)")</f>
        <v>-4</v>
      </c>
      <c r="D193" s="9" t="n">
        <f aca="false">SUMIFS('Source 2026'!$I:$I,'Source 2026'!$B:$B,$A193,'Source 2026'!$A:$A,"Quantity (units)")</f>
        <v>0</v>
      </c>
      <c r="E193" s="9" t="n">
        <f aca="false">D193*$J$5</f>
        <v>0</v>
      </c>
      <c r="F193" s="9" t="n">
        <f aca="false">E193-C193</f>
        <v>4</v>
      </c>
      <c r="G193" s="11" t="n">
        <f aca="false">IF(AND(C193=0,E193=0),0,IF(C193=0,"New",(E193-C193)/C193))</f>
        <v>-1</v>
      </c>
      <c r="H193" s="9" t="n">
        <f aca="false">SUMIFS('Source 2025'!$I:$I,'Source 2025'!$B:$B,$A193,'Source 2025'!$A:$A,"Amount (NIS)")</f>
        <v>-390.6</v>
      </c>
      <c r="I193" s="9" t="n">
        <f aca="false">SUMIFS('Source 2026'!$I:$I,'Source 2026'!$B:$B,$A193,'Source 2026'!$A:$A,"Amount (NIS)")</f>
        <v>0</v>
      </c>
      <c r="J193" s="9" t="n">
        <f aca="false">I193*$J$5</f>
        <v>0</v>
      </c>
      <c r="K193" s="9" t="n">
        <f aca="false">J193-H193</f>
        <v>390.6</v>
      </c>
      <c r="L193" s="11" t="n">
        <f aca="false">IF(AND(H193=0,J193=0),0,IF(H193=0,"New",(J193-H193)/H193))</f>
        <v>-1</v>
      </c>
    </row>
    <row r="194" customFormat="false" ht="15" hidden="false" customHeight="true" outlineLevel="0" collapsed="false">
      <c r="A194" s="8" t="s">
        <v>237</v>
      </c>
      <c r="B194" s="8" t="str">
        <f aca="false">IFERROR(INDEX('Source 2026'!$C:$C,MATCH($A194,'Source 2026'!$B:$B,0)),IFERROR(INDEX('Source 2025'!$C:$C,MATCH($A194,'Source 2025'!$B:$B,0)),""))</f>
        <v>רפידת מגבת כותנה-זוג</v>
      </c>
      <c r="C194" s="9" t="n">
        <f aca="false">SUMIFS('Source 2025'!$I:$I,'Source 2025'!$B:$B,$A194,'Source 2025'!$A:$A,"Quantity (units)")</f>
        <v>100</v>
      </c>
      <c r="D194" s="9" t="n">
        <f aca="false">SUMIFS('Source 2026'!$I:$I,'Source 2026'!$B:$B,$A194,'Source 2026'!$A:$A,"Quantity (units)")</f>
        <v>62</v>
      </c>
      <c r="E194" s="9" t="n">
        <f aca="false">D194*$J$5</f>
        <v>78.3157894736842</v>
      </c>
      <c r="F194" s="9" t="n">
        <f aca="false">E194-C194</f>
        <v>-21.6842105263158</v>
      </c>
      <c r="G194" s="11" t="n">
        <f aca="false">IF(AND(C194=0,E194=0),0,IF(C194=0,"New",(E194-C194)/C194))</f>
        <v>-0.216842105263158</v>
      </c>
      <c r="H194" s="9" t="n">
        <f aca="false">SUMIFS('Source 2025'!$I:$I,'Source 2025'!$B:$B,$A194,'Source 2025'!$A:$A,"Amount (NIS)")</f>
        <v>1028.1</v>
      </c>
      <c r="I194" s="9" t="n">
        <f aca="false">SUMIFS('Source 2026'!$I:$I,'Source 2026'!$B:$B,$A194,'Source 2026'!$A:$A,"Amount (NIS)")</f>
        <v>643</v>
      </c>
      <c r="J194" s="9" t="n">
        <f aca="false">I194*$J$5</f>
        <v>812.21052631579</v>
      </c>
      <c r="K194" s="9" t="n">
        <f aca="false">J194-H194</f>
        <v>-215.88947368421</v>
      </c>
      <c r="L194" s="11" t="n">
        <f aca="false">IF(AND(H194=0,J194=0),0,IF(H194=0,"New",(J194-H194)/H194))</f>
        <v>-0.209988788721146</v>
      </c>
    </row>
    <row r="195" customFormat="false" ht="15" hidden="false" customHeight="true" outlineLevel="0" collapsed="false">
      <c r="A195" s="8" t="s">
        <v>192</v>
      </c>
      <c r="B195" s="8" t="str">
        <f aca="false">IFERROR(INDEX('Source 2026'!$C:$C,MATCH($A195,'Source 2026'!$B:$B,0)),IFERROR(INDEX('Source 2025'!$C:$C,MATCH($A195,'Source 2025'!$B:$B,0)),""))</f>
        <v>S חגורת שבר לצד ימין</v>
      </c>
      <c r="C195" s="9" t="n">
        <f aca="false">SUMIFS('Source 2025'!$I:$I,'Source 2025'!$B:$B,$A195,'Source 2025'!$A:$A,"Quantity (units)")</f>
        <v>3</v>
      </c>
      <c r="D195" s="9" t="n">
        <f aca="false">SUMIFS('Source 2026'!$I:$I,'Source 2026'!$B:$B,$A195,'Source 2026'!$A:$A,"Quantity (units)")</f>
        <v>1</v>
      </c>
      <c r="E195" s="9" t="n">
        <f aca="false">D195*$J$5</f>
        <v>1.26315789473684</v>
      </c>
      <c r="F195" s="9" t="n">
        <f aca="false">E195-C195</f>
        <v>-1.73684210526316</v>
      </c>
      <c r="G195" s="11" t="n">
        <f aca="false">IF(AND(C195=0,E195=0),0,IF(C195=0,"New",(E195-C195)/C195))</f>
        <v>-0.578947368421053</v>
      </c>
      <c r="H195" s="9" t="n">
        <f aca="false">SUMIFS('Source 2025'!$I:$I,'Source 2025'!$B:$B,$A195,'Source 2025'!$A:$A,"Amount (NIS)")</f>
        <v>562.2</v>
      </c>
      <c r="I195" s="9" t="n">
        <f aca="false">SUMIFS('Source 2026'!$I:$I,'Source 2026'!$B:$B,$A195,'Source 2026'!$A:$A,"Amount (NIS)")</f>
        <v>178.9</v>
      </c>
      <c r="J195" s="9" t="n">
        <f aca="false">I195*$J$5</f>
        <v>225.978947368421</v>
      </c>
      <c r="K195" s="9" t="n">
        <f aca="false">J195-H195</f>
        <v>-336.221052631579</v>
      </c>
      <c r="L195" s="11" t="n">
        <f aca="false">IF(AND(H195=0,J195=0),0,IF(H195=0,"New",(J195-H195)/H195))</f>
        <v>-0.59804527326855</v>
      </c>
    </row>
    <row r="196" customFormat="false" ht="15" hidden="false" customHeight="true" outlineLevel="0" collapsed="false">
      <c r="A196" s="8" t="s">
        <v>90</v>
      </c>
      <c r="B196" s="8" t="str">
        <f aca="false">IFERROR(INDEX('Source 2026'!$C:$C,MATCH($A196,'Source 2026'!$B:$B,0)),IFERROR(INDEX('Source 2025'!$C:$C,MATCH($A196,'Source 2025'!$B:$B,0)),""))</f>
        <v>L מגן ברך שחור</v>
      </c>
      <c r="C196" s="9" t="n">
        <f aca="false">SUMIFS('Source 2025'!$I:$I,'Source 2025'!$B:$B,$A196,'Source 2025'!$A:$A,"Quantity (units)")</f>
        <v>135</v>
      </c>
      <c r="D196" s="9" t="n">
        <f aca="false">SUMIFS('Source 2026'!$I:$I,'Source 2026'!$B:$B,$A196,'Source 2026'!$A:$A,"Quantity (units)")</f>
        <v>119</v>
      </c>
      <c r="E196" s="9" t="n">
        <f aca="false">D196*$J$5</f>
        <v>150.315789473684</v>
      </c>
      <c r="F196" s="9" t="n">
        <f aca="false">E196-C196</f>
        <v>15.3157894736842</v>
      </c>
      <c r="G196" s="11" t="n">
        <f aca="false">IF(AND(C196=0,E196=0),0,IF(C196=0,"New",(E196-C196)/C196))</f>
        <v>0.113450292397661</v>
      </c>
      <c r="H196" s="9" t="n">
        <f aca="false">SUMIFS('Source 2025'!$I:$I,'Source 2025'!$B:$B,$A196,'Source 2025'!$A:$A,"Amount (NIS)")</f>
        <v>3728.4</v>
      </c>
      <c r="I196" s="9" t="n">
        <f aca="false">SUMIFS('Source 2026'!$I:$I,'Source 2026'!$B:$B,$A196,'Source 2026'!$A:$A,"Amount (NIS)")</f>
        <v>3346.2</v>
      </c>
      <c r="J196" s="9" t="n">
        <f aca="false">I196*$J$5</f>
        <v>4226.77894736842</v>
      </c>
      <c r="K196" s="9" t="n">
        <f aca="false">J196-H196</f>
        <v>498.378947368421</v>
      </c>
      <c r="L196" s="11" t="n">
        <f aca="false">IF(AND(H196=0,J196=0),0,IF(H196=0,"New",(J196-H196)/H196))</f>
        <v>0.133670997577626</v>
      </c>
    </row>
    <row r="197" customFormat="false" ht="15" hidden="false" customHeight="true" outlineLevel="0" collapsed="false">
      <c r="A197" s="8" t="s">
        <v>310</v>
      </c>
      <c r="B197" s="8" t="str">
        <f aca="false">IFERROR(INDEX('Source 2026'!$C:$C,MATCH($A197,'Source 2026'!$B:$B,0)),IFERROR(INDEX('Source 2025'!$C:$C,MATCH($A197,'Source 2025'!$B:$B,0)),""))</f>
        <v>L מגן למפרק כתף</v>
      </c>
      <c r="C197" s="9" t="n">
        <f aca="false">SUMIFS('Source 2025'!$I:$I,'Source 2025'!$B:$B,$A197,'Source 2025'!$A:$A,"Quantity (units)")</f>
        <v>-2</v>
      </c>
      <c r="D197" s="9" t="n">
        <f aca="false">SUMIFS('Source 2026'!$I:$I,'Source 2026'!$B:$B,$A197,'Source 2026'!$A:$A,"Quantity (units)")</f>
        <v>-1</v>
      </c>
      <c r="E197" s="9" t="n">
        <f aca="false">D197*$J$5</f>
        <v>-1.26315789473684</v>
      </c>
      <c r="F197" s="9" t="n">
        <f aca="false">E197-C197</f>
        <v>0.736842105263158</v>
      </c>
      <c r="G197" s="11" t="n">
        <f aca="false">IF(AND(C197=0,E197=0),0,IF(C197=0,"New",(E197-C197)/C197))</f>
        <v>-0.368421052631579</v>
      </c>
      <c r="H197" s="9" t="n">
        <f aca="false">SUMIFS('Source 2025'!$I:$I,'Source 2025'!$B:$B,$A197,'Source 2025'!$A:$A,"Amount (NIS)")</f>
        <v>-570.3</v>
      </c>
      <c r="I197" s="9" t="n">
        <f aca="false">SUMIFS('Source 2026'!$I:$I,'Source 2026'!$B:$B,$A197,'Source 2026'!$A:$A,"Amount (NIS)")</f>
        <v>-208.4</v>
      </c>
      <c r="J197" s="9" t="n">
        <f aca="false">I197*$J$5</f>
        <v>-263.242105263158</v>
      </c>
      <c r="K197" s="9" t="n">
        <f aca="false">J197-H197</f>
        <v>307.057894736842</v>
      </c>
      <c r="L197" s="11" t="n">
        <f aca="false">IF(AND(H197=0,J197=0),0,IF(H197=0,"New",(J197-H197)/H197))</f>
        <v>-0.538414684791938</v>
      </c>
    </row>
    <row r="198" customFormat="false" ht="15" hidden="false" customHeight="true" outlineLevel="0" collapsed="false">
      <c r="A198" s="8" t="s">
        <v>235</v>
      </c>
      <c r="B198" s="8" t="str">
        <f aca="false">IFERROR(INDEX('Source 2026'!$C:$C,MATCH($A198,'Source 2026'!$B:$B,0)),IFERROR(INDEX('Source 2025'!$C:$C,MATCH($A198,'Source 2025'!$B:$B,0)),""))</f>
        <v>344-אבן טבעית להסרת עור קשה</v>
      </c>
      <c r="C198" s="9" t="n">
        <f aca="false">SUMIFS('Source 2025'!$I:$I,'Source 2025'!$B:$B,$A198,'Source 2025'!$A:$A,"Quantity (units)")</f>
        <v>118</v>
      </c>
      <c r="D198" s="9" t="n">
        <f aca="false">SUMIFS('Source 2026'!$I:$I,'Source 2026'!$B:$B,$A198,'Source 2026'!$A:$A,"Quantity (units)")</f>
        <v>163</v>
      </c>
      <c r="E198" s="9" t="n">
        <f aca="false">D198*$J$5</f>
        <v>205.894736842105</v>
      </c>
      <c r="F198" s="9" t="n">
        <f aca="false">E198-C198</f>
        <v>87.8947368421053</v>
      </c>
      <c r="G198" s="11" t="n">
        <f aca="false">IF(AND(C198=0,E198=0),0,IF(C198=0,"New",(E198-C198)/C198))</f>
        <v>0.744870651204282</v>
      </c>
      <c r="H198" s="9" t="n">
        <f aca="false">SUMIFS('Source 2025'!$I:$I,'Source 2025'!$B:$B,$A198,'Source 2025'!$A:$A,"Amount (NIS)")</f>
        <v>843.4</v>
      </c>
      <c r="I198" s="9" t="n">
        <f aca="false">SUMIFS('Source 2026'!$I:$I,'Source 2026'!$B:$B,$A198,'Source 2026'!$A:$A,"Amount (NIS)")</f>
        <v>1181.8</v>
      </c>
      <c r="J198" s="9" t="n">
        <f aca="false">I198*$J$5</f>
        <v>1492.8</v>
      </c>
      <c r="K198" s="9" t="n">
        <f aca="false">J198-H198</f>
        <v>649.4</v>
      </c>
      <c r="L198" s="11" t="n">
        <f aca="false">IF(AND(H198=0,J198=0),0,IF(H198=0,"New",(J198-H198)/H198))</f>
        <v>0.769978657813612</v>
      </c>
    </row>
    <row r="199" customFormat="false" ht="15" hidden="false" customHeight="true" outlineLevel="0" collapsed="false">
      <c r="A199" s="8" t="s">
        <v>367</v>
      </c>
      <c r="B199" s="8" t="str">
        <f aca="false">IFERROR(INDEX('Source 2026'!$C:$C,MATCH($A199,'Source 2026'!$B:$B,0)),IFERROR(INDEX('Source 2025'!$C:$C,MATCH($A199,'Source 2025'!$B:$B,0)),""))</f>
        <v>L  ""ח.גב קלה ""מיקדו</v>
      </c>
      <c r="C199" s="9" t="n">
        <f aca="false">SUMIFS('Source 2025'!$I:$I,'Source 2025'!$B:$B,$A199,'Source 2025'!$A:$A,"Quantity (units)")</f>
        <v>-2</v>
      </c>
      <c r="D199" s="9" t="n">
        <f aca="false">SUMIFS('Source 2026'!$I:$I,'Source 2026'!$B:$B,$A199,'Source 2026'!$A:$A,"Quantity (units)")</f>
        <v>0</v>
      </c>
      <c r="E199" s="9" t="n">
        <f aca="false">D199*$J$5</f>
        <v>0</v>
      </c>
      <c r="F199" s="9" t="n">
        <f aca="false">E199-C199</f>
        <v>2</v>
      </c>
      <c r="G199" s="11" t="n">
        <f aca="false">IF(AND(C199=0,E199=0),0,IF(C199=0,"New",(E199-C199)/C199))</f>
        <v>-1</v>
      </c>
      <c r="H199" s="9" t="n">
        <f aca="false">SUMIFS('Source 2025'!$I:$I,'Source 2025'!$B:$B,$A199,'Source 2025'!$A:$A,"Amount (NIS)")</f>
        <v>-306.2</v>
      </c>
      <c r="I199" s="9" t="n">
        <f aca="false">SUMIFS('Source 2026'!$I:$I,'Source 2026'!$B:$B,$A199,'Source 2026'!$A:$A,"Amount (NIS)")</f>
        <v>0</v>
      </c>
      <c r="J199" s="9" t="n">
        <f aca="false">I199*$J$5</f>
        <v>0</v>
      </c>
      <c r="K199" s="9" t="n">
        <f aca="false">J199-H199</f>
        <v>306.2</v>
      </c>
      <c r="L199" s="11" t="n">
        <f aca="false">IF(AND(H199=0,J199=0),0,IF(H199=0,"New",(J199-H199)/H199))</f>
        <v>-1</v>
      </c>
    </row>
    <row r="200" customFormat="false" ht="15" hidden="false" customHeight="true" outlineLevel="0" collapsed="false">
      <c r="A200" s="8" t="s">
        <v>203</v>
      </c>
      <c r="B200" s="8" t="str">
        <f aca="false">IFERROR(INDEX('Source 2026'!$C:$C,MATCH($A200,'Source 2026'!$B:$B,0)),IFERROR(INDEX('Source 2025'!$C:$C,MATCH($A200,'Source 2025'!$B:$B,0)),""))</f>
        <v>S מתלה אשכים לאחר ניתוח</v>
      </c>
      <c r="C200" s="9" t="n">
        <f aca="false">SUMIFS('Source 2025'!$I:$I,'Source 2025'!$B:$B,$A200,'Source 2025'!$A:$A,"Quantity (units)")</f>
        <v>0</v>
      </c>
      <c r="D200" s="9" t="n">
        <f aca="false">SUMIFS('Source 2026'!$I:$I,'Source 2026'!$B:$B,$A200,'Source 2026'!$A:$A,"Quantity (units)")</f>
        <v>-3</v>
      </c>
      <c r="E200" s="9" t="n">
        <f aca="false">D200*$J$5</f>
        <v>-3.78947368421053</v>
      </c>
      <c r="F200" s="9" t="n">
        <f aca="false">E200-C200</f>
        <v>-3.78947368421053</v>
      </c>
      <c r="G200" s="11" t="str">
        <f aca="false">IF(AND(C200=0,E200=0),0,IF(C200=0,"New",(E200-C200)/C200))</f>
        <v>New</v>
      </c>
      <c r="H200" s="9" t="n">
        <f aca="false">SUMIFS('Source 2025'!$I:$I,'Source 2025'!$B:$B,$A200,'Source 2025'!$A:$A,"Amount (NIS)")</f>
        <v>0</v>
      </c>
      <c r="I200" s="9" t="n">
        <f aca="false">SUMIFS('Source 2026'!$I:$I,'Source 2026'!$B:$B,$A200,'Source 2026'!$A:$A,"Amount (NIS)")</f>
        <v>-297.8</v>
      </c>
      <c r="J200" s="9" t="n">
        <f aca="false">I200*$J$5</f>
        <v>-376.168421052632</v>
      </c>
      <c r="K200" s="9" t="n">
        <f aca="false">J200-H200</f>
        <v>-376.168421052632</v>
      </c>
      <c r="L200" s="11" t="str">
        <f aca="false">IF(AND(H200=0,J200=0),0,IF(H200=0,"New",(J200-H200)/H200))</f>
        <v>New</v>
      </c>
    </row>
    <row r="201" customFormat="false" ht="15" hidden="false" customHeight="true" outlineLevel="0" collapsed="false">
      <c r="A201" s="8" t="s">
        <v>366</v>
      </c>
      <c r="B201" s="8" t="str">
        <f aca="false">IFERROR(INDEX('Source 2026'!$C:$C,MATCH($A201,'Source 2026'!$B:$B,0)),IFERROR(INDEX('Source 2025'!$C:$C,MATCH($A201,'Source 2025'!$B:$B,0)),""))</f>
        <v>תתמדרס.ציפוי עור גבר זו43</v>
      </c>
      <c r="C201" s="9" t="n">
        <f aca="false">SUMIFS('Source 2025'!$I:$I,'Source 2025'!$B:$B,$A201,'Source 2025'!$A:$A,"Quantity (units)")</f>
        <v>-4</v>
      </c>
      <c r="D201" s="9" t="n">
        <f aca="false">SUMIFS('Source 2026'!$I:$I,'Source 2026'!$B:$B,$A201,'Source 2026'!$A:$A,"Quantity (units)")</f>
        <v>-1</v>
      </c>
      <c r="E201" s="9" t="n">
        <f aca="false">D201*$J$5</f>
        <v>-1.26315789473684</v>
      </c>
      <c r="F201" s="9" t="n">
        <f aca="false">E201-C201</f>
        <v>2.73684210526316</v>
      </c>
      <c r="G201" s="11" t="n">
        <f aca="false">IF(AND(C201=0,E201=0),0,IF(C201=0,"New",(E201-C201)/C201))</f>
        <v>-0.68421052631579</v>
      </c>
      <c r="H201" s="9" t="n">
        <f aca="false">SUMIFS('Source 2025'!$I:$I,'Source 2025'!$B:$B,$A201,'Source 2025'!$A:$A,"Amount (NIS)")</f>
        <v>-387</v>
      </c>
      <c r="I201" s="9" t="n">
        <f aca="false">SUMIFS('Source 2026'!$I:$I,'Source 2026'!$B:$B,$A201,'Source 2026'!$A:$A,"Amount (NIS)")</f>
        <v>-96.7</v>
      </c>
      <c r="J201" s="9" t="n">
        <f aca="false">I201*$J$5</f>
        <v>-122.147368421053</v>
      </c>
      <c r="K201" s="9" t="n">
        <f aca="false">J201-H201</f>
        <v>264.852631578947</v>
      </c>
      <c r="L201" s="11" t="n">
        <f aca="false">IF(AND(H201=0,J201=0),0,IF(H201=0,"New",(J201-H201)/H201))</f>
        <v>-0.6843737250102</v>
      </c>
    </row>
    <row r="202" customFormat="false" ht="15" hidden="false" customHeight="true" outlineLevel="0" collapsed="false">
      <c r="A202" s="8" t="s">
        <v>300</v>
      </c>
      <c r="B202" s="8" t="str">
        <f aca="false">IFERROR(INDEX('Source 2026'!$C:$C,MATCH($A202,'Source 2026'!$B:$B,0)),IFERROR(INDEX('Source 2025'!$C:$C,MATCH($A202,'Source 2025'!$B:$B,0)),""))</f>
        <v>ריפוד סיליקון לנעלי אצבע</v>
      </c>
      <c r="C202" s="9" t="n">
        <f aca="false">SUMIFS('Source 2025'!$I:$I,'Source 2025'!$B:$B,$A202,'Source 2025'!$A:$A,"Quantity (units)")</f>
        <v>1</v>
      </c>
      <c r="D202" s="9" t="n">
        <f aca="false">SUMIFS('Source 2026'!$I:$I,'Source 2026'!$B:$B,$A202,'Source 2026'!$A:$A,"Quantity (units)")</f>
        <v>8</v>
      </c>
      <c r="E202" s="9" t="n">
        <f aca="false">D202*$J$5</f>
        <v>10.1052631578947</v>
      </c>
      <c r="F202" s="9" t="n">
        <f aca="false">E202-C202</f>
        <v>9.10526315789474</v>
      </c>
      <c r="G202" s="11" t="n">
        <f aca="false">IF(AND(C202=0,E202=0),0,IF(C202=0,"New",(E202-C202)/C202))</f>
        <v>9.10526315789474</v>
      </c>
      <c r="H202" s="9" t="n">
        <f aca="false">SUMIFS('Source 2025'!$I:$I,'Source 2025'!$B:$B,$A202,'Source 2025'!$A:$A,"Amount (NIS)")</f>
        <v>-70.3</v>
      </c>
      <c r="I202" s="9" t="n">
        <f aca="false">SUMIFS('Source 2026'!$I:$I,'Source 2026'!$B:$B,$A202,'Source 2026'!$A:$A,"Amount (NIS)")</f>
        <v>196</v>
      </c>
      <c r="J202" s="9" t="n">
        <f aca="false">I202*$J$5</f>
        <v>247.578947368421</v>
      </c>
      <c r="K202" s="9" t="n">
        <f aca="false">J202-H202</f>
        <v>317.878947368421</v>
      </c>
      <c r="L202" s="11" t="n">
        <f aca="false">IF(AND(H202=0,J202=0),0,IF(H202=0,"New",(J202-H202)/H202))</f>
        <v>-4.52174889571012</v>
      </c>
    </row>
    <row r="203" customFormat="false" ht="15" hidden="false" customHeight="true" outlineLevel="0" collapsed="false">
      <c r="A203" s="8" t="s">
        <v>318</v>
      </c>
      <c r="B203" s="8" t="str">
        <f aca="false">IFERROR(INDEX('Source 2026'!$C:$C,MATCH($A203,'Source 2026'!$B:$B,0)),IFERROR(INDEX('Source 2025'!$C:$C,MATCH($A203,'Source 2025'!$B:$B,0)),""))</f>
        <v>יד לטניס כרית סילי</v>
      </c>
      <c r="C203" s="9" t="n">
        <f aca="false">SUMIFS('Source 2025'!$I:$I,'Source 2025'!$B:$B,$A203,'Source 2025'!$A:$A,"Quantity (units)")</f>
        <v>-2</v>
      </c>
      <c r="D203" s="9" t="n">
        <f aca="false">SUMIFS('Source 2026'!$I:$I,'Source 2026'!$B:$B,$A203,'Source 2026'!$A:$A,"Quantity (units)")</f>
        <v>0</v>
      </c>
      <c r="E203" s="9" t="n">
        <f aca="false">D203*$J$5</f>
        <v>0</v>
      </c>
      <c r="F203" s="9" t="n">
        <f aca="false">E203-C203</f>
        <v>2</v>
      </c>
      <c r="G203" s="11" t="n">
        <f aca="false">IF(AND(C203=0,E203=0),0,IF(C203=0,"New",(E203-C203)/C203))</f>
        <v>-1</v>
      </c>
      <c r="H203" s="9" t="n">
        <f aca="false">SUMIFS('Source 2025'!$I:$I,'Source 2025'!$B:$B,$A203,'Source 2025'!$A:$A,"Amount (NIS)")</f>
        <v>-262.1</v>
      </c>
      <c r="I203" s="9" t="n">
        <f aca="false">SUMIFS('Source 2026'!$I:$I,'Source 2026'!$B:$B,$A203,'Source 2026'!$A:$A,"Amount (NIS)")</f>
        <v>0</v>
      </c>
      <c r="J203" s="9" t="n">
        <f aca="false">I203*$J$5</f>
        <v>0</v>
      </c>
      <c r="K203" s="9" t="n">
        <f aca="false">J203-H203</f>
        <v>262.1</v>
      </c>
      <c r="L203" s="11" t="n">
        <f aca="false">IF(AND(H203=0,J203=0),0,IF(H203=0,"New",(J203-H203)/H203))</f>
        <v>-1</v>
      </c>
    </row>
    <row r="204" customFormat="false" ht="15" hidden="false" customHeight="true" outlineLevel="0" collapsed="false">
      <c r="A204" s="8" t="s">
        <v>277</v>
      </c>
      <c r="B204" s="8" t="str">
        <f aca="false">IFERROR(INDEX('Source 2026'!$C:$C,MATCH($A204,'Source 2026'!$B:$B,0)),IFERROR(INDEX('Source 2025'!$C:$C,MATCH($A204,'Source 2025'!$B:$B,0)),""))</f>
        <v>Mמתלה ליד)כיס(+רצועת חיזוק</v>
      </c>
      <c r="C204" s="9" t="n">
        <f aca="false">SUMIFS('Source 2025'!$I:$I,'Source 2025'!$B:$B,$A204,'Source 2025'!$A:$A,"Quantity (units)")</f>
        <v>3</v>
      </c>
      <c r="D204" s="9" t="n">
        <f aca="false">SUMIFS('Source 2026'!$I:$I,'Source 2026'!$B:$B,$A204,'Source 2026'!$A:$A,"Quantity (units)")</f>
        <v>0</v>
      </c>
      <c r="E204" s="9" t="n">
        <f aca="false">D204*$J$5</f>
        <v>0</v>
      </c>
      <c r="F204" s="9" t="n">
        <f aca="false">E204-C204</f>
        <v>-3</v>
      </c>
      <c r="G204" s="11" t="n">
        <f aca="false">IF(AND(C204=0,E204=0),0,IF(C204=0,"New",(E204-C204)/C204))</f>
        <v>-1</v>
      </c>
      <c r="H204" s="9" t="n">
        <f aca="false">SUMIFS('Source 2025'!$I:$I,'Source 2025'!$B:$B,$A204,'Source 2025'!$A:$A,"Amount (NIS)")</f>
        <v>248.7</v>
      </c>
      <c r="I204" s="9" t="n">
        <f aca="false">SUMIFS('Source 2026'!$I:$I,'Source 2026'!$B:$B,$A204,'Source 2026'!$A:$A,"Amount (NIS)")</f>
        <v>0</v>
      </c>
      <c r="J204" s="9" t="n">
        <f aca="false">I204*$J$5</f>
        <v>0</v>
      </c>
      <c r="K204" s="9" t="n">
        <f aca="false">J204-H204</f>
        <v>-248.7</v>
      </c>
      <c r="L204" s="11" t="n">
        <f aca="false">IF(AND(H204=0,J204=0),0,IF(H204=0,"New",(J204-H204)/H204))</f>
        <v>-1</v>
      </c>
    </row>
    <row r="205" customFormat="false" ht="15" hidden="false" customHeight="true" outlineLevel="0" collapsed="false">
      <c r="A205" s="8" t="s">
        <v>321</v>
      </c>
      <c r="B205" s="8" t="str">
        <f aca="false">IFERROR(INDEX('Source 2026'!$C:$C,MATCH($A205,'Source 2026'!$B:$B,0)),IFERROR(INDEX('Source 2025'!$C:$C,MATCH($A205,'Source 2025'!$B:$B,0)),""))</f>
        <v>מגן ירך</v>
      </c>
      <c r="C205" s="9" t="n">
        <f aca="false">SUMIFS('Source 2025'!$I:$I,'Source 2025'!$B:$B,$A205,'Source 2025'!$A:$A,"Quantity (units)")</f>
        <v>5</v>
      </c>
      <c r="D205" s="9" t="n">
        <f aca="false">SUMIFS('Source 2026'!$I:$I,'Source 2026'!$B:$B,$A205,'Source 2026'!$A:$A,"Quantity (units)")</f>
        <v>0</v>
      </c>
      <c r="E205" s="9" t="n">
        <f aca="false">D205*$J$5</f>
        <v>0</v>
      </c>
      <c r="F205" s="9" t="n">
        <f aca="false">E205-C205</f>
        <v>-5</v>
      </c>
      <c r="G205" s="11" t="n">
        <f aca="false">IF(AND(C205=0,E205=0),0,IF(C205=0,"New",(E205-C205)/C205))</f>
        <v>-1</v>
      </c>
      <c r="H205" s="9" t="n">
        <f aca="false">SUMIFS('Source 2025'!$I:$I,'Source 2025'!$B:$B,$A205,'Source 2025'!$A:$A,"Amount (NIS)")</f>
        <v>245.6</v>
      </c>
      <c r="I205" s="9" t="n">
        <f aca="false">SUMIFS('Source 2026'!$I:$I,'Source 2026'!$B:$B,$A205,'Source 2026'!$A:$A,"Amount (NIS)")</f>
        <v>0</v>
      </c>
      <c r="J205" s="9" t="n">
        <f aca="false">I205*$J$5</f>
        <v>0</v>
      </c>
      <c r="K205" s="9" t="n">
        <f aca="false">J205-H205</f>
        <v>-245.6</v>
      </c>
      <c r="L205" s="11" t="n">
        <f aca="false">IF(AND(H205=0,J205=0),0,IF(H205=0,"New",(J205-H205)/H205))</f>
        <v>-1</v>
      </c>
    </row>
    <row r="206" customFormat="false" ht="15" hidden="false" customHeight="true" outlineLevel="0" collapsed="false">
      <c r="A206" s="8" t="s">
        <v>374</v>
      </c>
      <c r="B206" s="8" t="str">
        <f aca="false">IFERROR(INDEX('Source 2026'!$C:$C,MATCH($A206,'Source 2026'!$B:$B,0)),IFERROR(INDEX('Source 2025'!$C:$C,MATCH($A206,'Source 2025'!$B:$B,0)),""))</f>
        <v>S תתמוקפאעקב סיליקון+ קשת</v>
      </c>
      <c r="C206" s="9" t="n">
        <f aca="false">SUMIFS('Source 2025'!$I:$I,'Source 2025'!$B:$B,$A206,'Source 2025'!$A:$A,"Quantity (units)")</f>
        <v>-3</v>
      </c>
      <c r="D206" s="9" t="n">
        <f aca="false">SUMIFS('Source 2026'!$I:$I,'Source 2026'!$B:$B,$A206,'Source 2026'!$A:$A,"Quantity (units)")</f>
        <v>0</v>
      </c>
      <c r="E206" s="9" t="n">
        <f aca="false">D206*$J$5</f>
        <v>0</v>
      </c>
      <c r="F206" s="9" t="n">
        <f aca="false">E206-C206</f>
        <v>3</v>
      </c>
      <c r="G206" s="11" t="n">
        <f aca="false">IF(AND(C206=0,E206=0),0,IF(C206=0,"New",(E206-C206)/C206))</f>
        <v>-1</v>
      </c>
      <c r="H206" s="9" t="n">
        <f aca="false">SUMIFS('Source 2025'!$I:$I,'Source 2025'!$B:$B,$A206,'Source 2025'!$A:$A,"Amount (NIS)")</f>
        <v>-241.3</v>
      </c>
      <c r="I206" s="9" t="n">
        <f aca="false">SUMIFS('Source 2026'!$I:$I,'Source 2026'!$B:$B,$A206,'Source 2026'!$A:$A,"Amount (NIS)")</f>
        <v>0</v>
      </c>
      <c r="J206" s="9" t="n">
        <f aca="false">I206*$J$5</f>
        <v>0</v>
      </c>
      <c r="K206" s="9" t="n">
        <f aca="false">J206-H206</f>
        <v>241.3</v>
      </c>
      <c r="L206" s="11" t="n">
        <f aca="false">IF(AND(H206=0,J206=0),0,IF(H206=0,"New",(J206-H206)/H206))</f>
        <v>-1</v>
      </c>
    </row>
    <row r="207" customFormat="false" ht="15" hidden="false" customHeight="true" outlineLevel="0" collapsed="false">
      <c r="A207" s="8" t="s">
        <v>368</v>
      </c>
      <c r="B207" s="8" t="str">
        <f aca="false">IFERROR(INDEX('Source 2026'!$C:$C,MATCH($A207,'Source 2026'!$B:$B,0)),IFERROR(INDEX('Source 2025'!$C:$C,MATCH($A207,'Source 2025'!$B:$B,0)),""))</f>
        <v>099 חגורת גב שרוכים</v>
      </c>
      <c r="C207" s="9" t="n">
        <f aca="false">SUMIFS('Source 2025'!$I:$I,'Source 2025'!$B:$B,$A207,'Source 2025'!$A:$A,"Quantity (units)")</f>
        <v>0</v>
      </c>
      <c r="D207" s="9" t="n">
        <f aca="false">SUMIFS('Source 2026'!$I:$I,'Source 2026'!$B:$B,$A207,'Source 2026'!$A:$A,"Quantity (units)")</f>
        <v>-2</v>
      </c>
      <c r="E207" s="9" t="n">
        <f aca="false">D207*$J$5</f>
        <v>-2.52631578947368</v>
      </c>
      <c r="F207" s="9" t="n">
        <f aca="false">E207-C207</f>
        <v>-2.52631578947368</v>
      </c>
      <c r="G207" s="11" t="str">
        <f aca="false">IF(AND(C207=0,E207=0),0,IF(C207=0,"New",(E207-C207)/C207))</f>
        <v>New</v>
      </c>
      <c r="H207" s="9" t="n">
        <f aca="false">SUMIFS('Source 2025'!$I:$I,'Source 2025'!$B:$B,$A207,'Source 2025'!$A:$A,"Amount (NIS)")</f>
        <v>0</v>
      </c>
      <c r="I207" s="9" t="n">
        <f aca="false">SUMIFS('Source 2026'!$I:$I,'Source 2026'!$B:$B,$A207,'Source 2026'!$A:$A,"Amount (NIS)")</f>
        <v>-240.3</v>
      </c>
      <c r="J207" s="9" t="n">
        <f aca="false">I207*$J$5</f>
        <v>-303.536842105263</v>
      </c>
      <c r="K207" s="9" t="n">
        <f aca="false">J207-H207</f>
        <v>-303.536842105263</v>
      </c>
      <c r="L207" s="11" t="str">
        <f aca="false">IF(AND(H207=0,J207=0),0,IF(H207=0,"New",(J207-H207)/H207))</f>
        <v>New</v>
      </c>
    </row>
    <row r="208" customFormat="false" ht="15" hidden="false" customHeight="true" outlineLevel="0" collapsed="false">
      <c r="A208" s="8" t="s">
        <v>98</v>
      </c>
      <c r="B208" s="8" t="str">
        <f aca="false">IFERROR(INDEX('Source 2026'!$C:$C,MATCH($A208,'Source 2026'!$B:$B,0)),IFERROR(INDEX('Source 2025'!$C:$C,MATCH($A208,'Source 2025'!$B:$B,0)),""))</f>
        <v>L מגן קרסול שחור</v>
      </c>
      <c r="C208" s="9" t="n">
        <f aca="false">SUMIFS('Source 2025'!$I:$I,'Source 2025'!$B:$B,$A208,'Source 2025'!$A:$A,"Quantity (units)")</f>
        <v>6</v>
      </c>
      <c r="D208" s="9" t="n">
        <f aca="false">SUMIFS('Source 2026'!$I:$I,'Source 2026'!$B:$B,$A208,'Source 2026'!$A:$A,"Quantity (units)")</f>
        <v>12</v>
      </c>
      <c r="E208" s="9" t="n">
        <f aca="false">D208*$J$5</f>
        <v>15.1578947368421</v>
      </c>
      <c r="F208" s="9" t="n">
        <f aca="false">E208-C208</f>
        <v>9.1578947368421</v>
      </c>
      <c r="G208" s="11" t="n">
        <f aca="false">IF(AND(C208=0,E208=0),0,IF(C208=0,"New",(E208-C208)/C208))</f>
        <v>1.52631578947368</v>
      </c>
      <c r="H208" s="9" t="n">
        <f aca="false">SUMIFS('Source 2025'!$I:$I,'Source 2025'!$B:$B,$A208,'Source 2025'!$A:$A,"Amount (NIS)")</f>
        <v>148.6</v>
      </c>
      <c r="I208" s="9" t="n">
        <f aca="false">SUMIFS('Source 2026'!$I:$I,'Source 2026'!$B:$B,$A208,'Source 2026'!$A:$A,"Amount (NIS)")</f>
        <v>370.8</v>
      </c>
      <c r="J208" s="9" t="n">
        <f aca="false">I208*$J$5</f>
        <v>468.378947368421</v>
      </c>
      <c r="K208" s="9" t="n">
        <f aca="false">J208-H208</f>
        <v>319.778947368421</v>
      </c>
      <c r="L208" s="11" t="n">
        <f aca="false">IF(AND(H208=0,J208=0),0,IF(H208=0,"New",(J208-H208)/H208))</f>
        <v>2.15194446412127</v>
      </c>
    </row>
    <row r="209" customFormat="false" ht="15" hidden="false" customHeight="true" outlineLevel="0" collapsed="false">
      <c r="A209" s="8" t="s">
        <v>375</v>
      </c>
      <c r="B209" s="8" t="str">
        <f aca="false">IFERROR(INDEX('Source 2026'!$C:$C,MATCH($A209,'Source 2026'!$B:$B,0)),IFERROR(INDEX('Source 2025'!$C:$C,MATCH($A209,'Source 2025'!$B:$B,0)),""))</f>
        <v>קרסול עם שרוכים בז</v>
      </c>
      <c r="C209" s="9" t="n">
        <f aca="false">SUMIFS('Source 2025'!$I:$I,'Source 2025'!$B:$B,$A209,'Source 2025'!$A:$A,"Quantity (units)")</f>
        <v>-2</v>
      </c>
      <c r="D209" s="9" t="n">
        <f aca="false">SUMIFS('Source 2026'!$I:$I,'Source 2026'!$B:$B,$A209,'Source 2026'!$A:$A,"Quantity (units)")</f>
        <v>0</v>
      </c>
      <c r="E209" s="9" t="n">
        <f aca="false">D209*$J$5</f>
        <v>0</v>
      </c>
      <c r="F209" s="9" t="n">
        <f aca="false">E209-C209</f>
        <v>2</v>
      </c>
      <c r="G209" s="11" t="n">
        <f aca="false">IF(AND(C209=0,E209=0),0,IF(C209=0,"New",(E209-C209)/C209))</f>
        <v>-1</v>
      </c>
      <c r="H209" s="9" t="n">
        <f aca="false">SUMIFS('Source 2025'!$I:$I,'Source 2025'!$B:$B,$A209,'Source 2025'!$A:$A,"Amount (NIS)")</f>
        <v>-213</v>
      </c>
      <c r="I209" s="9" t="n">
        <f aca="false">SUMIFS('Source 2026'!$I:$I,'Source 2026'!$B:$B,$A209,'Source 2026'!$A:$A,"Amount (NIS)")</f>
        <v>0</v>
      </c>
      <c r="J209" s="9" t="n">
        <f aca="false">I209*$J$5</f>
        <v>0</v>
      </c>
      <c r="K209" s="9" t="n">
        <f aca="false">J209-H209</f>
        <v>213</v>
      </c>
      <c r="L209" s="11" t="n">
        <f aca="false">IF(AND(H209=0,J209=0),0,IF(H209=0,"New",(J209-H209)/H209))</f>
        <v>-1</v>
      </c>
    </row>
    <row r="210" customFormat="false" ht="15" hidden="false" customHeight="true" outlineLevel="0" collapsed="false">
      <c r="A210" s="8" t="s">
        <v>376</v>
      </c>
      <c r="B210" s="8" t="str">
        <f aca="false">IFERROR(INDEX('Source 2026'!$C:$C,MATCH($A210,'Source 2026'!$B:$B,0)),IFERROR(INDEX('Source 2025'!$C:$C,MATCH($A210,'Source 2025'!$B:$B,0)),""))</f>
        <v>L מגן ברך לסקי</v>
      </c>
      <c r="C210" s="9" t="n">
        <f aca="false">SUMIFS('Source 2025'!$I:$I,'Source 2025'!$B:$B,$A210,'Source 2025'!$A:$A,"Quantity (units)")</f>
        <v>0</v>
      </c>
      <c r="D210" s="9" t="n">
        <f aca="false">SUMIFS('Source 2026'!$I:$I,'Source 2026'!$B:$B,$A210,'Source 2026'!$A:$A,"Quantity (units)")</f>
        <v>-1</v>
      </c>
      <c r="E210" s="9" t="n">
        <f aca="false">D210*$J$5</f>
        <v>-1.26315789473684</v>
      </c>
      <c r="F210" s="9" t="n">
        <f aca="false">E210-C210</f>
        <v>-1.26315789473684</v>
      </c>
      <c r="G210" s="11" t="str">
        <f aca="false">IF(AND(C210=0,E210=0),0,IF(C210=0,"New",(E210-C210)/C210))</f>
        <v>New</v>
      </c>
      <c r="H210" s="9" t="n">
        <f aca="false">SUMIFS('Source 2025'!$I:$I,'Source 2025'!$B:$B,$A210,'Source 2025'!$A:$A,"Amount (NIS)")</f>
        <v>0</v>
      </c>
      <c r="I210" s="9" t="n">
        <f aca="false">SUMIFS('Source 2026'!$I:$I,'Source 2026'!$B:$B,$A210,'Source 2026'!$A:$A,"Amount (NIS)")</f>
        <v>-204.8</v>
      </c>
      <c r="J210" s="9" t="n">
        <f aca="false">I210*$J$5</f>
        <v>-258.694736842105</v>
      </c>
      <c r="K210" s="9" t="n">
        <f aca="false">J210-H210</f>
        <v>-258.694736842105</v>
      </c>
      <c r="L210" s="11" t="str">
        <f aca="false">IF(AND(H210=0,J210=0),0,IF(H210=0,"New",(J210-H210)/H210))</f>
        <v>New</v>
      </c>
    </row>
    <row r="211" customFormat="false" ht="15" hidden="false" customHeight="true" outlineLevel="0" collapsed="false">
      <c r="A211" s="8" t="s">
        <v>265</v>
      </c>
      <c r="B211" s="8" t="str">
        <f aca="false">IFERROR(INDEX('Source 2026'!$C:$C,MATCH($A211,'Source 2026'!$B:$B,0)),IFERROR(INDEX('Source 2025'!$C:$C,MATCH($A211,'Source 2025'!$B:$B,0)),""))</f>
        <v>XLסד ליד שמאל</v>
      </c>
      <c r="C211" s="9" t="n">
        <f aca="false">SUMIFS('Source 2025'!$I:$I,'Source 2025'!$B:$B,$A211,'Source 2025'!$A:$A,"Quantity (units)")</f>
        <v>-2</v>
      </c>
      <c r="D211" s="9" t="n">
        <f aca="false">SUMIFS('Source 2026'!$I:$I,'Source 2026'!$B:$B,$A211,'Source 2026'!$A:$A,"Quantity (units)")</f>
        <v>-1</v>
      </c>
      <c r="E211" s="9" t="n">
        <f aca="false">D211*$J$5</f>
        <v>-1.26315789473684</v>
      </c>
      <c r="F211" s="9" t="n">
        <f aca="false">E211-C211</f>
        <v>0.736842105263158</v>
      </c>
      <c r="G211" s="11" t="n">
        <f aca="false">IF(AND(C211=0,E211=0),0,IF(C211=0,"New",(E211-C211)/C211))</f>
        <v>-0.368421052631579</v>
      </c>
      <c r="H211" s="9" t="n">
        <f aca="false">SUMIFS('Source 2025'!$I:$I,'Source 2025'!$B:$B,$A211,'Source 2025'!$A:$A,"Amount (NIS)")</f>
        <v>-194.1</v>
      </c>
      <c r="I211" s="9" t="n">
        <f aca="false">SUMIFS('Source 2026'!$I:$I,'Source 2026'!$B:$B,$A211,'Source 2026'!$A:$A,"Amount (NIS)")</f>
        <v>0</v>
      </c>
      <c r="J211" s="9" t="n">
        <f aca="false">I211*$J$5</f>
        <v>0</v>
      </c>
      <c r="K211" s="9" t="n">
        <f aca="false">J211-H211</f>
        <v>194.1</v>
      </c>
      <c r="L211" s="11" t="n">
        <f aca="false">IF(AND(H211=0,J211=0),0,IF(H211=0,"New",(J211-H211)/H211))</f>
        <v>-1</v>
      </c>
    </row>
    <row r="212" customFormat="false" ht="15" hidden="false" customHeight="true" outlineLevel="0" collapsed="false">
      <c r="A212" s="8" t="s">
        <v>142</v>
      </c>
      <c r="B212" s="8" t="str">
        <f aca="false">IFERROR(INDEX('Source 2026'!$C:$C,MATCH($A212,'Source 2026'!$B:$B,0)),IFERROR(INDEX('Source 2025'!$C:$C,MATCH($A212,'Source 2025'!$B:$B,0)),""))</f>
        <v>L מגן מרפק שחור</v>
      </c>
      <c r="C212" s="9" t="n">
        <f aca="false">SUMIFS('Source 2025'!$I:$I,'Source 2025'!$B:$B,$A212,'Source 2025'!$A:$A,"Quantity (units)")</f>
        <v>6</v>
      </c>
      <c r="D212" s="9" t="n">
        <f aca="false">SUMIFS('Source 2026'!$I:$I,'Source 2026'!$B:$B,$A212,'Source 2026'!$A:$A,"Quantity (units)")</f>
        <v>12</v>
      </c>
      <c r="E212" s="9" t="n">
        <f aca="false">D212*$J$5</f>
        <v>15.1578947368421</v>
      </c>
      <c r="F212" s="9" t="n">
        <f aca="false">E212-C212</f>
        <v>9.1578947368421</v>
      </c>
      <c r="G212" s="11" t="n">
        <f aca="false">IF(AND(C212=0,E212=0),0,IF(C212=0,"New",(E212-C212)/C212))</f>
        <v>1.52631578947368</v>
      </c>
      <c r="H212" s="9" t="n">
        <f aca="false">SUMIFS('Source 2025'!$I:$I,'Source 2025'!$B:$B,$A212,'Source 2025'!$A:$A,"Amount (NIS)")</f>
        <v>178.5</v>
      </c>
      <c r="I212" s="9" t="n">
        <f aca="false">SUMIFS('Source 2026'!$I:$I,'Source 2026'!$B:$B,$A212,'Source 2026'!$A:$A,"Amount (NIS)")</f>
        <v>370.8</v>
      </c>
      <c r="J212" s="9" t="n">
        <f aca="false">I212*$J$5</f>
        <v>468.378947368421</v>
      </c>
      <c r="K212" s="9" t="n">
        <f aca="false">J212-H212</f>
        <v>289.878947368421</v>
      </c>
      <c r="L212" s="11" t="n">
        <f aca="false">IF(AND(H212=0,J212=0),0,IF(H212=0,"New",(J212-H212)/H212))</f>
        <v>1.62397169394073</v>
      </c>
    </row>
    <row r="213" customFormat="false" ht="15" hidden="false" customHeight="true" outlineLevel="0" collapsed="false">
      <c r="A213" s="8" t="s">
        <v>190</v>
      </c>
      <c r="B213" s="8" t="str">
        <f aca="false">IFERROR(INDEX('Source 2026'!$C:$C,MATCH($A213,'Source 2026'!$B:$B,0)),IFERROR(INDEX('Source 2025'!$C:$C,MATCH($A213,'Source 2025'!$B:$B,0)),""))</f>
        <v>לחץ א.הבוניון</v>
      </c>
      <c r="C213" s="9" t="n">
        <f aca="false">SUMIFS('Source 2025'!$I:$I,'Source 2025'!$B:$B,$A213,'Source 2025'!$A:$A,"Quantity (units)")</f>
        <v>38</v>
      </c>
      <c r="D213" s="9" t="n">
        <f aca="false">SUMIFS('Source 2026'!$I:$I,'Source 2026'!$B:$B,$A213,'Source 2026'!$A:$A,"Quantity (units)")</f>
        <v>29</v>
      </c>
      <c r="E213" s="9" t="n">
        <f aca="false">D213*$J$5</f>
        <v>36.6315789473684</v>
      </c>
      <c r="F213" s="9" t="n">
        <f aca="false">E213-C213</f>
        <v>-1.36842105263158</v>
      </c>
      <c r="G213" s="11" t="n">
        <f aca="false">IF(AND(C213=0,E213=0),0,IF(C213=0,"New",(E213-C213)/C213))</f>
        <v>-0.0360110803324101</v>
      </c>
      <c r="H213" s="9" t="n">
        <f aca="false">SUMIFS('Source 2025'!$I:$I,'Source 2025'!$B:$B,$A213,'Source 2025'!$A:$A,"Amount (NIS)")</f>
        <v>705.2</v>
      </c>
      <c r="I213" s="9" t="n">
        <f aca="false">SUMIFS('Source 2026'!$I:$I,'Source 2026'!$B:$B,$A213,'Source 2026'!$A:$A,"Amount (NIS)")</f>
        <v>524.8</v>
      </c>
      <c r="J213" s="9" t="n">
        <f aca="false">I213*$J$5</f>
        <v>662.905263157895</v>
      </c>
      <c r="K213" s="9" t="n">
        <f aca="false">J213-H213</f>
        <v>-42.2947368421054</v>
      </c>
      <c r="L213" s="11" t="n">
        <f aca="false">IF(AND(H213=0,J213=0),0,IF(H213=0,"New",(J213-H213)/H213))</f>
        <v>-0.0599755201958386</v>
      </c>
    </row>
    <row r="214" customFormat="false" ht="15" hidden="false" customHeight="true" outlineLevel="0" collapsed="false">
      <c r="A214" s="8" t="s">
        <v>222</v>
      </c>
      <c r="B214" s="8" t="str">
        <f aca="false">IFERROR(INDEX('Source 2026'!$C:$C,MATCH($A214,'Source 2026'!$B:$B,0)),IFERROR(INDEX('Source 2025'!$C:$C,MATCH($A214,'Source 2025'!$B:$B,0)),""))</f>
        <v>L מיצב פיקה</v>
      </c>
      <c r="C214" s="9" t="n">
        <f aca="false">SUMIFS('Source 2025'!$I:$I,'Source 2025'!$B:$B,$A214,'Source 2025'!$A:$A,"Quantity (units)")</f>
        <v>1</v>
      </c>
      <c r="D214" s="9" t="n">
        <f aca="false">SUMIFS('Source 2026'!$I:$I,'Source 2026'!$B:$B,$A214,'Source 2026'!$A:$A,"Quantity (units)")</f>
        <v>-1</v>
      </c>
      <c r="E214" s="9" t="n">
        <f aca="false">D214*$J$5</f>
        <v>-1.26315789473684</v>
      </c>
      <c r="F214" s="9" t="n">
        <f aca="false">E214-C214</f>
        <v>-2.26315789473684</v>
      </c>
      <c r="G214" s="11" t="n">
        <f aca="false">IF(AND(C214=0,E214=0),0,IF(C214=0,"New",(E214-C214)/C214))</f>
        <v>-2.26315789473684</v>
      </c>
      <c r="H214" s="9" t="n">
        <f aca="false">SUMIFS('Source 2025'!$I:$I,'Source 2025'!$B:$B,$A214,'Source 2025'!$A:$A,"Amount (NIS)")</f>
        <v>94.5</v>
      </c>
      <c r="I214" s="9" t="n">
        <f aca="false">SUMIFS('Source 2026'!$I:$I,'Source 2026'!$B:$B,$A214,'Source 2026'!$A:$A,"Amount (NIS)")</f>
        <v>-81.9</v>
      </c>
      <c r="J214" s="9" t="n">
        <f aca="false">I214*$J$5</f>
        <v>-103.452631578947</v>
      </c>
      <c r="K214" s="9" t="n">
        <f aca="false">J214-H214</f>
        <v>-197.952631578947</v>
      </c>
      <c r="L214" s="11" t="n">
        <f aca="false">IF(AND(H214=0,J214=0),0,IF(H214=0,"New",(J214-H214)/H214))</f>
        <v>-2.09473684210526</v>
      </c>
    </row>
    <row r="215" customFormat="false" ht="15" hidden="false" customHeight="true" outlineLevel="0" collapsed="false">
      <c r="A215" s="8" t="s">
        <v>365</v>
      </c>
      <c r="B215" s="8" t="str">
        <f aca="false">IFERROR(INDEX('Source 2026'!$C:$C,MATCH($A215,'Source 2026'!$B:$B,0)),IFERROR(INDEX('Source 2025'!$C:$C,MATCH($A215,'Source 2025'!$B:$B,0)),""))</f>
        <v>L-XL רצועת טניס אלבו</v>
      </c>
      <c r="C215" s="9" t="n">
        <f aca="false">SUMIFS('Source 2025'!$I:$I,'Source 2025'!$B:$B,$A215,'Source 2025'!$A:$A,"Quantity (units)")</f>
        <v>-4</v>
      </c>
      <c r="D215" s="9" t="n">
        <f aca="false">SUMIFS('Source 2026'!$I:$I,'Source 2026'!$B:$B,$A215,'Source 2026'!$A:$A,"Quantity (units)")</f>
        <v>-1</v>
      </c>
      <c r="E215" s="9" t="n">
        <f aca="false">D215*$J$5</f>
        <v>-1.26315789473684</v>
      </c>
      <c r="F215" s="9" t="n">
        <f aca="false">E215-C215</f>
        <v>2.73684210526316</v>
      </c>
      <c r="G215" s="11" t="n">
        <f aca="false">IF(AND(C215=0,E215=0),0,IF(C215=0,"New",(E215-C215)/C215))</f>
        <v>-0.68421052631579</v>
      </c>
      <c r="H215" s="9" t="n">
        <f aca="false">SUMIFS('Source 2025'!$I:$I,'Source 2025'!$B:$B,$A215,'Source 2025'!$A:$A,"Amount (NIS)")</f>
        <v>-219.2</v>
      </c>
      <c r="I215" s="9" t="n">
        <f aca="false">SUMIFS('Source 2026'!$I:$I,'Source 2026'!$B:$B,$A215,'Source 2026'!$A:$A,"Amount (NIS)")</f>
        <v>-49.1</v>
      </c>
      <c r="J215" s="9" t="n">
        <f aca="false">I215*$J$5</f>
        <v>-62.021052631579</v>
      </c>
      <c r="K215" s="9" t="n">
        <f aca="false">J215-H215</f>
        <v>157.178947368421</v>
      </c>
      <c r="L215" s="11" t="n">
        <f aca="false">IF(AND(H215=0,J215=0),0,IF(H215=0,"New",(J215-H215)/H215))</f>
        <v>-0.717057241644257</v>
      </c>
    </row>
    <row r="216" customFormat="false" ht="15" hidden="false" customHeight="true" outlineLevel="0" collapsed="false">
      <c r="A216" s="8" t="s">
        <v>261</v>
      </c>
      <c r="B216" s="8" t="str">
        <f aca="false">IFERROR(INDEX('Source 2026'!$C:$C,MATCH($A216,'Source 2026'!$B:$B,0)),IFERROR(INDEX('Source 2025'!$C:$C,MATCH($A216,'Source 2025'!$B:$B,0)),""))</f>
        <v>כפפות אגודל לחץ</v>
      </c>
      <c r="C216" s="9" t="n">
        <f aca="false">SUMIFS('Source 2025'!$I:$I,'Source 2025'!$B:$B,$A216,'Source 2025'!$A:$A,"Quantity (units)")</f>
        <v>62</v>
      </c>
      <c r="D216" s="9" t="n">
        <f aca="false">SUMIFS('Source 2026'!$I:$I,'Source 2026'!$B:$B,$A216,'Source 2026'!$A:$A,"Quantity (units)")</f>
        <v>54</v>
      </c>
      <c r="E216" s="9" t="n">
        <f aca="false">D216*$J$5</f>
        <v>68.2105263157895</v>
      </c>
      <c r="F216" s="9" t="n">
        <f aca="false">E216-C216</f>
        <v>6.21052631578947</v>
      </c>
      <c r="G216" s="11" t="n">
        <f aca="false">IF(AND(C216=0,E216=0),0,IF(C216=0,"New",(E216-C216)/C216))</f>
        <v>0.100169779286927</v>
      </c>
      <c r="H216" s="9" t="n">
        <f aca="false">SUMIFS('Source 2025'!$I:$I,'Source 2025'!$B:$B,$A216,'Source 2025'!$A:$A,"Amount (NIS)")</f>
        <v>1770</v>
      </c>
      <c r="I216" s="9" t="n">
        <f aca="false">SUMIFS('Source 2026'!$I:$I,'Source 2026'!$B:$B,$A216,'Source 2026'!$A:$A,"Amount (NIS)")</f>
        <v>1600</v>
      </c>
      <c r="J216" s="9" t="n">
        <f aca="false">I216*$J$5</f>
        <v>2021.05263157895</v>
      </c>
      <c r="K216" s="9" t="n">
        <f aca="false">J216-H216</f>
        <v>251.052631578947</v>
      </c>
      <c r="L216" s="11" t="n">
        <f aca="false">IF(AND(H216=0,J216=0),0,IF(H216=0,"New",(J216-H216)/H216))</f>
        <v>0.141837644959857</v>
      </c>
    </row>
    <row r="217" customFormat="false" ht="15" hidden="false" customHeight="true" outlineLevel="0" collapsed="false">
      <c r="A217" s="8" t="s">
        <v>198</v>
      </c>
      <c r="B217" s="8" t="str">
        <f aca="false">IFERROR(INDEX('Source 2026'!$C:$C,MATCH($A217,'Source 2026'!$B:$B,0)),IFERROR(INDEX('Source 2025'!$C:$C,MATCH($A217,'Source 2025'!$B:$B,0)),""))</f>
        <v>לחץ מיבלת2יח</v>
      </c>
      <c r="C217" s="9" t="n">
        <f aca="false">SUMIFS('Source 2025'!$I:$I,'Source 2025'!$B:$B,$A217,'Source 2025'!$A:$A,"Quantity (units)")</f>
        <v>88</v>
      </c>
      <c r="D217" s="9" t="n">
        <f aca="false">SUMIFS('Source 2026'!$I:$I,'Source 2026'!$B:$B,$A217,'Source 2026'!$A:$A,"Quantity (units)")</f>
        <v>73</v>
      </c>
      <c r="E217" s="9" t="n">
        <f aca="false">D217*$J$5</f>
        <v>92.2105263157895</v>
      </c>
      <c r="F217" s="9" t="n">
        <f aca="false">E217-C217</f>
        <v>4.21052631578947</v>
      </c>
      <c r="G217" s="11" t="n">
        <f aca="false">IF(AND(C217=0,E217=0),0,IF(C217=0,"New",(E217-C217)/C217))</f>
        <v>0.047846889952153</v>
      </c>
      <c r="H217" s="9" t="n">
        <f aca="false">SUMIFS('Source 2025'!$I:$I,'Source 2025'!$B:$B,$A217,'Source 2025'!$A:$A,"Amount (NIS)")</f>
        <v>1132.7</v>
      </c>
      <c r="I217" s="9" t="n">
        <f aca="false">SUMIFS('Source 2026'!$I:$I,'Source 2026'!$B:$B,$A217,'Source 2026'!$A:$A,"Amount (NIS)")</f>
        <v>992.1</v>
      </c>
      <c r="J217" s="9" t="n">
        <f aca="false">I217*$J$5</f>
        <v>1253.17894736842</v>
      </c>
      <c r="K217" s="9" t="n">
        <f aca="false">J217-H217</f>
        <v>120.478947368421</v>
      </c>
      <c r="L217" s="11" t="n">
        <f aca="false">IF(AND(H217=0,J217=0),0,IF(H217=0,"New",(J217-H217)/H217))</f>
        <v>0.106364392485584</v>
      </c>
    </row>
    <row r="218" customFormat="false" ht="15" hidden="false" customHeight="true" outlineLevel="0" collapsed="false">
      <c r="A218" s="8" t="s">
        <v>284</v>
      </c>
      <c r="B218" s="8" t="str">
        <f aca="false">IFERROR(INDEX('Source 2026'!$C:$C,MATCH($A218,'Source 2026'!$B:$B,0)),IFERROR(INDEX('Source 2025'!$C:$C,MATCH($A218,'Source 2025'!$B:$B,0)),""))</f>
        <v>רפידת ג'ל כחול36-40</v>
      </c>
      <c r="C218" s="9" t="n">
        <f aca="false">SUMIFS('Source 2025'!$I:$I,'Source 2025'!$B:$B,$A218,'Source 2025'!$A:$A,"Quantity (units)")</f>
        <v>0</v>
      </c>
      <c r="D218" s="9" t="n">
        <f aca="false">SUMIFS('Source 2026'!$I:$I,'Source 2026'!$B:$B,$A218,'Source 2026'!$A:$A,"Quantity (units)")</f>
        <v>-2</v>
      </c>
      <c r="E218" s="9" t="n">
        <f aca="false">D218*$J$5</f>
        <v>-2.52631578947368</v>
      </c>
      <c r="F218" s="9" t="n">
        <f aca="false">E218-C218</f>
        <v>-2.52631578947368</v>
      </c>
      <c r="G218" s="11" t="str">
        <f aca="false">IF(AND(C218=0,E218=0),0,IF(C218=0,"New",(E218-C218)/C218))</f>
        <v>New</v>
      </c>
      <c r="H218" s="9" t="n">
        <f aca="false">SUMIFS('Source 2025'!$I:$I,'Source 2025'!$B:$B,$A218,'Source 2025'!$A:$A,"Amount (NIS)")</f>
        <v>-7.2</v>
      </c>
      <c r="I218" s="9" t="n">
        <f aca="false">SUMIFS('Source 2026'!$I:$I,'Source 2026'!$B:$B,$A218,'Source 2026'!$A:$A,"Amount (NIS)")</f>
        <v>-146.6</v>
      </c>
      <c r="J218" s="9" t="n">
        <f aca="false">I218*$J$5</f>
        <v>-185.178947368421</v>
      </c>
      <c r="K218" s="9" t="n">
        <f aca="false">J218-H218</f>
        <v>-177.978947368421</v>
      </c>
      <c r="L218" s="11" t="n">
        <f aca="false">IF(AND(H218=0,J218=0),0,IF(H218=0,"New",(J218-H218)/H218))</f>
        <v>24.719298245614</v>
      </c>
    </row>
    <row r="219" customFormat="false" ht="15" hidden="false" customHeight="true" outlineLevel="0" collapsed="false">
      <c r="A219" s="8" t="s">
        <v>305</v>
      </c>
      <c r="B219" s="8" t="str">
        <f aca="false">IFERROR(INDEX('Source 2026'!$C:$C,MATCH($A219,'Source 2026'!$B:$B,0)),IFERROR(INDEX('Source 2025'!$C:$C,MATCH($A219,'Source 2025'!$B:$B,0)),""))</f>
        <v>.חבישת""הלוקס ולגוס""לאחר נית</v>
      </c>
      <c r="C219" s="9" t="n">
        <f aca="false">SUMIFS('Source 2025'!$I:$I,'Source 2025'!$B:$B,$A219,'Source 2025'!$A:$A,"Quantity (units)")</f>
        <v>-2</v>
      </c>
      <c r="D219" s="9" t="n">
        <f aca="false">SUMIFS('Source 2026'!$I:$I,'Source 2026'!$B:$B,$A219,'Source 2026'!$A:$A,"Quantity (units)")</f>
        <v>0</v>
      </c>
      <c r="E219" s="9" t="n">
        <f aca="false">D219*$J$5</f>
        <v>0</v>
      </c>
      <c r="F219" s="9" t="n">
        <f aca="false">E219-C219</f>
        <v>2</v>
      </c>
      <c r="G219" s="11" t="n">
        <f aca="false">IF(AND(C219=0,E219=0),0,IF(C219=0,"New",(E219-C219)/C219))</f>
        <v>-1</v>
      </c>
      <c r="H219" s="9" t="n">
        <f aca="false">SUMIFS('Source 2025'!$I:$I,'Source 2025'!$B:$B,$A219,'Source 2025'!$A:$A,"Amount (NIS)")</f>
        <v>-136.3</v>
      </c>
      <c r="I219" s="9" t="n">
        <f aca="false">SUMIFS('Source 2026'!$I:$I,'Source 2026'!$B:$B,$A219,'Source 2026'!$A:$A,"Amount (NIS)")</f>
        <v>0</v>
      </c>
      <c r="J219" s="9" t="n">
        <f aca="false">I219*$J$5</f>
        <v>0</v>
      </c>
      <c r="K219" s="9" t="n">
        <f aca="false">J219-H219</f>
        <v>136.3</v>
      </c>
      <c r="L219" s="11" t="n">
        <f aca="false">IF(AND(H219=0,J219=0),0,IF(H219=0,"New",(J219-H219)/H219))</f>
        <v>-1</v>
      </c>
    </row>
    <row r="220" customFormat="false" ht="15" hidden="false" customHeight="true" outlineLevel="0" collapsed="false">
      <c r="A220" s="8" t="s">
        <v>240</v>
      </c>
      <c r="B220" s="8" t="str">
        <f aca="false">IFERROR(INDEX('Source 2026'!$C:$C,MATCH($A220,'Source 2026'!$B:$B,0)),IFERROR(INDEX('Source 2025'!$C:$C,MATCH($A220,'Source 2025'!$B:$B,0)),""))</f>
        <v>מגן קרסול+כרית סילקון</v>
      </c>
      <c r="C220" s="9" t="n">
        <f aca="false">SUMIFS('Source 2025'!$I:$I,'Source 2025'!$B:$B,$A220,'Source 2025'!$A:$A,"Quantity (units)")</f>
        <v>-1</v>
      </c>
      <c r="D220" s="9" t="n">
        <f aca="false">SUMIFS('Source 2026'!$I:$I,'Source 2026'!$B:$B,$A220,'Source 2026'!$A:$A,"Quantity (units)")</f>
        <v>0</v>
      </c>
      <c r="E220" s="9" t="n">
        <f aca="false">D220*$J$5</f>
        <v>0</v>
      </c>
      <c r="F220" s="9" t="n">
        <f aca="false">E220-C220</f>
        <v>1</v>
      </c>
      <c r="G220" s="11" t="n">
        <f aca="false">IF(AND(C220=0,E220=0),0,IF(C220=0,"New",(E220-C220)/C220))</f>
        <v>-1</v>
      </c>
      <c r="H220" s="9" t="n">
        <f aca="false">SUMIFS('Source 2025'!$I:$I,'Source 2025'!$B:$B,$A220,'Source 2025'!$A:$A,"Amount (NIS)")</f>
        <v>-131.1</v>
      </c>
      <c r="I220" s="9" t="n">
        <f aca="false">SUMIFS('Source 2026'!$I:$I,'Source 2026'!$B:$B,$A220,'Source 2026'!$A:$A,"Amount (NIS)")</f>
        <v>0</v>
      </c>
      <c r="J220" s="9" t="n">
        <f aca="false">I220*$J$5</f>
        <v>0</v>
      </c>
      <c r="K220" s="9" t="n">
        <f aca="false">J220-H220</f>
        <v>131.1</v>
      </c>
      <c r="L220" s="11" t="n">
        <f aca="false">IF(AND(H220=0,J220=0),0,IF(H220=0,"New",(J220-H220)/H220))</f>
        <v>-1</v>
      </c>
    </row>
    <row r="221" customFormat="false" ht="15" hidden="false" customHeight="true" outlineLevel="0" collapsed="false">
      <c r="A221" s="8" t="s">
        <v>323</v>
      </c>
      <c r="B221" s="8" t="str">
        <f aca="false">IFERROR(INDEX('Source 2026'!$C:$C,MATCH($A221,'Source 2026'!$B:$B,0)),IFERROR(INDEX('Source 2025'!$C:$C,MATCH($A221,'Source 2025'!$B:$B,0)),""))</f>
        <v>מגן קרסול+כרית סילקון</v>
      </c>
      <c r="C221" s="9" t="n">
        <f aca="false">SUMIFS('Source 2025'!$I:$I,'Source 2025'!$B:$B,$A221,'Source 2025'!$A:$A,"Quantity (units)")</f>
        <v>-1</v>
      </c>
      <c r="D221" s="9" t="n">
        <f aca="false">SUMIFS('Source 2026'!$I:$I,'Source 2026'!$B:$B,$A221,'Source 2026'!$A:$A,"Quantity (units)")</f>
        <v>0</v>
      </c>
      <c r="E221" s="9" t="n">
        <f aca="false">D221*$J$5</f>
        <v>0</v>
      </c>
      <c r="F221" s="9" t="n">
        <f aca="false">E221-C221</f>
        <v>1</v>
      </c>
      <c r="G221" s="11" t="n">
        <f aca="false">IF(AND(C221=0,E221=0),0,IF(C221=0,"New",(E221-C221)/C221))</f>
        <v>-1</v>
      </c>
      <c r="H221" s="9" t="n">
        <f aca="false">SUMIFS('Source 2025'!$I:$I,'Source 2025'!$B:$B,$A221,'Source 2025'!$A:$A,"Amount (NIS)")</f>
        <v>-131.1</v>
      </c>
      <c r="I221" s="9" t="n">
        <f aca="false">SUMIFS('Source 2026'!$I:$I,'Source 2026'!$B:$B,$A221,'Source 2026'!$A:$A,"Amount (NIS)")</f>
        <v>0</v>
      </c>
      <c r="J221" s="9" t="n">
        <f aca="false">I221*$J$5</f>
        <v>0</v>
      </c>
      <c r="K221" s="9" t="n">
        <f aca="false">J221-H221</f>
        <v>131.1</v>
      </c>
      <c r="L221" s="11" t="n">
        <f aca="false">IF(AND(H221=0,J221=0),0,IF(H221=0,"New",(J221-H221)/H221))</f>
        <v>-1</v>
      </c>
    </row>
    <row r="222" customFormat="false" ht="15" hidden="false" customHeight="true" outlineLevel="0" collapsed="false">
      <c r="A222" s="8" t="s">
        <v>324</v>
      </c>
      <c r="B222" s="8" t="str">
        <f aca="false">IFERROR(INDEX('Source 2026'!$C:$C,MATCH($A222,'Source 2026'!$B:$B,0)),IFERROR(INDEX('Source 2025'!$C:$C,MATCH($A222,'Source 2025'!$B:$B,0)),""))</f>
        <v>קרסול+כרית סילקון</v>
      </c>
      <c r="C222" s="9" t="n">
        <f aca="false">SUMIFS('Source 2025'!$I:$I,'Source 2025'!$B:$B,$A222,'Source 2025'!$A:$A,"Quantity (units)")</f>
        <v>0</v>
      </c>
      <c r="D222" s="9" t="n">
        <f aca="false">SUMIFS('Source 2026'!$I:$I,'Source 2026'!$B:$B,$A222,'Source 2026'!$A:$A,"Quantity (units)")</f>
        <v>-1</v>
      </c>
      <c r="E222" s="9" t="n">
        <f aca="false">D222*$J$5</f>
        <v>-1.26315789473684</v>
      </c>
      <c r="F222" s="9" t="n">
        <f aca="false">E222-C222</f>
        <v>-1.26315789473684</v>
      </c>
      <c r="G222" s="11" t="str">
        <f aca="false">IF(AND(C222=0,E222=0),0,IF(C222=0,"New",(E222-C222)/C222))</f>
        <v>New</v>
      </c>
      <c r="H222" s="9" t="n">
        <f aca="false">SUMIFS('Source 2025'!$I:$I,'Source 2025'!$B:$B,$A222,'Source 2025'!$A:$A,"Amount (NIS)")</f>
        <v>0</v>
      </c>
      <c r="I222" s="9" t="n">
        <f aca="false">SUMIFS('Source 2026'!$I:$I,'Source 2026'!$B:$B,$A222,'Source 2026'!$A:$A,"Amount (NIS)")</f>
        <v>-131.1</v>
      </c>
      <c r="J222" s="9" t="n">
        <f aca="false">I222*$J$5</f>
        <v>-165.6</v>
      </c>
      <c r="K222" s="9" t="n">
        <f aca="false">J222-H222</f>
        <v>-165.6</v>
      </c>
      <c r="L222" s="11" t="str">
        <f aca="false">IF(AND(H222=0,J222=0),0,IF(H222=0,"New",(J222-H222)/H222))</f>
        <v>New</v>
      </c>
    </row>
    <row r="223" customFormat="false" ht="15" hidden="false" customHeight="true" outlineLevel="0" collapsed="false">
      <c r="A223" s="8" t="s">
        <v>147</v>
      </c>
      <c r="B223" s="8" t="str">
        <f aca="false">IFERROR(INDEX('Source 2026'!$C:$C,MATCH($A223,'Source 2026'!$B:$B,0)),IFERROR(INDEX('Source 2025'!$C:$C,MATCH($A223,'Source 2025'!$B:$B,0)),""))</f>
        <v>חגורת גב +סגירה כפולה</v>
      </c>
      <c r="C223" s="9" t="n">
        <f aca="false">SUMIFS('Source 2025'!$I:$I,'Source 2025'!$B:$B,$A223,'Source 2025'!$A:$A,"Quantity (units)")</f>
        <v>28</v>
      </c>
      <c r="D223" s="9" t="n">
        <f aca="false">SUMIFS('Source 2026'!$I:$I,'Source 2026'!$B:$B,$A223,'Source 2026'!$A:$A,"Quantity (units)")</f>
        <v>26</v>
      </c>
      <c r="E223" s="9" t="n">
        <f aca="false">D223*$J$5</f>
        <v>32.8421052631579</v>
      </c>
      <c r="F223" s="9" t="n">
        <f aca="false">E223-C223</f>
        <v>4.84210526315789</v>
      </c>
      <c r="G223" s="11" t="n">
        <f aca="false">IF(AND(C223=0,E223=0),0,IF(C223=0,"New",(E223-C223)/C223))</f>
        <v>0.172932330827068</v>
      </c>
      <c r="H223" s="9" t="n">
        <f aca="false">SUMIFS('Source 2025'!$I:$I,'Source 2025'!$B:$B,$A223,'Source 2025'!$A:$A,"Amount (NIS)")</f>
        <v>2640.1</v>
      </c>
      <c r="I223" s="9" t="n">
        <f aca="false">SUMIFS('Source 2026'!$I:$I,'Source 2026'!$B:$B,$A223,'Source 2026'!$A:$A,"Amount (NIS)")</f>
        <v>2509.6</v>
      </c>
      <c r="J223" s="9" t="n">
        <f aca="false">I223*$J$5</f>
        <v>3170.02105263158</v>
      </c>
      <c r="K223" s="9" t="n">
        <f aca="false">J223-H223</f>
        <v>529.921052631579</v>
      </c>
      <c r="L223" s="11" t="n">
        <f aca="false">IF(AND(H223=0,J223=0),0,IF(H223=0,"New",(J223-H223)/H223))</f>
        <v>0.200720068418461</v>
      </c>
    </row>
    <row r="224" customFormat="false" ht="15" hidden="false" customHeight="true" outlineLevel="0" collapsed="false">
      <c r="A224" s="8" t="s">
        <v>377</v>
      </c>
      <c r="B224" s="8" t="str">
        <f aca="false">IFERROR(INDEX('Source 2026'!$C:$C,MATCH($A224,'Source 2026'!$B:$B,0)),IFERROR(INDEX('Source 2025'!$C:$C,MATCH($A224,'Source 2025'!$B:$B,0)),""))</f>
        <v>099 חגורת גב שרוכים</v>
      </c>
      <c r="C224" s="9" t="n">
        <f aca="false">SUMIFS('Source 2025'!$I:$I,'Source 2025'!$B:$B,$A224,'Source 2025'!$A:$A,"Quantity (units)")</f>
        <v>0</v>
      </c>
      <c r="D224" s="9" t="n">
        <f aca="false">SUMIFS('Source 2026'!$I:$I,'Source 2026'!$B:$B,$A224,'Source 2026'!$A:$A,"Quantity (units)")</f>
        <v>-1</v>
      </c>
      <c r="E224" s="9" t="n">
        <f aca="false">D224*$J$5</f>
        <v>-1.26315789473684</v>
      </c>
      <c r="F224" s="9" t="n">
        <f aca="false">E224-C224</f>
        <v>-1.26315789473684</v>
      </c>
      <c r="G224" s="11" t="str">
        <f aca="false">IF(AND(C224=0,E224=0),0,IF(C224=0,"New",(E224-C224)/C224))</f>
        <v>New</v>
      </c>
      <c r="H224" s="9" t="n">
        <f aca="false">SUMIFS('Source 2025'!$I:$I,'Source 2025'!$B:$B,$A224,'Source 2025'!$A:$A,"Amount (NIS)")</f>
        <v>0</v>
      </c>
      <c r="I224" s="9" t="n">
        <f aca="false">SUMIFS('Source 2026'!$I:$I,'Source 2026'!$B:$B,$A224,'Source 2026'!$A:$A,"Amount (NIS)")</f>
        <v>-118.8</v>
      </c>
      <c r="J224" s="9" t="n">
        <f aca="false">I224*$J$5</f>
        <v>-150.063157894737</v>
      </c>
      <c r="K224" s="9" t="n">
        <f aca="false">J224-H224</f>
        <v>-150.063157894737</v>
      </c>
      <c r="L224" s="11" t="str">
        <f aca="false">IF(AND(H224=0,J224=0),0,IF(H224=0,"New",(J224-H224)/H224))</f>
        <v>New</v>
      </c>
    </row>
    <row r="225" customFormat="false" ht="15" hidden="false" customHeight="true" outlineLevel="0" collapsed="false">
      <c r="A225" s="8" t="s">
        <v>281</v>
      </c>
      <c r="B225" s="8" t="str">
        <f aca="false">IFERROR(INDEX('Source 2026'!$C:$C,MATCH($A225,'Source 2026'!$B:$B,0)),IFERROR(INDEX('Source 2025'!$C:$C,MATCH($A225,'Source 2025'!$B:$B,0)),""))</f>
        <v>סד לקרסול עם כריות אויר</v>
      </c>
      <c r="C225" s="9" t="n">
        <f aca="false">SUMIFS('Source 2025'!$I:$I,'Source 2025'!$B:$B,$A225,'Source 2025'!$A:$A,"Quantity (units)")</f>
        <v>1</v>
      </c>
      <c r="D225" s="9" t="n">
        <f aca="false">SUMIFS('Source 2026'!$I:$I,'Source 2026'!$B:$B,$A225,'Source 2026'!$A:$A,"Quantity (units)")</f>
        <v>4</v>
      </c>
      <c r="E225" s="9" t="n">
        <f aca="false">D225*$J$5</f>
        <v>5.05263157894737</v>
      </c>
      <c r="F225" s="9" t="n">
        <f aca="false">E225-C225</f>
        <v>4.05263157894737</v>
      </c>
      <c r="G225" s="11" t="n">
        <f aca="false">IF(AND(C225=0,E225=0),0,IF(C225=0,"New",(E225-C225)/C225))</f>
        <v>4.05263157894737</v>
      </c>
      <c r="H225" s="9" t="n">
        <f aca="false">SUMIFS('Source 2025'!$I:$I,'Source 2025'!$B:$B,$A225,'Source 2025'!$A:$A,"Amount (NIS)")</f>
        <v>143.4</v>
      </c>
      <c r="I225" s="9" t="n">
        <f aca="false">SUMIFS('Source 2026'!$I:$I,'Source 2026'!$B:$B,$A225,'Source 2026'!$A:$A,"Amount (NIS)")</f>
        <v>257.2</v>
      </c>
      <c r="J225" s="9" t="n">
        <f aca="false">I225*$J$5</f>
        <v>324.884210526316</v>
      </c>
      <c r="K225" s="9" t="n">
        <f aca="false">J225-H225</f>
        <v>181.484210526316</v>
      </c>
      <c r="L225" s="11" t="n">
        <f aca="false">IF(AND(H225=0,J225=0),0,IF(H225=0,"New",(J225-H225)/H225))</f>
        <v>1.26558026866329</v>
      </c>
    </row>
    <row r="226" customFormat="false" ht="15" hidden="false" customHeight="true" outlineLevel="0" collapsed="false">
      <c r="A226" s="8" t="s">
        <v>378</v>
      </c>
      <c r="B226" s="8" t="str">
        <f aca="false">IFERROR(INDEX('Source 2026'!$C:$C,MATCH($A226,'Source 2026'!$B:$B,0)),IFERROR(INDEX('Source 2025'!$C:$C,MATCH($A226,'Source 2025'!$B:$B,0)),""))</f>
        <v>קרסול עם שרוכים בז</v>
      </c>
      <c r="C226" s="9" t="n">
        <f aca="false">SUMIFS('Source 2025'!$I:$I,'Source 2025'!$B:$B,$A226,'Source 2025'!$A:$A,"Quantity (units)")</f>
        <v>-1</v>
      </c>
      <c r="D226" s="9" t="n">
        <f aca="false">SUMIFS('Source 2026'!$I:$I,'Source 2026'!$B:$B,$A226,'Source 2026'!$A:$A,"Quantity (units)")</f>
        <v>0</v>
      </c>
      <c r="E226" s="9" t="n">
        <f aca="false">D226*$J$5</f>
        <v>0</v>
      </c>
      <c r="F226" s="9" t="n">
        <f aca="false">E226-C226</f>
        <v>1</v>
      </c>
      <c r="G226" s="11" t="n">
        <f aca="false">IF(AND(C226=0,E226=0),0,IF(C226=0,"New",(E226-C226)/C226))</f>
        <v>-1</v>
      </c>
      <c r="H226" s="9" t="n">
        <f aca="false">SUMIFS('Source 2025'!$I:$I,'Source 2025'!$B:$B,$A226,'Source 2025'!$A:$A,"Amount (NIS)")</f>
        <v>-106.5</v>
      </c>
      <c r="I226" s="9" t="n">
        <f aca="false">SUMIFS('Source 2026'!$I:$I,'Source 2026'!$B:$B,$A226,'Source 2026'!$A:$A,"Amount (NIS)")</f>
        <v>0</v>
      </c>
      <c r="J226" s="9" t="n">
        <f aca="false">I226*$J$5</f>
        <v>0</v>
      </c>
      <c r="K226" s="9" t="n">
        <f aca="false">J226-H226</f>
        <v>106.5</v>
      </c>
      <c r="L226" s="11" t="n">
        <f aca="false">IF(AND(H226=0,J226=0),0,IF(H226=0,"New",(J226-H226)/H226))</f>
        <v>-1</v>
      </c>
    </row>
    <row r="227" customFormat="false" ht="15" hidden="false" customHeight="true" outlineLevel="0" collapsed="false">
      <c r="A227" s="8" t="s">
        <v>379</v>
      </c>
      <c r="B227" s="8" t="str">
        <f aca="false">IFERROR(INDEX('Source 2026'!$C:$C,MATCH($A227,'Source 2026'!$B:$B,0)),IFERROR(INDEX('Source 2025'!$C:$C,MATCH($A227,'Source 2025'!$B:$B,0)),""))</f>
        <v>קרסול עם שרוכים בז</v>
      </c>
      <c r="C227" s="9" t="n">
        <f aca="false">SUMIFS('Source 2025'!$I:$I,'Source 2025'!$B:$B,$A227,'Source 2025'!$A:$A,"Quantity (units)")</f>
        <v>-1</v>
      </c>
      <c r="D227" s="9" t="n">
        <f aca="false">SUMIFS('Source 2026'!$I:$I,'Source 2026'!$B:$B,$A227,'Source 2026'!$A:$A,"Quantity (units)")</f>
        <v>0</v>
      </c>
      <c r="E227" s="9" t="n">
        <f aca="false">D227*$J$5</f>
        <v>0</v>
      </c>
      <c r="F227" s="9" t="n">
        <f aca="false">E227-C227</f>
        <v>1</v>
      </c>
      <c r="G227" s="11" t="n">
        <f aca="false">IF(AND(C227=0,E227=0),0,IF(C227=0,"New",(E227-C227)/C227))</f>
        <v>-1</v>
      </c>
      <c r="H227" s="9" t="n">
        <f aca="false">SUMIFS('Source 2025'!$I:$I,'Source 2025'!$B:$B,$A227,'Source 2025'!$A:$A,"Amount (NIS)")</f>
        <v>-106.5</v>
      </c>
      <c r="I227" s="9" t="n">
        <f aca="false">SUMIFS('Source 2026'!$I:$I,'Source 2026'!$B:$B,$A227,'Source 2026'!$A:$A,"Amount (NIS)")</f>
        <v>0</v>
      </c>
      <c r="J227" s="9" t="n">
        <f aca="false">I227*$J$5</f>
        <v>0</v>
      </c>
      <c r="K227" s="9" t="n">
        <f aca="false">J227-H227</f>
        <v>106.5</v>
      </c>
      <c r="L227" s="11" t="n">
        <f aca="false">IF(AND(H227=0,J227=0),0,IF(H227=0,"New",(J227-H227)/H227))</f>
        <v>-1</v>
      </c>
    </row>
    <row r="228" customFormat="false" ht="15" hidden="false" customHeight="true" outlineLevel="0" collapsed="false">
      <c r="A228" s="8" t="s">
        <v>380</v>
      </c>
      <c r="B228" s="8" t="str">
        <f aca="false">IFERROR(INDEX('Source 2026'!$C:$C,MATCH($A228,'Source 2026'!$B:$B,0)),IFERROR(INDEX('Source 2025'!$C:$C,MATCH($A228,'Source 2025'!$B:$B,0)),""))</f>
        <v>קרסול עם שרוכים בז</v>
      </c>
      <c r="C228" s="9" t="n">
        <f aca="false">SUMIFS('Source 2025'!$I:$I,'Source 2025'!$B:$B,$A228,'Source 2025'!$A:$A,"Quantity (units)")</f>
        <v>-1</v>
      </c>
      <c r="D228" s="9" t="n">
        <f aca="false">SUMIFS('Source 2026'!$I:$I,'Source 2026'!$B:$B,$A228,'Source 2026'!$A:$A,"Quantity (units)")</f>
        <v>0</v>
      </c>
      <c r="E228" s="9" t="n">
        <f aca="false">D228*$J$5</f>
        <v>0</v>
      </c>
      <c r="F228" s="9" t="n">
        <f aca="false">E228-C228</f>
        <v>1</v>
      </c>
      <c r="G228" s="11" t="n">
        <f aca="false">IF(AND(C228=0,E228=0),0,IF(C228=0,"New",(E228-C228)/C228))</f>
        <v>-1</v>
      </c>
      <c r="H228" s="9" t="n">
        <f aca="false">SUMIFS('Source 2025'!$I:$I,'Source 2025'!$B:$B,$A228,'Source 2025'!$A:$A,"Amount (NIS)")</f>
        <v>-106.5</v>
      </c>
      <c r="I228" s="9" t="n">
        <f aca="false">SUMIFS('Source 2026'!$I:$I,'Source 2026'!$B:$B,$A228,'Source 2026'!$A:$A,"Amount (NIS)")</f>
        <v>0</v>
      </c>
      <c r="J228" s="9" t="n">
        <f aca="false">I228*$J$5</f>
        <v>0</v>
      </c>
      <c r="K228" s="9" t="n">
        <f aca="false">J228-H228</f>
        <v>106.5</v>
      </c>
      <c r="L228" s="11" t="n">
        <f aca="false">IF(AND(H228=0,J228=0),0,IF(H228=0,"New",(J228-H228)/H228))</f>
        <v>-1</v>
      </c>
    </row>
    <row r="229" customFormat="false" ht="15" hidden="false" customHeight="true" outlineLevel="0" collapsed="false">
      <c r="A229" s="8" t="s">
        <v>329</v>
      </c>
      <c r="B229" s="8" t="str">
        <f aca="false">IFERROR(INDEX('Source 2026'!$C:$C,MATCH($A229,'Source 2026'!$B:$B,0)),IFERROR(INDEX('Source 2025'!$C:$C,MATCH($A229,'Source 2025'!$B:$B,0)),""))</f>
        <v>רצועת טניס אלבו עם פלסטיק</v>
      </c>
      <c r="C229" s="9" t="n">
        <f aca="false">SUMIFS('Source 2025'!$I:$I,'Source 2025'!$B:$B,$A229,'Source 2025'!$A:$A,"Quantity (units)")</f>
        <v>1</v>
      </c>
      <c r="D229" s="9" t="n">
        <f aca="false">SUMIFS('Source 2026'!$I:$I,'Source 2026'!$B:$B,$A229,'Source 2026'!$A:$A,"Quantity (units)")</f>
        <v>0</v>
      </c>
      <c r="E229" s="9" t="n">
        <f aca="false">D229*$J$5</f>
        <v>0</v>
      </c>
      <c r="F229" s="9" t="n">
        <f aca="false">E229-C229</f>
        <v>-1</v>
      </c>
      <c r="G229" s="11" t="n">
        <f aca="false">IF(AND(C229=0,E229=0),0,IF(C229=0,"New",(E229-C229)/C229))</f>
        <v>-1</v>
      </c>
      <c r="H229" s="9" t="n">
        <f aca="false">SUMIFS('Source 2025'!$I:$I,'Source 2025'!$B:$B,$A229,'Source 2025'!$A:$A,"Amount (NIS)")</f>
        <v>105.9</v>
      </c>
      <c r="I229" s="9" t="n">
        <f aca="false">SUMIFS('Source 2026'!$I:$I,'Source 2026'!$B:$B,$A229,'Source 2026'!$A:$A,"Amount (NIS)")</f>
        <v>0</v>
      </c>
      <c r="J229" s="9" t="n">
        <f aca="false">I229*$J$5</f>
        <v>0</v>
      </c>
      <c r="K229" s="9" t="n">
        <f aca="false">J229-H229</f>
        <v>-105.9</v>
      </c>
      <c r="L229" s="11" t="n">
        <f aca="false">IF(AND(H229=0,J229=0),0,IF(H229=0,"New",(J229-H229)/H229))</f>
        <v>-1</v>
      </c>
    </row>
    <row r="230" customFormat="false" ht="15" hidden="false" customHeight="true" outlineLevel="0" collapsed="false">
      <c r="A230" s="8" t="s">
        <v>272</v>
      </c>
      <c r="B230" s="8" t="str">
        <f aca="false">IFERROR(INDEX('Source 2026'!$C:$C,MATCH($A230,'Source 2026'!$B:$B,0)),IFERROR(INDEX('Source 2025'!$C:$C,MATCH($A230,'Source 2025'!$B:$B,0)),""))</f>
        <v>S מגן ברך רגיל</v>
      </c>
      <c r="C230" s="9" t="n">
        <f aca="false">SUMIFS('Source 2025'!$I:$I,'Source 2025'!$B:$B,$A230,'Source 2025'!$A:$A,"Quantity (units)")</f>
        <v>25</v>
      </c>
      <c r="D230" s="9" t="n">
        <f aca="false">SUMIFS('Source 2026'!$I:$I,'Source 2026'!$B:$B,$A230,'Source 2026'!$A:$A,"Quantity (units)")</f>
        <v>26</v>
      </c>
      <c r="E230" s="9" t="n">
        <f aca="false">D230*$J$5</f>
        <v>32.8421052631579</v>
      </c>
      <c r="F230" s="9" t="n">
        <f aca="false">E230-C230</f>
        <v>7.84210526315789</v>
      </c>
      <c r="G230" s="11" t="n">
        <f aca="false">IF(AND(C230=0,E230=0),0,IF(C230=0,"New",(E230-C230)/C230))</f>
        <v>0.313684210526316</v>
      </c>
      <c r="H230" s="9" t="n">
        <f aca="false">SUMIFS('Source 2025'!$I:$I,'Source 2025'!$B:$B,$A230,'Source 2025'!$A:$A,"Amount (NIS)")</f>
        <v>2254.3</v>
      </c>
      <c r="I230" s="9" t="n">
        <f aca="false">SUMIFS('Source 2026'!$I:$I,'Source 2026'!$B:$B,$A230,'Source 2026'!$A:$A,"Amount (NIS)")</f>
        <v>2353.3</v>
      </c>
      <c r="J230" s="9" t="n">
        <f aca="false">I230*$J$5</f>
        <v>2972.58947368421</v>
      </c>
      <c r="K230" s="9" t="n">
        <f aca="false">J230-H230</f>
        <v>718.289473684211</v>
      </c>
      <c r="L230" s="11" t="n">
        <f aca="false">IF(AND(H230=0,J230=0),0,IF(H230=0,"New",(J230-H230)/H230))</f>
        <v>0.318630827167729</v>
      </c>
    </row>
    <row r="231" customFormat="false" ht="15" hidden="false" customHeight="true" outlineLevel="0" collapsed="false">
      <c r="A231" s="8" t="s">
        <v>24</v>
      </c>
      <c r="B231" s="8" t="str">
        <f aca="false">IFERROR(INDEX('Source 2026'!$C:$C,MATCH($A231,'Source 2026'!$B:$B,0)),IFERROR(INDEX('Source 2025'!$C:$C,MATCH($A231,'Source 2025'!$B:$B,0)),""))</f>
        <v>CARE  תחבושת אלסטית 5 ס""מ</v>
      </c>
      <c r="C231" s="9" t="n">
        <f aca="false">SUMIFS('Source 2025'!$I:$I,'Source 2025'!$B:$B,$A231,'Source 2025'!$A:$A,"Quantity (units)")</f>
        <v>-11</v>
      </c>
      <c r="D231" s="9" t="n">
        <f aca="false">SUMIFS('Source 2026'!$I:$I,'Source 2026'!$B:$B,$A231,'Source 2026'!$A:$A,"Quantity (units)")</f>
        <v>0</v>
      </c>
      <c r="E231" s="9" t="n">
        <f aca="false">D231*$J$5</f>
        <v>0</v>
      </c>
      <c r="F231" s="9" t="n">
        <f aca="false">E231-C231</f>
        <v>11</v>
      </c>
      <c r="G231" s="11" t="n">
        <f aca="false">IF(AND(C231=0,E231=0),0,IF(C231=0,"New",(E231-C231)/C231))</f>
        <v>-1</v>
      </c>
      <c r="H231" s="9" t="n">
        <f aca="false">SUMIFS('Source 2025'!$I:$I,'Source 2025'!$B:$B,$A231,'Source 2025'!$A:$A,"Amount (NIS)")</f>
        <v>-98.4</v>
      </c>
      <c r="I231" s="9" t="n">
        <f aca="false">SUMIFS('Source 2026'!$I:$I,'Source 2026'!$B:$B,$A231,'Source 2026'!$A:$A,"Amount (NIS)")</f>
        <v>0</v>
      </c>
      <c r="J231" s="9" t="n">
        <f aca="false">I231*$J$5</f>
        <v>0</v>
      </c>
      <c r="K231" s="9" t="n">
        <f aca="false">J231-H231</f>
        <v>98.4</v>
      </c>
      <c r="L231" s="11" t="n">
        <f aca="false">IF(AND(H231=0,J231=0),0,IF(H231=0,"New",(J231-H231)/H231))</f>
        <v>-1</v>
      </c>
    </row>
    <row r="232" customFormat="false" ht="15" hidden="false" customHeight="true" outlineLevel="0" collapsed="false">
      <c r="A232" s="8" t="s">
        <v>294</v>
      </c>
      <c r="B232" s="8" t="str">
        <f aca="false">IFERROR(INDEX('Source 2026'!$C:$C,MATCH($A232,'Source 2026'!$B:$B,0)),IFERROR(INDEX('Source 2025'!$C:$C,MATCH($A232,'Source 2025'!$B:$B,0)),""))</f>
        <v>L-XL 'סד יד שמאל בז</v>
      </c>
      <c r="C232" s="9" t="n">
        <f aca="false">SUMIFS('Source 2025'!$I:$I,'Source 2025'!$B:$B,$A232,'Source 2025'!$A:$A,"Quantity (units)")</f>
        <v>-2</v>
      </c>
      <c r="D232" s="9" t="n">
        <f aca="false">SUMIFS('Source 2026'!$I:$I,'Source 2026'!$B:$B,$A232,'Source 2026'!$A:$A,"Quantity (units)")</f>
        <v>-1</v>
      </c>
      <c r="E232" s="9" t="n">
        <f aca="false">D232*$J$5</f>
        <v>-1.26315789473684</v>
      </c>
      <c r="F232" s="9" t="n">
        <f aca="false">E232-C232</f>
        <v>0.736842105263158</v>
      </c>
      <c r="G232" s="11" t="n">
        <f aca="false">IF(AND(C232=0,E232=0),0,IF(C232=0,"New",(E232-C232)/C232))</f>
        <v>-0.368421052631579</v>
      </c>
      <c r="H232" s="9" t="n">
        <f aca="false">SUMIFS('Source 2025'!$I:$I,'Source 2025'!$B:$B,$A232,'Source 2025'!$A:$A,"Amount (NIS)")</f>
        <v>-188.4</v>
      </c>
      <c r="I232" s="9" t="n">
        <f aca="false">SUMIFS('Source 2026'!$I:$I,'Source 2026'!$B:$B,$A232,'Source 2026'!$A:$A,"Amount (NIS)")</f>
        <v>-94.2</v>
      </c>
      <c r="J232" s="9" t="n">
        <f aca="false">I232*$J$5</f>
        <v>-118.989473684211</v>
      </c>
      <c r="K232" s="9" t="n">
        <f aca="false">J232-H232</f>
        <v>69.4105263157895</v>
      </c>
      <c r="L232" s="11" t="n">
        <f aca="false">IF(AND(H232=0,J232=0),0,IF(H232=0,"New",(J232-H232)/H232))</f>
        <v>-0.368421052631579</v>
      </c>
    </row>
    <row r="233" customFormat="false" ht="15" hidden="false" customHeight="true" outlineLevel="0" collapsed="false">
      <c r="A233" s="8" t="s">
        <v>381</v>
      </c>
      <c r="B233" s="8" t="str">
        <f aca="false">IFERROR(INDEX('Source 2026'!$C:$C,MATCH($A233,'Source 2026'!$B:$B,0)),IFERROR(INDEX('Source 2025'!$C:$C,MATCH($A233,'Source 2025'!$B:$B,0)),""))</f>
        <v>R-M סד ליד ימין</v>
      </c>
      <c r="C233" s="9" t="n">
        <f aca="false">SUMIFS('Source 2025'!$I:$I,'Source 2025'!$B:$B,$A233,'Source 2025'!$A:$A,"Quantity (units)")</f>
        <v>0</v>
      </c>
      <c r="D233" s="9" t="n">
        <f aca="false">SUMIFS('Source 2026'!$I:$I,'Source 2026'!$B:$B,$A233,'Source 2026'!$A:$A,"Quantity (units)")</f>
        <v>-1</v>
      </c>
      <c r="E233" s="9" t="n">
        <f aca="false">D233*$J$5</f>
        <v>-1.26315789473684</v>
      </c>
      <c r="F233" s="9" t="n">
        <f aca="false">E233-C233</f>
        <v>-1.26315789473684</v>
      </c>
      <c r="G233" s="11" t="str">
        <f aca="false">IF(AND(C233=0,E233=0),0,IF(C233=0,"New",(E233-C233)/C233))</f>
        <v>New</v>
      </c>
      <c r="H233" s="9" t="n">
        <f aca="false">SUMIFS('Source 2025'!$I:$I,'Source 2025'!$B:$B,$A233,'Source 2025'!$A:$A,"Amount (NIS)")</f>
        <v>0</v>
      </c>
      <c r="I233" s="9" t="n">
        <f aca="false">SUMIFS('Source 2026'!$I:$I,'Source 2026'!$B:$B,$A233,'Source 2026'!$A:$A,"Amount (NIS)")</f>
        <v>-90.1</v>
      </c>
      <c r="J233" s="9" t="n">
        <f aca="false">I233*$J$5</f>
        <v>-113.810526315789</v>
      </c>
      <c r="K233" s="9" t="n">
        <f aca="false">J233-H233</f>
        <v>-113.810526315789</v>
      </c>
      <c r="L233" s="11" t="str">
        <f aca="false">IF(AND(H233=0,J233=0),0,IF(H233=0,"New",(J233-H233)/H233))</f>
        <v>New</v>
      </c>
    </row>
    <row r="234" customFormat="false" ht="15" hidden="false" customHeight="true" outlineLevel="0" collapsed="false">
      <c r="A234" s="8" t="s">
        <v>382</v>
      </c>
      <c r="B234" s="8" t="str">
        <f aca="false">IFERROR(INDEX('Source 2026'!$C:$C,MATCH($A234,'Source 2026'!$B:$B,0)),IFERROR(INDEX('Source 2025'!$C:$C,MATCH($A234,'Source 2025'!$B:$B,0)),""))</f>
        <v>צוארון ספוגי</v>
      </c>
      <c r="C234" s="9" t="n">
        <f aca="false">SUMIFS('Source 2025'!$I:$I,'Source 2025'!$B:$B,$A234,'Source 2025'!$A:$A,"Quantity (units)")</f>
        <v>-3</v>
      </c>
      <c r="D234" s="9" t="n">
        <f aca="false">SUMIFS('Source 2026'!$I:$I,'Source 2026'!$B:$B,$A234,'Source 2026'!$A:$A,"Quantity (units)")</f>
        <v>0</v>
      </c>
      <c r="E234" s="9" t="n">
        <f aca="false">D234*$J$5</f>
        <v>0</v>
      </c>
      <c r="F234" s="9" t="n">
        <f aca="false">E234-C234</f>
        <v>3</v>
      </c>
      <c r="G234" s="11" t="n">
        <f aca="false">IF(AND(C234=0,E234=0),0,IF(C234=0,"New",(E234-C234)/C234))</f>
        <v>-1</v>
      </c>
      <c r="H234" s="9" t="n">
        <f aca="false">SUMIFS('Source 2025'!$I:$I,'Source 2025'!$B:$B,$A234,'Source 2025'!$A:$A,"Amount (NIS)")</f>
        <v>-90</v>
      </c>
      <c r="I234" s="9" t="n">
        <f aca="false">SUMIFS('Source 2026'!$I:$I,'Source 2026'!$B:$B,$A234,'Source 2026'!$A:$A,"Amount (NIS)")</f>
        <v>0</v>
      </c>
      <c r="J234" s="9" t="n">
        <f aca="false">I234*$J$5</f>
        <v>0</v>
      </c>
      <c r="K234" s="9" t="n">
        <f aca="false">J234-H234</f>
        <v>90</v>
      </c>
      <c r="L234" s="11" t="n">
        <f aca="false">IF(AND(H234=0,J234=0),0,IF(H234=0,"New",(J234-H234)/H234))</f>
        <v>-1</v>
      </c>
    </row>
    <row r="235" customFormat="false" ht="15" hidden="false" customHeight="true" outlineLevel="0" collapsed="false">
      <c r="A235" s="8" t="s">
        <v>176</v>
      </c>
      <c r="B235" s="8" t="str">
        <f aca="false">IFERROR(INDEX('Source 2026'!$C:$C,MATCH($A235,'Source 2026'!$B:$B,0)),IFERROR(INDEX('Source 2025'!$C:$C,MATCH($A235,'Source 2025'!$B:$B,0)),""))</f>
        <v>L-XL חגורת הריון</v>
      </c>
      <c r="C235" s="9" t="n">
        <f aca="false">SUMIFS('Source 2025'!$I:$I,'Source 2025'!$B:$B,$A235,'Source 2025'!$A:$A,"Quantity (units)")</f>
        <v>69</v>
      </c>
      <c r="D235" s="9" t="n">
        <f aca="false">SUMIFS('Source 2026'!$I:$I,'Source 2026'!$B:$B,$A235,'Source 2026'!$A:$A,"Quantity (units)")</f>
        <v>66</v>
      </c>
      <c r="E235" s="9" t="n">
        <f aca="false">D235*$J$5</f>
        <v>83.3684210526316</v>
      </c>
      <c r="F235" s="9" t="n">
        <f aca="false">E235-C235</f>
        <v>14.3684210526316</v>
      </c>
      <c r="G235" s="11" t="n">
        <f aca="false">IF(AND(C235=0,E235=0),0,IF(C235=0,"New",(E235-C235)/C235))</f>
        <v>0.208237986270023</v>
      </c>
      <c r="H235" s="9" t="n">
        <f aca="false">SUMIFS('Source 2025'!$I:$I,'Source 2025'!$B:$B,$A235,'Source 2025'!$A:$A,"Amount (NIS)")</f>
        <v>7018.7</v>
      </c>
      <c r="I235" s="9" t="n">
        <f aca="false">SUMIFS('Source 2026'!$I:$I,'Source 2026'!$B:$B,$A235,'Source 2026'!$A:$A,"Amount (NIS)")</f>
        <v>6936.6</v>
      </c>
      <c r="J235" s="9" t="n">
        <f aca="false">I235*$J$5</f>
        <v>8762.02105263158</v>
      </c>
      <c r="K235" s="9" t="n">
        <f aca="false">J235-H235</f>
        <v>1743.32105263158</v>
      </c>
      <c r="L235" s="11" t="n">
        <f aca="false">IF(AND(H235=0,J235=0),0,IF(H235=0,"New",(J235-H235)/H235))</f>
        <v>0.248382329011295</v>
      </c>
    </row>
    <row r="236" customFormat="false" ht="15" hidden="false" customHeight="true" outlineLevel="0" collapsed="false">
      <c r="A236" s="8" t="s">
        <v>383</v>
      </c>
      <c r="B236" s="8" t="str">
        <f aca="false">IFERROR(INDEX('Source 2026'!$C:$C,MATCH($A236,'Source 2026'!$B:$B,0)),IFERROR(INDEX('Source 2025'!$C:$C,MATCH($A236,'Source 2025'!$B:$B,0)),""))</f>
        <v>S'תתחגורת בטן עממית בז</v>
      </c>
      <c r="C236" s="9" t="n">
        <f aca="false">SUMIFS('Source 2025'!$I:$I,'Source 2025'!$B:$B,$A236,'Source 2025'!$A:$A,"Quantity (units)")</f>
        <v>0</v>
      </c>
      <c r="D236" s="9" t="n">
        <f aca="false">SUMIFS('Source 2026'!$I:$I,'Source 2026'!$B:$B,$A236,'Source 2026'!$A:$A,"Quantity (units)")</f>
        <v>-1</v>
      </c>
      <c r="E236" s="9" t="n">
        <f aca="false">D236*$J$5</f>
        <v>-1.26315789473684</v>
      </c>
      <c r="F236" s="9" t="n">
        <f aca="false">E236-C236</f>
        <v>-1.26315789473684</v>
      </c>
      <c r="G236" s="11" t="str">
        <f aca="false">IF(AND(C236=0,E236=0),0,IF(C236=0,"New",(E236-C236)/C236))</f>
        <v>New</v>
      </c>
      <c r="H236" s="9" t="n">
        <f aca="false">SUMIFS('Source 2025'!$I:$I,'Source 2025'!$B:$B,$A236,'Source 2025'!$A:$A,"Amount (NIS)")</f>
        <v>0</v>
      </c>
      <c r="I236" s="9" t="n">
        <f aca="false">SUMIFS('Source 2026'!$I:$I,'Source 2026'!$B:$B,$A236,'Source 2026'!$A:$A,"Amount (NIS)")</f>
        <v>-77.8</v>
      </c>
      <c r="J236" s="9" t="n">
        <f aca="false">I236*$J$5</f>
        <v>-98.2736842105263</v>
      </c>
      <c r="K236" s="9" t="n">
        <f aca="false">J236-H236</f>
        <v>-98.2736842105263</v>
      </c>
      <c r="L236" s="11" t="str">
        <f aca="false">IF(AND(H236=0,J236=0),0,IF(H236=0,"New",(J236-H236)/H236))</f>
        <v>New</v>
      </c>
    </row>
    <row r="237" customFormat="false" ht="15" hidden="false" customHeight="true" outlineLevel="0" collapsed="false">
      <c r="A237" s="8" t="s">
        <v>358</v>
      </c>
      <c r="B237" s="8" t="str">
        <f aca="false">IFERROR(INDEX('Source 2026'!$C:$C,MATCH($A237,'Source 2026'!$B:$B,0)),IFERROR(INDEX('Source 2025'!$C:$C,MATCH($A237,'Source 2025'!$B:$B,0)),""))</f>
        <v>ריפוד סיליקון לעקב אחורי</v>
      </c>
      <c r="C237" s="9" t="n">
        <f aca="false">SUMIFS('Source 2025'!$I:$I,'Source 2025'!$B:$B,$A237,'Source 2025'!$A:$A,"Quantity (units)")</f>
        <v>89</v>
      </c>
      <c r="D237" s="9" t="n">
        <f aca="false">SUMIFS('Source 2026'!$I:$I,'Source 2026'!$B:$B,$A237,'Source 2026'!$A:$A,"Quantity (units)")</f>
        <v>91</v>
      </c>
      <c r="E237" s="9" t="n">
        <f aca="false">D237*$J$5</f>
        <v>114.947368421053</v>
      </c>
      <c r="F237" s="9" t="n">
        <f aca="false">E237-C237</f>
        <v>25.9473684210526</v>
      </c>
      <c r="G237" s="11" t="n">
        <f aca="false">IF(AND(C237=0,E237=0),0,IF(C237=0,"New",(E237-C237)/C237))</f>
        <v>0.291543465405086</v>
      </c>
      <c r="H237" s="9" t="n">
        <f aca="false">SUMIFS('Source 2025'!$I:$I,'Source 2025'!$B:$B,$A237,'Source 2025'!$A:$A,"Amount (NIS)")</f>
        <v>1894.5</v>
      </c>
      <c r="I237" s="9" t="n">
        <f aca="false">SUMIFS('Source 2026'!$I:$I,'Source 2026'!$B:$B,$A237,'Source 2026'!$A:$A,"Amount (NIS)")</f>
        <v>1968.5</v>
      </c>
      <c r="J237" s="9" t="n">
        <f aca="false">I237*$J$5</f>
        <v>2486.52631578947</v>
      </c>
      <c r="K237" s="9" t="n">
        <f aca="false">J237-H237</f>
        <v>592.026315789474</v>
      </c>
      <c r="L237" s="11" t="n">
        <f aca="false">IF(AND(H237=0,J237=0),0,IF(H237=0,"New",(J237-H237)/H237))</f>
        <v>0.312497395507772</v>
      </c>
    </row>
    <row r="238" customFormat="false" ht="15" hidden="false" customHeight="true" outlineLevel="0" collapsed="false">
      <c r="A238" s="8" t="s">
        <v>384</v>
      </c>
      <c r="B238" s="8" t="str">
        <f aca="false">IFERROR(INDEX('Source 2026'!$C:$C,MATCH($A238,'Source 2026'!$B:$B,0)),IFERROR(INDEX('Source 2025'!$C:$C,MATCH($A238,'Source 2025'!$B:$B,0)),""))</f>
        <v>רצועת פיקה לברך</v>
      </c>
      <c r="C238" s="9" t="n">
        <f aca="false">SUMIFS('Source 2025'!$I:$I,'Source 2025'!$B:$B,$A238,'Source 2025'!$A:$A,"Quantity (units)")</f>
        <v>-1</v>
      </c>
      <c r="D238" s="9" t="n">
        <f aca="false">SUMIFS('Source 2026'!$I:$I,'Source 2026'!$B:$B,$A238,'Source 2026'!$A:$A,"Quantity (units)")</f>
        <v>-2</v>
      </c>
      <c r="E238" s="9" t="n">
        <f aca="false">D238*$J$5</f>
        <v>-2.52631578947368</v>
      </c>
      <c r="F238" s="9" t="n">
        <f aca="false">E238-C238</f>
        <v>-1.52631578947368</v>
      </c>
      <c r="G238" s="11" t="n">
        <f aca="false">IF(AND(C238=0,E238=0),0,IF(C238=0,"New",(E238-C238)/C238))</f>
        <v>1.52631578947368</v>
      </c>
      <c r="H238" s="9" t="n">
        <f aca="false">SUMIFS('Source 2025'!$I:$I,'Source 2025'!$B:$B,$A238,'Source 2025'!$A:$A,"Amount (NIS)")</f>
        <v>-73.9</v>
      </c>
      <c r="I238" s="9" t="n">
        <f aca="false">SUMIFS('Source 2026'!$I:$I,'Source 2026'!$B:$B,$A238,'Source 2026'!$A:$A,"Amount (NIS)")</f>
        <v>-147.8</v>
      </c>
      <c r="J238" s="9" t="n">
        <f aca="false">I238*$J$5</f>
        <v>-186.694736842105</v>
      </c>
      <c r="K238" s="9" t="n">
        <f aca="false">J238-H238</f>
        <v>-112.794736842105</v>
      </c>
      <c r="L238" s="11" t="n">
        <f aca="false">IF(AND(H238=0,J238=0),0,IF(H238=0,"New",(J238-H238)/H238))</f>
        <v>1.52631578947368</v>
      </c>
    </row>
    <row r="239" customFormat="false" ht="15" hidden="false" customHeight="true" outlineLevel="0" collapsed="false">
      <c r="A239" s="8" t="s">
        <v>313</v>
      </c>
      <c r="B239" s="8" t="str">
        <f aca="false">IFERROR(INDEX('Source 2026'!$C:$C,MATCH($A239,'Source 2026'!$B:$B,0)),IFERROR(INDEX('Source 2025'!$C:$C,MATCH($A239,'Source 2025'!$B:$B,0)),""))</f>
        <v>L מתלה אשכים לספורטאים</v>
      </c>
      <c r="C239" s="9" t="n">
        <f aca="false">SUMIFS('Source 2025'!$I:$I,'Source 2025'!$B:$B,$A239,'Source 2025'!$A:$A,"Quantity (units)")</f>
        <v>-1</v>
      </c>
      <c r="D239" s="9" t="n">
        <f aca="false">SUMIFS('Source 2026'!$I:$I,'Source 2026'!$B:$B,$A239,'Source 2026'!$A:$A,"Quantity (units)")</f>
        <v>0</v>
      </c>
      <c r="E239" s="9" t="n">
        <f aca="false">D239*$J$5</f>
        <v>0</v>
      </c>
      <c r="F239" s="9" t="n">
        <f aca="false">E239-C239</f>
        <v>1</v>
      </c>
      <c r="G239" s="11" t="n">
        <f aca="false">IF(AND(C239=0,E239=0),0,IF(C239=0,"New",(E239-C239)/C239))</f>
        <v>-1</v>
      </c>
      <c r="H239" s="9" t="n">
        <f aca="false">SUMIFS('Source 2025'!$I:$I,'Source 2025'!$B:$B,$A239,'Source 2025'!$A:$A,"Amount (NIS)")</f>
        <v>-71.3</v>
      </c>
      <c r="I239" s="9" t="n">
        <f aca="false">SUMIFS('Source 2026'!$I:$I,'Source 2026'!$B:$B,$A239,'Source 2026'!$A:$A,"Amount (NIS)")</f>
        <v>0</v>
      </c>
      <c r="J239" s="9" t="n">
        <f aca="false">I239*$J$5</f>
        <v>0</v>
      </c>
      <c r="K239" s="9" t="n">
        <f aca="false">J239-H239</f>
        <v>71.3</v>
      </c>
      <c r="L239" s="11" t="n">
        <f aca="false">IF(AND(H239=0,J239=0),0,IF(H239=0,"New",(J239-H239)/H239))</f>
        <v>-1</v>
      </c>
    </row>
    <row r="240" customFormat="false" ht="15" hidden="false" customHeight="true" outlineLevel="0" collapsed="false">
      <c r="A240" s="8" t="s">
        <v>347</v>
      </c>
      <c r="B240" s="8" t="str">
        <f aca="false">IFERROR(INDEX('Source 2026'!$C:$C,MATCH($A240,'Source 2026'!$B:$B,0)),IFERROR(INDEX('Source 2025'!$C:$C,MATCH($A240,'Source 2025'!$B:$B,0)),""))</f>
        <v>120 תתתרסיס מרענן לרגל</v>
      </c>
      <c r="C240" s="9" t="n">
        <f aca="false">SUMIFS('Source 2025'!$I:$I,'Source 2025'!$B:$B,$A240,'Source 2025'!$A:$A,"Quantity (units)")</f>
        <v>-3</v>
      </c>
      <c r="D240" s="9" t="n">
        <f aca="false">SUMIFS('Source 2026'!$I:$I,'Source 2026'!$B:$B,$A240,'Source 2026'!$A:$A,"Quantity (units)")</f>
        <v>0</v>
      </c>
      <c r="E240" s="9" t="n">
        <f aca="false">D240*$J$5</f>
        <v>0</v>
      </c>
      <c r="F240" s="9" t="n">
        <f aca="false">E240-C240</f>
        <v>3</v>
      </c>
      <c r="G240" s="11" t="n">
        <f aca="false">IF(AND(C240=0,E240=0),0,IF(C240=0,"New",(E240-C240)/C240))</f>
        <v>-1</v>
      </c>
      <c r="H240" s="9" t="n">
        <f aca="false">SUMIFS('Source 2025'!$I:$I,'Source 2025'!$B:$B,$A240,'Source 2025'!$A:$A,"Amount (NIS)")</f>
        <v>-70.7</v>
      </c>
      <c r="I240" s="9" t="n">
        <f aca="false">SUMIFS('Source 2026'!$I:$I,'Source 2026'!$B:$B,$A240,'Source 2026'!$A:$A,"Amount (NIS)")</f>
        <v>0</v>
      </c>
      <c r="J240" s="9" t="n">
        <f aca="false">I240*$J$5</f>
        <v>0</v>
      </c>
      <c r="K240" s="9" t="n">
        <f aca="false">J240-H240</f>
        <v>70.7</v>
      </c>
      <c r="L240" s="11" t="n">
        <f aca="false">IF(AND(H240=0,J240=0),0,IF(H240=0,"New",(J240-H240)/H240))</f>
        <v>-1</v>
      </c>
    </row>
    <row r="241" customFormat="false" ht="15" hidden="false" customHeight="true" outlineLevel="0" collapsed="false">
      <c r="A241" s="8" t="s">
        <v>262</v>
      </c>
      <c r="B241" s="8" t="str">
        <f aca="false">IFERROR(INDEX('Source 2026'!$C:$C,MATCH($A241,'Source 2026'!$B:$B,0)),IFERROR(INDEX('Source 2025'!$C:$C,MATCH($A241,'Source 2025'!$B:$B,0)),""))</f>
        <v>L סד לאגודל כפפה</v>
      </c>
      <c r="C241" s="9" t="n">
        <f aca="false">SUMIFS('Source 2025'!$I:$I,'Source 2025'!$B:$B,$A241,'Source 2025'!$A:$A,"Quantity (units)")</f>
        <v>0</v>
      </c>
      <c r="D241" s="9" t="n">
        <f aca="false">SUMIFS('Source 2026'!$I:$I,'Source 2026'!$B:$B,$A241,'Source 2026'!$A:$A,"Quantity (units)")</f>
        <v>-1</v>
      </c>
      <c r="E241" s="9" t="n">
        <f aca="false">D241*$J$5</f>
        <v>-1.26315789473684</v>
      </c>
      <c r="F241" s="9" t="n">
        <f aca="false">E241-C241</f>
        <v>-1.26315789473684</v>
      </c>
      <c r="G241" s="11" t="str">
        <f aca="false">IF(AND(C241=0,E241=0),0,IF(C241=0,"New",(E241-C241)/C241))</f>
        <v>New</v>
      </c>
      <c r="H241" s="9" t="n">
        <f aca="false">SUMIFS('Source 2025'!$I:$I,'Source 2025'!$B:$B,$A241,'Source 2025'!$A:$A,"Amount (NIS)")</f>
        <v>0</v>
      </c>
      <c r="I241" s="9" t="n">
        <f aca="false">SUMIFS('Source 2026'!$I:$I,'Source 2026'!$B:$B,$A241,'Source 2026'!$A:$A,"Amount (NIS)")</f>
        <v>-58.3</v>
      </c>
      <c r="J241" s="9" t="n">
        <f aca="false">I241*$J$5</f>
        <v>-73.6421052631579</v>
      </c>
      <c r="K241" s="9" t="n">
        <f aca="false">J241-H241</f>
        <v>-73.6421052631579</v>
      </c>
      <c r="L241" s="11" t="str">
        <f aca="false">IF(AND(H241=0,J241=0),0,IF(H241=0,"New",(J241-H241)/H241))</f>
        <v>New</v>
      </c>
    </row>
    <row r="242" customFormat="false" ht="15" hidden="false" customHeight="true" outlineLevel="0" collapsed="false">
      <c r="A242" s="8" t="s">
        <v>354</v>
      </c>
      <c r="B242" s="8" t="str">
        <f aca="false">IFERROR(INDEX('Source 2026'!$C:$C,MATCH($A242,'Source 2026'!$B:$B,0)),IFERROR(INDEX('Source 2025'!$C:$C,MATCH($A242,'Source 2025'!$B:$B,0)),""))</f>
        <v>טייפ חבישה לספורט</v>
      </c>
      <c r="C242" s="9" t="n">
        <f aca="false">SUMIFS('Source 2025'!$I:$I,'Source 2025'!$B:$B,$A242,'Source 2025'!$A:$A,"Quantity (units)")</f>
        <v>0</v>
      </c>
      <c r="D242" s="9" t="n">
        <f aca="false">SUMIFS('Source 2026'!$I:$I,'Source 2026'!$B:$B,$A242,'Source 2026'!$A:$A,"Quantity (units)")</f>
        <v>3</v>
      </c>
      <c r="E242" s="9" t="n">
        <f aca="false">D242*$J$5</f>
        <v>3.78947368421053</v>
      </c>
      <c r="F242" s="9" t="n">
        <f aca="false">E242-C242</f>
        <v>3.78947368421053</v>
      </c>
      <c r="G242" s="11" t="str">
        <f aca="false">IF(AND(C242=0,E242=0),0,IF(C242=0,"New",(E242-C242)/C242))</f>
        <v>New</v>
      </c>
      <c r="H242" s="9" t="n">
        <f aca="false">SUMIFS('Source 2025'!$I:$I,'Source 2025'!$B:$B,$A242,'Source 2025'!$A:$A,"Amount (NIS)")</f>
        <v>0</v>
      </c>
      <c r="I242" s="9" t="n">
        <f aca="false">SUMIFS('Source 2026'!$I:$I,'Source 2026'!$B:$B,$A242,'Source 2026'!$A:$A,"Amount (NIS)")</f>
        <v>51.9</v>
      </c>
      <c r="J242" s="9" t="n">
        <f aca="false">I242*$J$5</f>
        <v>65.5578947368421</v>
      </c>
      <c r="K242" s="9" t="n">
        <f aca="false">J242-H242</f>
        <v>65.5578947368421</v>
      </c>
      <c r="L242" s="11" t="str">
        <f aca="false">IF(AND(H242=0,J242=0),0,IF(H242=0,"New",(J242-H242)/H242))</f>
        <v>New</v>
      </c>
    </row>
    <row r="243" customFormat="false" ht="15" hidden="false" customHeight="true" outlineLevel="0" collapsed="false">
      <c r="A243" s="8" t="s">
        <v>306</v>
      </c>
      <c r="B243" s="8" t="str">
        <f aca="false">IFERROR(INDEX('Source 2026'!$C:$C,MATCH($A243,'Source 2026'!$B:$B,0)),IFERROR(INDEX('Source 2025'!$C:$C,MATCH($A243,'Source 2025'!$B:$B,0)),""))</f>
        <v>מגן זרת מסיליקון</v>
      </c>
      <c r="C243" s="9" t="n">
        <f aca="false">SUMIFS('Source 2025'!$I:$I,'Source 2025'!$B:$B,$A243,'Source 2025'!$A:$A,"Quantity (units)")</f>
        <v>107</v>
      </c>
      <c r="D243" s="9" t="n">
        <f aca="false">SUMIFS('Source 2026'!$I:$I,'Source 2026'!$B:$B,$A243,'Source 2026'!$A:$A,"Quantity (units)")</f>
        <v>104</v>
      </c>
      <c r="E243" s="9" t="n">
        <f aca="false">D243*$J$5</f>
        <v>131.368421052632</v>
      </c>
      <c r="F243" s="9" t="n">
        <f aca="false">E243-C243</f>
        <v>24.3684210526316</v>
      </c>
      <c r="G243" s="11" t="n">
        <f aca="false">IF(AND(C243=0,E243=0),0,IF(C243=0,"New",(E243-C243)/C243))</f>
        <v>0.227742252828332</v>
      </c>
      <c r="H243" s="9" t="n">
        <f aca="false">SUMIFS('Source 2025'!$I:$I,'Source 2025'!$B:$B,$A243,'Source 2025'!$A:$A,"Amount (NIS)")</f>
        <v>2792.2</v>
      </c>
      <c r="I243" s="9" t="n">
        <f aca="false">SUMIFS('Source 2026'!$I:$I,'Source 2026'!$B:$B,$A243,'Source 2026'!$A:$A,"Amount (NIS)")</f>
        <v>2746</v>
      </c>
      <c r="J243" s="9" t="n">
        <f aca="false">I243*$J$5</f>
        <v>3468.63157894737</v>
      </c>
      <c r="K243" s="9" t="n">
        <f aca="false">J243-H243</f>
        <v>676.431578947369</v>
      </c>
      <c r="L243" s="11" t="n">
        <f aca="false">IF(AND(H243=0,J243=0),0,IF(H243=0,"New",(J243-H243)/H243))</f>
        <v>0.242257567132501</v>
      </c>
    </row>
    <row r="244" customFormat="false" ht="15" hidden="false" customHeight="true" outlineLevel="0" collapsed="false">
      <c r="A244" s="8" t="s">
        <v>229</v>
      </c>
      <c r="B244" s="8" t="str">
        <f aca="false">IFERROR(INDEX('Source 2026'!$C:$C,MATCH($A244,'Source 2026'!$B:$B,0)),IFERROR(INDEX('Source 2025'!$C:$C,MATCH($A244,'Source 2025'!$B:$B,0)),""))</f>
        <v>מגן קרסול נושם</v>
      </c>
      <c r="C244" s="9" t="n">
        <f aca="false">SUMIFS('Source 2025'!$I:$I,'Source 2025'!$B:$B,$A244,'Source 2025'!$A:$A,"Quantity (units)")</f>
        <v>11</v>
      </c>
      <c r="D244" s="9" t="n">
        <f aca="false">SUMIFS('Source 2026'!$I:$I,'Source 2026'!$B:$B,$A244,'Source 2026'!$A:$A,"Quantity (units)")</f>
        <v>9</v>
      </c>
      <c r="E244" s="9" t="n">
        <f aca="false">D244*$J$5</f>
        <v>11.3684210526316</v>
      </c>
      <c r="F244" s="9" t="n">
        <f aca="false">E244-C244</f>
        <v>0.368421052631579</v>
      </c>
      <c r="G244" s="11" t="n">
        <f aca="false">IF(AND(C244=0,E244=0),0,IF(C244=0,"New",(E244-C244)/C244))</f>
        <v>0.0334928229665072</v>
      </c>
      <c r="H244" s="9" t="n">
        <f aca="false">SUMIFS('Source 2025'!$I:$I,'Source 2025'!$B:$B,$A244,'Source 2025'!$A:$A,"Amount (NIS)")</f>
        <v>381.1</v>
      </c>
      <c r="I244" s="9" t="n">
        <f aca="false">SUMIFS('Source 2026'!$I:$I,'Source 2026'!$B:$B,$A244,'Source 2026'!$A:$A,"Amount (NIS)")</f>
        <v>337.1</v>
      </c>
      <c r="J244" s="9" t="n">
        <f aca="false">I244*$J$5</f>
        <v>425.81052631579</v>
      </c>
      <c r="K244" s="9" t="n">
        <f aca="false">J244-H244</f>
        <v>44.7105263157895</v>
      </c>
      <c r="L244" s="11" t="n">
        <f aca="false">IF(AND(H244=0,J244=0),0,IF(H244=0,"New",(J244-H244)/H244))</f>
        <v>0.117319670206742</v>
      </c>
    </row>
    <row r="245" customFormat="false" ht="15" hidden="false" customHeight="true" outlineLevel="0" collapsed="false">
      <c r="A245" s="8" t="s">
        <v>120</v>
      </c>
      <c r="B245" s="8" t="str">
        <f aca="false">IFERROR(INDEX('Source 2026'!$C:$C,MATCH($A245,'Source 2026'!$B:$B,0)),IFERROR(INDEX('Source 2025'!$C:$C,MATCH($A245,'Source 2025'!$B:$B,0)),""))</f>
        <v>S תומך זרוע וכתף</v>
      </c>
      <c r="C245" s="9" t="n">
        <f aca="false">SUMIFS('Source 2025'!$I:$I,'Source 2025'!$B:$B,$A245,'Source 2025'!$A:$A,"Quantity (units)")</f>
        <v>20</v>
      </c>
      <c r="D245" s="9" t="n">
        <f aca="false">SUMIFS('Source 2026'!$I:$I,'Source 2026'!$B:$B,$A245,'Source 2026'!$A:$A,"Quantity (units)")</f>
        <v>22</v>
      </c>
      <c r="E245" s="9" t="n">
        <f aca="false">D245*$J$5</f>
        <v>27.7894736842105</v>
      </c>
      <c r="F245" s="9" t="n">
        <f aca="false">E245-C245</f>
        <v>7.78947368421052</v>
      </c>
      <c r="G245" s="11" t="n">
        <f aca="false">IF(AND(C245=0,E245=0),0,IF(C245=0,"New",(E245-C245)/C245))</f>
        <v>0.389473684210526</v>
      </c>
      <c r="H245" s="9" t="n">
        <f aca="false">SUMIFS('Source 2025'!$I:$I,'Source 2025'!$B:$B,$A245,'Source 2025'!$A:$A,"Amount (NIS)")</f>
        <v>3449.3</v>
      </c>
      <c r="I245" s="9" t="n">
        <f aca="false">SUMIFS('Source 2026'!$I:$I,'Source 2026'!$B:$B,$A245,'Source 2026'!$A:$A,"Amount (NIS)")</f>
        <v>3490.2</v>
      </c>
      <c r="J245" s="9" t="n">
        <f aca="false">I245*$J$5</f>
        <v>4408.67368421053</v>
      </c>
      <c r="K245" s="9" t="n">
        <f aca="false">J245-H245</f>
        <v>959.373684210525</v>
      </c>
      <c r="L245" s="11" t="n">
        <f aca="false">IF(AND(H245=0,J245=0),0,IF(H245=0,"New",(J245-H245)/H245))</f>
        <v>0.278135762099709</v>
      </c>
    </row>
    <row r="246" customFormat="false" ht="15" hidden="false" customHeight="true" outlineLevel="0" collapsed="false">
      <c r="A246" s="8" t="s">
        <v>345</v>
      </c>
      <c r="B246" s="8" t="str">
        <f aca="false">IFERROR(INDEX('Source 2026'!$C:$C,MATCH($A246,'Source 2026'!$B:$B,0)),IFERROR(INDEX('Source 2025'!$C:$C,MATCH($A246,'Source 2025'!$B:$B,0)),""))</f>
        <v>S תתמתלה ליד רצועה</v>
      </c>
      <c r="C246" s="9" t="n">
        <f aca="false">SUMIFS('Source 2025'!$I:$I,'Source 2025'!$B:$B,$A246,'Source 2025'!$A:$A,"Quantity (units)")</f>
        <v>-1</v>
      </c>
      <c r="D246" s="9" t="n">
        <f aca="false">SUMIFS('Source 2026'!$I:$I,'Source 2026'!$B:$B,$A246,'Source 2026'!$A:$A,"Quantity (units)")</f>
        <v>0</v>
      </c>
      <c r="E246" s="9" t="n">
        <f aca="false">D246*$J$5</f>
        <v>0</v>
      </c>
      <c r="F246" s="9" t="n">
        <f aca="false">E246-C246</f>
        <v>1</v>
      </c>
      <c r="G246" s="11" t="n">
        <f aca="false">IF(AND(C246=0,E246=0),0,IF(C246=0,"New",(E246-C246)/C246))</f>
        <v>-1</v>
      </c>
      <c r="H246" s="9" t="n">
        <f aca="false">SUMIFS('Source 2025'!$I:$I,'Source 2025'!$B:$B,$A246,'Source 2025'!$A:$A,"Amount (NIS)")</f>
        <v>-32.3</v>
      </c>
      <c r="I246" s="9" t="n">
        <f aca="false">SUMIFS('Source 2026'!$I:$I,'Source 2026'!$B:$B,$A246,'Source 2026'!$A:$A,"Amount (NIS)")</f>
        <v>0</v>
      </c>
      <c r="J246" s="9" t="n">
        <f aca="false">I246*$J$5</f>
        <v>0</v>
      </c>
      <c r="K246" s="9" t="n">
        <f aca="false">J246-H246</f>
        <v>32.3</v>
      </c>
      <c r="L246" s="11" t="n">
        <f aca="false">IF(AND(H246=0,J246=0),0,IF(H246=0,"New",(J246-H246)/H246))</f>
        <v>-1</v>
      </c>
    </row>
    <row r="247" customFormat="false" ht="15" hidden="false" customHeight="true" outlineLevel="0" collapsed="false">
      <c r="A247" s="8" t="s">
        <v>307</v>
      </c>
      <c r="B247" s="8" t="str">
        <f aca="false">IFERROR(INDEX('Source 2026'!$C:$C,MATCH($A247,'Source 2026'!$B:$B,0)),IFERROR(INDEX('Source 2025'!$C:$C,MATCH($A247,'Source 2025'!$B:$B,0)),""))</f>
        <v>בקט.לנעל120</v>
      </c>
      <c r="C247" s="9" t="n">
        <f aca="false">SUMIFS('Source 2025'!$I:$I,'Source 2025'!$B:$B,$A247,'Source 2025'!$A:$A,"Quantity (units)")</f>
        <v>1</v>
      </c>
      <c r="D247" s="9" t="n">
        <f aca="false">SUMIFS('Source 2026'!$I:$I,'Source 2026'!$B:$B,$A247,'Source 2026'!$A:$A,"Quantity (units)")</f>
        <v>0</v>
      </c>
      <c r="E247" s="9" t="n">
        <f aca="false">D247*$J$5</f>
        <v>0</v>
      </c>
      <c r="F247" s="9" t="n">
        <f aca="false">E247-C247</f>
        <v>-1</v>
      </c>
      <c r="G247" s="11" t="n">
        <f aca="false">IF(AND(C247=0,E247=0),0,IF(C247=0,"New",(E247-C247)/C247))</f>
        <v>-1</v>
      </c>
      <c r="H247" s="9" t="n">
        <f aca="false">SUMIFS('Source 2025'!$I:$I,'Source 2025'!$B:$B,$A247,'Source 2025'!$A:$A,"Amount (NIS)")</f>
        <v>29</v>
      </c>
      <c r="I247" s="9" t="n">
        <f aca="false">SUMIFS('Source 2026'!$I:$I,'Source 2026'!$B:$B,$A247,'Source 2026'!$A:$A,"Amount (NIS)")</f>
        <v>0</v>
      </c>
      <c r="J247" s="9" t="n">
        <f aca="false">I247*$J$5</f>
        <v>0</v>
      </c>
      <c r="K247" s="9" t="n">
        <f aca="false">J247-H247</f>
        <v>-29</v>
      </c>
      <c r="L247" s="11" t="n">
        <f aca="false">IF(AND(H247=0,J247=0),0,IF(H247=0,"New",(J247-H247)/H247))</f>
        <v>-1</v>
      </c>
    </row>
    <row r="248" customFormat="false" ht="15" hidden="false" customHeight="true" outlineLevel="0" collapsed="false">
      <c r="A248" s="8" t="s">
        <v>116</v>
      </c>
      <c r="B248" s="8" t="str">
        <f aca="false">IFERROR(INDEX('Source 2026'!$C:$C,MATCH($A248,'Source 2026'!$B:$B,0)),IFERROR(INDEX('Source 2025'!$C:$C,MATCH($A248,'Source 2025'!$B:$B,0)),""))</f>
        <v>סד לש.כף יד שמאל</v>
      </c>
      <c r="C248" s="9" t="n">
        <f aca="false">SUMIFS('Source 2025'!$I:$I,'Source 2025'!$B:$B,$A248,'Source 2025'!$A:$A,"Quantity (units)")</f>
        <v>25</v>
      </c>
      <c r="D248" s="9" t="n">
        <f aca="false">SUMIFS('Source 2026'!$I:$I,'Source 2026'!$B:$B,$A248,'Source 2026'!$A:$A,"Quantity (units)")</f>
        <v>24</v>
      </c>
      <c r="E248" s="9" t="n">
        <f aca="false">D248*$J$5</f>
        <v>30.3157894736842</v>
      </c>
      <c r="F248" s="9" t="n">
        <f aca="false">E248-C248</f>
        <v>5.31578947368421</v>
      </c>
      <c r="G248" s="11" t="n">
        <f aca="false">IF(AND(C248=0,E248=0),0,IF(C248=0,"New",(E248-C248)/C248))</f>
        <v>0.212631578947368</v>
      </c>
      <c r="H248" s="9" t="n">
        <f aca="false">SUMIFS('Source 2025'!$I:$I,'Source 2025'!$B:$B,$A248,'Source 2025'!$A:$A,"Amount (NIS)")</f>
        <v>868.5</v>
      </c>
      <c r="I248" s="9" t="n">
        <f aca="false">SUMIFS('Source 2026'!$I:$I,'Source 2026'!$B:$B,$A248,'Source 2026'!$A:$A,"Amount (NIS)")</f>
        <v>847.6</v>
      </c>
      <c r="J248" s="9" t="n">
        <f aca="false">I248*$J$5</f>
        <v>1070.65263157895</v>
      </c>
      <c r="K248" s="9" t="n">
        <f aca="false">J248-H248</f>
        <v>202.152631578947</v>
      </c>
      <c r="L248" s="11" t="n">
        <f aca="false">IF(AND(H248=0,J248=0),0,IF(H248=0,"New",(J248-H248)/H248))</f>
        <v>0.232760658121989</v>
      </c>
    </row>
    <row r="249" customFormat="false" ht="15" hidden="false" customHeight="true" outlineLevel="0" collapsed="false">
      <c r="A249" s="8" t="s">
        <v>369</v>
      </c>
      <c r="B249" s="8" t="str">
        <f aca="false">IFERROR(INDEX('Source 2026'!$C:$C,MATCH($A249,'Source 2026'!$B:$B,0)),IFERROR(INDEX('Source 2025'!$C:$C,MATCH($A249,'Source 2025'!$B:$B,0)),""))</f>
        <v>נוזלי</v>
      </c>
      <c r="C249" s="9" t="n">
        <f aca="false">SUMIFS('Source 2025'!$I:$I,'Source 2025'!$B:$B,$A249,'Source 2025'!$A:$A,"Quantity (units)")</f>
        <v>-1</v>
      </c>
      <c r="D249" s="9" t="n">
        <f aca="false">SUMIFS('Source 2026'!$I:$I,'Source 2026'!$B:$B,$A249,'Source 2026'!$A:$A,"Quantity (units)")</f>
        <v>0</v>
      </c>
      <c r="E249" s="9" t="n">
        <f aca="false">D249*$J$5</f>
        <v>0</v>
      </c>
      <c r="F249" s="9" t="n">
        <f aca="false">E249-C249</f>
        <v>1</v>
      </c>
      <c r="G249" s="11" t="n">
        <f aca="false">IF(AND(C249=0,E249=0),0,IF(C249=0,"New",(E249-C249)/C249))</f>
        <v>-1</v>
      </c>
      <c r="H249" s="9" t="n">
        <f aca="false">SUMIFS('Source 2025'!$I:$I,'Source 2025'!$B:$B,$A249,'Source 2025'!$A:$A,"Amount (NIS)")</f>
        <v>-20.8</v>
      </c>
      <c r="I249" s="9" t="n">
        <f aca="false">SUMIFS('Source 2026'!$I:$I,'Source 2026'!$B:$B,$A249,'Source 2026'!$A:$A,"Amount (NIS)")</f>
        <v>0</v>
      </c>
      <c r="J249" s="9" t="n">
        <f aca="false">I249*$J$5</f>
        <v>0</v>
      </c>
      <c r="K249" s="9" t="n">
        <f aca="false">J249-H249</f>
        <v>20.8</v>
      </c>
      <c r="L249" s="11" t="n">
        <f aca="false">IF(AND(H249=0,J249=0),0,IF(H249=0,"New",(J249-H249)/H249))</f>
        <v>-1</v>
      </c>
    </row>
    <row r="250" customFormat="false" ht="15" hidden="false" customHeight="true" outlineLevel="0" collapsed="false">
      <c r="A250" s="8" t="s">
        <v>225</v>
      </c>
      <c r="B250" s="8" t="str">
        <f aca="false">IFERROR(INDEX('Source 2026'!$C:$C,MATCH($A250,'Source 2026'!$B:$B,0)),IFERROR(INDEX('Source 2025'!$C:$C,MATCH($A250,'Source 2025'!$B:$B,0)),""))</f>
        <v>ריפוד סיליק.לעקב תחתון</v>
      </c>
      <c r="C250" s="9" t="n">
        <f aca="false">SUMIFS('Source 2025'!$I:$I,'Source 2025'!$B:$B,$A250,'Source 2025'!$A:$A,"Quantity (units)")</f>
        <v>43</v>
      </c>
      <c r="D250" s="9" t="n">
        <f aca="false">SUMIFS('Source 2026'!$I:$I,'Source 2026'!$B:$B,$A250,'Source 2026'!$A:$A,"Quantity (units)")</f>
        <v>41</v>
      </c>
      <c r="E250" s="9" t="n">
        <f aca="false">D250*$J$5</f>
        <v>51.7894736842105</v>
      </c>
      <c r="F250" s="9" t="n">
        <f aca="false">E250-C250</f>
        <v>8.78947368421052</v>
      </c>
      <c r="G250" s="11" t="n">
        <f aca="false">IF(AND(C250=0,E250=0),0,IF(C250=0,"New",(E250-C250)/C250))</f>
        <v>0.204406364749082</v>
      </c>
      <c r="H250" s="9" t="n">
        <f aca="false">SUMIFS('Source 2025'!$I:$I,'Source 2025'!$B:$B,$A250,'Source 2025'!$A:$A,"Amount (NIS)")</f>
        <v>900.2</v>
      </c>
      <c r="I250" s="9" t="n">
        <f aca="false">SUMIFS('Source 2026'!$I:$I,'Source 2026'!$B:$B,$A250,'Source 2026'!$A:$A,"Amount (NIS)")</f>
        <v>879.8</v>
      </c>
      <c r="J250" s="9" t="n">
        <f aca="false">I250*$J$5</f>
        <v>1111.32631578947</v>
      </c>
      <c r="K250" s="9" t="n">
        <f aca="false">J250-H250</f>
        <v>211.126315789473</v>
      </c>
      <c r="L250" s="11" t="n">
        <f aca="false">IF(AND(H250=0,J250=0),0,IF(H250=0,"New",(J250-H250)/H250))</f>
        <v>0.234532676948982</v>
      </c>
    </row>
    <row r="251" customFormat="false" ht="15" hidden="false" customHeight="true" outlineLevel="0" collapsed="false">
      <c r="A251" s="8" t="s">
        <v>160</v>
      </c>
      <c r="B251" s="8" t="str">
        <f aca="false">IFERROR(INDEX('Source 2026'!$C:$C,MATCH($A251,'Source 2026'!$B:$B,0)),IFERROR(INDEX('Source 2025'!$C:$C,MATCH($A251,'Source 2025'!$B:$B,0)),""))</f>
        <v>מגן מרפק</v>
      </c>
      <c r="C251" s="9" t="n">
        <f aca="false">SUMIFS('Source 2025'!$I:$I,'Source 2025'!$B:$B,$A251,'Source 2025'!$A:$A,"Quantity (units)")</f>
        <v>3</v>
      </c>
      <c r="D251" s="9" t="n">
        <f aca="false">SUMIFS('Source 2026'!$I:$I,'Source 2026'!$B:$B,$A251,'Source 2026'!$A:$A,"Quantity (units)")</f>
        <v>3</v>
      </c>
      <c r="E251" s="9" t="n">
        <f aca="false">D251*$J$5</f>
        <v>3.78947368421053</v>
      </c>
      <c r="F251" s="9" t="n">
        <f aca="false">E251-C251</f>
        <v>0.789473684210526</v>
      </c>
      <c r="G251" s="11" t="n">
        <f aca="false">IF(AND(C251=0,E251=0),0,IF(C251=0,"New",(E251-C251)/C251))</f>
        <v>0.263157894736842</v>
      </c>
      <c r="H251" s="9" t="n">
        <f aca="false">SUMIFS('Source 2025'!$I:$I,'Source 2025'!$B:$B,$A251,'Source 2025'!$A:$A,"Amount (NIS)")</f>
        <v>107.6</v>
      </c>
      <c r="I251" s="9" t="n">
        <f aca="false">SUMIFS('Source 2026'!$I:$I,'Source 2026'!$B:$B,$A251,'Source 2026'!$A:$A,"Amount (NIS)")</f>
        <v>126.4</v>
      </c>
      <c r="J251" s="9" t="n">
        <f aca="false">I251*$J$5</f>
        <v>159.663157894737</v>
      </c>
      <c r="K251" s="9" t="n">
        <f aca="false">J251-H251</f>
        <v>52.0631578947368</v>
      </c>
      <c r="L251" s="11" t="n">
        <f aca="false">IF(AND(H251=0,J251=0),0,IF(H251=0,"New",(J251-H251)/H251))</f>
        <v>0.483858344746625</v>
      </c>
    </row>
    <row r="252" customFormat="false" ht="15" hidden="false" customHeight="true" outlineLevel="0" collapsed="false">
      <c r="A252" s="8" t="s">
        <v>352</v>
      </c>
      <c r="B252" s="8" t="str">
        <f aca="false">IFERROR(INDEX('Source 2026'!$C:$C,MATCH($A252,'Source 2026'!$B:$B,0)),IFERROR(INDEX('Source 2025'!$C:$C,MATCH($A252,'Source 2025'!$B:$B,0)),""))</f>
        <v>XXL מגן ברך ארוך עם כרית</v>
      </c>
      <c r="C252" s="9" t="n">
        <f aca="false">SUMIFS('Source 2025'!$I:$I,'Source 2025'!$B:$B,$A252,'Source 2025'!$A:$A,"Quantity (units)")</f>
        <v>-3</v>
      </c>
      <c r="D252" s="9" t="n">
        <f aca="false">SUMIFS('Source 2026'!$I:$I,'Source 2026'!$B:$B,$A252,'Source 2026'!$A:$A,"Quantity (units)")</f>
        <v>-3</v>
      </c>
      <c r="E252" s="9" t="n">
        <f aca="false">D252*$J$5</f>
        <v>-3.78947368421053</v>
      </c>
      <c r="F252" s="9" t="n">
        <f aca="false">E252-C252</f>
        <v>-0.789473684210526</v>
      </c>
      <c r="G252" s="11" t="n">
        <f aca="false">IF(AND(C252=0,E252=0),0,IF(C252=0,"New",(E252-C252)/C252))</f>
        <v>0.263157894736842</v>
      </c>
      <c r="H252" s="9" t="n">
        <f aca="false">SUMIFS('Source 2025'!$I:$I,'Source 2025'!$B:$B,$A252,'Source 2025'!$A:$A,"Amount (NIS)")</f>
        <v>-608.3</v>
      </c>
      <c r="I252" s="9" t="n">
        <f aca="false">SUMIFS('Source 2026'!$I:$I,'Source 2026'!$B:$B,$A252,'Source 2026'!$A:$A,"Amount (NIS)")</f>
        <v>-590.2</v>
      </c>
      <c r="J252" s="9" t="n">
        <f aca="false">I252*$J$5</f>
        <v>-745.515789473684</v>
      </c>
      <c r="K252" s="9" t="n">
        <f aca="false">J252-H252</f>
        <v>-137.215789473684</v>
      </c>
      <c r="L252" s="11" t="n">
        <f aca="false">IF(AND(H252=0,J252=0),0,IF(H252=0,"New",(J252-H252)/H252))</f>
        <v>0.225572562014934</v>
      </c>
    </row>
    <row r="253" customFormat="false" ht="15" hidden="false" customHeight="true" outlineLevel="0" collapsed="false">
      <c r="A253" s="8" t="s">
        <v>135</v>
      </c>
      <c r="B253" s="8" t="str">
        <f aca="false">IFERROR(INDEX('Source 2026'!$C:$C,MATCH($A253,'Source 2026'!$B:$B,0)),IFERROR(INDEX('Source 2025'!$C:$C,MATCH($A253,'Source 2025'!$B:$B,0)),""))</f>
        <v>סד לש.כף יד ימין</v>
      </c>
      <c r="C253" s="9" t="n">
        <f aca="false">SUMIFS('Source 2025'!$I:$I,'Source 2025'!$B:$B,$A253,'Source 2025'!$A:$A,"Quantity (units)")</f>
        <v>29</v>
      </c>
      <c r="D253" s="9" t="n">
        <f aca="false">SUMIFS('Source 2026'!$I:$I,'Source 2026'!$B:$B,$A253,'Source 2026'!$A:$A,"Quantity (units)")</f>
        <v>28</v>
      </c>
      <c r="E253" s="9" t="n">
        <f aca="false">D253*$J$5</f>
        <v>35.3684210526316</v>
      </c>
      <c r="F253" s="9" t="n">
        <f aca="false">E253-C253</f>
        <v>6.36842105263158</v>
      </c>
      <c r="G253" s="11" t="n">
        <f aca="false">IF(AND(C253=0,E253=0),0,IF(C253=0,"New",(E253-C253)/C253))</f>
        <v>0.219600725952813</v>
      </c>
      <c r="H253" s="9" t="n">
        <f aca="false">SUMIFS('Source 2025'!$I:$I,'Source 2025'!$B:$B,$A253,'Source 2025'!$A:$A,"Amount (NIS)")</f>
        <v>1009.8</v>
      </c>
      <c r="I253" s="9" t="n">
        <f aca="false">SUMIFS('Source 2026'!$I:$I,'Source 2026'!$B:$B,$A253,'Source 2026'!$A:$A,"Amount (NIS)")</f>
        <v>995.5</v>
      </c>
      <c r="J253" s="9" t="n">
        <f aca="false">I253*$J$5</f>
        <v>1257.47368421053</v>
      </c>
      <c r="K253" s="9" t="n">
        <f aca="false">J253-H253</f>
        <v>247.673684210526</v>
      </c>
      <c r="L253" s="11" t="n">
        <f aca="false">IF(AND(H253=0,J253=0),0,IF(H253=0,"New",(J253-H253)/H253))</f>
        <v>0.245270037839697</v>
      </c>
    </row>
    <row r="254" customFormat="false" ht="15" hidden="false" customHeight="true" outlineLevel="0" collapsed="false">
      <c r="A254" s="8" t="s">
        <v>134</v>
      </c>
      <c r="B254" s="8" t="str">
        <f aca="false">IFERROR(INDEX('Source 2026'!$C:$C,MATCH($A254,'Source 2026'!$B:$B,0)),IFERROR(INDEX('Source 2025'!$C:$C,MATCH($A254,'Source 2025'!$B:$B,0)),""))</f>
        <v>סט פלסטרים נגד שפשופים</v>
      </c>
      <c r="C254" s="9" t="n">
        <f aca="false">SUMIFS('Source 2025'!$I:$I,'Source 2025'!$B:$B,$A254,'Source 2025'!$A:$A,"Quantity (units)")</f>
        <v>0</v>
      </c>
      <c r="D254" s="9" t="n">
        <f aca="false">SUMIFS('Source 2026'!$I:$I,'Source 2026'!$B:$B,$A254,'Source 2026'!$A:$A,"Quantity (units)")</f>
        <v>0</v>
      </c>
      <c r="E254" s="9" t="n">
        <f aca="false">D254*$J$5</f>
        <v>0</v>
      </c>
      <c r="F254" s="9" t="n">
        <f aca="false">E254-C254</f>
        <v>0</v>
      </c>
      <c r="G254" s="11" t="n">
        <f aca="false">IF(AND(C254=0,E254=0),0,IF(C254=0,"New",(E254-C254)/C254))</f>
        <v>0</v>
      </c>
      <c r="H254" s="9" t="n">
        <f aca="false">SUMIFS('Source 2025'!$I:$I,'Source 2025'!$B:$B,$A254,'Source 2025'!$A:$A,"Amount (NIS)")</f>
        <v>0</v>
      </c>
      <c r="I254" s="9" t="n">
        <f aca="false">SUMIFS('Source 2026'!$I:$I,'Source 2026'!$B:$B,$A254,'Source 2026'!$A:$A,"Amount (NIS)")</f>
        <v>13.3</v>
      </c>
      <c r="J254" s="9" t="n">
        <f aca="false">I254*$J$5</f>
        <v>16.8</v>
      </c>
      <c r="K254" s="9" t="n">
        <f aca="false">J254-H254</f>
        <v>16.8</v>
      </c>
      <c r="L254" s="11" t="str">
        <f aca="false">IF(AND(H254=0,J254=0),0,IF(H254=0,"New",(J254-H254)/H254))</f>
        <v>New</v>
      </c>
    </row>
    <row r="255" customFormat="false" ht="15" hidden="false" customHeight="true" outlineLevel="0" collapsed="false">
      <c r="A255" s="8" t="s">
        <v>291</v>
      </c>
      <c r="B255" s="8" t="str">
        <f aca="false">IFERROR(INDEX('Source 2026'!$C:$C,MATCH($A255,'Source 2026'!$B:$B,0)),IFERROR(INDEX('Source 2025'!$C:$C,MATCH($A255,'Source 2025'!$B:$B,0)),""))</f>
        <v>XL סד לאגודל כפפה</v>
      </c>
      <c r="C255" s="9" t="n">
        <f aca="false">SUMIFS('Source 2025'!$I:$I,'Source 2025'!$B:$B,$A255,'Source 2025'!$A:$A,"Quantity (units)")</f>
        <v>0</v>
      </c>
      <c r="D255" s="9" t="n">
        <f aca="false">SUMIFS('Source 2026'!$I:$I,'Source 2026'!$B:$B,$A255,'Source 2026'!$A:$A,"Quantity (units)")</f>
        <v>0</v>
      </c>
      <c r="E255" s="9" t="n">
        <f aca="false">D255*$J$5</f>
        <v>0</v>
      </c>
      <c r="F255" s="9" t="n">
        <f aca="false">E255-C255</f>
        <v>0</v>
      </c>
      <c r="G255" s="11" t="n">
        <f aca="false">IF(AND(C255=0,E255=0),0,IF(C255=0,"New",(E255-C255)/C255))</f>
        <v>0</v>
      </c>
      <c r="H255" s="9" t="n">
        <f aca="false">SUMIFS('Source 2025'!$I:$I,'Source 2025'!$B:$B,$A255,'Source 2025'!$A:$A,"Amount (NIS)")</f>
        <v>-9.50000000000001</v>
      </c>
      <c r="I255" s="9" t="n">
        <f aca="false">SUMIFS('Source 2026'!$I:$I,'Source 2026'!$B:$B,$A255,'Source 2026'!$A:$A,"Amount (NIS)")</f>
        <v>0</v>
      </c>
      <c r="J255" s="9" t="n">
        <f aca="false">I255*$J$5</f>
        <v>0</v>
      </c>
      <c r="K255" s="9" t="n">
        <f aca="false">J255-H255</f>
        <v>9.50000000000001</v>
      </c>
      <c r="L255" s="11" t="n">
        <f aca="false">IF(AND(H255=0,J255=0),0,IF(H255=0,"New",(J255-H255)/H255))</f>
        <v>-1</v>
      </c>
    </row>
    <row r="256" customFormat="false" ht="15" hidden="false" customHeight="true" outlineLevel="0" collapsed="false">
      <c r="A256" s="8" t="s">
        <v>140</v>
      </c>
      <c r="B256" s="8" t="str">
        <f aca="false">IFERROR(INDEX('Source 2026'!$C:$C,MATCH($A256,'Source 2026'!$B:$B,0)),IFERROR(INDEX('Source 2025'!$C:$C,MATCH($A256,'Source 2025'!$B:$B,0)),""))</f>
        <v>חגורת בטן קלה</v>
      </c>
      <c r="C256" s="9" t="n">
        <f aca="false">SUMIFS('Source 2025'!$I:$I,'Source 2025'!$B:$B,$A256,'Source 2025'!$A:$A,"Quantity (units)")</f>
        <v>2</v>
      </c>
      <c r="D256" s="9" t="n">
        <f aca="false">SUMIFS('Source 2026'!$I:$I,'Source 2026'!$B:$B,$A256,'Source 2026'!$A:$A,"Quantity (units)")</f>
        <v>2</v>
      </c>
      <c r="E256" s="9" t="n">
        <f aca="false">D256*$J$5</f>
        <v>2.52631578947368</v>
      </c>
      <c r="F256" s="9" t="n">
        <f aca="false">E256-C256</f>
        <v>0.526315789473684</v>
      </c>
      <c r="G256" s="11" t="n">
        <f aca="false">IF(AND(C256=0,E256=0),0,IF(C256=0,"New",(E256-C256)/C256))</f>
        <v>0.263157894736842</v>
      </c>
      <c r="H256" s="9" t="n">
        <f aca="false">SUMIFS('Source 2025'!$I:$I,'Source 2025'!$B:$B,$A256,'Source 2025'!$A:$A,"Amount (NIS)")</f>
        <v>144.4</v>
      </c>
      <c r="I256" s="9" t="n">
        <f aca="false">SUMIFS('Source 2026'!$I:$I,'Source 2026'!$B:$B,$A256,'Source 2026'!$A:$A,"Amount (NIS)")</f>
        <v>150.5</v>
      </c>
      <c r="J256" s="9" t="n">
        <f aca="false">I256*$J$5</f>
        <v>190.105263157895</v>
      </c>
      <c r="K256" s="9" t="n">
        <f aca="false">J256-H256</f>
        <v>45.7052631578947</v>
      </c>
      <c r="L256" s="11" t="n">
        <f aca="false">IF(AND(H256=0,J256=0),0,IF(H256=0,"New",(J256-H256)/H256))</f>
        <v>0.316518442921709</v>
      </c>
    </row>
    <row r="257" customFormat="false" ht="15" hidden="false" customHeight="true" outlineLevel="0" collapsed="false">
      <c r="A257" s="8" t="s">
        <v>385</v>
      </c>
      <c r="B257" s="8" t="str">
        <f aca="false">IFERROR(INDEX('Source 2026'!$C:$C,MATCH($A257,'Source 2026'!$B:$B,0)),IFERROR(INDEX('Source 2025'!$C:$C,MATCH($A257,'Source 2025'!$B:$B,0)),""))</f>
        <v>0   גרביים+סיליקון</v>
      </c>
      <c r="C257" s="9" t="n">
        <f aca="false">SUMIFS('Source 2025'!$I:$I,'Source 2025'!$B:$B,$A257,'Source 2025'!$A:$A,"Quantity (units)")</f>
        <v>-1</v>
      </c>
      <c r="D257" s="9" t="n">
        <f aca="false">SUMIFS('Source 2026'!$I:$I,'Source 2026'!$B:$B,$A257,'Source 2026'!$A:$A,"Quantity (units)")</f>
        <v>-1</v>
      </c>
      <c r="E257" s="9" t="n">
        <f aca="false">D257*$J$5</f>
        <v>-1.26315789473684</v>
      </c>
      <c r="F257" s="9" t="n">
        <f aca="false">E257-C257</f>
        <v>-0.263157894736842</v>
      </c>
      <c r="G257" s="11" t="n">
        <f aca="false">IF(AND(C257=0,E257=0),0,IF(C257=0,"New",(E257-C257)/C257))</f>
        <v>0.263157894736842</v>
      </c>
      <c r="H257" s="9" t="n">
        <f aca="false">SUMIFS('Source 2025'!$I:$I,'Source 2025'!$B:$B,$A257,'Source 2025'!$A:$A,"Amount (NIS)")</f>
        <v>-28.4</v>
      </c>
      <c r="I257" s="9" t="n">
        <f aca="false">SUMIFS('Source 2026'!$I:$I,'Source 2026'!$B:$B,$A257,'Source 2026'!$A:$A,"Amount (NIS)")</f>
        <v>-31.9</v>
      </c>
      <c r="J257" s="9" t="n">
        <f aca="false">I257*$J$5</f>
        <v>-40.2947368421053</v>
      </c>
      <c r="K257" s="9" t="n">
        <f aca="false">J257-H257</f>
        <v>-11.8947368421053</v>
      </c>
      <c r="L257" s="11" t="n">
        <f aca="false">IF(AND(H257=0,J257=0),0,IF(H257=0,"New",(J257-H257)/H257))</f>
        <v>0.41882876204596</v>
      </c>
    </row>
    <row r="258" customFormat="false" ht="15" hidden="false" customHeight="true" outlineLevel="0" collapsed="false">
      <c r="A258" s="8" t="s">
        <v>386</v>
      </c>
      <c r="B258" s="8" t="str">
        <f aca="false">IFERROR(INDEX('Source 2026'!$C:$C,MATCH($A258,'Source 2026'!$B:$B,0)),IFERROR(INDEX('Source 2025'!$C:$C,MATCH($A258,'Source 2025'!$B:$B,0)),""))</f>
        <v>XL ח.גב מגנטית+מוטות תמיכה</v>
      </c>
      <c r="C258" s="9" t="n">
        <f aca="false">SUMIFS('Source 2025'!$I:$I,'Source 2025'!$B:$B,$A258,'Source 2025'!$A:$A,"Quantity (units)")</f>
        <v>-1</v>
      </c>
      <c r="D258" s="9" t="n">
        <f aca="false">SUMIFS('Source 2026'!$I:$I,'Source 2026'!$B:$B,$A258,'Source 2026'!$A:$A,"Quantity (units)")</f>
        <v>-1</v>
      </c>
      <c r="E258" s="9" t="n">
        <f aca="false">D258*$J$5</f>
        <v>-1.26315789473684</v>
      </c>
      <c r="F258" s="9" t="n">
        <f aca="false">E258-C258</f>
        <v>-0.263157894736842</v>
      </c>
      <c r="G258" s="11" t="n">
        <f aca="false">IF(AND(C258=0,E258=0),0,IF(C258=0,"New",(E258-C258)/C258))</f>
        <v>0.263157894736842</v>
      </c>
      <c r="H258" s="9" t="n">
        <f aca="false">SUMIFS('Source 2025'!$I:$I,'Source 2025'!$B:$B,$A258,'Source 2025'!$A:$A,"Amount (NIS)")</f>
        <v>-178.6</v>
      </c>
      <c r="I258" s="9" t="n">
        <f aca="false">SUMIFS('Source 2026'!$I:$I,'Source 2026'!$B:$B,$A258,'Source 2026'!$A:$A,"Amount (NIS)")</f>
        <v>-178.6</v>
      </c>
      <c r="J258" s="9" t="n">
        <f aca="false">I258*$J$5</f>
        <v>-225.6</v>
      </c>
      <c r="K258" s="9" t="n">
        <f aca="false">J258-H258</f>
        <v>-47</v>
      </c>
      <c r="L258" s="11" t="n">
        <f aca="false">IF(AND(H258=0,J258=0),0,IF(H258=0,"New",(J258-H258)/H258))</f>
        <v>0.263157894736842</v>
      </c>
    </row>
    <row r="259" customFormat="false" ht="15" hidden="false" customHeight="true" outlineLevel="0" collapsed="false">
      <c r="A259" s="8" t="s">
        <v>387</v>
      </c>
      <c r="B259" s="8" t="str">
        <f aca="false">IFERROR(INDEX('Source 2026'!$C:$C,MATCH($A259,'Source 2026'!$B:$B,0)),IFERROR(INDEX('Source 2025'!$C:$C,MATCH($A259,'Source 2025'!$B:$B,0)),""))</f>
        <v>XLסד ליד ימין</v>
      </c>
      <c r="C259" s="9" t="n">
        <f aca="false">SUMIFS('Source 2025'!$I:$I,'Source 2025'!$B:$B,$A259,'Source 2025'!$A:$A,"Quantity (units)")</f>
        <v>0</v>
      </c>
      <c r="D259" s="9" t="n">
        <f aca="false">SUMIFS('Source 2026'!$I:$I,'Source 2026'!$B:$B,$A259,'Source 2026'!$A:$A,"Quantity (units)")</f>
        <v>-1</v>
      </c>
      <c r="E259" s="9" t="n">
        <f aca="false">D259*$J$5</f>
        <v>-1.26315789473684</v>
      </c>
      <c r="F259" s="9" t="n">
        <f aca="false">E259-C259</f>
        <v>-1.26315789473684</v>
      </c>
      <c r="G259" s="11" t="str">
        <f aca="false">IF(AND(C259=0,E259=0),0,IF(C259=0,"New",(E259-C259)/C259))</f>
        <v>New</v>
      </c>
      <c r="H259" s="9" t="n">
        <f aca="false">SUMIFS('Source 2025'!$I:$I,'Source 2025'!$B:$B,$A259,'Source 2025'!$A:$A,"Amount (NIS)")</f>
        <v>0</v>
      </c>
      <c r="I259" s="9" t="n">
        <f aca="false">SUMIFS('Source 2026'!$I:$I,'Source 2026'!$B:$B,$A259,'Source 2026'!$A:$A,"Amount (NIS)")</f>
        <v>0</v>
      </c>
      <c r="J259" s="9" t="n">
        <f aca="false">I259*$J$5</f>
        <v>0</v>
      </c>
      <c r="K259" s="9" t="n">
        <f aca="false">J259-H259</f>
        <v>0</v>
      </c>
      <c r="L259" s="11" t="n">
        <f aca="false">IF(AND(H259=0,J259=0),0,IF(H259=0,"New",(J259-H259)/H259))</f>
        <v>0</v>
      </c>
    </row>
    <row r="260" customFormat="false" ht="15" hidden="false" customHeight="true" outlineLevel="0" collapsed="false">
      <c r="A260" s="8" t="s">
        <v>388</v>
      </c>
      <c r="B260" s="8" t="str">
        <f aca="false">IFERROR(INDEX('Source 2026'!$C:$C,MATCH($A260,'Source 2026'!$B:$B,0)),IFERROR(INDEX('Source 2025'!$C:$C,MATCH($A260,'Source 2025'!$B:$B,0)),""))</f>
        <v>יד לטניס כרית סיליק</v>
      </c>
      <c r="C260" s="9" t="n">
        <f aca="false">SUMIFS('Source 2025'!$I:$I,'Source 2025'!$B:$B,$A260,'Source 2025'!$A:$A,"Quantity (units)")</f>
        <v>-1</v>
      </c>
      <c r="D260" s="9" t="n">
        <f aca="false">SUMIFS('Source 2026'!$I:$I,'Source 2026'!$B:$B,$A260,'Source 2026'!$A:$A,"Quantity (units)")</f>
        <v>-1</v>
      </c>
      <c r="E260" s="9" t="n">
        <f aca="false">D260*$J$5</f>
        <v>-1.26315789473684</v>
      </c>
      <c r="F260" s="9" t="n">
        <f aca="false">E260-C260</f>
        <v>-0.263157894736842</v>
      </c>
      <c r="G260" s="11" t="n">
        <f aca="false">IF(AND(C260=0,E260=0),0,IF(C260=0,"New",(E260-C260)/C260))</f>
        <v>0.263157894736842</v>
      </c>
      <c r="H260" s="9" t="n">
        <f aca="false">SUMIFS('Source 2025'!$I:$I,'Source 2025'!$B:$B,$A260,'Source 2025'!$A:$A,"Amount (NIS)")</f>
        <v>0</v>
      </c>
      <c r="I260" s="9" t="n">
        <f aca="false">SUMIFS('Source 2026'!$I:$I,'Source 2026'!$B:$B,$A260,'Source 2026'!$A:$A,"Amount (NIS)")</f>
        <v>0</v>
      </c>
      <c r="J260" s="9" t="n">
        <f aca="false">I260*$J$5</f>
        <v>0</v>
      </c>
      <c r="K260" s="9" t="n">
        <f aca="false">J260-H260</f>
        <v>0</v>
      </c>
      <c r="L260" s="11" t="n">
        <f aca="false">IF(AND(H260=0,J260=0),0,IF(H260=0,"New",(J260-H260)/H260))</f>
        <v>0</v>
      </c>
    </row>
    <row r="261" customFormat="false" ht="15" hidden="false" customHeight="true" outlineLevel="0" collapsed="false">
      <c r="A261" s="8" t="s">
        <v>389</v>
      </c>
      <c r="B261" s="8" t="str">
        <f aca="false">IFERROR(INDEX('Source 2026'!$C:$C,MATCH($A261,'Source 2026'!$B:$B,0)),IFERROR(INDEX('Source 2025'!$C:$C,MATCH($A261,'Source 2025'!$B:$B,0)),""))</f>
        <v>M מגן מרפק+רצועה לטניס</v>
      </c>
      <c r="C261" s="9" t="n">
        <f aca="false">SUMIFS('Source 2025'!$I:$I,'Source 2025'!$B:$B,$A261,'Source 2025'!$A:$A,"Quantity (units)")</f>
        <v>-1</v>
      </c>
      <c r="D261" s="9" t="n">
        <f aca="false">SUMIFS('Source 2026'!$I:$I,'Source 2026'!$B:$B,$A261,'Source 2026'!$A:$A,"Quantity (units)")</f>
        <v>-1</v>
      </c>
      <c r="E261" s="9" t="n">
        <f aca="false">D261*$J$5</f>
        <v>-1.26315789473684</v>
      </c>
      <c r="F261" s="9" t="n">
        <f aca="false">E261-C261</f>
        <v>-0.263157894736842</v>
      </c>
      <c r="G261" s="11" t="n">
        <f aca="false">IF(AND(C261=0,E261=0),0,IF(C261=0,"New",(E261-C261)/C261))</f>
        <v>0.263157894736842</v>
      </c>
      <c r="H261" s="9" t="n">
        <f aca="false">SUMIFS('Source 2025'!$I:$I,'Source 2025'!$B:$B,$A261,'Source 2025'!$A:$A,"Amount (NIS)")</f>
        <v>0</v>
      </c>
      <c r="I261" s="9" t="n">
        <f aca="false">SUMIFS('Source 2026'!$I:$I,'Source 2026'!$B:$B,$A261,'Source 2026'!$A:$A,"Amount (NIS)")</f>
        <v>0</v>
      </c>
      <c r="J261" s="9" t="n">
        <f aca="false">I261*$J$5</f>
        <v>0</v>
      </c>
      <c r="K261" s="9" t="n">
        <f aca="false">J261-H261</f>
        <v>0</v>
      </c>
      <c r="L261" s="11" t="n">
        <f aca="false">IF(AND(H261=0,J261=0),0,IF(H261=0,"New",(J261-H261)/H261))</f>
        <v>0</v>
      </c>
    </row>
    <row r="262" customFormat="false" ht="15" hidden="false" customHeight="true" outlineLevel="0" collapsed="false">
      <c r="A262" s="8" t="s">
        <v>221</v>
      </c>
      <c r="B262" s="8" t="str">
        <f aca="false">IFERROR(INDEX('Source 2026'!$C:$C,MATCH($A262,'Source 2026'!$B:$B,0)),IFERROR(INDEX('Source 2025'!$C:$C,MATCH($A262,'Source 2025'!$B:$B,0)),""))</f>
        <v>L חגורה לשבר טבור</v>
      </c>
      <c r="C262" s="9" t="n">
        <f aca="false">SUMIFS('Source 2025'!$I:$I,'Source 2025'!$B:$B,$A262,'Source 2025'!$A:$A,"Quantity (units)")</f>
        <v>-1</v>
      </c>
      <c r="D262" s="9" t="n">
        <f aca="false">SUMIFS('Source 2026'!$I:$I,'Source 2026'!$B:$B,$A262,'Source 2026'!$A:$A,"Quantity (units)")</f>
        <v>-1</v>
      </c>
      <c r="E262" s="9" t="n">
        <f aca="false">D262*$J$5</f>
        <v>-1.26315789473684</v>
      </c>
      <c r="F262" s="9" t="n">
        <f aca="false">E262-C262</f>
        <v>-0.263157894736842</v>
      </c>
      <c r="G262" s="11" t="n">
        <f aca="false">IF(AND(C262=0,E262=0),0,IF(C262=0,"New",(E262-C262)/C262))</f>
        <v>0.263157894736842</v>
      </c>
      <c r="H262" s="9" t="n">
        <f aca="false">SUMIFS('Source 2025'!$I:$I,'Source 2025'!$B:$B,$A262,'Source 2025'!$A:$A,"Amount (NIS)")</f>
        <v>-135</v>
      </c>
      <c r="I262" s="9" t="n">
        <f aca="false">SUMIFS('Source 2026'!$I:$I,'Source 2026'!$B:$B,$A262,'Source 2026'!$A:$A,"Amount (NIS)")</f>
        <v>-135</v>
      </c>
      <c r="J262" s="9" t="n">
        <f aca="false">I262*$J$5</f>
        <v>-170.526315789474</v>
      </c>
      <c r="K262" s="9" t="n">
        <f aca="false">J262-H262</f>
        <v>-35.5263157894737</v>
      </c>
      <c r="L262" s="11" t="n">
        <f aca="false">IF(AND(H262=0,J262=0),0,IF(H262=0,"New",(J262-H262)/H262))</f>
        <v>0.263157894736842</v>
      </c>
    </row>
    <row r="263" customFormat="false" ht="15" hidden="false" customHeight="true" outlineLevel="0" collapsed="false">
      <c r="A263" s="8" t="s">
        <v>164</v>
      </c>
      <c r="B263" s="8" t="str">
        <f aca="false">IFERROR(INDEX('Source 2026'!$C:$C,MATCH($A263,'Source 2026'!$B:$B,0)),IFERROR(INDEX('Source 2025'!$C:$C,MATCH($A263,'Source 2025'!$B:$B,0)),""))</f>
        <v>M מדרס ג'ל ספורט לגבר</v>
      </c>
      <c r="C263" s="9" t="n">
        <f aca="false">SUMIFS('Source 2025'!$I:$I,'Source 2025'!$B:$B,$A263,'Source 2025'!$A:$A,"Quantity (units)")</f>
        <v>2</v>
      </c>
      <c r="D263" s="9" t="n">
        <f aca="false">SUMIFS('Source 2026'!$I:$I,'Source 2026'!$B:$B,$A263,'Source 2026'!$A:$A,"Quantity (units)")</f>
        <v>2</v>
      </c>
      <c r="E263" s="9" t="n">
        <f aca="false">D263*$J$5</f>
        <v>2.52631578947368</v>
      </c>
      <c r="F263" s="9" t="n">
        <f aca="false">E263-C263</f>
        <v>0.526315789473684</v>
      </c>
      <c r="G263" s="11" t="n">
        <f aca="false">IF(AND(C263=0,E263=0),0,IF(C263=0,"New",(E263-C263)/C263))</f>
        <v>0.263157894736842</v>
      </c>
      <c r="H263" s="9" t="n">
        <f aca="false">SUMIFS('Source 2025'!$I:$I,'Source 2025'!$B:$B,$A263,'Source 2025'!$A:$A,"Amount (NIS)")</f>
        <v>131.3</v>
      </c>
      <c r="I263" s="9" t="n">
        <f aca="false">SUMIFS('Source 2026'!$I:$I,'Source 2026'!$B:$B,$A263,'Source 2026'!$A:$A,"Amount (NIS)")</f>
        <v>131.3</v>
      </c>
      <c r="J263" s="9" t="n">
        <f aca="false">I263*$J$5</f>
        <v>165.852631578947</v>
      </c>
      <c r="K263" s="9" t="n">
        <f aca="false">J263-H263</f>
        <v>34.5526315789474</v>
      </c>
      <c r="L263" s="11" t="n">
        <f aca="false">IF(AND(H263=0,J263=0),0,IF(H263=0,"New",(J263-H263)/H263))</f>
        <v>0.263157894736842</v>
      </c>
    </row>
    <row r="265" customFormat="false" ht="15" hidden="false" customHeight="true" outlineLevel="0" collapsed="false">
      <c r="A265" s="21"/>
      <c r="B265" s="22" t="s">
        <v>361</v>
      </c>
      <c r="C265" s="23" t="n">
        <f aca="false">SUM(C9:C263)</f>
        <v>204428</v>
      </c>
      <c r="D265" s="23" t="n">
        <f aca="false">SUM(D9:D263)</f>
        <v>137851</v>
      </c>
      <c r="E265" s="23" t="n">
        <f aca="false">SUM(E9:E263)</f>
        <v>174127.578947368</v>
      </c>
      <c r="F265" s="23" t="n">
        <f aca="false">SUM(F9:F263)</f>
        <v>-30300.4210526316</v>
      </c>
      <c r="G265" s="24" t="n">
        <f aca="false">IF(C265=0,"N/A",F265/C265)</f>
        <v>-0.148220503319661</v>
      </c>
      <c r="H265" s="23" t="n">
        <f aca="false">SUM(H9:H263)</f>
        <v>7597886.3</v>
      </c>
      <c r="I265" s="23" t="n">
        <f aca="false">SUM(I9:I263)</f>
        <v>5165969.3</v>
      </c>
      <c r="J265" s="23" t="n">
        <f aca="false">SUM(J9:J263)</f>
        <v>6525434.90526316</v>
      </c>
      <c r="K265" s="23" t="n">
        <f aca="false">SUM(K9:K263)</f>
        <v>-1072451.39473684</v>
      </c>
      <c r="L265" s="24" t="n">
        <f aca="false">IF(H265=0,"N/A",K265/H265)</f>
        <v>-0.141151282395058</v>
      </c>
    </row>
  </sheetData>
  <mergeCells count="2">
    <mergeCell ref="A3:L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40"/>
    <col collapsed="false" customWidth="true" hidden="false" outlineLevel="0" max="21" min="4" style="1" width="13"/>
  </cols>
  <sheetData>
    <row r="1" customFormat="false" ht="13.5" hidden="false" customHeight="true" outlineLevel="0" collapsed="false">
      <c r="A1" s="12" t="s">
        <v>403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customFormat="false" ht="26.25" hidden="false" customHeight="true" outlineLevel="0" collapsed="false">
      <c r="A2" s="25" t="s">
        <v>404</v>
      </c>
      <c r="B2" s="25" t="s">
        <v>405</v>
      </c>
      <c r="C2" s="25" t="s">
        <v>406</v>
      </c>
      <c r="D2" s="25" t="s">
        <v>33</v>
      </c>
      <c r="E2" s="25" t="s">
        <v>36</v>
      </c>
      <c r="F2" s="25" t="s">
        <v>37</v>
      </c>
      <c r="G2" s="25" t="s">
        <v>39</v>
      </c>
      <c r="H2" s="25" t="s">
        <v>40</v>
      </c>
      <c r="I2" s="25" t="s">
        <v>27</v>
      </c>
      <c r="J2" s="25" t="s">
        <v>24</v>
      </c>
      <c r="K2" s="25" t="s">
        <v>46</v>
      </c>
      <c r="L2" s="25" t="s">
        <v>47</v>
      </c>
      <c r="M2" s="25" t="s">
        <v>43</v>
      </c>
      <c r="N2" s="25" t="s">
        <v>44</v>
      </c>
      <c r="O2" s="25" t="s">
        <v>48</v>
      </c>
      <c r="P2" s="25" t="s">
        <v>49</v>
      </c>
      <c r="Q2" s="25" t="s">
        <v>51</v>
      </c>
      <c r="R2" s="25" t="s">
        <v>50</v>
      </c>
      <c r="S2" s="25" t="s">
        <v>41</v>
      </c>
      <c r="T2" s="25" t="s">
        <v>53</v>
      </c>
      <c r="U2" s="25" t="s">
        <v>42</v>
      </c>
    </row>
    <row r="3" customFormat="false" ht="15" hidden="false" customHeight="true" outlineLevel="0" collapsed="false">
      <c r="A3" s="8" t="s">
        <v>407</v>
      </c>
      <c r="B3" s="8" t="s">
        <v>131</v>
      </c>
      <c r="C3" s="8" t="s">
        <v>408</v>
      </c>
      <c r="D3" s="26" t="n">
        <v>0</v>
      </c>
      <c r="E3" s="26" t="n">
        <v>0</v>
      </c>
      <c r="F3" s="26" t="n">
        <v>7481.9</v>
      </c>
      <c r="G3" s="26" t="n">
        <v>0</v>
      </c>
      <c r="H3" s="26" t="n">
        <v>0</v>
      </c>
      <c r="I3" s="26" t="n">
        <v>25066.4</v>
      </c>
      <c r="J3" s="26" t="n">
        <v>0</v>
      </c>
      <c r="K3" s="26" t="n">
        <v>264.2</v>
      </c>
      <c r="L3" s="26" t="n">
        <v>0</v>
      </c>
      <c r="M3" s="26" t="n">
        <v>0</v>
      </c>
      <c r="N3" s="26" t="n">
        <v>-23.6</v>
      </c>
      <c r="O3" s="26" t="n">
        <v>0</v>
      </c>
      <c r="P3" s="26" t="n">
        <v>-172</v>
      </c>
      <c r="Q3" s="26" t="n">
        <v>22376.6</v>
      </c>
      <c r="R3" s="26" t="n">
        <v>2621.3</v>
      </c>
      <c r="S3" s="26" t="n">
        <v>0</v>
      </c>
      <c r="T3" s="26" t="n">
        <v>0</v>
      </c>
      <c r="U3" s="26" t="n">
        <v>0</v>
      </c>
    </row>
    <row r="4" customFormat="false" ht="15" hidden="false" customHeight="true" outlineLevel="0" collapsed="false">
      <c r="A4" s="8" t="s">
        <v>407</v>
      </c>
      <c r="B4" s="8" t="s">
        <v>131</v>
      </c>
      <c r="C4" s="8" t="s">
        <v>409</v>
      </c>
      <c r="D4" s="26" t="n">
        <v>0</v>
      </c>
      <c r="E4" s="26" t="n">
        <v>0</v>
      </c>
      <c r="F4" s="26" t="n">
        <v>10290.8</v>
      </c>
      <c r="G4" s="26" t="n">
        <v>0</v>
      </c>
      <c r="H4" s="26" t="n">
        <v>0</v>
      </c>
      <c r="I4" s="26" t="n">
        <v>29622.5</v>
      </c>
      <c r="J4" s="26" t="n">
        <v>0</v>
      </c>
      <c r="K4" s="26" t="n">
        <v>109.2</v>
      </c>
      <c r="L4" s="26" t="n">
        <v>0</v>
      </c>
      <c r="M4" s="26" t="n">
        <v>0</v>
      </c>
      <c r="N4" s="26" t="n">
        <v>-26</v>
      </c>
      <c r="O4" s="26" t="n">
        <v>49.1</v>
      </c>
      <c r="P4" s="26" t="n">
        <v>-302.8</v>
      </c>
      <c r="Q4" s="26" t="n">
        <v>25972.9</v>
      </c>
      <c r="R4" s="26" t="n">
        <v>3820.2</v>
      </c>
      <c r="S4" s="26" t="n">
        <v>0</v>
      </c>
      <c r="T4" s="26" t="n">
        <v>0</v>
      </c>
      <c r="U4" s="26" t="n">
        <v>0</v>
      </c>
    </row>
    <row r="5" customFormat="false" ht="15" hidden="false" customHeight="true" outlineLevel="0" collapsed="false">
      <c r="A5" s="8" t="s">
        <v>407</v>
      </c>
      <c r="B5" s="8" t="s">
        <v>235</v>
      </c>
      <c r="C5" s="8" t="s">
        <v>410</v>
      </c>
      <c r="D5" s="26" t="n">
        <v>0</v>
      </c>
      <c r="E5" s="26" t="n">
        <v>0</v>
      </c>
      <c r="F5" s="26" t="n">
        <v>2239.4</v>
      </c>
      <c r="G5" s="26" t="n">
        <v>0</v>
      </c>
      <c r="H5" s="26" t="n">
        <v>0</v>
      </c>
      <c r="I5" s="26" t="n">
        <v>843.4</v>
      </c>
      <c r="J5" s="26" t="n">
        <v>0</v>
      </c>
      <c r="K5" s="26" t="n">
        <v>57.8</v>
      </c>
      <c r="L5" s="26" t="n">
        <v>0</v>
      </c>
      <c r="M5" s="26" t="n">
        <v>0</v>
      </c>
      <c r="N5" s="26" t="n">
        <v>-8.5</v>
      </c>
      <c r="O5" s="26" t="n">
        <v>101</v>
      </c>
      <c r="P5" s="26" t="n">
        <v>-14.4</v>
      </c>
      <c r="Q5" s="26" t="n">
        <v>0</v>
      </c>
      <c r="R5" s="26" t="n">
        <v>707.6</v>
      </c>
      <c r="S5" s="26" t="n">
        <v>0</v>
      </c>
      <c r="T5" s="26" t="n">
        <v>0</v>
      </c>
      <c r="U5" s="26" t="n">
        <v>0</v>
      </c>
    </row>
    <row r="6" customFormat="false" ht="15" hidden="false" customHeight="true" outlineLevel="0" collapsed="false">
      <c r="A6" s="8" t="s">
        <v>407</v>
      </c>
      <c r="B6" s="8" t="s">
        <v>274</v>
      </c>
      <c r="C6" s="8" t="s">
        <v>411</v>
      </c>
      <c r="D6" s="26" t="n">
        <v>0</v>
      </c>
      <c r="E6" s="26" t="n">
        <v>0</v>
      </c>
      <c r="F6" s="26" t="n">
        <v>1089.5</v>
      </c>
      <c r="G6" s="26" t="n">
        <v>0</v>
      </c>
      <c r="H6" s="26" t="n">
        <v>0</v>
      </c>
      <c r="I6" s="26" t="n">
        <v>0</v>
      </c>
      <c r="J6" s="26" t="n">
        <v>0</v>
      </c>
      <c r="K6" s="26" t="n">
        <v>0</v>
      </c>
      <c r="L6" s="26" t="n">
        <v>0</v>
      </c>
      <c r="M6" s="26" t="n">
        <v>0</v>
      </c>
      <c r="N6" s="26" t="n">
        <v>0</v>
      </c>
      <c r="O6" s="26" t="n">
        <v>0</v>
      </c>
      <c r="P6" s="26" t="n">
        <v>0</v>
      </c>
      <c r="Q6" s="26" t="n">
        <v>0</v>
      </c>
      <c r="R6" s="26" t="n">
        <v>0</v>
      </c>
      <c r="S6" s="26" t="n">
        <v>0</v>
      </c>
      <c r="T6" s="26" t="n">
        <v>0</v>
      </c>
      <c r="U6" s="26" t="n">
        <v>0</v>
      </c>
    </row>
    <row r="7" customFormat="false" ht="15" hidden="false" customHeight="true" outlineLevel="0" collapsed="false">
      <c r="A7" s="8" t="s">
        <v>407</v>
      </c>
      <c r="B7" s="8" t="s">
        <v>344</v>
      </c>
      <c r="C7" s="8" t="s">
        <v>412</v>
      </c>
      <c r="D7" s="26" t="n">
        <v>0</v>
      </c>
      <c r="E7" s="26" t="n">
        <v>0</v>
      </c>
      <c r="F7" s="26" t="n">
        <v>318.7</v>
      </c>
      <c r="G7" s="26" t="n">
        <v>0</v>
      </c>
      <c r="H7" s="26" t="n">
        <v>0</v>
      </c>
      <c r="I7" s="26" t="n">
        <v>0</v>
      </c>
      <c r="J7" s="26" t="n">
        <v>0</v>
      </c>
      <c r="K7" s="26" t="n">
        <v>0</v>
      </c>
      <c r="L7" s="26" t="n">
        <v>0</v>
      </c>
      <c r="M7" s="26" t="n">
        <v>0</v>
      </c>
      <c r="N7" s="26" t="n">
        <v>0</v>
      </c>
      <c r="O7" s="26" t="n">
        <v>0</v>
      </c>
      <c r="P7" s="26" t="n">
        <v>0</v>
      </c>
      <c r="Q7" s="26" t="n">
        <v>0</v>
      </c>
      <c r="R7" s="26" t="n">
        <v>0</v>
      </c>
      <c r="S7" s="26" t="n">
        <v>0</v>
      </c>
      <c r="T7" s="26" t="n">
        <v>0</v>
      </c>
      <c r="U7" s="26" t="n">
        <v>0</v>
      </c>
    </row>
    <row r="8" customFormat="false" ht="15" hidden="false" customHeight="true" outlineLevel="0" collapsed="false">
      <c r="A8" s="8" t="s">
        <v>407</v>
      </c>
      <c r="B8" s="8" t="s">
        <v>355</v>
      </c>
      <c r="C8" s="8" t="s">
        <v>413</v>
      </c>
      <c r="D8" s="26" t="n">
        <v>0</v>
      </c>
      <c r="E8" s="26" t="n">
        <v>0</v>
      </c>
      <c r="F8" s="26" t="n">
        <v>301.4</v>
      </c>
      <c r="G8" s="26" t="n">
        <v>0</v>
      </c>
      <c r="H8" s="26" t="n">
        <v>0</v>
      </c>
      <c r="I8" s="26" t="n">
        <v>0</v>
      </c>
      <c r="J8" s="26" t="n">
        <v>0</v>
      </c>
      <c r="K8" s="26" t="n">
        <v>0</v>
      </c>
      <c r="L8" s="26" t="n">
        <v>0</v>
      </c>
      <c r="M8" s="26" t="n">
        <v>0</v>
      </c>
      <c r="N8" s="26" t="n">
        <v>0</v>
      </c>
      <c r="O8" s="26" t="n">
        <v>0</v>
      </c>
      <c r="P8" s="26" t="n">
        <v>0</v>
      </c>
      <c r="Q8" s="26" t="n">
        <v>0</v>
      </c>
      <c r="R8" s="26" t="n">
        <v>0</v>
      </c>
      <c r="S8" s="26" t="n">
        <v>0</v>
      </c>
      <c r="T8" s="26" t="n">
        <v>0</v>
      </c>
      <c r="U8" s="26" t="n">
        <v>0</v>
      </c>
    </row>
    <row r="9" customFormat="false" ht="15" hidden="false" customHeight="true" outlineLevel="0" collapsed="false">
      <c r="A9" s="8" t="s">
        <v>407</v>
      </c>
      <c r="B9" s="8" t="s">
        <v>341</v>
      </c>
      <c r="C9" s="8" t="s">
        <v>414</v>
      </c>
      <c r="D9" s="26" t="n">
        <v>0</v>
      </c>
      <c r="E9" s="26" t="n">
        <v>0</v>
      </c>
      <c r="F9" s="26" t="n">
        <v>719.1</v>
      </c>
      <c r="G9" s="26" t="n">
        <v>0</v>
      </c>
      <c r="H9" s="26" t="n">
        <v>0</v>
      </c>
      <c r="I9" s="26" t="n">
        <v>0</v>
      </c>
      <c r="J9" s="26" t="n">
        <v>0</v>
      </c>
      <c r="K9" s="26" t="n">
        <v>0</v>
      </c>
      <c r="L9" s="26" t="n">
        <v>0</v>
      </c>
      <c r="M9" s="26" t="n">
        <v>0</v>
      </c>
      <c r="N9" s="26" t="n">
        <v>0</v>
      </c>
      <c r="O9" s="26" t="n">
        <v>0</v>
      </c>
      <c r="P9" s="26" t="n">
        <v>0</v>
      </c>
      <c r="Q9" s="26" t="n">
        <v>0</v>
      </c>
      <c r="R9" s="26" t="n">
        <v>0</v>
      </c>
      <c r="S9" s="26" t="n">
        <v>0</v>
      </c>
      <c r="T9" s="26" t="n">
        <v>0</v>
      </c>
      <c r="U9" s="26" t="n">
        <v>0</v>
      </c>
    </row>
    <row r="10" customFormat="false" ht="15" hidden="false" customHeight="true" outlineLevel="0" collapsed="false">
      <c r="A10" s="8" t="s">
        <v>407</v>
      </c>
      <c r="B10" s="8" t="s">
        <v>256</v>
      </c>
      <c r="C10" s="8" t="s">
        <v>415</v>
      </c>
      <c r="D10" s="26" t="n">
        <v>0</v>
      </c>
      <c r="E10" s="26" t="n">
        <v>0</v>
      </c>
      <c r="F10" s="26" t="n">
        <v>3246.9</v>
      </c>
      <c r="G10" s="26" t="n">
        <v>0</v>
      </c>
      <c r="H10" s="26" t="n">
        <v>0</v>
      </c>
      <c r="I10" s="26" t="n">
        <v>5544.2</v>
      </c>
      <c r="J10" s="26" t="n">
        <v>0</v>
      </c>
      <c r="K10" s="26" t="n">
        <v>165.1</v>
      </c>
      <c r="L10" s="26" t="n">
        <v>0</v>
      </c>
      <c r="M10" s="26" t="n">
        <v>0</v>
      </c>
      <c r="N10" s="26" t="n">
        <v>-26</v>
      </c>
      <c r="O10" s="26" t="n">
        <v>0</v>
      </c>
      <c r="P10" s="26" t="n">
        <v>-94.3</v>
      </c>
      <c r="Q10" s="26" t="n">
        <v>4320.4</v>
      </c>
      <c r="R10" s="26" t="n">
        <v>1179</v>
      </c>
      <c r="S10" s="26" t="n">
        <v>0</v>
      </c>
      <c r="T10" s="26" t="n">
        <v>0</v>
      </c>
      <c r="U10" s="26" t="n">
        <v>0</v>
      </c>
    </row>
    <row r="11" customFormat="false" ht="15" hidden="false" customHeight="true" outlineLevel="0" collapsed="false">
      <c r="A11" s="8" t="s">
        <v>407</v>
      </c>
      <c r="B11" s="8" t="s">
        <v>167</v>
      </c>
      <c r="C11" s="8" t="s">
        <v>416</v>
      </c>
      <c r="D11" s="26" t="n">
        <v>0</v>
      </c>
      <c r="E11" s="26" t="n">
        <v>0</v>
      </c>
      <c r="F11" s="26" t="n">
        <v>5509.9</v>
      </c>
      <c r="G11" s="26" t="n">
        <v>0</v>
      </c>
      <c r="H11" s="26" t="n">
        <v>708.9</v>
      </c>
      <c r="I11" s="26" t="n">
        <v>36835</v>
      </c>
      <c r="J11" s="26" t="n">
        <v>0</v>
      </c>
      <c r="K11" s="26" t="n">
        <v>383.4</v>
      </c>
      <c r="L11" s="26" t="n">
        <v>-19.2</v>
      </c>
      <c r="M11" s="26" t="n">
        <v>58.9</v>
      </c>
      <c r="N11" s="26" t="n">
        <v>10.9</v>
      </c>
      <c r="O11" s="26" t="n">
        <v>0</v>
      </c>
      <c r="P11" s="26" t="n">
        <v>-95.9</v>
      </c>
      <c r="Q11" s="26" t="n">
        <v>33927.9</v>
      </c>
      <c r="R11" s="26" t="n">
        <v>2568.9</v>
      </c>
      <c r="S11" s="26" t="n">
        <v>0</v>
      </c>
      <c r="T11" s="26" t="n">
        <v>0</v>
      </c>
      <c r="U11" s="26" t="n">
        <v>0</v>
      </c>
    </row>
    <row r="12" customFormat="false" ht="15" hidden="false" customHeight="true" outlineLevel="0" collapsed="false">
      <c r="A12" s="8" t="s">
        <v>407</v>
      </c>
      <c r="B12" s="8" t="s">
        <v>155</v>
      </c>
      <c r="C12" s="8" t="s">
        <v>417</v>
      </c>
      <c r="D12" s="26" t="n">
        <v>0</v>
      </c>
      <c r="E12" s="26" t="n">
        <v>0</v>
      </c>
      <c r="F12" s="26" t="n">
        <v>614.1</v>
      </c>
      <c r="G12" s="26" t="n">
        <v>0</v>
      </c>
      <c r="H12" s="26" t="n">
        <v>0</v>
      </c>
      <c r="I12" s="26" t="n">
        <v>882.1</v>
      </c>
      <c r="J12" s="26" t="n">
        <v>0</v>
      </c>
      <c r="K12" s="26" t="n">
        <v>0</v>
      </c>
      <c r="L12" s="26" t="n">
        <v>0</v>
      </c>
      <c r="M12" s="26" t="n">
        <v>0</v>
      </c>
      <c r="N12" s="26" t="n">
        <v>0</v>
      </c>
      <c r="O12" s="26" t="n">
        <v>0</v>
      </c>
      <c r="P12" s="26" t="n">
        <v>-62.9</v>
      </c>
      <c r="Q12" s="26" t="n">
        <v>882.1</v>
      </c>
      <c r="R12" s="26" t="n">
        <v>62.9</v>
      </c>
      <c r="S12" s="26" t="n">
        <v>0</v>
      </c>
      <c r="T12" s="26" t="n">
        <v>0</v>
      </c>
      <c r="U12" s="26" t="n">
        <v>0</v>
      </c>
    </row>
    <row r="13" customFormat="false" ht="15" hidden="false" customHeight="true" outlineLevel="0" collapsed="false">
      <c r="A13" s="8" t="s">
        <v>407</v>
      </c>
      <c r="B13" s="8" t="s">
        <v>155</v>
      </c>
      <c r="C13" s="8" t="s">
        <v>418</v>
      </c>
      <c r="D13" s="26" t="n">
        <v>0</v>
      </c>
      <c r="E13" s="26" t="n">
        <v>0</v>
      </c>
      <c r="F13" s="26" t="n">
        <v>1277.4</v>
      </c>
      <c r="G13" s="26" t="n">
        <v>0</v>
      </c>
      <c r="H13" s="26" t="n">
        <v>0</v>
      </c>
      <c r="I13" s="26" t="n">
        <v>2619.5</v>
      </c>
      <c r="J13" s="26" t="n">
        <v>0</v>
      </c>
      <c r="K13" s="26" t="n">
        <v>0</v>
      </c>
      <c r="L13" s="26" t="n">
        <v>0</v>
      </c>
      <c r="M13" s="26" t="n">
        <v>0</v>
      </c>
      <c r="N13" s="26" t="n">
        <v>0</v>
      </c>
      <c r="O13" s="26" t="n">
        <v>0</v>
      </c>
      <c r="P13" s="26" t="n">
        <v>0</v>
      </c>
      <c r="Q13" s="26" t="n">
        <v>2179.1</v>
      </c>
      <c r="R13" s="26" t="n">
        <v>440.4</v>
      </c>
      <c r="S13" s="26" t="n">
        <v>0</v>
      </c>
      <c r="T13" s="26" t="n">
        <v>0</v>
      </c>
      <c r="U13" s="26" t="n">
        <v>0</v>
      </c>
    </row>
    <row r="14" customFormat="false" ht="15" hidden="false" customHeight="true" outlineLevel="0" collapsed="false">
      <c r="A14" s="8" t="s">
        <v>407</v>
      </c>
      <c r="B14" s="8" t="s">
        <v>155</v>
      </c>
      <c r="C14" s="8" t="s">
        <v>419</v>
      </c>
      <c r="D14" s="26" t="n">
        <v>0</v>
      </c>
      <c r="E14" s="26" t="n">
        <v>0</v>
      </c>
      <c r="F14" s="26" t="n">
        <v>2296</v>
      </c>
      <c r="G14" s="26" t="n">
        <v>0</v>
      </c>
      <c r="H14" s="26" t="n">
        <v>0</v>
      </c>
      <c r="I14" s="26" t="n">
        <v>3357.9</v>
      </c>
      <c r="J14" s="26" t="n">
        <v>0</v>
      </c>
      <c r="K14" s="26" t="n">
        <v>157.3</v>
      </c>
      <c r="L14" s="26" t="n">
        <v>0</v>
      </c>
      <c r="M14" s="26" t="n">
        <v>0</v>
      </c>
      <c r="N14" s="26" t="n">
        <v>0</v>
      </c>
      <c r="O14" s="26" t="n">
        <v>0</v>
      </c>
      <c r="P14" s="26" t="n">
        <v>-94.4</v>
      </c>
      <c r="Q14" s="26" t="n">
        <v>2791.6</v>
      </c>
      <c r="R14" s="26" t="n">
        <v>503.4</v>
      </c>
      <c r="S14" s="26" t="n">
        <v>0</v>
      </c>
      <c r="T14" s="26" t="n">
        <v>0</v>
      </c>
      <c r="U14" s="26" t="n">
        <v>0</v>
      </c>
    </row>
    <row r="15" customFormat="false" ht="15" hidden="false" customHeight="true" outlineLevel="0" collapsed="false">
      <c r="A15" s="8" t="s">
        <v>407</v>
      </c>
      <c r="B15" s="8" t="s">
        <v>335</v>
      </c>
      <c r="C15" s="8" t="s">
        <v>420</v>
      </c>
      <c r="D15" s="26" t="n">
        <v>0</v>
      </c>
      <c r="E15" s="26" t="n">
        <v>0</v>
      </c>
      <c r="F15" s="26" t="n">
        <v>51</v>
      </c>
      <c r="G15" s="26" t="n">
        <v>0</v>
      </c>
      <c r="H15" s="26" t="n">
        <v>0</v>
      </c>
      <c r="I15" s="26" t="n">
        <v>707</v>
      </c>
      <c r="J15" s="26" t="n">
        <v>0</v>
      </c>
      <c r="K15" s="26" t="n">
        <v>0</v>
      </c>
      <c r="L15" s="26" t="n">
        <v>0</v>
      </c>
      <c r="M15" s="26" t="n">
        <v>0</v>
      </c>
      <c r="N15" s="26" t="n">
        <v>0</v>
      </c>
      <c r="O15" s="26" t="n">
        <v>0</v>
      </c>
      <c r="P15" s="26" t="n">
        <v>0</v>
      </c>
      <c r="Q15" s="26" t="n">
        <v>644.1</v>
      </c>
      <c r="R15" s="26" t="n">
        <v>62.9</v>
      </c>
      <c r="S15" s="26" t="n">
        <v>0</v>
      </c>
      <c r="T15" s="26" t="n">
        <v>0</v>
      </c>
      <c r="U15" s="26" t="n">
        <v>0</v>
      </c>
    </row>
    <row r="16" customFormat="false" ht="15" hidden="false" customHeight="true" outlineLevel="0" collapsed="false">
      <c r="A16" s="8" t="s">
        <v>407</v>
      </c>
      <c r="B16" s="8" t="s">
        <v>335</v>
      </c>
      <c r="C16" s="8" t="s">
        <v>421</v>
      </c>
      <c r="D16" s="26" t="n">
        <v>0</v>
      </c>
      <c r="E16" s="26" t="n">
        <v>0</v>
      </c>
      <c r="F16" s="26" t="n">
        <v>549.5</v>
      </c>
      <c r="G16" s="26" t="n">
        <v>0</v>
      </c>
      <c r="H16" s="26" t="n">
        <v>0</v>
      </c>
      <c r="I16" s="26" t="n">
        <v>1580.4</v>
      </c>
      <c r="J16" s="26" t="n">
        <v>0</v>
      </c>
      <c r="K16" s="26" t="n">
        <v>0</v>
      </c>
      <c r="L16" s="26" t="n">
        <v>0</v>
      </c>
      <c r="M16" s="26" t="n">
        <v>0</v>
      </c>
      <c r="N16" s="26" t="n">
        <v>0</v>
      </c>
      <c r="O16" s="26" t="n">
        <v>0</v>
      </c>
      <c r="P16" s="26" t="n">
        <v>-62.9</v>
      </c>
      <c r="Q16" s="26" t="n">
        <v>1517.5</v>
      </c>
      <c r="R16" s="26" t="n">
        <v>125.8</v>
      </c>
      <c r="S16" s="26" t="n">
        <v>0</v>
      </c>
      <c r="T16" s="26" t="n">
        <v>0</v>
      </c>
      <c r="U16" s="26" t="n">
        <v>0</v>
      </c>
    </row>
    <row r="17" customFormat="false" ht="15" hidden="false" customHeight="true" outlineLevel="0" collapsed="false">
      <c r="A17" s="8" t="s">
        <v>407</v>
      </c>
      <c r="B17" s="8" t="s">
        <v>263</v>
      </c>
      <c r="C17" s="8" t="s">
        <v>422</v>
      </c>
      <c r="D17" s="26" t="n">
        <v>0</v>
      </c>
      <c r="E17" s="26" t="n">
        <v>0</v>
      </c>
      <c r="F17" s="26" t="n">
        <v>384.1</v>
      </c>
      <c r="G17" s="26" t="n">
        <v>0</v>
      </c>
      <c r="H17" s="26" t="n">
        <v>0</v>
      </c>
      <c r="I17" s="26" t="n">
        <v>1227</v>
      </c>
      <c r="J17" s="26" t="n">
        <v>0</v>
      </c>
      <c r="K17" s="26" t="n">
        <v>0</v>
      </c>
      <c r="L17" s="26" t="n">
        <v>0</v>
      </c>
      <c r="M17" s="26" t="n">
        <v>0</v>
      </c>
      <c r="N17" s="26" t="n">
        <v>0</v>
      </c>
      <c r="O17" s="26" t="n">
        <v>0</v>
      </c>
      <c r="P17" s="26" t="n">
        <v>-78.3</v>
      </c>
      <c r="Q17" s="26" t="n">
        <v>1147.9</v>
      </c>
      <c r="R17" s="26" t="n">
        <v>157.3</v>
      </c>
      <c r="S17" s="26" t="n">
        <v>0</v>
      </c>
      <c r="T17" s="26" t="n">
        <v>0</v>
      </c>
      <c r="U17" s="26" t="n">
        <v>0</v>
      </c>
    </row>
    <row r="18" customFormat="false" ht="15" hidden="false" customHeight="true" outlineLevel="0" collapsed="false">
      <c r="A18" s="8" t="s">
        <v>407</v>
      </c>
      <c r="B18" s="8" t="s">
        <v>304</v>
      </c>
      <c r="C18" s="8" t="s">
        <v>423</v>
      </c>
      <c r="D18" s="26" t="n">
        <v>0</v>
      </c>
      <c r="E18" s="26" t="n">
        <v>0</v>
      </c>
      <c r="F18" s="26" t="n">
        <v>198.9</v>
      </c>
      <c r="G18" s="26" t="n">
        <v>0</v>
      </c>
      <c r="H18" s="26" t="n">
        <v>0</v>
      </c>
      <c r="I18" s="26" t="n">
        <v>794.6</v>
      </c>
      <c r="J18" s="26" t="n">
        <v>0</v>
      </c>
      <c r="K18" s="26" t="n">
        <v>0</v>
      </c>
      <c r="L18" s="26" t="n">
        <v>0</v>
      </c>
      <c r="M18" s="26" t="n">
        <v>0</v>
      </c>
      <c r="N18" s="26" t="n">
        <v>146.1</v>
      </c>
      <c r="O18" s="26" t="n">
        <v>0</v>
      </c>
      <c r="P18" s="26" t="n">
        <v>-94.4</v>
      </c>
      <c r="Q18" s="26" t="n">
        <v>585.7</v>
      </c>
      <c r="R18" s="26" t="n">
        <v>157.3</v>
      </c>
      <c r="S18" s="26" t="n">
        <v>0</v>
      </c>
      <c r="T18" s="26" t="n">
        <v>0</v>
      </c>
      <c r="U18" s="26" t="n">
        <v>0</v>
      </c>
    </row>
    <row r="19" customFormat="false" ht="15" hidden="false" customHeight="true" outlineLevel="0" collapsed="false">
      <c r="A19" s="8" t="s">
        <v>407</v>
      </c>
      <c r="B19" s="8" t="s">
        <v>304</v>
      </c>
      <c r="C19" s="8" t="s">
        <v>424</v>
      </c>
      <c r="D19" s="26" t="n">
        <v>0</v>
      </c>
      <c r="E19" s="26" t="n">
        <v>0</v>
      </c>
      <c r="F19" s="26" t="n">
        <v>559.9</v>
      </c>
      <c r="G19" s="26" t="n">
        <v>0</v>
      </c>
      <c r="H19" s="26" t="n">
        <v>0</v>
      </c>
      <c r="I19" s="26" t="n">
        <v>1522.3</v>
      </c>
      <c r="J19" s="26" t="n">
        <v>0</v>
      </c>
      <c r="K19" s="26" t="n">
        <v>283.1</v>
      </c>
      <c r="L19" s="26" t="n">
        <v>-31.5</v>
      </c>
      <c r="M19" s="26" t="n">
        <v>0</v>
      </c>
      <c r="N19" s="26" t="n">
        <v>0</v>
      </c>
      <c r="O19" s="26" t="n">
        <v>0</v>
      </c>
      <c r="P19" s="26" t="n">
        <v>-192.1</v>
      </c>
      <c r="Q19" s="26" t="n">
        <v>1022.4</v>
      </c>
      <c r="R19" s="26" t="n">
        <v>440.4</v>
      </c>
      <c r="S19" s="26" t="n">
        <v>0</v>
      </c>
      <c r="T19" s="26" t="n">
        <v>0</v>
      </c>
      <c r="U19" s="26" t="n">
        <v>0</v>
      </c>
    </row>
    <row r="20" customFormat="false" ht="15" hidden="false" customHeight="true" outlineLevel="0" collapsed="false">
      <c r="A20" s="8" t="s">
        <v>407</v>
      </c>
      <c r="B20" s="8" t="s">
        <v>304</v>
      </c>
      <c r="C20" s="8" t="s">
        <v>425</v>
      </c>
      <c r="D20" s="26" t="n">
        <v>0</v>
      </c>
      <c r="E20" s="26" t="n">
        <v>0</v>
      </c>
      <c r="F20" s="26" t="n">
        <v>601.1</v>
      </c>
      <c r="G20" s="26" t="n">
        <v>0</v>
      </c>
      <c r="H20" s="26" t="n">
        <v>0</v>
      </c>
      <c r="I20" s="26" t="n">
        <v>992.3</v>
      </c>
      <c r="J20" s="26" t="n">
        <v>0</v>
      </c>
      <c r="K20" s="26" t="n">
        <v>0</v>
      </c>
      <c r="L20" s="26" t="n">
        <v>0</v>
      </c>
      <c r="M20" s="26" t="n">
        <v>0</v>
      </c>
      <c r="N20" s="26" t="n">
        <v>0</v>
      </c>
      <c r="O20" s="26" t="n">
        <v>0</v>
      </c>
      <c r="P20" s="26" t="n">
        <v>0</v>
      </c>
      <c r="Q20" s="26" t="n">
        <v>992.3</v>
      </c>
      <c r="R20" s="26" t="n">
        <v>0</v>
      </c>
      <c r="S20" s="26" t="n">
        <v>0</v>
      </c>
      <c r="T20" s="26" t="n">
        <v>0</v>
      </c>
      <c r="U20" s="26" t="n">
        <v>0</v>
      </c>
    </row>
    <row r="21" customFormat="false" ht="15" hidden="false" customHeight="true" outlineLevel="0" collapsed="false">
      <c r="A21" s="8" t="s">
        <v>407</v>
      </c>
      <c r="B21" s="8" t="s">
        <v>385</v>
      </c>
      <c r="C21" s="8" t="s">
        <v>426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-28.4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-28.4</v>
      </c>
      <c r="R21" s="26" t="n">
        <v>0</v>
      </c>
      <c r="S21" s="26" t="n">
        <v>0</v>
      </c>
      <c r="T21" s="26" t="n">
        <v>0</v>
      </c>
      <c r="U21" s="26" t="n">
        <v>0</v>
      </c>
    </row>
    <row r="22" customFormat="false" ht="15" hidden="false" customHeight="true" outlineLevel="0" collapsed="false">
      <c r="A22" s="8" t="s">
        <v>407</v>
      </c>
      <c r="B22" s="8" t="s">
        <v>128</v>
      </c>
      <c r="C22" s="8" t="s">
        <v>417</v>
      </c>
      <c r="D22" s="26" t="n">
        <v>0</v>
      </c>
      <c r="E22" s="26" t="n">
        <v>0</v>
      </c>
      <c r="F22" s="26" t="n">
        <v>1326.5</v>
      </c>
      <c r="G22" s="26" t="n">
        <v>0</v>
      </c>
      <c r="H22" s="26" t="n">
        <v>0</v>
      </c>
      <c r="I22" s="26" t="n">
        <v>1976.9</v>
      </c>
      <c r="J22" s="26" t="n">
        <v>0</v>
      </c>
      <c r="K22" s="26" t="n">
        <v>0</v>
      </c>
      <c r="L22" s="26" t="n">
        <v>0</v>
      </c>
      <c r="M22" s="26" t="n">
        <v>0</v>
      </c>
      <c r="N22" s="26" t="n">
        <v>262</v>
      </c>
      <c r="O22" s="26" t="n">
        <v>0</v>
      </c>
      <c r="P22" s="26" t="n">
        <v>0</v>
      </c>
      <c r="Q22" s="26" t="n">
        <v>1714.9</v>
      </c>
      <c r="R22" s="26" t="n">
        <v>0</v>
      </c>
      <c r="S22" s="26" t="n">
        <v>0</v>
      </c>
      <c r="T22" s="26" t="n">
        <v>0</v>
      </c>
      <c r="U22" s="26" t="n">
        <v>0</v>
      </c>
    </row>
    <row r="23" customFormat="false" ht="15" hidden="false" customHeight="true" outlineLevel="0" collapsed="false">
      <c r="A23" s="8" t="s">
        <v>407</v>
      </c>
      <c r="B23" s="8" t="s">
        <v>128</v>
      </c>
      <c r="C23" s="8" t="s">
        <v>427</v>
      </c>
      <c r="D23" s="26" t="n">
        <v>0</v>
      </c>
      <c r="E23" s="26" t="n">
        <v>0</v>
      </c>
      <c r="F23" s="26" t="n">
        <v>2306.8</v>
      </c>
      <c r="G23" s="26" t="n">
        <v>0</v>
      </c>
      <c r="H23" s="26" t="n">
        <v>718.2</v>
      </c>
      <c r="I23" s="26" t="n">
        <v>3893.6</v>
      </c>
      <c r="J23" s="26" t="n">
        <v>0</v>
      </c>
      <c r="K23" s="26" t="n">
        <v>144.1</v>
      </c>
      <c r="L23" s="26" t="n">
        <v>0</v>
      </c>
      <c r="M23" s="26" t="n">
        <v>0</v>
      </c>
      <c r="N23" s="26" t="n">
        <v>0</v>
      </c>
      <c r="O23" s="26" t="n">
        <v>0</v>
      </c>
      <c r="P23" s="26" t="n">
        <v>0</v>
      </c>
      <c r="Q23" s="26" t="n">
        <v>3293.1</v>
      </c>
      <c r="R23" s="26" t="n">
        <v>456.4</v>
      </c>
      <c r="S23" s="26" t="n">
        <v>96.1</v>
      </c>
      <c r="T23" s="26" t="n">
        <v>0</v>
      </c>
      <c r="U23" s="26" t="n">
        <v>0</v>
      </c>
    </row>
    <row r="24" customFormat="false" ht="15" hidden="false" customHeight="true" outlineLevel="0" collapsed="false">
      <c r="A24" s="8" t="s">
        <v>407</v>
      </c>
      <c r="B24" s="8" t="s">
        <v>128</v>
      </c>
      <c r="C24" s="8" t="s">
        <v>428</v>
      </c>
      <c r="D24" s="26" t="n">
        <v>0</v>
      </c>
      <c r="E24" s="26" t="n">
        <v>0</v>
      </c>
      <c r="F24" s="26" t="n">
        <v>3750.6</v>
      </c>
      <c r="G24" s="26" t="n">
        <v>0</v>
      </c>
      <c r="H24" s="26" t="n">
        <v>827.4</v>
      </c>
      <c r="I24" s="26" t="n">
        <v>4724.4</v>
      </c>
      <c r="J24" s="26" t="n">
        <v>0</v>
      </c>
      <c r="K24" s="26" t="n">
        <v>0</v>
      </c>
      <c r="L24" s="26" t="n">
        <v>0</v>
      </c>
      <c r="M24" s="26" t="n">
        <v>0</v>
      </c>
      <c r="N24" s="26" t="n">
        <v>0</v>
      </c>
      <c r="O24" s="26" t="n">
        <v>0</v>
      </c>
      <c r="P24" s="26" t="n">
        <v>0</v>
      </c>
      <c r="Q24" s="26" t="n">
        <v>4724.4</v>
      </c>
      <c r="R24" s="26" t="n">
        <v>0</v>
      </c>
      <c r="S24" s="26" t="n">
        <v>0</v>
      </c>
      <c r="T24" s="26" t="n">
        <v>0</v>
      </c>
      <c r="U24" s="26" t="n">
        <v>0</v>
      </c>
    </row>
    <row r="25" customFormat="false" ht="15" hidden="false" customHeight="true" outlineLevel="0" collapsed="false">
      <c r="A25" s="8" t="s">
        <v>407</v>
      </c>
      <c r="B25" s="8" t="s">
        <v>170</v>
      </c>
      <c r="C25" s="8" t="s">
        <v>429</v>
      </c>
      <c r="D25" s="26" t="n">
        <v>0</v>
      </c>
      <c r="E25" s="26" t="n">
        <v>0</v>
      </c>
      <c r="F25" s="26" t="n">
        <v>328.9</v>
      </c>
      <c r="G25" s="26" t="n">
        <v>0</v>
      </c>
      <c r="H25" s="26" t="n">
        <v>97.3</v>
      </c>
      <c r="I25" s="26" t="n">
        <v>939.9</v>
      </c>
      <c r="J25" s="26" t="n">
        <v>0</v>
      </c>
      <c r="K25" s="26" t="n">
        <v>0</v>
      </c>
      <c r="L25" s="26" t="n">
        <v>0</v>
      </c>
      <c r="M25" s="26" t="n">
        <v>0</v>
      </c>
      <c r="N25" s="26" t="n">
        <v>0</v>
      </c>
      <c r="O25" s="26" t="n">
        <v>0</v>
      </c>
      <c r="P25" s="26" t="n">
        <v>0</v>
      </c>
      <c r="Q25" s="26" t="n">
        <v>939.9</v>
      </c>
      <c r="R25" s="26" t="n">
        <v>0</v>
      </c>
      <c r="S25" s="26" t="n">
        <v>0</v>
      </c>
      <c r="T25" s="26" t="n">
        <v>0</v>
      </c>
      <c r="U25" s="26" t="n">
        <v>0</v>
      </c>
    </row>
    <row r="26" customFormat="false" ht="15" hidden="false" customHeight="true" outlineLevel="0" collapsed="false">
      <c r="A26" s="8" t="s">
        <v>407</v>
      </c>
      <c r="B26" s="8" t="s">
        <v>170</v>
      </c>
      <c r="C26" s="8" t="s">
        <v>430</v>
      </c>
      <c r="D26" s="26" t="n">
        <v>0</v>
      </c>
      <c r="E26" s="26" t="n">
        <v>0</v>
      </c>
      <c r="F26" s="26" t="n">
        <v>689.3</v>
      </c>
      <c r="G26" s="26" t="n">
        <v>0</v>
      </c>
      <c r="H26" s="26" t="n">
        <v>91.2</v>
      </c>
      <c r="I26" s="26" t="n">
        <v>1262.2</v>
      </c>
      <c r="J26" s="26" t="n">
        <v>0</v>
      </c>
      <c r="K26" s="26" t="n">
        <v>0</v>
      </c>
      <c r="L26" s="26" t="n">
        <v>0</v>
      </c>
      <c r="M26" s="26" t="n">
        <v>0</v>
      </c>
      <c r="N26" s="26" t="n">
        <v>0</v>
      </c>
      <c r="O26" s="26" t="n">
        <v>0</v>
      </c>
      <c r="P26" s="26" t="n">
        <v>0</v>
      </c>
      <c r="Q26" s="26" t="n">
        <v>1262.2</v>
      </c>
      <c r="R26" s="26" t="n">
        <v>0</v>
      </c>
      <c r="S26" s="26" t="n">
        <v>0</v>
      </c>
      <c r="T26" s="26" t="n">
        <v>0</v>
      </c>
      <c r="U26" s="26" t="n">
        <v>0</v>
      </c>
    </row>
    <row r="27" customFormat="false" ht="15" hidden="false" customHeight="true" outlineLevel="0" collapsed="false">
      <c r="A27" s="8" t="s">
        <v>407</v>
      </c>
      <c r="B27" s="8" t="s">
        <v>170</v>
      </c>
      <c r="C27" s="8" t="s">
        <v>431</v>
      </c>
      <c r="D27" s="26" t="n">
        <v>0</v>
      </c>
      <c r="E27" s="26" t="n">
        <v>0</v>
      </c>
      <c r="F27" s="26" t="n">
        <v>622.5</v>
      </c>
      <c r="G27" s="26" t="n">
        <v>0</v>
      </c>
      <c r="H27" s="26" t="n">
        <v>318.3</v>
      </c>
      <c r="I27" s="26" t="n">
        <v>1393.7</v>
      </c>
      <c r="J27" s="26" t="n">
        <v>0</v>
      </c>
      <c r="K27" s="26" t="n">
        <v>0</v>
      </c>
      <c r="L27" s="26" t="n">
        <v>0</v>
      </c>
      <c r="M27" s="26" t="n">
        <v>0</v>
      </c>
      <c r="N27" s="26" t="n">
        <v>0</v>
      </c>
      <c r="O27" s="26" t="n">
        <v>0</v>
      </c>
      <c r="P27" s="26" t="n">
        <v>0</v>
      </c>
      <c r="Q27" s="26" t="n">
        <v>1297.6</v>
      </c>
      <c r="R27" s="26" t="n">
        <v>96.1</v>
      </c>
      <c r="S27" s="26" t="n">
        <v>0</v>
      </c>
      <c r="T27" s="26" t="n">
        <v>0</v>
      </c>
      <c r="U27" s="26" t="n">
        <v>0</v>
      </c>
    </row>
    <row r="28" customFormat="false" ht="15" hidden="false" customHeight="true" outlineLevel="0" collapsed="false">
      <c r="A28" s="8" t="s">
        <v>407</v>
      </c>
      <c r="B28" s="8" t="s">
        <v>191</v>
      </c>
      <c r="C28" s="8" t="s">
        <v>432</v>
      </c>
      <c r="D28" s="26" t="n">
        <v>0</v>
      </c>
      <c r="E28" s="26" t="n">
        <v>0</v>
      </c>
      <c r="F28" s="26" t="n">
        <v>843.2</v>
      </c>
      <c r="G28" s="26" t="n">
        <v>0</v>
      </c>
      <c r="H28" s="26" t="n">
        <v>0</v>
      </c>
      <c r="I28" s="26" t="n">
        <v>657.2</v>
      </c>
      <c r="J28" s="26" t="n">
        <v>0</v>
      </c>
      <c r="K28" s="26" t="n">
        <v>120.1</v>
      </c>
      <c r="L28" s="26" t="n">
        <v>0</v>
      </c>
      <c r="M28" s="26" t="n">
        <v>0</v>
      </c>
      <c r="N28" s="26" t="n">
        <v>0</v>
      </c>
      <c r="O28" s="26" t="n">
        <v>0</v>
      </c>
      <c r="P28" s="26" t="n">
        <v>-72.1</v>
      </c>
      <c r="Q28" s="26" t="n">
        <v>561.1</v>
      </c>
      <c r="R28" s="26" t="n">
        <v>48</v>
      </c>
      <c r="S28" s="26" t="n">
        <v>0</v>
      </c>
      <c r="T28" s="26" t="n">
        <v>0</v>
      </c>
      <c r="U28" s="26" t="n">
        <v>0</v>
      </c>
    </row>
    <row r="29" customFormat="false" ht="15" hidden="false" customHeight="true" outlineLevel="0" collapsed="false">
      <c r="A29" s="8" t="s">
        <v>407</v>
      </c>
      <c r="B29" s="8" t="s">
        <v>191</v>
      </c>
      <c r="C29" s="8" t="s">
        <v>433</v>
      </c>
      <c r="D29" s="26" t="n">
        <v>0</v>
      </c>
      <c r="E29" s="26" t="n">
        <v>0</v>
      </c>
      <c r="F29" s="26" t="n">
        <v>1538.3</v>
      </c>
      <c r="G29" s="26" t="n">
        <v>0</v>
      </c>
      <c r="H29" s="26" t="n">
        <v>22.3</v>
      </c>
      <c r="I29" s="26" t="n">
        <v>1961.1</v>
      </c>
      <c r="J29" s="26" t="n">
        <v>0</v>
      </c>
      <c r="K29" s="26" t="n">
        <v>120.1</v>
      </c>
      <c r="L29" s="26" t="n">
        <v>-24</v>
      </c>
      <c r="M29" s="26" t="n">
        <v>0</v>
      </c>
      <c r="N29" s="26" t="n">
        <v>0</v>
      </c>
      <c r="O29" s="26" t="n">
        <v>0</v>
      </c>
      <c r="P29" s="26" t="n">
        <v>-61.5</v>
      </c>
      <c r="Q29" s="26" t="n">
        <v>1734.3</v>
      </c>
      <c r="R29" s="26" t="n">
        <v>192.2</v>
      </c>
      <c r="S29" s="26" t="n">
        <v>96.1</v>
      </c>
      <c r="T29" s="26" t="n">
        <v>0</v>
      </c>
      <c r="U29" s="26" t="n">
        <v>0</v>
      </c>
    </row>
    <row r="30" customFormat="false" ht="15" hidden="false" customHeight="true" outlineLevel="0" collapsed="false">
      <c r="A30" s="8" t="s">
        <v>407</v>
      </c>
      <c r="B30" s="8" t="s">
        <v>191</v>
      </c>
      <c r="C30" s="8" t="s">
        <v>434</v>
      </c>
      <c r="D30" s="26" t="n">
        <v>0</v>
      </c>
      <c r="E30" s="26" t="n">
        <v>0</v>
      </c>
      <c r="F30" s="26" t="n">
        <v>1227</v>
      </c>
      <c r="G30" s="26" t="n">
        <v>0</v>
      </c>
      <c r="H30" s="26" t="n">
        <v>689.4</v>
      </c>
      <c r="I30" s="26" t="n">
        <v>2041.3</v>
      </c>
      <c r="J30" s="26" t="n">
        <v>0</v>
      </c>
      <c r="K30" s="26" t="n">
        <v>0</v>
      </c>
      <c r="L30" s="26" t="n">
        <v>0</v>
      </c>
      <c r="M30" s="26" t="n">
        <v>0</v>
      </c>
      <c r="N30" s="26" t="n">
        <v>0</v>
      </c>
      <c r="O30" s="26" t="n">
        <v>0</v>
      </c>
      <c r="P30" s="26" t="n">
        <v>-61.5</v>
      </c>
      <c r="Q30" s="26" t="n">
        <v>1886.6</v>
      </c>
      <c r="R30" s="26" t="n">
        <v>216.2</v>
      </c>
      <c r="S30" s="26" t="n">
        <v>0</v>
      </c>
      <c r="T30" s="26" t="n">
        <v>0</v>
      </c>
      <c r="U30" s="26" t="n">
        <v>0</v>
      </c>
    </row>
    <row r="31" customFormat="false" ht="15" hidden="false" customHeight="true" outlineLevel="0" collapsed="false">
      <c r="A31" s="8" t="s">
        <v>407</v>
      </c>
      <c r="B31" s="8" t="s">
        <v>307</v>
      </c>
      <c r="C31" s="8" t="s">
        <v>435</v>
      </c>
      <c r="D31" s="26" t="n">
        <v>0</v>
      </c>
      <c r="E31" s="26" t="n">
        <v>0</v>
      </c>
      <c r="F31" s="26" t="n">
        <v>-136.8</v>
      </c>
      <c r="G31" s="26" t="n">
        <v>0</v>
      </c>
      <c r="H31" s="26" t="n">
        <v>0</v>
      </c>
      <c r="I31" s="26" t="n">
        <v>29</v>
      </c>
      <c r="J31" s="26" t="n">
        <v>0</v>
      </c>
      <c r="K31" s="26" t="n">
        <v>0</v>
      </c>
      <c r="L31" s="26" t="n">
        <v>0</v>
      </c>
      <c r="M31" s="26" t="n">
        <v>0</v>
      </c>
      <c r="N31" s="26" t="n">
        <v>0</v>
      </c>
      <c r="O31" s="26" t="n">
        <v>0</v>
      </c>
      <c r="P31" s="26" t="n">
        <v>-50.8</v>
      </c>
      <c r="Q31" s="26" t="n">
        <v>-47.1</v>
      </c>
      <c r="R31" s="26" t="n">
        <v>126.9</v>
      </c>
      <c r="S31" s="26" t="n">
        <v>0</v>
      </c>
      <c r="T31" s="26" t="n">
        <v>0</v>
      </c>
      <c r="U31" s="26" t="n">
        <v>-36.5</v>
      </c>
    </row>
    <row r="32" customFormat="false" ht="15" hidden="false" customHeight="true" outlineLevel="0" collapsed="false">
      <c r="A32" s="8" t="s">
        <v>407</v>
      </c>
      <c r="B32" s="8" t="s">
        <v>367</v>
      </c>
      <c r="C32" s="8" t="s">
        <v>436</v>
      </c>
      <c r="D32" s="26" t="n">
        <v>0</v>
      </c>
      <c r="E32" s="26" t="n">
        <v>0</v>
      </c>
      <c r="F32" s="26" t="n">
        <v>0</v>
      </c>
      <c r="G32" s="26" t="n">
        <v>0</v>
      </c>
      <c r="H32" s="26" t="n">
        <v>0</v>
      </c>
      <c r="I32" s="26" t="n">
        <v>-158.8</v>
      </c>
      <c r="J32" s="26" t="n">
        <v>0</v>
      </c>
      <c r="K32" s="26" t="n">
        <v>0</v>
      </c>
      <c r="L32" s="26" t="n">
        <v>0</v>
      </c>
      <c r="M32" s="26" t="n">
        <v>0</v>
      </c>
      <c r="N32" s="26" t="n">
        <v>0</v>
      </c>
      <c r="O32" s="26" t="n">
        <v>0</v>
      </c>
      <c r="P32" s="26" t="n">
        <v>-158.8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</row>
    <row r="33" customFormat="false" ht="15" hidden="false" customHeight="true" outlineLevel="0" collapsed="false">
      <c r="A33" s="8" t="s">
        <v>407</v>
      </c>
      <c r="B33" s="8" t="s">
        <v>367</v>
      </c>
      <c r="C33" s="8" t="s">
        <v>437</v>
      </c>
      <c r="D33" s="26" t="n">
        <v>0</v>
      </c>
      <c r="E33" s="26" t="n">
        <v>0</v>
      </c>
      <c r="F33" s="26" t="n">
        <v>-170.1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0</v>
      </c>
      <c r="L33" s="26" t="n">
        <v>0</v>
      </c>
      <c r="M33" s="26" t="n">
        <v>0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</row>
    <row r="34" customFormat="false" ht="15" hidden="false" customHeight="true" outlineLevel="0" collapsed="false">
      <c r="A34" s="8" t="s">
        <v>407</v>
      </c>
      <c r="B34" s="8" t="s">
        <v>367</v>
      </c>
      <c r="C34" s="8" t="s">
        <v>438</v>
      </c>
      <c r="D34" s="26" t="n">
        <v>0</v>
      </c>
      <c r="E34" s="26" t="n">
        <v>0</v>
      </c>
      <c r="F34" s="26" t="n">
        <v>170.1</v>
      </c>
      <c r="G34" s="26" t="n">
        <v>0</v>
      </c>
      <c r="H34" s="26" t="n">
        <v>0</v>
      </c>
      <c r="I34" s="26" t="n">
        <v>0</v>
      </c>
      <c r="J34" s="26" t="n">
        <v>0</v>
      </c>
      <c r="K34" s="26" t="n">
        <v>0</v>
      </c>
      <c r="L34" s="26" t="n">
        <v>0</v>
      </c>
      <c r="M34" s="26" t="n">
        <v>0</v>
      </c>
      <c r="N34" s="26" t="n">
        <v>0</v>
      </c>
      <c r="O34" s="26" t="n">
        <v>0</v>
      </c>
      <c r="P34" s="26" t="n">
        <v>0</v>
      </c>
      <c r="Q34" s="26" t="n">
        <v>0</v>
      </c>
      <c r="R34" s="26" t="n">
        <v>0</v>
      </c>
      <c r="S34" s="26" t="n">
        <v>0</v>
      </c>
      <c r="T34" s="26" t="n">
        <v>0</v>
      </c>
      <c r="U34" s="26" t="n">
        <v>0</v>
      </c>
    </row>
    <row r="35" customFormat="false" ht="15" hidden="false" customHeight="true" outlineLevel="0" collapsed="false">
      <c r="A35" s="8" t="s">
        <v>407</v>
      </c>
      <c r="B35" s="8" t="s">
        <v>367</v>
      </c>
      <c r="C35" s="8" t="s">
        <v>439</v>
      </c>
      <c r="D35" s="26" t="n">
        <v>0</v>
      </c>
      <c r="E35" s="26" t="n">
        <v>0</v>
      </c>
      <c r="F35" s="26" t="n">
        <v>0</v>
      </c>
      <c r="G35" s="26" t="n">
        <v>0</v>
      </c>
      <c r="H35" s="26" t="n">
        <v>0</v>
      </c>
      <c r="I35" s="26" t="n">
        <v>-147.4</v>
      </c>
      <c r="J35" s="26" t="n">
        <v>0</v>
      </c>
      <c r="K35" s="26" t="n">
        <v>0</v>
      </c>
      <c r="L35" s="26" t="n">
        <v>0</v>
      </c>
      <c r="M35" s="26" t="n">
        <v>0</v>
      </c>
      <c r="N35" s="26" t="n">
        <v>0</v>
      </c>
      <c r="O35" s="26" t="n">
        <v>0</v>
      </c>
      <c r="P35" s="26" t="n">
        <v>0</v>
      </c>
      <c r="Q35" s="26" t="n">
        <v>-147.4</v>
      </c>
      <c r="R35" s="26" t="n">
        <v>0</v>
      </c>
      <c r="S35" s="26" t="n">
        <v>0</v>
      </c>
      <c r="T35" s="26" t="n">
        <v>0</v>
      </c>
      <c r="U35" s="26" t="n">
        <v>0</v>
      </c>
    </row>
    <row r="36" customFormat="false" ht="15" hidden="false" customHeight="true" outlineLevel="0" collapsed="false">
      <c r="A36" s="8" t="s">
        <v>407</v>
      </c>
      <c r="B36" s="8" t="s">
        <v>184</v>
      </c>
      <c r="C36" s="8" t="s">
        <v>440</v>
      </c>
      <c r="D36" s="26" t="n">
        <v>0</v>
      </c>
      <c r="E36" s="26" t="n">
        <v>0</v>
      </c>
      <c r="F36" s="26" t="n">
        <v>405.8</v>
      </c>
      <c r="G36" s="26" t="n">
        <v>0</v>
      </c>
      <c r="H36" s="26" t="n">
        <v>0</v>
      </c>
      <c r="I36" s="26" t="n">
        <v>798.1</v>
      </c>
      <c r="J36" s="26" t="n">
        <v>0</v>
      </c>
      <c r="K36" s="26" t="n">
        <v>198.5</v>
      </c>
      <c r="L36" s="26" t="n">
        <v>0</v>
      </c>
      <c r="M36" s="26" t="n">
        <v>0</v>
      </c>
      <c r="N36" s="26" t="n">
        <v>0</v>
      </c>
      <c r="O36" s="26" t="n">
        <v>0</v>
      </c>
      <c r="P36" s="26" t="n">
        <v>-694.6</v>
      </c>
      <c r="Q36" s="26" t="n">
        <v>202.7</v>
      </c>
      <c r="R36" s="26" t="n">
        <v>1091.5</v>
      </c>
      <c r="S36" s="26" t="n">
        <v>0</v>
      </c>
      <c r="T36" s="26" t="n">
        <v>0</v>
      </c>
      <c r="U36" s="26" t="n">
        <v>-144.9</v>
      </c>
    </row>
    <row r="37" customFormat="false" ht="15" hidden="false" customHeight="true" outlineLevel="0" collapsed="false">
      <c r="A37" s="8" t="s">
        <v>407</v>
      </c>
      <c r="B37" s="8" t="s">
        <v>184</v>
      </c>
      <c r="C37" s="8" t="s">
        <v>441</v>
      </c>
      <c r="D37" s="26" t="n">
        <v>0</v>
      </c>
      <c r="E37" s="26" t="n">
        <v>0</v>
      </c>
      <c r="F37" s="26" t="n">
        <v>195.7</v>
      </c>
      <c r="G37" s="26" t="n">
        <v>0</v>
      </c>
      <c r="H37" s="26" t="n">
        <v>0</v>
      </c>
      <c r="I37" s="26" t="n">
        <v>-563.1</v>
      </c>
      <c r="J37" s="26" t="n">
        <v>0</v>
      </c>
      <c r="K37" s="26" t="n">
        <v>0</v>
      </c>
      <c r="L37" s="26" t="n">
        <v>0</v>
      </c>
      <c r="M37" s="26" t="n">
        <v>0</v>
      </c>
      <c r="N37" s="26" t="n">
        <v>0</v>
      </c>
      <c r="O37" s="26" t="n">
        <v>0</v>
      </c>
      <c r="P37" s="26" t="n">
        <v>-1091.5</v>
      </c>
      <c r="Q37" s="26" t="n">
        <v>-265.4</v>
      </c>
      <c r="R37" s="26" t="n">
        <v>793.8</v>
      </c>
      <c r="S37" s="26" t="n">
        <v>0</v>
      </c>
      <c r="T37" s="26" t="n">
        <v>0</v>
      </c>
      <c r="U37" s="26" t="n">
        <v>0</v>
      </c>
    </row>
    <row r="38" customFormat="false" ht="15" hidden="false" customHeight="true" outlineLevel="0" collapsed="false">
      <c r="A38" s="8" t="s">
        <v>407</v>
      </c>
      <c r="B38" s="8" t="s">
        <v>184</v>
      </c>
      <c r="C38" s="8" t="s">
        <v>442</v>
      </c>
      <c r="D38" s="26" t="n">
        <v>0</v>
      </c>
      <c r="E38" s="26" t="n">
        <v>0</v>
      </c>
      <c r="F38" s="26" t="n">
        <v>413</v>
      </c>
      <c r="G38" s="26" t="n">
        <v>0</v>
      </c>
      <c r="H38" s="26" t="n">
        <v>0</v>
      </c>
      <c r="I38" s="26" t="n">
        <v>47.4</v>
      </c>
      <c r="J38" s="26" t="n">
        <v>0</v>
      </c>
      <c r="K38" s="26" t="n">
        <v>0</v>
      </c>
      <c r="L38" s="26" t="n">
        <v>0</v>
      </c>
      <c r="M38" s="26" t="n">
        <v>0</v>
      </c>
      <c r="N38" s="26" t="n">
        <v>0</v>
      </c>
      <c r="O38" s="26" t="n">
        <v>0</v>
      </c>
      <c r="P38" s="26" t="n">
        <v>-496.2</v>
      </c>
      <c r="Q38" s="26" t="n">
        <v>-151.1</v>
      </c>
      <c r="R38" s="26" t="n">
        <v>694.6</v>
      </c>
      <c r="S38" s="26" t="n">
        <v>0</v>
      </c>
      <c r="T38" s="26" t="n">
        <v>0</v>
      </c>
      <c r="U38" s="26" t="n">
        <v>-144.9</v>
      </c>
    </row>
    <row r="39" customFormat="false" ht="15" hidden="false" customHeight="true" outlineLevel="0" collapsed="false">
      <c r="A39" s="8" t="s">
        <v>407</v>
      </c>
      <c r="B39" s="8" t="s">
        <v>184</v>
      </c>
      <c r="C39" s="8" t="s">
        <v>443</v>
      </c>
      <c r="D39" s="26" t="n">
        <v>0</v>
      </c>
      <c r="E39" s="26" t="n">
        <v>0</v>
      </c>
      <c r="F39" s="26" t="n">
        <v>611.5</v>
      </c>
      <c r="G39" s="26" t="n">
        <v>0</v>
      </c>
      <c r="H39" s="26" t="n">
        <v>0</v>
      </c>
      <c r="I39" s="26" t="n">
        <v>-597.5</v>
      </c>
      <c r="J39" s="26" t="n">
        <v>0</v>
      </c>
      <c r="K39" s="26" t="n">
        <v>0</v>
      </c>
      <c r="L39" s="26" t="n">
        <v>0</v>
      </c>
      <c r="M39" s="26" t="n">
        <v>0</v>
      </c>
      <c r="N39" s="26" t="n">
        <v>108.7</v>
      </c>
      <c r="O39" s="26" t="n">
        <v>0</v>
      </c>
      <c r="P39" s="26" t="n">
        <v>-793.8</v>
      </c>
      <c r="Q39" s="26" t="n">
        <v>-507.7</v>
      </c>
      <c r="R39" s="26" t="n">
        <v>595.4</v>
      </c>
      <c r="S39" s="26" t="n">
        <v>0</v>
      </c>
      <c r="T39" s="26" t="n">
        <v>0</v>
      </c>
      <c r="U39" s="26" t="n">
        <v>0</v>
      </c>
    </row>
    <row r="40" customFormat="false" ht="15" hidden="false" customHeight="true" outlineLevel="0" collapsed="false">
      <c r="A40" s="8" t="s">
        <v>407</v>
      </c>
      <c r="B40" s="8" t="s">
        <v>184</v>
      </c>
      <c r="C40" s="8" t="s">
        <v>444</v>
      </c>
      <c r="D40" s="26" t="n">
        <v>0</v>
      </c>
      <c r="E40" s="26" t="n">
        <v>0</v>
      </c>
      <c r="F40" s="26" t="n">
        <v>615.9</v>
      </c>
      <c r="G40" s="26" t="n">
        <v>0</v>
      </c>
      <c r="H40" s="26" t="n">
        <v>0</v>
      </c>
      <c r="I40" s="26" t="n">
        <v>276.4</v>
      </c>
      <c r="J40" s="26" t="n">
        <v>0</v>
      </c>
      <c r="K40" s="26" t="n">
        <v>0</v>
      </c>
      <c r="L40" s="26" t="n">
        <v>0</v>
      </c>
      <c r="M40" s="26" t="n">
        <v>0</v>
      </c>
      <c r="N40" s="26" t="n">
        <v>0</v>
      </c>
      <c r="O40" s="26" t="n">
        <v>0</v>
      </c>
      <c r="P40" s="26" t="n">
        <v>-496.2</v>
      </c>
      <c r="Q40" s="26" t="n">
        <v>276.4</v>
      </c>
      <c r="R40" s="26" t="n">
        <v>496.2</v>
      </c>
      <c r="S40" s="26" t="n">
        <v>0</v>
      </c>
      <c r="T40" s="26" t="n">
        <v>0</v>
      </c>
      <c r="U40" s="26" t="n">
        <v>-144.9</v>
      </c>
    </row>
    <row r="41" customFormat="false" ht="15" hidden="false" customHeight="true" outlineLevel="0" collapsed="false">
      <c r="A41" s="8" t="s">
        <v>407</v>
      </c>
      <c r="B41" s="8" t="s">
        <v>153</v>
      </c>
      <c r="C41" s="8" t="s">
        <v>445</v>
      </c>
      <c r="D41" s="26" t="n">
        <v>0</v>
      </c>
      <c r="E41" s="26" t="n">
        <v>0</v>
      </c>
      <c r="F41" s="26" t="n">
        <v>262.4</v>
      </c>
      <c r="G41" s="26" t="n">
        <v>0</v>
      </c>
      <c r="H41" s="26" t="n">
        <v>0</v>
      </c>
      <c r="I41" s="26" t="n">
        <v>0</v>
      </c>
      <c r="J41" s="26" t="n">
        <v>0</v>
      </c>
      <c r="K41" s="26" t="n">
        <v>0</v>
      </c>
      <c r="L41" s="26" t="n">
        <v>0</v>
      </c>
      <c r="M41" s="26" t="n">
        <v>0</v>
      </c>
      <c r="N41" s="26" t="n">
        <v>0</v>
      </c>
      <c r="O41" s="26" t="n">
        <v>0</v>
      </c>
      <c r="P41" s="26" t="n">
        <v>0</v>
      </c>
      <c r="Q41" s="26" t="n">
        <v>0</v>
      </c>
      <c r="R41" s="26" t="n">
        <v>0</v>
      </c>
      <c r="S41" s="26" t="n">
        <v>0</v>
      </c>
      <c r="T41" s="26" t="n">
        <v>0</v>
      </c>
      <c r="U41" s="26" t="n">
        <v>0</v>
      </c>
    </row>
    <row r="42" customFormat="false" ht="15" hidden="false" customHeight="true" outlineLevel="0" collapsed="false">
      <c r="A42" s="8" t="s">
        <v>407</v>
      </c>
      <c r="B42" s="8" t="s">
        <v>153</v>
      </c>
      <c r="C42" s="8" t="s">
        <v>446</v>
      </c>
      <c r="D42" s="26" t="n">
        <v>0</v>
      </c>
      <c r="E42" s="26" t="n">
        <v>0</v>
      </c>
      <c r="F42" s="26" t="n">
        <v>975.1</v>
      </c>
      <c r="G42" s="26" t="n">
        <v>0</v>
      </c>
      <c r="H42" s="26" t="n">
        <v>0</v>
      </c>
      <c r="I42" s="26" t="n">
        <v>244.2</v>
      </c>
      <c r="J42" s="26" t="n">
        <v>0</v>
      </c>
      <c r="K42" s="26" t="n">
        <v>0</v>
      </c>
      <c r="L42" s="26" t="n">
        <v>0</v>
      </c>
      <c r="M42" s="26" t="n">
        <v>0</v>
      </c>
      <c r="N42" s="26" t="n">
        <v>0</v>
      </c>
      <c r="O42" s="26" t="n">
        <v>0</v>
      </c>
      <c r="P42" s="26" t="n">
        <v>-244.2</v>
      </c>
      <c r="Q42" s="26" t="n">
        <v>0</v>
      </c>
      <c r="R42" s="26" t="n">
        <v>488.4</v>
      </c>
      <c r="S42" s="26" t="n">
        <v>0</v>
      </c>
      <c r="T42" s="26" t="n">
        <v>0</v>
      </c>
      <c r="U42" s="26" t="n">
        <v>0</v>
      </c>
    </row>
    <row r="43" customFormat="false" ht="15" hidden="false" customHeight="true" outlineLevel="0" collapsed="false">
      <c r="A43" s="8" t="s">
        <v>407</v>
      </c>
      <c r="B43" s="8" t="s">
        <v>153</v>
      </c>
      <c r="C43" s="8" t="s">
        <v>447</v>
      </c>
      <c r="D43" s="26" t="n">
        <v>0</v>
      </c>
      <c r="E43" s="26" t="n">
        <v>0</v>
      </c>
      <c r="F43" s="26" t="n">
        <v>2.5</v>
      </c>
      <c r="G43" s="26" t="n">
        <v>0</v>
      </c>
      <c r="H43" s="26" t="n">
        <v>0</v>
      </c>
      <c r="I43" s="26" t="n">
        <v>488.4</v>
      </c>
      <c r="J43" s="26" t="n">
        <v>0</v>
      </c>
      <c r="K43" s="26" t="n">
        <v>0</v>
      </c>
      <c r="L43" s="26" t="n">
        <v>0</v>
      </c>
      <c r="M43" s="26" t="n">
        <v>0</v>
      </c>
      <c r="N43" s="26" t="n">
        <v>0</v>
      </c>
      <c r="O43" s="26" t="n">
        <v>0</v>
      </c>
      <c r="P43" s="26" t="n">
        <v>0</v>
      </c>
      <c r="Q43" s="26" t="n">
        <v>0</v>
      </c>
      <c r="R43" s="26" t="n">
        <v>488.4</v>
      </c>
      <c r="S43" s="26" t="n">
        <v>0</v>
      </c>
      <c r="T43" s="26" t="n">
        <v>0</v>
      </c>
      <c r="U43" s="26" t="n">
        <v>0</v>
      </c>
    </row>
    <row r="44" customFormat="false" ht="15" hidden="false" customHeight="true" outlineLevel="0" collapsed="false">
      <c r="A44" s="8" t="s">
        <v>407</v>
      </c>
      <c r="B44" s="8" t="s">
        <v>153</v>
      </c>
      <c r="C44" s="8" t="s">
        <v>448</v>
      </c>
      <c r="D44" s="26" t="n">
        <v>0</v>
      </c>
      <c r="E44" s="26" t="n">
        <v>0</v>
      </c>
      <c r="F44" s="26" t="n">
        <v>975.1</v>
      </c>
      <c r="G44" s="26" t="n">
        <v>0</v>
      </c>
      <c r="H44" s="26" t="n">
        <v>0</v>
      </c>
      <c r="I44" s="26" t="n">
        <v>-215.4</v>
      </c>
      <c r="J44" s="26" t="n">
        <v>0</v>
      </c>
      <c r="K44" s="26" t="n">
        <v>0</v>
      </c>
      <c r="L44" s="26" t="n">
        <v>0</v>
      </c>
      <c r="M44" s="26" t="n">
        <v>0</v>
      </c>
      <c r="N44" s="26" t="n">
        <v>0</v>
      </c>
      <c r="O44" s="26" t="n">
        <v>0</v>
      </c>
      <c r="P44" s="26" t="n">
        <v>0</v>
      </c>
      <c r="Q44" s="26" t="n">
        <v>-215.4</v>
      </c>
      <c r="R44" s="26" t="n">
        <v>0</v>
      </c>
      <c r="S44" s="26" t="n">
        <v>0</v>
      </c>
      <c r="T44" s="26" t="n">
        <v>0</v>
      </c>
      <c r="U44" s="26" t="n">
        <v>0</v>
      </c>
    </row>
    <row r="45" customFormat="false" ht="15" hidden="false" customHeight="true" outlineLevel="0" collapsed="false">
      <c r="A45" s="8" t="s">
        <v>407</v>
      </c>
      <c r="B45" s="8" t="s">
        <v>153</v>
      </c>
      <c r="C45" s="8" t="s">
        <v>449</v>
      </c>
      <c r="D45" s="26" t="n">
        <v>0</v>
      </c>
      <c r="E45" s="26" t="n">
        <v>0</v>
      </c>
      <c r="F45" s="26" t="n">
        <v>19.8</v>
      </c>
      <c r="G45" s="26" t="n">
        <v>0</v>
      </c>
      <c r="H45" s="26" t="n">
        <v>0</v>
      </c>
      <c r="I45" s="26" t="n">
        <v>0</v>
      </c>
      <c r="J45" s="26" t="n">
        <v>0</v>
      </c>
      <c r="K45" s="26" t="n">
        <v>0</v>
      </c>
      <c r="L45" s="26" t="n">
        <v>0</v>
      </c>
      <c r="M45" s="26" t="n">
        <v>0</v>
      </c>
      <c r="N45" s="26" t="n">
        <v>0</v>
      </c>
      <c r="O45" s="26" t="n">
        <v>0</v>
      </c>
      <c r="P45" s="26" t="n">
        <v>0</v>
      </c>
      <c r="Q45" s="26" t="n">
        <v>0</v>
      </c>
      <c r="R45" s="26" t="n">
        <v>0</v>
      </c>
      <c r="S45" s="26" t="n">
        <v>0</v>
      </c>
      <c r="T45" s="26" t="n">
        <v>0</v>
      </c>
      <c r="U45" s="26" t="n">
        <v>0</v>
      </c>
    </row>
    <row r="46" customFormat="false" ht="15" hidden="false" customHeight="true" outlineLevel="0" collapsed="false">
      <c r="A46" s="8" t="s">
        <v>407</v>
      </c>
      <c r="B46" s="8" t="s">
        <v>289</v>
      </c>
      <c r="C46" s="8" t="s">
        <v>450</v>
      </c>
      <c r="D46" s="26" t="n">
        <v>0</v>
      </c>
      <c r="E46" s="26" t="n">
        <v>0</v>
      </c>
      <c r="F46" s="26" t="n">
        <v>231.6</v>
      </c>
      <c r="G46" s="26" t="n">
        <v>0</v>
      </c>
      <c r="H46" s="26" t="n">
        <v>0</v>
      </c>
      <c r="I46" s="26" t="n">
        <v>0</v>
      </c>
      <c r="J46" s="26" t="n">
        <v>0</v>
      </c>
      <c r="K46" s="26" t="n">
        <v>0</v>
      </c>
      <c r="L46" s="26" t="n">
        <v>0</v>
      </c>
      <c r="M46" s="26" t="n">
        <v>0</v>
      </c>
      <c r="N46" s="26" t="n">
        <v>0</v>
      </c>
      <c r="O46" s="26" t="n">
        <v>0</v>
      </c>
      <c r="P46" s="26" t="n">
        <v>0</v>
      </c>
      <c r="Q46" s="26" t="n">
        <v>0</v>
      </c>
      <c r="R46" s="26" t="n">
        <v>0</v>
      </c>
      <c r="S46" s="26" t="n">
        <v>0</v>
      </c>
      <c r="T46" s="26" t="n">
        <v>0</v>
      </c>
      <c r="U46" s="26" t="n">
        <v>0</v>
      </c>
    </row>
    <row r="47" customFormat="false" ht="15" hidden="false" customHeight="true" outlineLevel="0" collapsed="false">
      <c r="A47" s="8" t="s">
        <v>407</v>
      </c>
      <c r="B47" s="8" t="s">
        <v>242</v>
      </c>
      <c r="C47" s="8" t="s">
        <v>451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>
        <v>0</v>
      </c>
      <c r="I47" s="26" t="n">
        <v>786.4</v>
      </c>
      <c r="J47" s="26" t="n">
        <v>0</v>
      </c>
      <c r="K47" s="26" t="n">
        <v>0</v>
      </c>
      <c r="L47" s="26" t="n">
        <v>0</v>
      </c>
      <c r="M47" s="26" t="n">
        <v>0</v>
      </c>
      <c r="N47" s="26" t="n">
        <v>0</v>
      </c>
      <c r="O47" s="26" t="n">
        <v>0</v>
      </c>
      <c r="P47" s="26" t="n">
        <v>0</v>
      </c>
      <c r="Q47" s="26" t="n">
        <v>786.4</v>
      </c>
      <c r="R47" s="26" t="n">
        <v>0</v>
      </c>
      <c r="S47" s="26" t="n">
        <v>0</v>
      </c>
      <c r="T47" s="26" t="n">
        <v>0</v>
      </c>
      <c r="U47" s="26" t="n">
        <v>0</v>
      </c>
    </row>
    <row r="48" customFormat="false" ht="15" hidden="false" customHeight="true" outlineLevel="0" collapsed="false">
      <c r="A48" s="8" t="s">
        <v>407</v>
      </c>
      <c r="B48" s="8" t="s">
        <v>242</v>
      </c>
      <c r="C48" s="8" t="s">
        <v>452</v>
      </c>
      <c r="D48" s="26" t="n">
        <v>0</v>
      </c>
      <c r="E48" s="26" t="n">
        <v>0</v>
      </c>
      <c r="F48" s="26" t="n">
        <v>1742.7</v>
      </c>
      <c r="G48" s="26" t="n">
        <v>0</v>
      </c>
      <c r="H48" s="26" t="n">
        <v>0</v>
      </c>
      <c r="I48" s="26" t="n">
        <v>7858.2</v>
      </c>
      <c r="J48" s="26" t="n">
        <v>0</v>
      </c>
      <c r="K48" s="26" t="n">
        <v>0</v>
      </c>
      <c r="L48" s="26" t="n">
        <v>0</v>
      </c>
      <c r="M48" s="26" t="n">
        <v>0</v>
      </c>
      <c r="N48" s="26" t="n">
        <v>0</v>
      </c>
      <c r="O48" s="26" t="n">
        <v>0</v>
      </c>
      <c r="P48" s="26" t="n">
        <v>0</v>
      </c>
      <c r="Q48" s="26" t="n">
        <v>7575.9</v>
      </c>
      <c r="R48" s="26" t="n">
        <v>282.3</v>
      </c>
      <c r="S48" s="26" t="n">
        <v>0</v>
      </c>
      <c r="T48" s="26" t="n">
        <v>0</v>
      </c>
      <c r="U48" s="26" t="n">
        <v>0</v>
      </c>
    </row>
    <row r="49" customFormat="false" ht="15" hidden="false" customHeight="true" outlineLevel="0" collapsed="false">
      <c r="A49" s="8" t="s">
        <v>407</v>
      </c>
      <c r="B49" s="8" t="s">
        <v>242</v>
      </c>
      <c r="C49" s="8" t="s">
        <v>453</v>
      </c>
      <c r="D49" s="26" t="n">
        <v>0</v>
      </c>
      <c r="E49" s="26" t="n">
        <v>0</v>
      </c>
      <c r="F49" s="26" t="n">
        <v>1980.2</v>
      </c>
      <c r="G49" s="26" t="n">
        <v>0</v>
      </c>
      <c r="H49" s="26" t="n">
        <v>134</v>
      </c>
      <c r="I49" s="26" t="n">
        <v>5299.2</v>
      </c>
      <c r="J49" s="26" t="n">
        <v>0</v>
      </c>
      <c r="K49" s="26" t="n">
        <v>0</v>
      </c>
      <c r="L49" s="26" t="n">
        <v>0</v>
      </c>
      <c r="M49" s="26" t="n">
        <v>0</v>
      </c>
      <c r="N49" s="26" t="n">
        <v>0</v>
      </c>
      <c r="O49" s="26" t="n">
        <v>0</v>
      </c>
      <c r="P49" s="26" t="n">
        <v>0</v>
      </c>
      <c r="Q49" s="26" t="n">
        <v>4875.8</v>
      </c>
      <c r="R49" s="26" t="n">
        <v>423.5</v>
      </c>
      <c r="S49" s="26" t="n">
        <v>0</v>
      </c>
      <c r="T49" s="26" t="n">
        <v>0</v>
      </c>
      <c r="U49" s="26" t="n">
        <v>0</v>
      </c>
    </row>
    <row r="50" customFormat="false" ht="15" hidden="false" customHeight="true" outlineLevel="0" collapsed="false">
      <c r="A50" s="8" t="s">
        <v>407</v>
      </c>
      <c r="B50" s="8" t="s">
        <v>242</v>
      </c>
      <c r="C50" s="8" t="s">
        <v>454</v>
      </c>
      <c r="D50" s="26" t="n">
        <v>0</v>
      </c>
      <c r="E50" s="26" t="n">
        <v>0</v>
      </c>
      <c r="F50" s="26" t="n">
        <v>2378.6</v>
      </c>
      <c r="G50" s="26" t="n">
        <v>0</v>
      </c>
      <c r="H50" s="26" t="n">
        <v>0</v>
      </c>
      <c r="I50" s="26" t="n">
        <v>8801.9</v>
      </c>
      <c r="J50" s="26" t="n">
        <v>0</v>
      </c>
      <c r="K50" s="26" t="n">
        <v>0</v>
      </c>
      <c r="L50" s="26" t="n">
        <v>0</v>
      </c>
      <c r="M50" s="26" t="n">
        <v>0</v>
      </c>
      <c r="N50" s="26" t="n">
        <v>0</v>
      </c>
      <c r="O50" s="26" t="n">
        <v>0</v>
      </c>
      <c r="P50" s="26" t="n">
        <v>0</v>
      </c>
      <c r="Q50" s="26" t="n">
        <v>8519.6</v>
      </c>
      <c r="R50" s="26" t="n">
        <v>282.3</v>
      </c>
      <c r="S50" s="26" t="n">
        <v>0</v>
      </c>
      <c r="T50" s="26" t="n">
        <v>0</v>
      </c>
      <c r="U50" s="26" t="n">
        <v>0</v>
      </c>
    </row>
    <row r="51" customFormat="false" ht="15" hidden="false" customHeight="true" outlineLevel="0" collapsed="false">
      <c r="A51" s="8" t="s">
        <v>407</v>
      </c>
      <c r="B51" s="8" t="s">
        <v>242</v>
      </c>
      <c r="C51" s="8" t="s">
        <v>455</v>
      </c>
      <c r="D51" s="26" t="n">
        <v>0</v>
      </c>
      <c r="E51" s="26" t="n">
        <v>0</v>
      </c>
      <c r="F51" s="26" t="n">
        <v>145.2</v>
      </c>
      <c r="G51" s="26" t="n">
        <v>0</v>
      </c>
      <c r="H51" s="26" t="n">
        <v>0</v>
      </c>
      <c r="I51" s="26" t="n">
        <v>524.2</v>
      </c>
      <c r="J51" s="26" t="n">
        <v>0</v>
      </c>
      <c r="K51" s="26" t="n">
        <v>0</v>
      </c>
      <c r="L51" s="26" t="n">
        <v>0</v>
      </c>
      <c r="M51" s="26" t="n">
        <v>0</v>
      </c>
      <c r="N51" s="26" t="n">
        <v>0</v>
      </c>
      <c r="O51" s="26" t="n">
        <v>0</v>
      </c>
      <c r="P51" s="26" t="n">
        <v>0</v>
      </c>
      <c r="Q51" s="26" t="n">
        <v>524.2</v>
      </c>
      <c r="R51" s="26" t="n">
        <v>0</v>
      </c>
      <c r="S51" s="26" t="n">
        <v>0</v>
      </c>
      <c r="T51" s="26" t="n">
        <v>0</v>
      </c>
      <c r="U51" s="26" t="n">
        <v>0</v>
      </c>
    </row>
    <row r="52" customFormat="false" ht="15" hidden="false" customHeight="true" outlineLevel="0" collapsed="false">
      <c r="A52" s="8" t="s">
        <v>407</v>
      </c>
      <c r="B52" s="8" t="s">
        <v>108</v>
      </c>
      <c r="C52" s="8" t="s">
        <v>456</v>
      </c>
      <c r="D52" s="26" t="n">
        <v>0</v>
      </c>
      <c r="E52" s="26" t="n">
        <v>0</v>
      </c>
      <c r="F52" s="26" t="n">
        <v>639.6</v>
      </c>
      <c r="G52" s="26" t="n">
        <v>0</v>
      </c>
      <c r="H52" s="26" t="n">
        <v>0</v>
      </c>
      <c r="I52" s="26" t="n">
        <v>15088.3</v>
      </c>
      <c r="J52" s="26" t="n">
        <v>0</v>
      </c>
      <c r="K52" s="26" t="n">
        <v>97</v>
      </c>
      <c r="L52" s="26" t="n">
        <v>0</v>
      </c>
      <c r="M52" s="26" t="n">
        <v>0</v>
      </c>
      <c r="N52" s="26" t="n">
        <v>0</v>
      </c>
      <c r="O52" s="26" t="n">
        <v>0</v>
      </c>
      <c r="P52" s="26" t="n">
        <v>-582.2</v>
      </c>
      <c r="Q52" s="26" t="n">
        <v>13244.7</v>
      </c>
      <c r="R52" s="26" t="n">
        <v>2328.7</v>
      </c>
      <c r="S52" s="26" t="n">
        <v>0</v>
      </c>
      <c r="T52" s="26" t="n">
        <v>0</v>
      </c>
      <c r="U52" s="26" t="n">
        <v>-143.7</v>
      </c>
    </row>
    <row r="53" customFormat="false" ht="15" hidden="false" customHeight="true" outlineLevel="0" collapsed="false">
      <c r="A53" s="8" t="s">
        <v>407</v>
      </c>
      <c r="B53" s="8" t="s">
        <v>108</v>
      </c>
      <c r="C53" s="8" t="s">
        <v>457</v>
      </c>
      <c r="D53" s="26" t="n">
        <v>0</v>
      </c>
      <c r="E53" s="26" t="n">
        <v>0</v>
      </c>
      <c r="F53" s="26" t="n">
        <v>4763.9</v>
      </c>
      <c r="G53" s="26" t="n">
        <v>0</v>
      </c>
      <c r="H53" s="26" t="n">
        <v>0</v>
      </c>
      <c r="I53" s="26" t="n">
        <v>43551.2</v>
      </c>
      <c r="J53" s="26" t="n">
        <v>0</v>
      </c>
      <c r="K53" s="26" t="n">
        <v>0</v>
      </c>
      <c r="L53" s="26" t="n">
        <v>0</v>
      </c>
      <c r="M53" s="26" t="n">
        <v>0</v>
      </c>
      <c r="N53" s="26" t="n">
        <v>0</v>
      </c>
      <c r="O53" s="26" t="n">
        <v>0</v>
      </c>
      <c r="P53" s="26" t="n">
        <v>-291.1</v>
      </c>
      <c r="Q53" s="26" t="n">
        <v>37050.2</v>
      </c>
      <c r="R53" s="26" t="n">
        <v>6792.1</v>
      </c>
      <c r="S53" s="26" t="n">
        <v>0</v>
      </c>
      <c r="T53" s="26" t="n">
        <v>0</v>
      </c>
      <c r="U53" s="26" t="n">
        <v>-143.7</v>
      </c>
    </row>
    <row r="54" customFormat="false" ht="15" hidden="false" customHeight="true" outlineLevel="0" collapsed="false">
      <c r="A54" s="8" t="s">
        <v>407</v>
      </c>
      <c r="B54" s="8" t="s">
        <v>108</v>
      </c>
      <c r="C54" s="8" t="s">
        <v>458</v>
      </c>
      <c r="D54" s="26" t="n">
        <v>0</v>
      </c>
      <c r="E54" s="26" t="n">
        <v>0</v>
      </c>
      <c r="F54" s="26" t="n">
        <v>4517.5</v>
      </c>
      <c r="G54" s="26" t="n">
        <v>0</v>
      </c>
      <c r="H54" s="26" t="n">
        <v>0</v>
      </c>
      <c r="I54" s="26" t="n">
        <v>32464.9</v>
      </c>
      <c r="J54" s="26" t="n">
        <v>0</v>
      </c>
      <c r="K54" s="26" t="n">
        <v>0</v>
      </c>
      <c r="L54" s="26" t="n">
        <v>0</v>
      </c>
      <c r="M54" s="26" t="n">
        <v>0</v>
      </c>
      <c r="N54" s="26" t="n">
        <v>0</v>
      </c>
      <c r="O54" s="26" t="n">
        <v>0</v>
      </c>
      <c r="P54" s="26" t="n">
        <v>-845.5</v>
      </c>
      <c r="Q54" s="26" t="n">
        <v>28070.8</v>
      </c>
      <c r="R54" s="26" t="n">
        <v>5239.6</v>
      </c>
      <c r="S54" s="26" t="n">
        <v>0</v>
      </c>
      <c r="T54" s="26" t="n">
        <v>0</v>
      </c>
      <c r="U54" s="26" t="n">
        <v>0</v>
      </c>
    </row>
    <row r="55" customFormat="false" ht="15" hidden="false" customHeight="true" outlineLevel="0" collapsed="false">
      <c r="A55" s="8" t="s">
        <v>407</v>
      </c>
      <c r="B55" s="8" t="s">
        <v>108</v>
      </c>
      <c r="C55" s="8" t="s">
        <v>459</v>
      </c>
      <c r="D55" s="26" t="n">
        <v>0</v>
      </c>
      <c r="E55" s="26" t="n">
        <v>0</v>
      </c>
      <c r="F55" s="26" t="n">
        <v>4943.9</v>
      </c>
      <c r="G55" s="26" t="n">
        <v>0</v>
      </c>
      <c r="H55" s="26" t="n">
        <v>0</v>
      </c>
      <c r="I55" s="26" t="n">
        <v>42289.8</v>
      </c>
      <c r="J55" s="26" t="n">
        <v>0</v>
      </c>
      <c r="K55" s="26" t="n">
        <v>0</v>
      </c>
      <c r="L55" s="26" t="n">
        <v>0</v>
      </c>
      <c r="M55" s="26" t="n">
        <v>0</v>
      </c>
      <c r="N55" s="26" t="n">
        <v>0</v>
      </c>
      <c r="O55" s="26" t="n">
        <v>0</v>
      </c>
      <c r="P55" s="26" t="n">
        <v>-970.3</v>
      </c>
      <c r="Q55" s="26" t="n">
        <v>35878.9</v>
      </c>
      <c r="R55" s="26" t="n">
        <v>7381.2</v>
      </c>
      <c r="S55" s="26" t="n">
        <v>0</v>
      </c>
      <c r="T55" s="26" t="n">
        <v>0</v>
      </c>
      <c r="U55" s="26" t="n">
        <v>-287.4</v>
      </c>
    </row>
    <row r="56" customFormat="false" ht="15" hidden="false" customHeight="true" outlineLevel="0" collapsed="false">
      <c r="A56" s="8" t="s">
        <v>407</v>
      </c>
      <c r="B56" s="8" t="s">
        <v>108</v>
      </c>
      <c r="C56" s="8" t="s">
        <v>460</v>
      </c>
      <c r="D56" s="26" t="n">
        <v>0</v>
      </c>
      <c r="E56" s="26" t="n">
        <v>0</v>
      </c>
      <c r="F56" s="26" t="n">
        <v>3157.6</v>
      </c>
      <c r="G56" s="26" t="n">
        <v>0</v>
      </c>
      <c r="H56" s="26" t="n">
        <v>0</v>
      </c>
      <c r="I56" s="26" t="n">
        <v>11308.1</v>
      </c>
      <c r="J56" s="26" t="n">
        <v>0</v>
      </c>
      <c r="K56" s="26" t="n">
        <v>0</v>
      </c>
      <c r="L56" s="26" t="n">
        <v>0</v>
      </c>
      <c r="M56" s="26" t="n">
        <v>0</v>
      </c>
      <c r="N56" s="26" t="n">
        <v>0</v>
      </c>
      <c r="O56" s="26" t="n">
        <v>0</v>
      </c>
      <c r="P56" s="26" t="n">
        <v>-845.5</v>
      </c>
      <c r="Q56" s="26" t="n">
        <v>8750.6</v>
      </c>
      <c r="R56" s="26" t="n">
        <v>3403</v>
      </c>
      <c r="S56" s="26" t="n">
        <v>0</v>
      </c>
      <c r="T56" s="26" t="n">
        <v>0</v>
      </c>
      <c r="U56" s="26" t="n">
        <v>-143.7</v>
      </c>
    </row>
    <row r="57" customFormat="false" ht="15" hidden="false" customHeight="true" outlineLevel="0" collapsed="false">
      <c r="A57" s="8" t="s">
        <v>407</v>
      </c>
      <c r="B57" s="8" t="s">
        <v>386</v>
      </c>
      <c r="C57" s="8" t="s">
        <v>461</v>
      </c>
      <c r="D57" s="26" t="n">
        <v>0</v>
      </c>
      <c r="E57" s="26" t="n">
        <v>0</v>
      </c>
      <c r="F57" s="26" t="n">
        <v>0</v>
      </c>
      <c r="G57" s="26" t="n">
        <v>0</v>
      </c>
      <c r="H57" s="26" t="n">
        <v>0</v>
      </c>
      <c r="I57" s="26" t="n">
        <v>-178.6</v>
      </c>
      <c r="J57" s="26" t="n">
        <v>0</v>
      </c>
      <c r="K57" s="26" t="n">
        <v>0</v>
      </c>
      <c r="L57" s="26" t="n">
        <v>0</v>
      </c>
      <c r="M57" s="26" t="n">
        <v>0</v>
      </c>
      <c r="N57" s="26" t="n">
        <v>0</v>
      </c>
      <c r="O57" s="26" t="n">
        <v>0</v>
      </c>
      <c r="P57" s="26" t="n">
        <v>0</v>
      </c>
      <c r="Q57" s="26" t="n">
        <v>-178.6</v>
      </c>
      <c r="R57" s="26" t="n">
        <v>0</v>
      </c>
      <c r="S57" s="26" t="n">
        <v>0</v>
      </c>
      <c r="T57" s="26" t="n">
        <v>0</v>
      </c>
      <c r="U57" s="26" t="n">
        <v>0</v>
      </c>
    </row>
    <row r="58" customFormat="false" ht="15" hidden="false" customHeight="true" outlineLevel="0" collapsed="false">
      <c r="A58" s="8" t="s">
        <v>407</v>
      </c>
      <c r="B58" s="8" t="s">
        <v>233</v>
      </c>
      <c r="C58" s="8" t="s">
        <v>462</v>
      </c>
      <c r="D58" s="26" t="n">
        <v>0</v>
      </c>
      <c r="E58" s="26" t="n">
        <v>0</v>
      </c>
      <c r="F58" s="26" t="n">
        <v>-307.2</v>
      </c>
      <c r="G58" s="26" t="n">
        <v>0</v>
      </c>
      <c r="H58" s="26" t="n">
        <v>0</v>
      </c>
      <c r="I58" s="26" t="n">
        <v>0</v>
      </c>
      <c r="J58" s="26" t="n">
        <v>0</v>
      </c>
      <c r="K58" s="26" t="n">
        <v>0</v>
      </c>
      <c r="L58" s="26" t="n">
        <v>0</v>
      </c>
      <c r="M58" s="26" t="n">
        <v>0</v>
      </c>
      <c r="N58" s="26" t="n">
        <v>0</v>
      </c>
      <c r="O58" s="26" t="n">
        <v>0</v>
      </c>
      <c r="P58" s="26" t="n">
        <v>0</v>
      </c>
      <c r="Q58" s="26" t="n">
        <v>0</v>
      </c>
      <c r="R58" s="26" t="n">
        <v>0</v>
      </c>
      <c r="S58" s="26" t="n">
        <v>0</v>
      </c>
      <c r="T58" s="26" t="n">
        <v>0</v>
      </c>
      <c r="U58" s="26" t="n">
        <v>0</v>
      </c>
    </row>
    <row r="59" customFormat="false" ht="15" hidden="false" customHeight="true" outlineLevel="0" collapsed="false">
      <c r="A59" s="8" t="s">
        <v>407</v>
      </c>
      <c r="B59" s="8" t="s">
        <v>233</v>
      </c>
      <c r="C59" s="8" t="s">
        <v>463</v>
      </c>
      <c r="D59" s="26" t="n">
        <v>0</v>
      </c>
      <c r="E59" s="26" t="n">
        <v>0</v>
      </c>
      <c r="F59" s="26" t="n">
        <v>0</v>
      </c>
      <c r="G59" s="26" t="n">
        <v>0</v>
      </c>
      <c r="H59" s="26" t="n">
        <v>0</v>
      </c>
      <c r="I59" s="26" t="n">
        <v>573.5</v>
      </c>
      <c r="J59" s="26" t="n">
        <v>0</v>
      </c>
      <c r="K59" s="26" t="n">
        <v>286.8</v>
      </c>
      <c r="L59" s="26" t="n">
        <v>0</v>
      </c>
      <c r="M59" s="26" t="n">
        <v>0</v>
      </c>
      <c r="N59" s="26" t="n">
        <v>0</v>
      </c>
      <c r="O59" s="26" t="n">
        <v>0</v>
      </c>
      <c r="P59" s="26" t="n">
        <v>0</v>
      </c>
      <c r="Q59" s="26" t="n">
        <v>0</v>
      </c>
      <c r="R59" s="26" t="n">
        <v>286.8</v>
      </c>
      <c r="S59" s="26" t="n">
        <v>0</v>
      </c>
      <c r="T59" s="26" t="n">
        <v>0</v>
      </c>
      <c r="U59" s="26" t="n">
        <v>0</v>
      </c>
    </row>
    <row r="60" customFormat="false" ht="15" hidden="false" customHeight="true" outlineLevel="0" collapsed="false">
      <c r="A60" s="8" t="s">
        <v>407</v>
      </c>
      <c r="B60" s="8" t="s">
        <v>104</v>
      </c>
      <c r="C60" s="8" t="s">
        <v>464</v>
      </c>
      <c r="D60" s="26" t="n">
        <v>0</v>
      </c>
      <c r="E60" s="26" t="n">
        <v>0</v>
      </c>
      <c r="F60" s="26" t="n">
        <v>5468.9</v>
      </c>
      <c r="G60" s="26" t="n">
        <v>0</v>
      </c>
      <c r="H60" s="26" t="n">
        <v>0</v>
      </c>
      <c r="I60" s="26" t="n">
        <v>7472</v>
      </c>
      <c r="J60" s="26" t="n">
        <v>0</v>
      </c>
      <c r="K60" s="26" t="n">
        <v>108.5</v>
      </c>
      <c r="L60" s="26" t="n">
        <v>0</v>
      </c>
      <c r="M60" s="26" t="n">
        <v>0</v>
      </c>
      <c r="N60" s="26" t="n">
        <v>66.1</v>
      </c>
      <c r="O60" s="26" t="n">
        <v>29.1</v>
      </c>
      <c r="P60" s="26" t="n">
        <v>-189.9</v>
      </c>
      <c r="Q60" s="26" t="n">
        <v>4743.3</v>
      </c>
      <c r="R60" s="26" t="n">
        <v>2714.9</v>
      </c>
      <c r="S60" s="26" t="n">
        <v>0</v>
      </c>
      <c r="T60" s="26" t="n">
        <v>0</v>
      </c>
      <c r="U60" s="26" t="n">
        <v>0</v>
      </c>
    </row>
    <row r="61" customFormat="false" ht="15" hidden="false" customHeight="true" outlineLevel="0" collapsed="false">
      <c r="A61" s="8" t="s">
        <v>407</v>
      </c>
      <c r="B61" s="8" t="s">
        <v>104</v>
      </c>
      <c r="C61" s="8" t="s">
        <v>465</v>
      </c>
      <c r="D61" s="26" t="n">
        <v>0</v>
      </c>
      <c r="E61" s="26" t="n">
        <v>0</v>
      </c>
      <c r="F61" s="26" t="n">
        <v>6304</v>
      </c>
      <c r="G61" s="26" t="n">
        <v>0</v>
      </c>
      <c r="H61" s="26" t="n">
        <v>0</v>
      </c>
      <c r="I61" s="26" t="n">
        <v>9992.7</v>
      </c>
      <c r="J61" s="26" t="n">
        <v>0</v>
      </c>
      <c r="K61" s="26" t="n">
        <v>162.8</v>
      </c>
      <c r="L61" s="26" t="n">
        <v>0</v>
      </c>
      <c r="M61" s="26" t="n">
        <v>0</v>
      </c>
      <c r="N61" s="26" t="n">
        <v>0</v>
      </c>
      <c r="O61" s="26" t="n">
        <v>58.1</v>
      </c>
      <c r="P61" s="26" t="n">
        <v>-162.8</v>
      </c>
      <c r="Q61" s="26" t="n">
        <v>7085.9</v>
      </c>
      <c r="R61" s="26" t="n">
        <v>2848.7</v>
      </c>
      <c r="S61" s="26" t="n">
        <v>0</v>
      </c>
      <c r="T61" s="26" t="n">
        <v>0</v>
      </c>
      <c r="U61" s="26" t="n">
        <v>0</v>
      </c>
    </row>
    <row r="62" customFormat="false" ht="15" hidden="false" customHeight="true" outlineLevel="0" collapsed="false">
      <c r="A62" s="8" t="s">
        <v>407</v>
      </c>
      <c r="B62" s="8" t="s">
        <v>104</v>
      </c>
      <c r="C62" s="8" t="s">
        <v>466</v>
      </c>
      <c r="D62" s="26" t="n">
        <v>0</v>
      </c>
      <c r="E62" s="26" t="n">
        <v>0</v>
      </c>
      <c r="F62" s="26" t="n">
        <v>4083.6</v>
      </c>
      <c r="G62" s="26" t="n">
        <v>0</v>
      </c>
      <c r="H62" s="26" t="n">
        <v>0</v>
      </c>
      <c r="I62" s="26" t="n">
        <v>7385.6</v>
      </c>
      <c r="J62" s="26" t="n">
        <v>0</v>
      </c>
      <c r="K62" s="26" t="n">
        <v>244.2</v>
      </c>
      <c r="L62" s="26" t="n">
        <v>0</v>
      </c>
      <c r="M62" s="26" t="n">
        <v>33</v>
      </c>
      <c r="N62" s="26" t="n">
        <v>99.7</v>
      </c>
      <c r="O62" s="26" t="n">
        <v>58.1</v>
      </c>
      <c r="P62" s="26" t="n">
        <v>-328.7</v>
      </c>
      <c r="Q62" s="26" t="n">
        <v>4593.4</v>
      </c>
      <c r="R62" s="26" t="n">
        <v>2685.9</v>
      </c>
      <c r="S62" s="26" t="n">
        <v>0</v>
      </c>
      <c r="T62" s="26" t="n">
        <v>0</v>
      </c>
      <c r="U62" s="26" t="n">
        <v>0</v>
      </c>
    </row>
    <row r="63" customFormat="false" ht="15" hidden="false" customHeight="true" outlineLevel="0" collapsed="false">
      <c r="A63" s="8" t="s">
        <v>407</v>
      </c>
      <c r="B63" s="8" t="s">
        <v>104</v>
      </c>
      <c r="C63" s="8" t="s">
        <v>467</v>
      </c>
      <c r="D63" s="26" t="n">
        <v>0</v>
      </c>
      <c r="E63" s="26" t="n">
        <v>0</v>
      </c>
      <c r="F63" s="26" t="n">
        <v>2504.3</v>
      </c>
      <c r="G63" s="26" t="n">
        <v>0</v>
      </c>
      <c r="H63" s="26" t="n">
        <v>0</v>
      </c>
      <c r="I63" s="26" t="n">
        <v>3318.4</v>
      </c>
      <c r="J63" s="26" t="n">
        <v>0</v>
      </c>
      <c r="K63" s="26" t="n">
        <v>108.5</v>
      </c>
      <c r="L63" s="26" t="n">
        <v>0</v>
      </c>
      <c r="M63" s="26" t="n">
        <v>33</v>
      </c>
      <c r="N63" s="26" t="n">
        <v>66.5</v>
      </c>
      <c r="O63" s="26" t="n">
        <v>29.1</v>
      </c>
      <c r="P63" s="26" t="n">
        <v>-135.7</v>
      </c>
      <c r="Q63" s="26" t="n">
        <v>2104.6</v>
      </c>
      <c r="R63" s="26" t="n">
        <v>1112.3</v>
      </c>
      <c r="S63" s="26" t="n">
        <v>0</v>
      </c>
      <c r="T63" s="26" t="n">
        <v>0</v>
      </c>
      <c r="U63" s="26" t="n">
        <v>0</v>
      </c>
    </row>
    <row r="64" customFormat="false" ht="15" hidden="false" customHeight="true" outlineLevel="0" collapsed="false">
      <c r="A64" s="8" t="s">
        <v>407</v>
      </c>
      <c r="B64" s="8" t="s">
        <v>104</v>
      </c>
      <c r="C64" s="8" t="s">
        <v>468</v>
      </c>
      <c r="D64" s="26" t="n">
        <v>0</v>
      </c>
      <c r="E64" s="26" t="n">
        <v>0</v>
      </c>
      <c r="F64" s="26" t="n">
        <v>130.7</v>
      </c>
      <c r="G64" s="26" t="n">
        <v>0</v>
      </c>
      <c r="H64" s="26" t="n">
        <v>0</v>
      </c>
      <c r="I64" s="26" t="n">
        <v>25.2</v>
      </c>
      <c r="J64" s="26" t="n">
        <v>0</v>
      </c>
      <c r="K64" s="26" t="n">
        <v>0</v>
      </c>
      <c r="L64" s="26" t="n">
        <v>0</v>
      </c>
      <c r="M64" s="26" t="n">
        <v>0</v>
      </c>
      <c r="N64" s="26" t="n">
        <v>0</v>
      </c>
      <c r="O64" s="26" t="n">
        <v>0</v>
      </c>
      <c r="P64" s="26" t="n">
        <v>0</v>
      </c>
      <c r="Q64" s="26" t="n">
        <v>25.2</v>
      </c>
      <c r="R64" s="26" t="n">
        <v>0</v>
      </c>
      <c r="S64" s="26" t="n">
        <v>0</v>
      </c>
      <c r="T64" s="26" t="n">
        <v>0</v>
      </c>
      <c r="U64" s="26" t="n">
        <v>0</v>
      </c>
    </row>
    <row r="65" customFormat="false" ht="15" hidden="false" customHeight="true" outlineLevel="0" collapsed="false">
      <c r="A65" s="8" t="s">
        <v>407</v>
      </c>
      <c r="B65" s="8" t="s">
        <v>78</v>
      </c>
      <c r="C65" s="8" t="s">
        <v>469</v>
      </c>
      <c r="D65" s="26" t="n">
        <v>0</v>
      </c>
      <c r="E65" s="26" t="n">
        <v>0</v>
      </c>
      <c r="F65" s="26" t="n">
        <v>13297</v>
      </c>
      <c r="G65" s="26" t="n">
        <v>0</v>
      </c>
      <c r="H65" s="26" t="n">
        <v>0</v>
      </c>
      <c r="I65" s="26" t="n">
        <v>80381.7</v>
      </c>
      <c r="J65" s="26" t="n">
        <v>0</v>
      </c>
      <c r="K65" s="26" t="n">
        <v>352.5</v>
      </c>
      <c r="L65" s="26" t="n">
        <v>0</v>
      </c>
      <c r="M65" s="26" t="n">
        <v>0</v>
      </c>
      <c r="N65" s="26" t="n">
        <v>155.1</v>
      </c>
      <c r="O65" s="26" t="n">
        <v>113.3</v>
      </c>
      <c r="P65" s="26" t="n">
        <v>-282</v>
      </c>
      <c r="Q65" s="26" t="n">
        <v>73733</v>
      </c>
      <c r="R65" s="26" t="n">
        <v>6309.8</v>
      </c>
      <c r="S65" s="26" t="n">
        <v>0</v>
      </c>
      <c r="T65" s="26" t="n">
        <v>0</v>
      </c>
      <c r="U65" s="26" t="n">
        <v>0</v>
      </c>
    </row>
    <row r="66" customFormat="false" ht="15" hidden="false" customHeight="true" outlineLevel="0" collapsed="false">
      <c r="A66" s="8" t="s">
        <v>407</v>
      </c>
      <c r="B66" s="8" t="s">
        <v>78</v>
      </c>
      <c r="C66" s="8" t="s">
        <v>470</v>
      </c>
      <c r="D66" s="26" t="n">
        <v>0</v>
      </c>
      <c r="E66" s="26" t="n">
        <v>0</v>
      </c>
      <c r="F66" s="26" t="n">
        <v>23596.4</v>
      </c>
      <c r="G66" s="26" t="n">
        <v>0</v>
      </c>
      <c r="H66" s="26" t="n">
        <v>0</v>
      </c>
      <c r="I66" s="26" t="n">
        <v>78042.6</v>
      </c>
      <c r="J66" s="26" t="n">
        <v>0</v>
      </c>
      <c r="K66" s="26" t="n">
        <v>458.3</v>
      </c>
      <c r="L66" s="26" t="n">
        <v>0</v>
      </c>
      <c r="M66" s="26" t="n">
        <v>0</v>
      </c>
      <c r="N66" s="26" t="n">
        <v>75.5</v>
      </c>
      <c r="O66" s="26" t="n">
        <v>113.3</v>
      </c>
      <c r="P66" s="26" t="n">
        <v>-176.3</v>
      </c>
      <c r="Q66" s="26" t="n">
        <v>70516.7</v>
      </c>
      <c r="R66" s="26" t="n">
        <v>7055</v>
      </c>
      <c r="S66" s="26" t="n">
        <v>0</v>
      </c>
      <c r="T66" s="26" t="n">
        <v>0</v>
      </c>
      <c r="U66" s="26" t="n">
        <v>0</v>
      </c>
    </row>
    <row r="67" customFormat="false" ht="15" hidden="false" customHeight="true" outlineLevel="0" collapsed="false">
      <c r="A67" s="8" t="s">
        <v>407</v>
      </c>
      <c r="B67" s="8" t="s">
        <v>78</v>
      </c>
      <c r="C67" s="8" t="s">
        <v>471</v>
      </c>
      <c r="D67" s="26" t="n">
        <v>0</v>
      </c>
      <c r="E67" s="26" t="n">
        <v>0</v>
      </c>
      <c r="F67" s="26" t="n">
        <v>25775.4</v>
      </c>
      <c r="G67" s="26" t="n">
        <v>0</v>
      </c>
      <c r="H67" s="26" t="n">
        <v>0</v>
      </c>
      <c r="I67" s="26" t="n">
        <v>110113.4</v>
      </c>
      <c r="J67" s="26" t="n">
        <v>0</v>
      </c>
      <c r="K67" s="26" t="n">
        <v>740.3</v>
      </c>
      <c r="L67" s="26" t="n">
        <v>0</v>
      </c>
      <c r="M67" s="26" t="n">
        <v>0</v>
      </c>
      <c r="N67" s="26" t="n">
        <v>75.5</v>
      </c>
      <c r="O67" s="26" t="n">
        <v>113.3</v>
      </c>
      <c r="P67" s="26" t="n">
        <v>-246.8</v>
      </c>
      <c r="Q67" s="26" t="n">
        <v>99452.8</v>
      </c>
      <c r="R67" s="26" t="n">
        <v>9978.3</v>
      </c>
      <c r="S67" s="26" t="n">
        <v>0</v>
      </c>
      <c r="T67" s="26" t="n">
        <v>0</v>
      </c>
      <c r="U67" s="26" t="n">
        <v>0</v>
      </c>
    </row>
    <row r="68" customFormat="false" ht="15" hidden="false" customHeight="true" outlineLevel="0" collapsed="false">
      <c r="A68" s="8" t="s">
        <v>407</v>
      </c>
      <c r="B68" s="8" t="s">
        <v>78</v>
      </c>
      <c r="C68" s="8" t="s">
        <v>472</v>
      </c>
      <c r="D68" s="26" t="n">
        <v>0</v>
      </c>
      <c r="E68" s="26" t="n">
        <v>0</v>
      </c>
      <c r="F68" s="26" t="n">
        <v>9483.1</v>
      </c>
      <c r="G68" s="26" t="n">
        <v>0</v>
      </c>
      <c r="H68" s="26" t="n">
        <v>0</v>
      </c>
      <c r="I68" s="26" t="n">
        <v>28343</v>
      </c>
      <c r="J68" s="26" t="n">
        <v>0</v>
      </c>
      <c r="K68" s="26" t="n">
        <v>246.8</v>
      </c>
      <c r="L68" s="26" t="n">
        <v>0</v>
      </c>
      <c r="M68" s="26" t="n">
        <v>0</v>
      </c>
      <c r="N68" s="26" t="n">
        <v>0</v>
      </c>
      <c r="O68" s="26" t="n">
        <v>37.8</v>
      </c>
      <c r="P68" s="26" t="n">
        <v>-287</v>
      </c>
      <c r="Q68" s="26" t="n">
        <v>26160</v>
      </c>
      <c r="R68" s="26" t="n">
        <v>2185.5</v>
      </c>
      <c r="S68" s="26" t="n">
        <v>0</v>
      </c>
      <c r="T68" s="26" t="n">
        <v>0</v>
      </c>
      <c r="U68" s="26" t="n">
        <v>0</v>
      </c>
    </row>
    <row r="69" customFormat="false" ht="15" hidden="false" customHeight="true" outlineLevel="0" collapsed="false">
      <c r="A69" s="8" t="s">
        <v>407</v>
      </c>
      <c r="B69" s="8" t="s">
        <v>280</v>
      </c>
      <c r="C69" s="8" t="s">
        <v>473</v>
      </c>
      <c r="D69" s="26" t="n">
        <v>0</v>
      </c>
      <c r="E69" s="26" t="n">
        <v>0</v>
      </c>
      <c r="F69" s="26" t="n">
        <v>132.6</v>
      </c>
      <c r="G69" s="26" t="n">
        <v>0</v>
      </c>
      <c r="H69" s="26" t="n">
        <v>0</v>
      </c>
      <c r="I69" s="26" t="n">
        <v>-632.5</v>
      </c>
      <c r="J69" s="26" t="n">
        <v>0</v>
      </c>
      <c r="K69" s="26" t="n">
        <v>0</v>
      </c>
      <c r="L69" s="26" t="n">
        <v>0</v>
      </c>
      <c r="M69" s="26" t="n">
        <v>0</v>
      </c>
      <c r="N69" s="26" t="n">
        <v>0</v>
      </c>
      <c r="O69" s="26" t="n">
        <v>0</v>
      </c>
      <c r="P69" s="26" t="n">
        <v>-314.4</v>
      </c>
      <c r="Q69" s="26" t="n">
        <v>-318.1</v>
      </c>
      <c r="R69" s="26" t="n">
        <v>0</v>
      </c>
      <c r="S69" s="26" t="n">
        <v>0</v>
      </c>
      <c r="T69" s="26" t="n">
        <v>0</v>
      </c>
      <c r="U69" s="26" t="n">
        <v>0</v>
      </c>
    </row>
    <row r="70" customFormat="false" ht="15" hidden="false" customHeight="true" outlineLevel="0" collapsed="false">
      <c r="A70" s="8" t="s">
        <v>407</v>
      </c>
      <c r="B70" s="8" t="s">
        <v>280</v>
      </c>
      <c r="C70" s="8" t="s">
        <v>474</v>
      </c>
      <c r="D70" s="26" t="n">
        <v>0</v>
      </c>
      <c r="E70" s="26" t="n">
        <v>0</v>
      </c>
      <c r="F70" s="26" t="n">
        <v>-50.9</v>
      </c>
      <c r="G70" s="26" t="n">
        <v>0</v>
      </c>
      <c r="H70" s="26" t="n">
        <v>0</v>
      </c>
      <c r="I70" s="26" t="n">
        <v>73.4</v>
      </c>
      <c r="J70" s="26" t="n">
        <v>0</v>
      </c>
      <c r="K70" s="26" t="n">
        <v>0</v>
      </c>
      <c r="L70" s="26" t="n">
        <v>0</v>
      </c>
      <c r="M70" s="26" t="n">
        <v>0</v>
      </c>
      <c r="N70" s="26" t="n">
        <v>0</v>
      </c>
      <c r="O70" s="26" t="n">
        <v>0</v>
      </c>
      <c r="P70" s="26" t="n">
        <v>0</v>
      </c>
      <c r="Q70" s="26" t="n">
        <v>-63.6</v>
      </c>
      <c r="R70" s="26" t="n">
        <v>137</v>
      </c>
      <c r="S70" s="26" t="n">
        <v>0</v>
      </c>
      <c r="T70" s="26" t="n">
        <v>0</v>
      </c>
      <c r="U70" s="26" t="n">
        <v>0</v>
      </c>
    </row>
    <row r="71" customFormat="false" ht="15" hidden="false" customHeight="true" outlineLevel="0" collapsed="false">
      <c r="A71" s="8" t="s">
        <v>407</v>
      </c>
      <c r="B71" s="8" t="s">
        <v>280</v>
      </c>
      <c r="C71" s="8" t="s">
        <v>475</v>
      </c>
      <c r="D71" s="26" t="n">
        <v>0</v>
      </c>
      <c r="E71" s="26" t="n">
        <v>0</v>
      </c>
      <c r="F71" s="26" t="n">
        <v>7.8</v>
      </c>
      <c r="G71" s="26" t="n">
        <v>0</v>
      </c>
      <c r="H71" s="26" t="n">
        <v>0</v>
      </c>
      <c r="I71" s="26" t="n">
        <v>-133.6</v>
      </c>
      <c r="J71" s="26" t="n">
        <v>0</v>
      </c>
      <c r="K71" s="26" t="n">
        <v>0</v>
      </c>
      <c r="L71" s="26" t="n">
        <v>0</v>
      </c>
      <c r="M71" s="26" t="n">
        <v>0</v>
      </c>
      <c r="N71" s="26" t="n">
        <v>0</v>
      </c>
      <c r="O71" s="26" t="n">
        <v>0</v>
      </c>
      <c r="P71" s="26" t="n">
        <v>-202.1</v>
      </c>
      <c r="Q71" s="26" t="n">
        <v>0</v>
      </c>
      <c r="R71" s="26" t="n">
        <v>68.5</v>
      </c>
      <c r="S71" s="26" t="n">
        <v>0</v>
      </c>
      <c r="T71" s="26" t="n">
        <v>0</v>
      </c>
      <c r="U71" s="26" t="n">
        <v>0</v>
      </c>
    </row>
    <row r="72" customFormat="false" ht="15" hidden="false" customHeight="true" outlineLevel="0" collapsed="false">
      <c r="A72" s="8" t="s">
        <v>407</v>
      </c>
      <c r="B72" s="8" t="s">
        <v>280</v>
      </c>
      <c r="C72" s="8" t="s">
        <v>476</v>
      </c>
      <c r="D72" s="26" t="n">
        <v>0</v>
      </c>
      <c r="E72" s="26" t="n">
        <v>0</v>
      </c>
      <c r="F72" s="26" t="n">
        <v>132.3</v>
      </c>
      <c r="G72" s="26" t="n">
        <v>0</v>
      </c>
      <c r="H72" s="26" t="n">
        <v>0</v>
      </c>
      <c r="I72" s="26" t="n">
        <v>-249.6</v>
      </c>
      <c r="J72" s="26" t="n">
        <v>0</v>
      </c>
      <c r="K72" s="26" t="n">
        <v>0</v>
      </c>
      <c r="L72" s="26" t="n">
        <v>0</v>
      </c>
      <c r="M72" s="26" t="n">
        <v>0</v>
      </c>
      <c r="N72" s="26" t="n">
        <v>0</v>
      </c>
      <c r="O72" s="26" t="n">
        <v>0</v>
      </c>
      <c r="P72" s="26" t="n">
        <v>-68.5</v>
      </c>
      <c r="Q72" s="26" t="n">
        <v>-318.1</v>
      </c>
      <c r="R72" s="26" t="n">
        <v>137</v>
      </c>
      <c r="S72" s="26" t="n">
        <v>0</v>
      </c>
      <c r="T72" s="26" t="n">
        <v>0</v>
      </c>
      <c r="U72" s="26" t="n">
        <v>0</v>
      </c>
    </row>
    <row r="73" customFormat="false" ht="15" hidden="false" customHeight="true" outlineLevel="0" collapsed="false">
      <c r="A73" s="8" t="s">
        <v>407</v>
      </c>
      <c r="B73" s="8" t="s">
        <v>305</v>
      </c>
      <c r="C73" s="8" t="s">
        <v>477</v>
      </c>
      <c r="D73" s="26" t="n">
        <v>0</v>
      </c>
      <c r="E73" s="26" t="n">
        <v>0</v>
      </c>
      <c r="F73" s="26" t="n">
        <v>0</v>
      </c>
      <c r="G73" s="26" t="n">
        <v>0</v>
      </c>
      <c r="H73" s="26" t="n">
        <v>0</v>
      </c>
      <c r="I73" s="26" t="n">
        <v>-136.3</v>
      </c>
      <c r="J73" s="26" t="n">
        <v>0</v>
      </c>
      <c r="K73" s="26" t="n">
        <v>0</v>
      </c>
      <c r="L73" s="26" t="n">
        <v>0</v>
      </c>
      <c r="M73" s="26" t="n">
        <v>0</v>
      </c>
      <c r="N73" s="26" t="n">
        <v>0</v>
      </c>
      <c r="O73" s="26" t="n">
        <v>0</v>
      </c>
      <c r="P73" s="26" t="n">
        <v>0</v>
      </c>
      <c r="Q73" s="26" t="n">
        <v>-136.3</v>
      </c>
      <c r="R73" s="26" t="n">
        <v>0</v>
      </c>
      <c r="S73" s="26" t="n">
        <v>0</v>
      </c>
      <c r="T73" s="26" t="n">
        <v>0</v>
      </c>
      <c r="U73" s="26" t="n">
        <v>0</v>
      </c>
    </row>
    <row r="74" customFormat="false" ht="15" hidden="false" customHeight="true" outlineLevel="0" collapsed="false">
      <c r="A74" s="8" t="s">
        <v>407</v>
      </c>
      <c r="B74" s="8" t="s">
        <v>264</v>
      </c>
      <c r="C74" s="8" t="s">
        <v>478</v>
      </c>
      <c r="D74" s="26" t="n">
        <v>0</v>
      </c>
      <c r="E74" s="26" t="n">
        <v>0</v>
      </c>
      <c r="F74" s="26" t="n">
        <v>0</v>
      </c>
      <c r="G74" s="26" t="n">
        <v>0</v>
      </c>
      <c r="H74" s="26" t="n">
        <v>0</v>
      </c>
      <c r="I74" s="26" t="n">
        <v>1206.8</v>
      </c>
      <c r="J74" s="26" t="n">
        <v>0</v>
      </c>
      <c r="K74" s="26" t="n">
        <v>0</v>
      </c>
      <c r="L74" s="26" t="n">
        <v>0</v>
      </c>
      <c r="M74" s="26" t="n">
        <v>0</v>
      </c>
      <c r="N74" s="26" t="n">
        <v>0</v>
      </c>
      <c r="O74" s="26" t="n">
        <v>0</v>
      </c>
      <c r="P74" s="26" t="n">
        <v>0</v>
      </c>
      <c r="Q74" s="26" t="n">
        <v>0</v>
      </c>
      <c r="R74" s="26" t="n">
        <v>1206.8</v>
      </c>
      <c r="S74" s="26" t="n">
        <v>0</v>
      </c>
      <c r="T74" s="26" t="n">
        <v>0</v>
      </c>
      <c r="U74" s="26" t="n">
        <v>0</v>
      </c>
    </row>
    <row r="75" customFormat="false" ht="15" hidden="false" customHeight="true" outlineLevel="0" collapsed="false">
      <c r="A75" s="8" t="s">
        <v>407</v>
      </c>
      <c r="B75" s="8" t="s">
        <v>264</v>
      </c>
      <c r="C75" s="8" t="s">
        <v>479</v>
      </c>
      <c r="D75" s="26" t="n">
        <v>0</v>
      </c>
      <c r="E75" s="26" t="n">
        <v>0</v>
      </c>
      <c r="F75" s="26" t="n">
        <v>628</v>
      </c>
      <c r="G75" s="26" t="n">
        <v>0</v>
      </c>
      <c r="H75" s="26" t="n">
        <v>0</v>
      </c>
      <c r="I75" s="26" t="n">
        <v>0</v>
      </c>
      <c r="J75" s="26" t="n">
        <v>0</v>
      </c>
      <c r="K75" s="26" t="n">
        <v>0</v>
      </c>
      <c r="L75" s="26" t="n">
        <v>0</v>
      </c>
      <c r="M75" s="26" t="n">
        <v>0</v>
      </c>
      <c r="N75" s="26" t="n">
        <v>0</v>
      </c>
      <c r="O75" s="26" t="n">
        <v>0</v>
      </c>
      <c r="P75" s="26" t="n">
        <v>0</v>
      </c>
      <c r="Q75" s="26" t="n">
        <v>0</v>
      </c>
      <c r="R75" s="26" t="n">
        <v>0</v>
      </c>
      <c r="S75" s="26" t="n">
        <v>0</v>
      </c>
      <c r="T75" s="26" t="n">
        <v>0</v>
      </c>
      <c r="U75" s="26" t="n">
        <v>0</v>
      </c>
    </row>
    <row r="76" customFormat="false" ht="15" hidden="false" customHeight="true" outlineLevel="0" collapsed="false">
      <c r="A76" s="8" t="s">
        <v>407</v>
      </c>
      <c r="B76" s="8" t="s">
        <v>264</v>
      </c>
      <c r="C76" s="8" t="s">
        <v>480</v>
      </c>
      <c r="D76" s="26" t="n">
        <v>0</v>
      </c>
      <c r="E76" s="26" t="n">
        <v>0</v>
      </c>
      <c r="F76" s="26" t="n">
        <v>628</v>
      </c>
      <c r="G76" s="26" t="n">
        <v>0</v>
      </c>
      <c r="H76" s="26" t="n">
        <v>0</v>
      </c>
      <c r="I76" s="26" t="n">
        <v>0</v>
      </c>
      <c r="J76" s="26" t="n">
        <v>0</v>
      </c>
      <c r="K76" s="26" t="n">
        <v>0</v>
      </c>
      <c r="L76" s="26" t="n">
        <v>0</v>
      </c>
      <c r="M76" s="26" t="n">
        <v>0</v>
      </c>
      <c r="N76" s="26" t="n">
        <v>0</v>
      </c>
      <c r="O76" s="26" t="n">
        <v>0</v>
      </c>
      <c r="P76" s="26" t="n">
        <v>0</v>
      </c>
      <c r="Q76" s="26" t="n">
        <v>0</v>
      </c>
      <c r="R76" s="26" t="n">
        <v>0</v>
      </c>
      <c r="S76" s="26" t="n">
        <v>0</v>
      </c>
      <c r="T76" s="26" t="n">
        <v>0</v>
      </c>
      <c r="U76" s="26" t="n">
        <v>0</v>
      </c>
    </row>
    <row r="77" customFormat="false" ht="15" hidden="false" customHeight="true" outlineLevel="0" collapsed="false">
      <c r="A77" s="8" t="s">
        <v>407</v>
      </c>
      <c r="B77" s="8" t="s">
        <v>264</v>
      </c>
      <c r="C77" s="8" t="s">
        <v>481</v>
      </c>
      <c r="D77" s="26" t="n">
        <v>0</v>
      </c>
      <c r="E77" s="26" t="n">
        <v>0</v>
      </c>
      <c r="F77" s="26" t="n">
        <v>628</v>
      </c>
      <c r="G77" s="26" t="n">
        <v>0</v>
      </c>
      <c r="H77" s="26" t="n">
        <v>0</v>
      </c>
      <c r="I77" s="26" t="n">
        <v>603.4</v>
      </c>
      <c r="J77" s="26" t="n">
        <v>0</v>
      </c>
      <c r="K77" s="26" t="n">
        <v>0</v>
      </c>
      <c r="L77" s="26" t="n">
        <v>0</v>
      </c>
      <c r="M77" s="26" t="n">
        <v>0</v>
      </c>
      <c r="N77" s="26" t="n">
        <v>0</v>
      </c>
      <c r="O77" s="26" t="n">
        <v>0</v>
      </c>
      <c r="P77" s="26" t="n">
        <v>-301.7</v>
      </c>
      <c r="Q77" s="26" t="n">
        <v>0</v>
      </c>
      <c r="R77" s="26" t="n">
        <v>905.1</v>
      </c>
      <c r="S77" s="26" t="n">
        <v>0</v>
      </c>
      <c r="T77" s="26" t="n">
        <v>0</v>
      </c>
      <c r="U77" s="26" t="n">
        <v>0</v>
      </c>
    </row>
    <row r="78" customFormat="false" ht="15" hidden="false" customHeight="true" outlineLevel="0" collapsed="false">
      <c r="A78" s="8" t="s">
        <v>407</v>
      </c>
      <c r="B78" s="8" t="s">
        <v>302</v>
      </c>
      <c r="C78" s="8" t="s">
        <v>482</v>
      </c>
      <c r="D78" s="26" t="n">
        <v>0</v>
      </c>
      <c r="E78" s="26" t="n">
        <v>0</v>
      </c>
      <c r="F78" s="26" t="n">
        <v>743.5</v>
      </c>
      <c r="G78" s="26" t="n">
        <v>0</v>
      </c>
      <c r="H78" s="26" t="n">
        <v>0</v>
      </c>
      <c r="I78" s="26" t="n">
        <v>-178.9</v>
      </c>
      <c r="J78" s="26" t="n">
        <v>0</v>
      </c>
      <c r="K78" s="26" t="n">
        <v>0</v>
      </c>
      <c r="L78" s="26" t="n">
        <v>0</v>
      </c>
      <c r="M78" s="26" t="n">
        <v>0</v>
      </c>
      <c r="N78" s="26" t="n">
        <v>0</v>
      </c>
      <c r="O78" s="26" t="n">
        <v>0</v>
      </c>
      <c r="P78" s="26" t="n">
        <v>-178.9</v>
      </c>
      <c r="Q78" s="26" t="n">
        <v>0</v>
      </c>
      <c r="R78" s="26" t="n">
        <v>0</v>
      </c>
      <c r="S78" s="26" t="n">
        <v>0</v>
      </c>
      <c r="T78" s="26" t="n">
        <v>0</v>
      </c>
      <c r="U78" s="26" t="n">
        <v>0</v>
      </c>
    </row>
    <row r="79" customFormat="false" ht="15" hidden="false" customHeight="true" outlineLevel="0" collapsed="false">
      <c r="A79" s="8" t="s">
        <v>407</v>
      </c>
      <c r="B79" s="8" t="s">
        <v>302</v>
      </c>
      <c r="C79" s="8" t="s">
        <v>483</v>
      </c>
      <c r="D79" s="26" t="n">
        <v>0</v>
      </c>
      <c r="E79" s="26" t="n">
        <v>0</v>
      </c>
      <c r="F79" s="26" t="n">
        <v>346.8</v>
      </c>
      <c r="G79" s="26" t="n">
        <v>0</v>
      </c>
      <c r="H79" s="26" t="n">
        <v>0</v>
      </c>
      <c r="I79" s="26" t="n">
        <v>-166.1</v>
      </c>
      <c r="J79" s="26" t="n">
        <v>0</v>
      </c>
      <c r="K79" s="26" t="n">
        <v>0</v>
      </c>
      <c r="L79" s="26" t="n">
        <v>0</v>
      </c>
      <c r="M79" s="26" t="n">
        <v>0</v>
      </c>
      <c r="N79" s="26" t="n">
        <v>0</v>
      </c>
      <c r="O79" s="26" t="n">
        <v>0</v>
      </c>
      <c r="P79" s="26" t="n">
        <v>0</v>
      </c>
      <c r="Q79" s="26" t="n">
        <v>-166.1</v>
      </c>
      <c r="R79" s="26" t="n">
        <v>0</v>
      </c>
      <c r="S79" s="26" t="n">
        <v>0</v>
      </c>
      <c r="T79" s="26" t="n">
        <v>0</v>
      </c>
      <c r="U79" s="26" t="n">
        <v>0</v>
      </c>
    </row>
    <row r="80" customFormat="false" ht="15" hidden="false" customHeight="true" outlineLevel="0" collapsed="false">
      <c r="A80" s="8" t="s">
        <v>407</v>
      </c>
      <c r="B80" s="8" t="s">
        <v>192</v>
      </c>
      <c r="C80" s="8" t="s">
        <v>484</v>
      </c>
      <c r="D80" s="26" t="n">
        <v>0</v>
      </c>
      <c r="E80" s="26" t="n">
        <v>0</v>
      </c>
      <c r="F80" s="26" t="n">
        <v>549.8</v>
      </c>
      <c r="G80" s="26" t="n">
        <v>0</v>
      </c>
      <c r="H80" s="26" t="n">
        <v>0</v>
      </c>
      <c r="I80" s="26" t="n">
        <v>0</v>
      </c>
      <c r="J80" s="26" t="n">
        <v>0</v>
      </c>
      <c r="K80" s="26" t="n">
        <v>0</v>
      </c>
      <c r="L80" s="26" t="n">
        <v>0</v>
      </c>
      <c r="M80" s="26" t="n">
        <v>0</v>
      </c>
      <c r="N80" s="26" t="n">
        <v>0</v>
      </c>
      <c r="O80" s="26" t="n">
        <v>0</v>
      </c>
      <c r="P80" s="26" t="n">
        <v>0</v>
      </c>
      <c r="Q80" s="26" t="n">
        <v>0</v>
      </c>
      <c r="R80" s="26" t="n">
        <v>0</v>
      </c>
      <c r="S80" s="26" t="n">
        <v>0</v>
      </c>
      <c r="T80" s="26" t="n">
        <v>0</v>
      </c>
      <c r="U80" s="26" t="n">
        <v>0</v>
      </c>
    </row>
    <row r="81" customFormat="false" ht="15" hidden="false" customHeight="true" outlineLevel="0" collapsed="false">
      <c r="A81" s="8" t="s">
        <v>407</v>
      </c>
      <c r="B81" s="8" t="s">
        <v>192</v>
      </c>
      <c r="C81" s="8" t="s">
        <v>485</v>
      </c>
      <c r="D81" s="26" t="n">
        <v>0</v>
      </c>
      <c r="E81" s="26" t="n">
        <v>0</v>
      </c>
      <c r="F81" s="26" t="n">
        <v>1087.2</v>
      </c>
      <c r="G81" s="26" t="n">
        <v>0</v>
      </c>
      <c r="H81" s="26" t="n">
        <v>0</v>
      </c>
      <c r="I81" s="26" t="n">
        <v>881.6</v>
      </c>
      <c r="J81" s="26" t="n">
        <v>0</v>
      </c>
      <c r="K81" s="26" t="n">
        <v>0</v>
      </c>
      <c r="L81" s="26" t="n">
        <v>0</v>
      </c>
      <c r="M81" s="26" t="n">
        <v>0</v>
      </c>
      <c r="N81" s="26" t="n">
        <v>0</v>
      </c>
      <c r="O81" s="26" t="n">
        <v>0</v>
      </c>
      <c r="P81" s="26" t="n">
        <v>0</v>
      </c>
      <c r="Q81" s="26" t="n">
        <v>166.1</v>
      </c>
      <c r="R81" s="26" t="n">
        <v>715.5</v>
      </c>
      <c r="S81" s="26" t="n">
        <v>0</v>
      </c>
      <c r="T81" s="26" t="n">
        <v>0</v>
      </c>
      <c r="U81" s="26" t="n">
        <v>0</v>
      </c>
    </row>
    <row r="82" customFormat="false" ht="15" hidden="false" customHeight="true" outlineLevel="0" collapsed="false">
      <c r="A82" s="8" t="s">
        <v>407</v>
      </c>
      <c r="B82" s="8" t="s">
        <v>192</v>
      </c>
      <c r="C82" s="8" t="s">
        <v>486</v>
      </c>
      <c r="D82" s="26" t="n">
        <v>0</v>
      </c>
      <c r="E82" s="26" t="n">
        <v>0</v>
      </c>
      <c r="F82" s="26" t="n">
        <v>1274.6</v>
      </c>
      <c r="G82" s="26" t="n">
        <v>0</v>
      </c>
      <c r="H82" s="26" t="n">
        <v>0</v>
      </c>
      <c r="I82" s="26" t="n">
        <v>12.8</v>
      </c>
      <c r="J82" s="26" t="n">
        <v>0</v>
      </c>
      <c r="K82" s="26" t="n">
        <v>0</v>
      </c>
      <c r="L82" s="26" t="n">
        <v>0</v>
      </c>
      <c r="M82" s="26" t="n">
        <v>0</v>
      </c>
      <c r="N82" s="26" t="n">
        <v>0</v>
      </c>
      <c r="O82" s="26" t="n">
        <v>0</v>
      </c>
      <c r="P82" s="26" t="n">
        <v>0</v>
      </c>
      <c r="Q82" s="26" t="n">
        <v>-166.1</v>
      </c>
      <c r="R82" s="26" t="n">
        <v>178.9</v>
      </c>
      <c r="S82" s="26" t="n">
        <v>0</v>
      </c>
      <c r="T82" s="26" t="n">
        <v>0</v>
      </c>
      <c r="U82" s="26" t="n">
        <v>0</v>
      </c>
    </row>
    <row r="83" customFormat="false" ht="15" hidden="false" customHeight="true" outlineLevel="0" collapsed="false">
      <c r="A83" s="8" t="s">
        <v>407</v>
      </c>
      <c r="B83" s="8" t="s">
        <v>192</v>
      </c>
      <c r="C83" s="8" t="s">
        <v>487</v>
      </c>
      <c r="D83" s="26" t="n">
        <v>0</v>
      </c>
      <c r="E83" s="26" t="n">
        <v>0</v>
      </c>
      <c r="F83" s="26" t="n">
        <v>718.9</v>
      </c>
      <c r="G83" s="26" t="n">
        <v>0</v>
      </c>
      <c r="H83" s="26" t="n">
        <v>0</v>
      </c>
      <c r="I83" s="26" t="n">
        <v>-332.2</v>
      </c>
      <c r="J83" s="26" t="n">
        <v>0</v>
      </c>
      <c r="K83" s="26" t="n">
        <v>0</v>
      </c>
      <c r="L83" s="26" t="n">
        <v>0</v>
      </c>
      <c r="M83" s="26" t="n">
        <v>0</v>
      </c>
      <c r="N83" s="26" t="n">
        <v>0</v>
      </c>
      <c r="O83" s="26" t="n">
        <v>0</v>
      </c>
      <c r="P83" s="26" t="n">
        <v>0</v>
      </c>
      <c r="Q83" s="26" t="n">
        <v>-332.2</v>
      </c>
      <c r="R83" s="26" t="n">
        <v>0</v>
      </c>
      <c r="S83" s="26" t="n">
        <v>0</v>
      </c>
      <c r="T83" s="26" t="n">
        <v>0</v>
      </c>
      <c r="U83" s="26" t="n">
        <v>0</v>
      </c>
    </row>
    <row r="84" customFormat="false" ht="15" hidden="false" customHeight="true" outlineLevel="0" collapsed="false">
      <c r="A84" s="8" t="s">
        <v>407</v>
      </c>
      <c r="B84" s="8" t="s">
        <v>317</v>
      </c>
      <c r="C84" s="8" t="s">
        <v>488</v>
      </c>
      <c r="D84" s="26" t="n">
        <v>0</v>
      </c>
      <c r="E84" s="26" t="n">
        <v>0</v>
      </c>
      <c r="F84" s="26" t="n">
        <v>141.8</v>
      </c>
      <c r="G84" s="26" t="n">
        <v>0</v>
      </c>
      <c r="H84" s="26" t="n">
        <v>0</v>
      </c>
      <c r="I84" s="26" t="n">
        <v>0</v>
      </c>
      <c r="J84" s="26" t="n">
        <v>0</v>
      </c>
      <c r="K84" s="26" t="n">
        <v>0</v>
      </c>
      <c r="L84" s="26" t="n">
        <v>0</v>
      </c>
      <c r="M84" s="26" t="n">
        <v>0</v>
      </c>
      <c r="N84" s="26" t="n">
        <v>0</v>
      </c>
      <c r="O84" s="26" t="n">
        <v>0</v>
      </c>
      <c r="P84" s="26" t="n">
        <v>0</v>
      </c>
      <c r="Q84" s="26" t="n">
        <v>0</v>
      </c>
      <c r="R84" s="26" t="n">
        <v>0</v>
      </c>
      <c r="S84" s="26" t="n">
        <v>0</v>
      </c>
      <c r="T84" s="26" t="n">
        <v>0</v>
      </c>
      <c r="U84" s="26" t="n">
        <v>0</v>
      </c>
    </row>
    <row r="85" customFormat="false" ht="15" hidden="false" customHeight="true" outlineLevel="0" collapsed="false">
      <c r="A85" s="8" t="s">
        <v>407</v>
      </c>
      <c r="B85" s="8" t="s">
        <v>318</v>
      </c>
      <c r="C85" s="8" t="s">
        <v>489</v>
      </c>
      <c r="D85" s="26" t="n">
        <v>0</v>
      </c>
      <c r="E85" s="26" t="n">
        <v>0</v>
      </c>
      <c r="F85" s="26" t="n">
        <v>142</v>
      </c>
      <c r="G85" s="26" t="n">
        <v>0</v>
      </c>
      <c r="H85" s="26" t="n">
        <v>0</v>
      </c>
      <c r="I85" s="26" t="n">
        <v>-262.1</v>
      </c>
      <c r="J85" s="26" t="n">
        <v>0</v>
      </c>
      <c r="K85" s="26" t="n">
        <v>0</v>
      </c>
      <c r="L85" s="26" t="n">
        <v>0</v>
      </c>
      <c r="M85" s="26" t="n">
        <v>0</v>
      </c>
      <c r="N85" s="26" t="n">
        <v>0</v>
      </c>
      <c r="O85" s="26" t="n">
        <v>0</v>
      </c>
      <c r="P85" s="26" t="n">
        <v>0</v>
      </c>
      <c r="Q85" s="26" t="n">
        <v>-262.1</v>
      </c>
      <c r="R85" s="26" t="n">
        <v>0</v>
      </c>
      <c r="S85" s="26" t="n">
        <v>0</v>
      </c>
      <c r="T85" s="26" t="n">
        <v>0</v>
      </c>
      <c r="U85" s="26" t="n">
        <v>0</v>
      </c>
    </row>
    <row r="86" customFormat="false" ht="15" hidden="false" customHeight="true" outlineLevel="0" collapsed="false">
      <c r="A86" s="8" t="s">
        <v>407</v>
      </c>
      <c r="B86" s="8" t="s">
        <v>208</v>
      </c>
      <c r="C86" s="8" t="s">
        <v>490</v>
      </c>
      <c r="D86" s="26" t="n">
        <v>0</v>
      </c>
      <c r="E86" s="26" t="n">
        <v>0</v>
      </c>
      <c r="F86" s="26" t="n">
        <v>1561.4</v>
      </c>
      <c r="G86" s="26" t="n">
        <v>0</v>
      </c>
      <c r="H86" s="26" t="n">
        <v>69.6</v>
      </c>
      <c r="I86" s="26" t="n">
        <v>18291</v>
      </c>
      <c r="J86" s="26" t="n">
        <v>0</v>
      </c>
      <c r="K86" s="26" t="n">
        <v>75</v>
      </c>
      <c r="L86" s="26" t="n">
        <v>0</v>
      </c>
      <c r="M86" s="26" t="n">
        <v>0</v>
      </c>
      <c r="N86" s="26" t="n">
        <v>321.8</v>
      </c>
      <c r="O86" s="26" t="n">
        <v>0</v>
      </c>
      <c r="P86" s="26" t="n">
        <v>-315.9</v>
      </c>
      <c r="Q86" s="26" t="n">
        <v>15661.5</v>
      </c>
      <c r="R86" s="26" t="n">
        <v>2548.6</v>
      </c>
      <c r="S86" s="26" t="n">
        <v>0</v>
      </c>
      <c r="T86" s="26" t="n">
        <v>0</v>
      </c>
      <c r="U86" s="26" t="n">
        <v>0</v>
      </c>
    </row>
    <row r="87" customFormat="false" ht="15" hidden="false" customHeight="true" outlineLevel="0" collapsed="false">
      <c r="A87" s="8" t="s">
        <v>407</v>
      </c>
      <c r="B87" s="8" t="s">
        <v>234</v>
      </c>
      <c r="C87" s="8" t="s">
        <v>491</v>
      </c>
      <c r="D87" s="26" t="n">
        <v>0</v>
      </c>
      <c r="E87" s="26" t="n">
        <v>0</v>
      </c>
      <c r="F87" s="26" t="n">
        <v>0</v>
      </c>
      <c r="G87" s="26" t="n">
        <v>0</v>
      </c>
      <c r="H87" s="26" t="n">
        <v>0</v>
      </c>
      <c r="I87" s="26" t="n">
        <v>-258.3</v>
      </c>
      <c r="J87" s="26" t="n">
        <v>0</v>
      </c>
      <c r="K87" s="26" t="n">
        <v>0</v>
      </c>
      <c r="L87" s="26" t="n">
        <v>0</v>
      </c>
      <c r="M87" s="26" t="n">
        <v>0</v>
      </c>
      <c r="N87" s="26" t="n">
        <v>0</v>
      </c>
      <c r="O87" s="26" t="n">
        <v>0</v>
      </c>
      <c r="P87" s="26" t="n">
        <v>-176.4</v>
      </c>
      <c r="Q87" s="26" t="n">
        <v>-81.9</v>
      </c>
      <c r="R87" s="26" t="n">
        <v>0</v>
      </c>
      <c r="S87" s="26" t="n">
        <v>0</v>
      </c>
      <c r="T87" s="26" t="n">
        <v>0</v>
      </c>
      <c r="U87" s="26" t="n">
        <v>0</v>
      </c>
    </row>
    <row r="88" customFormat="false" ht="15" hidden="false" customHeight="true" outlineLevel="0" collapsed="false">
      <c r="A88" s="8" t="s">
        <v>407</v>
      </c>
      <c r="B88" s="8" t="s">
        <v>234</v>
      </c>
      <c r="C88" s="8" t="s">
        <v>492</v>
      </c>
      <c r="D88" s="26" t="n">
        <v>0</v>
      </c>
      <c r="E88" s="26" t="n">
        <v>0</v>
      </c>
      <c r="F88" s="26" t="n">
        <v>740.1</v>
      </c>
      <c r="G88" s="26" t="n">
        <v>0</v>
      </c>
      <c r="H88" s="26" t="n">
        <v>0</v>
      </c>
      <c r="I88" s="26" t="n">
        <v>1434.5</v>
      </c>
      <c r="J88" s="26" t="n">
        <v>0</v>
      </c>
      <c r="K88" s="26" t="n">
        <v>0</v>
      </c>
      <c r="L88" s="26" t="n">
        <v>0</v>
      </c>
      <c r="M88" s="26" t="n">
        <v>0</v>
      </c>
      <c r="N88" s="26" t="n">
        <v>0</v>
      </c>
      <c r="O88" s="26" t="n">
        <v>0</v>
      </c>
      <c r="P88" s="26" t="n">
        <v>0</v>
      </c>
      <c r="Q88" s="26" t="n">
        <v>728.9</v>
      </c>
      <c r="R88" s="26" t="n">
        <v>705.6</v>
      </c>
      <c r="S88" s="26" t="n">
        <v>0</v>
      </c>
      <c r="T88" s="26" t="n">
        <v>0</v>
      </c>
      <c r="U88" s="26" t="n">
        <v>0</v>
      </c>
    </row>
    <row r="89" customFormat="false" ht="15" hidden="false" customHeight="true" outlineLevel="0" collapsed="false">
      <c r="A89" s="8" t="s">
        <v>407</v>
      </c>
      <c r="B89" s="8" t="s">
        <v>234</v>
      </c>
      <c r="C89" s="8" t="s">
        <v>493</v>
      </c>
      <c r="D89" s="26" t="n">
        <v>0</v>
      </c>
      <c r="E89" s="26" t="n">
        <v>0</v>
      </c>
      <c r="F89" s="26" t="n">
        <v>0.1</v>
      </c>
      <c r="G89" s="26" t="n">
        <v>0</v>
      </c>
      <c r="H89" s="26" t="n">
        <v>0</v>
      </c>
      <c r="I89" s="26" t="n">
        <v>573.3</v>
      </c>
      <c r="J89" s="26" t="n">
        <v>0</v>
      </c>
      <c r="K89" s="26" t="n">
        <v>0</v>
      </c>
      <c r="L89" s="26" t="n">
        <v>0</v>
      </c>
      <c r="M89" s="26" t="n">
        <v>0</v>
      </c>
      <c r="N89" s="26" t="n">
        <v>0</v>
      </c>
      <c r="O89" s="26" t="n">
        <v>0</v>
      </c>
      <c r="P89" s="26" t="n">
        <v>-88.2</v>
      </c>
      <c r="Q89" s="26" t="n">
        <v>573.3</v>
      </c>
      <c r="R89" s="26" t="n">
        <v>88.2</v>
      </c>
      <c r="S89" s="26" t="n">
        <v>0</v>
      </c>
      <c r="T89" s="26" t="n">
        <v>0</v>
      </c>
      <c r="U89" s="26" t="n">
        <v>0</v>
      </c>
    </row>
    <row r="90" customFormat="false" ht="15" hidden="false" customHeight="true" outlineLevel="0" collapsed="false">
      <c r="A90" s="8" t="s">
        <v>407</v>
      </c>
      <c r="B90" s="8" t="s">
        <v>234</v>
      </c>
      <c r="C90" s="8" t="s">
        <v>494</v>
      </c>
      <c r="D90" s="26" t="n">
        <v>0</v>
      </c>
      <c r="E90" s="26" t="n">
        <v>0</v>
      </c>
      <c r="F90" s="26" t="n">
        <v>843.7</v>
      </c>
      <c r="G90" s="26" t="n">
        <v>0</v>
      </c>
      <c r="H90" s="26" t="n">
        <v>82</v>
      </c>
      <c r="I90" s="26" t="n">
        <v>1581.6</v>
      </c>
      <c r="J90" s="26" t="n">
        <v>0</v>
      </c>
      <c r="K90" s="26" t="n">
        <v>0</v>
      </c>
      <c r="L90" s="26" t="n">
        <v>0</v>
      </c>
      <c r="M90" s="26" t="n">
        <v>0</v>
      </c>
      <c r="N90" s="26" t="n">
        <v>0</v>
      </c>
      <c r="O90" s="26" t="n">
        <v>0</v>
      </c>
      <c r="P90" s="26" t="n">
        <v>0</v>
      </c>
      <c r="Q90" s="26" t="n">
        <v>1052.4</v>
      </c>
      <c r="R90" s="26" t="n">
        <v>529.2</v>
      </c>
      <c r="S90" s="26" t="n">
        <v>0</v>
      </c>
      <c r="T90" s="26" t="n">
        <v>0</v>
      </c>
      <c r="U90" s="26" t="n">
        <v>0</v>
      </c>
    </row>
    <row r="91" customFormat="false" ht="15" hidden="false" customHeight="true" outlineLevel="0" collapsed="false">
      <c r="A91" s="8" t="s">
        <v>407</v>
      </c>
      <c r="B91" s="8" t="s">
        <v>234</v>
      </c>
      <c r="C91" s="8" t="s">
        <v>495</v>
      </c>
      <c r="D91" s="26" t="n">
        <v>0</v>
      </c>
      <c r="E91" s="26" t="n">
        <v>0</v>
      </c>
      <c r="F91" s="26" t="n">
        <v>752.9</v>
      </c>
      <c r="G91" s="26" t="n">
        <v>0</v>
      </c>
      <c r="H91" s="26" t="n">
        <v>0</v>
      </c>
      <c r="I91" s="26" t="n">
        <v>0</v>
      </c>
      <c r="J91" s="26" t="n">
        <v>0</v>
      </c>
      <c r="K91" s="26" t="n">
        <v>0</v>
      </c>
      <c r="L91" s="26" t="n">
        <v>0</v>
      </c>
      <c r="M91" s="26" t="n">
        <v>0</v>
      </c>
      <c r="N91" s="26" t="n">
        <v>0</v>
      </c>
      <c r="O91" s="26" t="n">
        <v>0</v>
      </c>
      <c r="P91" s="26" t="n">
        <v>0</v>
      </c>
      <c r="Q91" s="26" t="n">
        <v>0</v>
      </c>
      <c r="R91" s="26" t="n">
        <v>0</v>
      </c>
      <c r="S91" s="26" t="n">
        <v>0</v>
      </c>
      <c r="T91" s="26" t="n">
        <v>0</v>
      </c>
      <c r="U91" s="26" t="n">
        <v>0</v>
      </c>
    </row>
    <row r="92" customFormat="false" ht="15" hidden="false" customHeight="true" outlineLevel="0" collapsed="false">
      <c r="A92" s="8" t="s">
        <v>407</v>
      </c>
      <c r="B92" s="8" t="s">
        <v>214</v>
      </c>
      <c r="C92" s="8" t="s">
        <v>496</v>
      </c>
      <c r="D92" s="26" t="n">
        <v>0</v>
      </c>
      <c r="E92" s="26" t="n">
        <v>0</v>
      </c>
      <c r="F92" s="26" t="n">
        <v>3639.3</v>
      </c>
      <c r="G92" s="26" t="n">
        <v>0</v>
      </c>
      <c r="H92" s="26" t="n">
        <v>0</v>
      </c>
      <c r="I92" s="26" t="n">
        <v>7393.4</v>
      </c>
      <c r="J92" s="26" t="n">
        <v>0</v>
      </c>
      <c r="K92" s="26" t="n">
        <v>68.7</v>
      </c>
      <c r="L92" s="26" t="n">
        <v>0</v>
      </c>
      <c r="M92" s="26" t="n">
        <v>0</v>
      </c>
      <c r="N92" s="26" t="n">
        <v>0</v>
      </c>
      <c r="O92" s="26" t="n">
        <v>0</v>
      </c>
      <c r="P92" s="26" t="n">
        <v>-34.4</v>
      </c>
      <c r="Q92" s="26" t="n">
        <v>5949.8</v>
      </c>
      <c r="R92" s="26" t="n">
        <v>1409.2</v>
      </c>
      <c r="S92" s="26" t="n">
        <v>0</v>
      </c>
      <c r="T92" s="26" t="n">
        <v>0</v>
      </c>
      <c r="U92" s="26" t="n">
        <v>0</v>
      </c>
    </row>
    <row r="93" customFormat="false" ht="15" hidden="false" customHeight="true" outlineLevel="0" collapsed="false">
      <c r="A93" s="8" t="s">
        <v>407</v>
      </c>
      <c r="B93" s="8" t="s">
        <v>214</v>
      </c>
      <c r="C93" s="8" t="s">
        <v>497</v>
      </c>
      <c r="D93" s="26" t="n">
        <v>0</v>
      </c>
      <c r="E93" s="26" t="n">
        <v>0</v>
      </c>
      <c r="F93" s="26" t="n">
        <v>1639.6</v>
      </c>
      <c r="G93" s="26" t="n">
        <v>0</v>
      </c>
      <c r="H93" s="26" t="n">
        <v>0</v>
      </c>
      <c r="I93" s="26" t="n">
        <v>4919.8</v>
      </c>
      <c r="J93" s="26" t="n">
        <v>0</v>
      </c>
      <c r="K93" s="26" t="n">
        <v>171.9</v>
      </c>
      <c r="L93" s="26" t="n">
        <v>0</v>
      </c>
      <c r="M93" s="26" t="n">
        <v>0</v>
      </c>
      <c r="N93" s="26" t="n">
        <v>0</v>
      </c>
      <c r="O93" s="26" t="n">
        <v>0</v>
      </c>
      <c r="P93" s="26" t="n">
        <v>-34.4</v>
      </c>
      <c r="Q93" s="26" t="n">
        <v>3854.3</v>
      </c>
      <c r="R93" s="26" t="n">
        <v>928</v>
      </c>
      <c r="S93" s="26" t="n">
        <v>0</v>
      </c>
      <c r="T93" s="26" t="n">
        <v>0</v>
      </c>
      <c r="U93" s="26" t="n">
        <v>0</v>
      </c>
    </row>
    <row r="94" customFormat="false" ht="15" hidden="false" customHeight="true" outlineLevel="0" collapsed="false">
      <c r="A94" s="8" t="s">
        <v>407</v>
      </c>
      <c r="B94" s="8" t="s">
        <v>138</v>
      </c>
      <c r="C94" s="8" t="s">
        <v>498</v>
      </c>
      <c r="D94" s="26" t="n">
        <v>0</v>
      </c>
      <c r="E94" s="26" t="n">
        <v>0</v>
      </c>
      <c r="F94" s="26" t="n">
        <v>3773.9</v>
      </c>
      <c r="G94" s="26" t="n">
        <v>0</v>
      </c>
      <c r="H94" s="26" t="n">
        <v>0</v>
      </c>
      <c r="I94" s="26" t="n">
        <v>3246.9</v>
      </c>
      <c r="J94" s="26" t="n">
        <v>0</v>
      </c>
      <c r="K94" s="26" t="n">
        <v>0</v>
      </c>
      <c r="L94" s="26" t="n">
        <v>0</v>
      </c>
      <c r="M94" s="26" t="n">
        <v>0</v>
      </c>
      <c r="N94" s="26" t="n">
        <v>0</v>
      </c>
      <c r="O94" s="26" t="n">
        <v>0</v>
      </c>
      <c r="P94" s="26" t="n">
        <v>0</v>
      </c>
      <c r="Q94" s="26" t="n">
        <v>3246.9</v>
      </c>
      <c r="R94" s="26" t="n">
        <v>0</v>
      </c>
      <c r="S94" s="26" t="n">
        <v>0</v>
      </c>
      <c r="T94" s="26" t="n">
        <v>0</v>
      </c>
      <c r="U94" s="26" t="n">
        <v>0</v>
      </c>
    </row>
    <row r="95" customFormat="false" ht="15" hidden="false" customHeight="true" outlineLevel="0" collapsed="false">
      <c r="A95" s="8" t="s">
        <v>407</v>
      </c>
      <c r="B95" s="8" t="s">
        <v>138</v>
      </c>
      <c r="C95" s="8" t="s">
        <v>499</v>
      </c>
      <c r="D95" s="26" t="n">
        <v>0</v>
      </c>
      <c r="E95" s="26" t="n">
        <v>0</v>
      </c>
      <c r="F95" s="26" t="n">
        <v>2689.7</v>
      </c>
      <c r="G95" s="26" t="n">
        <v>0</v>
      </c>
      <c r="H95" s="26" t="n">
        <v>0</v>
      </c>
      <c r="I95" s="26" t="n">
        <v>3688.3</v>
      </c>
      <c r="J95" s="26" t="n">
        <v>0</v>
      </c>
      <c r="K95" s="26" t="n">
        <v>0</v>
      </c>
      <c r="L95" s="26" t="n">
        <v>0</v>
      </c>
      <c r="M95" s="26" t="n">
        <v>0</v>
      </c>
      <c r="N95" s="26" t="n">
        <v>0</v>
      </c>
      <c r="O95" s="26" t="n">
        <v>0</v>
      </c>
      <c r="P95" s="26" t="n">
        <v>0</v>
      </c>
      <c r="Q95" s="26" t="n">
        <v>3688.3</v>
      </c>
      <c r="R95" s="26" t="n">
        <v>0</v>
      </c>
      <c r="S95" s="26" t="n">
        <v>0</v>
      </c>
      <c r="T95" s="26" t="n">
        <v>0</v>
      </c>
      <c r="U95" s="26" t="n">
        <v>0</v>
      </c>
    </row>
    <row r="96" customFormat="false" ht="15" hidden="false" customHeight="true" outlineLevel="0" collapsed="false">
      <c r="A96" s="8" t="s">
        <v>407</v>
      </c>
      <c r="B96" s="8" t="s">
        <v>96</v>
      </c>
      <c r="C96" s="8" t="s">
        <v>500</v>
      </c>
      <c r="D96" s="26" t="n">
        <v>0</v>
      </c>
      <c r="E96" s="26" t="n">
        <v>0</v>
      </c>
      <c r="F96" s="26" t="n">
        <v>24107.4</v>
      </c>
      <c r="G96" s="26" t="n">
        <v>0</v>
      </c>
      <c r="H96" s="26" t="n">
        <v>0</v>
      </c>
      <c r="I96" s="26" t="n">
        <v>177353.6</v>
      </c>
      <c r="J96" s="26" t="n">
        <v>0</v>
      </c>
      <c r="K96" s="26" t="n">
        <v>555.2</v>
      </c>
      <c r="L96" s="26" t="n">
        <v>0</v>
      </c>
      <c r="M96" s="26" t="n">
        <v>140.5</v>
      </c>
      <c r="N96" s="26" t="n">
        <v>391.9</v>
      </c>
      <c r="O96" s="26" t="n">
        <v>382.4</v>
      </c>
      <c r="P96" s="26" t="n">
        <v>-277.6</v>
      </c>
      <c r="Q96" s="26" t="n">
        <v>161481.4</v>
      </c>
      <c r="R96" s="26" t="n">
        <v>14679.9</v>
      </c>
      <c r="S96" s="26" t="n">
        <v>43.7</v>
      </c>
      <c r="T96" s="26" t="n">
        <v>0</v>
      </c>
      <c r="U96" s="26" t="n">
        <v>0</v>
      </c>
    </row>
    <row r="97" customFormat="false" ht="15" hidden="false" customHeight="true" outlineLevel="0" collapsed="false">
      <c r="A97" s="8" t="s">
        <v>407</v>
      </c>
      <c r="B97" s="8" t="s">
        <v>125</v>
      </c>
      <c r="C97" s="8" t="s">
        <v>500</v>
      </c>
      <c r="D97" s="26" t="n">
        <v>0</v>
      </c>
      <c r="E97" s="26" t="n">
        <v>0</v>
      </c>
      <c r="F97" s="26" t="n">
        <v>20889.7</v>
      </c>
      <c r="G97" s="26" t="n">
        <v>0</v>
      </c>
      <c r="H97" s="26" t="n">
        <v>0</v>
      </c>
      <c r="I97" s="26" t="n">
        <v>212254.7</v>
      </c>
      <c r="J97" s="26" t="n">
        <v>0</v>
      </c>
      <c r="K97" s="26" t="n">
        <v>317.3</v>
      </c>
      <c r="L97" s="26" t="n">
        <v>0</v>
      </c>
      <c r="M97" s="26" t="n">
        <v>327.8</v>
      </c>
      <c r="N97" s="26" t="n">
        <v>93.6</v>
      </c>
      <c r="O97" s="26" t="n">
        <v>127.5</v>
      </c>
      <c r="P97" s="26" t="n">
        <v>-277.6</v>
      </c>
      <c r="Q97" s="26" t="n">
        <v>199054.3</v>
      </c>
      <c r="R97" s="26" t="n">
        <v>12611.9</v>
      </c>
      <c r="S97" s="26" t="n">
        <v>0</v>
      </c>
      <c r="T97" s="26" t="n">
        <v>0</v>
      </c>
      <c r="U97" s="26" t="n">
        <v>0</v>
      </c>
    </row>
    <row r="98" customFormat="false" ht="15" hidden="false" customHeight="true" outlineLevel="0" collapsed="false">
      <c r="A98" s="8" t="s">
        <v>407</v>
      </c>
      <c r="B98" s="8" t="s">
        <v>331</v>
      </c>
      <c r="C98" s="8" t="s">
        <v>501</v>
      </c>
      <c r="D98" s="26" t="n">
        <v>0</v>
      </c>
      <c r="E98" s="26" t="n">
        <v>0</v>
      </c>
      <c r="F98" s="26" t="n">
        <v>94.5</v>
      </c>
      <c r="G98" s="26" t="n">
        <v>0</v>
      </c>
      <c r="H98" s="26" t="n">
        <v>0</v>
      </c>
      <c r="I98" s="26" t="n">
        <v>0</v>
      </c>
      <c r="J98" s="26" t="n">
        <v>0</v>
      </c>
      <c r="K98" s="26" t="n">
        <v>0</v>
      </c>
      <c r="L98" s="26" t="n">
        <v>0</v>
      </c>
      <c r="M98" s="26" t="n">
        <v>0</v>
      </c>
      <c r="N98" s="26" t="n">
        <v>0</v>
      </c>
      <c r="O98" s="26" t="n">
        <v>0</v>
      </c>
      <c r="P98" s="26" t="n">
        <v>0</v>
      </c>
      <c r="Q98" s="26" t="n">
        <v>0</v>
      </c>
      <c r="R98" s="26" t="n">
        <v>0</v>
      </c>
      <c r="S98" s="26" t="n">
        <v>0</v>
      </c>
      <c r="T98" s="26" t="n">
        <v>0</v>
      </c>
      <c r="U98" s="26" t="n">
        <v>0</v>
      </c>
    </row>
    <row r="99" customFormat="false" ht="15" hidden="false" customHeight="true" outlineLevel="0" collapsed="false">
      <c r="A99" s="8" t="s">
        <v>407</v>
      </c>
      <c r="B99" s="8" t="s">
        <v>296</v>
      </c>
      <c r="C99" s="8" t="s">
        <v>502</v>
      </c>
      <c r="D99" s="26" t="n">
        <v>0</v>
      </c>
      <c r="E99" s="26" t="n">
        <v>0</v>
      </c>
      <c r="F99" s="26" t="n">
        <v>213</v>
      </c>
      <c r="G99" s="26" t="n">
        <v>0</v>
      </c>
      <c r="H99" s="26" t="n">
        <v>0</v>
      </c>
      <c r="I99" s="26" t="n">
        <v>0</v>
      </c>
      <c r="J99" s="26" t="n">
        <v>0</v>
      </c>
      <c r="K99" s="26" t="n">
        <v>0</v>
      </c>
      <c r="L99" s="26" t="n">
        <v>0</v>
      </c>
      <c r="M99" s="26" t="n">
        <v>0</v>
      </c>
      <c r="N99" s="26" t="n">
        <v>0</v>
      </c>
      <c r="O99" s="26" t="n">
        <v>0</v>
      </c>
      <c r="P99" s="26" t="n">
        <v>0</v>
      </c>
      <c r="Q99" s="26" t="n">
        <v>0</v>
      </c>
      <c r="R99" s="26" t="n">
        <v>0</v>
      </c>
      <c r="S99" s="26" t="n">
        <v>0</v>
      </c>
      <c r="T99" s="26" t="n">
        <v>0</v>
      </c>
      <c r="U99" s="26" t="n">
        <v>0</v>
      </c>
    </row>
    <row r="100" customFormat="false" ht="15" hidden="false" customHeight="true" outlineLevel="0" collapsed="false">
      <c r="A100" s="8" t="s">
        <v>407</v>
      </c>
      <c r="B100" s="8" t="s">
        <v>137</v>
      </c>
      <c r="C100" s="8" t="s">
        <v>503</v>
      </c>
      <c r="D100" s="26" t="n">
        <v>0</v>
      </c>
      <c r="E100" s="26" t="n">
        <v>0</v>
      </c>
      <c r="F100" s="26" t="n">
        <v>324.2</v>
      </c>
      <c r="G100" s="26" t="n">
        <v>0</v>
      </c>
      <c r="H100" s="26" t="n">
        <v>0</v>
      </c>
      <c r="I100" s="26" t="n">
        <v>0</v>
      </c>
      <c r="J100" s="26" t="n">
        <v>0</v>
      </c>
      <c r="K100" s="26" t="n">
        <v>0</v>
      </c>
      <c r="L100" s="26" t="n">
        <v>0</v>
      </c>
      <c r="M100" s="26" t="n">
        <v>0</v>
      </c>
      <c r="N100" s="26" t="n">
        <v>0</v>
      </c>
      <c r="O100" s="26" t="n">
        <v>0</v>
      </c>
      <c r="P100" s="26" t="n">
        <v>0</v>
      </c>
      <c r="Q100" s="26" t="n">
        <v>0</v>
      </c>
      <c r="R100" s="26" t="n">
        <v>0</v>
      </c>
      <c r="S100" s="26" t="n">
        <v>0</v>
      </c>
      <c r="T100" s="26" t="n">
        <v>0</v>
      </c>
      <c r="U100" s="26" t="n">
        <v>0</v>
      </c>
    </row>
    <row r="101" customFormat="false" ht="15" hidden="false" customHeight="true" outlineLevel="0" collapsed="false">
      <c r="A101" s="8" t="s">
        <v>407</v>
      </c>
      <c r="B101" s="8" t="s">
        <v>137</v>
      </c>
      <c r="C101" s="8" t="s">
        <v>504</v>
      </c>
      <c r="D101" s="26" t="n">
        <v>0</v>
      </c>
      <c r="E101" s="26" t="n">
        <v>0</v>
      </c>
      <c r="F101" s="26" t="n">
        <v>1052.8</v>
      </c>
      <c r="G101" s="26" t="n">
        <v>0</v>
      </c>
      <c r="H101" s="26" t="n">
        <v>0</v>
      </c>
      <c r="I101" s="26" t="n">
        <v>882.9</v>
      </c>
      <c r="J101" s="26" t="n">
        <v>0</v>
      </c>
      <c r="K101" s="26" t="n">
        <v>0</v>
      </c>
      <c r="L101" s="26" t="n">
        <v>0</v>
      </c>
      <c r="M101" s="26" t="n">
        <v>0</v>
      </c>
      <c r="N101" s="26" t="n">
        <v>0</v>
      </c>
      <c r="O101" s="26" t="n">
        <v>0</v>
      </c>
      <c r="P101" s="26" t="n">
        <v>0</v>
      </c>
      <c r="Q101" s="26" t="n">
        <v>882.9</v>
      </c>
      <c r="R101" s="26" t="n">
        <v>0</v>
      </c>
      <c r="S101" s="26" t="n">
        <v>0</v>
      </c>
      <c r="T101" s="26" t="n">
        <v>0</v>
      </c>
      <c r="U101" s="26" t="n">
        <v>0</v>
      </c>
    </row>
    <row r="102" customFormat="false" ht="15" hidden="false" customHeight="true" outlineLevel="0" collapsed="false">
      <c r="A102" s="8" t="s">
        <v>407</v>
      </c>
      <c r="B102" s="8" t="s">
        <v>137</v>
      </c>
      <c r="C102" s="8" t="s">
        <v>505</v>
      </c>
      <c r="D102" s="26" t="n">
        <v>0</v>
      </c>
      <c r="E102" s="26" t="n">
        <v>0</v>
      </c>
      <c r="F102" s="26" t="n">
        <v>1981.6</v>
      </c>
      <c r="G102" s="26" t="n">
        <v>0</v>
      </c>
      <c r="H102" s="26" t="n">
        <v>0</v>
      </c>
      <c r="I102" s="26" t="n">
        <v>1067.3</v>
      </c>
      <c r="J102" s="26" t="n">
        <v>0</v>
      </c>
      <c r="K102" s="26" t="n">
        <v>0</v>
      </c>
      <c r="L102" s="26" t="n">
        <v>0</v>
      </c>
      <c r="M102" s="26" t="n">
        <v>0</v>
      </c>
      <c r="N102" s="26" t="n">
        <v>0</v>
      </c>
      <c r="O102" s="26" t="n">
        <v>0</v>
      </c>
      <c r="P102" s="26" t="n">
        <v>-291.1</v>
      </c>
      <c r="Q102" s="26" t="n">
        <v>0</v>
      </c>
      <c r="R102" s="26" t="n">
        <v>1358.4</v>
      </c>
      <c r="S102" s="26" t="n">
        <v>0</v>
      </c>
      <c r="T102" s="26" t="n">
        <v>0</v>
      </c>
      <c r="U102" s="26" t="n">
        <v>0</v>
      </c>
    </row>
    <row r="103" customFormat="false" ht="15" hidden="false" customHeight="true" outlineLevel="0" collapsed="false">
      <c r="A103" s="8" t="s">
        <v>407</v>
      </c>
      <c r="B103" s="8" t="s">
        <v>137</v>
      </c>
      <c r="C103" s="8" t="s">
        <v>506</v>
      </c>
      <c r="D103" s="26" t="n">
        <v>0</v>
      </c>
      <c r="E103" s="26" t="n">
        <v>0</v>
      </c>
      <c r="F103" s="26" t="n">
        <v>3540</v>
      </c>
      <c r="G103" s="26" t="n">
        <v>0</v>
      </c>
      <c r="H103" s="26" t="n">
        <v>0</v>
      </c>
      <c r="I103" s="26" t="n">
        <v>0</v>
      </c>
      <c r="J103" s="26" t="n">
        <v>0</v>
      </c>
      <c r="K103" s="26" t="n">
        <v>0</v>
      </c>
      <c r="L103" s="26" t="n">
        <v>0</v>
      </c>
      <c r="M103" s="26" t="n">
        <v>0</v>
      </c>
      <c r="N103" s="26" t="n">
        <v>0</v>
      </c>
      <c r="O103" s="26" t="n">
        <v>0</v>
      </c>
      <c r="P103" s="26" t="n">
        <v>0</v>
      </c>
      <c r="Q103" s="26" t="n">
        <v>0</v>
      </c>
      <c r="R103" s="26" t="n">
        <v>0</v>
      </c>
      <c r="S103" s="26" t="n">
        <v>0</v>
      </c>
      <c r="T103" s="26" t="n">
        <v>0</v>
      </c>
      <c r="U103" s="26" t="n">
        <v>0</v>
      </c>
    </row>
    <row r="104" customFormat="false" ht="15" hidden="false" customHeight="true" outlineLevel="0" collapsed="false">
      <c r="A104" s="8" t="s">
        <v>407</v>
      </c>
      <c r="B104" s="8" t="s">
        <v>273</v>
      </c>
      <c r="C104" s="8" t="s">
        <v>507</v>
      </c>
      <c r="D104" s="26" t="n">
        <v>0</v>
      </c>
      <c r="E104" s="26" t="n">
        <v>0</v>
      </c>
      <c r="F104" s="26" t="n">
        <v>281.1</v>
      </c>
      <c r="G104" s="26" t="n">
        <v>0</v>
      </c>
      <c r="H104" s="26" t="n">
        <v>0</v>
      </c>
      <c r="I104" s="26" t="n">
        <v>0</v>
      </c>
      <c r="J104" s="26" t="n">
        <v>0</v>
      </c>
      <c r="K104" s="26" t="n">
        <v>0</v>
      </c>
      <c r="L104" s="26" t="n">
        <v>0</v>
      </c>
      <c r="M104" s="26" t="n">
        <v>0</v>
      </c>
      <c r="N104" s="26" t="n">
        <v>0</v>
      </c>
      <c r="O104" s="26" t="n">
        <v>0</v>
      </c>
      <c r="P104" s="26" t="n">
        <v>0</v>
      </c>
      <c r="Q104" s="26" t="n">
        <v>0</v>
      </c>
      <c r="R104" s="26" t="n">
        <v>0</v>
      </c>
      <c r="S104" s="26" t="n">
        <v>0</v>
      </c>
      <c r="T104" s="26" t="n">
        <v>0</v>
      </c>
      <c r="U104" s="26" t="n">
        <v>0</v>
      </c>
    </row>
    <row r="105" customFormat="false" ht="15" hidden="false" customHeight="true" outlineLevel="0" collapsed="false">
      <c r="A105" s="8" t="s">
        <v>407</v>
      </c>
      <c r="B105" s="8" t="s">
        <v>273</v>
      </c>
      <c r="C105" s="8" t="s">
        <v>508</v>
      </c>
      <c r="D105" s="26" t="n">
        <v>0</v>
      </c>
      <c r="E105" s="26" t="n">
        <v>0</v>
      </c>
      <c r="F105" s="26" t="n">
        <v>281.1</v>
      </c>
      <c r="G105" s="26" t="n">
        <v>0</v>
      </c>
      <c r="H105" s="26" t="n">
        <v>0</v>
      </c>
      <c r="I105" s="26" t="n">
        <v>0</v>
      </c>
      <c r="J105" s="26" t="n">
        <v>0</v>
      </c>
      <c r="K105" s="26" t="n">
        <v>0</v>
      </c>
      <c r="L105" s="26" t="n">
        <v>0</v>
      </c>
      <c r="M105" s="26" t="n">
        <v>0</v>
      </c>
      <c r="N105" s="26" t="n">
        <v>0</v>
      </c>
      <c r="O105" s="26" t="n">
        <v>0</v>
      </c>
      <c r="P105" s="26" t="n">
        <v>0</v>
      </c>
      <c r="Q105" s="26" t="n">
        <v>0</v>
      </c>
      <c r="R105" s="26" t="n">
        <v>0</v>
      </c>
      <c r="S105" s="26" t="n">
        <v>0</v>
      </c>
      <c r="T105" s="26" t="n">
        <v>0</v>
      </c>
      <c r="U105" s="26" t="n">
        <v>0</v>
      </c>
    </row>
    <row r="106" customFormat="false" ht="15" hidden="false" customHeight="true" outlineLevel="0" collapsed="false">
      <c r="A106" s="8" t="s">
        <v>407</v>
      </c>
      <c r="B106" s="8" t="s">
        <v>260</v>
      </c>
      <c r="C106" s="8" t="s">
        <v>509</v>
      </c>
      <c r="D106" s="26" t="n">
        <v>0</v>
      </c>
      <c r="E106" s="26" t="n">
        <v>0</v>
      </c>
      <c r="F106" s="26" t="n">
        <v>272.9</v>
      </c>
      <c r="G106" s="26" t="n">
        <v>0</v>
      </c>
      <c r="H106" s="26" t="n">
        <v>0</v>
      </c>
      <c r="I106" s="26" t="n">
        <v>0</v>
      </c>
      <c r="J106" s="26" t="n">
        <v>0</v>
      </c>
      <c r="K106" s="26" t="n">
        <v>0</v>
      </c>
      <c r="L106" s="26" t="n">
        <v>0</v>
      </c>
      <c r="M106" s="26" t="n">
        <v>0</v>
      </c>
      <c r="N106" s="26" t="n">
        <v>0</v>
      </c>
      <c r="O106" s="26" t="n">
        <v>0</v>
      </c>
      <c r="P106" s="26" t="n">
        <v>0</v>
      </c>
      <c r="Q106" s="26" t="n">
        <v>0</v>
      </c>
      <c r="R106" s="26" t="n">
        <v>0</v>
      </c>
      <c r="S106" s="26" t="n">
        <v>0</v>
      </c>
      <c r="T106" s="26" t="n">
        <v>0</v>
      </c>
      <c r="U106" s="26" t="n">
        <v>0</v>
      </c>
    </row>
    <row r="107" customFormat="false" ht="15" hidden="false" customHeight="true" outlineLevel="0" collapsed="false">
      <c r="A107" s="8" t="s">
        <v>407</v>
      </c>
      <c r="B107" s="8" t="s">
        <v>320</v>
      </c>
      <c r="C107" s="8" t="s">
        <v>510</v>
      </c>
      <c r="D107" s="26" t="n">
        <v>0</v>
      </c>
      <c r="E107" s="26" t="n">
        <v>0</v>
      </c>
      <c r="F107" s="26" t="n">
        <v>140.6</v>
      </c>
      <c r="G107" s="26" t="n">
        <v>0</v>
      </c>
      <c r="H107" s="26" t="n">
        <v>0</v>
      </c>
      <c r="I107" s="26" t="n">
        <v>0</v>
      </c>
      <c r="J107" s="26" t="n">
        <v>0</v>
      </c>
      <c r="K107" s="26" t="n">
        <v>0</v>
      </c>
      <c r="L107" s="26" t="n">
        <v>0</v>
      </c>
      <c r="M107" s="26" t="n">
        <v>0</v>
      </c>
      <c r="N107" s="26" t="n">
        <v>0</v>
      </c>
      <c r="O107" s="26" t="n">
        <v>0</v>
      </c>
      <c r="P107" s="26" t="n">
        <v>0</v>
      </c>
      <c r="Q107" s="26" t="n">
        <v>0</v>
      </c>
      <c r="R107" s="26" t="n">
        <v>0</v>
      </c>
      <c r="S107" s="26" t="n">
        <v>0</v>
      </c>
      <c r="T107" s="26" t="n">
        <v>0</v>
      </c>
      <c r="U107" s="26" t="n">
        <v>0</v>
      </c>
    </row>
    <row r="108" customFormat="false" ht="15" hidden="false" customHeight="true" outlineLevel="0" collapsed="false">
      <c r="A108" s="8" t="s">
        <v>407</v>
      </c>
      <c r="B108" s="8" t="s">
        <v>260</v>
      </c>
      <c r="C108" s="8" t="s">
        <v>511</v>
      </c>
      <c r="D108" s="26" t="n">
        <v>0</v>
      </c>
      <c r="E108" s="26" t="n">
        <v>0</v>
      </c>
      <c r="F108" s="26" t="n">
        <v>140.6</v>
      </c>
      <c r="G108" s="26" t="n">
        <v>0</v>
      </c>
      <c r="H108" s="26" t="n">
        <v>0</v>
      </c>
      <c r="I108" s="26" t="n">
        <v>0</v>
      </c>
      <c r="J108" s="26" t="n">
        <v>0</v>
      </c>
      <c r="K108" s="26" t="n">
        <v>0</v>
      </c>
      <c r="L108" s="26" t="n">
        <v>0</v>
      </c>
      <c r="M108" s="26" t="n">
        <v>0</v>
      </c>
      <c r="N108" s="26" t="n">
        <v>0</v>
      </c>
      <c r="O108" s="26" t="n">
        <v>0</v>
      </c>
      <c r="P108" s="26" t="n">
        <v>0</v>
      </c>
      <c r="Q108" s="26" t="n">
        <v>0</v>
      </c>
      <c r="R108" s="26" t="n">
        <v>0</v>
      </c>
      <c r="S108" s="26" t="n">
        <v>0</v>
      </c>
      <c r="T108" s="26" t="n">
        <v>0</v>
      </c>
      <c r="U108" s="26" t="n">
        <v>0</v>
      </c>
    </row>
    <row r="109" customFormat="false" ht="15" hidden="false" customHeight="true" outlineLevel="0" collapsed="false">
      <c r="A109" s="8" t="s">
        <v>407</v>
      </c>
      <c r="B109" s="8" t="s">
        <v>137</v>
      </c>
      <c r="C109" s="8" t="s">
        <v>512</v>
      </c>
      <c r="D109" s="26" t="n">
        <v>0</v>
      </c>
      <c r="E109" s="26" t="n">
        <v>0</v>
      </c>
      <c r="F109" s="26" t="n">
        <v>2284.5</v>
      </c>
      <c r="G109" s="26" t="n">
        <v>0</v>
      </c>
      <c r="H109" s="26" t="n">
        <v>0</v>
      </c>
      <c r="I109" s="26" t="n">
        <v>6048</v>
      </c>
      <c r="J109" s="26" t="n">
        <v>0</v>
      </c>
      <c r="K109" s="26" t="n">
        <v>0</v>
      </c>
      <c r="L109" s="26" t="n">
        <v>0</v>
      </c>
      <c r="M109" s="26" t="n">
        <v>0</v>
      </c>
      <c r="N109" s="26" t="n">
        <v>0</v>
      </c>
      <c r="O109" s="26" t="n">
        <v>0</v>
      </c>
      <c r="P109" s="26" t="n">
        <v>-672</v>
      </c>
      <c r="Q109" s="26" t="n">
        <v>0</v>
      </c>
      <c r="R109" s="26" t="n">
        <v>6720</v>
      </c>
      <c r="S109" s="26" t="n">
        <v>0</v>
      </c>
      <c r="T109" s="26" t="n">
        <v>0</v>
      </c>
      <c r="U109" s="26" t="n">
        <v>0</v>
      </c>
    </row>
    <row r="110" customFormat="false" ht="15" hidden="false" customHeight="true" outlineLevel="0" collapsed="false">
      <c r="A110" s="8" t="s">
        <v>407</v>
      </c>
      <c r="B110" s="8" t="s">
        <v>172</v>
      </c>
      <c r="C110" s="8" t="s">
        <v>513</v>
      </c>
      <c r="D110" s="26" t="n">
        <v>0</v>
      </c>
      <c r="E110" s="26" t="n">
        <v>0</v>
      </c>
      <c r="F110" s="26" t="n">
        <v>1044.4</v>
      </c>
      <c r="G110" s="26" t="n">
        <v>0</v>
      </c>
      <c r="H110" s="26" t="n">
        <v>0</v>
      </c>
      <c r="I110" s="26" t="n">
        <v>0</v>
      </c>
      <c r="J110" s="26" t="n">
        <v>0</v>
      </c>
      <c r="K110" s="26" t="n">
        <v>0</v>
      </c>
      <c r="L110" s="26" t="n">
        <v>0</v>
      </c>
      <c r="M110" s="26" t="n">
        <v>0</v>
      </c>
      <c r="N110" s="26" t="n">
        <v>0</v>
      </c>
      <c r="O110" s="26" t="n">
        <v>0</v>
      </c>
      <c r="P110" s="26" t="n">
        <v>0</v>
      </c>
      <c r="Q110" s="26" t="n">
        <v>0</v>
      </c>
      <c r="R110" s="26" t="n">
        <v>0</v>
      </c>
      <c r="S110" s="26" t="n">
        <v>0</v>
      </c>
      <c r="T110" s="26" t="n">
        <v>0</v>
      </c>
      <c r="U110" s="26" t="n">
        <v>0</v>
      </c>
    </row>
    <row r="111" customFormat="false" ht="15" hidden="false" customHeight="true" outlineLevel="0" collapsed="false">
      <c r="A111" s="8" t="s">
        <v>407</v>
      </c>
      <c r="B111" s="8" t="s">
        <v>172</v>
      </c>
      <c r="C111" s="8" t="s">
        <v>514</v>
      </c>
      <c r="D111" s="26" t="n">
        <v>0</v>
      </c>
      <c r="E111" s="26" t="n">
        <v>0</v>
      </c>
      <c r="F111" s="26" t="n">
        <v>2803.8</v>
      </c>
      <c r="G111" s="26" t="n">
        <v>0</v>
      </c>
      <c r="H111" s="26" t="n">
        <v>0</v>
      </c>
      <c r="I111" s="26" t="n">
        <v>0</v>
      </c>
      <c r="J111" s="26" t="n">
        <v>0</v>
      </c>
      <c r="K111" s="26" t="n">
        <v>0</v>
      </c>
      <c r="L111" s="26" t="n">
        <v>0</v>
      </c>
      <c r="M111" s="26" t="n">
        <v>0</v>
      </c>
      <c r="N111" s="26" t="n">
        <v>0</v>
      </c>
      <c r="O111" s="26" t="n">
        <v>0</v>
      </c>
      <c r="P111" s="26" t="n">
        <v>0</v>
      </c>
      <c r="Q111" s="26" t="n">
        <v>0</v>
      </c>
      <c r="R111" s="26" t="n">
        <v>0</v>
      </c>
      <c r="S111" s="26" t="n">
        <v>0</v>
      </c>
      <c r="T111" s="26" t="n">
        <v>0</v>
      </c>
      <c r="U111" s="26" t="n">
        <v>0</v>
      </c>
    </row>
    <row r="112" customFormat="false" ht="15" hidden="false" customHeight="true" outlineLevel="0" collapsed="false">
      <c r="A112" s="8" t="s">
        <v>407</v>
      </c>
      <c r="B112" s="8" t="s">
        <v>315</v>
      </c>
      <c r="C112" s="8" t="s">
        <v>515</v>
      </c>
      <c r="D112" s="26" t="n">
        <v>0</v>
      </c>
      <c r="E112" s="26" t="n">
        <v>0</v>
      </c>
      <c r="F112" s="26" t="n">
        <v>0</v>
      </c>
      <c r="G112" s="26" t="n">
        <v>0</v>
      </c>
      <c r="H112" s="26" t="n">
        <v>0</v>
      </c>
      <c r="I112" s="26" t="n">
        <v>0</v>
      </c>
      <c r="J112" s="26" t="n">
        <v>0</v>
      </c>
      <c r="K112" s="26" t="n">
        <v>0</v>
      </c>
      <c r="L112" s="26" t="n">
        <v>0</v>
      </c>
      <c r="M112" s="26" t="n">
        <v>0</v>
      </c>
      <c r="N112" s="26" t="n">
        <v>0</v>
      </c>
      <c r="O112" s="26" t="n">
        <v>0</v>
      </c>
      <c r="P112" s="26" t="n">
        <v>0</v>
      </c>
      <c r="Q112" s="26" t="n">
        <v>0</v>
      </c>
      <c r="R112" s="26" t="n">
        <v>0</v>
      </c>
      <c r="S112" s="26" t="n">
        <v>154.4</v>
      </c>
      <c r="T112" s="26" t="n">
        <v>0</v>
      </c>
      <c r="U112" s="26" t="n">
        <v>0</v>
      </c>
    </row>
    <row r="113" customFormat="false" ht="15" hidden="false" customHeight="true" outlineLevel="0" collapsed="false">
      <c r="A113" s="8" t="s">
        <v>407</v>
      </c>
      <c r="B113" s="8" t="s">
        <v>220</v>
      </c>
      <c r="C113" s="8" t="s">
        <v>516</v>
      </c>
      <c r="D113" s="26" t="n">
        <v>0</v>
      </c>
      <c r="E113" s="26" t="n">
        <v>0</v>
      </c>
      <c r="F113" s="26" t="n">
        <v>472.7</v>
      </c>
      <c r="G113" s="26" t="n">
        <v>0</v>
      </c>
      <c r="H113" s="26" t="n">
        <v>0</v>
      </c>
      <c r="I113" s="26" t="n">
        <v>0</v>
      </c>
      <c r="J113" s="26" t="n">
        <v>0</v>
      </c>
      <c r="K113" s="26" t="n">
        <v>0</v>
      </c>
      <c r="L113" s="26" t="n">
        <v>0</v>
      </c>
      <c r="M113" s="26" t="n">
        <v>0</v>
      </c>
      <c r="N113" s="26" t="n">
        <v>0</v>
      </c>
      <c r="O113" s="26" t="n">
        <v>0</v>
      </c>
      <c r="P113" s="26" t="n">
        <v>0</v>
      </c>
      <c r="Q113" s="26" t="n">
        <v>0</v>
      </c>
      <c r="R113" s="26" t="n">
        <v>0</v>
      </c>
      <c r="S113" s="26" t="n">
        <v>0</v>
      </c>
      <c r="T113" s="26" t="n">
        <v>0</v>
      </c>
      <c r="U113" s="26" t="n">
        <v>0</v>
      </c>
    </row>
    <row r="114" customFormat="false" ht="15" hidden="false" customHeight="true" outlineLevel="0" collapsed="false">
      <c r="A114" s="8" t="s">
        <v>407</v>
      </c>
      <c r="B114" s="8" t="s">
        <v>220</v>
      </c>
      <c r="C114" s="8" t="s">
        <v>517</v>
      </c>
      <c r="D114" s="26" t="n">
        <v>0</v>
      </c>
      <c r="E114" s="26" t="n">
        <v>0</v>
      </c>
      <c r="F114" s="26" t="n">
        <v>472.7</v>
      </c>
      <c r="G114" s="26" t="n">
        <v>0</v>
      </c>
      <c r="H114" s="26" t="n">
        <v>0</v>
      </c>
      <c r="I114" s="26" t="n">
        <v>0</v>
      </c>
      <c r="J114" s="26" t="n">
        <v>0</v>
      </c>
      <c r="K114" s="26" t="n">
        <v>0</v>
      </c>
      <c r="L114" s="26" t="n">
        <v>0</v>
      </c>
      <c r="M114" s="26" t="n">
        <v>0</v>
      </c>
      <c r="N114" s="26" t="n">
        <v>0</v>
      </c>
      <c r="O114" s="26" t="n">
        <v>0</v>
      </c>
      <c r="P114" s="26" t="n">
        <v>0</v>
      </c>
      <c r="Q114" s="26" t="n">
        <v>0</v>
      </c>
      <c r="R114" s="26" t="n">
        <v>0</v>
      </c>
      <c r="S114" s="26" t="n">
        <v>0</v>
      </c>
      <c r="T114" s="26" t="n">
        <v>0</v>
      </c>
      <c r="U114" s="26" t="n">
        <v>0</v>
      </c>
    </row>
    <row r="115" customFormat="false" ht="15" hidden="false" customHeight="true" outlineLevel="0" collapsed="false">
      <c r="A115" s="8" t="s">
        <v>407</v>
      </c>
      <c r="B115" s="8" t="s">
        <v>266</v>
      </c>
      <c r="C115" s="8" t="s">
        <v>518</v>
      </c>
      <c r="D115" s="26" t="n">
        <v>0</v>
      </c>
      <c r="E115" s="26" t="n">
        <v>0</v>
      </c>
      <c r="F115" s="26" t="n">
        <v>0</v>
      </c>
      <c r="G115" s="26" t="n">
        <v>0</v>
      </c>
      <c r="H115" s="26" t="n">
        <v>0</v>
      </c>
      <c r="I115" s="26" t="n">
        <v>-118.6</v>
      </c>
      <c r="J115" s="26" t="n">
        <v>0</v>
      </c>
      <c r="K115" s="26" t="n">
        <v>0</v>
      </c>
      <c r="L115" s="26" t="n">
        <v>0</v>
      </c>
      <c r="M115" s="26" t="n">
        <v>0</v>
      </c>
      <c r="N115" s="26" t="n">
        <v>0</v>
      </c>
      <c r="O115" s="26" t="n">
        <v>0</v>
      </c>
      <c r="P115" s="26" t="n">
        <v>-118.6</v>
      </c>
      <c r="Q115" s="26" t="n">
        <v>0</v>
      </c>
      <c r="R115" s="26" t="n">
        <v>0</v>
      </c>
      <c r="S115" s="26" t="n">
        <v>0</v>
      </c>
      <c r="T115" s="26" t="n">
        <v>0</v>
      </c>
      <c r="U115" s="26" t="n">
        <v>0</v>
      </c>
    </row>
    <row r="116" customFormat="false" ht="15" hidden="false" customHeight="true" outlineLevel="0" collapsed="false">
      <c r="A116" s="8" t="s">
        <v>407</v>
      </c>
      <c r="B116" s="8" t="s">
        <v>266</v>
      </c>
      <c r="C116" s="8" t="s">
        <v>519</v>
      </c>
      <c r="D116" s="26" t="n">
        <v>0</v>
      </c>
      <c r="E116" s="26" t="n">
        <v>0</v>
      </c>
      <c r="F116" s="26" t="n">
        <v>0</v>
      </c>
      <c r="G116" s="26" t="n">
        <v>0</v>
      </c>
      <c r="H116" s="26" t="n">
        <v>0</v>
      </c>
      <c r="I116" s="26" t="n">
        <v>118.6</v>
      </c>
      <c r="J116" s="26" t="n">
        <v>0</v>
      </c>
      <c r="K116" s="26" t="n">
        <v>0</v>
      </c>
      <c r="L116" s="26" t="n">
        <v>0</v>
      </c>
      <c r="M116" s="26" t="n">
        <v>0</v>
      </c>
      <c r="N116" s="26" t="n">
        <v>0</v>
      </c>
      <c r="O116" s="26" t="n">
        <v>0</v>
      </c>
      <c r="P116" s="26" t="n">
        <v>0</v>
      </c>
      <c r="Q116" s="26" t="n">
        <v>0</v>
      </c>
      <c r="R116" s="26" t="n">
        <v>118.6</v>
      </c>
      <c r="S116" s="26" t="n">
        <v>0</v>
      </c>
      <c r="T116" s="26" t="n">
        <v>0</v>
      </c>
      <c r="U116" s="26" t="n">
        <v>0</v>
      </c>
    </row>
    <row r="117" customFormat="false" ht="15" hidden="false" customHeight="true" outlineLevel="0" collapsed="false">
      <c r="A117" s="8" t="s">
        <v>407</v>
      </c>
      <c r="B117" s="8" t="s">
        <v>266</v>
      </c>
      <c r="C117" s="8" t="s">
        <v>520</v>
      </c>
      <c r="D117" s="26" t="n">
        <v>0</v>
      </c>
      <c r="E117" s="26" t="n">
        <v>0</v>
      </c>
      <c r="F117" s="26" t="n">
        <v>110.6</v>
      </c>
      <c r="G117" s="26" t="n">
        <v>0</v>
      </c>
      <c r="H117" s="26" t="n">
        <v>0</v>
      </c>
      <c r="I117" s="26" t="n">
        <v>315.2</v>
      </c>
      <c r="J117" s="26" t="n">
        <v>0</v>
      </c>
      <c r="K117" s="26" t="n">
        <v>0</v>
      </c>
      <c r="L117" s="26" t="n">
        <v>0</v>
      </c>
      <c r="M117" s="26" t="n">
        <v>0</v>
      </c>
      <c r="N117" s="26" t="n">
        <v>0</v>
      </c>
      <c r="O117" s="26" t="n">
        <v>0</v>
      </c>
      <c r="P117" s="26" t="n">
        <v>0</v>
      </c>
      <c r="Q117" s="26" t="n">
        <v>315.2</v>
      </c>
      <c r="R117" s="26" t="n">
        <v>0</v>
      </c>
      <c r="S117" s="26" t="n">
        <v>0</v>
      </c>
      <c r="T117" s="26" t="n">
        <v>0</v>
      </c>
      <c r="U117" s="26" t="n">
        <v>0</v>
      </c>
    </row>
    <row r="118" customFormat="false" ht="15" hidden="false" customHeight="true" outlineLevel="0" collapsed="false">
      <c r="A118" s="8" t="s">
        <v>407</v>
      </c>
      <c r="B118" s="8" t="s">
        <v>266</v>
      </c>
      <c r="C118" s="8" t="s">
        <v>521</v>
      </c>
      <c r="D118" s="26" t="n">
        <v>0</v>
      </c>
      <c r="E118" s="26" t="n">
        <v>0</v>
      </c>
      <c r="F118" s="26" t="n">
        <v>263.3</v>
      </c>
      <c r="G118" s="26" t="n">
        <v>0</v>
      </c>
      <c r="H118" s="26" t="n">
        <v>0</v>
      </c>
      <c r="I118" s="26" t="n">
        <v>1620.2</v>
      </c>
      <c r="J118" s="26" t="n">
        <v>0</v>
      </c>
      <c r="K118" s="26" t="n">
        <v>0</v>
      </c>
      <c r="L118" s="26" t="n">
        <v>0</v>
      </c>
      <c r="M118" s="26" t="n">
        <v>0</v>
      </c>
      <c r="N118" s="26" t="n">
        <v>0</v>
      </c>
      <c r="O118" s="26" t="n">
        <v>0</v>
      </c>
      <c r="P118" s="26" t="n">
        <v>0</v>
      </c>
      <c r="Q118" s="26" t="n">
        <v>315.2</v>
      </c>
      <c r="R118" s="26" t="n">
        <v>1305</v>
      </c>
      <c r="S118" s="26" t="n">
        <v>0</v>
      </c>
      <c r="T118" s="26" t="n">
        <v>0</v>
      </c>
      <c r="U118" s="26" t="n">
        <v>0</v>
      </c>
    </row>
    <row r="119" customFormat="false" ht="15" hidden="false" customHeight="true" outlineLevel="0" collapsed="false">
      <c r="A119" s="8" t="s">
        <v>407</v>
      </c>
      <c r="B119" s="8" t="s">
        <v>266</v>
      </c>
      <c r="C119" s="8" t="s">
        <v>522</v>
      </c>
      <c r="D119" s="26" t="n">
        <v>0</v>
      </c>
      <c r="E119" s="26" t="n">
        <v>0</v>
      </c>
      <c r="F119" s="26" t="n">
        <v>271.8</v>
      </c>
      <c r="G119" s="26" t="n">
        <v>0</v>
      </c>
      <c r="H119" s="26" t="n">
        <v>0</v>
      </c>
      <c r="I119" s="26" t="n">
        <v>1423.7</v>
      </c>
      <c r="J119" s="26" t="n">
        <v>0</v>
      </c>
      <c r="K119" s="26" t="n">
        <v>0</v>
      </c>
      <c r="L119" s="26" t="n">
        <v>0</v>
      </c>
      <c r="M119" s="26" t="n">
        <v>0</v>
      </c>
      <c r="N119" s="26" t="n">
        <v>0</v>
      </c>
      <c r="O119" s="26" t="n">
        <v>0</v>
      </c>
      <c r="P119" s="26" t="n">
        <v>0</v>
      </c>
      <c r="Q119" s="26" t="n">
        <v>0</v>
      </c>
      <c r="R119" s="26" t="n">
        <v>1423.7</v>
      </c>
      <c r="S119" s="26" t="n">
        <v>0</v>
      </c>
      <c r="T119" s="26" t="n">
        <v>0</v>
      </c>
      <c r="U119" s="26" t="n">
        <v>0</v>
      </c>
    </row>
    <row r="120" customFormat="false" ht="15" hidden="false" customHeight="true" outlineLevel="0" collapsed="false">
      <c r="A120" s="8" t="s">
        <v>407</v>
      </c>
      <c r="B120" s="8" t="s">
        <v>226</v>
      </c>
      <c r="C120" s="8" t="s">
        <v>523</v>
      </c>
      <c r="D120" s="26" t="n">
        <v>0</v>
      </c>
      <c r="E120" s="26" t="n">
        <v>0</v>
      </c>
      <c r="F120" s="26" t="n">
        <v>0</v>
      </c>
      <c r="G120" s="26" t="n">
        <v>0</v>
      </c>
      <c r="H120" s="26" t="n">
        <v>0</v>
      </c>
      <c r="I120" s="26" t="n">
        <v>1164.5</v>
      </c>
      <c r="J120" s="26" t="n">
        <v>0</v>
      </c>
      <c r="K120" s="26" t="n">
        <v>0</v>
      </c>
      <c r="L120" s="26" t="n">
        <v>0</v>
      </c>
      <c r="M120" s="26" t="n">
        <v>0</v>
      </c>
      <c r="N120" s="26" t="n">
        <v>0</v>
      </c>
      <c r="O120" s="26" t="n">
        <v>0</v>
      </c>
      <c r="P120" s="26" t="n">
        <v>-873.4</v>
      </c>
      <c r="Q120" s="26" t="n">
        <v>0</v>
      </c>
      <c r="R120" s="26" t="n">
        <v>2037.8</v>
      </c>
      <c r="S120" s="26" t="n">
        <v>0</v>
      </c>
      <c r="T120" s="26" t="n">
        <v>0</v>
      </c>
      <c r="U120" s="26" t="n">
        <v>-209.3</v>
      </c>
    </row>
    <row r="121" customFormat="false" ht="15" hidden="false" customHeight="true" outlineLevel="0" collapsed="false">
      <c r="A121" s="8" t="s">
        <v>407</v>
      </c>
      <c r="B121" s="8" t="s">
        <v>226</v>
      </c>
      <c r="C121" s="8" t="s">
        <v>524</v>
      </c>
      <c r="D121" s="26" t="n">
        <v>0</v>
      </c>
      <c r="E121" s="26" t="n">
        <v>0</v>
      </c>
      <c r="F121" s="26" t="n">
        <v>282.6</v>
      </c>
      <c r="G121" s="26" t="n">
        <v>0</v>
      </c>
      <c r="H121" s="26" t="n">
        <v>0</v>
      </c>
      <c r="I121" s="26" t="n">
        <v>3968.6</v>
      </c>
      <c r="J121" s="26" t="n">
        <v>0</v>
      </c>
      <c r="K121" s="26" t="n">
        <v>0</v>
      </c>
      <c r="L121" s="26" t="n">
        <v>0</v>
      </c>
      <c r="M121" s="26" t="n">
        <v>0</v>
      </c>
      <c r="N121" s="26" t="n">
        <v>0</v>
      </c>
      <c r="O121" s="26" t="n">
        <v>0</v>
      </c>
      <c r="P121" s="26" t="n">
        <v>-977.3</v>
      </c>
      <c r="Q121" s="26" t="n">
        <v>1743.6</v>
      </c>
      <c r="R121" s="26" t="n">
        <v>3202.3</v>
      </c>
      <c r="S121" s="26" t="n">
        <v>0</v>
      </c>
      <c r="T121" s="26" t="n">
        <v>0</v>
      </c>
      <c r="U121" s="26" t="n">
        <v>0</v>
      </c>
    </row>
    <row r="122" customFormat="false" ht="15" hidden="false" customHeight="true" outlineLevel="0" collapsed="false">
      <c r="A122" s="8" t="s">
        <v>407</v>
      </c>
      <c r="B122" s="8" t="s">
        <v>226</v>
      </c>
      <c r="C122" s="8" t="s">
        <v>525</v>
      </c>
      <c r="D122" s="26" t="n">
        <v>0</v>
      </c>
      <c r="E122" s="26" t="n">
        <v>0</v>
      </c>
      <c r="F122" s="26" t="n">
        <v>1328.2</v>
      </c>
      <c r="G122" s="26" t="n">
        <v>0</v>
      </c>
      <c r="H122" s="26" t="n">
        <v>0</v>
      </c>
      <c r="I122" s="26" t="n">
        <v>7022.7</v>
      </c>
      <c r="J122" s="26" t="n">
        <v>0</v>
      </c>
      <c r="K122" s="26" t="n">
        <v>0</v>
      </c>
      <c r="L122" s="26" t="n">
        <v>0</v>
      </c>
      <c r="M122" s="26" t="n">
        <v>0</v>
      </c>
      <c r="N122" s="26" t="n">
        <v>0</v>
      </c>
      <c r="O122" s="26" t="n">
        <v>0</v>
      </c>
      <c r="P122" s="26" t="n">
        <v>-1122.9</v>
      </c>
      <c r="Q122" s="26" t="n">
        <v>1304.3</v>
      </c>
      <c r="R122" s="26" t="n">
        <v>6841.3</v>
      </c>
      <c r="S122" s="26" t="n">
        <v>0</v>
      </c>
      <c r="T122" s="26" t="n">
        <v>0</v>
      </c>
      <c r="U122" s="26" t="n">
        <v>-209.3</v>
      </c>
    </row>
    <row r="123" customFormat="false" ht="15" hidden="false" customHeight="true" outlineLevel="0" collapsed="false">
      <c r="A123" s="8" t="s">
        <v>407</v>
      </c>
      <c r="B123" s="8" t="s">
        <v>226</v>
      </c>
      <c r="C123" s="8" t="s">
        <v>526</v>
      </c>
      <c r="D123" s="26" t="n">
        <v>0</v>
      </c>
      <c r="E123" s="26" t="n">
        <v>0</v>
      </c>
      <c r="F123" s="26" t="n">
        <v>2112</v>
      </c>
      <c r="G123" s="26" t="n">
        <v>0</v>
      </c>
      <c r="H123" s="26" t="n">
        <v>0</v>
      </c>
      <c r="I123" s="26" t="n">
        <v>10797.4</v>
      </c>
      <c r="J123" s="26" t="n">
        <v>0</v>
      </c>
      <c r="K123" s="26" t="n">
        <v>0</v>
      </c>
      <c r="L123" s="26" t="n">
        <v>0</v>
      </c>
      <c r="M123" s="26" t="n">
        <v>0</v>
      </c>
      <c r="N123" s="26" t="n">
        <v>0</v>
      </c>
      <c r="O123" s="26" t="n">
        <v>0</v>
      </c>
      <c r="P123" s="26" t="n">
        <v>-873.4</v>
      </c>
      <c r="Q123" s="26" t="n">
        <v>2500.4</v>
      </c>
      <c r="R123" s="26" t="n">
        <v>9170.3</v>
      </c>
      <c r="S123" s="26" t="n">
        <v>0</v>
      </c>
      <c r="T123" s="26" t="n">
        <v>0</v>
      </c>
      <c r="U123" s="26" t="n">
        <v>0</v>
      </c>
    </row>
    <row r="124" customFormat="false" ht="15" hidden="false" customHeight="true" outlineLevel="0" collapsed="false">
      <c r="A124" s="8" t="s">
        <v>407</v>
      </c>
      <c r="B124" s="8" t="s">
        <v>226</v>
      </c>
      <c r="C124" s="8" t="s">
        <v>527</v>
      </c>
      <c r="D124" s="26" t="n">
        <v>0</v>
      </c>
      <c r="E124" s="26" t="n">
        <v>0</v>
      </c>
      <c r="F124" s="26" t="n">
        <v>1077</v>
      </c>
      <c r="G124" s="26" t="n">
        <v>0</v>
      </c>
      <c r="H124" s="26" t="n">
        <v>0</v>
      </c>
      <c r="I124" s="26" t="n">
        <v>11656.7</v>
      </c>
      <c r="J124" s="26" t="n">
        <v>0</v>
      </c>
      <c r="K124" s="26" t="n">
        <v>0</v>
      </c>
      <c r="L124" s="26" t="n">
        <v>0</v>
      </c>
      <c r="M124" s="26" t="n">
        <v>0</v>
      </c>
      <c r="N124" s="26" t="n">
        <v>0</v>
      </c>
      <c r="O124" s="26" t="n">
        <v>0</v>
      </c>
      <c r="P124" s="26" t="n">
        <v>-582.2</v>
      </c>
      <c r="Q124" s="26" t="n">
        <v>2777.5</v>
      </c>
      <c r="R124" s="26" t="n">
        <v>9461.4</v>
      </c>
      <c r="S124" s="26" t="n">
        <v>0</v>
      </c>
      <c r="T124" s="26" t="n">
        <v>0</v>
      </c>
      <c r="U124" s="26" t="n">
        <v>-209.3</v>
      </c>
    </row>
    <row r="125" customFormat="false" ht="15" hidden="false" customHeight="true" outlineLevel="0" collapsed="false">
      <c r="A125" s="8" t="s">
        <v>407</v>
      </c>
      <c r="B125" s="8" t="s">
        <v>108</v>
      </c>
      <c r="C125" s="8" t="s">
        <v>528</v>
      </c>
      <c r="D125" s="26" t="n">
        <v>0</v>
      </c>
      <c r="E125" s="26" t="n">
        <v>0</v>
      </c>
      <c r="F125" s="26" t="n">
        <v>211.7</v>
      </c>
      <c r="G125" s="26" t="n">
        <v>0</v>
      </c>
      <c r="H125" s="26" t="n">
        <v>0</v>
      </c>
      <c r="I125" s="26" t="n">
        <v>0</v>
      </c>
      <c r="J125" s="26" t="n">
        <v>0</v>
      </c>
      <c r="K125" s="26" t="n">
        <v>0</v>
      </c>
      <c r="L125" s="26" t="n">
        <v>0</v>
      </c>
      <c r="M125" s="26" t="n">
        <v>0</v>
      </c>
      <c r="N125" s="26" t="n">
        <v>0</v>
      </c>
      <c r="O125" s="26" t="n">
        <v>0</v>
      </c>
      <c r="P125" s="26" t="n">
        <v>0</v>
      </c>
      <c r="Q125" s="26" t="n">
        <v>0</v>
      </c>
      <c r="R125" s="26" t="n">
        <v>0</v>
      </c>
      <c r="S125" s="26" t="n">
        <v>0</v>
      </c>
      <c r="T125" s="26" t="n">
        <v>0</v>
      </c>
      <c r="U125" s="26" t="n">
        <v>0</v>
      </c>
    </row>
    <row r="126" customFormat="false" ht="15" hidden="false" customHeight="true" outlineLevel="0" collapsed="false">
      <c r="A126" s="8" t="s">
        <v>407</v>
      </c>
      <c r="B126" s="8" t="s">
        <v>221</v>
      </c>
      <c r="C126" s="8" t="s">
        <v>529</v>
      </c>
      <c r="D126" s="26" t="n">
        <v>0</v>
      </c>
      <c r="E126" s="26" t="n">
        <v>0</v>
      </c>
      <c r="F126" s="26" t="n">
        <v>157</v>
      </c>
      <c r="G126" s="26" t="n">
        <v>0</v>
      </c>
      <c r="H126" s="26" t="n">
        <v>0</v>
      </c>
      <c r="I126" s="26" t="n">
        <v>0</v>
      </c>
      <c r="J126" s="26" t="n">
        <v>0</v>
      </c>
      <c r="K126" s="26" t="n">
        <v>0</v>
      </c>
      <c r="L126" s="26" t="n">
        <v>0</v>
      </c>
      <c r="M126" s="26" t="n">
        <v>0</v>
      </c>
      <c r="N126" s="26" t="n">
        <v>0</v>
      </c>
      <c r="O126" s="26" t="n">
        <v>0</v>
      </c>
      <c r="P126" s="26" t="n">
        <v>0</v>
      </c>
      <c r="Q126" s="26" t="n">
        <v>0</v>
      </c>
      <c r="R126" s="26" t="n">
        <v>0</v>
      </c>
      <c r="S126" s="26" t="n">
        <v>0</v>
      </c>
      <c r="T126" s="26" t="n">
        <v>0</v>
      </c>
      <c r="U126" s="26" t="n">
        <v>0</v>
      </c>
    </row>
    <row r="127" customFormat="false" ht="15" hidden="false" customHeight="true" outlineLevel="0" collapsed="false">
      <c r="A127" s="8" t="s">
        <v>407</v>
      </c>
      <c r="B127" s="8" t="s">
        <v>221</v>
      </c>
      <c r="C127" s="8" t="s">
        <v>530</v>
      </c>
      <c r="D127" s="26" t="n">
        <v>0</v>
      </c>
      <c r="E127" s="26" t="n">
        <v>0</v>
      </c>
      <c r="F127" s="26" t="n">
        <v>177.9</v>
      </c>
      <c r="G127" s="26" t="n">
        <v>0</v>
      </c>
      <c r="H127" s="26" t="n">
        <v>0</v>
      </c>
      <c r="I127" s="26" t="n">
        <v>-135</v>
      </c>
      <c r="J127" s="26" t="n">
        <v>0</v>
      </c>
      <c r="K127" s="26" t="n">
        <v>0</v>
      </c>
      <c r="L127" s="26" t="n">
        <v>0</v>
      </c>
      <c r="M127" s="26" t="n">
        <v>0</v>
      </c>
      <c r="N127" s="26" t="n">
        <v>0</v>
      </c>
      <c r="O127" s="26" t="n">
        <v>0</v>
      </c>
      <c r="P127" s="26" t="n">
        <v>0</v>
      </c>
      <c r="Q127" s="26" t="n">
        <v>-135</v>
      </c>
      <c r="R127" s="26" t="n">
        <v>0</v>
      </c>
      <c r="S127" s="26" t="n">
        <v>0</v>
      </c>
      <c r="T127" s="26" t="n">
        <v>0</v>
      </c>
      <c r="U127" s="26" t="n">
        <v>0</v>
      </c>
    </row>
    <row r="128" customFormat="false" ht="15" hidden="false" customHeight="true" outlineLevel="0" collapsed="false">
      <c r="A128" s="8" t="s">
        <v>407</v>
      </c>
      <c r="B128" s="8" t="s">
        <v>221</v>
      </c>
      <c r="C128" s="8" t="s">
        <v>531</v>
      </c>
      <c r="D128" s="26" t="n">
        <v>0</v>
      </c>
      <c r="E128" s="26" t="n">
        <v>0</v>
      </c>
      <c r="F128" s="26" t="n">
        <v>468.9</v>
      </c>
      <c r="G128" s="26" t="n">
        <v>0</v>
      </c>
      <c r="H128" s="26" t="n">
        <v>0</v>
      </c>
      <c r="I128" s="26" t="n">
        <v>0</v>
      </c>
      <c r="J128" s="26" t="n">
        <v>0</v>
      </c>
      <c r="K128" s="26" t="n">
        <v>0</v>
      </c>
      <c r="L128" s="26" t="n">
        <v>0</v>
      </c>
      <c r="M128" s="26" t="n">
        <v>0</v>
      </c>
      <c r="N128" s="26" t="n">
        <v>0</v>
      </c>
      <c r="O128" s="26" t="n">
        <v>0</v>
      </c>
      <c r="P128" s="26" t="n">
        <v>0</v>
      </c>
      <c r="Q128" s="26" t="n">
        <v>0</v>
      </c>
      <c r="R128" s="26" t="n">
        <v>0</v>
      </c>
      <c r="S128" s="26" t="n">
        <v>0</v>
      </c>
      <c r="T128" s="26" t="n">
        <v>0</v>
      </c>
      <c r="U128" s="26" t="n">
        <v>0</v>
      </c>
    </row>
    <row r="129" customFormat="false" ht="15" hidden="false" customHeight="true" outlineLevel="0" collapsed="false">
      <c r="A129" s="8" t="s">
        <v>407</v>
      </c>
      <c r="B129" s="8" t="s">
        <v>221</v>
      </c>
      <c r="C129" s="8" t="s">
        <v>532</v>
      </c>
      <c r="D129" s="26" t="n">
        <v>0</v>
      </c>
      <c r="E129" s="26" t="n">
        <v>0</v>
      </c>
      <c r="F129" s="26" t="n">
        <v>429.1</v>
      </c>
      <c r="G129" s="26" t="n">
        <v>0</v>
      </c>
      <c r="H129" s="26" t="n">
        <v>0</v>
      </c>
      <c r="I129" s="26" t="n">
        <v>0</v>
      </c>
      <c r="J129" s="26" t="n">
        <v>0</v>
      </c>
      <c r="K129" s="26" t="n">
        <v>0</v>
      </c>
      <c r="L129" s="26" t="n">
        <v>0</v>
      </c>
      <c r="M129" s="26" t="n">
        <v>0</v>
      </c>
      <c r="N129" s="26" t="n">
        <v>0</v>
      </c>
      <c r="O129" s="26" t="n">
        <v>0</v>
      </c>
      <c r="P129" s="26" t="n">
        <v>0</v>
      </c>
      <c r="Q129" s="26" t="n">
        <v>0</v>
      </c>
      <c r="R129" s="26" t="n">
        <v>0</v>
      </c>
      <c r="S129" s="26" t="n">
        <v>0</v>
      </c>
      <c r="T129" s="26" t="n">
        <v>0</v>
      </c>
      <c r="U129" s="26" t="n">
        <v>0</v>
      </c>
    </row>
    <row r="130" customFormat="false" ht="15" hidden="false" customHeight="true" outlineLevel="0" collapsed="false">
      <c r="A130" s="8" t="s">
        <v>407</v>
      </c>
      <c r="B130" s="8" t="s">
        <v>121</v>
      </c>
      <c r="C130" s="8" t="s">
        <v>533</v>
      </c>
      <c r="D130" s="26" t="n">
        <v>0</v>
      </c>
      <c r="E130" s="26" t="n">
        <v>0</v>
      </c>
      <c r="F130" s="26" t="n">
        <v>9536.7</v>
      </c>
      <c r="G130" s="26" t="n">
        <v>0</v>
      </c>
      <c r="H130" s="26" t="n">
        <v>0</v>
      </c>
      <c r="I130" s="26" t="n">
        <v>6213.6</v>
      </c>
      <c r="J130" s="26" t="n">
        <v>0</v>
      </c>
      <c r="K130" s="26" t="n">
        <v>0</v>
      </c>
      <c r="L130" s="26" t="n">
        <v>0</v>
      </c>
      <c r="M130" s="26" t="n">
        <v>0</v>
      </c>
      <c r="N130" s="26" t="n">
        <v>0</v>
      </c>
      <c r="O130" s="26" t="n">
        <v>0</v>
      </c>
      <c r="P130" s="26" t="n">
        <v>0</v>
      </c>
      <c r="Q130" s="26" t="n">
        <v>6213.6</v>
      </c>
      <c r="R130" s="26" t="n">
        <v>0</v>
      </c>
      <c r="S130" s="26" t="n">
        <v>0</v>
      </c>
      <c r="T130" s="26" t="n">
        <v>0</v>
      </c>
      <c r="U130" s="26" t="n">
        <v>0</v>
      </c>
    </row>
    <row r="131" customFormat="false" ht="15" hidden="false" customHeight="true" outlineLevel="0" collapsed="false">
      <c r="A131" s="8" t="s">
        <v>407</v>
      </c>
      <c r="B131" s="8" t="s">
        <v>105</v>
      </c>
      <c r="C131" s="8" t="s">
        <v>534</v>
      </c>
      <c r="D131" s="26" t="n">
        <v>0</v>
      </c>
      <c r="E131" s="26" t="n">
        <v>0</v>
      </c>
      <c r="F131" s="26" t="n">
        <v>15439</v>
      </c>
      <c r="G131" s="26" t="n">
        <v>0</v>
      </c>
      <c r="H131" s="26" t="n">
        <v>0</v>
      </c>
      <c r="I131" s="26" t="n">
        <v>15702.7</v>
      </c>
      <c r="J131" s="26" t="n">
        <v>0</v>
      </c>
      <c r="K131" s="26" t="n">
        <v>0</v>
      </c>
      <c r="L131" s="26" t="n">
        <v>0</v>
      </c>
      <c r="M131" s="26" t="n">
        <v>0</v>
      </c>
      <c r="N131" s="26" t="n">
        <v>0</v>
      </c>
      <c r="O131" s="26" t="n">
        <v>0</v>
      </c>
      <c r="P131" s="26" t="n">
        <v>0</v>
      </c>
      <c r="Q131" s="26" t="n">
        <v>15702.7</v>
      </c>
      <c r="R131" s="26" t="n">
        <v>0</v>
      </c>
      <c r="S131" s="26" t="n">
        <v>0</v>
      </c>
      <c r="T131" s="26" t="n">
        <v>0</v>
      </c>
      <c r="U131" s="26" t="n">
        <v>0</v>
      </c>
    </row>
    <row r="132" customFormat="false" ht="15" hidden="false" customHeight="true" outlineLevel="0" collapsed="false">
      <c r="A132" s="8" t="s">
        <v>407</v>
      </c>
      <c r="B132" s="8" t="s">
        <v>232</v>
      </c>
      <c r="C132" s="8" t="s">
        <v>535</v>
      </c>
      <c r="D132" s="26" t="n">
        <v>0</v>
      </c>
      <c r="E132" s="26" t="n">
        <v>0</v>
      </c>
      <c r="F132" s="26" t="n">
        <v>1242.2</v>
      </c>
      <c r="G132" s="26" t="n">
        <v>0</v>
      </c>
      <c r="H132" s="26" t="n">
        <v>0</v>
      </c>
      <c r="I132" s="26" t="n">
        <v>442.1</v>
      </c>
      <c r="J132" s="26" t="n">
        <v>0</v>
      </c>
      <c r="K132" s="26" t="n">
        <v>0</v>
      </c>
      <c r="L132" s="26" t="n">
        <v>0</v>
      </c>
      <c r="M132" s="26" t="n">
        <v>0</v>
      </c>
      <c r="N132" s="26" t="n">
        <v>0</v>
      </c>
      <c r="O132" s="26" t="n">
        <v>0</v>
      </c>
      <c r="P132" s="26" t="n">
        <v>0</v>
      </c>
      <c r="Q132" s="26" t="n">
        <v>442.1</v>
      </c>
      <c r="R132" s="26" t="n">
        <v>0</v>
      </c>
      <c r="S132" s="26" t="n">
        <v>225.3</v>
      </c>
      <c r="T132" s="26" t="n">
        <v>0</v>
      </c>
      <c r="U132" s="26" t="n">
        <v>0</v>
      </c>
    </row>
    <row r="133" customFormat="false" ht="15" hidden="false" customHeight="true" outlineLevel="0" collapsed="false">
      <c r="A133" s="8" t="s">
        <v>407</v>
      </c>
      <c r="B133" s="8" t="s">
        <v>82</v>
      </c>
      <c r="C133" s="8" t="s">
        <v>536</v>
      </c>
      <c r="D133" s="26" t="n">
        <v>0</v>
      </c>
      <c r="E133" s="26" t="n">
        <v>0</v>
      </c>
      <c r="F133" s="26" t="n">
        <v>93491.9</v>
      </c>
      <c r="G133" s="26" t="n">
        <v>0</v>
      </c>
      <c r="H133" s="26" t="n">
        <v>0</v>
      </c>
      <c r="I133" s="26" t="n">
        <v>3108</v>
      </c>
      <c r="J133" s="26" t="n">
        <v>0</v>
      </c>
      <c r="K133" s="26" t="n">
        <v>87.1</v>
      </c>
      <c r="L133" s="26" t="n">
        <v>0</v>
      </c>
      <c r="M133" s="26" t="n">
        <v>562.2</v>
      </c>
      <c r="N133" s="26" t="n">
        <v>562.2</v>
      </c>
      <c r="O133" s="26" t="n">
        <v>1026</v>
      </c>
      <c r="P133" s="26" t="n">
        <v>0</v>
      </c>
      <c r="Q133" s="26" t="n">
        <v>0</v>
      </c>
      <c r="R133" s="26" t="n">
        <v>870.6</v>
      </c>
      <c r="S133" s="26" t="n">
        <v>0</v>
      </c>
      <c r="T133" s="26" t="n">
        <v>0</v>
      </c>
      <c r="U133" s="26" t="n">
        <v>0</v>
      </c>
    </row>
    <row r="134" customFormat="false" ht="15" hidden="false" customHeight="true" outlineLevel="0" collapsed="false">
      <c r="A134" s="8" t="s">
        <v>407</v>
      </c>
      <c r="B134" s="8" t="s">
        <v>140</v>
      </c>
      <c r="C134" s="8" t="s">
        <v>537</v>
      </c>
      <c r="D134" s="26" t="n">
        <v>0</v>
      </c>
      <c r="E134" s="26" t="n">
        <v>0</v>
      </c>
      <c r="F134" s="26" t="n">
        <v>14612</v>
      </c>
      <c r="G134" s="26" t="n">
        <v>0</v>
      </c>
      <c r="H134" s="26" t="n">
        <v>127.5</v>
      </c>
      <c r="I134" s="26" t="n">
        <v>144.4</v>
      </c>
      <c r="J134" s="26" t="n">
        <v>0</v>
      </c>
      <c r="K134" s="26" t="n">
        <v>0</v>
      </c>
      <c r="L134" s="26" t="n">
        <v>0</v>
      </c>
      <c r="M134" s="26" t="n">
        <v>0</v>
      </c>
      <c r="N134" s="26" t="n">
        <v>219.7</v>
      </c>
      <c r="O134" s="26" t="n">
        <v>0</v>
      </c>
      <c r="P134" s="26" t="n">
        <v>-75.3</v>
      </c>
      <c r="Q134" s="26" t="n">
        <v>0</v>
      </c>
      <c r="R134" s="26" t="n">
        <v>0</v>
      </c>
      <c r="S134" s="26" t="n">
        <v>0</v>
      </c>
      <c r="T134" s="26" t="n">
        <v>0</v>
      </c>
      <c r="U134" s="26" t="n">
        <v>0</v>
      </c>
    </row>
    <row r="135" customFormat="false" ht="15" hidden="false" customHeight="true" outlineLevel="0" collapsed="false">
      <c r="A135" s="8" t="s">
        <v>407</v>
      </c>
      <c r="B135" s="8" t="s">
        <v>102</v>
      </c>
      <c r="C135" s="8" t="s">
        <v>538</v>
      </c>
      <c r="D135" s="26" t="n">
        <v>0</v>
      </c>
      <c r="E135" s="26" t="n">
        <v>0</v>
      </c>
      <c r="F135" s="26" t="n">
        <v>36118.4</v>
      </c>
      <c r="G135" s="26" t="n">
        <v>0</v>
      </c>
      <c r="H135" s="26" t="n">
        <v>0</v>
      </c>
      <c r="I135" s="26" t="n">
        <v>1864</v>
      </c>
      <c r="J135" s="26" t="n">
        <v>0</v>
      </c>
      <c r="K135" s="26" t="n">
        <v>74.8</v>
      </c>
      <c r="L135" s="26" t="n">
        <v>0</v>
      </c>
      <c r="M135" s="26" t="n">
        <v>306.8</v>
      </c>
      <c r="N135" s="26" t="n">
        <v>61.4</v>
      </c>
      <c r="O135" s="26" t="n">
        <v>0</v>
      </c>
      <c r="P135" s="26" t="n">
        <v>-49.9</v>
      </c>
      <c r="Q135" s="26" t="n">
        <v>0</v>
      </c>
      <c r="R135" s="26" t="n">
        <v>1470.9</v>
      </c>
      <c r="S135" s="26" t="n">
        <v>0</v>
      </c>
      <c r="T135" s="26" t="n">
        <v>0</v>
      </c>
      <c r="U135" s="26" t="n">
        <v>0</v>
      </c>
    </row>
    <row r="136" customFormat="false" ht="15" hidden="false" customHeight="true" outlineLevel="0" collapsed="false">
      <c r="A136" s="8" t="s">
        <v>407</v>
      </c>
      <c r="B136" s="8" t="s">
        <v>162</v>
      </c>
      <c r="C136" s="8" t="s">
        <v>539</v>
      </c>
      <c r="D136" s="26" t="n">
        <v>0</v>
      </c>
      <c r="E136" s="26" t="n">
        <v>0</v>
      </c>
      <c r="F136" s="26" t="n">
        <v>14002.9</v>
      </c>
      <c r="G136" s="26" t="n">
        <v>0</v>
      </c>
      <c r="H136" s="26" t="n">
        <v>0</v>
      </c>
      <c r="I136" s="26" t="n">
        <v>25227.4</v>
      </c>
      <c r="J136" s="26" t="n">
        <v>0</v>
      </c>
      <c r="K136" s="26" t="n">
        <v>259.5</v>
      </c>
      <c r="L136" s="26" t="n">
        <v>0</v>
      </c>
      <c r="M136" s="26" t="n">
        <v>66.1</v>
      </c>
      <c r="N136" s="26" t="n">
        <v>211.8</v>
      </c>
      <c r="O136" s="26" t="n">
        <v>25.3</v>
      </c>
      <c r="P136" s="26" t="n">
        <v>-25.3</v>
      </c>
      <c r="Q136" s="26" t="n">
        <v>21410.6</v>
      </c>
      <c r="R136" s="26" t="n">
        <v>3279.5</v>
      </c>
      <c r="S136" s="26" t="n">
        <v>0</v>
      </c>
      <c r="T136" s="26" t="n">
        <v>0</v>
      </c>
      <c r="U136" s="26" t="n">
        <v>-88.1</v>
      </c>
    </row>
    <row r="137" customFormat="false" ht="15" hidden="false" customHeight="true" outlineLevel="0" collapsed="false">
      <c r="A137" s="8" t="s">
        <v>407</v>
      </c>
      <c r="B137" s="8" t="s">
        <v>189</v>
      </c>
      <c r="C137" s="8" t="s">
        <v>533</v>
      </c>
      <c r="D137" s="26" t="n">
        <v>0</v>
      </c>
      <c r="E137" s="26" t="n">
        <v>0</v>
      </c>
      <c r="F137" s="26" t="n">
        <v>2207.1</v>
      </c>
      <c r="G137" s="26" t="n">
        <v>0</v>
      </c>
      <c r="H137" s="26" t="n">
        <v>0</v>
      </c>
      <c r="I137" s="26" t="n">
        <v>1152.7</v>
      </c>
      <c r="J137" s="26" t="n">
        <v>0</v>
      </c>
      <c r="K137" s="26" t="n">
        <v>0</v>
      </c>
      <c r="L137" s="26" t="n">
        <v>0</v>
      </c>
      <c r="M137" s="26" t="n">
        <v>0</v>
      </c>
      <c r="N137" s="26" t="n">
        <v>117.1</v>
      </c>
      <c r="O137" s="26" t="n">
        <v>0</v>
      </c>
      <c r="P137" s="26" t="n">
        <v>0</v>
      </c>
      <c r="Q137" s="26" t="n">
        <v>1035.5</v>
      </c>
      <c r="R137" s="26" t="n">
        <v>0</v>
      </c>
      <c r="S137" s="26" t="n">
        <v>0</v>
      </c>
      <c r="T137" s="26" t="n">
        <v>0</v>
      </c>
      <c r="U137" s="26" t="n">
        <v>0</v>
      </c>
    </row>
    <row r="138" customFormat="false" ht="15" hidden="false" customHeight="true" outlineLevel="0" collapsed="false">
      <c r="A138" s="8" t="s">
        <v>407</v>
      </c>
      <c r="B138" s="8" t="s">
        <v>112</v>
      </c>
      <c r="C138" s="8" t="s">
        <v>533</v>
      </c>
      <c r="D138" s="26" t="n">
        <v>0</v>
      </c>
      <c r="E138" s="26" t="n">
        <v>0</v>
      </c>
      <c r="F138" s="26" t="n">
        <v>13380.2</v>
      </c>
      <c r="G138" s="26" t="n">
        <v>0</v>
      </c>
      <c r="H138" s="26" t="n">
        <v>0</v>
      </c>
      <c r="I138" s="26" t="n">
        <v>12600.2</v>
      </c>
      <c r="J138" s="26" t="n">
        <v>0</v>
      </c>
      <c r="K138" s="26" t="n">
        <v>0</v>
      </c>
      <c r="L138" s="26" t="n">
        <v>0</v>
      </c>
      <c r="M138" s="26" t="n">
        <v>0</v>
      </c>
      <c r="N138" s="26" t="n">
        <v>0</v>
      </c>
      <c r="O138" s="26" t="n">
        <v>0</v>
      </c>
      <c r="P138" s="26" t="n">
        <v>0</v>
      </c>
      <c r="Q138" s="26" t="n">
        <v>12600.2</v>
      </c>
      <c r="R138" s="26" t="n">
        <v>0</v>
      </c>
      <c r="S138" s="26" t="n">
        <v>0</v>
      </c>
      <c r="T138" s="26" t="n">
        <v>0</v>
      </c>
      <c r="U138" s="26" t="n">
        <v>0</v>
      </c>
    </row>
    <row r="139" customFormat="false" ht="15" hidden="false" customHeight="true" outlineLevel="0" collapsed="false">
      <c r="A139" s="8" t="s">
        <v>407</v>
      </c>
      <c r="B139" s="8" t="s">
        <v>159</v>
      </c>
      <c r="C139" s="8" t="s">
        <v>540</v>
      </c>
      <c r="D139" s="26" t="n">
        <v>0</v>
      </c>
      <c r="E139" s="26" t="n">
        <v>0</v>
      </c>
      <c r="F139" s="26" t="n">
        <v>5263.8</v>
      </c>
      <c r="G139" s="26" t="n">
        <v>0</v>
      </c>
      <c r="H139" s="26" t="n">
        <v>0</v>
      </c>
      <c r="I139" s="26" t="n">
        <v>3499.8</v>
      </c>
      <c r="J139" s="26" t="n">
        <v>0</v>
      </c>
      <c r="K139" s="26" t="n">
        <v>536.3</v>
      </c>
      <c r="L139" s="26" t="n">
        <v>-13.1</v>
      </c>
      <c r="M139" s="26" t="n">
        <v>113.1</v>
      </c>
      <c r="N139" s="26" t="n">
        <v>136.7</v>
      </c>
      <c r="O139" s="26" t="n">
        <v>77.4</v>
      </c>
      <c r="P139" s="26" t="n">
        <v>0</v>
      </c>
      <c r="Q139" s="26" t="n">
        <v>0</v>
      </c>
      <c r="R139" s="26" t="n">
        <v>2649.4</v>
      </c>
      <c r="S139" s="26" t="n">
        <v>0</v>
      </c>
      <c r="T139" s="26" t="n">
        <v>0</v>
      </c>
      <c r="U139" s="26" t="n">
        <v>0</v>
      </c>
    </row>
    <row r="140" customFormat="false" ht="15" hidden="false" customHeight="true" outlineLevel="0" collapsed="false">
      <c r="A140" s="8" t="s">
        <v>407</v>
      </c>
      <c r="B140" s="8" t="s">
        <v>159</v>
      </c>
      <c r="C140" s="8" t="s">
        <v>541</v>
      </c>
      <c r="D140" s="26" t="n">
        <v>0</v>
      </c>
      <c r="E140" s="26" t="n">
        <v>0</v>
      </c>
      <c r="F140" s="26" t="n">
        <v>3178.7</v>
      </c>
      <c r="G140" s="26" t="n">
        <v>0</v>
      </c>
      <c r="H140" s="26" t="n">
        <v>36.4</v>
      </c>
      <c r="I140" s="26" t="n">
        <v>3726.8</v>
      </c>
      <c r="J140" s="26" t="n">
        <v>0</v>
      </c>
      <c r="K140" s="26" t="n">
        <v>134.4</v>
      </c>
      <c r="L140" s="26" t="n">
        <v>0</v>
      </c>
      <c r="M140" s="26" t="n">
        <v>23.6</v>
      </c>
      <c r="N140" s="26" t="n">
        <v>138.5</v>
      </c>
      <c r="O140" s="26" t="n">
        <v>44.8</v>
      </c>
      <c r="P140" s="26" t="n">
        <v>0</v>
      </c>
      <c r="Q140" s="26" t="n">
        <v>2310.4</v>
      </c>
      <c r="R140" s="26" t="n">
        <v>1075.2</v>
      </c>
      <c r="S140" s="26" t="n">
        <v>0</v>
      </c>
      <c r="T140" s="26" t="n">
        <v>0</v>
      </c>
      <c r="U140" s="26" t="n">
        <v>0</v>
      </c>
    </row>
    <row r="141" customFormat="false" ht="15" hidden="false" customHeight="true" outlineLevel="0" collapsed="false">
      <c r="A141" s="8" t="s">
        <v>407</v>
      </c>
      <c r="B141" s="8" t="s">
        <v>230</v>
      </c>
      <c r="C141" s="8" t="s">
        <v>542</v>
      </c>
      <c r="D141" s="26" t="n">
        <v>0</v>
      </c>
      <c r="E141" s="26" t="n">
        <v>0</v>
      </c>
      <c r="F141" s="26" t="n">
        <v>-513.4</v>
      </c>
      <c r="G141" s="26" t="n">
        <v>0</v>
      </c>
      <c r="H141" s="26" t="n">
        <v>-61.4</v>
      </c>
      <c r="I141" s="26" t="n">
        <v>-884.7</v>
      </c>
      <c r="J141" s="26" t="n">
        <v>0</v>
      </c>
      <c r="K141" s="26" t="n">
        <v>0</v>
      </c>
      <c r="L141" s="26" t="n">
        <v>0</v>
      </c>
      <c r="M141" s="26" t="n">
        <v>0</v>
      </c>
      <c r="N141" s="26" t="n">
        <v>-141.6</v>
      </c>
      <c r="O141" s="26" t="n">
        <v>0</v>
      </c>
      <c r="P141" s="26" t="n">
        <v>-366.5</v>
      </c>
      <c r="Q141" s="26" t="n">
        <v>-235.1</v>
      </c>
      <c r="R141" s="26" t="n">
        <v>-141.4</v>
      </c>
      <c r="S141" s="26" t="n">
        <v>0</v>
      </c>
      <c r="T141" s="26" t="n">
        <v>0</v>
      </c>
      <c r="U141" s="26" t="n">
        <v>-94.4</v>
      </c>
    </row>
    <row r="142" customFormat="false" ht="15" hidden="false" customHeight="true" outlineLevel="0" collapsed="false">
      <c r="A142" s="8" t="s">
        <v>407</v>
      </c>
      <c r="B142" s="8" t="s">
        <v>369</v>
      </c>
      <c r="C142" s="8" t="s">
        <v>543</v>
      </c>
      <c r="D142" s="26" t="n">
        <v>0</v>
      </c>
      <c r="E142" s="26" t="n">
        <v>0</v>
      </c>
      <c r="F142" s="26" t="n">
        <v>0</v>
      </c>
      <c r="G142" s="26" t="n">
        <v>0</v>
      </c>
      <c r="H142" s="26" t="n">
        <v>0</v>
      </c>
      <c r="I142" s="26" t="n">
        <v>-20.8</v>
      </c>
      <c r="J142" s="26" t="n">
        <v>0</v>
      </c>
      <c r="K142" s="26" t="n">
        <v>0</v>
      </c>
      <c r="L142" s="26" t="n">
        <v>0</v>
      </c>
      <c r="M142" s="26" t="n">
        <v>0</v>
      </c>
      <c r="N142" s="26" t="n">
        <v>0</v>
      </c>
      <c r="O142" s="26" t="n">
        <v>0</v>
      </c>
      <c r="P142" s="26" t="n">
        <v>-20.8</v>
      </c>
      <c r="Q142" s="26" t="n">
        <v>0</v>
      </c>
      <c r="R142" s="26" t="n">
        <v>0</v>
      </c>
      <c r="S142" s="26" t="n">
        <v>0</v>
      </c>
      <c r="T142" s="26" t="n">
        <v>0</v>
      </c>
      <c r="U142" s="26" t="n">
        <v>0</v>
      </c>
    </row>
    <row r="143" customFormat="false" ht="15" hidden="false" customHeight="true" outlineLevel="0" collapsed="false">
      <c r="A143" s="8" t="s">
        <v>407</v>
      </c>
      <c r="B143" s="8" t="s">
        <v>106</v>
      </c>
      <c r="C143" s="8" t="s">
        <v>544</v>
      </c>
      <c r="D143" s="26" t="n">
        <v>0</v>
      </c>
      <c r="E143" s="26" t="n">
        <v>0</v>
      </c>
      <c r="F143" s="26" t="n">
        <v>14188.7</v>
      </c>
      <c r="G143" s="26" t="n">
        <v>0</v>
      </c>
      <c r="H143" s="26" t="n">
        <v>223</v>
      </c>
      <c r="I143" s="26" t="n">
        <v>45083.3</v>
      </c>
      <c r="J143" s="26" t="n">
        <v>0</v>
      </c>
      <c r="K143" s="26" t="n">
        <v>1627.5</v>
      </c>
      <c r="L143" s="26" t="n">
        <v>-105</v>
      </c>
      <c r="M143" s="26" t="n">
        <v>554.3</v>
      </c>
      <c r="N143" s="26" t="n">
        <v>399.1</v>
      </c>
      <c r="O143" s="26" t="n">
        <v>450.6</v>
      </c>
      <c r="P143" s="26" t="n">
        <v>-210</v>
      </c>
      <c r="Q143" s="26" t="n">
        <v>20668.1</v>
      </c>
      <c r="R143" s="26" t="n">
        <v>21698.8</v>
      </c>
      <c r="S143" s="26" t="n">
        <v>85</v>
      </c>
      <c r="T143" s="26" t="n">
        <v>0</v>
      </c>
      <c r="U143" s="26" t="n">
        <v>0</v>
      </c>
    </row>
    <row r="144" customFormat="false" ht="15" hidden="false" customHeight="true" outlineLevel="0" collapsed="false">
      <c r="A144" s="8" t="s">
        <v>407</v>
      </c>
      <c r="B144" s="8" t="s">
        <v>141</v>
      </c>
      <c r="C144" s="8" t="s">
        <v>545</v>
      </c>
      <c r="D144" s="26" t="n">
        <v>0</v>
      </c>
      <c r="E144" s="26" t="n">
        <v>0</v>
      </c>
      <c r="F144" s="26" t="n">
        <v>8347.3</v>
      </c>
      <c r="G144" s="26" t="n">
        <v>0</v>
      </c>
      <c r="H144" s="26" t="n">
        <v>0</v>
      </c>
      <c r="I144" s="26" t="n">
        <v>55348</v>
      </c>
      <c r="J144" s="26" t="n">
        <v>0</v>
      </c>
      <c r="K144" s="26" t="n">
        <v>200.2</v>
      </c>
      <c r="L144" s="26" t="n">
        <v>0</v>
      </c>
      <c r="M144" s="26" t="n">
        <v>80.6</v>
      </c>
      <c r="N144" s="26" t="n">
        <v>268.7</v>
      </c>
      <c r="O144" s="26" t="n">
        <v>100.3</v>
      </c>
      <c r="P144" s="26" t="n">
        <v>-125.2</v>
      </c>
      <c r="Q144" s="26" t="n">
        <v>51118.9</v>
      </c>
      <c r="R144" s="26" t="n">
        <v>3704.4</v>
      </c>
      <c r="S144" s="26" t="n">
        <v>0</v>
      </c>
      <c r="T144" s="26" t="n">
        <v>0</v>
      </c>
      <c r="U144" s="26" t="n">
        <v>0</v>
      </c>
    </row>
    <row r="145" customFormat="false" ht="15" hidden="false" customHeight="true" outlineLevel="0" collapsed="false">
      <c r="A145" s="8" t="s">
        <v>407</v>
      </c>
      <c r="B145" s="8" t="s">
        <v>169</v>
      </c>
      <c r="C145" s="8" t="s">
        <v>546</v>
      </c>
      <c r="D145" s="26" t="n">
        <v>0</v>
      </c>
      <c r="E145" s="26" t="n">
        <v>0</v>
      </c>
      <c r="F145" s="26" t="n">
        <v>5823</v>
      </c>
      <c r="G145" s="26" t="n">
        <v>0</v>
      </c>
      <c r="H145" s="26" t="n">
        <v>0</v>
      </c>
      <c r="I145" s="26" t="n">
        <v>7428.9</v>
      </c>
      <c r="J145" s="26" t="n">
        <v>0</v>
      </c>
      <c r="K145" s="26" t="n">
        <v>235.9</v>
      </c>
      <c r="L145" s="26" t="n">
        <v>0</v>
      </c>
      <c r="M145" s="26" t="n">
        <v>0</v>
      </c>
      <c r="N145" s="26" t="n">
        <v>0</v>
      </c>
      <c r="O145" s="26" t="n">
        <v>0</v>
      </c>
      <c r="P145" s="26" t="n">
        <v>-369.5</v>
      </c>
      <c r="Q145" s="26" t="n">
        <v>5701.6</v>
      </c>
      <c r="R145" s="26" t="n">
        <v>1860.9</v>
      </c>
      <c r="S145" s="26" t="n">
        <v>0</v>
      </c>
      <c r="T145" s="26" t="n">
        <v>0</v>
      </c>
      <c r="U145" s="26" t="n">
        <v>0</v>
      </c>
    </row>
    <row r="146" customFormat="false" ht="15" hidden="false" customHeight="true" outlineLevel="0" collapsed="false">
      <c r="A146" s="8" t="s">
        <v>407</v>
      </c>
      <c r="B146" s="8" t="s">
        <v>373</v>
      </c>
      <c r="C146" s="8" t="s">
        <v>547</v>
      </c>
      <c r="D146" s="26" t="n">
        <v>0</v>
      </c>
      <c r="E146" s="26" t="n">
        <v>0</v>
      </c>
      <c r="F146" s="26" t="n">
        <v>0</v>
      </c>
      <c r="G146" s="26" t="n">
        <v>0</v>
      </c>
      <c r="H146" s="26" t="n">
        <v>0</v>
      </c>
      <c r="I146" s="26" t="n">
        <v>-393.2</v>
      </c>
      <c r="J146" s="26" t="n">
        <v>0</v>
      </c>
      <c r="K146" s="26" t="n">
        <v>0</v>
      </c>
      <c r="L146" s="26" t="n">
        <v>0</v>
      </c>
      <c r="M146" s="26" t="n">
        <v>0</v>
      </c>
      <c r="N146" s="26" t="n">
        <v>0</v>
      </c>
      <c r="O146" s="26" t="n">
        <v>0</v>
      </c>
      <c r="P146" s="26" t="n">
        <v>0</v>
      </c>
      <c r="Q146" s="26" t="n">
        <v>-393.2</v>
      </c>
      <c r="R146" s="26" t="n">
        <v>0</v>
      </c>
      <c r="S146" s="26" t="n">
        <v>0</v>
      </c>
      <c r="T146" s="26" t="n">
        <v>0</v>
      </c>
      <c r="U146" s="26" t="n">
        <v>0</v>
      </c>
    </row>
    <row r="147" customFormat="false" ht="15" hidden="false" customHeight="true" outlineLevel="0" collapsed="false">
      <c r="A147" s="8" t="s">
        <v>407</v>
      </c>
      <c r="B147" s="8" t="s">
        <v>244</v>
      </c>
      <c r="C147" s="8" t="s">
        <v>548</v>
      </c>
      <c r="D147" s="26" t="n">
        <v>0</v>
      </c>
      <c r="E147" s="26" t="n">
        <v>0</v>
      </c>
      <c r="F147" s="26" t="n">
        <v>2276.2</v>
      </c>
      <c r="G147" s="26" t="n">
        <v>0</v>
      </c>
      <c r="H147" s="26" t="n">
        <v>0</v>
      </c>
      <c r="I147" s="26" t="n">
        <v>826.4</v>
      </c>
      <c r="J147" s="26" t="n">
        <v>0</v>
      </c>
      <c r="K147" s="26" t="n">
        <v>0</v>
      </c>
      <c r="L147" s="26" t="n">
        <v>0</v>
      </c>
      <c r="M147" s="26" t="n">
        <v>0</v>
      </c>
      <c r="N147" s="26" t="n">
        <v>0</v>
      </c>
      <c r="O147" s="26" t="n">
        <v>0</v>
      </c>
      <c r="P147" s="26" t="n">
        <v>0</v>
      </c>
      <c r="Q147" s="26" t="n">
        <v>826.4</v>
      </c>
      <c r="R147" s="26" t="n">
        <v>0</v>
      </c>
      <c r="S147" s="26" t="n">
        <v>0</v>
      </c>
      <c r="T147" s="26" t="n">
        <v>0</v>
      </c>
      <c r="U147" s="26" t="n">
        <v>0</v>
      </c>
    </row>
    <row r="148" customFormat="false" ht="15" hidden="false" customHeight="true" outlineLevel="0" collapsed="false">
      <c r="A148" s="8" t="s">
        <v>407</v>
      </c>
      <c r="B148" s="8" t="s">
        <v>158</v>
      </c>
      <c r="C148" s="8" t="s">
        <v>549</v>
      </c>
      <c r="D148" s="26" t="n">
        <v>0</v>
      </c>
      <c r="E148" s="26" t="n">
        <v>0</v>
      </c>
      <c r="F148" s="26" t="n">
        <v>388.7</v>
      </c>
      <c r="G148" s="26" t="n">
        <v>0</v>
      </c>
      <c r="H148" s="26" t="n">
        <v>0</v>
      </c>
      <c r="I148" s="26" t="n">
        <v>2063.1</v>
      </c>
      <c r="J148" s="26" t="n">
        <v>0</v>
      </c>
      <c r="K148" s="26" t="n">
        <v>123.5</v>
      </c>
      <c r="L148" s="26" t="n">
        <v>0</v>
      </c>
      <c r="M148" s="26" t="n">
        <v>0</v>
      </c>
      <c r="N148" s="26" t="n">
        <v>0</v>
      </c>
      <c r="O148" s="26" t="n">
        <v>0</v>
      </c>
      <c r="P148" s="26" t="n">
        <v>-246.9</v>
      </c>
      <c r="Q148" s="26" t="n">
        <v>1507.5</v>
      </c>
      <c r="R148" s="26" t="n">
        <v>679</v>
      </c>
      <c r="S148" s="26" t="n">
        <v>0</v>
      </c>
      <c r="T148" s="26" t="n">
        <v>0</v>
      </c>
      <c r="U148" s="26" t="n">
        <v>0</v>
      </c>
    </row>
    <row r="149" customFormat="false" ht="15" hidden="false" customHeight="true" outlineLevel="0" collapsed="false">
      <c r="A149" s="8" t="s">
        <v>407</v>
      </c>
      <c r="B149" s="8" t="s">
        <v>158</v>
      </c>
      <c r="C149" s="8" t="s">
        <v>550</v>
      </c>
      <c r="D149" s="26" t="n">
        <v>0</v>
      </c>
      <c r="E149" s="26" t="n">
        <v>0</v>
      </c>
      <c r="F149" s="26" t="n">
        <v>917</v>
      </c>
      <c r="G149" s="26" t="n">
        <v>0</v>
      </c>
      <c r="H149" s="26" t="n">
        <v>0</v>
      </c>
      <c r="I149" s="26" t="n">
        <v>1940.4</v>
      </c>
      <c r="J149" s="26" t="n">
        <v>0</v>
      </c>
      <c r="K149" s="26" t="n">
        <v>0</v>
      </c>
      <c r="L149" s="26" t="n">
        <v>0</v>
      </c>
      <c r="M149" s="26" t="n">
        <v>0</v>
      </c>
      <c r="N149" s="26" t="n">
        <v>0</v>
      </c>
      <c r="O149" s="26" t="n">
        <v>0</v>
      </c>
      <c r="P149" s="26" t="n">
        <v>-308.7</v>
      </c>
      <c r="Q149" s="26" t="n">
        <v>1755.2</v>
      </c>
      <c r="R149" s="26" t="n">
        <v>493.8</v>
      </c>
      <c r="S149" s="26" t="n">
        <v>0</v>
      </c>
      <c r="T149" s="26" t="n">
        <v>0</v>
      </c>
      <c r="U149" s="26" t="n">
        <v>0</v>
      </c>
    </row>
    <row r="150" customFormat="false" ht="15" hidden="false" customHeight="true" outlineLevel="0" collapsed="false">
      <c r="A150" s="8" t="s">
        <v>407</v>
      </c>
      <c r="B150" s="8" t="s">
        <v>158</v>
      </c>
      <c r="C150" s="8" t="s">
        <v>551</v>
      </c>
      <c r="D150" s="26" t="n">
        <v>0</v>
      </c>
      <c r="E150" s="26" t="n">
        <v>0</v>
      </c>
      <c r="F150" s="26" t="n">
        <v>373.1</v>
      </c>
      <c r="G150" s="26" t="n">
        <v>0</v>
      </c>
      <c r="H150" s="26" t="n">
        <v>0</v>
      </c>
      <c r="I150" s="26" t="n">
        <v>2622.3</v>
      </c>
      <c r="J150" s="26" t="n">
        <v>0</v>
      </c>
      <c r="K150" s="26" t="n">
        <v>0</v>
      </c>
      <c r="L150" s="26" t="n">
        <v>0</v>
      </c>
      <c r="M150" s="26" t="n">
        <v>0</v>
      </c>
      <c r="N150" s="26" t="n">
        <v>0</v>
      </c>
      <c r="O150" s="26" t="n">
        <v>0</v>
      </c>
      <c r="P150" s="26" t="n">
        <v>-537.9</v>
      </c>
      <c r="Q150" s="26" t="n">
        <v>1802.1</v>
      </c>
      <c r="R150" s="26" t="n">
        <v>1358.1</v>
      </c>
      <c r="S150" s="26" t="n">
        <v>0</v>
      </c>
      <c r="T150" s="26" t="n">
        <v>0</v>
      </c>
      <c r="U150" s="26" t="n">
        <v>0</v>
      </c>
    </row>
    <row r="151" customFormat="false" ht="15" hidden="false" customHeight="true" outlineLevel="0" collapsed="false">
      <c r="A151" s="8" t="s">
        <v>407</v>
      </c>
      <c r="B151" s="8" t="s">
        <v>158</v>
      </c>
      <c r="C151" s="8" t="s">
        <v>552</v>
      </c>
      <c r="D151" s="26" t="n">
        <v>0</v>
      </c>
      <c r="E151" s="26" t="n">
        <v>0</v>
      </c>
      <c r="F151" s="26" t="n">
        <v>711.5</v>
      </c>
      <c r="G151" s="26" t="n">
        <v>0</v>
      </c>
      <c r="H151" s="26" t="n">
        <v>0</v>
      </c>
      <c r="I151" s="26" t="n">
        <v>1342.7</v>
      </c>
      <c r="J151" s="26" t="n">
        <v>0</v>
      </c>
      <c r="K151" s="26" t="n">
        <v>0</v>
      </c>
      <c r="L151" s="26" t="n">
        <v>0</v>
      </c>
      <c r="M151" s="26" t="n">
        <v>0</v>
      </c>
      <c r="N151" s="26" t="n">
        <v>0</v>
      </c>
      <c r="O151" s="26" t="n">
        <v>66.1</v>
      </c>
      <c r="P151" s="26" t="n">
        <v>-308.7</v>
      </c>
      <c r="Q151" s="26" t="n">
        <v>659.2</v>
      </c>
      <c r="R151" s="26" t="n">
        <v>926</v>
      </c>
      <c r="S151" s="26" t="n">
        <v>0</v>
      </c>
      <c r="T151" s="26" t="n">
        <v>0</v>
      </c>
      <c r="U151" s="26" t="n">
        <v>0</v>
      </c>
    </row>
    <row r="152" customFormat="false" ht="15" hidden="false" customHeight="true" outlineLevel="0" collapsed="false">
      <c r="A152" s="8" t="s">
        <v>407</v>
      </c>
      <c r="B152" s="8" t="s">
        <v>158</v>
      </c>
      <c r="C152" s="8" t="s">
        <v>553</v>
      </c>
      <c r="D152" s="26" t="n">
        <v>0</v>
      </c>
      <c r="E152" s="26" t="n">
        <v>0</v>
      </c>
      <c r="F152" s="26" t="n">
        <v>130.4</v>
      </c>
      <c r="G152" s="26" t="n">
        <v>0</v>
      </c>
      <c r="H152" s="26" t="n">
        <v>0</v>
      </c>
      <c r="I152" s="26" t="n">
        <v>7.3</v>
      </c>
      <c r="J152" s="26" t="n">
        <v>0</v>
      </c>
      <c r="K152" s="26" t="n">
        <v>0</v>
      </c>
      <c r="L152" s="26" t="n">
        <v>0</v>
      </c>
      <c r="M152" s="26" t="n">
        <v>0</v>
      </c>
      <c r="N152" s="26" t="n">
        <v>0</v>
      </c>
      <c r="O152" s="26" t="n">
        <v>0</v>
      </c>
      <c r="P152" s="26" t="n">
        <v>-246.9</v>
      </c>
      <c r="Q152" s="26" t="n">
        <v>-54.5</v>
      </c>
      <c r="R152" s="26" t="n">
        <v>308.7</v>
      </c>
      <c r="S152" s="26" t="n">
        <v>0</v>
      </c>
      <c r="T152" s="26" t="n">
        <v>0</v>
      </c>
      <c r="U152" s="26" t="n">
        <v>0</v>
      </c>
    </row>
    <row r="153" customFormat="false" ht="15" hidden="false" customHeight="true" outlineLevel="0" collapsed="false">
      <c r="A153" s="8" t="s">
        <v>407</v>
      </c>
      <c r="B153" s="8" t="s">
        <v>366</v>
      </c>
      <c r="C153" s="8" t="s">
        <v>554</v>
      </c>
      <c r="D153" s="26" t="n">
        <v>0</v>
      </c>
      <c r="E153" s="26" t="n">
        <v>0</v>
      </c>
      <c r="F153" s="26" t="n">
        <v>0</v>
      </c>
      <c r="G153" s="26" t="n">
        <v>0</v>
      </c>
      <c r="H153" s="26" t="n">
        <v>0</v>
      </c>
      <c r="I153" s="26" t="n">
        <v>-193.5</v>
      </c>
      <c r="J153" s="26" t="n">
        <v>0</v>
      </c>
      <c r="K153" s="26" t="n">
        <v>0</v>
      </c>
      <c r="L153" s="26" t="n">
        <v>0</v>
      </c>
      <c r="M153" s="26" t="n">
        <v>0</v>
      </c>
      <c r="N153" s="26" t="n">
        <v>0</v>
      </c>
      <c r="O153" s="26" t="n">
        <v>0</v>
      </c>
      <c r="P153" s="26" t="n">
        <v>-193.5</v>
      </c>
      <c r="Q153" s="26" t="n">
        <v>0</v>
      </c>
      <c r="R153" s="26" t="n">
        <v>0</v>
      </c>
      <c r="S153" s="26" t="n">
        <v>0</v>
      </c>
      <c r="T153" s="26" t="n">
        <v>0</v>
      </c>
      <c r="U153" s="26" t="n">
        <v>0</v>
      </c>
    </row>
    <row r="154" customFormat="false" ht="15" hidden="false" customHeight="true" outlineLevel="0" collapsed="false">
      <c r="A154" s="8" t="s">
        <v>407</v>
      </c>
      <c r="B154" s="8" t="s">
        <v>366</v>
      </c>
      <c r="C154" s="8" t="s">
        <v>555</v>
      </c>
      <c r="D154" s="26" t="n">
        <v>0</v>
      </c>
      <c r="E154" s="26" t="n">
        <v>0</v>
      </c>
      <c r="F154" s="26" t="n">
        <v>0</v>
      </c>
      <c r="G154" s="26" t="n">
        <v>0</v>
      </c>
      <c r="H154" s="26" t="n">
        <v>0</v>
      </c>
      <c r="I154" s="26" t="n">
        <v>-193.5</v>
      </c>
      <c r="J154" s="26" t="n">
        <v>0</v>
      </c>
      <c r="K154" s="26" t="n">
        <v>0</v>
      </c>
      <c r="L154" s="26" t="n">
        <v>0</v>
      </c>
      <c r="M154" s="26" t="n">
        <v>0</v>
      </c>
      <c r="N154" s="26" t="n">
        <v>0</v>
      </c>
      <c r="O154" s="26" t="n">
        <v>0</v>
      </c>
      <c r="P154" s="26" t="n">
        <v>-193.5</v>
      </c>
      <c r="Q154" s="26" t="n">
        <v>0</v>
      </c>
      <c r="R154" s="26" t="n">
        <v>0</v>
      </c>
      <c r="S154" s="26" t="n">
        <v>0</v>
      </c>
      <c r="T154" s="26" t="n">
        <v>0</v>
      </c>
      <c r="U154" s="26" t="n">
        <v>0</v>
      </c>
    </row>
    <row r="155" customFormat="false" ht="15" hidden="false" customHeight="true" outlineLevel="0" collapsed="false">
      <c r="A155" s="8" t="s">
        <v>407</v>
      </c>
      <c r="B155" s="8" t="s">
        <v>181</v>
      </c>
      <c r="C155" s="8" t="s">
        <v>556</v>
      </c>
      <c r="D155" s="26" t="n">
        <v>0</v>
      </c>
      <c r="E155" s="26" t="n">
        <v>0</v>
      </c>
      <c r="F155" s="26" t="n">
        <v>118.5</v>
      </c>
      <c r="G155" s="26" t="n">
        <v>0</v>
      </c>
      <c r="H155" s="26" t="n">
        <v>0</v>
      </c>
      <c r="I155" s="26" t="n">
        <v>773.4</v>
      </c>
      <c r="J155" s="26" t="n">
        <v>0</v>
      </c>
      <c r="K155" s="26" t="n">
        <v>331.5</v>
      </c>
      <c r="L155" s="26" t="n">
        <v>0</v>
      </c>
      <c r="M155" s="26" t="n">
        <v>0</v>
      </c>
      <c r="N155" s="26" t="n">
        <v>0</v>
      </c>
      <c r="O155" s="26" t="n">
        <v>0</v>
      </c>
      <c r="P155" s="26" t="n">
        <v>0</v>
      </c>
      <c r="Q155" s="26" t="n">
        <v>0</v>
      </c>
      <c r="R155" s="26" t="n">
        <v>441.9</v>
      </c>
      <c r="S155" s="26" t="n">
        <v>0</v>
      </c>
      <c r="T155" s="26" t="n">
        <v>0</v>
      </c>
      <c r="U155" s="26" t="n">
        <v>0</v>
      </c>
    </row>
    <row r="156" customFormat="false" ht="15" hidden="false" customHeight="true" outlineLevel="0" collapsed="false">
      <c r="A156" s="8" t="s">
        <v>407</v>
      </c>
      <c r="B156" s="8" t="s">
        <v>181</v>
      </c>
      <c r="C156" s="8" t="s">
        <v>557</v>
      </c>
      <c r="D156" s="26" t="n">
        <v>0</v>
      </c>
      <c r="E156" s="26" t="n">
        <v>0</v>
      </c>
      <c r="F156" s="26" t="n">
        <v>0</v>
      </c>
      <c r="G156" s="26" t="n">
        <v>0</v>
      </c>
      <c r="H156" s="26" t="n">
        <v>0</v>
      </c>
      <c r="I156" s="26" t="n">
        <v>662.9</v>
      </c>
      <c r="J156" s="26" t="n">
        <v>0</v>
      </c>
      <c r="K156" s="26" t="n">
        <v>0</v>
      </c>
      <c r="L156" s="26" t="n">
        <v>0</v>
      </c>
      <c r="M156" s="26" t="n">
        <v>0</v>
      </c>
      <c r="N156" s="26" t="n">
        <v>0</v>
      </c>
      <c r="O156" s="26" t="n">
        <v>0</v>
      </c>
      <c r="P156" s="26" t="n">
        <v>-110.5</v>
      </c>
      <c r="Q156" s="26" t="n">
        <v>0</v>
      </c>
      <c r="R156" s="26" t="n">
        <v>773.4</v>
      </c>
      <c r="S156" s="26" t="n">
        <v>0</v>
      </c>
      <c r="T156" s="26" t="n">
        <v>0</v>
      </c>
      <c r="U156" s="26" t="n">
        <v>0</v>
      </c>
    </row>
    <row r="157" customFormat="false" ht="15" hidden="false" customHeight="true" outlineLevel="0" collapsed="false">
      <c r="A157" s="8" t="s">
        <v>407</v>
      </c>
      <c r="B157" s="8" t="s">
        <v>181</v>
      </c>
      <c r="C157" s="8" t="s">
        <v>558</v>
      </c>
      <c r="D157" s="26" t="n">
        <v>0</v>
      </c>
      <c r="E157" s="26" t="n">
        <v>0</v>
      </c>
      <c r="F157" s="26" t="n">
        <v>706.5</v>
      </c>
      <c r="G157" s="26" t="n">
        <v>0</v>
      </c>
      <c r="H157" s="26" t="n">
        <v>0</v>
      </c>
      <c r="I157" s="26" t="n">
        <v>228.9</v>
      </c>
      <c r="J157" s="26" t="n">
        <v>0</v>
      </c>
      <c r="K157" s="26" t="n">
        <v>0</v>
      </c>
      <c r="L157" s="26" t="n">
        <v>0</v>
      </c>
      <c r="M157" s="26" t="n">
        <v>0</v>
      </c>
      <c r="N157" s="26" t="n">
        <v>0</v>
      </c>
      <c r="O157" s="26" t="n">
        <v>0</v>
      </c>
      <c r="P157" s="26" t="n">
        <v>0</v>
      </c>
      <c r="Q157" s="26" t="n">
        <v>-102.6</v>
      </c>
      <c r="R157" s="26" t="n">
        <v>331.5</v>
      </c>
      <c r="S157" s="26" t="n">
        <v>0</v>
      </c>
      <c r="T157" s="26" t="n">
        <v>0</v>
      </c>
      <c r="U157" s="26" t="n">
        <v>0</v>
      </c>
    </row>
    <row r="158" customFormat="false" ht="15" hidden="false" customHeight="true" outlineLevel="0" collapsed="false">
      <c r="A158" s="8" t="s">
        <v>407</v>
      </c>
      <c r="B158" s="8" t="s">
        <v>181</v>
      </c>
      <c r="C158" s="8" t="s">
        <v>559</v>
      </c>
      <c r="D158" s="26" t="n">
        <v>0</v>
      </c>
      <c r="E158" s="26" t="n">
        <v>0</v>
      </c>
      <c r="F158" s="26" t="n">
        <v>903.7</v>
      </c>
      <c r="G158" s="26" t="n">
        <v>0</v>
      </c>
      <c r="H158" s="26" t="n">
        <v>205.3</v>
      </c>
      <c r="I158" s="26" t="n">
        <v>110.5</v>
      </c>
      <c r="J158" s="26" t="n">
        <v>0</v>
      </c>
      <c r="K158" s="26" t="n">
        <v>0</v>
      </c>
      <c r="L158" s="26" t="n">
        <v>0</v>
      </c>
      <c r="M158" s="26" t="n">
        <v>0</v>
      </c>
      <c r="N158" s="26" t="n">
        <v>0</v>
      </c>
      <c r="O158" s="26" t="n">
        <v>0</v>
      </c>
      <c r="P158" s="26" t="n">
        <v>0</v>
      </c>
      <c r="Q158" s="26" t="n">
        <v>0</v>
      </c>
      <c r="R158" s="26" t="n">
        <v>110.5</v>
      </c>
      <c r="S158" s="26" t="n">
        <v>0</v>
      </c>
      <c r="T158" s="26" t="n">
        <v>0</v>
      </c>
      <c r="U158" s="26" t="n">
        <v>0</v>
      </c>
    </row>
    <row r="159" customFormat="false" ht="15" hidden="false" customHeight="true" outlineLevel="0" collapsed="false">
      <c r="A159" s="8" t="s">
        <v>407</v>
      </c>
      <c r="B159" s="8" t="s">
        <v>181</v>
      </c>
      <c r="C159" s="8" t="s">
        <v>560</v>
      </c>
      <c r="D159" s="26" t="n">
        <v>0</v>
      </c>
      <c r="E159" s="26" t="n">
        <v>0</v>
      </c>
      <c r="F159" s="26" t="n">
        <v>327</v>
      </c>
      <c r="G159" s="26" t="n">
        <v>0</v>
      </c>
      <c r="H159" s="26" t="n">
        <v>0</v>
      </c>
      <c r="I159" s="26" t="n">
        <v>-513</v>
      </c>
      <c r="J159" s="26" t="n">
        <v>0</v>
      </c>
      <c r="K159" s="26" t="n">
        <v>0</v>
      </c>
      <c r="L159" s="26" t="n">
        <v>0</v>
      </c>
      <c r="M159" s="26" t="n">
        <v>0</v>
      </c>
      <c r="N159" s="26" t="n">
        <v>0</v>
      </c>
      <c r="O159" s="26" t="n">
        <v>0</v>
      </c>
      <c r="P159" s="26" t="n">
        <v>0</v>
      </c>
      <c r="Q159" s="26" t="n">
        <v>-513</v>
      </c>
      <c r="R159" s="26" t="n">
        <v>0</v>
      </c>
      <c r="S159" s="26" t="n">
        <v>0</v>
      </c>
      <c r="T159" s="26" t="n">
        <v>0</v>
      </c>
      <c r="U159" s="26" t="n">
        <v>0</v>
      </c>
    </row>
    <row r="160" customFormat="false" ht="15" hidden="false" customHeight="true" outlineLevel="0" collapsed="false">
      <c r="A160" s="8" t="s">
        <v>407</v>
      </c>
      <c r="B160" s="8" t="s">
        <v>132</v>
      </c>
      <c r="C160" s="8" t="s">
        <v>561</v>
      </c>
      <c r="D160" s="26" t="n">
        <v>0</v>
      </c>
      <c r="E160" s="26" t="n">
        <v>0</v>
      </c>
      <c r="F160" s="26" t="n">
        <v>12472.5</v>
      </c>
      <c r="G160" s="26" t="n">
        <v>0</v>
      </c>
      <c r="H160" s="26" t="n">
        <v>0</v>
      </c>
      <c r="I160" s="26" t="n">
        <v>57852</v>
      </c>
      <c r="J160" s="26" t="n">
        <v>0</v>
      </c>
      <c r="K160" s="26" t="n">
        <v>480.3</v>
      </c>
      <c r="L160" s="26" t="n">
        <v>-13.3</v>
      </c>
      <c r="M160" s="26" t="n">
        <v>146.3</v>
      </c>
      <c r="N160" s="26" t="n">
        <v>18.4</v>
      </c>
      <c r="O160" s="26" t="n">
        <v>26.7</v>
      </c>
      <c r="P160" s="26" t="n">
        <v>-80</v>
      </c>
      <c r="Q160" s="26" t="n">
        <v>50190</v>
      </c>
      <c r="R160" s="26" t="n">
        <v>7083.7</v>
      </c>
      <c r="S160" s="26" t="n">
        <v>0</v>
      </c>
      <c r="T160" s="26" t="n">
        <v>0</v>
      </c>
      <c r="U160" s="26" t="n">
        <v>0</v>
      </c>
    </row>
    <row r="161" customFormat="false" ht="15" hidden="false" customHeight="true" outlineLevel="0" collapsed="false">
      <c r="A161" s="8" t="s">
        <v>407</v>
      </c>
      <c r="B161" s="8" t="s">
        <v>201</v>
      </c>
      <c r="C161" s="8" t="s">
        <v>562</v>
      </c>
      <c r="D161" s="26" t="n">
        <v>0</v>
      </c>
      <c r="E161" s="26" t="n">
        <v>0</v>
      </c>
      <c r="F161" s="26" t="n">
        <v>2425</v>
      </c>
      <c r="G161" s="26" t="n">
        <v>0</v>
      </c>
      <c r="H161" s="26" t="n">
        <v>0</v>
      </c>
      <c r="I161" s="26" t="n">
        <v>5080.7</v>
      </c>
      <c r="J161" s="26" t="n">
        <v>0</v>
      </c>
      <c r="K161" s="26" t="n">
        <v>85.4</v>
      </c>
      <c r="L161" s="26" t="n">
        <v>0</v>
      </c>
      <c r="M161" s="26" t="n">
        <v>0</v>
      </c>
      <c r="N161" s="26" t="n">
        <v>0</v>
      </c>
      <c r="O161" s="26" t="n">
        <v>0</v>
      </c>
      <c r="P161" s="26" t="n">
        <v>-64</v>
      </c>
      <c r="Q161" s="26" t="n">
        <v>4120.4</v>
      </c>
      <c r="R161" s="26" t="n">
        <v>939</v>
      </c>
      <c r="S161" s="26" t="n">
        <v>0</v>
      </c>
      <c r="T161" s="26" t="n">
        <v>0</v>
      </c>
      <c r="U161" s="26" t="n">
        <v>0</v>
      </c>
    </row>
    <row r="162" customFormat="false" ht="15" hidden="false" customHeight="true" outlineLevel="0" collapsed="false">
      <c r="A162" s="8" t="s">
        <v>407</v>
      </c>
      <c r="B162" s="8" t="s">
        <v>93</v>
      </c>
      <c r="C162" s="8" t="s">
        <v>563</v>
      </c>
      <c r="D162" s="26" t="n">
        <v>0</v>
      </c>
      <c r="E162" s="26" t="n">
        <v>0</v>
      </c>
      <c r="F162" s="26" t="n">
        <v>8539.1</v>
      </c>
      <c r="G162" s="26" t="n">
        <v>0</v>
      </c>
      <c r="H162" s="26" t="n">
        <v>365.2</v>
      </c>
      <c r="I162" s="26" t="n">
        <v>79784.3</v>
      </c>
      <c r="J162" s="26" t="n">
        <v>0</v>
      </c>
      <c r="K162" s="26" t="n">
        <v>688.5</v>
      </c>
      <c r="L162" s="26" t="n">
        <v>0</v>
      </c>
      <c r="M162" s="26" t="n">
        <v>0</v>
      </c>
      <c r="N162" s="26" t="n">
        <v>85</v>
      </c>
      <c r="O162" s="26" t="n">
        <v>43.4</v>
      </c>
      <c r="P162" s="26" t="n">
        <v>-205.4</v>
      </c>
      <c r="Q162" s="26" t="n">
        <v>71558.8</v>
      </c>
      <c r="R162" s="26" t="n">
        <v>7614</v>
      </c>
      <c r="S162" s="26" t="n">
        <v>0</v>
      </c>
      <c r="T162" s="26" t="n">
        <v>0</v>
      </c>
      <c r="U162" s="26" t="n">
        <v>-62.4</v>
      </c>
    </row>
    <row r="163" customFormat="false" ht="15" hidden="false" customHeight="true" outlineLevel="0" collapsed="false">
      <c r="A163" s="8" t="s">
        <v>407</v>
      </c>
      <c r="B163" s="8" t="s">
        <v>93</v>
      </c>
      <c r="C163" s="8" t="s">
        <v>564</v>
      </c>
      <c r="D163" s="26" t="n">
        <v>0</v>
      </c>
      <c r="E163" s="26" t="n">
        <v>0</v>
      </c>
      <c r="F163" s="26" t="n">
        <v>3496.1</v>
      </c>
      <c r="G163" s="26" t="n">
        <v>0</v>
      </c>
      <c r="H163" s="26" t="n">
        <v>0</v>
      </c>
      <c r="I163" s="26" t="n">
        <v>49639.1</v>
      </c>
      <c r="J163" s="26" t="n">
        <v>0</v>
      </c>
      <c r="K163" s="26" t="n">
        <v>283.5</v>
      </c>
      <c r="L163" s="26" t="n">
        <v>0</v>
      </c>
      <c r="M163" s="26" t="n">
        <v>0</v>
      </c>
      <c r="N163" s="26" t="n">
        <v>85</v>
      </c>
      <c r="O163" s="26" t="n">
        <v>0</v>
      </c>
      <c r="P163" s="26" t="n">
        <v>-202.5</v>
      </c>
      <c r="Q163" s="26" t="n">
        <v>44734.6</v>
      </c>
      <c r="R163" s="26" t="n">
        <v>4738.5</v>
      </c>
      <c r="S163" s="26" t="n">
        <v>0</v>
      </c>
      <c r="T163" s="26" t="n">
        <v>0</v>
      </c>
      <c r="U163" s="26" t="n">
        <v>-124.9</v>
      </c>
    </row>
    <row r="164" customFormat="false" ht="15" hidden="false" customHeight="true" outlineLevel="0" collapsed="false">
      <c r="A164" s="8" t="s">
        <v>407</v>
      </c>
      <c r="B164" s="8" t="s">
        <v>93</v>
      </c>
      <c r="C164" s="8" t="s">
        <v>565</v>
      </c>
      <c r="D164" s="26" t="n">
        <v>0</v>
      </c>
      <c r="E164" s="26" t="n">
        <v>0</v>
      </c>
      <c r="F164" s="26" t="n">
        <v>7794.9</v>
      </c>
      <c r="G164" s="26" t="n">
        <v>0</v>
      </c>
      <c r="H164" s="26" t="n">
        <v>162.3</v>
      </c>
      <c r="I164" s="26" t="n">
        <v>74991</v>
      </c>
      <c r="J164" s="26" t="n">
        <v>0</v>
      </c>
      <c r="K164" s="26" t="n">
        <v>486</v>
      </c>
      <c r="L164" s="26" t="n">
        <v>0</v>
      </c>
      <c r="M164" s="26" t="n">
        <v>0</v>
      </c>
      <c r="N164" s="26" t="n">
        <v>85</v>
      </c>
      <c r="O164" s="26" t="n">
        <v>86.8</v>
      </c>
      <c r="P164" s="26" t="n">
        <v>-283.5</v>
      </c>
      <c r="Q164" s="26" t="n">
        <v>67283.3</v>
      </c>
      <c r="R164" s="26" t="n">
        <v>7333.4</v>
      </c>
      <c r="S164" s="26" t="n">
        <v>43.7</v>
      </c>
      <c r="T164" s="26" t="n">
        <v>0</v>
      </c>
      <c r="U164" s="26" t="n">
        <v>0</v>
      </c>
    </row>
    <row r="165" customFormat="false" ht="15" hidden="false" customHeight="true" outlineLevel="0" collapsed="false">
      <c r="A165" s="8" t="s">
        <v>407</v>
      </c>
      <c r="B165" s="8" t="s">
        <v>93</v>
      </c>
      <c r="C165" s="8" t="s">
        <v>566</v>
      </c>
      <c r="D165" s="26" t="n">
        <v>0</v>
      </c>
      <c r="E165" s="26" t="n">
        <v>0</v>
      </c>
      <c r="F165" s="26" t="n">
        <v>5107.4</v>
      </c>
      <c r="G165" s="26" t="n">
        <v>0</v>
      </c>
      <c r="H165" s="26" t="n">
        <v>0</v>
      </c>
      <c r="I165" s="26" t="n">
        <v>51185.1</v>
      </c>
      <c r="J165" s="26" t="n">
        <v>0</v>
      </c>
      <c r="K165" s="26" t="n">
        <v>162</v>
      </c>
      <c r="L165" s="26" t="n">
        <v>0</v>
      </c>
      <c r="M165" s="26" t="n">
        <v>0</v>
      </c>
      <c r="N165" s="26" t="n">
        <v>0</v>
      </c>
      <c r="O165" s="26" t="n">
        <v>43.4</v>
      </c>
      <c r="P165" s="26" t="n">
        <v>-324</v>
      </c>
      <c r="Q165" s="26" t="n">
        <v>46241.2</v>
      </c>
      <c r="R165" s="26" t="n">
        <v>5062.5</v>
      </c>
      <c r="S165" s="26" t="n">
        <v>0</v>
      </c>
      <c r="T165" s="26" t="n">
        <v>0</v>
      </c>
      <c r="U165" s="26" t="n">
        <v>-62.4</v>
      </c>
    </row>
    <row r="166" customFormat="false" ht="15" hidden="false" customHeight="true" outlineLevel="0" collapsed="false">
      <c r="A166" s="8" t="s">
        <v>407</v>
      </c>
      <c r="B166" s="8" t="s">
        <v>93</v>
      </c>
      <c r="C166" s="8" t="s">
        <v>567</v>
      </c>
      <c r="D166" s="26" t="n">
        <v>0</v>
      </c>
      <c r="E166" s="26" t="n">
        <v>0</v>
      </c>
      <c r="F166" s="26" t="n">
        <v>439.2</v>
      </c>
      <c r="G166" s="26" t="n">
        <v>0</v>
      </c>
      <c r="H166" s="26" t="n">
        <v>0</v>
      </c>
      <c r="I166" s="26" t="n">
        <v>0</v>
      </c>
      <c r="J166" s="26" t="n">
        <v>0</v>
      </c>
      <c r="K166" s="26" t="n">
        <v>0</v>
      </c>
      <c r="L166" s="26" t="n">
        <v>0</v>
      </c>
      <c r="M166" s="26" t="n">
        <v>0</v>
      </c>
      <c r="N166" s="26" t="n">
        <v>0</v>
      </c>
      <c r="O166" s="26" t="n">
        <v>0</v>
      </c>
      <c r="P166" s="26" t="n">
        <v>0</v>
      </c>
      <c r="Q166" s="26" t="n">
        <v>0</v>
      </c>
      <c r="R166" s="26" t="n">
        <v>0</v>
      </c>
      <c r="S166" s="26" t="n">
        <v>0</v>
      </c>
      <c r="T166" s="26" t="n">
        <v>0</v>
      </c>
      <c r="U166" s="26" t="n">
        <v>0</v>
      </c>
    </row>
    <row r="167" customFormat="false" ht="15" hidden="false" customHeight="true" outlineLevel="0" collapsed="false">
      <c r="A167" s="8" t="s">
        <v>407</v>
      </c>
      <c r="B167" s="8" t="s">
        <v>93</v>
      </c>
      <c r="C167" s="8" t="s">
        <v>568</v>
      </c>
      <c r="D167" s="26" t="n">
        <v>0</v>
      </c>
      <c r="E167" s="26" t="n">
        <v>0</v>
      </c>
      <c r="F167" s="26" t="n">
        <v>1092</v>
      </c>
      <c r="G167" s="26" t="n">
        <v>0</v>
      </c>
      <c r="H167" s="26" t="n">
        <v>0</v>
      </c>
      <c r="I167" s="26" t="n">
        <v>4418</v>
      </c>
      <c r="J167" s="26" t="n">
        <v>0</v>
      </c>
      <c r="K167" s="26" t="n">
        <v>243</v>
      </c>
      <c r="L167" s="26" t="n">
        <v>0</v>
      </c>
      <c r="M167" s="26" t="n">
        <v>0</v>
      </c>
      <c r="N167" s="26" t="n">
        <v>0</v>
      </c>
      <c r="O167" s="26" t="n">
        <v>0</v>
      </c>
      <c r="P167" s="26" t="n">
        <v>-162</v>
      </c>
      <c r="Q167" s="26" t="n">
        <v>2028.5</v>
      </c>
      <c r="R167" s="26" t="n">
        <v>2308.5</v>
      </c>
      <c r="S167" s="26" t="n">
        <v>0</v>
      </c>
      <c r="T167" s="26" t="n">
        <v>0</v>
      </c>
      <c r="U167" s="26" t="n">
        <v>0</v>
      </c>
    </row>
    <row r="168" customFormat="false" ht="15" hidden="false" customHeight="true" outlineLevel="0" collapsed="false">
      <c r="A168" s="8" t="s">
        <v>407</v>
      </c>
      <c r="B168" s="8" t="s">
        <v>99</v>
      </c>
      <c r="C168" s="8" t="s">
        <v>569</v>
      </c>
      <c r="D168" s="26" t="n">
        <v>0</v>
      </c>
      <c r="E168" s="26" t="n">
        <v>0</v>
      </c>
      <c r="F168" s="26" t="n">
        <v>3246</v>
      </c>
      <c r="G168" s="26" t="n">
        <v>0</v>
      </c>
      <c r="H168" s="26" t="n">
        <v>0</v>
      </c>
      <c r="I168" s="26" t="n">
        <v>34368</v>
      </c>
      <c r="J168" s="26" t="n">
        <v>0</v>
      </c>
      <c r="K168" s="26" t="n">
        <v>333.1</v>
      </c>
      <c r="L168" s="26" t="n">
        <v>0</v>
      </c>
      <c r="M168" s="26" t="n">
        <v>0</v>
      </c>
      <c r="N168" s="26" t="n">
        <v>92.7</v>
      </c>
      <c r="O168" s="26" t="n">
        <v>59.5</v>
      </c>
      <c r="P168" s="26" t="n">
        <v>-198.3</v>
      </c>
      <c r="Q168" s="26" t="n">
        <v>29720.7</v>
      </c>
      <c r="R168" s="26" t="n">
        <v>4360.3</v>
      </c>
      <c r="S168" s="26" t="n">
        <v>0</v>
      </c>
      <c r="T168" s="26" t="n">
        <v>0</v>
      </c>
      <c r="U168" s="26" t="n">
        <v>0</v>
      </c>
    </row>
    <row r="169" customFormat="false" ht="15" hidden="false" customHeight="true" outlineLevel="0" collapsed="false">
      <c r="A169" s="8" t="s">
        <v>407</v>
      </c>
      <c r="B169" s="8" t="s">
        <v>99</v>
      </c>
      <c r="C169" s="8" t="s">
        <v>570</v>
      </c>
      <c r="D169" s="26" t="n">
        <v>0</v>
      </c>
      <c r="E169" s="26" t="n">
        <v>0</v>
      </c>
      <c r="F169" s="26" t="n">
        <v>6098.2</v>
      </c>
      <c r="G169" s="26" t="n">
        <v>0</v>
      </c>
      <c r="H169" s="26" t="n">
        <v>0</v>
      </c>
      <c r="I169" s="26" t="n">
        <v>49818.8</v>
      </c>
      <c r="J169" s="26" t="n">
        <v>0</v>
      </c>
      <c r="K169" s="26" t="n">
        <v>555.2</v>
      </c>
      <c r="L169" s="26" t="n">
        <v>0</v>
      </c>
      <c r="M169" s="26" t="n">
        <v>0</v>
      </c>
      <c r="N169" s="26" t="n">
        <v>0</v>
      </c>
      <c r="O169" s="26" t="n">
        <v>118.9</v>
      </c>
      <c r="P169" s="26" t="n">
        <v>-222.1</v>
      </c>
      <c r="Q169" s="26" t="n">
        <v>42561.6</v>
      </c>
      <c r="R169" s="26" t="n">
        <v>6805.2</v>
      </c>
      <c r="S169" s="26" t="n">
        <v>0</v>
      </c>
      <c r="T169" s="26" t="n">
        <v>0</v>
      </c>
      <c r="U169" s="26" t="n">
        <v>0</v>
      </c>
    </row>
    <row r="170" customFormat="false" ht="15" hidden="false" customHeight="true" outlineLevel="0" collapsed="false">
      <c r="A170" s="8" t="s">
        <v>407</v>
      </c>
      <c r="B170" s="8" t="s">
        <v>99</v>
      </c>
      <c r="C170" s="8" t="s">
        <v>571</v>
      </c>
      <c r="D170" s="26" t="n">
        <v>0</v>
      </c>
      <c r="E170" s="26" t="n">
        <v>0</v>
      </c>
      <c r="F170" s="26" t="n">
        <v>6444.3</v>
      </c>
      <c r="G170" s="26" t="n">
        <v>0</v>
      </c>
      <c r="H170" s="26" t="n">
        <v>53.5</v>
      </c>
      <c r="I170" s="26" t="n">
        <v>55680.5</v>
      </c>
      <c r="J170" s="26" t="n">
        <v>0</v>
      </c>
      <c r="K170" s="26" t="n">
        <v>471.9</v>
      </c>
      <c r="L170" s="26" t="n">
        <v>0</v>
      </c>
      <c r="M170" s="26" t="n">
        <v>0</v>
      </c>
      <c r="N170" s="26" t="n">
        <v>0</v>
      </c>
      <c r="O170" s="26" t="n">
        <v>59.5</v>
      </c>
      <c r="P170" s="26" t="n">
        <v>-196.3</v>
      </c>
      <c r="Q170" s="26" t="n">
        <v>48710.8</v>
      </c>
      <c r="R170" s="26" t="n">
        <v>6634.6</v>
      </c>
      <c r="S170" s="26" t="n">
        <v>0</v>
      </c>
      <c r="T170" s="26" t="n">
        <v>0</v>
      </c>
      <c r="U170" s="26" t="n">
        <v>0</v>
      </c>
    </row>
    <row r="171" customFormat="false" ht="15" hidden="false" customHeight="true" outlineLevel="0" collapsed="false">
      <c r="A171" s="8" t="s">
        <v>407</v>
      </c>
      <c r="B171" s="8" t="s">
        <v>99</v>
      </c>
      <c r="C171" s="8" t="s">
        <v>572</v>
      </c>
      <c r="D171" s="26" t="n">
        <v>0</v>
      </c>
      <c r="E171" s="26" t="n">
        <v>0</v>
      </c>
      <c r="F171" s="26" t="n">
        <v>4593.1</v>
      </c>
      <c r="G171" s="26" t="n">
        <v>0</v>
      </c>
      <c r="H171" s="26" t="n">
        <v>0</v>
      </c>
      <c r="I171" s="26" t="n">
        <v>32760.9</v>
      </c>
      <c r="J171" s="26" t="n">
        <v>0</v>
      </c>
      <c r="K171" s="26" t="n">
        <v>333.1</v>
      </c>
      <c r="L171" s="26" t="n">
        <v>0</v>
      </c>
      <c r="M171" s="26" t="n">
        <v>0</v>
      </c>
      <c r="N171" s="26" t="n">
        <v>0</v>
      </c>
      <c r="O171" s="26" t="n">
        <v>59.5</v>
      </c>
      <c r="P171" s="26" t="n">
        <v>-224.1</v>
      </c>
      <c r="Q171" s="26" t="n">
        <v>28674.2</v>
      </c>
      <c r="R171" s="26" t="n">
        <v>3918.1</v>
      </c>
      <c r="S171" s="26" t="n">
        <v>0</v>
      </c>
      <c r="T171" s="26" t="n">
        <v>0</v>
      </c>
      <c r="U171" s="26" t="n">
        <v>0</v>
      </c>
    </row>
    <row r="172" customFormat="false" ht="15" hidden="false" customHeight="true" outlineLevel="0" collapsed="false">
      <c r="A172" s="8" t="s">
        <v>407</v>
      </c>
      <c r="B172" s="8" t="s">
        <v>99</v>
      </c>
      <c r="C172" s="8" t="s">
        <v>573</v>
      </c>
      <c r="D172" s="26" t="n">
        <v>0</v>
      </c>
      <c r="E172" s="26" t="n">
        <v>0</v>
      </c>
      <c r="F172" s="26" t="n">
        <v>2392.6</v>
      </c>
      <c r="G172" s="26" t="n">
        <v>0</v>
      </c>
      <c r="H172" s="26" t="n">
        <v>53.5</v>
      </c>
      <c r="I172" s="26" t="n">
        <v>4400.1</v>
      </c>
      <c r="J172" s="26" t="n">
        <v>0</v>
      </c>
      <c r="K172" s="26" t="n">
        <v>222.1</v>
      </c>
      <c r="L172" s="26" t="n">
        <v>0</v>
      </c>
      <c r="M172" s="26" t="n">
        <v>0</v>
      </c>
      <c r="N172" s="26" t="n">
        <v>0</v>
      </c>
      <c r="O172" s="26" t="n">
        <v>0</v>
      </c>
      <c r="P172" s="26" t="n">
        <v>-83.3</v>
      </c>
      <c r="Q172" s="26" t="n">
        <v>2262.6</v>
      </c>
      <c r="R172" s="26" t="n">
        <v>1998.7</v>
      </c>
      <c r="S172" s="26" t="n">
        <v>0</v>
      </c>
      <c r="T172" s="26" t="n">
        <v>0</v>
      </c>
      <c r="U172" s="26" t="n">
        <v>0</v>
      </c>
    </row>
    <row r="173" customFormat="false" ht="15" hidden="false" customHeight="true" outlineLevel="0" collapsed="false">
      <c r="A173" s="8" t="s">
        <v>407</v>
      </c>
      <c r="B173" s="8" t="s">
        <v>94</v>
      </c>
      <c r="C173" s="8" t="s">
        <v>574</v>
      </c>
      <c r="D173" s="26" t="n">
        <v>0</v>
      </c>
      <c r="E173" s="26" t="n">
        <v>0</v>
      </c>
      <c r="F173" s="26" t="n">
        <v>6630.6</v>
      </c>
      <c r="G173" s="26" t="n">
        <v>0</v>
      </c>
      <c r="H173" s="26" t="n">
        <v>0</v>
      </c>
      <c r="I173" s="26" t="n">
        <v>68951.8</v>
      </c>
      <c r="J173" s="26" t="n">
        <v>0</v>
      </c>
      <c r="K173" s="26" t="n">
        <v>444.2</v>
      </c>
      <c r="L173" s="26" t="n">
        <v>0</v>
      </c>
      <c r="M173" s="26" t="n">
        <v>0</v>
      </c>
      <c r="N173" s="26" t="n">
        <v>216.2</v>
      </c>
      <c r="O173" s="26" t="n">
        <v>89.2</v>
      </c>
      <c r="P173" s="26" t="n">
        <v>-196.3</v>
      </c>
      <c r="Q173" s="26" t="n">
        <v>63730.9</v>
      </c>
      <c r="R173" s="26" t="n">
        <v>4667.6</v>
      </c>
      <c r="S173" s="26" t="n">
        <v>0</v>
      </c>
      <c r="T173" s="26" t="n">
        <v>0</v>
      </c>
      <c r="U173" s="26" t="n">
        <v>-41.2</v>
      </c>
    </row>
    <row r="174" customFormat="false" ht="15" hidden="false" customHeight="true" outlineLevel="0" collapsed="false">
      <c r="A174" s="8" t="s">
        <v>407</v>
      </c>
      <c r="B174" s="8" t="s">
        <v>94</v>
      </c>
      <c r="C174" s="8" t="s">
        <v>575</v>
      </c>
      <c r="D174" s="26" t="n">
        <v>0</v>
      </c>
      <c r="E174" s="26" t="n">
        <v>0</v>
      </c>
      <c r="F174" s="26" t="n">
        <v>12092.6</v>
      </c>
      <c r="G174" s="26" t="n">
        <v>0</v>
      </c>
      <c r="H174" s="26" t="n">
        <v>0</v>
      </c>
      <c r="I174" s="26" t="n">
        <v>87525.3</v>
      </c>
      <c r="J174" s="26" t="n">
        <v>0</v>
      </c>
      <c r="K174" s="26" t="n">
        <v>388.6</v>
      </c>
      <c r="L174" s="26" t="n">
        <v>0</v>
      </c>
      <c r="M174" s="26" t="n">
        <v>0</v>
      </c>
      <c r="N174" s="26" t="n">
        <v>0</v>
      </c>
      <c r="O174" s="26" t="n">
        <v>0</v>
      </c>
      <c r="P174" s="26" t="n">
        <v>-111</v>
      </c>
      <c r="Q174" s="26" t="n">
        <v>80301.8</v>
      </c>
      <c r="R174" s="26" t="n">
        <v>6945.9</v>
      </c>
      <c r="S174" s="26" t="n">
        <v>0</v>
      </c>
      <c r="T174" s="26" t="n">
        <v>0</v>
      </c>
      <c r="U174" s="26" t="n">
        <v>0</v>
      </c>
    </row>
    <row r="175" customFormat="false" ht="15" hidden="false" customHeight="true" outlineLevel="0" collapsed="false">
      <c r="A175" s="8" t="s">
        <v>407</v>
      </c>
      <c r="B175" s="8" t="s">
        <v>94</v>
      </c>
      <c r="C175" s="8" t="s">
        <v>576</v>
      </c>
      <c r="D175" s="26" t="n">
        <v>0</v>
      </c>
      <c r="E175" s="26" t="n">
        <v>0</v>
      </c>
      <c r="F175" s="26" t="n">
        <v>11213</v>
      </c>
      <c r="G175" s="26" t="n">
        <v>0</v>
      </c>
      <c r="H175" s="26" t="n">
        <v>0</v>
      </c>
      <c r="I175" s="26" t="n">
        <v>93688.8</v>
      </c>
      <c r="J175" s="26" t="n">
        <v>0</v>
      </c>
      <c r="K175" s="26" t="n">
        <v>694</v>
      </c>
      <c r="L175" s="26" t="n">
        <v>0</v>
      </c>
      <c r="M175" s="26" t="n">
        <v>0</v>
      </c>
      <c r="N175" s="26" t="n">
        <v>0</v>
      </c>
      <c r="O175" s="26" t="n">
        <v>148.7</v>
      </c>
      <c r="P175" s="26" t="n">
        <v>-307.3</v>
      </c>
      <c r="Q175" s="26" t="n">
        <v>84599.4</v>
      </c>
      <c r="R175" s="26" t="n">
        <v>8554</v>
      </c>
      <c r="S175" s="26" t="n">
        <v>0</v>
      </c>
      <c r="T175" s="26" t="n">
        <v>0</v>
      </c>
      <c r="U175" s="26" t="n">
        <v>0</v>
      </c>
    </row>
    <row r="176" customFormat="false" ht="15" hidden="false" customHeight="true" outlineLevel="0" collapsed="false">
      <c r="A176" s="8" t="s">
        <v>407</v>
      </c>
      <c r="B176" s="8" t="s">
        <v>94</v>
      </c>
      <c r="C176" s="8" t="s">
        <v>577</v>
      </c>
      <c r="D176" s="26" t="n">
        <v>0</v>
      </c>
      <c r="E176" s="26" t="n">
        <v>0</v>
      </c>
      <c r="F176" s="26" t="n">
        <v>7271.8</v>
      </c>
      <c r="G176" s="26" t="n">
        <v>0</v>
      </c>
      <c r="H176" s="26" t="n">
        <v>0</v>
      </c>
      <c r="I176" s="26" t="n">
        <v>52353.1</v>
      </c>
      <c r="J176" s="26" t="n">
        <v>0</v>
      </c>
      <c r="K176" s="26" t="n">
        <v>305.4</v>
      </c>
      <c r="L176" s="26" t="n">
        <v>0</v>
      </c>
      <c r="M176" s="26" t="n">
        <v>0</v>
      </c>
      <c r="N176" s="26" t="n">
        <v>0</v>
      </c>
      <c r="O176" s="26" t="n">
        <v>148.7</v>
      </c>
      <c r="P176" s="26" t="n">
        <v>-366.8</v>
      </c>
      <c r="Q176" s="26" t="n">
        <v>47984.9</v>
      </c>
      <c r="R176" s="26" t="n">
        <v>4281</v>
      </c>
      <c r="S176" s="26" t="n">
        <v>0</v>
      </c>
      <c r="T176" s="26" t="n">
        <v>0</v>
      </c>
      <c r="U176" s="26" t="n">
        <v>-41.2</v>
      </c>
    </row>
    <row r="177" customFormat="false" ht="15" hidden="false" customHeight="true" outlineLevel="0" collapsed="false">
      <c r="A177" s="8" t="s">
        <v>407</v>
      </c>
      <c r="B177" s="8" t="s">
        <v>218</v>
      </c>
      <c r="C177" s="8" t="s">
        <v>578</v>
      </c>
      <c r="D177" s="26" t="n">
        <v>0</v>
      </c>
      <c r="E177" s="26" t="n">
        <v>0</v>
      </c>
      <c r="F177" s="26" t="n">
        <v>1724</v>
      </c>
      <c r="G177" s="26" t="n">
        <v>0</v>
      </c>
      <c r="H177" s="26" t="n">
        <v>0</v>
      </c>
      <c r="I177" s="26" t="n">
        <v>1396.3</v>
      </c>
      <c r="J177" s="26" t="n">
        <v>0</v>
      </c>
      <c r="K177" s="26" t="n">
        <v>131</v>
      </c>
      <c r="L177" s="26" t="n">
        <v>0</v>
      </c>
      <c r="M177" s="26" t="n">
        <v>0</v>
      </c>
      <c r="N177" s="26" t="n">
        <v>24.1</v>
      </c>
      <c r="O177" s="26" t="n">
        <v>0</v>
      </c>
      <c r="P177" s="26" t="n">
        <v>0</v>
      </c>
      <c r="Q177" s="26" t="n">
        <v>891.9</v>
      </c>
      <c r="R177" s="26" t="n">
        <v>349.3</v>
      </c>
      <c r="S177" s="26" t="n">
        <v>0</v>
      </c>
      <c r="T177" s="26" t="n">
        <v>0</v>
      </c>
      <c r="U177" s="26" t="n">
        <v>0</v>
      </c>
    </row>
    <row r="178" customFormat="false" ht="15" hidden="false" customHeight="true" outlineLevel="0" collapsed="false">
      <c r="A178" s="8" t="s">
        <v>407</v>
      </c>
      <c r="B178" s="8" t="s">
        <v>219</v>
      </c>
      <c r="C178" s="8" t="s">
        <v>579</v>
      </c>
      <c r="D178" s="26" t="n">
        <v>0</v>
      </c>
      <c r="E178" s="26" t="n">
        <v>0</v>
      </c>
      <c r="F178" s="26" t="n">
        <v>3467.3</v>
      </c>
      <c r="G178" s="26" t="n">
        <v>0</v>
      </c>
      <c r="H178" s="26" t="n">
        <v>0</v>
      </c>
      <c r="I178" s="26" t="n">
        <v>17718.3</v>
      </c>
      <c r="J178" s="26" t="n">
        <v>0</v>
      </c>
      <c r="K178" s="26" t="n">
        <v>202.1</v>
      </c>
      <c r="L178" s="26" t="n">
        <v>0</v>
      </c>
      <c r="M178" s="26" t="n">
        <v>0</v>
      </c>
      <c r="N178" s="26" t="n">
        <v>-20.6</v>
      </c>
      <c r="O178" s="26" t="n">
        <v>0</v>
      </c>
      <c r="P178" s="26" t="n">
        <v>-115.5</v>
      </c>
      <c r="Q178" s="26" t="n">
        <v>15313.6</v>
      </c>
      <c r="R178" s="26" t="n">
        <v>2338.7</v>
      </c>
      <c r="S178" s="26" t="n">
        <v>0</v>
      </c>
      <c r="T178" s="26" t="n">
        <v>0</v>
      </c>
      <c r="U178" s="26" t="n">
        <v>0</v>
      </c>
    </row>
    <row r="179" customFormat="false" ht="15" hidden="false" customHeight="true" outlineLevel="0" collapsed="false">
      <c r="A179" s="8" t="s">
        <v>407</v>
      </c>
      <c r="B179" s="8" t="s">
        <v>130</v>
      </c>
      <c r="C179" s="8" t="s">
        <v>580</v>
      </c>
      <c r="D179" s="26" t="n">
        <v>0</v>
      </c>
      <c r="E179" s="26" t="n">
        <v>0</v>
      </c>
      <c r="F179" s="26" t="n">
        <v>13644.9</v>
      </c>
      <c r="G179" s="26" t="n">
        <v>0</v>
      </c>
      <c r="H179" s="26" t="n">
        <v>50.2</v>
      </c>
      <c r="I179" s="26" t="n">
        <v>9256.5</v>
      </c>
      <c r="J179" s="26" t="n">
        <v>0</v>
      </c>
      <c r="K179" s="26" t="n">
        <v>905.8</v>
      </c>
      <c r="L179" s="26" t="n">
        <v>0</v>
      </c>
      <c r="M179" s="26" t="n">
        <v>0</v>
      </c>
      <c r="N179" s="26" t="n">
        <v>346.8</v>
      </c>
      <c r="O179" s="26" t="n">
        <v>0</v>
      </c>
      <c r="P179" s="26" t="n">
        <v>-123.1</v>
      </c>
      <c r="Q179" s="26" t="n">
        <v>-47.7</v>
      </c>
      <c r="R179" s="26" t="n">
        <v>8174.6</v>
      </c>
      <c r="S179" s="26" t="n">
        <v>13.5</v>
      </c>
      <c r="T179" s="26" t="n">
        <v>0</v>
      </c>
      <c r="U179" s="26" t="n">
        <v>0</v>
      </c>
    </row>
    <row r="180" customFormat="false" ht="15" hidden="false" customHeight="true" outlineLevel="0" collapsed="false">
      <c r="A180" s="8" t="s">
        <v>407</v>
      </c>
      <c r="B180" s="8" t="s">
        <v>206</v>
      </c>
      <c r="C180" s="8" t="s">
        <v>581</v>
      </c>
      <c r="D180" s="26" t="n">
        <v>0</v>
      </c>
      <c r="E180" s="26" t="n">
        <v>0</v>
      </c>
      <c r="F180" s="26" t="n">
        <v>7019.4</v>
      </c>
      <c r="G180" s="26" t="n">
        <v>0</v>
      </c>
      <c r="H180" s="26" t="n">
        <v>0</v>
      </c>
      <c r="I180" s="26" t="n">
        <v>4647.4</v>
      </c>
      <c r="J180" s="26" t="n">
        <v>0</v>
      </c>
      <c r="K180" s="26" t="n">
        <v>270.4</v>
      </c>
      <c r="L180" s="26" t="n">
        <v>0</v>
      </c>
      <c r="M180" s="26" t="n">
        <v>28.3</v>
      </c>
      <c r="N180" s="26" t="n">
        <v>70.7</v>
      </c>
      <c r="O180" s="26" t="n">
        <v>44.8</v>
      </c>
      <c r="P180" s="26" t="n">
        <v>-69</v>
      </c>
      <c r="Q180" s="26" t="n">
        <v>0</v>
      </c>
      <c r="R180" s="26" t="n">
        <v>4302.2</v>
      </c>
      <c r="S180" s="26" t="n">
        <v>0</v>
      </c>
      <c r="T180" s="26" t="n">
        <v>0</v>
      </c>
      <c r="U180" s="26" t="n">
        <v>0</v>
      </c>
    </row>
    <row r="181" customFormat="false" ht="15" hidden="false" customHeight="true" outlineLevel="0" collapsed="false">
      <c r="A181" s="8" t="s">
        <v>407</v>
      </c>
      <c r="B181" s="8" t="s">
        <v>161</v>
      </c>
      <c r="C181" s="8" t="s">
        <v>582</v>
      </c>
      <c r="D181" s="26" t="n">
        <v>0</v>
      </c>
      <c r="E181" s="26" t="n">
        <v>0</v>
      </c>
      <c r="F181" s="26" t="n">
        <v>3169.2</v>
      </c>
      <c r="G181" s="26" t="n">
        <v>0</v>
      </c>
      <c r="H181" s="26" t="n">
        <v>0</v>
      </c>
      <c r="I181" s="26" t="n">
        <v>3108.4</v>
      </c>
      <c r="J181" s="26" t="n">
        <v>0</v>
      </c>
      <c r="K181" s="26" t="n">
        <v>473.9</v>
      </c>
      <c r="L181" s="26" t="n">
        <v>0</v>
      </c>
      <c r="M181" s="26" t="n">
        <v>0</v>
      </c>
      <c r="N181" s="26" t="n">
        <v>138.4</v>
      </c>
      <c r="O181" s="26" t="n">
        <v>0</v>
      </c>
      <c r="P181" s="26" t="n">
        <v>0</v>
      </c>
      <c r="Q181" s="26" t="n">
        <v>0</v>
      </c>
      <c r="R181" s="26" t="n">
        <v>2496.2</v>
      </c>
      <c r="S181" s="26" t="n">
        <v>0</v>
      </c>
      <c r="T181" s="26" t="n">
        <v>0</v>
      </c>
      <c r="U181" s="26" t="n">
        <v>0</v>
      </c>
    </row>
    <row r="182" customFormat="false" ht="15" hidden="false" customHeight="true" outlineLevel="0" collapsed="false">
      <c r="A182" s="8" t="s">
        <v>407</v>
      </c>
      <c r="B182" s="8" t="s">
        <v>198</v>
      </c>
      <c r="C182" s="8" t="s">
        <v>583</v>
      </c>
      <c r="D182" s="26" t="n">
        <v>0</v>
      </c>
      <c r="E182" s="26" t="n">
        <v>0</v>
      </c>
      <c r="F182" s="26" t="n">
        <v>4059.2</v>
      </c>
      <c r="G182" s="26" t="n">
        <v>0</v>
      </c>
      <c r="H182" s="26" t="n">
        <v>35.2</v>
      </c>
      <c r="I182" s="26" t="n">
        <v>1132.7</v>
      </c>
      <c r="J182" s="26" t="n">
        <v>0</v>
      </c>
      <c r="K182" s="26" t="n">
        <v>78.5</v>
      </c>
      <c r="L182" s="26" t="n">
        <v>0</v>
      </c>
      <c r="M182" s="26" t="n">
        <v>0</v>
      </c>
      <c r="N182" s="26" t="n">
        <v>-16.5</v>
      </c>
      <c r="O182" s="26" t="n">
        <v>14.9</v>
      </c>
      <c r="P182" s="26" t="n">
        <v>-95.3</v>
      </c>
      <c r="Q182" s="26" t="n">
        <v>0</v>
      </c>
      <c r="R182" s="26" t="n">
        <v>1151</v>
      </c>
      <c r="S182" s="26" t="n">
        <v>0</v>
      </c>
      <c r="T182" s="26" t="n">
        <v>0</v>
      </c>
      <c r="U182" s="26" t="n">
        <v>0</v>
      </c>
    </row>
    <row r="183" customFormat="false" ht="15" hidden="false" customHeight="true" outlineLevel="0" collapsed="false">
      <c r="A183" s="8" t="s">
        <v>407</v>
      </c>
      <c r="B183" s="8" t="s">
        <v>190</v>
      </c>
      <c r="C183" s="8" t="s">
        <v>584</v>
      </c>
      <c r="D183" s="26" t="n">
        <v>0</v>
      </c>
      <c r="E183" s="26" t="n">
        <v>0</v>
      </c>
      <c r="F183" s="26" t="n">
        <v>2763.7</v>
      </c>
      <c r="G183" s="26" t="n">
        <v>0</v>
      </c>
      <c r="H183" s="26" t="n">
        <v>0</v>
      </c>
      <c r="I183" s="26" t="n">
        <v>705.2</v>
      </c>
      <c r="J183" s="26" t="n">
        <v>0</v>
      </c>
      <c r="K183" s="26" t="n">
        <v>206.9</v>
      </c>
      <c r="L183" s="26" t="n">
        <v>0</v>
      </c>
      <c r="M183" s="26" t="n">
        <v>0</v>
      </c>
      <c r="N183" s="26" t="n">
        <v>47</v>
      </c>
      <c r="O183" s="26" t="n">
        <v>0</v>
      </c>
      <c r="P183" s="26" t="n">
        <v>-131.6</v>
      </c>
      <c r="Q183" s="26" t="n">
        <v>0</v>
      </c>
      <c r="R183" s="26" t="n">
        <v>582.9</v>
      </c>
      <c r="S183" s="26" t="n">
        <v>0</v>
      </c>
      <c r="T183" s="26" t="n">
        <v>0</v>
      </c>
      <c r="U183" s="26" t="n">
        <v>0</v>
      </c>
    </row>
    <row r="184" customFormat="false" ht="15" hidden="false" customHeight="true" outlineLevel="0" collapsed="false">
      <c r="A184" s="8" t="s">
        <v>407</v>
      </c>
      <c r="B184" s="8" t="s">
        <v>316</v>
      </c>
      <c r="C184" s="8" t="s">
        <v>585</v>
      </c>
      <c r="D184" s="26" t="n">
        <v>0</v>
      </c>
      <c r="E184" s="26" t="n">
        <v>0</v>
      </c>
      <c r="F184" s="26" t="n">
        <v>-152.1</v>
      </c>
      <c r="G184" s="26" t="n">
        <v>0</v>
      </c>
      <c r="H184" s="26" t="n">
        <v>0</v>
      </c>
      <c r="I184" s="26" t="n">
        <v>-1026.6</v>
      </c>
      <c r="J184" s="26" t="n">
        <v>0</v>
      </c>
      <c r="K184" s="26" t="n">
        <v>0</v>
      </c>
      <c r="L184" s="26" t="n">
        <v>0</v>
      </c>
      <c r="M184" s="26" t="n">
        <v>0</v>
      </c>
      <c r="N184" s="26" t="n">
        <v>0</v>
      </c>
      <c r="O184" s="26" t="n">
        <v>0</v>
      </c>
      <c r="P184" s="26" t="n">
        <v>0</v>
      </c>
      <c r="Q184" s="26" t="n">
        <v>-1026.6</v>
      </c>
      <c r="R184" s="26" t="n">
        <v>0</v>
      </c>
      <c r="S184" s="26" t="n">
        <v>0</v>
      </c>
      <c r="T184" s="26" t="n">
        <v>0</v>
      </c>
      <c r="U184" s="26" t="n">
        <v>0</v>
      </c>
    </row>
    <row r="185" customFormat="false" ht="15" hidden="false" customHeight="true" outlineLevel="0" collapsed="false">
      <c r="A185" s="8" t="s">
        <v>407</v>
      </c>
      <c r="B185" s="8" t="s">
        <v>339</v>
      </c>
      <c r="C185" s="8" t="s">
        <v>585</v>
      </c>
      <c r="D185" s="26" t="n">
        <v>0</v>
      </c>
      <c r="E185" s="26" t="n">
        <v>0</v>
      </c>
      <c r="F185" s="26" t="n">
        <v>-74</v>
      </c>
      <c r="G185" s="26" t="n">
        <v>0</v>
      </c>
      <c r="H185" s="26" t="n">
        <v>0</v>
      </c>
      <c r="I185" s="26" t="n">
        <v>-769.9</v>
      </c>
      <c r="J185" s="26" t="n">
        <v>0</v>
      </c>
      <c r="K185" s="26" t="n">
        <v>0</v>
      </c>
      <c r="L185" s="26" t="n">
        <v>0</v>
      </c>
      <c r="M185" s="26" t="n">
        <v>0</v>
      </c>
      <c r="N185" s="26" t="n">
        <v>0</v>
      </c>
      <c r="O185" s="26" t="n">
        <v>0</v>
      </c>
      <c r="P185" s="26" t="n">
        <v>0</v>
      </c>
      <c r="Q185" s="26" t="n">
        <v>-769.9</v>
      </c>
      <c r="R185" s="26" t="n">
        <v>0</v>
      </c>
      <c r="S185" s="26" t="n">
        <v>0</v>
      </c>
      <c r="T185" s="26" t="n">
        <v>0</v>
      </c>
      <c r="U185" s="26" t="n">
        <v>0</v>
      </c>
    </row>
    <row r="186" customFormat="false" ht="15" hidden="false" customHeight="true" outlineLevel="0" collapsed="false">
      <c r="A186" s="8" t="s">
        <v>407</v>
      </c>
      <c r="B186" s="8" t="s">
        <v>205</v>
      </c>
      <c r="C186" s="8" t="s">
        <v>586</v>
      </c>
      <c r="D186" s="26" t="n">
        <v>0</v>
      </c>
      <c r="E186" s="26" t="n">
        <v>0</v>
      </c>
      <c r="F186" s="26" t="n">
        <v>118.1</v>
      </c>
      <c r="G186" s="26" t="n">
        <v>0</v>
      </c>
      <c r="H186" s="26" t="n">
        <v>0</v>
      </c>
      <c r="I186" s="26" t="n">
        <v>229.3</v>
      </c>
      <c r="J186" s="26" t="n">
        <v>0</v>
      </c>
      <c r="K186" s="26" t="n">
        <v>0</v>
      </c>
      <c r="L186" s="26" t="n">
        <v>0</v>
      </c>
      <c r="M186" s="26" t="n">
        <v>0</v>
      </c>
      <c r="N186" s="26" t="n">
        <v>0</v>
      </c>
      <c r="O186" s="26" t="n">
        <v>0</v>
      </c>
      <c r="P186" s="26" t="n">
        <v>-114.7</v>
      </c>
      <c r="Q186" s="26" t="n">
        <v>0</v>
      </c>
      <c r="R186" s="26" t="n">
        <v>344</v>
      </c>
      <c r="S186" s="26" t="n">
        <v>0</v>
      </c>
      <c r="T186" s="26" t="n">
        <v>0</v>
      </c>
      <c r="U186" s="26" t="n">
        <v>0</v>
      </c>
    </row>
    <row r="187" customFormat="false" ht="15" hidden="false" customHeight="true" outlineLevel="0" collapsed="false">
      <c r="A187" s="8" t="s">
        <v>407</v>
      </c>
      <c r="B187" s="8" t="s">
        <v>205</v>
      </c>
      <c r="C187" s="8" t="s">
        <v>587</v>
      </c>
      <c r="D187" s="26" t="n">
        <v>0</v>
      </c>
      <c r="E187" s="26" t="n">
        <v>0</v>
      </c>
      <c r="F187" s="26" t="n">
        <v>1545.1</v>
      </c>
      <c r="G187" s="26" t="n">
        <v>0</v>
      </c>
      <c r="H187" s="26" t="n">
        <v>0</v>
      </c>
      <c r="I187" s="26" t="n">
        <v>778.1</v>
      </c>
      <c r="J187" s="26" t="n">
        <v>0</v>
      </c>
      <c r="K187" s="26" t="n">
        <v>0</v>
      </c>
      <c r="L187" s="26" t="n">
        <v>0</v>
      </c>
      <c r="M187" s="26" t="n">
        <v>0</v>
      </c>
      <c r="N187" s="26" t="n">
        <v>0</v>
      </c>
      <c r="O187" s="26" t="n">
        <v>0</v>
      </c>
      <c r="P187" s="26" t="n">
        <v>0</v>
      </c>
      <c r="Q187" s="26" t="n">
        <v>319.4</v>
      </c>
      <c r="R187" s="26" t="n">
        <v>458.7</v>
      </c>
      <c r="S187" s="26" t="n">
        <v>0</v>
      </c>
      <c r="T187" s="26" t="n">
        <v>0</v>
      </c>
      <c r="U187" s="26" t="n">
        <v>0</v>
      </c>
    </row>
    <row r="188" customFormat="false" ht="15" hidden="false" customHeight="true" outlineLevel="0" collapsed="false">
      <c r="A188" s="8" t="s">
        <v>407</v>
      </c>
      <c r="B188" s="8" t="s">
        <v>205</v>
      </c>
      <c r="C188" s="8" t="s">
        <v>588</v>
      </c>
      <c r="D188" s="26" t="n">
        <v>0</v>
      </c>
      <c r="E188" s="26" t="n">
        <v>0</v>
      </c>
      <c r="F188" s="26" t="n">
        <v>412.1</v>
      </c>
      <c r="G188" s="26" t="n">
        <v>0</v>
      </c>
      <c r="H188" s="26" t="n">
        <v>0</v>
      </c>
      <c r="I188" s="26" t="n">
        <v>794.5</v>
      </c>
      <c r="J188" s="26" t="n">
        <v>0</v>
      </c>
      <c r="K188" s="26" t="n">
        <v>0</v>
      </c>
      <c r="L188" s="26" t="n">
        <v>0</v>
      </c>
      <c r="M188" s="26" t="n">
        <v>0</v>
      </c>
      <c r="N188" s="26" t="n">
        <v>0</v>
      </c>
      <c r="O188" s="26" t="n">
        <v>0</v>
      </c>
      <c r="P188" s="26" t="n">
        <v>0</v>
      </c>
      <c r="Q188" s="26" t="n">
        <v>106.5</v>
      </c>
      <c r="R188" s="26" t="n">
        <v>688</v>
      </c>
      <c r="S188" s="26" t="n">
        <v>0</v>
      </c>
      <c r="T188" s="26" t="n">
        <v>0</v>
      </c>
      <c r="U188" s="26" t="n">
        <v>0</v>
      </c>
    </row>
    <row r="189" customFormat="false" ht="15" hidden="false" customHeight="true" outlineLevel="0" collapsed="false">
      <c r="A189" s="8" t="s">
        <v>407</v>
      </c>
      <c r="B189" s="8" t="s">
        <v>205</v>
      </c>
      <c r="C189" s="8" t="s">
        <v>589</v>
      </c>
      <c r="D189" s="26" t="n">
        <v>0</v>
      </c>
      <c r="E189" s="26" t="n">
        <v>0</v>
      </c>
      <c r="F189" s="26" t="n">
        <v>1301.8</v>
      </c>
      <c r="G189" s="26" t="n">
        <v>0</v>
      </c>
      <c r="H189" s="26" t="n">
        <v>0</v>
      </c>
      <c r="I189" s="26" t="n">
        <v>1007.5</v>
      </c>
      <c r="J189" s="26" t="n">
        <v>0</v>
      </c>
      <c r="K189" s="26" t="n">
        <v>0</v>
      </c>
      <c r="L189" s="26" t="n">
        <v>0</v>
      </c>
      <c r="M189" s="26" t="n">
        <v>0</v>
      </c>
      <c r="N189" s="26" t="n">
        <v>0</v>
      </c>
      <c r="O189" s="26" t="n">
        <v>0</v>
      </c>
      <c r="P189" s="26" t="n">
        <v>0</v>
      </c>
      <c r="Q189" s="26" t="n">
        <v>319.4</v>
      </c>
      <c r="R189" s="26" t="n">
        <v>688</v>
      </c>
      <c r="S189" s="26" t="n">
        <v>0</v>
      </c>
      <c r="T189" s="26" t="n">
        <v>0</v>
      </c>
      <c r="U189" s="26" t="n">
        <v>0</v>
      </c>
    </row>
    <row r="190" customFormat="false" ht="15" hidden="false" customHeight="true" outlineLevel="0" collapsed="false">
      <c r="A190" s="8" t="s">
        <v>407</v>
      </c>
      <c r="B190" s="8" t="s">
        <v>279</v>
      </c>
      <c r="C190" s="8" t="s">
        <v>590</v>
      </c>
      <c r="D190" s="26" t="n">
        <v>0</v>
      </c>
      <c r="E190" s="26" t="n">
        <v>0</v>
      </c>
      <c r="F190" s="26" t="n">
        <v>942.1</v>
      </c>
      <c r="G190" s="26" t="n">
        <v>0</v>
      </c>
      <c r="H190" s="26" t="n">
        <v>0</v>
      </c>
      <c r="I190" s="26" t="n">
        <v>628.6</v>
      </c>
      <c r="J190" s="26" t="n">
        <v>0</v>
      </c>
      <c r="K190" s="26" t="n">
        <v>125.7</v>
      </c>
      <c r="L190" s="26" t="n">
        <v>0</v>
      </c>
      <c r="M190" s="26" t="n">
        <v>0</v>
      </c>
      <c r="N190" s="26" t="n">
        <v>0</v>
      </c>
      <c r="O190" s="26" t="n">
        <v>0</v>
      </c>
      <c r="P190" s="26" t="n">
        <v>0</v>
      </c>
      <c r="Q190" s="26" t="n">
        <v>0</v>
      </c>
      <c r="R190" s="26" t="n">
        <v>502.8</v>
      </c>
      <c r="S190" s="26" t="n">
        <v>0</v>
      </c>
      <c r="T190" s="26" t="n">
        <v>0</v>
      </c>
      <c r="U190" s="26" t="n">
        <v>0</v>
      </c>
    </row>
    <row r="191" customFormat="false" ht="15" hidden="false" customHeight="true" outlineLevel="0" collapsed="false">
      <c r="A191" s="8" t="s">
        <v>407</v>
      </c>
      <c r="B191" s="8" t="s">
        <v>279</v>
      </c>
      <c r="C191" s="8" t="s">
        <v>591</v>
      </c>
      <c r="D191" s="26" t="n">
        <v>0</v>
      </c>
      <c r="E191" s="26" t="n">
        <v>0</v>
      </c>
      <c r="F191" s="26" t="n">
        <v>0</v>
      </c>
      <c r="G191" s="26" t="n">
        <v>0</v>
      </c>
      <c r="H191" s="26" t="n">
        <v>0</v>
      </c>
      <c r="I191" s="26" t="n">
        <v>9</v>
      </c>
      <c r="J191" s="26" t="n">
        <v>0</v>
      </c>
      <c r="K191" s="26" t="n">
        <v>0</v>
      </c>
      <c r="L191" s="26" t="n">
        <v>0</v>
      </c>
      <c r="M191" s="26" t="n">
        <v>0</v>
      </c>
      <c r="N191" s="26" t="n">
        <v>0</v>
      </c>
      <c r="O191" s="26" t="n">
        <v>0</v>
      </c>
      <c r="P191" s="26" t="n">
        <v>-125.7</v>
      </c>
      <c r="Q191" s="26" t="n">
        <v>-116.7</v>
      </c>
      <c r="R191" s="26" t="n">
        <v>251.4</v>
      </c>
      <c r="S191" s="26" t="n">
        <v>0</v>
      </c>
      <c r="T191" s="26" t="n">
        <v>0</v>
      </c>
      <c r="U191" s="26" t="n">
        <v>0</v>
      </c>
    </row>
    <row r="192" customFormat="false" ht="15" hidden="false" customHeight="true" outlineLevel="0" collapsed="false">
      <c r="A192" s="8" t="s">
        <v>407</v>
      </c>
      <c r="B192" s="8" t="s">
        <v>279</v>
      </c>
      <c r="C192" s="8" t="s">
        <v>592</v>
      </c>
      <c r="D192" s="26" t="n">
        <v>0</v>
      </c>
      <c r="E192" s="26" t="n">
        <v>0</v>
      </c>
      <c r="F192" s="26" t="n">
        <v>135.9</v>
      </c>
      <c r="G192" s="26" t="n">
        <v>0</v>
      </c>
      <c r="H192" s="26" t="n">
        <v>0</v>
      </c>
      <c r="I192" s="26" t="n">
        <v>377.1</v>
      </c>
      <c r="J192" s="26" t="n">
        <v>0</v>
      </c>
      <c r="K192" s="26" t="n">
        <v>0</v>
      </c>
      <c r="L192" s="26" t="n">
        <v>0</v>
      </c>
      <c r="M192" s="26" t="n">
        <v>0</v>
      </c>
      <c r="N192" s="26" t="n">
        <v>0</v>
      </c>
      <c r="O192" s="26" t="n">
        <v>0</v>
      </c>
      <c r="P192" s="26" t="n">
        <v>0</v>
      </c>
      <c r="Q192" s="26" t="n">
        <v>0</v>
      </c>
      <c r="R192" s="26" t="n">
        <v>377.1</v>
      </c>
      <c r="S192" s="26" t="n">
        <v>0</v>
      </c>
      <c r="T192" s="26" t="n">
        <v>0</v>
      </c>
      <c r="U192" s="26" t="n">
        <v>0</v>
      </c>
    </row>
    <row r="193" customFormat="false" ht="15" hidden="false" customHeight="true" outlineLevel="0" collapsed="false">
      <c r="A193" s="8" t="s">
        <v>407</v>
      </c>
      <c r="B193" s="8" t="s">
        <v>152</v>
      </c>
      <c r="C193" s="8" t="s">
        <v>593</v>
      </c>
      <c r="D193" s="26" t="n">
        <v>0</v>
      </c>
      <c r="E193" s="26" t="n">
        <v>0</v>
      </c>
      <c r="F193" s="26" t="n">
        <v>899.5</v>
      </c>
      <c r="G193" s="26" t="n">
        <v>0</v>
      </c>
      <c r="H193" s="26" t="n">
        <v>0</v>
      </c>
      <c r="I193" s="26" t="n">
        <v>-109.6</v>
      </c>
      <c r="J193" s="26" t="n">
        <v>0</v>
      </c>
      <c r="K193" s="26" t="n">
        <v>0</v>
      </c>
      <c r="L193" s="26" t="n">
        <v>0</v>
      </c>
      <c r="M193" s="26" t="n">
        <v>0</v>
      </c>
      <c r="N193" s="26" t="n">
        <v>0</v>
      </c>
      <c r="O193" s="26" t="n">
        <v>0</v>
      </c>
      <c r="P193" s="26" t="n">
        <v>-163.2</v>
      </c>
      <c r="Q193" s="26" t="n">
        <v>-272.8</v>
      </c>
      <c r="R193" s="26" t="n">
        <v>326.4</v>
      </c>
      <c r="S193" s="26" t="n">
        <v>0</v>
      </c>
      <c r="T193" s="26" t="n">
        <v>0</v>
      </c>
      <c r="U193" s="26" t="n">
        <v>0</v>
      </c>
    </row>
    <row r="194" customFormat="false" ht="15" hidden="false" customHeight="true" outlineLevel="0" collapsed="false">
      <c r="A194" s="8" t="s">
        <v>407</v>
      </c>
      <c r="B194" s="8" t="s">
        <v>152</v>
      </c>
      <c r="C194" s="8" t="s">
        <v>594</v>
      </c>
      <c r="D194" s="26" t="n">
        <v>0</v>
      </c>
      <c r="E194" s="26" t="n">
        <v>0</v>
      </c>
      <c r="F194" s="26" t="n">
        <v>349.7</v>
      </c>
      <c r="G194" s="26" t="n">
        <v>0</v>
      </c>
      <c r="H194" s="26" t="n">
        <v>0</v>
      </c>
      <c r="I194" s="26" t="n">
        <v>356.7</v>
      </c>
      <c r="J194" s="26" t="n">
        <v>0</v>
      </c>
      <c r="K194" s="26" t="n">
        <v>0</v>
      </c>
      <c r="L194" s="26" t="n">
        <v>0</v>
      </c>
      <c r="M194" s="26" t="n">
        <v>0</v>
      </c>
      <c r="N194" s="26" t="n">
        <v>0</v>
      </c>
      <c r="O194" s="26" t="n">
        <v>0</v>
      </c>
      <c r="P194" s="26" t="n">
        <v>-163.2</v>
      </c>
      <c r="Q194" s="26" t="n">
        <v>30.3</v>
      </c>
      <c r="R194" s="26" t="n">
        <v>489.6</v>
      </c>
      <c r="S194" s="26" t="n">
        <v>0</v>
      </c>
      <c r="T194" s="26" t="n">
        <v>0</v>
      </c>
      <c r="U194" s="26" t="n">
        <v>0</v>
      </c>
    </row>
    <row r="195" customFormat="false" ht="15" hidden="false" customHeight="true" outlineLevel="0" collapsed="false">
      <c r="A195" s="8" t="s">
        <v>407</v>
      </c>
      <c r="B195" s="8" t="s">
        <v>152</v>
      </c>
      <c r="C195" s="8" t="s">
        <v>595</v>
      </c>
      <c r="D195" s="26" t="n">
        <v>0</v>
      </c>
      <c r="E195" s="26" t="n">
        <v>0</v>
      </c>
      <c r="F195" s="26" t="n">
        <v>0</v>
      </c>
      <c r="G195" s="26" t="n">
        <v>0</v>
      </c>
      <c r="H195" s="26" t="n">
        <v>0</v>
      </c>
      <c r="I195" s="26" t="n">
        <v>-454.6</v>
      </c>
      <c r="J195" s="26" t="n">
        <v>0</v>
      </c>
      <c r="K195" s="26" t="n">
        <v>0</v>
      </c>
      <c r="L195" s="26" t="n">
        <v>0</v>
      </c>
      <c r="M195" s="26" t="n">
        <v>0</v>
      </c>
      <c r="N195" s="26" t="n">
        <v>0</v>
      </c>
      <c r="O195" s="26" t="n">
        <v>0</v>
      </c>
      <c r="P195" s="26" t="n">
        <v>0</v>
      </c>
      <c r="Q195" s="26" t="n">
        <v>-454.6</v>
      </c>
      <c r="R195" s="26" t="n">
        <v>0</v>
      </c>
      <c r="S195" s="26" t="n">
        <v>0</v>
      </c>
      <c r="T195" s="26" t="n">
        <v>0</v>
      </c>
      <c r="U195" s="26" t="n">
        <v>0</v>
      </c>
    </row>
    <row r="196" customFormat="false" ht="15" hidden="false" customHeight="true" outlineLevel="0" collapsed="false">
      <c r="A196" s="8" t="s">
        <v>407</v>
      </c>
      <c r="B196" s="8" t="s">
        <v>152</v>
      </c>
      <c r="C196" s="8" t="s">
        <v>596</v>
      </c>
      <c r="D196" s="26" t="n">
        <v>0</v>
      </c>
      <c r="E196" s="26" t="n">
        <v>0</v>
      </c>
      <c r="F196" s="26" t="n">
        <v>1449.2</v>
      </c>
      <c r="G196" s="26" t="n">
        <v>0</v>
      </c>
      <c r="H196" s="26" t="n">
        <v>0</v>
      </c>
      <c r="I196" s="26" t="n">
        <v>7.6</v>
      </c>
      <c r="J196" s="26" t="n">
        <v>0</v>
      </c>
      <c r="K196" s="26" t="n">
        <v>0</v>
      </c>
      <c r="L196" s="26" t="n">
        <v>0</v>
      </c>
      <c r="M196" s="26" t="n">
        <v>0</v>
      </c>
      <c r="N196" s="26" t="n">
        <v>0</v>
      </c>
      <c r="O196" s="26" t="n">
        <v>0</v>
      </c>
      <c r="P196" s="26" t="n">
        <v>0</v>
      </c>
      <c r="Q196" s="26" t="n">
        <v>7.6</v>
      </c>
      <c r="R196" s="26" t="n">
        <v>0</v>
      </c>
      <c r="S196" s="26" t="n">
        <v>0</v>
      </c>
      <c r="T196" s="26" t="n">
        <v>0</v>
      </c>
      <c r="U196" s="26" t="n">
        <v>0</v>
      </c>
    </row>
    <row r="197" customFormat="false" ht="15" hidden="false" customHeight="true" outlineLevel="0" collapsed="false">
      <c r="A197" s="8" t="s">
        <v>407</v>
      </c>
      <c r="B197" s="8" t="s">
        <v>152</v>
      </c>
      <c r="C197" s="8" t="s">
        <v>597</v>
      </c>
      <c r="D197" s="26" t="n">
        <v>0</v>
      </c>
      <c r="E197" s="26" t="n">
        <v>0</v>
      </c>
      <c r="F197" s="26" t="n">
        <v>374.9</v>
      </c>
      <c r="G197" s="26" t="n">
        <v>0</v>
      </c>
      <c r="H197" s="26" t="n">
        <v>0</v>
      </c>
      <c r="I197" s="26" t="n">
        <v>303.1</v>
      </c>
      <c r="J197" s="26" t="n">
        <v>0</v>
      </c>
      <c r="K197" s="26" t="n">
        <v>0</v>
      </c>
      <c r="L197" s="26" t="n">
        <v>0</v>
      </c>
      <c r="M197" s="26" t="n">
        <v>0</v>
      </c>
      <c r="N197" s="26" t="n">
        <v>0</v>
      </c>
      <c r="O197" s="26" t="n">
        <v>0</v>
      </c>
      <c r="P197" s="26" t="n">
        <v>0</v>
      </c>
      <c r="Q197" s="26" t="n">
        <v>303.1</v>
      </c>
      <c r="R197" s="26" t="n">
        <v>0</v>
      </c>
      <c r="S197" s="26" t="n">
        <v>0</v>
      </c>
      <c r="T197" s="26" t="n">
        <v>0</v>
      </c>
      <c r="U197" s="26" t="n">
        <v>0</v>
      </c>
    </row>
    <row r="198" customFormat="false" ht="15" hidden="false" customHeight="true" outlineLevel="0" collapsed="false">
      <c r="A198" s="8" t="s">
        <v>407</v>
      </c>
      <c r="B198" s="8" t="s">
        <v>100</v>
      </c>
      <c r="C198" s="8" t="s">
        <v>598</v>
      </c>
      <c r="D198" s="26" t="n">
        <v>0</v>
      </c>
      <c r="E198" s="26" t="n">
        <v>0</v>
      </c>
      <c r="F198" s="26" t="n">
        <v>9500.5</v>
      </c>
      <c r="G198" s="26" t="n">
        <v>0</v>
      </c>
      <c r="H198" s="26" t="n">
        <v>0</v>
      </c>
      <c r="I198" s="26" t="n">
        <v>45929.5</v>
      </c>
      <c r="J198" s="26" t="n">
        <v>0</v>
      </c>
      <c r="K198" s="26" t="n">
        <v>249.8</v>
      </c>
      <c r="L198" s="26" t="n">
        <v>0</v>
      </c>
      <c r="M198" s="26" t="n">
        <v>0</v>
      </c>
      <c r="N198" s="26" t="n">
        <v>0</v>
      </c>
      <c r="O198" s="26" t="n">
        <v>59.5</v>
      </c>
      <c r="P198" s="26" t="n">
        <v>-277.6</v>
      </c>
      <c r="Q198" s="26" t="n">
        <v>39564.5</v>
      </c>
      <c r="R198" s="26" t="n">
        <v>6333.2</v>
      </c>
      <c r="S198" s="26" t="n">
        <v>0</v>
      </c>
      <c r="T198" s="26" t="n">
        <v>0</v>
      </c>
      <c r="U198" s="26" t="n">
        <v>0</v>
      </c>
    </row>
    <row r="199" customFormat="false" ht="15" hidden="false" customHeight="true" outlineLevel="0" collapsed="false">
      <c r="A199" s="8" t="s">
        <v>407</v>
      </c>
      <c r="B199" s="8" t="s">
        <v>100</v>
      </c>
      <c r="C199" s="8" t="s">
        <v>599</v>
      </c>
      <c r="D199" s="26" t="n">
        <v>0</v>
      </c>
      <c r="E199" s="26" t="n">
        <v>0</v>
      </c>
      <c r="F199" s="26" t="n">
        <v>8358.7</v>
      </c>
      <c r="G199" s="26" t="n">
        <v>0</v>
      </c>
      <c r="H199" s="26" t="n">
        <v>80.3</v>
      </c>
      <c r="I199" s="26" t="n">
        <v>49010.4</v>
      </c>
      <c r="J199" s="26" t="n">
        <v>0</v>
      </c>
      <c r="K199" s="26" t="n">
        <v>360.9</v>
      </c>
      <c r="L199" s="26" t="n">
        <v>0</v>
      </c>
      <c r="M199" s="26" t="n">
        <v>0</v>
      </c>
      <c r="N199" s="26" t="n">
        <v>0</v>
      </c>
      <c r="O199" s="26" t="n">
        <v>89.2</v>
      </c>
      <c r="P199" s="26" t="n">
        <v>-166.6</v>
      </c>
      <c r="Q199" s="26" t="n">
        <v>42810</v>
      </c>
      <c r="R199" s="26" t="n">
        <v>5916.8</v>
      </c>
      <c r="S199" s="26" t="n">
        <v>0</v>
      </c>
      <c r="T199" s="26" t="n">
        <v>0</v>
      </c>
      <c r="U199" s="26" t="n">
        <v>0</v>
      </c>
    </row>
    <row r="200" customFormat="false" ht="15" hidden="false" customHeight="true" outlineLevel="0" collapsed="false">
      <c r="A200" s="8" t="s">
        <v>407</v>
      </c>
      <c r="B200" s="8" t="s">
        <v>100</v>
      </c>
      <c r="C200" s="8" t="s">
        <v>600</v>
      </c>
      <c r="D200" s="26" t="n">
        <v>0</v>
      </c>
      <c r="E200" s="26" t="n">
        <v>0</v>
      </c>
      <c r="F200" s="26" t="n">
        <v>3411.6</v>
      </c>
      <c r="G200" s="26" t="n">
        <v>0</v>
      </c>
      <c r="H200" s="26" t="n">
        <v>0</v>
      </c>
      <c r="I200" s="26" t="n">
        <v>27855.5</v>
      </c>
      <c r="J200" s="26" t="n">
        <v>0</v>
      </c>
      <c r="K200" s="26" t="n">
        <v>194.3</v>
      </c>
      <c r="L200" s="26" t="n">
        <v>0</v>
      </c>
      <c r="M200" s="26" t="n">
        <v>0</v>
      </c>
      <c r="N200" s="26" t="n">
        <v>92.7</v>
      </c>
      <c r="O200" s="26" t="n">
        <v>0</v>
      </c>
      <c r="P200" s="26" t="n">
        <v>-277.6</v>
      </c>
      <c r="Q200" s="26" t="n">
        <v>24598.1</v>
      </c>
      <c r="R200" s="26" t="n">
        <v>3247.9</v>
      </c>
      <c r="S200" s="26" t="n">
        <v>28.8</v>
      </c>
      <c r="T200" s="26" t="n">
        <v>0</v>
      </c>
      <c r="U200" s="26" t="n">
        <v>0</v>
      </c>
    </row>
    <row r="201" customFormat="false" ht="15" hidden="false" customHeight="true" outlineLevel="0" collapsed="false">
      <c r="A201" s="8" t="s">
        <v>407</v>
      </c>
      <c r="B201" s="8" t="s">
        <v>100</v>
      </c>
      <c r="C201" s="8" t="s">
        <v>601</v>
      </c>
      <c r="D201" s="26" t="n">
        <v>0</v>
      </c>
      <c r="E201" s="26" t="n">
        <v>0</v>
      </c>
      <c r="F201" s="26" t="n">
        <v>7175.7</v>
      </c>
      <c r="G201" s="26" t="n">
        <v>0</v>
      </c>
      <c r="H201" s="26" t="n">
        <v>0</v>
      </c>
      <c r="I201" s="26" t="n">
        <v>29835.8</v>
      </c>
      <c r="J201" s="26" t="n">
        <v>0</v>
      </c>
      <c r="K201" s="26" t="n">
        <v>138.8</v>
      </c>
      <c r="L201" s="26" t="n">
        <v>0</v>
      </c>
      <c r="M201" s="26" t="n">
        <v>0</v>
      </c>
      <c r="N201" s="26" t="n">
        <v>0</v>
      </c>
      <c r="O201" s="26" t="n">
        <v>237.9</v>
      </c>
      <c r="P201" s="26" t="n">
        <v>-194.3</v>
      </c>
      <c r="Q201" s="26" t="n">
        <v>25735.4</v>
      </c>
      <c r="R201" s="26" t="n">
        <v>3918.1</v>
      </c>
      <c r="S201" s="26" t="n">
        <v>0</v>
      </c>
      <c r="T201" s="26" t="n">
        <v>0</v>
      </c>
      <c r="U201" s="26" t="n">
        <v>0</v>
      </c>
    </row>
    <row r="202" customFormat="false" ht="15" hidden="false" customHeight="true" outlineLevel="0" collapsed="false">
      <c r="A202" s="8" t="s">
        <v>407</v>
      </c>
      <c r="B202" s="8" t="s">
        <v>100</v>
      </c>
      <c r="C202" s="8" t="s">
        <v>602</v>
      </c>
      <c r="D202" s="26" t="n">
        <v>0</v>
      </c>
      <c r="E202" s="26" t="n">
        <v>0</v>
      </c>
      <c r="F202" s="26" t="n">
        <v>3555.1</v>
      </c>
      <c r="G202" s="26" t="n">
        <v>0</v>
      </c>
      <c r="H202" s="26" t="n">
        <v>80.3</v>
      </c>
      <c r="I202" s="26" t="n">
        <v>10014.4</v>
      </c>
      <c r="J202" s="26" t="n">
        <v>0</v>
      </c>
      <c r="K202" s="26" t="n">
        <v>305.4</v>
      </c>
      <c r="L202" s="26" t="n">
        <v>0</v>
      </c>
      <c r="M202" s="26" t="n">
        <v>0</v>
      </c>
      <c r="N202" s="26" t="n">
        <v>0</v>
      </c>
      <c r="O202" s="26" t="n">
        <v>0</v>
      </c>
      <c r="P202" s="26" t="n">
        <v>-138.8</v>
      </c>
      <c r="Q202" s="26" t="n">
        <v>7405</v>
      </c>
      <c r="R202" s="26" t="n">
        <v>2442.9</v>
      </c>
      <c r="S202" s="26" t="n">
        <v>0</v>
      </c>
      <c r="T202" s="26" t="n">
        <v>0</v>
      </c>
      <c r="U202" s="26" t="n">
        <v>0</v>
      </c>
    </row>
    <row r="203" customFormat="false" ht="15" hidden="false" customHeight="true" outlineLevel="0" collapsed="false">
      <c r="A203" s="8" t="s">
        <v>407</v>
      </c>
      <c r="B203" s="8" t="s">
        <v>87</v>
      </c>
      <c r="C203" s="8" t="s">
        <v>603</v>
      </c>
      <c r="D203" s="26" t="n">
        <v>0</v>
      </c>
      <c r="E203" s="26" t="n">
        <v>0</v>
      </c>
      <c r="F203" s="26" t="n">
        <v>4644.5</v>
      </c>
      <c r="G203" s="26" t="n">
        <v>0</v>
      </c>
      <c r="H203" s="26" t="n">
        <v>0</v>
      </c>
      <c r="I203" s="26" t="n">
        <v>50421.5</v>
      </c>
      <c r="J203" s="26" t="n">
        <v>0</v>
      </c>
      <c r="K203" s="26" t="n">
        <v>360.9</v>
      </c>
      <c r="L203" s="26" t="n">
        <v>0</v>
      </c>
      <c r="M203" s="26" t="n">
        <v>0</v>
      </c>
      <c r="N203" s="26" t="n">
        <v>92.7</v>
      </c>
      <c r="O203" s="26" t="n">
        <v>59.5</v>
      </c>
      <c r="P203" s="26" t="n">
        <v>-194.3</v>
      </c>
      <c r="Q203" s="26" t="n">
        <v>46049.9</v>
      </c>
      <c r="R203" s="26" t="n">
        <v>4053</v>
      </c>
      <c r="S203" s="26" t="n">
        <v>0</v>
      </c>
      <c r="T203" s="26" t="n">
        <v>0</v>
      </c>
      <c r="U203" s="26" t="n">
        <v>0</v>
      </c>
    </row>
    <row r="204" customFormat="false" ht="15" hidden="false" customHeight="true" outlineLevel="0" collapsed="false">
      <c r="A204" s="8" t="s">
        <v>407</v>
      </c>
      <c r="B204" s="8" t="s">
        <v>87</v>
      </c>
      <c r="C204" s="8" t="s">
        <v>604</v>
      </c>
      <c r="D204" s="26" t="n">
        <v>0</v>
      </c>
      <c r="E204" s="26" t="n">
        <v>0</v>
      </c>
      <c r="F204" s="26" t="n">
        <v>13909.2</v>
      </c>
      <c r="G204" s="26" t="n">
        <v>0</v>
      </c>
      <c r="H204" s="26" t="n">
        <v>0</v>
      </c>
      <c r="I204" s="26" t="n">
        <v>87178.6</v>
      </c>
      <c r="J204" s="26" t="n">
        <v>0</v>
      </c>
      <c r="K204" s="26" t="n">
        <v>777.3</v>
      </c>
      <c r="L204" s="26" t="n">
        <v>0</v>
      </c>
      <c r="M204" s="26" t="n">
        <v>0</v>
      </c>
      <c r="N204" s="26" t="n">
        <v>0</v>
      </c>
      <c r="O204" s="26" t="n">
        <v>297.3</v>
      </c>
      <c r="P204" s="26" t="n">
        <v>-277.6</v>
      </c>
      <c r="Q204" s="26" t="n">
        <v>78269.8</v>
      </c>
      <c r="R204" s="26" t="n">
        <v>8111.8</v>
      </c>
      <c r="S204" s="26" t="n">
        <v>55.5</v>
      </c>
      <c r="T204" s="26" t="n">
        <v>0</v>
      </c>
      <c r="U204" s="26" t="n">
        <v>0</v>
      </c>
    </row>
    <row r="205" customFormat="false" ht="15" hidden="false" customHeight="true" outlineLevel="0" collapsed="false">
      <c r="A205" s="8" t="s">
        <v>407</v>
      </c>
      <c r="B205" s="8" t="s">
        <v>87</v>
      </c>
      <c r="C205" s="8" t="s">
        <v>605</v>
      </c>
      <c r="D205" s="26" t="n">
        <v>0</v>
      </c>
      <c r="E205" s="26" t="n">
        <v>0</v>
      </c>
      <c r="F205" s="26" t="n">
        <v>11145.9</v>
      </c>
      <c r="G205" s="26" t="n">
        <v>0</v>
      </c>
      <c r="H205" s="26" t="n">
        <v>0</v>
      </c>
      <c r="I205" s="26" t="n">
        <v>85417</v>
      </c>
      <c r="J205" s="26" t="n">
        <v>0</v>
      </c>
      <c r="K205" s="26" t="n">
        <v>721.8</v>
      </c>
      <c r="L205" s="26" t="n">
        <v>0</v>
      </c>
      <c r="M205" s="26" t="n">
        <v>0</v>
      </c>
      <c r="N205" s="26" t="n">
        <v>0</v>
      </c>
      <c r="O205" s="26" t="n">
        <v>148.7</v>
      </c>
      <c r="P205" s="26" t="n">
        <v>-138.8</v>
      </c>
      <c r="Q205" s="26" t="n">
        <v>77434.1</v>
      </c>
      <c r="R205" s="26" t="n">
        <v>7251.3</v>
      </c>
      <c r="S205" s="26" t="n">
        <v>0</v>
      </c>
      <c r="T205" s="26" t="n">
        <v>0</v>
      </c>
      <c r="U205" s="26" t="n">
        <v>0</v>
      </c>
    </row>
    <row r="206" customFormat="false" ht="15" hidden="false" customHeight="true" outlineLevel="0" collapsed="false">
      <c r="A206" s="8" t="s">
        <v>407</v>
      </c>
      <c r="B206" s="8" t="s">
        <v>87</v>
      </c>
      <c r="C206" s="8" t="s">
        <v>606</v>
      </c>
      <c r="D206" s="26" t="n">
        <v>0</v>
      </c>
      <c r="E206" s="26" t="n">
        <v>0</v>
      </c>
      <c r="F206" s="26" t="n">
        <v>9904.8</v>
      </c>
      <c r="G206" s="26" t="n">
        <v>0</v>
      </c>
      <c r="H206" s="26" t="n">
        <v>0</v>
      </c>
      <c r="I206" s="26" t="n">
        <v>64931.6</v>
      </c>
      <c r="J206" s="26" t="n">
        <v>0</v>
      </c>
      <c r="K206" s="26" t="n">
        <v>860.6</v>
      </c>
      <c r="L206" s="26" t="n">
        <v>0</v>
      </c>
      <c r="M206" s="26" t="n">
        <v>0</v>
      </c>
      <c r="N206" s="26" t="n">
        <v>0</v>
      </c>
      <c r="O206" s="26" t="n">
        <v>208.1</v>
      </c>
      <c r="P206" s="26" t="n">
        <v>-249.8</v>
      </c>
      <c r="Q206" s="26" t="n">
        <v>57363.1</v>
      </c>
      <c r="R206" s="26" t="n">
        <v>6749.6</v>
      </c>
      <c r="S206" s="26" t="n">
        <v>0</v>
      </c>
      <c r="T206" s="26" t="n">
        <v>0</v>
      </c>
      <c r="U206" s="26" t="n">
        <v>0</v>
      </c>
    </row>
    <row r="207" customFormat="false" ht="15" hidden="false" customHeight="true" outlineLevel="0" collapsed="false">
      <c r="A207" s="8" t="s">
        <v>407</v>
      </c>
      <c r="B207" s="8" t="s">
        <v>114</v>
      </c>
      <c r="C207" s="8" t="s">
        <v>607</v>
      </c>
      <c r="D207" s="26" t="n">
        <v>0</v>
      </c>
      <c r="E207" s="26" t="n">
        <v>0</v>
      </c>
      <c r="F207" s="26" t="n">
        <v>1206.7</v>
      </c>
      <c r="G207" s="26" t="n">
        <v>0</v>
      </c>
      <c r="H207" s="26" t="n">
        <v>0</v>
      </c>
      <c r="I207" s="26" t="n">
        <v>19590.4</v>
      </c>
      <c r="J207" s="26" t="n">
        <v>0</v>
      </c>
      <c r="K207" s="26" t="n">
        <v>100.5</v>
      </c>
      <c r="L207" s="26" t="n">
        <v>0</v>
      </c>
      <c r="M207" s="26" t="n">
        <v>0</v>
      </c>
      <c r="N207" s="26" t="n">
        <v>112.4</v>
      </c>
      <c r="O207" s="26" t="n">
        <v>0</v>
      </c>
      <c r="P207" s="26" t="n">
        <v>-200.9</v>
      </c>
      <c r="Q207" s="26" t="n">
        <v>16595.5</v>
      </c>
      <c r="R207" s="26" t="n">
        <v>2983</v>
      </c>
      <c r="S207" s="26" t="n">
        <v>0</v>
      </c>
      <c r="T207" s="26" t="n">
        <v>0</v>
      </c>
      <c r="U207" s="26" t="n">
        <v>0</v>
      </c>
    </row>
    <row r="208" customFormat="false" ht="15" hidden="false" customHeight="true" outlineLevel="0" collapsed="false">
      <c r="A208" s="8" t="s">
        <v>407</v>
      </c>
      <c r="B208" s="8" t="s">
        <v>114</v>
      </c>
      <c r="C208" s="8" t="s">
        <v>608</v>
      </c>
      <c r="D208" s="26" t="n">
        <v>0</v>
      </c>
      <c r="E208" s="26" t="n">
        <v>0</v>
      </c>
      <c r="F208" s="26" t="n">
        <v>4946.6</v>
      </c>
      <c r="G208" s="26" t="n">
        <v>0</v>
      </c>
      <c r="H208" s="26" t="n">
        <v>162.3</v>
      </c>
      <c r="I208" s="26" t="n">
        <v>55853.6</v>
      </c>
      <c r="J208" s="26" t="n">
        <v>0</v>
      </c>
      <c r="K208" s="26" t="n">
        <v>468.9</v>
      </c>
      <c r="L208" s="26" t="n">
        <v>0</v>
      </c>
      <c r="M208" s="26" t="n">
        <v>0</v>
      </c>
      <c r="N208" s="26" t="n">
        <v>0</v>
      </c>
      <c r="O208" s="26" t="n">
        <v>179.4</v>
      </c>
      <c r="P208" s="26" t="n">
        <v>-301.4</v>
      </c>
      <c r="Q208" s="26" t="n">
        <v>47701.2</v>
      </c>
      <c r="R208" s="26" t="n">
        <v>7805.6</v>
      </c>
      <c r="S208" s="26" t="n">
        <v>0</v>
      </c>
      <c r="T208" s="26" t="n">
        <v>0</v>
      </c>
      <c r="U208" s="26" t="n">
        <v>0</v>
      </c>
    </row>
    <row r="209" customFormat="false" ht="15" hidden="false" customHeight="true" outlineLevel="0" collapsed="false">
      <c r="A209" s="8" t="s">
        <v>407</v>
      </c>
      <c r="B209" s="8" t="s">
        <v>114</v>
      </c>
      <c r="C209" s="8" t="s">
        <v>609</v>
      </c>
      <c r="D209" s="26" t="n">
        <v>0</v>
      </c>
      <c r="E209" s="26" t="n">
        <v>0</v>
      </c>
      <c r="F209" s="26" t="n">
        <v>4562.7</v>
      </c>
      <c r="G209" s="26" t="n">
        <v>0</v>
      </c>
      <c r="H209" s="26" t="n">
        <v>389.5</v>
      </c>
      <c r="I209" s="26" t="n">
        <v>48380</v>
      </c>
      <c r="J209" s="26" t="n">
        <v>0</v>
      </c>
      <c r="K209" s="26" t="n">
        <v>435.4</v>
      </c>
      <c r="L209" s="26" t="n">
        <v>0</v>
      </c>
      <c r="M209" s="26" t="n">
        <v>0</v>
      </c>
      <c r="N209" s="26" t="n">
        <v>0</v>
      </c>
      <c r="O209" s="26" t="n">
        <v>71.8</v>
      </c>
      <c r="P209" s="26" t="n">
        <v>-134</v>
      </c>
      <c r="Q209" s="26" t="n">
        <v>41507.4</v>
      </c>
      <c r="R209" s="26" t="n">
        <v>6499.5</v>
      </c>
      <c r="S209" s="26" t="n">
        <v>0</v>
      </c>
      <c r="T209" s="26" t="n">
        <v>0</v>
      </c>
      <c r="U209" s="26" t="n">
        <v>0</v>
      </c>
    </row>
    <row r="210" customFormat="false" ht="15" hidden="false" customHeight="true" outlineLevel="0" collapsed="false">
      <c r="A210" s="8" t="s">
        <v>407</v>
      </c>
      <c r="B210" s="8" t="s">
        <v>114</v>
      </c>
      <c r="C210" s="8" t="s">
        <v>610</v>
      </c>
      <c r="D210" s="26" t="n">
        <v>0</v>
      </c>
      <c r="E210" s="26" t="n">
        <v>0</v>
      </c>
      <c r="F210" s="26" t="n">
        <v>4345.7</v>
      </c>
      <c r="G210" s="26" t="n">
        <v>0</v>
      </c>
      <c r="H210" s="26" t="n">
        <v>128.5</v>
      </c>
      <c r="I210" s="26" t="n">
        <v>40286.7</v>
      </c>
      <c r="J210" s="26" t="n">
        <v>0</v>
      </c>
      <c r="K210" s="26" t="n">
        <v>167.5</v>
      </c>
      <c r="L210" s="26" t="n">
        <v>0</v>
      </c>
      <c r="M210" s="26" t="n">
        <v>0</v>
      </c>
      <c r="N210" s="26" t="n">
        <v>0</v>
      </c>
      <c r="O210" s="26" t="n">
        <v>251.2</v>
      </c>
      <c r="P210" s="26" t="n">
        <v>-267.9</v>
      </c>
      <c r="Q210" s="26" t="n">
        <v>33971.4</v>
      </c>
      <c r="R210" s="26" t="n">
        <v>6164.6</v>
      </c>
      <c r="S210" s="26" t="n">
        <v>0</v>
      </c>
      <c r="T210" s="26" t="n">
        <v>0</v>
      </c>
      <c r="U210" s="26" t="n">
        <v>0</v>
      </c>
    </row>
    <row r="211" customFormat="false" ht="15" hidden="false" customHeight="true" outlineLevel="0" collapsed="false">
      <c r="A211" s="8" t="s">
        <v>407</v>
      </c>
      <c r="B211" s="8" t="s">
        <v>114</v>
      </c>
      <c r="C211" s="8" t="s">
        <v>611</v>
      </c>
      <c r="D211" s="26" t="n">
        <v>0</v>
      </c>
      <c r="E211" s="26" t="n">
        <v>0</v>
      </c>
      <c r="F211" s="26" t="n">
        <v>1443.6</v>
      </c>
      <c r="G211" s="26" t="n">
        <v>0</v>
      </c>
      <c r="H211" s="26" t="n">
        <v>32.5</v>
      </c>
      <c r="I211" s="26" t="n">
        <v>9185.1</v>
      </c>
      <c r="J211" s="26" t="n">
        <v>0</v>
      </c>
      <c r="K211" s="26" t="n">
        <v>234.4</v>
      </c>
      <c r="L211" s="26" t="n">
        <v>0</v>
      </c>
      <c r="M211" s="26" t="n">
        <v>0</v>
      </c>
      <c r="N211" s="26" t="n">
        <v>0</v>
      </c>
      <c r="O211" s="26" t="n">
        <v>59.1</v>
      </c>
      <c r="P211" s="26" t="n">
        <v>-167.5</v>
      </c>
      <c r="Q211" s="26" t="n">
        <v>4772.4</v>
      </c>
      <c r="R211" s="26" t="n">
        <v>4286.7</v>
      </c>
      <c r="S211" s="26" t="n">
        <v>0</v>
      </c>
      <c r="T211" s="26" t="n">
        <v>0</v>
      </c>
      <c r="U211" s="26" t="n">
        <v>0</v>
      </c>
    </row>
    <row r="212" customFormat="false" ht="15" hidden="false" customHeight="true" outlineLevel="0" collapsed="false">
      <c r="A212" s="8" t="s">
        <v>407</v>
      </c>
      <c r="B212" s="8" t="s">
        <v>187</v>
      </c>
      <c r="C212" s="8" t="s">
        <v>612</v>
      </c>
      <c r="D212" s="26" t="n">
        <v>0</v>
      </c>
      <c r="E212" s="26" t="n">
        <v>0</v>
      </c>
      <c r="F212" s="26" t="n">
        <v>170</v>
      </c>
      <c r="G212" s="26" t="n">
        <v>0</v>
      </c>
      <c r="H212" s="26" t="n">
        <v>0</v>
      </c>
      <c r="I212" s="26" t="n">
        <v>254.3</v>
      </c>
      <c r="J212" s="26" t="n">
        <v>0</v>
      </c>
      <c r="K212" s="26" t="n">
        <v>0</v>
      </c>
      <c r="L212" s="26" t="n">
        <v>0</v>
      </c>
      <c r="M212" s="26" t="n">
        <v>0</v>
      </c>
      <c r="N212" s="26" t="n">
        <v>0</v>
      </c>
      <c r="O212" s="26" t="n">
        <v>0</v>
      </c>
      <c r="P212" s="26" t="n">
        <v>-52.4</v>
      </c>
      <c r="Q212" s="26" t="n">
        <v>97.2</v>
      </c>
      <c r="R212" s="26" t="n">
        <v>209.4</v>
      </c>
      <c r="S212" s="26" t="n">
        <v>0</v>
      </c>
      <c r="T212" s="26" t="n">
        <v>0</v>
      </c>
      <c r="U212" s="26" t="n">
        <v>0</v>
      </c>
    </row>
    <row r="213" customFormat="false" ht="15" hidden="false" customHeight="true" outlineLevel="0" collapsed="false">
      <c r="A213" s="8" t="s">
        <v>407</v>
      </c>
      <c r="B213" s="8" t="s">
        <v>187</v>
      </c>
      <c r="C213" s="8" t="s">
        <v>613</v>
      </c>
      <c r="D213" s="26" t="n">
        <v>0</v>
      </c>
      <c r="E213" s="26" t="n">
        <v>0</v>
      </c>
      <c r="F213" s="26" t="n">
        <v>778.3</v>
      </c>
      <c r="G213" s="26" t="n">
        <v>0</v>
      </c>
      <c r="H213" s="26" t="n">
        <v>49.1</v>
      </c>
      <c r="I213" s="26" t="n">
        <v>1155.7</v>
      </c>
      <c r="J213" s="26" t="n">
        <v>0</v>
      </c>
      <c r="K213" s="26" t="n">
        <v>0</v>
      </c>
      <c r="L213" s="26" t="n">
        <v>0</v>
      </c>
      <c r="M213" s="26" t="n">
        <v>0</v>
      </c>
      <c r="N213" s="26" t="n">
        <v>0</v>
      </c>
      <c r="O213" s="26" t="n">
        <v>0</v>
      </c>
      <c r="P213" s="26" t="n">
        <v>-52.4</v>
      </c>
      <c r="Q213" s="26" t="n">
        <v>632.1</v>
      </c>
      <c r="R213" s="26" t="n">
        <v>576</v>
      </c>
      <c r="S213" s="26" t="n">
        <v>0</v>
      </c>
      <c r="T213" s="26" t="n">
        <v>0</v>
      </c>
      <c r="U213" s="26" t="n">
        <v>0</v>
      </c>
    </row>
    <row r="214" customFormat="false" ht="15" hidden="false" customHeight="true" outlineLevel="0" collapsed="false">
      <c r="A214" s="8" t="s">
        <v>407</v>
      </c>
      <c r="B214" s="8" t="s">
        <v>187</v>
      </c>
      <c r="C214" s="8" t="s">
        <v>614</v>
      </c>
      <c r="D214" s="26" t="n">
        <v>0</v>
      </c>
      <c r="E214" s="26" t="n">
        <v>0</v>
      </c>
      <c r="F214" s="26" t="n">
        <v>721.6</v>
      </c>
      <c r="G214" s="26" t="n">
        <v>0</v>
      </c>
      <c r="H214" s="26" t="n">
        <v>0</v>
      </c>
      <c r="I214" s="26" t="n">
        <v>1133.2</v>
      </c>
      <c r="J214" s="26" t="n">
        <v>0</v>
      </c>
      <c r="K214" s="26" t="n">
        <v>0</v>
      </c>
      <c r="L214" s="26" t="n">
        <v>0</v>
      </c>
      <c r="M214" s="26" t="n">
        <v>0</v>
      </c>
      <c r="N214" s="26" t="n">
        <v>0</v>
      </c>
      <c r="O214" s="26" t="n">
        <v>0</v>
      </c>
      <c r="P214" s="26" t="n">
        <v>0</v>
      </c>
      <c r="Q214" s="26" t="n">
        <v>243.1</v>
      </c>
      <c r="R214" s="26" t="n">
        <v>890.1</v>
      </c>
      <c r="S214" s="26" t="n">
        <v>0</v>
      </c>
      <c r="T214" s="26" t="n">
        <v>0</v>
      </c>
      <c r="U214" s="26" t="n">
        <v>0</v>
      </c>
    </row>
    <row r="215" customFormat="false" ht="15" hidden="false" customHeight="true" outlineLevel="0" collapsed="false">
      <c r="A215" s="8" t="s">
        <v>407</v>
      </c>
      <c r="B215" s="8" t="s">
        <v>187</v>
      </c>
      <c r="C215" s="8" t="s">
        <v>615</v>
      </c>
      <c r="D215" s="26" t="n">
        <v>0</v>
      </c>
      <c r="E215" s="26" t="n">
        <v>0</v>
      </c>
      <c r="F215" s="26" t="n">
        <v>162.5</v>
      </c>
      <c r="G215" s="26" t="n">
        <v>0</v>
      </c>
      <c r="H215" s="26" t="n">
        <v>0</v>
      </c>
      <c r="I215" s="26" t="n">
        <v>598.4</v>
      </c>
      <c r="J215" s="26" t="n">
        <v>0</v>
      </c>
      <c r="K215" s="26" t="n">
        <v>0</v>
      </c>
      <c r="L215" s="26" t="n">
        <v>0</v>
      </c>
      <c r="M215" s="26" t="n">
        <v>0</v>
      </c>
      <c r="N215" s="26" t="n">
        <v>0</v>
      </c>
      <c r="O215" s="26" t="n">
        <v>0</v>
      </c>
      <c r="P215" s="26" t="n">
        <v>0</v>
      </c>
      <c r="Q215" s="26" t="n">
        <v>389</v>
      </c>
      <c r="R215" s="26" t="n">
        <v>209.4</v>
      </c>
      <c r="S215" s="26" t="n">
        <v>0</v>
      </c>
      <c r="T215" s="26" t="n">
        <v>0</v>
      </c>
      <c r="U215" s="26" t="n">
        <v>0</v>
      </c>
    </row>
    <row r="216" customFormat="false" ht="15" hidden="false" customHeight="true" outlineLevel="0" collapsed="false">
      <c r="A216" s="8" t="s">
        <v>407</v>
      </c>
      <c r="B216" s="8" t="s">
        <v>187</v>
      </c>
      <c r="C216" s="8" t="s">
        <v>616</v>
      </c>
      <c r="D216" s="26" t="n">
        <v>0</v>
      </c>
      <c r="E216" s="26" t="n">
        <v>0</v>
      </c>
      <c r="F216" s="26" t="n">
        <v>56.7</v>
      </c>
      <c r="G216" s="26" t="n">
        <v>0</v>
      </c>
      <c r="H216" s="26" t="n">
        <v>49.1</v>
      </c>
      <c r="I216" s="26" t="n">
        <v>568.5</v>
      </c>
      <c r="J216" s="26" t="n">
        <v>0</v>
      </c>
      <c r="K216" s="26" t="n">
        <v>209.4</v>
      </c>
      <c r="L216" s="26" t="n">
        <v>0</v>
      </c>
      <c r="M216" s="26" t="n">
        <v>0</v>
      </c>
      <c r="N216" s="26" t="n">
        <v>0</v>
      </c>
      <c r="O216" s="26" t="n">
        <v>0</v>
      </c>
      <c r="P216" s="26" t="n">
        <v>-52.4</v>
      </c>
      <c r="Q216" s="26" t="n">
        <v>97.2</v>
      </c>
      <c r="R216" s="26" t="n">
        <v>314.2</v>
      </c>
      <c r="S216" s="26" t="n">
        <v>0</v>
      </c>
      <c r="T216" s="26" t="n">
        <v>0</v>
      </c>
      <c r="U216" s="26" t="n">
        <v>0</v>
      </c>
    </row>
    <row r="217" customFormat="false" ht="15" hidden="false" customHeight="true" outlineLevel="0" collapsed="false">
      <c r="A217" s="8" t="s">
        <v>407</v>
      </c>
      <c r="B217" s="8" t="s">
        <v>168</v>
      </c>
      <c r="C217" s="8" t="s">
        <v>617</v>
      </c>
      <c r="D217" s="26" t="n">
        <v>0</v>
      </c>
      <c r="E217" s="26" t="n">
        <v>0</v>
      </c>
      <c r="F217" s="26" t="n">
        <v>644.1</v>
      </c>
      <c r="G217" s="26" t="n">
        <v>0</v>
      </c>
      <c r="H217" s="26" t="n">
        <v>0</v>
      </c>
      <c r="I217" s="26" t="n">
        <v>904.4</v>
      </c>
      <c r="J217" s="26" t="n">
        <v>0</v>
      </c>
      <c r="K217" s="26" t="n">
        <v>0</v>
      </c>
      <c r="L217" s="26" t="n">
        <v>0</v>
      </c>
      <c r="M217" s="26" t="n">
        <v>0</v>
      </c>
      <c r="N217" s="26" t="n">
        <v>105.3</v>
      </c>
      <c r="O217" s="26" t="n">
        <v>0</v>
      </c>
      <c r="P217" s="26" t="n">
        <v>0</v>
      </c>
      <c r="Q217" s="26" t="n">
        <v>799.1</v>
      </c>
      <c r="R217" s="26" t="n">
        <v>0</v>
      </c>
      <c r="S217" s="26" t="n">
        <v>0</v>
      </c>
      <c r="T217" s="26" t="n">
        <v>0</v>
      </c>
      <c r="U217" s="26" t="n">
        <v>0</v>
      </c>
    </row>
    <row r="218" customFormat="false" ht="15" hidden="false" customHeight="true" outlineLevel="0" collapsed="false">
      <c r="A218" s="8" t="s">
        <v>407</v>
      </c>
      <c r="B218" s="8" t="s">
        <v>168</v>
      </c>
      <c r="C218" s="8" t="s">
        <v>618</v>
      </c>
      <c r="D218" s="26" t="n">
        <v>0</v>
      </c>
      <c r="E218" s="26" t="n">
        <v>0</v>
      </c>
      <c r="F218" s="26" t="n">
        <v>1068.4</v>
      </c>
      <c r="G218" s="26" t="n">
        <v>0</v>
      </c>
      <c r="H218" s="26" t="n">
        <v>60.9</v>
      </c>
      <c r="I218" s="26" t="n">
        <v>3094.1</v>
      </c>
      <c r="J218" s="26" t="n">
        <v>0</v>
      </c>
      <c r="K218" s="26" t="n">
        <v>0</v>
      </c>
      <c r="L218" s="26" t="n">
        <v>0</v>
      </c>
      <c r="M218" s="26" t="n">
        <v>0</v>
      </c>
      <c r="N218" s="26" t="n">
        <v>0</v>
      </c>
      <c r="O218" s="26" t="n">
        <v>0</v>
      </c>
      <c r="P218" s="26" t="n">
        <v>-63.5</v>
      </c>
      <c r="Q218" s="26" t="n">
        <v>2334.2</v>
      </c>
      <c r="R218" s="26" t="n">
        <v>823.5</v>
      </c>
      <c r="S218" s="26" t="n">
        <v>0</v>
      </c>
      <c r="T218" s="26" t="n">
        <v>0</v>
      </c>
      <c r="U218" s="26" t="n">
        <v>0</v>
      </c>
    </row>
    <row r="219" customFormat="false" ht="15" hidden="false" customHeight="true" outlineLevel="0" collapsed="false">
      <c r="A219" s="8" t="s">
        <v>407</v>
      </c>
      <c r="B219" s="8" t="s">
        <v>168</v>
      </c>
      <c r="C219" s="8" t="s">
        <v>619</v>
      </c>
      <c r="D219" s="26" t="n">
        <v>0</v>
      </c>
      <c r="E219" s="26" t="n">
        <v>0</v>
      </c>
      <c r="F219" s="26" t="n">
        <v>826.3</v>
      </c>
      <c r="G219" s="26" t="n">
        <v>0</v>
      </c>
      <c r="H219" s="26" t="n">
        <v>0</v>
      </c>
      <c r="I219" s="26" t="n">
        <v>2163.7</v>
      </c>
      <c r="J219" s="26" t="n">
        <v>0</v>
      </c>
      <c r="K219" s="26" t="n">
        <v>0</v>
      </c>
      <c r="L219" s="26" t="n">
        <v>0</v>
      </c>
      <c r="M219" s="26" t="n">
        <v>0</v>
      </c>
      <c r="N219" s="26" t="n">
        <v>0</v>
      </c>
      <c r="O219" s="26" t="n">
        <v>0</v>
      </c>
      <c r="P219" s="26" t="n">
        <v>-61</v>
      </c>
      <c r="Q219" s="26" t="n">
        <v>1553.7</v>
      </c>
      <c r="R219" s="26" t="n">
        <v>671</v>
      </c>
      <c r="S219" s="26" t="n">
        <v>0</v>
      </c>
      <c r="T219" s="26" t="n">
        <v>0</v>
      </c>
      <c r="U219" s="26" t="n">
        <v>0</v>
      </c>
    </row>
    <row r="220" customFormat="false" ht="15" hidden="false" customHeight="true" outlineLevel="0" collapsed="false">
      <c r="A220" s="8" t="s">
        <v>407</v>
      </c>
      <c r="B220" s="8" t="s">
        <v>168</v>
      </c>
      <c r="C220" s="8" t="s">
        <v>620</v>
      </c>
      <c r="D220" s="26" t="n">
        <v>0</v>
      </c>
      <c r="E220" s="26" t="n">
        <v>0</v>
      </c>
      <c r="F220" s="26" t="n">
        <v>1073.6</v>
      </c>
      <c r="G220" s="26" t="n">
        <v>0</v>
      </c>
      <c r="H220" s="26" t="n">
        <v>121.7</v>
      </c>
      <c r="I220" s="26" t="n">
        <v>2032.1</v>
      </c>
      <c r="J220" s="26" t="n">
        <v>0</v>
      </c>
      <c r="K220" s="26" t="n">
        <v>0</v>
      </c>
      <c r="L220" s="26" t="n">
        <v>0</v>
      </c>
      <c r="M220" s="26" t="n">
        <v>0</v>
      </c>
      <c r="N220" s="26" t="n">
        <v>0</v>
      </c>
      <c r="O220" s="26" t="n">
        <v>33</v>
      </c>
      <c r="P220" s="26" t="n">
        <v>-94</v>
      </c>
      <c r="Q220" s="26" t="n">
        <v>1513.6</v>
      </c>
      <c r="R220" s="26" t="n">
        <v>579.5</v>
      </c>
      <c r="S220" s="26" t="n">
        <v>0</v>
      </c>
      <c r="T220" s="26" t="n">
        <v>0</v>
      </c>
      <c r="U220" s="26" t="n">
        <v>0</v>
      </c>
    </row>
    <row r="221" customFormat="false" ht="15" hidden="false" customHeight="true" outlineLevel="0" collapsed="false">
      <c r="A221" s="8" t="s">
        <v>407</v>
      </c>
      <c r="B221" s="8" t="s">
        <v>168</v>
      </c>
      <c r="C221" s="8" t="s">
        <v>621</v>
      </c>
      <c r="D221" s="26" t="n">
        <v>0</v>
      </c>
      <c r="E221" s="26" t="n">
        <v>0</v>
      </c>
      <c r="F221" s="26" t="n">
        <v>138.3</v>
      </c>
      <c r="G221" s="26" t="n">
        <v>0</v>
      </c>
      <c r="H221" s="26" t="n">
        <v>0</v>
      </c>
      <c r="I221" s="26" t="n">
        <v>28.6</v>
      </c>
      <c r="J221" s="26" t="n">
        <v>0</v>
      </c>
      <c r="K221" s="26" t="n">
        <v>0</v>
      </c>
      <c r="L221" s="26" t="n">
        <v>0</v>
      </c>
      <c r="M221" s="26" t="n">
        <v>0</v>
      </c>
      <c r="N221" s="26" t="n">
        <v>0</v>
      </c>
      <c r="O221" s="26" t="n">
        <v>0</v>
      </c>
      <c r="P221" s="26" t="n">
        <v>0</v>
      </c>
      <c r="Q221" s="26" t="n">
        <v>28.6</v>
      </c>
      <c r="R221" s="26" t="n">
        <v>0</v>
      </c>
      <c r="S221" s="26" t="n">
        <v>0</v>
      </c>
      <c r="T221" s="26" t="n">
        <v>0</v>
      </c>
      <c r="U221" s="26" t="n">
        <v>0</v>
      </c>
    </row>
    <row r="222" customFormat="false" ht="15" hidden="false" customHeight="true" outlineLevel="0" collapsed="false">
      <c r="A222" s="8" t="s">
        <v>407</v>
      </c>
      <c r="B222" s="8" t="s">
        <v>203</v>
      </c>
      <c r="C222" s="8" t="s">
        <v>622</v>
      </c>
      <c r="D222" s="26" t="n">
        <v>0</v>
      </c>
      <c r="E222" s="26" t="n">
        <v>0</v>
      </c>
      <c r="F222" s="26" t="n">
        <v>414.5</v>
      </c>
      <c r="G222" s="26" t="n">
        <v>0</v>
      </c>
      <c r="H222" s="26" t="n">
        <v>0</v>
      </c>
      <c r="I222" s="26" t="n">
        <v>0</v>
      </c>
      <c r="J222" s="26" t="n">
        <v>0</v>
      </c>
      <c r="K222" s="26" t="n">
        <v>0</v>
      </c>
      <c r="L222" s="26" t="n">
        <v>0</v>
      </c>
      <c r="M222" s="26" t="n">
        <v>0</v>
      </c>
      <c r="N222" s="26" t="n">
        <v>0</v>
      </c>
      <c r="O222" s="26" t="n">
        <v>0</v>
      </c>
      <c r="P222" s="26" t="n">
        <v>0</v>
      </c>
      <c r="Q222" s="26" t="n">
        <v>0</v>
      </c>
      <c r="R222" s="26" t="n">
        <v>0</v>
      </c>
      <c r="S222" s="26" t="n">
        <v>0</v>
      </c>
      <c r="T222" s="26" t="n">
        <v>0</v>
      </c>
      <c r="U222" s="26" t="n">
        <v>0</v>
      </c>
    </row>
    <row r="223" customFormat="false" ht="15" hidden="false" customHeight="true" outlineLevel="0" collapsed="false">
      <c r="A223" s="8" t="s">
        <v>407</v>
      </c>
      <c r="B223" s="8" t="s">
        <v>203</v>
      </c>
      <c r="C223" s="8" t="s">
        <v>623</v>
      </c>
      <c r="D223" s="26" t="n">
        <v>0</v>
      </c>
      <c r="E223" s="26" t="n">
        <v>0</v>
      </c>
      <c r="F223" s="26" t="n">
        <v>111</v>
      </c>
      <c r="G223" s="26" t="n">
        <v>0</v>
      </c>
      <c r="H223" s="26" t="n">
        <v>96.2</v>
      </c>
      <c r="I223" s="26" t="n">
        <v>0</v>
      </c>
      <c r="J223" s="26" t="n">
        <v>0</v>
      </c>
      <c r="K223" s="26" t="n">
        <v>0</v>
      </c>
      <c r="L223" s="26" t="n">
        <v>0</v>
      </c>
      <c r="M223" s="26" t="n">
        <v>0</v>
      </c>
      <c r="N223" s="26" t="n">
        <v>0</v>
      </c>
      <c r="O223" s="26" t="n">
        <v>0</v>
      </c>
      <c r="P223" s="26" t="n">
        <v>0</v>
      </c>
      <c r="Q223" s="26" t="n">
        <v>0</v>
      </c>
      <c r="R223" s="26" t="n">
        <v>0</v>
      </c>
      <c r="S223" s="26" t="n">
        <v>0</v>
      </c>
      <c r="T223" s="26" t="n">
        <v>0</v>
      </c>
      <c r="U223" s="26" t="n">
        <v>0</v>
      </c>
    </row>
    <row r="224" customFormat="false" ht="15" hidden="false" customHeight="true" outlineLevel="0" collapsed="false">
      <c r="A224" s="8" t="s">
        <v>407</v>
      </c>
      <c r="B224" s="8" t="s">
        <v>203</v>
      </c>
      <c r="C224" s="8" t="s">
        <v>624</v>
      </c>
      <c r="D224" s="26" t="n">
        <v>0</v>
      </c>
      <c r="E224" s="26" t="n">
        <v>0</v>
      </c>
      <c r="F224" s="26" t="n">
        <v>651.4</v>
      </c>
      <c r="G224" s="26" t="n">
        <v>0</v>
      </c>
      <c r="H224" s="26" t="n">
        <v>0</v>
      </c>
      <c r="I224" s="26" t="n">
        <v>0</v>
      </c>
      <c r="J224" s="26" t="n">
        <v>0</v>
      </c>
      <c r="K224" s="26" t="n">
        <v>0</v>
      </c>
      <c r="L224" s="26" t="n">
        <v>0</v>
      </c>
      <c r="M224" s="26" t="n">
        <v>0</v>
      </c>
      <c r="N224" s="26" t="n">
        <v>0</v>
      </c>
      <c r="O224" s="26" t="n">
        <v>0</v>
      </c>
      <c r="P224" s="26" t="n">
        <v>0</v>
      </c>
      <c r="Q224" s="26" t="n">
        <v>0</v>
      </c>
      <c r="R224" s="26" t="n">
        <v>0</v>
      </c>
      <c r="S224" s="26" t="n">
        <v>0</v>
      </c>
      <c r="T224" s="26" t="n">
        <v>0</v>
      </c>
      <c r="U224" s="26" t="n">
        <v>0</v>
      </c>
    </row>
    <row r="225" customFormat="false" ht="15" hidden="false" customHeight="true" outlineLevel="0" collapsed="false">
      <c r="A225" s="8" t="s">
        <v>407</v>
      </c>
      <c r="B225" s="8" t="s">
        <v>203</v>
      </c>
      <c r="C225" s="8" t="s">
        <v>625</v>
      </c>
      <c r="D225" s="26" t="n">
        <v>0</v>
      </c>
      <c r="E225" s="26" t="n">
        <v>0</v>
      </c>
      <c r="F225" s="26" t="n">
        <v>488.6</v>
      </c>
      <c r="G225" s="26" t="n">
        <v>0</v>
      </c>
      <c r="H225" s="26" t="n">
        <v>0</v>
      </c>
      <c r="I225" s="26" t="n">
        <v>0</v>
      </c>
      <c r="J225" s="26" t="n">
        <v>0</v>
      </c>
      <c r="K225" s="26" t="n">
        <v>0</v>
      </c>
      <c r="L225" s="26" t="n">
        <v>0</v>
      </c>
      <c r="M225" s="26" t="n">
        <v>0</v>
      </c>
      <c r="N225" s="26" t="n">
        <v>0</v>
      </c>
      <c r="O225" s="26" t="n">
        <v>0</v>
      </c>
      <c r="P225" s="26" t="n">
        <v>0</v>
      </c>
      <c r="Q225" s="26" t="n">
        <v>0</v>
      </c>
      <c r="R225" s="26" t="n">
        <v>0</v>
      </c>
      <c r="S225" s="26" t="n">
        <v>0</v>
      </c>
      <c r="T225" s="26" t="n">
        <v>0</v>
      </c>
      <c r="U225" s="26" t="n">
        <v>0</v>
      </c>
    </row>
    <row r="226" customFormat="false" ht="15" hidden="false" customHeight="true" outlineLevel="0" collapsed="false">
      <c r="A226" s="8" t="s">
        <v>407</v>
      </c>
      <c r="B226" s="8" t="s">
        <v>313</v>
      </c>
      <c r="C226" s="8" t="s">
        <v>626</v>
      </c>
      <c r="D226" s="26" t="n">
        <v>0</v>
      </c>
      <c r="E226" s="26" t="n">
        <v>0</v>
      </c>
      <c r="F226" s="26" t="n">
        <v>241.7</v>
      </c>
      <c r="G226" s="26" t="n">
        <v>0</v>
      </c>
      <c r="H226" s="26" t="n">
        <v>0</v>
      </c>
      <c r="I226" s="26" t="n">
        <v>-71.3</v>
      </c>
      <c r="J226" s="26" t="n">
        <v>0</v>
      </c>
      <c r="K226" s="26" t="n">
        <v>0</v>
      </c>
      <c r="L226" s="26" t="n">
        <v>0</v>
      </c>
      <c r="M226" s="26" t="n">
        <v>0</v>
      </c>
      <c r="N226" s="26" t="n">
        <v>0</v>
      </c>
      <c r="O226" s="26" t="n">
        <v>0</v>
      </c>
      <c r="P226" s="26" t="n">
        <v>0</v>
      </c>
      <c r="Q226" s="26" t="n">
        <v>-71.3</v>
      </c>
      <c r="R226" s="26" t="n">
        <v>0</v>
      </c>
      <c r="S226" s="26" t="n">
        <v>0</v>
      </c>
      <c r="T226" s="26" t="n">
        <v>0</v>
      </c>
      <c r="U226" s="26" t="n">
        <v>0</v>
      </c>
    </row>
    <row r="227" customFormat="false" ht="15" hidden="false" customHeight="true" outlineLevel="0" collapsed="false">
      <c r="A227" s="8" t="s">
        <v>407</v>
      </c>
      <c r="B227" s="8" t="s">
        <v>313</v>
      </c>
      <c r="C227" s="8" t="s">
        <v>627</v>
      </c>
      <c r="D227" s="26" t="n">
        <v>0</v>
      </c>
      <c r="E227" s="26" t="n">
        <v>0</v>
      </c>
      <c r="F227" s="26" t="n">
        <v>160.6</v>
      </c>
      <c r="G227" s="26" t="n">
        <v>0</v>
      </c>
      <c r="H227" s="26" t="n">
        <v>0</v>
      </c>
      <c r="I227" s="26" t="n">
        <v>0</v>
      </c>
      <c r="J227" s="26" t="n">
        <v>0</v>
      </c>
      <c r="K227" s="26" t="n">
        <v>0</v>
      </c>
      <c r="L227" s="26" t="n">
        <v>0</v>
      </c>
      <c r="M227" s="26" t="n">
        <v>0</v>
      </c>
      <c r="N227" s="26" t="n">
        <v>0</v>
      </c>
      <c r="O227" s="26" t="n">
        <v>0</v>
      </c>
      <c r="P227" s="26" t="n">
        <v>0</v>
      </c>
      <c r="Q227" s="26" t="n">
        <v>0</v>
      </c>
      <c r="R227" s="26" t="n">
        <v>0</v>
      </c>
      <c r="S227" s="26" t="n">
        <v>0</v>
      </c>
      <c r="T227" s="26" t="n">
        <v>0</v>
      </c>
      <c r="U227" s="26" t="n">
        <v>0</v>
      </c>
    </row>
    <row r="228" customFormat="false" ht="15" hidden="false" customHeight="true" outlineLevel="0" collapsed="false">
      <c r="A228" s="8" t="s">
        <v>407</v>
      </c>
      <c r="B228" s="8" t="s">
        <v>122</v>
      </c>
      <c r="C228" s="8" t="s">
        <v>628</v>
      </c>
      <c r="D228" s="26" t="n">
        <v>0</v>
      </c>
      <c r="E228" s="26" t="n">
        <v>0</v>
      </c>
      <c r="F228" s="26" t="n">
        <v>701.8</v>
      </c>
      <c r="G228" s="26" t="n">
        <v>0</v>
      </c>
      <c r="H228" s="26" t="n">
        <v>0</v>
      </c>
      <c r="I228" s="26" t="n">
        <v>4837.4</v>
      </c>
      <c r="J228" s="26" t="n">
        <v>0</v>
      </c>
      <c r="K228" s="26" t="n">
        <v>141.2</v>
      </c>
      <c r="L228" s="26" t="n">
        <v>0</v>
      </c>
      <c r="M228" s="26" t="n">
        <v>0</v>
      </c>
      <c r="N228" s="26" t="n">
        <v>0</v>
      </c>
      <c r="O228" s="26" t="n">
        <v>0</v>
      </c>
      <c r="P228" s="26" t="n">
        <v>-988.1</v>
      </c>
      <c r="Q228" s="26" t="n">
        <v>2437.9</v>
      </c>
      <c r="R228" s="26" t="n">
        <v>3246.5</v>
      </c>
      <c r="S228" s="26" t="n">
        <v>0</v>
      </c>
      <c r="T228" s="26" t="n">
        <v>0</v>
      </c>
      <c r="U228" s="26" t="n">
        <v>0</v>
      </c>
    </row>
    <row r="229" customFormat="false" ht="15" hidden="false" customHeight="true" outlineLevel="0" collapsed="false">
      <c r="A229" s="8" t="s">
        <v>407</v>
      </c>
      <c r="B229" s="8" t="s">
        <v>122</v>
      </c>
      <c r="C229" s="8" t="s">
        <v>629</v>
      </c>
      <c r="D229" s="26" t="n">
        <v>0</v>
      </c>
      <c r="E229" s="26" t="n">
        <v>0</v>
      </c>
      <c r="F229" s="26" t="n">
        <v>3000.5</v>
      </c>
      <c r="G229" s="26" t="n">
        <v>0</v>
      </c>
      <c r="H229" s="26" t="n">
        <v>0</v>
      </c>
      <c r="I229" s="26" t="n">
        <v>13741.1</v>
      </c>
      <c r="J229" s="26" t="n">
        <v>0</v>
      </c>
      <c r="K229" s="26" t="n">
        <v>423.5</v>
      </c>
      <c r="L229" s="26" t="n">
        <v>0</v>
      </c>
      <c r="M229" s="26" t="n">
        <v>0</v>
      </c>
      <c r="N229" s="26" t="n">
        <v>0</v>
      </c>
      <c r="O229" s="26" t="n">
        <v>0</v>
      </c>
      <c r="P229" s="26" t="n">
        <v>-846.9</v>
      </c>
      <c r="Q229" s="26" t="n">
        <v>9083.1</v>
      </c>
      <c r="R229" s="26" t="n">
        <v>5081.4</v>
      </c>
      <c r="S229" s="26" t="n">
        <v>0</v>
      </c>
      <c r="T229" s="26" t="n">
        <v>0</v>
      </c>
      <c r="U229" s="26" t="n">
        <v>0</v>
      </c>
    </row>
    <row r="230" customFormat="false" ht="15" hidden="false" customHeight="true" outlineLevel="0" collapsed="false">
      <c r="A230" s="8" t="s">
        <v>407</v>
      </c>
      <c r="B230" s="8" t="s">
        <v>122</v>
      </c>
      <c r="C230" s="8" t="s">
        <v>630</v>
      </c>
      <c r="D230" s="26" t="n">
        <v>0</v>
      </c>
      <c r="E230" s="26" t="n">
        <v>0</v>
      </c>
      <c r="F230" s="26" t="n">
        <v>3563.6</v>
      </c>
      <c r="G230" s="26" t="n">
        <v>0</v>
      </c>
      <c r="H230" s="26" t="n">
        <v>0</v>
      </c>
      <c r="I230" s="26" t="n">
        <v>9451.5</v>
      </c>
      <c r="J230" s="26" t="n">
        <v>0</v>
      </c>
      <c r="K230" s="26" t="n">
        <v>282.3</v>
      </c>
      <c r="L230" s="26" t="n">
        <v>0</v>
      </c>
      <c r="M230" s="26" t="n">
        <v>0</v>
      </c>
      <c r="N230" s="26" t="n">
        <v>0</v>
      </c>
      <c r="O230" s="26" t="n">
        <v>0</v>
      </c>
      <c r="P230" s="26" t="n">
        <v>-1129.2</v>
      </c>
      <c r="Q230" s="26" t="n">
        <v>4934.7</v>
      </c>
      <c r="R230" s="26" t="n">
        <v>5363.7</v>
      </c>
      <c r="S230" s="26" t="n">
        <v>0</v>
      </c>
      <c r="T230" s="26" t="n">
        <v>0</v>
      </c>
      <c r="U230" s="26" t="n">
        <v>-218.7</v>
      </c>
    </row>
    <row r="231" customFormat="false" ht="15" hidden="false" customHeight="true" outlineLevel="0" collapsed="false">
      <c r="A231" s="8" t="s">
        <v>407</v>
      </c>
      <c r="B231" s="8" t="s">
        <v>122</v>
      </c>
      <c r="C231" s="8" t="s">
        <v>631</v>
      </c>
      <c r="D231" s="26" t="n">
        <v>0</v>
      </c>
      <c r="E231" s="26" t="n">
        <v>0</v>
      </c>
      <c r="F231" s="26" t="n">
        <v>2323.7</v>
      </c>
      <c r="G231" s="26" t="n">
        <v>0</v>
      </c>
      <c r="H231" s="26" t="n">
        <v>142.1</v>
      </c>
      <c r="I231" s="26" t="n">
        <v>7483</v>
      </c>
      <c r="J231" s="26" t="n">
        <v>0</v>
      </c>
      <c r="K231" s="26" t="n">
        <v>282.3</v>
      </c>
      <c r="L231" s="26" t="n">
        <v>-141.2</v>
      </c>
      <c r="M231" s="26" t="n">
        <v>0</v>
      </c>
      <c r="N231" s="26" t="n">
        <v>0</v>
      </c>
      <c r="O231" s="26" t="n">
        <v>0</v>
      </c>
      <c r="P231" s="26" t="n">
        <v>-1129.2</v>
      </c>
      <c r="Q231" s="26" t="n">
        <v>4377.7</v>
      </c>
      <c r="R231" s="26" t="n">
        <v>4093.4</v>
      </c>
      <c r="S231" s="26" t="n">
        <v>0</v>
      </c>
      <c r="T231" s="26" t="n">
        <v>0</v>
      </c>
      <c r="U231" s="26" t="n">
        <v>0</v>
      </c>
    </row>
    <row r="232" customFormat="false" ht="15" hidden="false" customHeight="true" outlineLevel="0" collapsed="false">
      <c r="A232" s="8" t="s">
        <v>407</v>
      </c>
      <c r="B232" s="8" t="s">
        <v>122</v>
      </c>
      <c r="C232" s="8" t="s">
        <v>632</v>
      </c>
      <c r="D232" s="26" t="n">
        <v>0</v>
      </c>
      <c r="E232" s="26" t="n">
        <v>0</v>
      </c>
      <c r="F232" s="26" t="n">
        <v>1366.5</v>
      </c>
      <c r="G232" s="26" t="n">
        <v>0</v>
      </c>
      <c r="H232" s="26" t="n">
        <v>0</v>
      </c>
      <c r="I232" s="26" t="n">
        <v>625.1</v>
      </c>
      <c r="J232" s="26" t="n">
        <v>0</v>
      </c>
      <c r="K232" s="26" t="n">
        <v>282.3</v>
      </c>
      <c r="L232" s="26" t="n">
        <v>0</v>
      </c>
      <c r="M232" s="26" t="n">
        <v>0</v>
      </c>
      <c r="N232" s="26" t="n">
        <v>0</v>
      </c>
      <c r="O232" s="26" t="n">
        <v>0</v>
      </c>
      <c r="P232" s="26" t="n">
        <v>-1512.3</v>
      </c>
      <c r="Q232" s="26" t="n">
        <v>-262.1</v>
      </c>
      <c r="R232" s="26" t="n">
        <v>2117.3</v>
      </c>
      <c r="S232" s="26" t="n">
        <v>0</v>
      </c>
      <c r="T232" s="26" t="n">
        <v>0</v>
      </c>
      <c r="U232" s="26" t="n">
        <v>0</v>
      </c>
    </row>
    <row r="233" customFormat="false" ht="15" hidden="false" customHeight="true" outlineLevel="0" collapsed="false">
      <c r="A233" s="8" t="s">
        <v>407</v>
      </c>
      <c r="B233" s="8" t="s">
        <v>124</v>
      </c>
      <c r="C233" s="8" t="s">
        <v>633</v>
      </c>
      <c r="D233" s="26" t="n">
        <v>0</v>
      </c>
      <c r="E233" s="26" t="n">
        <v>0</v>
      </c>
      <c r="F233" s="26" t="n">
        <v>1841.6</v>
      </c>
      <c r="G233" s="26" t="n">
        <v>0</v>
      </c>
      <c r="H233" s="26" t="n">
        <v>0</v>
      </c>
      <c r="I233" s="26" t="n">
        <v>655.3</v>
      </c>
      <c r="J233" s="26" t="n">
        <v>0</v>
      </c>
      <c r="K233" s="26" t="n">
        <v>0</v>
      </c>
      <c r="L233" s="26" t="n">
        <v>0</v>
      </c>
      <c r="M233" s="26" t="n">
        <v>0</v>
      </c>
      <c r="N233" s="26" t="n">
        <v>0</v>
      </c>
      <c r="O233" s="26" t="n">
        <v>0</v>
      </c>
      <c r="P233" s="26" t="n">
        <v>0</v>
      </c>
      <c r="Q233" s="26" t="n">
        <v>655.3</v>
      </c>
      <c r="R233" s="26" t="n">
        <v>0</v>
      </c>
      <c r="S233" s="26" t="n">
        <v>0</v>
      </c>
      <c r="T233" s="26" t="n">
        <v>0</v>
      </c>
      <c r="U233" s="26" t="n">
        <v>0</v>
      </c>
    </row>
    <row r="234" customFormat="false" ht="15" hidden="false" customHeight="true" outlineLevel="0" collapsed="false">
      <c r="A234" s="8" t="s">
        <v>407</v>
      </c>
      <c r="B234" s="8" t="s">
        <v>124</v>
      </c>
      <c r="C234" s="8" t="s">
        <v>634</v>
      </c>
      <c r="D234" s="26" t="n">
        <v>0</v>
      </c>
      <c r="E234" s="26" t="n">
        <v>0</v>
      </c>
      <c r="F234" s="26" t="n">
        <v>5426.3</v>
      </c>
      <c r="G234" s="26" t="n">
        <v>0</v>
      </c>
      <c r="H234" s="26" t="n">
        <v>0</v>
      </c>
      <c r="I234" s="26" t="n">
        <v>1444.8</v>
      </c>
      <c r="J234" s="26" t="n">
        <v>0</v>
      </c>
      <c r="K234" s="26" t="n">
        <v>0</v>
      </c>
      <c r="L234" s="26" t="n">
        <v>0</v>
      </c>
      <c r="M234" s="26" t="n">
        <v>0</v>
      </c>
      <c r="N234" s="26" t="n">
        <v>0</v>
      </c>
      <c r="O234" s="26" t="n">
        <v>0</v>
      </c>
      <c r="P234" s="26" t="n">
        <v>0</v>
      </c>
      <c r="Q234" s="26" t="n">
        <v>983</v>
      </c>
      <c r="R234" s="26" t="n">
        <v>461.8</v>
      </c>
      <c r="S234" s="26" t="n">
        <v>0</v>
      </c>
      <c r="T234" s="26" t="n">
        <v>0</v>
      </c>
      <c r="U234" s="26" t="n">
        <v>0</v>
      </c>
    </row>
    <row r="235" customFormat="false" ht="15" hidden="false" customHeight="true" outlineLevel="0" collapsed="false">
      <c r="A235" s="8" t="s">
        <v>407</v>
      </c>
      <c r="B235" s="8" t="s">
        <v>124</v>
      </c>
      <c r="C235" s="8" t="s">
        <v>635</v>
      </c>
      <c r="D235" s="26" t="n">
        <v>0</v>
      </c>
      <c r="E235" s="26" t="n">
        <v>0</v>
      </c>
      <c r="F235" s="26" t="n">
        <v>6039.6</v>
      </c>
      <c r="G235" s="26" t="n">
        <v>0</v>
      </c>
      <c r="H235" s="26" t="n">
        <v>0</v>
      </c>
      <c r="I235" s="26" t="n">
        <v>2520.6</v>
      </c>
      <c r="J235" s="26" t="n">
        <v>0</v>
      </c>
      <c r="K235" s="26" t="n">
        <v>0</v>
      </c>
      <c r="L235" s="26" t="n">
        <v>0</v>
      </c>
      <c r="M235" s="26" t="n">
        <v>0</v>
      </c>
      <c r="N235" s="26" t="n">
        <v>0</v>
      </c>
      <c r="O235" s="26" t="n">
        <v>0</v>
      </c>
      <c r="P235" s="26" t="n">
        <v>-176.4</v>
      </c>
      <c r="Q235" s="26" t="n">
        <v>1638.4</v>
      </c>
      <c r="R235" s="26" t="n">
        <v>1058.6</v>
      </c>
      <c r="S235" s="26" t="n">
        <v>0</v>
      </c>
      <c r="T235" s="26" t="n">
        <v>0</v>
      </c>
      <c r="U235" s="26" t="n">
        <v>0</v>
      </c>
    </row>
    <row r="236" customFormat="false" ht="15" hidden="false" customHeight="true" outlineLevel="0" collapsed="false">
      <c r="A236" s="8" t="s">
        <v>407</v>
      </c>
      <c r="B236" s="8" t="s">
        <v>124</v>
      </c>
      <c r="C236" s="8" t="s">
        <v>636</v>
      </c>
      <c r="D236" s="26" t="n">
        <v>0</v>
      </c>
      <c r="E236" s="26" t="n">
        <v>0</v>
      </c>
      <c r="F236" s="26" t="n">
        <v>4426</v>
      </c>
      <c r="G236" s="26" t="n">
        <v>0</v>
      </c>
      <c r="H236" s="26" t="n">
        <v>0</v>
      </c>
      <c r="I236" s="26" t="n">
        <v>327.7</v>
      </c>
      <c r="J236" s="26" t="n">
        <v>0</v>
      </c>
      <c r="K236" s="26" t="n">
        <v>0</v>
      </c>
      <c r="L236" s="26" t="n">
        <v>0</v>
      </c>
      <c r="M236" s="26" t="n">
        <v>0</v>
      </c>
      <c r="N236" s="26" t="n">
        <v>0</v>
      </c>
      <c r="O236" s="26" t="n">
        <v>0</v>
      </c>
      <c r="P236" s="26" t="n">
        <v>0</v>
      </c>
      <c r="Q236" s="26" t="n">
        <v>327.7</v>
      </c>
      <c r="R236" s="26" t="n">
        <v>0</v>
      </c>
      <c r="S236" s="26" t="n">
        <v>0</v>
      </c>
      <c r="T236" s="26" t="n">
        <v>0</v>
      </c>
      <c r="U236" s="26" t="n">
        <v>0</v>
      </c>
    </row>
    <row r="237" customFormat="false" ht="15" hidden="false" customHeight="true" outlineLevel="0" collapsed="false">
      <c r="A237" s="8" t="s">
        <v>407</v>
      </c>
      <c r="B237" s="8" t="s">
        <v>91</v>
      </c>
      <c r="C237" s="8" t="s">
        <v>637</v>
      </c>
      <c r="D237" s="26" t="n">
        <v>0</v>
      </c>
      <c r="E237" s="26" t="n">
        <v>0</v>
      </c>
      <c r="F237" s="26" t="n">
        <v>10611.6</v>
      </c>
      <c r="G237" s="26" t="n">
        <v>0</v>
      </c>
      <c r="H237" s="26" t="n">
        <v>0</v>
      </c>
      <c r="I237" s="26" t="n">
        <v>51927.3</v>
      </c>
      <c r="J237" s="26" t="n">
        <v>0</v>
      </c>
      <c r="K237" s="26" t="n">
        <v>472.1</v>
      </c>
      <c r="L237" s="26" t="n">
        <v>0</v>
      </c>
      <c r="M237" s="26" t="n">
        <v>0</v>
      </c>
      <c r="N237" s="26" t="n">
        <v>113.4</v>
      </c>
      <c r="O237" s="26" t="n">
        <v>196.6</v>
      </c>
      <c r="P237" s="26" t="n">
        <v>-524.5</v>
      </c>
      <c r="Q237" s="26" t="n">
        <v>35030.1</v>
      </c>
      <c r="R237" s="26" t="n">
        <v>16639.7</v>
      </c>
      <c r="S237" s="26" t="n">
        <v>105.8</v>
      </c>
      <c r="T237" s="26" t="n">
        <v>0</v>
      </c>
      <c r="U237" s="26" t="n">
        <v>0</v>
      </c>
    </row>
    <row r="238" customFormat="false" ht="15" hidden="false" customHeight="true" outlineLevel="0" collapsed="false">
      <c r="A238" s="8" t="s">
        <v>407</v>
      </c>
      <c r="B238" s="8" t="s">
        <v>91</v>
      </c>
      <c r="C238" s="8" t="s">
        <v>638</v>
      </c>
      <c r="D238" s="26" t="n">
        <v>0</v>
      </c>
      <c r="E238" s="26" t="n">
        <v>0</v>
      </c>
      <c r="F238" s="26" t="n">
        <v>10095.8</v>
      </c>
      <c r="G238" s="26" t="n">
        <v>0</v>
      </c>
      <c r="H238" s="26" t="n">
        <v>49.1</v>
      </c>
      <c r="I238" s="26" t="n">
        <v>41895.7</v>
      </c>
      <c r="J238" s="26" t="n">
        <v>0</v>
      </c>
      <c r="K238" s="26" t="n">
        <v>209.8</v>
      </c>
      <c r="L238" s="26" t="n">
        <v>0</v>
      </c>
      <c r="M238" s="26" t="n">
        <v>170</v>
      </c>
      <c r="N238" s="26" t="n">
        <v>56.7</v>
      </c>
      <c r="O238" s="26" t="n">
        <v>0</v>
      </c>
      <c r="P238" s="26" t="n">
        <v>-301.5</v>
      </c>
      <c r="Q238" s="26" t="n">
        <v>31572.4</v>
      </c>
      <c r="R238" s="26" t="n">
        <v>10188.4</v>
      </c>
      <c r="S238" s="26" t="n">
        <v>52.9</v>
      </c>
      <c r="T238" s="26" t="n">
        <v>0</v>
      </c>
      <c r="U238" s="26" t="n">
        <v>0</v>
      </c>
    </row>
    <row r="239" customFormat="false" ht="15" hidden="false" customHeight="true" outlineLevel="0" collapsed="false">
      <c r="A239" s="8" t="s">
        <v>407</v>
      </c>
      <c r="B239" s="8" t="s">
        <v>91</v>
      </c>
      <c r="C239" s="8" t="s">
        <v>639</v>
      </c>
      <c r="D239" s="26" t="n">
        <v>0</v>
      </c>
      <c r="E239" s="26" t="n">
        <v>0</v>
      </c>
      <c r="F239" s="26" t="n">
        <v>4312.8</v>
      </c>
      <c r="G239" s="26" t="n">
        <v>0</v>
      </c>
      <c r="H239" s="26" t="n">
        <v>0</v>
      </c>
      <c r="I239" s="26" t="n">
        <v>22254.1</v>
      </c>
      <c r="J239" s="26" t="n">
        <v>0</v>
      </c>
      <c r="K239" s="26" t="n">
        <v>314.7</v>
      </c>
      <c r="L239" s="26" t="n">
        <v>0</v>
      </c>
      <c r="M239" s="26" t="n">
        <v>0</v>
      </c>
      <c r="N239" s="26" t="n">
        <v>0</v>
      </c>
      <c r="O239" s="26" t="n">
        <v>0</v>
      </c>
      <c r="P239" s="26" t="n">
        <v>-445.8</v>
      </c>
      <c r="Q239" s="26" t="n">
        <v>16012.6</v>
      </c>
      <c r="R239" s="26" t="n">
        <v>6372.6</v>
      </c>
      <c r="S239" s="26" t="n">
        <v>0</v>
      </c>
      <c r="T239" s="26" t="n">
        <v>0</v>
      </c>
      <c r="U239" s="26" t="n">
        <v>0</v>
      </c>
    </row>
    <row r="240" customFormat="false" ht="15" hidden="false" customHeight="true" outlineLevel="0" collapsed="false">
      <c r="A240" s="8" t="s">
        <v>407</v>
      </c>
      <c r="B240" s="8" t="s">
        <v>91</v>
      </c>
      <c r="C240" s="8" t="s">
        <v>640</v>
      </c>
      <c r="D240" s="26" t="n">
        <v>0</v>
      </c>
      <c r="E240" s="26" t="n">
        <v>0</v>
      </c>
      <c r="F240" s="26" t="n">
        <v>4916.6</v>
      </c>
      <c r="G240" s="26" t="n">
        <v>0</v>
      </c>
      <c r="H240" s="26" t="n">
        <v>0</v>
      </c>
      <c r="I240" s="26" t="n">
        <v>26483.7</v>
      </c>
      <c r="J240" s="26" t="n">
        <v>0</v>
      </c>
      <c r="K240" s="26" t="n">
        <v>314.7</v>
      </c>
      <c r="L240" s="26" t="n">
        <v>0</v>
      </c>
      <c r="M240" s="26" t="n">
        <v>170</v>
      </c>
      <c r="N240" s="26" t="n">
        <v>56.2</v>
      </c>
      <c r="O240" s="26" t="n">
        <v>0</v>
      </c>
      <c r="P240" s="26" t="n">
        <v>-419.6</v>
      </c>
      <c r="Q240" s="26" t="n">
        <v>17970.4</v>
      </c>
      <c r="R240" s="26" t="n">
        <v>8392</v>
      </c>
      <c r="S240" s="26" t="n">
        <v>0</v>
      </c>
      <c r="T240" s="26" t="n">
        <v>0</v>
      </c>
      <c r="U240" s="26" t="n">
        <v>-75.6</v>
      </c>
    </row>
    <row r="241" customFormat="false" ht="15" hidden="false" customHeight="true" outlineLevel="0" collapsed="false">
      <c r="A241" s="8" t="s">
        <v>407</v>
      </c>
      <c r="B241" s="8" t="s">
        <v>136</v>
      </c>
      <c r="C241" s="8" t="s">
        <v>641</v>
      </c>
      <c r="D241" s="26" t="n">
        <v>0</v>
      </c>
      <c r="E241" s="26" t="n">
        <v>0</v>
      </c>
      <c r="F241" s="26" t="n">
        <v>3135.3</v>
      </c>
      <c r="G241" s="26" t="n">
        <v>0</v>
      </c>
      <c r="H241" s="26" t="n">
        <v>0</v>
      </c>
      <c r="I241" s="26" t="n">
        <v>12873.6</v>
      </c>
      <c r="J241" s="26" t="n">
        <v>0</v>
      </c>
      <c r="K241" s="26" t="n">
        <v>222.1</v>
      </c>
      <c r="L241" s="26" t="n">
        <v>0</v>
      </c>
      <c r="M241" s="26" t="n">
        <v>0</v>
      </c>
      <c r="N241" s="26" t="n">
        <v>0</v>
      </c>
      <c r="O241" s="26" t="n">
        <v>178.4</v>
      </c>
      <c r="P241" s="26" t="n">
        <v>-249.8</v>
      </c>
      <c r="Q241" s="26" t="n">
        <v>10557.7</v>
      </c>
      <c r="R241" s="26" t="n">
        <v>2165.3</v>
      </c>
      <c r="S241" s="26" t="n">
        <v>0</v>
      </c>
      <c r="T241" s="26" t="n">
        <v>0</v>
      </c>
      <c r="U241" s="26" t="n">
        <v>0</v>
      </c>
    </row>
    <row r="242" customFormat="false" ht="15" hidden="false" customHeight="true" outlineLevel="0" collapsed="false">
      <c r="A242" s="8" t="s">
        <v>407</v>
      </c>
      <c r="B242" s="8" t="s">
        <v>136</v>
      </c>
      <c r="C242" s="8" t="s">
        <v>642</v>
      </c>
      <c r="D242" s="26" t="n">
        <v>0</v>
      </c>
      <c r="E242" s="26" t="n">
        <v>0</v>
      </c>
      <c r="F242" s="26" t="n">
        <v>4532.8</v>
      </c>
      <c r="G242" s="26" t="n">
        <v>0</v>
      </c>
      <c r="H242" s="26" t="n">
        <v>25.8</v>
      </c>
      <c r="I242" s="26" t="n">
        <v>18394.3</v>
      </c>
      <c r="J242" s="26" t="n">
        <v>0</v>
      </c>
      <c r="K242" s="26" t="n">
        <v>138.8</v>
      </c>
      <c r="L242" s="26" t="n">
        <v>0</v>
      </c>
      <c r="M242" s="26" t="n">
        <v>0</v>
      </c>
      <c r="N242" s="26" t="n">
        <v>92.7</v>
      </c>
      <c r="O242" s="26" t="n">
        <v>59.5</v>
      </c>
      <c r="P242" s="26" t="n">
        <v>-194.3</v>
      </c>
      <c r="Q242" s="26" t="n">
        <v>14270.6</v>
      </c>
      <c r="R242" s="26" t="n">
        <v>4027.2</v>
      </c>
      <c r="S242" s="26" t="n">
        <v>0</v>
      </c>
      <c r="T242" s="26" t="n">
        <v>0</v>
      </c>
      <c r="U242" s="26" t="n">
        <v>0</v>
      </c>
    </row>
    <row r="243" customFormat="false" ht="15" hidden="false" customHeight="true" outlineLevel="0" collapsed="false">
      <c r="A243" s="8" t="s">
        <v>407</v>
      </c>
      <c r="B243" s="8" t="s">
        <v>136</v>
      </c>
      <c r="C243" s="8" t="s">
        <v>643</v>
      </c>
      <c r="D243" s="26" t="n">
        <v>0</v>
      </c>
      <c r="E243" s="26" t="n">
        <v>0</v>
      </c>
      <c r="F243" s="26" t="n">
        <v>3849</v>
      </c>
      <c r="G243" s="26" t="n">
        <v>0</v>
      </c>
      <c r="H243" s="26" t="n">
        <v>0</v>
      </c>
      <c r="I243" s="26" t="n">
        <v>12180.3</v>
      </c>
      <c r="J243" s="26" t="n">
        <v>0</v>
      </c>
      <c r="K243" s="26" t="n">
        <v>138.8</v>
      </c>
      <c r="L243" s="26" t="n">
        <v>0</v>
      </c>
      <c r="M243" s="26" t="n">
        <v>0</v>
      </c>
      <c r="N243" s="26" t="n">
        <v>123.6</v>
      </c>
      <c r="O243" s="26" t="n">
        <v>0</v>
      </c>
      <c r="P243" s="26" t="n">
        <v>-138.8</v>
      </c>
      <c r="Q243" s="26" t="n">
        <v>10058</v>
      </c>
      <c r="R243" s="26" t="n">
        <v>1998.7</v>
      </c>
      <c r="S243" s="26" t="n">
        <v>0</v>
      </c>
      <c r="T243" s="26" t="n">
        <v>0</v>
      </c>
      <c r="U243" s="26" t="n">
        <v>0</v>
      </c>
    </row>
    <row r="244" customFormat="false" ht="15" hidden="false" customHeight="true" outlineLevel="0" collapsed="false">
      <c r="A244" s="8" t="s">
        <v>407</v>
      </c>
      <c r="B244" s="8" t="s">
        <v>136</v>
      </c>
      <c r="C244" s="8" t="s">
        <v>644</v>
      </c>
      <c r="D244" s="26" t="n">
        <v>0</v>
      </c>
      <c r="E244" s="26" t="n">
        <v>0</v>
      </c>
      <c r="F244" s="26" t="n">
        <v>1440.1</v>
      </c>
      <c r="G244" s="26" t="n">
        <v>0</v>
      </c>
      <c r="H244" s="26" t="n">
        <v>0</v>
      </c>
      <c r="I244" s="26" t="n">
        <v>6227.1</v>
      </c>
      <c r="J244" s="26" t="n">
        <v>0</v>
      </c>
      <c r="K244" s="26" t="n">
        <v>83.3</v>
      </c>
      <c r="L244" s="26" t="n">
        <v>0</v>
      </c>
      <c r="M244" s="26" t="n">
        <v>0</v>
      </c>
      <c r="N244" s="26" t="n">
        <v>0</v>
      </c>
      <c r="O244" s="26" t="n">
        <v>89.2</v>
      </c>
      <c r="P244" s="26" t="n">
        <v>-337.1</v>
      </c>
      <c r="Q244" s="26" t="n">
        <v>5281.3</v>
      </c>
      <c r="R244" s="26" t="n">
        <v>1110.4</v>
      </c>
      <c r="S244" s="26" t="n">
        <v>0</v>
      </c>
      <c r="T244" s="26" t="n">
        <v>0</v>
      </c>
      <c r="U244" s="26" t="n">
        <v>0</v>
      </c>
    </row>
    <row r="245" customFormat="false" ht="15" hidden="false" customHeight="true" outlineLevel="0" collapsed="false">
      <c r="A245" s="8" t="s">
        <v>407</v>
      </c>
      <c r="B245" s="8" t="s">
        <v>136</v>
      </c>
      <c r="C245" s="8" t="s">
        <v>645</v>
      </c>
      <c r="D245" s="26" t="n">
        <v>0</v>
      </c>
      <c r="E245" s="26" t="n">
        <v>0</v>
      </c>
      <c r="F245" s="26" t="n">
        <v>753.5</v>
      </c>
      <c r="G245" s="26" t="n">
        <v>0</v>
      </c>
      <c r="H245" s="26" t="n">
        <v>0</v>
      </c>
      <c r="I245" s="26" t="n">
        <v>953.5</v>
      </c>
      <c r="J245" s="26" t="n">
        <v>0</v>
      </c>
      <c r="K245" s="26" t="n">
        <v>0</v>
      </c>
      <c r="L245" s="26" t="n">
        <v>0</v>
      </c>
      <c r="M245" s="26" t="n">
        <v>0</v>
      </c>
      <c r="N245" s="26" t="n">
        <v>0</v>
      </c>
      <c r="O245" s="26" t="n">
        <v>0</v>
      </c>
      <c r="P245" s="26" t="n">
        <v>0</v>
      </c>
      <c r="Q245" s="26" t="n">
        <v>953.5</v>
      </c>
      <c r="R245" s="26" t="n">
        <v>0</v>
      </c>
      <c r="S245" s="26" t="n">
        <v>0</v>
      </c>
      <c r="T245" s="26" t="n">
        <v>0</v>
      </c>
      <c r="U245" s="26" t="n">
        <v>0</v>
      </c>
    </row>
    <row r="246" customFormat="false" ht="15" hidden="false" customHeight="true" outlineLevel="0" collapsed="false">
      <c r="A246" s="8" t="s">
        <v>407</v>
      </c>
      <c r="B246" s="8" t="s">
        <v>136</v>
      </c>
      <c r="C246" s="8" t="s">
        <v>646</v>
      </c>
      <c r="D246" s="26" t="n">
        <v>0</v>
      </c>
      <c r="E246" s="26" t="n">
        <v>0</v>
      </c>
      <c r="F246" s="26" t="n">
        <v>61.8</v>
      </c>
      <c r="G246" s="26" t="n">
        <v>0</v>
      </c>
      <c r="H246" s="26" t="n">
        <v>0</v>
      </c>
      <c r="I246" s="26" t="n">
        <v>128.9</v>
      </c>
      <c r="J246" s="26" t="n">
        <v>0</v>
      </c>
      <c r="K246" s="26" t="n">
        <v>0</v>
      </c>
      <c r="L246" s="26" t="n">
        <v>0</v>
      </c>
      <c r="M246" s="26" t="n">
        <v>0</v>
      </c>
      <c r="N246" s="26" t="n">
        <v>0</v>
      </c>
      <c r="O246" s="26" t="n">
        <v>0</v>
      </c>
      <c r="P246" s="26" t="n">
        <v>0</v>
      </c>
      <c r="Q246" s="26" t="n">
        <v>128.9</v>
      </c>
      <c r="R246" s="26" t="n">
        <v>0</v>
      </c>
      <c r="S246" s="26" t="n">
        <v>0</v>
      </c>
      <c r="T246" s="26" t="n">
        <v>0</v>
      </c>
      <c r="U246" s="26" t="n">
        <v>0</v>
      </c>
    </row>
    <row r="247" customFormat="false" ht="15" hidden="false" customHeight="true" outlineLevel="0" collapsed="false">
      <c r="A247" s="8" t="s">
        <v>407</v>
      </c>
      <c r="B247" s="8" t="s">
        <v>143</v>
      </c>
      <c r="C247" s="8" t="s">
        <v>647</v>
      </c>
      <c r="D247" s="26" t="n">
        <v>0</v>
      </c>
      <c r="E247" s="26" t="n">
        <v>0</v>
      </c>
      <c r="F247" s="26" t="n">
        <v>4997.1</v>
      </c>
      <c r="G247" s="26" t="n">
        <v>0</v>
      </c>
      <c r="H247" s="26" t="n">
        <v>0</v>
      </c>
      <c r="I247" s="26" t="n">
        <v>11157.6</v>
      </c>
      <c r="J247" s="26" t="n">
        <v>0</v>
      </c>
      <c r="K247" s="26" t="n">
        <v>43.8</v>
      </c>
      <c r="L247" s="26" t="n">
        <v>-21.9</v>
      </c>
      <c r="M247" s="26" t="n">
        <v>0</v>
      </c>
      <c r="N247" s="26" t="n">
        <v>140</v>
      </c>
      <c r="O247" s="26" t="n">
        <v>65.6</v>
      </c>
      <c r="P247" s="26" t="n">
        <v>-37.4</v>
      </c>
      <c r="Q247" s="26" t="n">
        <v>8834.2</v>
      </c>
      <c r="R247" s="26" t="n">
        <v>2133.3</v>
      </c>
      <c r="S247" s="26" t="n">
        <v>0</v>
      </c>
      <c r="T247" s="26" t="n">
        <v>0</v>
      </c>
      <c r="U247" s="26" t="n">
        <v>0</v>
      </c>
    </row>
    <row r="248" customFormat="false" ht="15" hidden="false" customHeight="true" outlineLevel="0" collapsed="false">
      <c r="A248" s="8" t="s">
        <v>407</v>
      </c>
      <c r="B248" s="8" t="s">
        <v>227</v>
      </c>
      <c r="C248" s="8" t="s">
        <v>648</v>
      </c>
      <c r="D248" s="26" t="n">
        <v>0</v>
      </c>
      <c r="E248" s="26" t="n">
        <v>0</v>
      </c>
      <c r="F248" s="26" t="n">
        <v>1383.8</v>
      </c>
      <c r="G248" s="26" t="n">
        <v>0</v>
      </c>
      <c r="H248" s="26" t="n">
        <v>0</v>
      </c>
      <c r="I248" s="26" t="n">
        <v>4648.5</v>
      </c>
      <c r="J248" s="26" t="n">
        <v>0</v>
      </c>
      <c r="K248" s="26" t="n">
        <v>293.5</v>
      </c>
      <c r="L248" s="26" t="n">
        <v>0</v>
      </c>
      <c r="M248" s="26" t="n">
        <v>0</v>
      </c>
      <c r="N248" s="26" t="n">
        <v>0</v>
      </c>
      <c r="O248" s="26" t="n">
        <v>0</v>
      </c>
      <c r="P248" s="26" t="n">
        <v>0</v>
      </c>
      <c r="Q248" s="26" t="n">
        <v>1686.8</v>
      </c>
      <c r="R248" s="26" t="n">
        <v>2668.2</v>
      </c>
      <c r="S248" s="26" t="n">
        <v>0</v>
      </c>
      <c r="T248" s="26" t="n">
        <v>0</v>
      </c>
      <c r="U248" s="26" t="n">
        <v>0</v>
      </c>
    </row>
    <row r="249" customFormat="false" ht="15" hidden="false" customHeight="true" outlineLevel="0" collapsed="false">
      <c r="A249" s="8" t="s">
        <v>407</v>
      </c>
      <c r="B249" s="8" t="s">
        <v>111</v>
      </c>
      <c r="C249" s="8" t="s">
        <v>649</v>
      </c>
      <c r="D249" s="26" t="n">
        <v>0</v>
      </c>
      <c r="E249" s="26" t="n">
        <v>0</v>
      </c>
      <c r="F249" s="26" t="n">
        <v>510.8</v>
      </c>
      <c r="G249" s="26" t="n">
        <v>0</v>
      </c>
      <c r="H249" s="26" t="n">
        <v>0</v>
      </c>
      <c r="I249" s="26" t="n">
        <v>-5802.9</v>
      </c>
      <c r="J249" s="26" t="n">
        <v>0</v>
      </c>
      <c r="K249" s="26" t="n">
        <v>0</v>
      </c>
      <c r="L249" s="26" t="n">
        <v>0</v>
      </c>
      <c r="M249" s="26" t="n">
        <v>0</v>
      </c>
      <c r="N249" s="26" t="n">
        <v>-92.1</v>
      </c>
      <c r="O249" s="26" t="n">
        <v>0</v>
      </c>
      <c r="P249" s="26" t="n">
        <v>-70</v>
      </c>
      <c r="Q249" s="26" t="n">
        <v>-5920.6</v>
      </c>
      <c r="R249" s="26" t="n">
        <v>279.8</v>
      </c>
      <c r="S249" s="26" t="n">
        <v>0</v>
      </c>
      <c r="T249" s="26" t="n">
        <v>0</v>
      </c>
      <c r="U249" s="26" t="n">
        <v>0</v>
      </c>
    </row>
    <row r="250" customFormat="false" ht="15" hidden="false" customHeight="true" outlineLevel="0" collapsed="false">
      <c r="A250" s="8" t="s">
        <v>407</v>
      </c>
      <c r="B250" s="8" t="s">
        <v>111</v>
      </c>
      <c r="C250" s="8" t="s">
        <v>650</v>
      </c>
      <c r="D250" s="26" t="n">
        <v>0</v>
      </c>
      <c r="E250" s="26" t="n">
        <v>0</v>
      </c>
      <c r="F250" s="26" t="n">
        <v>542.6</v>
      </c>
      <c r="G250" s="26" t="n">
        <v>0</v>
      </c>
      <c r="H250" s="26" t="n">
        <v>0</v>
      </c>
      <c r="I250" s="26" t="n">
        <v>1058.7</v>
      </c>
      <c r="J250" s="26" t="n">
        <v>0</v>
      </c>
      <c r="K250" s="26" t="n">
        <v>0</v>
      </c>
      <c r="L250" s="26" t="n">
        <v>-70</v>
      </c>
      <c r="M250" s="26" t="n">
        <v>0</v>
      </c>
      <c r="N250" s="26" t="n">
        <v>0</v>
      </c>
      <c r="O250" s="26" t="n">
        <v>0</v>
      </c>
      <c r="P250" s="26" t="n">
        <v>0</v>
      </c>
      <c r="Q250" s="26" t="n">
        <v>764</v>
      </c>
      <c r="R250" s="26" t="n">
        <v>364.7</v>
      </c>
      <c r="S250" s="26" t="n">
        <v>0</v>
      </c>
      <c r="T250" s="26" t="n">
        <v>0</v>
      </c>
      <c r="U250" s="26" t="n">
        <v>0</v>
      </c>
    </row>
    <row r="251" customFormat="false" ht="15" hidden="false" customHeight="true" outlineLevel="0" collapsed="false">
      <c r="A251" s="8" t="s">
        <v>407</v>
      </c>
      <c r="B251" s="8" t="s">
        <v>111</v>
      </c>
      <c r="C251" s="8" t="s">
        <v>651</v>
      </c>
      <c r="D251" s="26" t="n">
        <v>0</v>
      </c>
      <c r="E251" s="26" t="n">
        <v>0</v>
      </c>
      <c r="F251" s="26" t="n">
        <v>1864</v>
      </c>
      <c r="G251" s="26" t="n">
        <v>0</v>
      </c>
      <c r="H251" s="26" t="n">
        <v>0</v>
      </c>
      <c r="I251" s="26" t="n">
        <v>3536.7</v>
      </c>
      <c r="J251" s="26" t="n">
        <v>0</v>
      </c>
      <c r="K251" s="26" t="n">
        <v>0</v>
      </c>
      <c r="L251" s="26" t="n">
        <v>-70</v>
      </c>
      <c r="M251" s="26" t="n">
        <v>0</v>
      </c>
      <c r="N251" s="26" t="n">
        <v>-122.9</v>
      </c>
      <c r="O251" s="26" t="n">
        <v>0</v>
      </c>
      <c r="P251" s="26" t="n">
        <v>0</v>
      </c>
      <c r="Q251" s="26" t="n">
        <v>2750.2</v>
      </c>
      <c r="R251" s="26" t="n">
        <v>979.3</v>
      </c>
      <c r="S251" s="26" t="n">
        <v>0</v>
      </c>
      <c r="T251" s="26" t="n">
        <v>0</v>
      </c>
      <c r="U251" s="26" t="n">
        <v>-124.9</v>
      </c>
    </row>
    <row r="252" customFormat="false" ht="15" hidden="false" customHeight="true" outlineLevel="0" collapsed="false">
      <c r="A252" s="8" t="s">
        <v>407</v>
      </c>
      <c r="B252" s="8" t="s">
        <v>111</v>
      </c>
      <c r="C252" s="8" t="s">
        <v>652</v>
      </c>
      <c r="D252" s="26" t="n">
        <v>0</v>
      </c>
      <c r="E252" s="26" t="n">
        <v>0</v>
      </c>
      <c r="F252" s="26" t="n">
        <v>3080.1</v>
      </c>
      <c r="G252" s="26" t="n">
        <v>0</v>
      </c>
      <c r="H252" s="26" t="n">
        <v>0</v>
      </c>
      <c r="I252" s="26" t="n">
        <v>13054.4</v>
      </c>
      <c r="J252" s="26" t="n">
        <v>0</v>
      </c>
      <c r="K252" s="26" t="n">
        <v>0</v>
      </c>
      <c r="L252" s="26" t="n">
        <v>0</v>
      </c>
      <c r="M252" s="26" t="n">
        <v>0</v>
      </c>
      <c r="N252" s="26" t="n">
        <v>0</v>
      </c>
      <c r="O252" s="26" t="n">
        <v>0</v>
      </c>
      <c r="P252" s="26" t="n">
        <v>0</v>
      </c>
      <c r="Q252" s="26" t="n">
        <v>11235.7</v>
      </c>
      <c r="R252" s="26" t="n">
        <v>1818.7</v>
      </c>
      <c r="S252" s="26" t="n">
        <v>0</v>
      </c>
      <c r="T252" s="26" t="n">
        <v>0</v>
      </c>
      <c r="U252" s="26" t="n">
        <v>0</v>
      </c>
    </row>
    <row r="253" customFormat="false" ht="15" hidden="false" customHeight="true" outlineLevel="0" collapsed="false">
      <c r="A253" s="8" t="s">
        <v>407</v>
      </c>
      <c r="B253" s="8" t="s">
        <v>111</v>
      </c>
      <c r="C253" s="8" t="s">
        <v>653</v>
      </c>
      <c r="D253" s="26" t="n">
        <v>0</v>
      </c>
      <c r="E253" s="26" t="n">
        <v>0</v>
      </c>
      <c r="F253" s="26" t="n">
        <v>4744.9</v>
      </c>
      <c r="G253" s="26" t="n">
        <v>0</v>
      </c>
      <c r="H253" s="26" t="n">
        <v>0</v>
      </c>
      <c r="I253" s="26" t="n">
        <v>16054.2</v>
      </c>
      <c r="J253" s="26" t="n">
        <v>0</v>
      </c>
      <c r="K253" s="26" t="n">
        <v>0</v>
      </c>
      <c r="L253" s="26" t="n">
        <v>0</v>
      </c>
      <c r="M253" s="26" t="n">
        <v>0</v>
      </c>
      <c r="N253" s="26" t="n">
        <v>-92.1</v>
      </c>
      <c r="O253" s="26" t="n">
        <v>0</v>
      </c>
      <c r="P253" s="26" t="n">
        <v>0</v>
      </c>
      <c r="Q253" s="26" t="n">
        <v>14677.4</v>
      </c>
      <c r="R253" s="26" t="n">
        <v>1469</v>
      </c>
      <c r="S253" s="26" t="n">
        <v>0</v>
      </c>
      <c r="T253" s="26" t="n">
        <v>0</v>
      </c>
      <c r="U253" s="26" t="n">
        <v>0</v>
      </c>
    </row>
    <row r="254" customFormat="false" ht="15" hidden="false" customHeight="true" outlineLevel="0" collapsed="false">
      <c r="A254" s="8" t="s">
        <v>407</v>
      </c>
      <c r="B254" s="8" t="s">
        <v>111</v>
      </c>
      <c r="C254" s="8" t="s">
        <v>654</v>
      </c>
      <c r="D254" s="26" t="n">
        <v>0</v>
      </c>
      <c r="E254" s="26" t="n">
        <v>0</v>
      </c>
      <c r="F254" s="26" t="n">
        <v>2838.9</v>
      </c>
      <c r="G254" s="26" t="n">
        <v>0</v>
      </c>
      <c r="H254" s="26" t="n">
        <v>0</v>
      </c>
      <c r="I254" s="26" t="n">
        <v>10458.6</v>
      </c>
      <c r="J254" s="26" t="n">
        <v>0</v>
      </c>
      <c r="K254" s="26" t="n">
        <v>139.9</v>
      </c>
      <c r="L254" s="26" t="n">
        <v>-70</v>
      </c>
      <c r="M254" s="26" t="n">
        <v>0</v>
      </c>
      <c r="N254" s="26" t="n">
        <v>0</v>
      </c>
      <c r="O254" s="26" t="n">
        <v>0</v>
      </c>
      <c r="P254" s="26" t="n">
        <v>0</v>
      </c>
      <c r="Q254" s="26" t="n">
        <v>9409.4</v>
      </c>
      <c r="R254" s="26" t="n">
        <v>979.3</v>
      </c>
      <c r="S254" s="26" t="n">
        <v>0</v>
      </c>
      <c r="T254" s="26" t="n">
        <v>0</v>
      </c>
      <c r="U254" s="26" t="n">
        <v>0</v>
      </c>
    </row>
    <row r="255" customFormat="false" ht="15" hidden="false" customHeight="true" outlineLevel="0" collapsed="false">
      <c r="A255" s="8" t="s">
        <v>407</v>
      </c>
      <c r="B255" s="8" t="s">
        <v>139</v>
      </c>
      <c r="C255" s="8" t="s">
        <v>655</v>
      </c>
      <c r="D255" s="26" t="n">
        <v>0</v>
      </c>
      <c r="E255" s="26" t="n">
        <v>0</v>
      </c>
      <c r="F255" s="26" t="n">
        <v>1776.8</v>
      </c>
      <c r="G255" s="26" t="n">
        <v>0</v>
      </c>
      <c r="H255" s="26" t="n">
        <v>0</v>
      </c>
      <c r="I255" s="26" t="n">
        <v>3002.2</v>
      </c>
      <c r="J255" s="26" t="n">
        <v>0</v>
      </c>
      <c r="K255" s="26" t="n">
        <v>0</v>
      </c>
      <c r="L255" s="26" t="n">
        <v>0</v>
      </c>
      <c r="M255" s="26" t="n">
        <v>0</v>
      </c>
      <c r="N255" s="26" t="n">
        <v>210.8</v>
      </c>
      <c r="O255" s="26" t="n">
        <v>0</v>
      </c>
      <c r="P255" s="26" t="n">
        <v>0</v>
      </c>
      <c r="Q255" s="26" t="n">
        <v>2791.4</v>
      </c>
      <c r="R255" s="26" t="n">
        <v>0</v>
      </c>
      <c r="S255" s="26" t="n">
        <v>0</v>
      </c>
      <c r="T255" s="26" t="n">
        <v>0</v>
      </c>
      <c r="U255" s="26" t="n">
        <v>0</v>
      </c>
    </row>
    <row r="256" customFormat="false" ht="15" hidden="false" customHeight="true" outlineLevel="0" collapsed="false">
      <c r="A256" s="8" t="s">
        <v>407</v>
      </c>
      <c r="B256" s="8" t="s">
        <v>139</v>
      </c>
      <c r="C256" s="8" t="s">
        <v>656</v>
      </c>
      <c r="D256" s="26" t="n">
        <v>0</v>
      </c>
      <c r="E256" s="26" t="n">
        <v>0</v>
      </c>
      <c r="F256" s="26" t="n">
        <v>4069.3</v>
      </c>
      <c r="G256" s="26" t="n">
        <v>0</v>
      </c>
      <c r="H256" s="26" t="n">
        <v>0</v>
      </c>
      <c r="I256" s="26" t="n">
        <v>15149.3</v>
      </c>
      <c r="J256" s="26" t="n">
        <v>0</v>
      </c>
      <c r="K256" s="26" t="n">
        <v>630.4</v>
      </c>
      <c r="L256" s="26" t="n">
        <v>0</v>
      </c>
      <c r="M256" s="26" t="n">
        <v>0</v>
      </c>
      <c r="N256" s="26" t="n">
        <v>0</v>
      </c>
      <c r="O256" s="26" t="n">
        <v>0</v>
      </c>
      <c r="P256" s="26" t="n">
        <v>-171.9</v>
      </c>
      <c r="Q256" s="26" t="n">
        <v>6495.5</v>
      </c>
      <c r="R256" s="26" t="n">
        <v>8195.3</v>
      </c>
      <c r="S256" s="26" t="n">
        <v>0</v>
      </c>
      <c r="T256" s="26" t="n">
        <v>0</v>
      </c>
      <c r="U256" s="26" t="n">
        <v>0</v>
      </c>
    </row>
    <row r="257" customFormat="false" ht="15" hidden="false" customHeight="true" outlineLevel="0" collapsed="false">
      <c r="A257" s="8" t="s">
        <v>407</v>
      </c>
      <c r="B257" s="8" t="s">
        <v>139</v>
      </c>
      <c r="C257" s="8" t="s">
        <v>657</v>
      </c>
      <c r="D257" s="26" t="n">
        <v>0</v>
      </c>
      <c r="E257" s="26" t="n">
        <v>0</v>
      </c>
      <c r="F257" s="26" t="n">
        <v>4770.5</v>
      </c>
      <c r="G257" s="26" t="n">
        <v>0</v>
      </c>
      <c r="H257" s="26" t="n">
        <v>0</v>
      </c>
      <c r="I257" s="26" t="n">
        <v>14645.2</v>
      </c>
      <c r="J257" s="26" t="n">
        <v>0</v>
      </c>
      <c r="K257" s="26" t="n">
        <v>573.1</v>
      </c>
      <c r="L257" s="26" t="n">
        <v>0</v>
      </c>
      <c r="M257" s="26" t="n">
        <v>0</v>
      </c>
      <c r="N257" s="26" t="n">
        <v>0</v>
      </c>
      <c r="O257" s="26" t="n">
        <v>0</v>
      </c>
      <c r="P257" s="26" t="n">
        <v>-343.9</v>
      </c>
      <c r="Q257" s="26" t="n">
        <v>5934</v>
      </c>
      <c r="R257" s="26" t="n">
        <v>8481.9</v>
      </c>
      <c r="S257" s="26" t="n">
        <v>0</v>
      </c>
      <c r="T257" s="26" t="n">
        <v>0</v>
      </c>
      <c r="U257" s="26" t="n">
        <v>0</v>
      </c>
    </row>
    <row r="258" customFormat="false" ht="15" hidden="false" customHeight="true" outlineLevel="0" collapsed="false">
      <c r="A258" s="8" t="s">
        <v>407</v>
      </c>
      <c r="B258" s="8" t="s">
        <v>188</v>
      </c>
      <c r="C258" s="8" t="s">
        <v>658</v>
      </c>
      <c r="D258" s="26" t="n">
        <v>0</v>
      </c>
      <c r="E258" s="26" t="n">
        <v>0</v>
      </c>
      <c r="F258" s="26" t="n">
        <v>3048.8</v>
      </c>
      <c r="G258" s="26" t="n">
        <v>0</v>
      </c>
      <c r="H258" s="26" t="n">
        <v>0</v>
      </c>
      <c r="I258" s="26" t="n">
        <v>11049.3</v>
      </c>
      <c r="J258" s="26" t="n">
        <v>0</v>
      </c>
      <c r="K258" s="26" t="n">
        <v>229.2</v>
      </c>
      <c r="L258" s="26" t="n">
        <v>0</v>
      </c>
      <c r="M258" s="26" t="n">
        <v>0</v>
      </c>
      <c r="N258" s="26" t="n">
        <v>0</v>
      </c>
      <c r="O258" s="26" t="n">
        <v>0</v>
      </c>
      <c r="P258" s="26" t="n">
        <v>-343.9</v>
      </c>
      <c r="Q258" s="26" t="n">
        <v>4401.3</v>
      </c>
      <c r="R258" s="26" t="n">
        <v>6762.6</v>
      </c>
      <c r="S258" s="26" t="n">
        <v>57.3</v>
      </c>
      <c r="T258" s="26" t="n">
        <v>0</v>
      </c>
      <c r="U258" s="26" t="n">
        <v>0</v>
      </c>
    </row>
    <row r="259" customFormat="false" ht="15" hidden="false" customHeight="true" outlineLevel="0" collapsed="false">
      <c r="A259" s="8" t="s">
        <v>407</v>
      </c>
      <c r="B259" s="8" t="s">
        <v>345</v>
      </c>
      <c r="C259" s="8" t="s">
        <v>659</v>
      </c>
      <c r="D259" s="26" t="n">
        <v>0</v>
      </c>
      <c r="E259" s="26" t="n">
        <v>0</v>
      </c>
      <c r="F259" s="26" t="n">
        <v>-37.8</v>
      </c>
      <c r="G259" s="26" t="n">
        <v>0</v>
      </c>
      <c r="H259" s="26" t="n">
        <v>0</v>
      </c>
      <c r="I259" s="26" t="n">
        <v>0</v>
      </c>
      <c r="J259" s="26" t="n">
        <v>0</v>
      </c>
      <c r="K259" s="26" t="n">
        <v>0</v>
      </c>
      <c r="L259" s="26" t="n">
        <v>0</v>
      </c>
      <c r="M259" s="26" t="n">
        <v>0</v>
      </c>
      <c r="N259" s="26" t="n">
        <v>0</v>
      </c>
      <c r="O259" s="26" t="n">
        <v>0</v>
      </c>
      <c r="P259" s="26" t="n">
        <v>0</v>
      </c>
      <c r="Q259" s="26" t="n">
        <v>0</v>
      </c>
      <c r="R259" s="26" t="n">
        <v>0</v>
      </c>
      <c r="S259" s="26" t="n">
        <v>0</v>
      </c>
      <c r="T259" s="26" t="n">
        <v>0</v>
      </c>
      <c r="U259" s="26" t="n">
        <v>0</v>
      </c>
    </row>
    <row r="260" customFormat="false" ht="15" hidden="false" customHeight="true" outlineLevel="0" collapsed="false">
      <c r="A260" s="8" t="s">
        <v>407</v>
      </c>
      <c r="B260" s="8" t="s">
        <v>345</v>
      </c>
      <c r="C260" s="8" t="s">
        <v>660</v>
      </c>
      <c r="D260" s="26" t="n">
        <v>0</v>
      </c>
      <c r="E260" s="26" t="n">
        <v>0</v>
      </c>
      <c r="F260" s="26" t="n">
        <v>0</v>
      </c>
      <c r="G260" s="26" t="n">
        <v>0</v>
      </c>
      <c r="H260" s="26" t="n">
        <v>0</v>
      </c>
      <c r="I260" s="26" t="n">
        <v>-32.3</v>
      </c>
      <c r="J260" s="26" t="n">
        <v>0</v>
      </c>
      <c r="K260" s="26" t="n">
        <v>0</v>
      </c>
      <c r="L260" s="26" t="n">
        <v>0</v>
      </c>
      <c r="M260" s="26" t="n">
        <v>0</v>
      </c>
      <c r="N260" s="26" t="n">
        <v>0</v>
      </c>
      <c r="O260" s="26" t="n">
        <v>0</v>
      </c>
      <c r="P260" s="26" t="n">
        <v>0</v>
      </c>
      <c r="Q260" s="26" t="n">
        <v>-32.3</v>
      </c>
      <c r="R260" s="26" t="n">
        <v>0</v>
      </c>
      <c r="S260" s="26" t="n">
        <v>0</v>
      </c>
      <c r="T260" s="26" t="n">
        <v>0</v>
      </c>
      <c r="U260" s="26" t="n">
        <v>0</v>
      </c>
    </row>
    <row r="261" customFormat="false" ht="15" hidden="false" customHeight="true" outlineLevel="0" collapsed="false">
      <c r="A261" s="8" t="s">
        <v>407</v>
      </c>
      <c r="B261" s="8" t="s">
        <v>222</v>
      </c>
      <c r="C261" s="8" t="s">
        <v>661</v>
      </c>
      <c r="D261" s="26" t="n">
        <v>0</v>
      </c>
      <c r="E261" s="26" t="n">
        <v>0</v>
      </c>
      <c r="F261" s="26" t="n">
        <v>94.6</v>
      </c>
      <c r="G261" s="26" t="n">
        <v>0</v>
      </c>
      <c r="H261" s="26" t="n">
        <v>0</v>
      </c>
      <c r="I261" s="26" t="n">
        <v>-81.9</v>
      </c>
      <c r="J261" s="26" t="n">
        <v>0</v>
      </c>
      <c r="K261" s="26" t="n">
        <v>0</v>
      </c>
      <c r="L261" s="26" t="n">
        <v>0</v>
      </c>
      <c r="M261" s="26" t="n">
        <v>0</v>
      </c>
      <c r="N261" s="26" t="n">
        <v>0</v>
      </c>
      <c r="O261" s="26" t="n">
        <v>0</v>
      </c>
      <c r="P261" s="26" t="n">
        <v>-88.2</v>
      </c>
      <c r="Q261" s="26" t="n">
        <v>-81.9</v>
      </c>
      <c r="R261" s="26" t="n">
        <v>88.2</v>
      </c>
      <c r="S261" s="26" t="n">
        <v>0</v>
      </c>
      <c r="T261" s="26" t="n">
        <v>0</v>
      </c>
      <c r="U261" s="26" t="n">
        <v>0</v>
      </c>
    </row>
    <row r="262" customFormat="false" ht="15" hidden="false" customHeight="true" outlineLevel="0" collapsed="false">
      <c r="A262" s="8" t="s">
        <v>407</v>
      </c>
      <c r="B262" s="8" t="s">
        <v>222</v>
      </c>
      <c r="C262" s="8" t="s">
        <v>662</v>
      </c>
      <c r="D262" s="26" t="n">
        <v>0</v>
      </c>
      <c r="E262" s="26" t="n">
        <v>0</v>
      </c>
      <c r="F262" s="26" t="n">
        <v>94.5</v>
      </c>
      <c r="G262" s="26" t="n">
        <v>0</v>
      </c>
      <c r="H262" s="26" t="n">
        <v>0</v>
      </c>
      <c r="I262" s="26" t="n">
        <v>264.6</v>
      </c>
      <c r="J262" s="26" t="n">
        <v>0</v>
      </c>
      <c r="K262" s="26" t="n">
        <v>0</v>
      </c>
      <c r="L262" s="26" t="n">
        <v>0</v>
      </c>
      <c r="M262" s="26" t="n">
        <v>0</v>
      </c>
      <c r="N262" s="26" t="n">
        <v>0</v>
      </c>
      <c r="O262" s="26" t="n">
        <v>0</v>
      </c>
      <c r="P262" s="26" t="n">
        <v>-88.2</v>
      </c>
      <c r="Q262" s="26" t="n">
        <v>0</v>
      </c>
      <c r="R262" s="26" t="n">
        <v>352.8</v>
      </c>
      <c r="S262" s="26" t="n">
        <v>0</v>
      </c>
      <c r="T262" s="26" t="n">
        <v>0</v>
      </c>
      <c r="U262" s="26" t="n">
        <v>0</v>
      </c>
    </row>
    <row r="263" customFormat="false" ht="15" hidden="false" customHeight="true" outlineLevel="0" collapsed="false">
      <c r="A263" s="8" t="s">
        <v>407</v>
      </c>
      <c r="B263" s="8" t="s">
        <v>222</v>
      </c>
      <c r="C263" s="8" t="s">
        <v>663</v>
      </c>
      <c r="D263" s="26" t="n">
        <v>0</v>
      </c>
      <c r="E263" s="26" t="n">
        <v>0</v>
      </c>
      <c r="F263" s="26" t="n">
        <v>271.1</v>
      </c>
      <c r="G263" s="26" t="n">
        <v>0</v>
      </c>
      <c r="H263" s="26" t="n">
        <v>0</v>
      </c>
      <c r="I263" s="26" t="n">
        <v>-88.2</v>
      </c>
      <c r="J263" s="26" t="n">
        <v>0</v>
      </c>
      <c r="K263" s="26" t="n">
        <v>0</v>
      </c>
      <c r="L263" s="26" t="n">
        <v>0</v>
      </c>
      <c r="M263" s="26" t="n">
        <v>0</v>
      </c>
      <c r="N263" s="26" t="n">
        <v>0</v>
      </c>
      <c r="O263" s="26" t="n">
        <v>0</v>
      </c>
      <c r="P263" s="26" t="n">
        <v>-88.2</v>
      </c>
      <c r="Q263" s="26" t="n">
        <v>0</v>
      </c>
      <c r="R263" s="26" t="n">
        <v>0</v>
      </c>
      <c r="S263" s="26" t="n">
        <v>0</v>
      </c>
      <c r="T263" s="26" t="n">
        <v>0</v>
      </c>
      <c r="U263" s="26" t="n">
        <v>0</v>
      </c>
    </row>
    <row r="264" customFormat="false" ht="15" hidden="false" customHeight="true" outlineLevel="0" collapsed="false">
      <c r="A264" s="8" t="s">
        <v>407</v>
      </c>
      <c r="B264" s="8" t="s">
        <v>222</v>
      </c>
      <c r="C264" s="8" t="s">
        <v>664</v>
      </c>
      <c r="D264" s="26" t="n">
        <v>0</v>
      </c>
      <c r="E264" s="26" t="n">
        <v>0</v>
      </c>
      <c r="F264" s="26" t="n">
        <v>365.6</v>
      </c>
      <c r="G264" s="26" t="n">
        <v>0</v>
      </c>
      <c r="H264" s="26" t="n">
        <v>0</v>
      </c>
      <c r="I264" s="26" t="n">
        <v>0</v>
      </c>
      <c r="J264" s="26" t="n">
        <v>0</v>
      </c>
      <c r="K264" s="26" t="n">
        <v>0</v>
      </c>
      <c r="L264" s="26" t="n">
        <v>0</v>
      </c>
      <c r="M264" s="26" t="n">
        <v>0</v>
      </c>
      <c r="N264" s="26" t="n">
        <v>0</v>
      </c>
      <c r="O264" s="26" t="n">
        <v>0</v>
      </c>
      <c r="P264" s="26" t="n">
        <v>-88.2</v>
      </c>
      <c r="Q264" s="26" t="n">
        <v>0</v>
      </c>
      <c r="R264" s="26" t="n">
        <v>88.2</v>
      </c>
      <c r="S264" s="26" t="n">
        <v>0</v>
      </c>
      <c r="T264" s="26" t="n">
        <v>0</v>
      </c>
      <c r="U264" s="26" t="n">
        <v>0</v>
      </c>
    </row>
    <row r="265" customFormat="false" ht="15" hidden="false" customHeight="true" outlineLevel="0" collapsed="false">
      <c r="A265" s="8" t="s">
        <v>407</v>
      </c>
      <c r="B265" s="8" t="s">
        <v>222</v>
      </c>
      <c r="C265" s="8" t="s">
        <v>665</v>
      </c>
      <c r="D265" s="26" t="n">
        <v>0</v>
      </c>
      <c r="E265" s="26" t="n">
        <v>0</v>
      </c>
      <c r="F265" s="26" t="n">
        <v>0</v>
      </c>
      <c r="G265" s="26" t="n">
        <v>0</v>
      </c>
      <c r="H265" s="26" t="n">
        <v>82</v>
      </c>
      <c r="I265" s="26" t="n">
        <v>0</v>
      </c>
      <c r="J265" s="26" t="n">
        <v>0</v>
      </c>
      <c r="K265" s="26" t="n">
        <v>0</v>
      </c>
      <c r="L265" s="26" t="n">
        <v>0</v>
      </c>
      <c r="M265" s="26" t="n">
        <v>0</v>
      </c>
      <c r="N265" s="26" t="n">
        <v>0</v>
      </c>
      <c r="O265" s="26" t="n">
        <v>0</v>
      </c>
      <c r="P265" s="26" t="n">
        <v>0</v>
      </c>
      <c r="Q265" s="26" t="n">
        <v>0</v>
      </c>
      <c r="R265" s="26" t="n">
        <v>0</v>
      </c>
      <c r="S265" s="26" t="n">
        <v>0</v>
      </c>
      <c r="T265" s="26" t="n">
        <v>0</v>
      </c>
      <c r="U265" s="26" t="n">
        <v>0</v>
      </c>
    </row>
    <row r="266" customFormat="false" ht="15" hidden="false" customHeight="true" outlineLevel="0" collapsed="false">
      <c r="A266" s="8" t="s">
        <v>407</v>
      </c>
      <c r="B266" s="8" t="s">
        <v>277</v>
      </c>
      <c r="C266" s="8" t="s">
        <v>666</v>
      </c>
      <c r="D266" s="26" t="n">
        <v>0</v>
      </c>
      <c r="E266" s="26" t="n">
        <v>0</v>
      </c>
      <c r="F266" s="26" t="n">
        <v>94.5</v>
      </c>
      <c r="G266" s="26" t="n">
        <v>0</v>
      </c>
      <c r="H266" s="26" t="n">
        <v>0</v>
      </c>
      <c r="I266" s="26" t="n">
        <v>0</v>
      </c>
      <c r="J266" s="26" t="n">
        <v>0</v>
      </c>
      <c r="K266" s="26" t="n">
        <v>0</v>
      </c>
      <c r="L266" s="26" t="n">
        <v>0</v>
      </c>
      <c r="M266" s="26" t="n">
        <v>0</v>
      </c>
      <c r="N266" s="26" t="n">
        <v>0</v>
      </c>
      <c r="O266" s="26" t="n">
        <v>0</v>
      </c>
      <c r="P266" s="26" t="n">
        <v>0</v>
      </c>
      <c r="Q266" s="26" t="n">
        <v>0</v>
      </c>
      <c r="R266" s="26" t="n">
        <v>0</v>
      </c>
      <c r="S266" s="26" t="n">
        <v>0</v>
      </c>
      <c r="T266" s="26" t="n">
        <v>0</v>
      </c>
      <c r="U266" s="26" t="n">
        <v>0</v>
      </c>
    </row>
    <row r="267" customFormat="false" ht="15" hidden="false" customHeight="true" outlineLevel="0" collapsed="false">
      <c r="A267" s="8" t="s">
        <v>407</v>
      </c>
      <c r="B267" s="8" t="s">
        <v>277</v>
      </c>
      <c r="C267" s="8" t="s">
        <v>667</v>
      </c>
      <c r="D267" s="26" t="n">
        <v>0</v>
      </c>
      <c r="E267" s="26" t="n">
        <v>0</v>
      </c>
      <c r="F267" s="26" t="n">
        <v>189.1</v>
      </c>
      <c r="G267" s="26" t="n">
        <v>0</v>
      </c>
      <c r="H267" s="26" t="n">
        <v>0</v>
      </c>
      <c r="I267" s="26" t="n">
        <v>84.9</v>
      </c>
      <c r="J267" s="26" t="n">
        <v>0</v>
      </c>
      <c r="K267" s="26" t="n">
        <v>0</v>
      </c>
      <c r="L267" s="26" t="n">
        <v>0</v>
      </c>
      <c r="M267" s="26" t="n">
        <v>0</v>
      </c>
      <c r="N267" s="26" t="n">
        <v>0</v>
      </c>
      <c r="O267" s="26" t="n">
        <v>0</v>
      </c>
      <c r="P267" s="26" t="n">
        <v>0</v>
      </c>
      <c r="Q267" s="26" t="n">
        <v>84.9</v>
      </c>
      <c r="R267" s="26" t="n">
        <v>0</v>
      </c>
      <c r="S267" s="26" t="n">
        <v>0</v>
      </c>
      <c r="T267" s="26" t="n">
        <v>0</v>
      </c>
      <c r="U267" s="26" t="n">
        <v>0</v>
      </c>
    </row>
    <row r="268" customFormat="false" ht="15" hidden="false" customHeight="true" outlineLevel="0" collapsed="false">
      <c r="A268" s="8" t="s">
        <v>407</v>
      </c>
      <c r="B268" s="8" t="s">
        <v>277</v>
      </c>
      <c r="C268" s="8" t="s">
        <v>668</v>
      </c>
      <c r="D268" s="26" t="n">
        <v>0</v>
      </c>
      <c r="E268" s="26" t="n">
        <v>0</v>
      </c>
      <c r="F268" s="26" t="n">
        <v>283.8</v>
      </c>
      <c r="G268" s="26" t="n">
        <v>0</v>
      </c>
      <c r="H268" s="26" t="n">
        <v>0</v>
      </c>
      <c r="I268" s="26" t="n">
        <v>81.9</v>
      </c>
      <c r="J268" s="26" t="n">
        <v>0</v>
      </c>
      <c r="K268" s="26" t="n">
        <v>0</v>
      </c>
      <c r="L268" s="26" t="n">
        <v>0</v>
      </c>
      <c r="M268" s="26" t="n">
        <v>0</v>
      </c>
      <c r="N268" s="26" t="n">
        <v>0</v>
      </c>
      <c r="O268" s="26" t="n">
        <v>0</v>
      </c>
      <c r="P268" s="26" t="n">
        <v>0</v>
      </c>
      <c r="Q268" s="26" t="n">
        <v>81.9</v>
      </c>
      <c r="R268" s="26" t="n">
        <v>0</v>
      </c>
      <c r="S268" s="26" t="n">
        <v>0</v>
      </c>
      <c r="T268" s="26" t="n">
        <v>0</v>
      </c>
      <c r="U268" s="26" t="n">
        <v>0</v>
      </c>
    </row>
    <row r="269" customFormat="false" ht="15" hidden="false" customHeight="true" outlineLevel="0" collapsed="false">
      <c r="A269" s="8" t="s">
        <v>407</v>
      </c>
      <c r="B269" s="8" t="s">
        <v>277</v>
      </c>
      <c r="C269" s="8" t="s">
        <v>669</v>
      </c>
      <c r="D269" s="26" t="n">
        <v>0</v>
      </c>
      <c r="E269" s="26" t="n">
        <v>0</v>
      </c>
      <c r="F269" s="26" t="n">
        <v>94.6</v>
      </c>
      <c r="G269" s="26" t="n">
        <v>0</v>
      </c>
      <c r="H269" s="26" t="n">
        <v>0</v>
      </c>
      <c r="I269" s="26" t="n">
        <v>81.9</v>
      </c>
      <c r="J269" s="26" t="n">
        <v>0</v>
      </c>
      <c r="K269" s="26" t="n">
        <v>0</v>
      </c>
      <c r="L269" s="26" t="n">
        <v>0</v>
      </c>
      <c r="M269" s="26" t="n">
        <v>0</v>
      </c>
      <c r="N269" s="26" t="n">
        <v>0</v>
      </c>
      <c r="O269" s="26" t="n">
        <v>0</v>
      </c>
      <c r="P269" s="26" t="n">
        <v>0</v>
      </c>
      <c r="Q269" s="26" t="n">
        <v>81.9</v>
      </c>
      <c r="R269" s="26" t="n">
        <v>0</v>
      </c>
      <c r="S269" s="26" t="n">
        <v>0</v>
      </c>
      <c r="T269" s="26" t="n">
        <v>0</v>
      </c>
      <c r="U269" s="26" t="n">
        <v>0</v>
      </c>
    </row>
    <row r="270" customFormat="false" ht="15" hidden="false" customHeight="true" outlineLevel="0" collapsed="false">
      <c r="A270" s="8" t="s">
        <v>407</v>
      </c>
      <c r="B270" s="8" t="s">
        <v>224</v>
      </c>
      <c r="C270" s="8" t="s">
        <v>670</v>
      </c>
      <c r="D270" s="26" t="n">
        <v>0</v>
      </c>
      <c r="E270" s="26" t="n">
        <v>0</v>
      </c>
      <c r="F270" s="26" t="n">
        <v>93.4</v>
      </c>
      <c r="G270" s="26" t="n">
        <v>0</v>
      </c>
      <c r="H270" s="26" t="n">
        <v>0</v>
      </c>
      <c r="I270" s="26" t="n">
        <v>-194.1</v>
      </c>
      <c r="J270" s="26" t="n">
        <v>0</v>
      </c>
      <c r="K270" s="26" t="n">
        <v>0</v>
      </c>
      <c r="L270" s="26" t="n">
        <v>0</v>
      </c>
      <c r="M270" s="26" t="n">
        <v>0</v>
      </c>
      <c r="N270" s="26" t="n">
        <v>0</v>
      </c>
      <c r="O270" s="26" t="n">
        <v>0</v>
      </c>
      <c r="P270" s="26" t="n">
        <v>-194.1</v>
      </c>
      <c r="Q270" s="26" t="n">
        <v>0</v>
      </c>
      <c r="R270" s="26" t="n">
        <v>0</v>
      </c>
      <c r="S270" s="26" t="n">
        <v>0</v>
      </c>
      <c r="T270" s="26" t="n">
        <v>0</v>
      </c>
      <c r="U270" s="26" t="n">
        <v>0</v>
      </c>
    </row>
    <row r="271" customFormat="false" ht="15" hidden="false" customHeight="true" outlineLevel="0" collapsed="false">
      <c r="A271" s="8" t="s">
        <v>407</v>
      </c>
      <c r="B271" s="8" t="s">
        <v>224</v>
      </c>
      <c r="C271" s="8" t="s">
        <v>671</v>
      </c>
      <c r="D271" s="26" t="n">
        <v>0</v>
      </c>
      <c r="E271" s="26" t="n">
        <v>0</v>
      </c>
      <c r="F271" s="26" t="n">
        <v>402.3</v>
      </c>
      <c r="G271" s="26" t="n">
        <v>0</v>
      </c>
      <c r="H271" s="26" t="n">
        <v>0</v>
      </c>
      <c r="I271" s="26" t="n">
        <v>-360.4</v>
      </c>
      <c r="J271" s="26" t="n">
        <v>0</v>
      </c>
      <c r="K271" s="26" t="n">
        <v>0</v>
      </c>
      <c r="L271" s="26" t="n">
        <v>0</v>
      </c>
      <c r="M271" s="26" t="n">
        <v>0</v>
      </c>
      <c r="N271" s="26" t="n">
        <v>0</v>
      </c>
      <c r="O271" s="26" t="n">
        <v>0</v>
      </c>
      <c r="P271" s="26" t="n">
        <v>0</v>
      </c>
      <c r="Q271" s="26" t="n">
        <v>-360.4</v>
      </c>
      <c r="R271" s="26" t="n">
        <v>0</v>
      </c>
      <c r="S271" s="26" t="n">
        <v>0</v>
      </c>
      <c r="T271" s="26" t="n">
        <v>0</v>
      </c>
      <c r="U271" s="26" t="n">
        <v>0</v>
      </c>
    </row>
    <row r="272" customFormat="false" ht="15" hidden="false" customHeight="true" outlineLevel="0" collapsed="false">
      <c r="A272" s="8" t="s">
        <v>407</v>
      </c>
      <c r="B272" s="8" t="s">
        <v>224</v>
      </c>
      <c r="C272" s="8" t="s">
        <v>672</v>
      </c>
      <c r="D272" s="26" t="n">
        <v>0</v>
      </c>
      <c r="E272" s="26" t="n">
        <v>0</v>
      </c>
      <c r="F272" s="26" t="n">
        <v>0</v>
      </c>
      <c r="G272" s="26" t="n">
        <v>0</v>
      </c>
      <c r="H272" s="26" t="n">
        <v>0</v>
      </c>
      <c r="I272" s="26" t="n">
        <v>194.1</v>
      </c>
      <c r="J272" s="26" t="n">
        <v>0</v>
      </c>
      <c r="K272" s="26" t="n">
        <v>0</v>
      </c>
      <c r="L272" s="26" t="n">
        <v>0</v>
      </c>
      <c r="M272" s="26" t="n">
        <v>0</v>
      </c>
      <c r="N272" s="26" t="n">
        <v>0</v>
      </c>
      <c r="O272" s="26" t="n">
        <v>0</v>
      </c>
      <c r="P272" s="26" t="n">
        <v>-97</v>
      </c>
      <c r="Q272" s="26" t="n">
        <v>0</v>
      </c>
      <c r="R272" s="26" t="n">
        <v>291.1</v>
      </c>
      <c r="S272" s="26" t="n">
        <v>0</v>
      </c>
      <c r="T272" s="26" t="n">
        <v>0</v>
      </c>
      <c r="U272" s="26" t="n">
        <v>0</v>
      </c>
    </row>
    <row r="273" customFormat="false" ht="15" hidden="false" customHeight="true" outlineLevel="0" collapsed="false">
      <c r="A273" s="8" t="s">
        <v>407</v>
      </c>
      <c r="B273" s="8" t="s">
        <v>224</v>
      </c>
      <c r="C273" s="8" t="s">
        <v>673</v>
      </c>
      <c r="D273" s="26" t="n">
        <v>0</v>
      </c>
      <c r="E273" s="26" t="n">
        <v>0</v>
      </c>
      <c r="F273" s="26" t="n">
        <v>308.9</v>
      </c>
      <c r="G273" s="26" t="n">
        <v>0</v>
      </c>
      <c r="H273" s="26" t="n">
        <v>0</v>
      </c>
      <c r="I273" s="26" t="n">
        <v>-90.1</v>
      </c>
      <c r="J273" s="26" t="n">
        <v>0</v>
      </c>
      <c r="K273" s="26" t="n">
        <v>0</v>
      </c>
      <c r="L273" s="26" t="n">
        <v>0</v>
      </c>
      <c r="M273" s="26" t="n">
        <v>0</v>
      </c>
      <c r="N273" s="26" t="n">
        <v>0</v>
      </c>
      <c r="O273" s="26" t="n">
        <v>0</v>
      </c>
      <c r="P273" s="26" t="n">
        <v>0</v>
      </c>
      <c r="Q273" s="26" t="n">
        <v>-90.1</v>
      </c>
      <c r="R273" s="26" t="n">
        <v>0</v>
      </c>
      <c r="S273" s="26" t="n">
        <v>0</v>
      </c>
      <c r="T273" s="26" t="n">
        <v>0</v>
      </c>
      <c r="U273" s="26" t="n">
        <v>0</v>
      </c>
    </row>
    <row r="274" customFormat="false" ht="15" hidden="false" customHeight="true" outlineLevel="0" collapsed="false">
      <c r="A274" s="8" t="s">
        <v>407</v>
      </c>
      <c r="B274" s="8" t="s">
        <v>272</v>
      </c>
      <c r="C274" s="8" t="s">
        <v>674</v>
      </c>
      <c r="D274" s="26" t="n">
        <v>0</v>
      </c>
      <c r="E274" s="26" t="n">
        <v>0</v>
      </c>
      <c r="F274" s="26" t="n">
        <v>0</v>
      </c>
      <c r="G274" s="26" t="n">
        <v>0</v>
      </c>
      <c r="H274" s="26" t="n">
        <v>0</v>
      </c>
      <c r="I274" s="26" t="n">
        <v>-173.9</v>
      </c>
      <c r="J274" s="26" t="n">
        <v>0</v>
      </c>
      <c r="K274" s="26" t="n">
        <v>0</v>
      </c>
      <c r="L274" s="26" t="n">
        <v>0</v>
      </c>
      <c r="M274" s="26" t="n">
        <v>0</v>
      </c>
      <c r="N274" s="26" t="n">
        <v>0</v>
      </c>
      <c r="O274" s="26" t="n">
        <v>0</v>
      </c>
      <c r="P274" s="26" t="n">
        <v>0</v>
      </c>
      <c r="Q274" s="26" t="n">
        <v>-173.9</v>
      </c>
      <c r="R274" s="26" t="n">
        <v>0</v>
      </c>
      <c r="S274" s="26" t="n">
        <v>0</v>
      </c>
      <c r="T274" s="26" t="n">
        <v>0</v>
      </c>
      <c r="U274" s="26" t="n">
        <v>0</v>
      </c>
    </row>
    <row r="275" customFormat="false" ht="15" hidden="false" customHeight="true" outlineLevel="0" collapsed="false">
      <c r="A275" s="8" t="s">
        <v>407</v>
      </c>
      <c r="B275" s="8" t="s">
        <v>251</v>
      </c>
      <c r="C275" s="8" t="s">
        <v>675</v>
      </c>
      <c r="D275" s="26" t="n">
        <v>0</v>
      </c>
      <c r="E275" s="26" t="n">
        <v>0</v>
      </c>
      <c r="F275" s="26" t="n">
        <v>104</v>
      </c>
      <c r="G275" s="26" t="n">
        <v>0</v>
      </c>
      <c r="H275" s="26" t="n">
        <v>0</v>
      </c>
      <c r="I275" s="26" t="n">
        <v>7887.6</v>
      </c>
      <c r="J275" s="26" t="n">
        <v>0</v>
      </c>
      <c r="K275" s="26" t="n">
        <v>97</v>
      </c>
      <c r="L275" s="26" t="n">
        <v>0</v>
      </c>
      <c r="M275" s="26" t="n">
        <v>0</v>
      </c>
      <c r="N275" s="26" t="n">
        <v>0</v>
      </c>
      <c r="O275" s="26" t="n">
        <v>0</v>
      </c>
      <c r="P275" s="26" t="n">
        <v>-97</v>
      </c>
      <c r="Q275" s="26" t="n">
        <v>7014.3</v>
      </c>
      <c r="R275" s="26" t="n">
        <v>873.3</v>
      </c>
      <c r="S275" s="26" t="n">
        <v>0</v>
      </c>
      <c r="T275" s="26" t="n">
        <v>0</v>
      </c>
      <c r="U275" s="26" t="n">
        <v>0</v>
      </c>
    </row>
    <row r="276" customFormat="false" ht="15" hidden="false" customHeight="true" outlineLevel="0" collapsed="false">
      <c r="A276" s="8" t="s">
        <v>407</v>
      </c>
      <c r="B276" s="8" t="s">
        <v>251</v>
      </c>
      <c r="C276" s="8" t="s">
        <v>676</v>
      </c>
      <c r="D276" s="26" t="n">
        <v>0</v>
      </c>
      <c r="E276" s="26" t="n">
        <v>0</v>
      </c>
      <c r="F276" s="26" t="n">
        <v>417.5</v>
      </c>
      <c r="G276" s="26" t="n">
        <v>0</v>
      </c>
      <c r="H276" s="26" t="n">
        <v>0</v>
      </c>
      <c r="I276" s="26" t="n">
        <v>9186.4</v>
      </c>
      <c r="J276" s="26" t="n">
        <v>0</v>
      </c>
      <c r="K276" s="26" t="n">
        <v>194.1</v>
      </c>
      <c r="L276" s="26" t="n">
        <v>0</v>
      </c>
      <c r="M276" s="26" t="n">
        <v>0</v>
      </c>
      <c r="N276" s="26" t="n">
        <v>0</v>
      </c>
      <c r="O276" s="26" t="n">
        <v>0</v>
      </c>
      <c r="P276" s="26" t="n">
        <v>0</v>
      </c>
      <c r="Q276" s="26" t="n">
        <v>7827.9</v>
      </c>
      <c r="R276" s="26" t="n">
        <v>1164.4</v>
      </c>
      <c r="S276" s="26" t="n">
        <v>0</v>
      </c>
      <c r="T276" s="26" t="n">
        <v>0</v>
      </c>
      <c r="U276" s="26" t="n">
        <v>0</v>
      </c>
    </row>
    <row r="277" customFormat="false" ht="15" hidden="false" customHeight="true" outlineLevel="0" collapsed="false">
      <c r="A277" s="8" t="s">
        <v>407</v>
      </c>
      <c r="B277" s="8" t="s">
        <v>251</v>
      </c>
      <c r="C277" s="8" t="s">
        <v>677</v>
      </c>
      <c r="D277" s="26" t="n">
        <v>0</v>
      </c>
      <c r="E277" s="26" t="n">
        <v>0</v>
      </c>
      <c r="F277" s="26" t="n">
        <v>525.6</v>
      </c>
      <c r="G277" s="26" t="n">
        <v>0</v>
      </c>
      <c r="H277" s="26" t="n">
        <v>0</v>
      </c>
      <c r="I277" s="26" t="n">
        <v>10412.1</v>
      </c>
      <c r="J277" s="26" t="n">
        <v>0</v>
      </c>
      <c r="K277" s="26" t="n">
        <v>97</v>
      </c>
      <c r="L277" s="26" t="n">
        <v>0</v>
      </c>
      <c r="M277" s="26" t="n">
        <v>0</v>
      </c>
      <c r="N277" s="26" t="n">
        <v>0</v>
      </c>
      <c r="O277" s="26" t="n">
        <v>0</v>
      </c>
      <c r="P277" s="26" t="n">
        <v>0</v>
      </c>
      <c r="Q277" s="26" t="n">
        <v>8568.6</v>
      </c>
      <c r="R277" s="26" t="n">
        <v>1746.5</v>
      </c>
      <c r="S277" s="26" t="n">
        <v>0</v>
      </c>
      <c r="T277" s="26" t="n">
        <v>0</v>
      </c>
      <c r="U277" s="26" t="n">
        <v>0</v>
      </c>
    </row>
    <row r="278" customFormat="false" ht="15" hidden="false" customHeight="true" outlineLevel="0" collapsed="false">
      <c r="A278" s="8" t="s">
        <v>407</v>
      </c>
      <c r="B278" s="8" t="s">
        <v>270</v>
      </c>
      <c r="C278" s="8" t="s">
        <v>678</v>
      </c>
      <c r="D278" s="26" t="n">
        <v>0</v>
      </c>
      <c r="E278" s="26" t="n">
        <v>0</v>
      </c>
      <c r="F278" s="26" t="n">
        <v>957.4</v>
      </c>
      <c r="G278" s="26" t="n">
        <v>0</v>
      </c>
      <c r="H278" s="26" t="n">
        <v>0</v>
      </c>
      <c r="I278" s="26" t="n">
        <v>3769</v>
      </c>
      <c r="J278" s="26" t="n">
        <v>0</v>
      </c>
      <c r="K278" s="26" t="n">
        <v>0</v>
      </c>
      <c r="L278" s="26" t="n">
        <v>0</v>
      </c>
      <c r="M278" s="26" t="n">
        <v>0</v>
      </c>
      <c r="N278" s="26" t="n">
        <v>0</v>
      </c>
      <c r="O278" s="26" t="n">
        <v>0</v>
      </c>
      <c r="P278" s="26" t="n">
        <v>0</v>
      </c>
      <c r="Q278" s="26" t="n">
        <v>3416.1</v>
      </c>
      <c r="R278" s="26" t="n">
        <v>352.9</v>
      </c>
      <c r="S278" s="26" t="n">
        <v>0</v>
      </c>
      <c r="T278" s="26" t="n">
        <v>0</v>
      </c>
      <c r="U278" s="26" t="n">
        <v>0</v>
      </c>
    </row>
    <row r="279" customFormat="false" ht="15" hidden="false" customHeight="true" outlineLevel="0" collapsed="false">
      <c r="A279" s="8" t="s">
        <v>407</v>
      </c>
      <c r="B279" s="8" t="s">
        <v>270</v>
      </c>
      <c r="C279" s="8" t="s">
        <v>679</v>
      </c>
      <c r="D279" s="26" t="n">
        <v>0</v>
      </c>
      <c r="E279" s="26" t="n">
        <v>0</v>
      </c>
      <c r="F279" s="26" t="n">
        <v>2744.1</v>
      </c>
      <c r="G279" s="26" t="n">
        <v>0</v>
      </c>
      <c r="H279" s="26" t="n">
        <v>0</v>
      </c>
      <c r="I279" s="26" t="n">
        <v>21948.3</v>
      </c>
      <c r="J279" s="26" t="n">
        <v>0</v>
      </c>
      <c r="K279" s="26" t="n">
        <v>0</v>
      </c>
      <c r="L279" s="26" t="n">
        <v>0</v>
      </c>
      <c r="M279" s="26" t="n">
        <v>0</v>
      </c>
      <c r="N279" s="26" t="n">
        <v>0</v>
      </c>
      <c r="O279" s="26" t="n">
        <v>0</v>
      </c>
      <c r="P279" s="26" t="n">
        <v>-176.4</v>
      </c>
      <c r="Q279" s="26" t="n">
        <v>20889.7</v>
      </c>
      <c r="R279" s="26" t="n">
        <v>1235.1</v>
      </c>
      <c r="S279" s="26" t="n">
        <v>0</v>
      </c>
      <c r="T279" s="26" t="n">
        <v>0</v>
      </c>
      <c r="U279" s="26" t="n">
        <v>0</v>
      </c>
    </row>
    <row r="280" customFormat="false" ht="15" hidden="false" customHeight="true" outlineLevel="0" collapsed="false">
      <c r="A280" s="8" t="s">
        <v>407</v>
      </c>
      <c r="B280" s="8" t="s">
        <v>270</v>
      </c>
      <c r="C280" s="8" t="s">
        <v>680</v>
      </c>
      <c r="D280" s="26" t="n">
        <v>0</v>
      </c>
      <c r="E280" s="26" t="n">
        <v>0</v>
      </c>
      <c r="F280" s="26" t="n">
        <v>5337.7</v>
      </c>
      <c r="G280" s="26" t="n">
        <v>0</v>
      </c>
      <c r="H280" s="26" t="n">
        <v>0</v>
      </c>
      <c r="I280" s="26" t="n">
        <v>36692.1</v>
      </c>
      <c r="J280" s="26" t="n">
        <v>0</v>
      </c>
      <c r="K280" s="26" t="n">
        <v>0</v>
      </c>
      <c r="L280" s="26" t="n">
        <v>0</v>
      </c>
      <c r="M280" s="26" t="n">
        <v>0</v>
      </c>
      <c r="N280" s="26" t="n">
        <v>0</v>
      </c>
      <c r="O280" s="26" t="n">
        <v>0</v>
      </c>
      <c r="P280" s="26" t="n">
        <v>-176.4</v>
      </c>
      <c r="Q280" s="26" t="n">
        <v>34398.3</v>
      </c>
      <c r="R280" s="26" t="n">
        <v>2470.2</v>
      </c>
      <c r="S280" s="26" t="n">
        <v>0</v>
      </c>
      <c r="T280" s="26" t="n">
        <v>0</v>
      </c>
      <c r="U280" s="26" t="n">
        <v>0</v>
      </c>
    </row>
    <row r="281" customFormat="false" ht="15" hidden="false" customHeight="true" outlineLevel="0" collapsed="false">
      <c r="A281" s="8" t="s">
        <v>407</v>
      </c>
      <c r="B281" s="8" t="s">
        <v>270</v>
      </c>
      <c r="C281" s="8" t="s">
        <v>681</v>
      </c>
      <c r="D281" s="26" t="n">
        <v>0</v>
      </c>
      <c r="E281" s="26" t="n">
        <v>0</v>
      </c>
      <c r="F281" s="26" t="n">
        <v>3457.1</v>
      </c>
      <c r="G281" s="26" t="n">
        <v>0</v>
      </c>
      <c r="H281" s="26" t="n">
        <v>0</v>
      </c>
      <c r="I281" s="26" t="n">
        <v>22006.3</v>
      </c>
      <c r="J281" s="26" t="n">
        <v>0</v>
      </c>
      <c r="K281" s="26" t="n">
        <v>0</v>
      </c>
      <c r="L281" s="26" t="n">
        <v>0</v>
      </c>
      <c r="M281" s="26" t="n">
        <v>0</v>
      </c>
      <c r="N281" s="26" t="n">
        <v>0</v>
      </c>
      <c r="O281" s="26" t="n">
        <v>0</v>
      </c>
      <c r="P281" s="26" t="n">
        <v>0</v>
      </c>
      <c r="Q281" s="26" t="n">
        <v>20594.8</v>
      </c>
      <c r="R281" s="26" t="n">
        <v>1411.5</v>
      </c>
      <c r="S281" s="26" t="n">
        <v>0</v>
      </c>
      <c r="T281" s="26" t="n">
        <v>0</v>
      </c>
      <c r="U281" s="26" t="n">
        <v>0</v>
      </c>
    </row>
    <row r="282" customFormat="false" ht="15" hidden="false" customHeight="true" outlineLevel="0" collapsed="false">
      <c r="A282" s="8" t="s">
        <v>407</v>
      </c>
      <c r="B282" s="8" t="s">
        <v>270</v>
      </c>
      <c r="C282" s="8" t="s">
        <v>682</v>
      </c>
      <c r="D282" s="26" t="n">
        <v>0</v>
      </c>
      <c r="E282" s="26" t="n">
        <v>0</v>
      </c>
      <c r="F282" s="26" t="n">
        <v>403</v>
      </c>
      <c r="G282" s="26" t="n">
        <v>0</v>
      </c>
      <c r="H282" s="26" t="n">
        <v>0</v>
      </c>
      <c r="I282" s="26" t="n">
        <v>8552.8</v>
      </c>
      <c r="J282" s="26" t="n">
        <v>0</v>
      </c>
      <c r="K282" s="26" t="n">
        <v>0</v>
      </c>
      <c r="L282" s="26" t="n">
        <v>0</v>
      </c>
      <c r="M282" s="26" t="n">
        <v>0</v>
      </c>
      <c r="N282" s="26" t="n">
        <v>0</v>
      </c>
      <c r="O282" s="26" t="n">
        <v>0</v>
      </c>
      <c r="P282" s="26" t="n">
        <v>0</v>
      </c>
      <c r="Q282" s="26" t="n">
        <v>7847</v>
      </c>
      <c r="R282" s="26" t="n">
        <v>705.8</v>
      </c>
      <c r="S282" s="26" t="n">
        <v>0</v>
      </c>
      <c r="T282" s="26" t="n">
        <v>0</v>
      </c>
      <c r="U282" s="26" t="n">
        <v>0</v>
      </c>
    </row>
    <row r="283" customFormat="false" ht="15" hidden="false" customHeight="true" outlineLevel="0" collapsed="false">
      <c r="A283" s="8" t="s">
        <v>407</v>
      </c>
      <c r="B283" s="8" t="s">
        <v>332</v>
      </c>
      <c r="C283" s="8" t="s">
        <v>683</v>
      </c>
      <c r="D283" s="26" t="n">
        <v>0</v>
      </c>
      <c r="E283" s="26" t="n">
        <v>0</v>
      </c>
      <c r="F283" s="26" t="n">
        <v>0</v>
      </c>
      <c r="G283" s="26" t="n">
        <v>0</v>
      </c>
      <c r="H283" s="26" t="n">
        <v>0</v>
      </c>
      <c r="I283" s="26" t="n">
        <v>-88.2</v>
      </c>
      <c r="J283" s="26" t="n">
        <v>0</v>
      </c>
      <c r="K283" s="26" t="n">
        <v>0</v>
      </c>
      <c r="L283" s="26" t="n">
        <v>0</v>
      </c>
      <c r="M283" s="26" t="n">
        <v>0</v>
      </c>
      <c r="N283" s="26" t="n">
        <v>0</v>
      </c>
      <c r="O283" s="26" t="n">
        <v>0</v>
      </c>
      <c r="P283" s="26" t="n">
        <v>-88.2</v>
      </c>
      <c r="Q283" s="26" t="n">
        <v>0</v>
      </c>
      <c r="R283" s="26" t="n">
        <v>0</v>
      </c>
      <c r="S283" s="26" t="n">
        <v>0</v>
      </c>
      <c r="T283" s="26" t="n">
        <v>0</v>
      </c>
      <c r="U283" s="26" t="n">
        <v>0</v>
      </c>
    </row>
    <row r="284" customFormat="false" ht="15" hidden="false" customHeight="true" outlineLevel="0" collapsed="false">
      <c r="A284" s="8" t="s">
        <v>407</v>
      </c>
      <c r="B284" s="8" t="s">
        <v>332</v>
      </c>
      <c r="C284" s="8" t="s">
        <v>684</v>
      </c>
      <c r="D284" s="26" t="n">
        <v>0</v>
      </c>
      <c r="E284" s="26" t="n">
        <v>0</v>
      </c>
      <c r="F284" s="26" t="n">
        <v>0</v>
      </c>
      <c r="G284" s="26" t="n">
        <v>0</v>
      </c>
      <c r="H284" s="26" t="n">
        <v>0</v>
      </c>
      <c r="I284" s="26" t="n">
        <v>-302.4</v>
      </c>
      <c r="J284" s="26" t="n">
        <v>0</v>
      </c>
      <c r="K284" s="26" t="n">
        <v>0</v>
      </c>
      <c r="L284" s="26" t="n">
        <v>0</v>
      </c>
      <c r="M284" s="26" t="n">
        <v>0</v>
      </c>
      <c r="N284" s="26" t="n">
        <v>0</v>
      </c>
      <c r="O284" s="26" t="n">
        <v>0</v>
      </c>
      <c r="P284" s="26" t="n">
        <v>-302.4</v>
      </c>
      <c r="Q284" s="26" t="n">
        <v>0</v>
      </c>
      <c r="R284" s="26" t="n">
        <v>0</v>
      </c>
      <c r="S284" s="26" t="n">
        <v>0</v>
      </c>
      <c r="T284" s="26" t="n">
        <v>0</v>
      </c>
      <c r="U284" s="26" t="n">
        <v>0</v>
      </c>
    </row>
    <row r="285" customFormat="false" ht="15" hidden="false" customHeight="true" outlineLevel="0" collapsed="false">
      <c r="A285" s="8" t="s">
        <v>407</v>
      </c>
      <c r="B285" s="8" t="s">
        <v>364</v>
      </c>
      <c r="C285" s="8" t="s">
        <v>685</v>
      </c>
      <c r="D285" s="26" t="n">
        <v>0</v>
      </c>
      <c r="E285" s="26" t="n">
        <v>0</v>
      </c>
      <c r="F285" s="26" t="n">
        <v>0</v>
      </c>
      <c r="G285" s="26" t="n">
        <v>0</v>
      </c>
      <c r="H285" s="26" t="n">
        <v>0</v>
      </c>
      <c r="I285" s="26" t="n">
        <v>-69.7</v>
      </c>
      <c r="J285" s="26" t="n">
        <v>0</v>
      </c>
      <c r="K285" s="26" t="n">
        <v>61.7</v>
      </c>
      <c r="L285" s="26" t="n">
        <v>0</v>
      </c>
      <c r="M285" s="26" t="n">
        <v>0</v>
      </c>
      <c r="N285" s="26" t="n">
        <v>0</v>
      </c>
      <c r="O285" s="26" t="n">
        <v>0</v>
      </c>
      <c r="P285" s="26" t="n">
        <v>-131.5</v>
      </c>
      <c r="Q285" s="26" t="n">
        <v>0</v>
      </c>
      <c r="R285" s="26" t="n">
        <v>0</v>
      </c>
      <c r="S285" s="26" t="n">
        <v>0</v>
      </c>
      <c r="T285" s="26" t="n">
        <v>0</v>
      </c>
      <c r="U285" s="26" t="n">
        <v>0</v>
      </c>
    </row>
    <row r="286" customFormat="false" ht="15" hidden="false" customHeight="true" outlineLevel="0" collapsed="false">
      <c r="A286" s="8" t="s">
        <v>407</v>
      </c>
      <c r="B286" s="8" t="s">
        <v>364</v>
      </c>
      <c r="C286" s="8" t="s">
        <v>686</v>
      </c>
      <c r="D286" s="26" t="n">
        <v>0</v>
      </c>
      <c r="E286" s="26" t="n">
        <v>0</v>
      </c>
      <c r="F286" s="26" t="n">
        <v>0</v>
      </c>
      <c r="G286" s="26" t="n">
        <v>0</v>
      </c>
      <c r="H286" s="26" t="n">
        <v>0</v>
      </c>
      <c r="I286" s="26" t="n">
        <v>-246.9</v>
      </c>
      <c r="J286" s="26" t="n">
        <v>0</v>
      </c>
      <c r="K286" s="26" t="n">
        <v>0</v>
      </c>
      <c r="L286" s="26" t="n">
        <v>0</v>
      </c>
      <c r="M286" s="26" t="n">
        <v>0</v>
      </c>
      <c r="N286" s="26" t="n">
        <v>0</v>
      </c>
      <c r="O286" s="26" t="n">
        <v>0</v>
      </c>
      <c r="P286" s="26" t="n">
        <v>-246.9</v>
      </c>
      <c r="Q286" s="26" t="n">
        <v>0</v>
      </c>
      <c r="R286" s="26" t="n">
        <v>0</v>
      </c>
      <c r="S286" s="26" t="n">
        <v>0</v>
      </c>
      <c r="T286" s="26" t="n">
        <v>0</v>
      </c>
      <c r="U286" s="26" t="n">
        <v>0</v>
      </c>
    </row>
    <row r="287" customFormat="false" ht="15" hidden="false" customHeight="true" outlineLevel="0" collapsed="false">
      <c r="A287" s="8" t="s">
        <v>407</v>
      </c>
      <c r="B287" s="8" t="s">
        <v>364</v>
      </c>
      <c r="C287" s="8" t="s">
        <v>687</v>
      </c>
      <c r="D287" s="26" t="n">
        <v>0</v>
      </c>
      <c r="E287" s="26" t="n">
        <v>0</v>
      </c>
      <c r="F287" s="26" t="n">
        <v>0</v>
      </c>
      <c r="G287" s="26" t="n">
        <v>0</v>
      </c>
      <c r="H287" s="26" t="n">
        <v>0</v>
      </c>
      <c r="I287" s="26" t="n">
        <v>-131.5</v>
      </c>
      <c r="J287" s="26" t="n">
        <v>0</v>
      </c>
      <c r="K287" s="26" t="n">
        <v>0</v>
      </c>
      <c r="L287" s="26" t="n">
        <v>0</v>
      </c>
      <c r="M287" s="26" t="n">
        <v>0</v>
      </c>
      <c r="N287" s="26" t="n">
        <v>0</v>
      </c>
      <c r="O287" s="26" t="n">
        <v>0</v>
      </c>
      <c r="P287" s="26" t="n">
        <v>-131.5</v>
      </c>
      <c r="Q287" s="26" t="n">
        <v>0</v>
      </c>
      <c r="R287" s="26" t="n">
        <v>0</v>
      </c>
      <c r="S287" s="26" t="n">
        <v>0</v>
      </c>
      <c r="T287" s="26" t="n">
        <v>0</v>
      </c>
      <c r="U287" s="26" t="n">
        <v>0</v>
      </c>
    </row>
    <row r="288" customFormat="false" ht="15" hidden="false" customHeight="true" outlineLevel="0" collapsed="false">
      <c r="A288" s="8" t="s">
        <v>407</v>
      </c>
      <c r="B288" s="8" t="s">
        <v>255</v>
      </c>
      <c r="C288" s="8" t="s">
        <v>688</v>
      </c>
      <c r="D288" s="26" t="n">
        <v>0</v>
      </c>
      <c r="E288" s="26" t="n">
        <v>0</v>
      </c>
      <c r="F288" s="26" t="n">
        <v>237.1</v>
      </c>
      <c r="G288" s="26" t="n">
        <v>0</v>
      </c>
      <c r="H288" s="26" t="n">
        <v>0</v>
      </c>
      <c r="I288" s="26" t="n">
        <v>0</v>
      </c>
      <c r="J288" s="26" t="n">
        <v>0</v>
      </c>
      <c r="K288" s="26" t="n">
        <v>0</v>
      </c>
      <c r="L288" s="26" t="n">
        <v>0</v>
      </c>
      <c r="M288" s="26" t="n">
        <v>0</v>
      </c>
      <c r="N288" s="26" t="n">
        <v>0</v>
      </c>
      <c r="O288" s="26" t="n">
        <v>0</v>
      </c>
      <c r="P288" s="26" t="n">
        <v>0</v>
      </c>
      <c r="Q288" s="26" t="n">
        <v>0</v>
      </c>
      <c r="R288" s="26" t="n">
        <v>0</v>
      </c>
      <c r="S288" s="26" t="n">
        <v>0</v>
      </c>
      <c r="T288" s="26" t="n">
        <v>0</v>
      </c>
      <c r="U288" s="26" t="n">
        <v>0</v>
      </c>
    </row>
    <row r="289" customFormat="false" ht="15" hidden="false" customHeight="true" outlineLevel="0" collapsed="false">
      <c r="A289" s="8" t="s">
        <v>407</v>
      </c>
      <c r="B289" s="8" t="s">
        <v>255</v>
      </c>
      <c r="C289" s="8" t="s">
        <v>689</v>
      </c>
      <c r="D289" s="26" t="n">
        <v>0</v>
      </c>
      <c r="E289" s="26" t="n">
        <v>0</v>
      </c>
      <c r="F289" s="26" t="n">
        <v>118.6</v>
      </c>
      <c r="G289" s="26" t="n">
        <v>0</v>
      </c>
      <c r="H289" s="26" t="n">
        <v>0</v>
      </c>
      <c r="I289" s="26" t="n">
        <v>0</v>
      </c>
      <c r="J289" s="26" t="n">
        <v>0</v>
      </c>
      <c r="K289" s="26" t="n">
        <v>0</v>
      </c>
      <c r="L289" s="26" t="n">
        <v>0</v>
      </c>
      <c r="M289" s="26" t="n">
        <v>0</v>
      </c>
      <c r="N289" s="26" t="n">
        <v>0</v>
      </c>
      <c r="O289" s="26" t="n">
        <v>0</v>
      </c>
      <c r="P289" s="26" t="n">
        <v>0</v>
      </c>
      <c r="Q289" s="26" t="n">
        <v>0</v>
      </c>
      <c r="R289" s="26" t="n">
        <v>0</v>
      </c>
      <c r="S289" s="26" t="n">
        <v>0</v>
      </c>
      <c r="T289" s="26" t="n">
        <v>0</v>
      </c>
      <c r="U289" s="26" t="n">
        <v>0</v>
      </c>
    </row>
    <row r="290" customFormat="false" ht="15" hidden="false" customHeight="true" outlineLevel="0" collapsed="false">
      <c r="A290" s="8" t="s">
        <v>407</v>
      </c>
      <c r="B290" s="8" t="s">
        <v>255</v>
      </c>
      <c r="C290" s="8" t="s">
        <v>690</v>
      </c>
      <c r="D290" s="26" t="n">
        <v>0</v>
      </c>
      <c r="E290" s="26" t="n">
        <v>0</v>
      </c>
      <c r="F290" s="26" t="n">
        <v>237.1</v>
      </c>
      <c r="G290" s="26" t="n">
        <v>0</v>
      </c>
      <c r="H290" s="26" t="n">
        <v>0</v>
      </c>
      <c r="I290" s="26" t="n">
        <v>0</v>
      </c>
      <c r="J290" s="26" t="n">
        <v>0</v>
      </c>
      <c r="K290" s="26" t="n">
        <v>0</v>
      </c>
      <c r="L290" s="26" t="n">
        <v>0</v>
      </c>
      <c r="M290" s="26" t="n">
        <v>0</v>
      </c>
      <c r="N290" s="26" t="n">
        <v>0</v>
      </c>
      <c r="O290" s="26" t="n">
        <v>0</v>
      </c>
      <c r="P290" s="26" t="n">
        <v>0</v>
      </c>
      <c r="Q290" s="26" t="n">
        <v>0</v>
      </c>
      <c r="R290" s="26" t="n">
        <v>0</v>
      </c>
      <c r="S290" s="26" t="n">
        <v>0</v>
      </c>
      <c r="T290" s="26" t="n">
        <v>0</v>
      </c>
      <c r="U290" s="26" t="n">
        <v>0</v>
      </c>
    </row>
    <row r="291" customFormat="false" ht="15" hidden="false" customHeight="true" outlineLevel="0" collapsed="false">
      <c r="A291" s="8" t="s">
        <v>407</v>
      </c>
      <c r="B291" s="8" t="s">
        <v>124</v>
      </c>
      <c r="C291" s="8" t="s">
        <v>691</v>
      </c>
      <c r="D291" s="26" t="n">
        <v>0</v>
      </c>
      <c r="E291" s="26" t="n">
        <v>0</v>
      </c>
      <c r="F291" s="26" t="n">
        <v>409.4</v>
      </c>
      <c r="G291" s="26" t="n">
        <v>0</v>
      </c>
      <c r="H291" s="26" t="n">
        <v>0</v>
      </c>
      <c r="I291" s="26" t="n">
        <v>0</v>
      </c>
      <c r="J291" s="26" t="n">
        <v>0</v>
      </c>
      <c r="K291" s="26" t="n">
        <v>0</v>
      </c>
      <c r="L291" s="26" t="n">
        <v>0</v>
      </c>
      <c r="M291" s="26" t="n">
        <v>0</v>
      </c>
      <c r="N291" s="26" t="n">
        <v>0</v>
      </c>
      <c r="O291" s="26" t="n">
        <v>0</v>
      </c>
      <c r="P291" s="26" t="n">
        <v>0</v>
      </c>
      <c r="Q291" s="26" t="n">
        <v>0</v>
      </c>
      <c r="R291" s="26" t="n">
        <v>0</v>
      </c>
      <c r="S291" s="26" t="n">
        <v>0</v>
      </c>
      <c r="T291" s="26" t="n">
        <v>0</v>
      </c>
      <c r="U291" s="26" t="n">
        <v>0</v>
      </c>
    </row>
    <row r="292" customFormat="false" ht="15" hidden="false" customHeight="true" outlineLevel="0" collapsed="false">
      <c r="A292" s="8" t="s">
        <v>407</v>
      </c>
      <c r="B292" s="8" t="s">
        <v>312</v>
      </c>
      <c r="C292" s="8" t="s">
        <v>692</v>
      </c>
      <c r="D292" s="26" t="n">
        <v>0</v>
      </c>
      <c r="E292" s="26" t="n">
        <v>0</v>
      </c>
      <c r="F292" s="26" t="n">
        <v>94.6</v>
      </c>
      <c r="G292" s="26" t="n">
        <v>0</v>
      </c>
      <c r="H292" s="26" t="n">
        <v>0</v>
      </c>
      <c r="I292" s="26" t="n">
        <v>-6.6</v>
      </c>
      <c r="J292" s="26" t="n">
        <v>0</v>
      </c>
      <c r="K292" s="26" t="n">
        <v>0</v>
      </c>
      <c r="L292" s="26" t="n">
        <v>0</v>
      </c>
      <c r="M292" s="26" t="n">
        <v>0</v>
      </c>
      <c r="N292" s="26" t="n">
        <v>-47.2</v>
      </c>
      <c r="O292" s="26" t="n">
        <v>0</v>
      </c>
      <c r="P292" s="26" t="n">
        <v>-43.7</v>
      </c>
      <c r="Q292" s="26" t="n">
        <v>40.6</v>
      </c>
      <c r="R292" s="26" t="n">
        <v>43.7</v>
      </c>
      <c r="S292" s="26" t="n">
        <v>0</v>
      </c>
      <c r="T292" s="26" t="n">
        <v>0</v>
      </c>
      <c r="U292" s="26" t="n">
        <v>0</v>
      </c>
    </row>
    <row r="293" customFormat="false" ht="15" hidden="false" customHeight="true" outlineLevel="0" collapsed="false">
      <c r="A293" s="8" t="s">
        <v>407</v>
      </c>
      <c r="B293" s="8" t="s">
        <v>312</v>
      </c>
      <c r="C293" s="8" t="s">
        <v>693</v>
      </c>
      <c r="D293" s="26" t="n">
        <v>0</v>
      </c>
      <c r="E293" s="26" t="n">
        <v>0</v>
      </c>
      <c r="F293" s="26" t="n">
        <v>186</v>
      </c>
      <c r="G293" s="26" t="n">
        <v>0</v>
      </c>
      <c r="H293" s="26" t="n">
        <v>0</v>
      </c>
      <c r="I293" s="26" t="n">
        <v>139.4</v>
      </c>
      <c r="J293" s="26" t="n">
        <v>0</v>
      </c>
      <c r="K293" s="26" t="n">
        <v>0</v>
      </c>
      <c r="L293" s="26" t="n">
        <v>0</v>
      </c>
      <c r="M293" s="26" t="n">
        <v>0</v>
      </c>
      <c r="N293" s="26" t="n">
        <v>0</v>
      </c>
      <c r="O293" s="26" t="n">
        <v>0</v>
      </c>
      <c r="P293" s="26" t="n">
        <v>-131.1</v>
      </c>
      <c r="Q293" s="26" t="n">
        <v>-79.1</v>
      </c>
      <c r="R293" s="26" t="n">
        <v>349.6</v>
      </c>
      <c r="S293" s="26" t="n">
        <v>0</v>
      </c>
      <c r="T293" s="26" t="n">
        <v>0</v>
      </c>
      <c r="U293" s="26" t="n">
        <v>0</v>
      </c>
    </row>
    <row r="294" customFormat="false" ht="15" hidden="false" customHeight="true" outlineLevel="0" collapsed="false">
      <c r="A294" s="8" t="s">
        <v>407</v>
      </c>
      <c r="B294" s="8" t="s">
        <v>312</v>
      </c>
      <c r="C294" s="8" t="s">
        <v>694</v>
      </c>
      <c r="D294" s="26" t="n">
        <v>0</v>
      </c>
      <c r="E294" s="26" t="n">
        <v>0</v>
      </c>
      <c r="F294" s="26" t="n">
        <v>217.5</v>
      </c>
      <c r="G294" s="26" t="n">
        <v>0</v>
      </c>
      <c r="H294" s="26" t="n">
        <v>0</v>
      </c>
      <c r="I294" s="26" t="n">
        <v>-292.7</v>
      </c>
      <c r="J294" s="26" t="n">
        <v>0</v>
      </c>
      <c r="K294" s="26" t="n">
        <v>0</v>
      </c>
      <c r="L294" s="26" t="n">
        <v>0</v>
      </c>
      <c r="M294" s="26" t="n">
        <v>0</v>
      </c>
      <c r="N294" s="26" t="n">
        <v>0</v>
      </c>
      <c r="O294" s="26" t="n">
        <v>0</v>
      </c>
      <c r="P294" s="26" t="n">
        <v>-252.2</v>
      </c>
      <c r="Q294" s="26" t="n">
        <v>-40.6</v>
      </c>
      <c r="R294" s="26" t="n">
        <v>0</v>
      </c>
      <c r="S294" s="26" t="n">
        <v>0</v>
      </c>
      <c r="T294" s="26" t="n">
        <v>0</v>
      </c>
      <c r="U294" s="26" t="n">
        <v>0</v>
      </c>
    </row>
    <row r="295" customFormat="false" ht="15" hidden="false" customHeight="true" outlineLevel="0" collapsed="false">
      <c r="A295" s="8" t="s">
        <v>407</v>
      </c>
      <c r="B295" s="8" t="s">
        <v>352</v>
      </c>
      <c r="C295" s="8" t="s">
        <v>695</v>
      </c>
      <c r="D295" s="26" t="n">
        <v>0</v>
      </c>
      <c r="E295" s="26" t="n">
        <v>0</v>
      </c>
      <c r="F295" s="26" t="n">
        <v>0</v>
      </c>
      <c r="G295" s="26" t="n">
        <v>0</v>
      </c>
      <c r="H295" s="26" t="n">
        <v>0</v>
      </c>
      <c r="I295" s="26" t="n">
        <v>-271</v>
      </c>
      <c r="J295" s="26" t="n">
        <v>0</v>
      </c>
      <c r="K295" s="26" t="n">
        <v>0</v>
      </c>
      <c r="L295" s="26" t="n">
        <v>0</v>
      </c>
      <c r="M295" s="26" t="n">
        <v>0</v>
      </c>
      <c r="N295" s="26" t="n">
        <v>0</v>
      </c>
      <c r="O295" s="26" t="n">
        <v>0</v>
      </c>
      <c r="P295" s="26" t="n">
        <v>-467.7</v>
      </c>
      <c r="Q295" s="26" t="n">
        <v>0</v>
      </c>
      <c r="R295" s="26" t="n">
        <v>196.7</v>
      </c>
      <c r="S295" s="26" t="n">
        <v>0</v>
      </c>
      <c r="T295" s="26" t="n">
        <v>0</v>
      </c>
      <c r="U295" s="26" t="n">
        <v>0</v>
      </c>
    </row>
    <row r="296" customFormat="false" ht="15" hidden="false" customHeight="true" outlineLevel="0" collapsed="false">
      <c r="A296" s="8" t="s">
        <v>407</v>
      </c>
      <c r="B296" s="8" t="s">
        <v>352</v>
      </c>
      <c r="C296" s="8" t="s">
        <v>696</v>
      </c>
      <c r="D296" s="26" t="n">
        <v>0</v>
      </c>
      <c r="E296" s="26" t="n">
        <v>0</v>
      </c>
      <c r="F296" s="26" t="n">
        <v>0</v>
      </c>
      <c r="G296" s="26" t="n">
        <v>0</v>
      </c>
      <c r="H296" s="26" t="n">
        <v>0</v>
      </c>
      <c r="I296" s="26" t="n">
        <v>-758.9</v>
      </c>
      <c r="J296" s="26" t="n">
        <v>0</v>
      </c>
      <c r="K296" s="26" t="n">
        <v>0</v>
      </c>
      <c r="L296" s="26" t="n">
        <v>0</v>
      </c>
      <c r="M296" s="26" t="n">
        <v>0</v>
      </c>
      <c r="N296" s="26" t="n">
        <v>0</v>
      </c>
      <c r="O296" s="26" t="n">
        <v>0</v>
      </c>
      <c r="P296" s="26" t="n">
        <v>-393.5</v>
      </c>
      <c r="Q296" s="26" t="n">
        <v>-365.4</v>
      </c>
      <c r="R296" s="26" t="n">
        <v>0</v>
      </c>
      <c r="S296" s="26" t="n">
        <v>0</v>
      </c>
      <c r="T296" s="26" t="n">
        <v>0</v>
      </c>
      <c r="U296" s="26" t="n">
        <v>0</v>
      </c>
    </row>
    <row r="297" customFormat="false" ht="15" hidden="false" customHeight="true" outlineLevel="0" collapsed="false">
      <c r="A297" s="8" t="s">
        <v>407</v>
      </c>
      <c r="B297" s="8" t="s">
        <v>352</v>
      </c>
      <c r="C297" s="8" t="s">
        <v>697</v>
      </c>
      <c r="D297" s="26" t="n">
        <v>0</v>
      </c>
      <c r="E297" s="26" t="n">
        <v>0</v>
      </c>
      <c r="F297" s="26" t="n">
        <v>-13.5</v>
      </c>
      <c r="G297" s="26" t="n">
        <v>0</v>
      </c>
      <c r="H297" s="26" t="n">
        <v>0</v>
      </c>
      <c r="I297" s="26" t="n">
        <v>-365.4</v>
      </c>
      <c r="J297" s="26" t="n">
        <v>0</v>
      </c>
      <c r="K297" s="26" t="n">
        <v>0</v>
      </c>
      <c r="L297" s="26" t="n">
        <v>0</v>
      </c>
      <c r="M297" s="26" t="n">
        <v>0</v>
      </c>
      <c r="N297" s="26" t="n">
        <v>0</v>
      </c>
      <c r="O297" s="26" t="n">
        <v>0</v>
      </c>
      <c r="P297" s="26" t="n">
        <v>0</v>
      </c>
      <c r="Q297" s="26" t="n">
        <v>-365.4</v>
      </c>
      <c r="R297" s="26" t="n">
        <v>0</v>
      </c>
      <c r="S297" s="26" t="n">
        <v>0</v>
      </c>
      <c r="T297" s="26" t="n">
        <v>0</v>
      </c>
      <c r="U297" s="26" t="n">
        <v>0</v>
      </c>
    </row>
    <row r="298" customFormat="false" ht="15" hidden="false" customHeight="true" outlineLevel="0" collapsed="false">
      <c r="A298" s="8" t="s">
        <v>407</v>
      </c>
      <c r="B298" s="8" t="s">
        <v>352</v>
      </c>
      <c r="C298" s="8" t="s">
        <v>698</v>
      </c>
      <c r="D298" s="26" t="n">
        <v>0</v>
      </c>
      <c r="E298" s="26" t="n">
        <v>0</v>
      </c>
      <c r="F298" s="26" t="n">
        <v>189.8</v>
      </c>
      <c r="G298" s="26" t="n">
        <v>0</v>
      </c>
      <c r="H298" s="26" t="n">
        <v>0</v>
      </c>
      <c r="I298" s="26" t="n">
        <v>787</v>
      </c>
      <c r="J298" s="26" t="n">
        <v>0</v>
      </c>
      <c r="K298" s="26" t="n">
        <v>0</v>
      </c>
      <c r="L298" s="26" t="n">
        <v>0</v>
      </c>
      <c r="M298" s="26" t="n">
        <v>0</v>
      </c>
      <c r="N298" s="26" t="n">
        <v>0</v>
      </c>
      <c r="O298" s="26" t="n">
        <v>0</v>
      </c>
      <c r="P298" s="26" t="n">
        <v>0</v>
      </c>
      <c r="Q298" s="26" t="n">
        <v>0</v>
      </c>
      <c r="R298" s="26" t="n">
        <v>787</v>
      </c>
      <c r="S298" s="26" t="n">
        <v>0</v>
      </c>
      <c r="T298" s="26" t="n">
        <v>0</v>
      </c>
      <c r="U298" s="26" t="n">
        <v>0</v>
      </c>
    </row>
    <row r="299" customFormat="false" ht="15" hidden="false" customHeight="true" outlineLevel="0" collapsed="false">
      <c r="A299" s="8" t="s">
        <v>407</v>
      </c>
      <c r="B299" s="8" t="s">
        <v>352</v>
      </c>
      <c r="C299" s="8" t="s">
        <v>699</v>
      </c>
      <c r="D299" s="26" t="n">
        <v>0</v>
      </c>
      <c r="E299" s="26" t="n">
        <v>0</v>
      </c>
      <c r="F299" s="26" t="n">
        <v>203.4</v>
      </c>
      <c r="G299" s="26" t="n">
        <v>0</v>
      </c>
      <c r="H299" s="26" t="n">
        <v>0</v>
      </c>
      <c r="I299" s="26" t="n">
        <v>0</v>
      </c>
      <c r="J299" s="26" t="n">
        <v>0</v>
      </c>
      <c r="K299" s="26" t="n">
        <v>0</v>
      </c>
      <c r="L299" s="26" t="n">
        <v>0</v>
      </c>
      <c r="M299" s="26" t="n">
        <v>0</v>
      </c>
      <c r="N299" s="26" t="n">
        <v>0</v>
      </c>
      <c r="O299" s="26" t="n">
        <v>0</v>
      </c>
      <c r="P299" s="26" t="n">
        <v>0</v>
      </c>
      <c r="Q299" s="26" t="n">
        <v>0</v>
      </c>
      <c r="R299" s="26" t="n">
        <v>0</v>
      </c>
      <c r="S299" s="26" t="n">
        <v>0</v>
      </c>
      <c r="T299" s="26" t="n">
        <v>0</v>
      </c>
      <c r="U299" s="26" t="n">
        <v>0</v>
      </c>
    </row>
    <row r="300" customFormat="false" ht="15" hidden="false" customHeight="true" outlineLevel="0" collapsed="false">
      <c r="A300" s="8" t="s">
        <v>407</v>
      </c>
      <c r="B300" s="8" t="s">
        <v>111</v>
      </c>
      <c r="C300" s="8" t="s">
        <v>700</v>
      </c>
      <c r="D300" s="26" t="n">
        <v>0</v>
      </c>
      <c r="E300" s="26" t="n">
        <v>0</v>
      </c>
      <c r="F300" s="26" t="n">
        <v>0</v>
      </c>
      <c r="G300" s="26" t="n">
        <v>0</v>
      </c>
      <c r="H300" s="26" t="n">
        <v>0</v>
      </c>
      <c r="I300" s="26" t="n">
        <v>-185.8</v>
      </c>
      <c r="J300" s="26" t="n">
        <v>0</v>
      </c>
      <c r="K300" s="26" t="n">
        <v>0</v>
      </c>
      <c r="L300" s="26" t="n">
        <v>0</v>
      </c>
      <c r="M300" s="26" t="n">
        <v>0</v>
      </c>
      <c r="N300" s="26" t="n">
        <v>0</v>
      </c>
      <c r="O300" s="26" t="n">
        <v>0</v>
      </c>
      <c r="P300" s="26" t="n">
        <v>0</v>
      </c>
      <c r="Q300" s="26" t="n">
        <v>-185.8</v>
      </c>
      <c r="R300" s="26" t="n">
        <v>0</v>
      </c>
      <c r="S300" s="26" t="n">
        <v>0</v>
      </c>
      <c r="T300" s="26" t="n">
        <v>0</v>
      </c>
      <c r="U300" s="26" t="n">
        <v>0</v>
      </c>
    </row>
    <row r="301" customFormat="false" ht="15" hidden="false" customHeight="true" outlineLevel="0" collapsed="false">
      <c r="A301" s="8" t="s">
        <v>407</v>
      </c>
      <c r="B301" s="8" t="s">
        <v>272</v>
      </c>
      <c r="C301" s="8" t="s">
        <v>701</v>
      </c>
      <c r="D301" s="26" t="n">
        <v>0</v>
      </c>
      <c r="E301" s="26" t="n">
        <v>0</v>
      </c>
      <c r="F301" s="26" t="n">
        <v>0</v>
      </c>
      <c r="G301" s="26" t="n">
        <v>0</v>
      </c>
      <c r="H301" s="26" t="n">
        <v>0</v>
      </c>
      <c r="I301" s="26" t="n">
        <v>2428.2</v>
      </c>
      <c r="J301" s="26" t="n">
        <v>0</v>
      </c>
      <c r="K301" s="26" t="n">
        <v>0</v>
      </c>
      <c r="L301" s="26" t="n">
        <v>0</v>
      </c>
      <c r="M301" s="26" t="n">
        <v>0</v>
      </c>
      <c r="N301" s="26" t="n">
        <v>0</v>
      </c>
      <c r="O301" s="26" t="n">
        <v>0</v>
      </c>
      <c r="P301" s="26" t="n">
        <v>0</v>
      </c>
      <c r="Q301" s="26" t="n">
        <v>2428.2</v>
      </c>
      <c r="R301" s="26" t="n">
        <v>0</v>
      </c>
      <c r="S301" s="26" t="n">
        <v>0</v>
      </c>
      <c r="T301" s="26" t="n">
        <v>0</v>
      </c>
      <c r="U301" s="26" t="n">
        <v>0</v>
      </c>
    </row>
    <row r="302" customFormat="false" ht="15" hidden="false" customHeight="true" outlineLevel="0" collapsed="false">
      <c r="A302" s="8" t="s">
        <v>407</v>
      </c>
      <c r="B302" s="8" t="s">
        <v>268</v>
      </c>
      <c r="C302" s="8" t="s">
        <v>702</v>
      </c>
      <c r="D302" s="26" t="n">
        <v>0</v>
      </c>
      <c r="E302" s="26" t="n">
        <v>0</v>
      </c>
      <c r="F302" s="26" t="n">
        <v>346.6</v>
      </c>
      <c r="G302" s="26" t="n">
        <v>0</v>
      </c>
      <c r="H302" s="26" t="n">
        <v>0</v>
      </c>
      <c r="I302" s="26" t="n">
        <v>0</v>
      </c>
      <c r="J302" s="26" t="n">
        <v>0</v>
      </c>
      <c r="K302" s="26" t="n">
        <v>0</v>
      </c>
      <c r="L302" s="26" t="n">
        <v>0</v>
      </c>
      <c r="M302" s="26" t="n">
        <v>0</v>
      </c>
      <c r="N302" s="26" t="n">
        <v>0</v>
      </c>
      <c r="O302" s="26" t="n">
        <v>0</v>
      </c>
      <c r="P302" s="26" t="n">
        <v>0</v>
      </c>
      <c r="Q302" s="26" t="n">
        <v>0</v>
      </c>
      <c r="R302" s="26" t="n">
        <v>0</v>
      </c>
      <c r="S302" s="26" t="n">
        <v>0</v>
      </c>
      <c r="T302" s="26" t="n">
        <v>0</v>
      </c>
      <c r="U302" s="26" t="n">
        <v>0</v>
      </c>
    </row>
    <row r="303" customFormat="false" ht="15" hidden="false" customHeight="true" outlineLevel="0" collapsed="false">
      <c r="A303" s="8" t="s">
        <v>407</v>
      </c>
      <c r="B303" s="8" t="s">
        <v>182</v>
      </c>
      <c r="C303" s="8" t="s">
        <v>703</v>
      </c>
      <c r="D303" s="26" t="n">
        <v>0</v>
      </c>
      <c r="E303" s="26" t="n">
        <v>0</v>
      </c>
      <c r="F303" s="26" t="n">
        <v>4291.2</v>
      </c>
      <c r="G303" s="26" t="n">
        <v>0</v>
      </c>
      <c r="H303" s="26" t="n">
        <v>0</v>
      </c>
      <c r="I303" s="26" t="n">
        <v>28034.3</v>
      </c>
      <c r="J303" s="26" t="n">
        <v>0</v>
      </c>
      <c r="K303" s="26" t="n">
        <v>346</v>
      </c>
      <c r="L303" s="26" t="n">
        <v>-28.8</v>
      </c>
      <c r="M303" s="26" t="n">
        <v>0</v>
      </c>
      <c r="N303" s="26" t="n">
        <v>41.2</v>
      </c>
      <c r="O303" s="26" t="n">
        <v>65.5</v>
      </c>
      <c r="P303" s="26" t="n">
        <v>-201.8</v>
      </c>
      <c r="Q303" s="26" t="n">
        <v>25707.7</v>
      </c>
      <c r="R303" s="26" t="n">
        <v>2104.6</v>
      </c>
      <c r="S303" s="26" t="n">
        <v>0</v>
      </c>
      <c r="T303" s="26" t="n">
        <v>0</v>
      </c>
      <c r="U303" s="26" t="n">
        <v>0</v>
      </c>
    </row>
    <row r="304" customFormat="false" ht="15" hidden="false" customHeight="true" outlineLevel="0" collapsed="false">
      <c r="A304" s="8" t="s">
        <v>407</v>
      </c>
      <c r="B304" s="8" t="s">
        <v>99</v>
      </c>
      <c r="C304" s="8" t="s">
        <v>704</v>
      </c>
      <c r="D304" s="26" t="n">
        <v>0</v>
      </c>
      <c r="E304" s="26" t="n">
        <v>0</v>
      </c>
      <c r="F304" s="26" t="n">
        <v>240.9</v>
      </c>
      <c r="G304" s="26" t="n">
        <v>0</v>
      </c>
      <c r="H304" s="26" t="n">
        <v>0</v>
      </c>
      <c r="I304" s="26" t="n">
        <v>0</v>
      </c>
      <c r="J304" s="26" t="n">
        <v>0</v>
      </c>
      <c r="K304" s="26" t="n">
        <v>0</v>
      </c>
      <c r="L304" s="26" t="n">
        <v>0</v>
      </c>
      <c r="M304" s="26" t="n">
        <v>0</v>
      </c>
      <c r="N304" s="26" t="n">
        <v>0</v>
      </c>
      <c r="O304" s="26" t="n">
        <v>0</v>
      </c>
      <c r="P304" s="26" t="n">
        <v>0</v>
      </c>
      <c r="Q304" s="26" t="n">
        <v>0</v>
      </c>
      <c r="R304" s="26" t="n">
        <v>0</v>
      </c>
      <c r="S304" s="26" t="n">
        <v>0</v>
      </c>
      <c r="T304" s="26" t="n">
        <v>0</v>
      </c>
      <c r="U304" s="26" t="n">
        <v>0</v>
      </c>
    </row>
    <row r="305" customFormat="false" ht="15" hidden="false" customHeight="true" outlineLevel="0" collapsed="false">
      <c r="A305" s="8" t="s">
        <v>407</v>
      </c>
      <c r="B305" s="8" t="s">
        <v>229</v>
      </c>
      <c r="C305" s="8" t="s">
        <v>705</v>
      </c>
      <c r="D305" s="26" t="n">
        <v>0</v>
      </c>
      <c r="E305" s="26" t="n">
        <v>0</v>
      </c>
      <c r="F305" s="26" t="n">
        <v>11419.5</v>
      </c>
      <c r="G305" s="26" t="n">
        <v>0</v>
      </c>
      <c r="H305" s="26" t="n">
        <v>0</v>
      </c>
      <c r="I305" s="26" t="n">
        <v>381.1</v>
      </c>
      <c r="J305" s="26" t="n">
        <v>0</v>
      </c>
      <c r="K305" s="26" t="n">
        <v>0</v>
      </c>
      <c r="L305" s="26" t="n">
        <v>0</v>
      </c>
      <c r="M305" s="26" t="n">
        <v>321.7</v>
      </c>
      <c r="N305" s="26" t="n">
        <v>59.5</v>
      </c>
      <c r="O305" s="26" t="n">
        <v>0</v>
      </c>
      <c r="P305" s="26" t="n">
        <v>0</v>
      </c>
      <c r="Q305" s="26" t="n">
        <v>0</v>
      </c>
      <c r="R305" s="26" t="n">
        <v>0</v>
      </c>
      <c r="S305" s="26" t="n">
        <v>0</v>
      </c>
      <c r="T305" s="26" t="n">
        <v>0</v>
      </c>
      <c r="U305" s="26" t="n">
        <v>0</v>
      </c>
    </row>
    <row r="306" customFormat="false" ht="15" hidden="false" customHeight="true" outlineLevel="0" collapsed="false">
      <c r="A306" s="8" t="s">
        <v>407</v>
      </c>
      <c r="B306" s="8" t="s">
        <v>154</v>
      </c>
      <c r="C306" s="8" t="s">
        <v>706</v>
      </c>
      <c r="D306" s="26" t="n">
        <v>0</v>
      </c>
      <c r="E306" s="26" t="n">
        <v>0</v>
      </c>
      <c r="F306" s="26" t="n">
        <v>9674.1</v>
      </c>
      <c r="G306" s="26" t="n">
        <v>0</v>
      </c>
      <c r="H306" s="26" t="n">
        <v>0</v>
      </c>
      <c r="I306" s="26" t="n">
        <v>270.4</v>
      </c>
      <c r="J306" s="26" t="n">
        <v>0</v>
      </c>
      <c r="K306" s="26" t="n">
        <v>90.1</v>
      </c>
      <c r="L306" s="26" t="n">
        <v>0</v>
      </c>
      <c r="M306" s="26" t="n">
        <v>0</v>
      </c>
      <c r="N306" s="26" t="n">
        <v>0</v>
      </c>
      <c r="O306" s="26" t="n">
        <v>0</v>
      </c>
      <c r="P306" s="26" t="n">
        <v>0</v>
      </c>
      <c r="Q306" s="26" t="n">
        <v>0</v>
      </c>
      <c r="R306" s="26" t="n">
        <v>180.2</v>
      </c>
      <c r="S306" s="26" t="n">
        <v>0</v>
      </c>
      <c r="T306" s="26" t="n">
        <v>0</v>
      </c>
      <c r="U306" s="26" t="n">
        <v>0</v>
      </c>
    </row>
    <row r="307" customFormat="false" ht="15" hidden="false" customHeight="true" outlineLevel="0" collapsed="false">
      <c r="A307" s="8" t="s">
        <v>407</v>
      </c>
      <c r="B307" s="8" t="s">
        <v>146</v>
      </c>
      <c r="C307" s="8" t="s">
        <v>707</v>
      </c>
      <c r="D307" s="26" t="n">
        <v>0</v>
      </c>
      <c r="E307" s="26" t="n">
        <v>0</v>
      </c>
      <c r="F307" s="26" t="n">
        <v>35979.5</v>
      </c>
      <c r="G307" s="26" t="n">
        <v>0</v>
      </c>
      <c r="H307" s="26" t="n">
        <v>0</v>
      </c>
      <c r="I307" s="26" t="n">
        <v>6000.1</v>
      </c>
      <c r="J307" s="26" t="n">
        <v>0</v>
      </c>
      <c r="K307" s="26" t="n">
        <v>0</v>
      </c>
      <c r="L307" s="26" t="n">
        <v>0</v>
      </c>
      <c r="M307" s="26" t="n">
        <v>795.8</v>
      </c>
      <c r="N307" s="26" t="n">
        <v>141.7</v>
      </c>
      <c r="O307" s="26" t="n">
        <v>0</v>
      </c>
      <c r="P307" s="26" t="n">
        <v>0</v>
      </c>
      <c r="Q307" s="26" t="n">
        <v>5062.6</v>
      </c>
      <c r="R307" s="26" t="n">
        <v>0</v>
      </c>
      <c r="S307" s="26" t="n">
        <v>70</v>
      </c>
      <c r="T307" s="26" t="n">
        <v>0</v>
      </c>
      <c r="U307" s="26" t="n">
        <v>0</v>
      </c>
    </row>
    <row r="308" customFormat="false" ht="15" hidden="false" customHeight="true" outlineLevel="0" collapsed="false">
      <c r="A308" s="8" t="s">
        <v>407</v>
      </c>
      <c r="B308" s="8" t="s">
        <v>321</v>
      </c>
      <c r="C308" s="8" t="s">
        <v>708</v>
      </c>
      <c r="D308" s="26" t="n">
        <v>0</v>
      </c>
      <c r="E308" s="26" t="n">
        <v>0</v>
      </c>
      <c r="F308" s="26" t="n">
        <v>955.8</v>
      </c>
      <c r="G308" s="26" t="n">
        <v>0</v>
      </c>
      <c r="H308" s="26" t="n">
        <v>0</v>
      </c>
      <c r="I308" s="26" t="n">
        <v>245.6</v>
      </c>
      <c r="J308" s="26" t="n">
        <v>0</v>
      </c>
      <c r="K308" s="26" t="n">
        <v>0</v>
      </c>
      <c r="L308" s="26" t="n">
        <v>0</v>
      </c>
      <c r="M308" s="26" t="n">
        <v>0</v>
      </c>
      <c r="N308" s="26" t="n">
        <v>245.6</v>
      </c>
      <c r="O308" s="26" t="n">
        <v>0</v>
      </c>
      <c r="P308" s="26" t="n">
        <v>0</v>
      </c>
      <c r="Q308" s="26" t="n">
        <v>0</v>
      </c>
      <c r="R308" s="26" t="n">
        <v>0</v>
      </c>
      <c r="S308" s="26" t="n">
        <v>0</v>
      </c>
      <c r="T308" s="26" t="n">
        <v>0</v>
      </c>
      <c r="U308" s="26" t="n">
        <v>0</v>
      </c>
    </row>
    <row r="309" customFormat="false" ht="15" hidden="false" customHeight="true" outlineLevel="0" collapsed="false">
      <c r="A309" s="8" t="s">
        <v>407</v>
      </c>
      <c r="B309" s="8" t="s">
        <v>160</v>
      </c>
      <c r="C309" s="8" t="s">
        <v>709</v>
      </c>
      <c r="D309" s="26" t="n">
        <v>0</v>
      </c>
      <c r="E309" s="26" t="n">
        <v>0</v>
      </c>
      <c r="F309" s="26" t="n">
        <v>8293.3</v>
      </c>
      <c r="G309" s="26" t="n">
        <v>0</v>
      </c>
      <c r="H309" s="26" t="n">
        <v>0</v>
      </c>
      <c r="I309" s="26" t="n">
        <v>107.6</v>
      </c>
      <c r="J309" s="26" t="n">
        <v>0</v>
      </c>
      <c r="K309" s="26" t="n">
        <v>0</v>
      </c>
      <c r="L309" s="26" t="n">
        <v>0</v>
      </c>
      <c r="M309" s="26" t="n">
        <v>107.6</v>
      </c>
      <c r="N309" s="26" t="n">
        <v>0</v>
      </c>
      <c r="O309" s="26" t="n">
        <v>0</v>
      </c>
      <c r="P309" s="26" t="n">
        <v>0</v>
      </c>
      <c r="Q309" s="26" t="n">
        <v>0</v>
      </c>
      <c r="R309" s="26" t="n">
        <v>0</v>
      </c>
      <c r="S309" s="26" t="n">
        <v>0</v>
      </c>
      <c r="T309" s="26" t="n">
        <v>0</v>
      </c>
      <c r="U309" s="26" t="n">
        <v>0</v>
      </c>
    </row>
    <row r="310" customFormat="false" ht="15" hidden="false" customHeight="true" outlineLevel="0" collapsed="false">
      <c r="A310" s="8" t="s">
        <v>407</v>
      </c>
      <c r="B310" s="8" t="s">
        <v>100</v>
      </c>
      <c r="C310" s="8" t="s">
        <v>710</v>
      </c>
      <c r="D310" s="26" t="n">
        <v>0</v>
      </c>
      <c r="E310" s="26" t="n">
        <v>0</v>
      </c>
      <c r="F310" s="26" t="n">
        <v>146.2</v>
      </c>
      <c r="G310" s="26" t="n">
        <v>0</v>
      </c>
      <c r="H310" s="26" t="n">
        <v>0</v>
      </c>
      <c r="I310" s="26" t="n">
        <v>0</v>
      </c>
      <c r="J310" s="26" t="n">
        <v>0</v>
      </c>
      <c r="K310" s="26" t="n">
        <v>0</v>
      </c>
      <c r="L310" s="26" t="n">
        <v>0</v>
      </c>
      <c r="M310" s="26" t="n">
        <v>0</v>
      </c>
      <c r="N310" s="26" t="n">
        <v>0</v>
      </c>
      <c r="O310" s="26" t="n">
        <v>0</v>
      </c>
      <c r="P310" s="26" t="n">
        <v>0</v>
      </c>
      <c r="Q310" s="26" t="n">
        <v>0</v>
      </c>
      <c r="R310" s="26" t="n">
        <v>0</v>
      </c>
      <c r="S310" s="26" t="n">
        <v>0</v>
      </c>
      <c r="T310" s="26" t="n">
        <v>0</v>
      </c>
      <c r="U310" s="26" t="n">
        <v>0</v>
      </c>
    </row>
    <row r="311" customFormat="false" ht="15" hidden="false" customHeight="true" outlineLevel="0" collapsed="false">
      <c r="A311" s="8" t="s">
        <v>407</v>
      </c>
      <c r="B311" s="8" t="s">
        <v>249</v>
      </c>
      <c r="C311" s="8" t="s">
        <v>711</v>
      </c>
      <c r="D311" s="26" t="n">
        <v>0</v>
      </c>
      <c r="E311" s="26" t="n">
        <v>0</v>
      </c>
      <c r="F311" s="26" t="n">
        <v>676</v>
      </c>
      <c r="G311" s="26" t="n">
        <v>0</v>
      </c>
      <c r="H311" s="26" t="n">
        <v>0</v>
      </c>
      <c r="I311" s="26" t="n">
        <v>5560</v>
      </c>
      <c r="J311" s="26" t="n">
        <v>0</v>
      </c>
      <c r="K311" s="26" t="n">
        <v>655.5</v>
      </c>
      <c r="L311" s="26" t="n">
        <v>0</v>
      </c>
      <c r="M311" s="26" t="n">
        <v>0</v>
      </c>
      <c r="N311" s="26" t="n">
        <v>38.2</v>
      </c>
      <c r="O311" s="26" t="n">
        <v>0</v>
      </c>
      <c r="P311" s="26" t="n">
        <v>-174.8</v>
      </c>
      <c r="Q311" s="26" t="n">
        <v>4298.2</v>
      </c>
      <c r="R311" s="26" t="n">
        <v>742.9</v>
      </c>
      <c r="S311" s="26" t="n">
        <v>0</v>
      </c>
      <c r="T311" s="26" t="n">
        <v>0</v>
      </c>
      <c r="U311" s="26" t="n">
        <v>0</v>
      </c>
    </row>
    <row r="312" customFormat="false" ht="15" hidden="false" customHeight="true" outlineLevel="0" collapsed="false">
      <c r="A312" s="8" t="s">
        <v>407</v>
      </c>
      <c r="B312" s="8" t="s">
        <v>178</v>
      </c>
      <c r="C312" s="8" t="s">
        <v>712</v>
      </c>
      <c r="D312" s="26" t="n">
        <v>0</v>
      </c>
      <c r="E312" s="26" t="n">
        <v>0</v>
      </c>
      <c r="F312" s="26" t="n">
        <v>512.4</v>
      </c>
      <c r="G312" s="26" t="n">
        <v>0</v>
      </c>
      <c r="H312" s="26" t="n">
        <v>0</v>
      </c>
      <c r="I312" s="26" t="n">
        <v>0</v>
      </c>
      <c r="J312" s="26" t="n">
        <v>0</v>
      </c>
      <c r="K312" s="26" t="n">
        <v>0</v>
      </c>
      <c r="L312" s="26" t="n">
        <v>0</v>
      </c>
      <c r="M312" s="26" t="n">
        <v>0</v>
      </c>
      <c r="N312" s="26" t="n">
        <v>0</v>
      </c>
      <c r="O312" s="26" t="n">
        <v>0</v>
      </c>
      <c r="P312" s="26" t="n">
        <v>0</v>
      </c>
      <c r="Q312" s="26" t="n">
        <v>0</v>
      </c>
      <c r="R312" s="26" t="n">
        <v>0</v>
      </c>
      <c r="S312" s="26" t="n">
        <v>0</v>
      </c>
      <c r="T312" s="26" t="n">
        <v>0</v>
      </c>
      <c r="U312" s="26" t="n">
        <v>0</v>
      </c>
    </row>
    <row r="313" customFormat="false" ht="15" hidden="false" customHeight="true" outlineLevel="0" collapsed="false">
      <c r="A313" s="8" t="s">
        <v>407</v>
      </c>
      <c r="B313" s="8" t="s">
        <v>178</v>
      </c>
      <c r="C313" s="8" t="s">
        <v>713</v>
      </c>
      <c r="D313" s="26" t="n">
        <v>0</v>
      </c>
      <c r="E313" s="26" t="n">
        <v>0</v>
      </c>
      <c r="F313" s="26" t="n">
        <v>685.1</v>
      </c>
      <c r="G313" s="26" t="n">
        <v>0</v>
      </c>
      <c r="H313" s="26" t="n">
        <v>0</v>
      </c>
      <c r="I313" s="26" t="n">
        <v>0</v>
      </c>
      <c r="J313" s="26" t="n">
        <v>0</v>
      </c>
      <c r="K313" s="26" t="n">
        <v>0</v>
      </c>
      <c r="L313" s="26" t="n">
        <v>0</v>
      </c>
      <c r="M313" s="26" t="n">
        <v>0</v>
      </c>
      <c r="N313" s="26" t="n">
        <v>0</v>
      </c>
      <c r="O313" s="26" t="n">
        <v>0</v>
      </c>
      <c r="P313" s="26" t="n">
        <v>0</v>
      </c>
      <c r="Q313" s="26" t="n">
        <v>0</v>
      </c>
      <c r="R313" s="26" t="n">
        <v>0</v>
      </c>
      <c r="S313" s="26" t="n">
        <v>0</v>
      </c>
      <c r="T313" s="26" t="n">
        <v>0</v>
      </c>
      <c r="U313" s="26" t="n">
        <v>0</v>
      </c>
    </row>
    <row r="314" customFormat="false" ht="15" hidden="false" customHeight="true" outlineLevel="0" collapsed="false">
      <c r="A314" s="8" t="s">
        <v>407</v>
      </c>
      <c r="B314" s="8" t="s">
        <v>178</v>
      </c>
      <c r="C314" s="8" t="s">
        <v>714</v>
      </c>
      <c r="D314" s="26" t="n">
        <v>0</v>
      </c>
      <c r="E314" s="26" t="n">
        <v>0</v>
      </c>
      <c r="F314" s="26" t="n">
        <v>175</v>
      </c>
      <c r="G314" s="26" t="n">
        <v>0</v>
      </c>
      <c r="H314" s="26" t="n">
        <v>0</v>
      </c>
      <c r="I314" s="26" t="n">
        <v>0</v>
      </c>
      <c r="J314" s="26" t="n">
        <v>0</v>
      </c>
      <c r="K314" s="26" t="n">
        <v>0</v>
      </c>
      <c r="L314" s="26" t="n">
        <v>0</v>
      </c>
      <c r="M314" s="26" t="n">
        <v>0</v>
      </c>
      <c r="N314" s="26" t="n">
        <v>0</v>
      </c>
      <c r="O314" s="26" t="n">
        <v>0</v>
      </c>
      <c r="P314" s="26" t="n">
        <v>0</v>
      </c>
      <c r="Q314" s="26" t="n">
        <v>0</v>
      </c>
      <c r="R314" s="26" t="n">
        <v>0</v>
      </c>
      <c r="S314" s="26" t="n">
        <v>0</v>
      </c>
      <c r="T314" s="26" t="n">
        <v>0</v>
      </c>
      <c r="U314" s="26" t="n">
        <v>0</v>
      </c>
    </row>
    <row r="315" customFormat="false" ht="15" hidden="false" customHeight="true" outlineLevel="0" collapsed="false">
      <c r="A315" s="8" t="s">
        <v>407</v>
      </c>
      <c r="B315" s="8" t="s">
        <v>178</v>
      </c>
      <c r="C315" s="8" t="s">
        <v>715</v>
      </c>
      <c r="D315" s="26" t="n">
        <v>0</v>
      </c>
      <c r="E315" s="26" t="n">
        <v>0</v>
      </c>
      <c r="F315" s="26" t="n">
        <v>524.8</v>
      </c>
      <c r="G315" s="26" t="n">
        <v>0</v>
      </c>
      <c r="H315" s="26" t="n">
        <v>0</v>
      </c>
      <c r="I315" s="26" t="n">
        <v>0</v>
      </c>
      <c r="J315" s="26" t="n">
        <v>0</v>
      </c>
      <c r="K315" s="26" t="n">
        <v>0</v>
      </c>
      <c r="L315" s="26" t="n">
        <v>0</v>
      </c>
      <c r="M315" s="26" t="n">
        <v>0</v>
      </c>
      <c r="N315" s="26" t="n">
        <v>0</v>
      </c>
      <c r="O315" s="26" t="n">
        <v>0</v>
      </c>
      <c r="P315" s="26" t="n">
        <v>0</v>
      </c>
      <c r="Q315" s="26" t="n">
        <v>0</v>
      </c>
      <c r="R315" s="26" t="n">
        <v>0</v>
      </c>
      <c r="S315" s="26" t="n">
        <v>0</v>
      </c>
      <c r="T315" s="26" t="n">
        <v>0</v>
      </c>
      <c r="U315" s="26" t="n">
        <v>0</v>
      </c>
    </row>
    <row r="316" customFormat="false" ht="15" hidden="false" customHeight="true" outlineLevel="0" collapsed="false">
      <c r="A316" s="8" t="s">
        <v>407</v>
      </c>
      <c r="B316" s="8" t="s">
        <v>109</v>
      </c>
      <c r="C316" s="8" t="s">
        <v>716</v>
      </c>
      <c r="D316" s="26" t="n">
        <v>0</v>
      </c>
      <c r="E316" s="26" t="n">
        <v>0</v>
      </c>
      <c r="F316" s="26" t="n">
        <v>22916.1</v>
      </c>
      <c r="G316" s="26" t="n">
        <v>0</v>
      </c>
      <c r="H316" s="26" t="n">
        <v>0</v>
      </c>
      <c r="I316" s="26" t="n">
        <v>73148</v>
      </c>
      <c r="J316" s="26" t="n">
        <v>0</v>
      </c>
      <c r="K316" s="26" t="n">
        <v>172.1</v>
      </c>
      <c r="L316" s="26" t="n">
        <v>0</v>
      </c>
      <c r="M316" s="26" t="n">
        <v>72.7</v>
      </c>
      <c r="N316" s="26" t="n">
        <v>279.4</v>
      </c>
      <c r="O316" s="26" t="n">
        <v>134.7</v>
      </c>
      <c r="P316" s="26" t="n">
        <v>-538.9</v>
      </c>
      <c r="Q316" s="26" t="n">
        <v>66609.4</v>
      </c>
      <c r="R316" s="26" t="n">
        <v>6418.7</v>
      </c>
      <c r="S316" s="26" t="n">
        <v>0</v>
      </c>
      <c r="T316" s="26" t="n">
        <v>0</v>
      </c>
      <c r="U316" s="26" t="n">
        <v>0</v>
      </c>
    </row>
    <row r="317" customFormat="false" ht="15" hidden="false" customHeight="true" outlineLevel="0" collapsed="false">
      <c r="A317" s="8" t="s">
        <v>407</v>
      </c>
      <c r="B317" s="8" t="s">
        <v>85</v>
      </c>
      <c r="C317" s="8" t="s">
        <v>717</v>
      </c>
      <c r="D317" s="26" t="n">
        <v>0</v>
      </c>
      <c r="E317" s="26" t="n">
        <v>0</v>
      </c>
      <c r="F317" s="26" t="n">
        <v>10415.4</v>
      </c>
      <c r="G317" s="26" t="n">
        <v>0</v>
      </c>
      <c r="H317" s="26" t="n">
        <v>0</v>
      </c>
      <c r="I317" s="26" t="n">
        <v>57879.8</v>
      </c>
      <c r="J317" s="26" t="n">
        <v>0</v>
      </c>
      <c r="K317" s="26" t="n">
        <v>441</v>
      </c>
      <c r="L317" s="26" t="n">
        <v>0</v>
      </c>
      <c r="M317" s="26" t="n">
        <v>0</v>
      </c>
      <c r="N317" s="26" t="n">
        <v>0</v>
      </c>
      <c r="O317" s="26" t="n">
        <v>94.5</v>
      </c>
      <c r="P317" s="26" t="n">
        <v>-1222.2</v>
      </c>
      <c r="Q317" s="26" t="n">
        <v>53009.9</v>
      </c>
      <c r="R317" s="26" t="n">
        <v>5556.6</v>
      </c>
      <c r="S317" s="26" t="n">
        <v>0</v>
      </c>
      <c r="T317" s="26" t="n">
        <v>0</v>
      </c>
      <c r="U317" s="26" t="n">
        <v>0</v>
      </c>
    </row>
    <row r="318" customFormat="false" ht="15" hidden="false" customHeight="true" outlineLevel="0" collapsed="false">
      <c r="A318" s="8" t="s">
        <v>407</v>
      </c>
      <c r="B318" s="8" t="s">
        <v>85</v>
      </c>
      <c r="C318" s="8" t="s">
        <v>718</v>
      </c>
      <c r="D318" s="26" t="n">
        <v>0</v>
      </c>
      <c r="E318" s="26" t="n">
        <v>0</v>
      </c>
      <c r="F318" s="26" t="n">
        <v>8865.9</v>
      </c>
      <c r="G318" s="26" t="n">
        <v>0</v>
      </c>
      <c r="H318" s="26" t="n">
        <v>0</v>
      </c>
      <c r="I318" s="26" t="n">
        <v>69937.4</v>
      </c>
      <c r="J318" s="26" t="n">
        <v>0</v>
      </c>
      <c r="K318" s="26" t="n">
        <v>0</v>
      </c>
      <c r="L318" s="26" t="n">
        <v>0</v>
      </c>
      <c r="M318" s="26" t="n">
        <v>0</v>
      </c>
      <c r="N318" s="26" t="n">
        <v>103.1</v>
      </c>
      <c r="O318" s="26" t="n">
        <v>94.5</v>
      </c>
      <c r="P318" s="26" t="n">
        <v>-888.3</v>
      </c>
      <c r="Q318" s="26" t="n">
        <v>65159.7</v>
      </c>
      <c r="R318" s="26" t="n">
        <v>5468.4</v>
      </c>
      <c r="S318" s="26" t="n">
        <v>0</v>
      </c>
      <c r="T318" s="26" t="n">
        <v>0</v>
      </c>
      <c r="U318" s="26" t="n">
        <v>0</v>
      </c>
    </row>
    <row r="319" customFormat="false" ht="15" hidden="false" customHeight="true" outlineLevel="0" collapsed="false">
      <c r="A319" s="8" t="s">
        <v>407</v>
      </c>
      <c r="B319" s="8" t="s">
        <v>85</v>
      </c>
      <c r="C319" s="8" t="s">
        <v>719</v>
      </c>
      <c r="D319" s="26" t="n">
        <v>0</v>
      </c>
      <c r="E319" s="26" t="n">
        <v>0</v>
      </c>
      <c r="F319" s="26" t="n">
        <v>5173.7</v>
      </c>
      <c r="G319" s="26" t="n">
        <v>0</v>
      </c>
      <c r="H319" s="26" t="n">
        <v>0</v>
      </c>
      <c r="I319" s="26" t="n">
        <v>52519.2</v>
      </c>
      <c r="J319" s="26" t="n">
        <v>0</v>
      </c>
      <c r="K319" s="26" t="n">
        <v>176.4</v>
      </c>
      <c r="L319" s="26" t="n">
        <v>0</v>
      </c>
      <c r="M319" s="26" t="n">
        <v>0</v>
      </c>
      <c r="N319" s="26" t="n">
        <v>0</v>
      </c>
      <c r="O319" s="26" t="n">
        <v>0</v>
      </c>
      <c r="P319" s="26" t="n">
        <v>-705.6</v>
      </c>
      <c r="Q319" s="26" t="n">
        <v>48197.4</v>
      </c>
      <c r="R319" s="26" t="n">
        <v>4851</v>
      </c>
      <c r="S319" s="26" t="n">
        <v>0</v>
      </c>
      <c r="T319" s="26" t="n">
        <v>0</v>
      </c>
      <c r="U319" s="26" t="n">
        <v>0</v>
      </c>
    </row>
    <row r="320" customFormat="false" ht="15" hidden="false" customHeight="true" outlineLevel="0" collapsed="false">
      <c r="A320" s="8" t="s">
        <v>407</v>
      </c>
      <c r="B320" s="8" t="s">
        <v>85</v>
      </c>
      <c r="C320" s="8" t="s">
        <v>720</v>
      </c>
      <c r="D320" s="26" t="n">
        <v>0</v>
      </c>
      <c r="E320" s="26" t="n">
        <v>0</v>
      </c>
      <c r="F320" s="26" t="n">
        <v>6818.9</v>
      </c>
      <c r="G320" s="26" t="n">
        <v>0</v>
      </c>
      <c r="H320" s="26" t="n">
        <v>0</v>
      </c>
      <c r="I320" s="26" t="n">
        <v>44418.5</v>
      </c>
      <c r="J320" s="26" t="n">
        <v>0</v>
      </c>
      <c r="K320" s="26" t="n">
        <v>88.2</v>
      </c>
      <c r="L320" s="26" t="n">
        <v>0</v>
      </c>
      <c r="M320" s="26" t="n">
        <v>0</v>
      </c>
      <c r="N320" s="26" t="n">
        <v>0</v>
      </c>
      <c r="O320" s="26" t="n">
        <v>0</v>
      </c>
      <c r="P320" s="26" t="n">
        <v>-623.7</v>
      </c>
      <c r="Q320" s="26" t="n">
        <v>42043.4</v>
      </c>
      <c r="R320" s="26" t="n">
        <v>2910.6</v>
      </c>
      <c r="S320" s="26" t="n">
        <v>0</v>
      </c>
      <c r="T320" s="26" t="n">
        <v>0</v>
      </c>
      <c r="U320" s="26" t="n">
        <v>0</v>
      </c>
    </row>
    <row r="321" customFormat="false" ht="15" hidden="false" customHeight="true" outlineLevel="0" collapsed="false">
      <c r="A321" s="8" t="s">
        <v>407</v>
      </c>
      <c r="B321" s="8" t="s">
        <v>85</v>
      </c>
      <c r="C321" s="8" t="s">
        <v>721</v>
      </c>
      <c r="D321" s="26" t="n">
        <v>0</v>
      </c>
      <c r="E321" s="26" t="n">
        <v>0</v>
      </c>
      <c r="F321" s="26" t="n">
        <v>309.2</v>
      </c>
      <c r="G321" s="26" t="n">
        <v>0</v>
      </c>
      <c r="H321" s="26" t="n">
        <v>0</v>
      </c>
      <c r="I321" s="26" t="n">
        <v>75.6</v>
      </c>
      <c r="J321" s="26" t="n">
        <v>0</v>
      </c>
      <c r="K321" s="26" t="n">
        <v>88.2</v>
      </c>
      <c r="L321" s="26" t="n">
        <v>0</v>
      </c>
      <c r="M321" s="26" t="n">
        <v>0</v>
      </c>
      <c r="N321" s="26" t="n">
        <v>0</v>
      </c>
      <c r="O321" s="26" t="n">
        <v>0</v>
      </c>
      <c r="P321" s="26" t="n">
        <v>-176.4</v>
      </c>
      <c r="Q321" s="26" t="n">
        <v>163.8</v>
      </c>
      <c r="R321" s="26" t="n">
        <v>0</v>
      </c>
      <c r="S321" s="26" t="n">
        <v>0</v>
      </c>
      <c r="T321" s="26" t="n">
        <v>0</v>
      </c>
      <c r="U321" s="26" t="n">
        <v>0</v>
      </c>
    </row>
    <row r="322" customFormat="false" ht="15" hidden="false" customHeight="true" outlineLevel="0" collapsed="false">
      <c r="A322" s="8" t="s">
        <v>407</v>
      </c>
      <c r="B322" s="8" t="s">
        <v>89</v>
      </c>
      <c r="C322" s="8" t="s">
        <v>722</v>
      </c>
      <c r="D322" s="26" t="n">
        <v>0</v>
      </c>
      <c r="E322" s="26" t="n">
        <v>0</v>
      </c>
      <c r="F322" s="26" t="n">
        <v>6194.4</v>
      </c>
      <c r="G322" s="26" t="n">
        <v>0</v>
      </c>
      <c r="H322" s="26" t="n">
        <v>0</v>
      </c>
      <c r="I322" s="26" t="n">
        <v>48573.9</v>
      </c>
      <c r="J322" s="26" t="n">
        <v>0</v>
      </c>
      <c r="K322" s="26" t="n">
        <v>88.2</v>
      </c>
      <c r="L322" s="26" t="n">
        <v>0</v>
      </c>
      <c r="M322" s="26" t="n">
        <v>0</v>
      </c>
      <c r="N322" s="26" t="n">
        <v>0</v>
      </c>
      <c r="O322" s="26" t="n">
        <v>0</v>
      </c>
      <c r="P322" s="26" t="n">
        <v>-655.2</v>
      </c>
      <c r="Q322" s="26" t="n">
        <v>44554.5</v>
      </c>
      <c r="R322" s="26" t="n">
        <v>4586.4</v>
      </c>
      <c r="S322" s="26" t="n">
        <v>0</v>
      </c>
      <c r="T322" s="26" t="n">
        <v>0</v>
      </c>
      <c r="U322" s="26" t="n">
        <v>0</v>
      </c>
    </row>
    <row r="323" customFormat="false" ht="15" hidden="false" customHeight="true" outlineLevel="0" collapsed="false">
      <c r="A323" s="8" t="s">
        <v>407</v>
      </c>
      <c r="B323" s="8" t="s">
        <v>89</v>
      </c>
      <c r="C323" s="8" t="s">
        <v>723</v>
      </c>
      <c r="D323" s="26" t="n">
        <v>0</v>
      </c>
      <c r="E323" s="26" t="n">
        <v>0</v>
      </c>
      <c r="F323" s="26" t="n">
        <v>7782.5</v>
      </c>
      <c r="G323" s="26" t="n">
        <v>0</v>
      </c>
      <c r="H323" s="26" t="n">
        <v>0</v>
      </c>
      <c r="I323" s="26" t="n">
        <v>56356</v>
      </c>
      <c r="J323" s="26" t="n">
        <v>0</v>
      </c>
      <c r="K323" s="26" t="n">
        <v>176.4</v>
      </c>
      <c r="L323" s="26" t="n">
        <v>0</v>
      </c>
      <c r="M323" s="26" t="n">
        <v>0</v>
      </c>
      <c r="N323" s="26" t="n">
        <v>0</v>
      </c>
      <c r="O323" s="26" t="n">
        <v>0</v>
      </c>
      <c r="P323" s="26" t="n">
        <v>-1058.4</v>
      </c>
      <c r="Q323" s="26" t="n">
        <v>50799.4</v>
      </c>
      <c r="R323" s="26" t="n">
        <v>6438.6</v>
      </c>
      <c r="S323" s="26" t="n">
        <v>0</v>
      </c>
      <c r="T323" s="26" t="n">
        <v>0</v>
      </c>
      <c r="U323" s="26" t="n">
        <v>0</v>
      </c>
    </row>
    <row r="324" customFormat="false" ht="15" hidden="false" customHeight="true" outlineLevel="0" collapsed="false">
      <c r="A324" s="8" t="s">
        <v>407</v>
      </c>
      <c r="B324" s="8" t="s">
        <v>89</v>
      </c>
      <c r="C324" s="8" t="s">
        <v>724</v>
      </c>
      <c r="D324" s="26" t="n">
        <v>0</v>
      </c>
      <c r="E324" s="26" t="n">
        <v>0</v>
      </c>
      <c r="F324" s="26" t="n">
        <v>6057.7</v>
      </c>
      <c r="G324" s="26" t="n">
        <v>0</v>
      </c>
      <c r="H324" s="26" t="n">
        <v>0</v>
      </c>
      <c r="I324" s="26" t="n">
        <v>56199.2</v>
      </c>
      <c r="J324" s="26" t="n">
        <v>0</v>
      </c>
      <c r="K324" s="26" t="n">
        <v>441</v>
      </c>
      <c r="L324" s="26" t="n">
        <v>-88.2</v>
      </c>
      <c r="M324" s="26" t="n">
        <v>0</v>
      </c>
      <c r="N324" s="26" t="n">
        <v>0</v>
      </c>
      <c r="O324" s="26" t="n">
        <v>0</v>
      </c>
      <c r="P324" s="26" t="n">
        <v>-478.8</v>
      </c>
      <c r="Q324" s="26" t="n">
        <v>49181</v>
      </c>
      <c r="R324" s="26" t="n">
        <v>7144.2</v>
      </c>
      <c r="S324" s="26" t="n">
        <v>0</v>
      </c>
      <c r="T324" s="26" t="n">
        <v>0</v>
      </c>
      <c r="U324" s="26" t="n">
        <v>0</v>
      </c>
    </row>
    <row r="325" customFormat="false" ht="15" hidden="false" customHeight="true" outlineLevel="0" collapsed="false">
      <c r="A325" s="8" t="s">
        <v>407</v>
      </c>
      <c r="B325" s="8" t="s">
        <v>89</v>
      </c>
      <c r="C325" s="8" t="s">
        <v>725</v>
      </c>
      <c r="D325" s="26" t="n">
        <v>0</v>
      </c>
      <c r="E325" s="26" t="n">
        <v>0</v>
      </c>
      <c r="F325" s="26" t="n">
        <v>3312.8</v>
      </c>
      <c r="G325" s="26" t="n">
        <v>0</v>
      </c>
      <c r="H325" s="26" t="n">
        <v>0</v>
      </c>
      <c r="I325" s="26" t="n">
        <v>19895.4</v>
      </c>
      <c r="J325" s="26" t="n">
        <v>0</v>
      </c>
      <c r="K325" s="26" t="n">
        <v>176.4</v>
      </c>
      <c r="L325" s="26" t="n">
        <v>0</v>
      </c>
      <c r="M325" s="26" t="n">
        <v>0</v>
      </c>
      <c r="N325" s="26" t="n">
        <v>0</v>
      </c>
      <c r="O325" s="26" t="n">
        <v>0</v>
      </c>
      <c r="P325" s="26" t="n">
        <v>-655.2</v>
      </c>
      <c r="Q325" s="26" t="n">
        <v>18345.6</v>
      </c>
      <c r="R325" s="26" t="n">
        <v>2028.6</v>
      </c>
      <c r="S325" s="26" t="n">
        <v>0</v>
      </c>
      <c r="T325" s="26" t="n">
        <v>0</v>
      </c>
      <c r="U325" s="26" t="n">
        <v>0</v>
      </c>
    </row>
    <row r="326" customFormat="false" ht="15" hidden="false" customHeight="true" outlineLevel="0" collapsed="false">
      <c r="A326" s="8" t="s">
        <v>407</v>
      </c>
      <c r="B326" s="8" t="s">
        <v>290</v>
      </c>
      <c r="C326" s="8" t="s">
        <v>726</v>
      </c>
      <c r="D326" s="26" t="n">
        <v>0</v>
      </c>
      <c r="E326" s="26" t="n">
        <v>0</v>
      </c>
      <c r="F326" s="26" t="n">
        <v>198.6</v>
      </c>
      <c r="G326" s="26" t="n">
        <v>0</v>
      </c>
      <c r="H326" s="26" t="n">
        <v>0</v>
      </c>
      <c r="I326" s="26" t="n">
        <v>0</v>
      </c>
      <c r="J326" s="26" t="n">
        <v>0</v>
      </c>
      <c r="K326" s="26" t="n">
        <v>0</v>
      </c>
      <c r="L326" s="26" t="n">
        <v>0</v>
      </c>
      <c r="M326" s="26" t="n">
        <v>0</v>
      </c>
      <c r="N326" s="26" t="n">
        <v>0</v>
      </c>
      <c r="O326" s="26" t="n">
        <v>0</v>
      </c>
      <c r="P326" s="26" t="n">
        <v>0</v>
      </c>
      <c r="Q326" s="26" t="n">
        <v>0</v>
      </c>
      <c r="R326" s="26" t="n">
        <v>0</v>
      </c>
      <c r="S326" s="26" t="n">
        <v>0</v>
      </c>
      <c r="T326" s="26" t="n">
        <v>0</v>
      </c>
      <c r="U326" s="26" t="n">
        <v>0</v>
      </c>
    </row>
    <row r="327" customFormat="false" ht="15" hidden="false" customHeight="true" outlineLevel="0" collapsed="false">
      <c r="A327" s="8" t="s">
        <v>407</v>
      </c>
      <c r="B327" s="8" t="s">
        <v>281</v>
      </c>
      <c r="C327" s="8" t="s">
        <v>727</v>
      </c>
      <c r="D327" s="26" t="n">
        <v>0</v>
      </c>
      <c r="E327" s="26" t="n">
        <v>0</v>
      </c>
      <c r="F327" s="26" t="n">
        <v>1362.8</v>
      </c>
      <c r="G327" s="26" t="n">
        <v>0</v>
      </c>
      <c r="H327" s="26" t="n">
        <v>0</v>
      </c>
      <c r="I327" s="26" t="n">
        <v>143.4</v>
      </c>
      <c r="J327" s="26" t="n">
        <v>0</v>
      </c>
      <c r="K327" s="26" t="n">
        <v>0</v>
      </c>
      <c r="L327" s="26" t="n">
        <v>0</v>
      </c>
      <c r="M327" s="26" t="n">
        <v>0</v>
      </c>
      <c r="N327" s="26" t="n">
        <v>0</v>
      </c>
      <c r="O327" s="26" t="n">
        <v>0</v>
      </c>
      <c r="P327" s="26" t="n">
        <v>0</v>
      </c>
      <c r="Q327" s="26" t="n">
        <v>143.4</v>
      </c>
      <c r="R327" s="26" t="n">
        <v>0</v>
      </c>
      <c r="S327" s="26" t="n">
        <v>0</v>
      </c>
      <c r="T327" s="26" t="n">
        <v>0</v>
      </c>
      <c r="U327" s="26" t="n">
        <v>0</v>
      </c>
    </row>
    <row r="328" customFormat="false" ht="15" hidden="false" customHeight="true" outlineLevel="0" collapsed="false">
      <c r="A328" s="8" t="s">
        <v>407</v>
      </c>
      <c r="B328" s="8" t="s">
        <v>301</v>
      </c>
      <c r="C328" s="8" t="s">
        <v>728</v>
      </c>
      <c r="D328" s="26" t="n">
        <v>0</v>
      </c>
      <c r="E328" s="26" t="n">
        <v>0</v>
      </c>
      <c r="F328" s="26" t="n">
        <v>199.3</v>
      </c>
      <c r="G328" s="26" t="n">
        <v>0</v>
      </c>
      <c r="H328" s="26" t="n">
        <v>0</v>
      </c>
      <c r="I328" s="26" t="n">
        <v>0</v>
      </c>
      <c r="J328" s="26" t="n">
        <v>0</v>
      </c>
      <c r="K328" s="26" t="n">
        <v>0</v>
      </c>
      <c r="L328" s="26" t="n">
        <v>0</v>
      </c>
      <c r="M328" s="26" t="n">
        <v>0</v>
      </c>
      <c r="N328" s="26" t="n">
        <v>0</v>
      </c>
      <c r="O328" s="26" t="n">
        <v>0</v>
      </c>
      <c r="P328" s="26" t="n">
        <v>-441</v>
      </c>
      <c r="Q328" s="26" t="n">
        <v>0</v>
      </c>
      <c r="R328" s="26" t="n">
        <v>441</v>
      </c>
      <c r="S328" s="26" t="n">
        <v>0</v>
      </c>
      <c r="T328" s="26" t="n">
        <v>0</v>
      </c>
      <c r="U328" s="26" t="n">
        <v>0</v>
      </c>
    </row>
    <row r="329" customFormat="false" ht="15" hidden="false" customHeight="true" outlineLevel="0" collapsed="false">
      <c r="A329" s="8" t="s">
        <v>407</v>
      </c>
      <c r="B329" s="8" t="s">
        <v>116</v>
      </c>
      <c r="C329" s="8" t="s">
        <v>729</v>
      </c>
      <c r="D329" s="26" t="n">
        <v>0</v>
      </c>
      <c r="E329" s="26" t="n">
        <v>0</v>
      </c>
      <c r="F329" s="26" t="n">
        <v>14941.3</v>
      </c>
      <c r="G329" s="26" t="n">
        <v>0</v>
      </c>
      <c r="H329" s="26" t="n">
        <v>0</v>
      </c>
      <c r="I329" s="26" t="n">
        <v>868.5</v>
      </c>
      <c r="J329" s="26" t="n">
        <v>0</v>
      </c>
      <c r="K329" s="26" t="n">
        <v>445.5</v>
      </c>
      <c r="L329" s="26" t="n">
        <v>0</v>
      </c>
      <c r="M329" s="26" t="n">
        <v>0</v>
      </c>
      <c r="N329" s="26" t="n">
        <v>80.3</v>
      </c>
      <c r="O329" s="26" t="n">
        <v>0</v>
      </c>
      <c r="P329" s="26" t="n">
        <v>-34.3</v>
      </c>
      <c r="Q329" s="26" t="n">
        <v>0</v>
      </c>
      <c r="R329" s="26" t="n">
        <v>377</v>
      </c>
      <c r="S329" s="26" t="n">
        <v>0</v>
      </c>
      <c r="T329" s="26" t="n">
        <v>0</v>
      </c>
      <c r="U329" s="26" t="n">
        <v>0</v>
      </c>
    </row>
    <row r="330" customFormat="false" ht="15" hidden="false" customHeight="true" outlineLevel="0" collapsed="false">
      <c r="A330" s="8" t="s">
        <v>407</v>
      </c>
      <c r="B330" s="8" t="s">
        <v>135</v>
      </c>
      <c r="C330" s="8" t="s">
        <v>730</v>
      </c>
      <c r="D330" s="26" t="n">
        <v>0</v>
      </c>
      <c r="E330" s="26" t="n">
        <v>0</v>
      </c>
      <c r="F330" s="26" t="n">
        <v>16341.4</v>
      </c>
      <c r="G330" s="26" t="n">
        <v>0</v>
      </c>
      <c r="H330" s="26" t="n">
        <v>0</v>
      </c>
      <c r="I330" s="26" t="n">
        <v>1009.8</v>
      </c>
      <c r="J330" s="26" t="n">
        <v>0</v>
      </c>
      <c r="K330" s="26" t="n">
        <v>137.1</v>
      </c>
      <c r="L330" s="26" t="n">
        <v>0</v>
      </c>
      <c r="M330" s="26" t="n">
        <v>66.9</v>
      </c>
      <c r="N330" s="26" t="n">
        <v>120.4</v>
      </c>
      <c r="O330" s="26" t="n">
        <v>0</v>
      </c>
      <c r="P330" s="26" t="n">
        <v>-34.3</v>
      </c>
      <c r="Q330" s="26" t="n">
        <v>0</v>
      </c>
      <c r="R330" s="26" t="n">
        <v>719.7</v>
      </c>
      <c r="S330" s="26" t="n">
        <v>0</v>
      </c>
      <c r="T330" s="26" t="n">
        <v>0</v>
      </c>
      <c r="U330" s="26" t="n">
        <v>0</v>
      </c>
    </row>
    <row r="331" customFormat="false" ht="15" hidden="false" customHeight="true" outlineLevel="0" collapsed="false">
      <c r="A331" s="8" t="s">
        <v>407</v>
      </c>
      <c r="B331" s="8" t="s">
        <v>119</v>
      </c>
      <c r="C331" s="8" t="s">
        <v>731</v>
      </c>
      <c r="D331" s="26" t="n">
        <v>0</v>
      </c>
      <c r="E331" s="26" t="n">
        <v>0</v>
      </c>
      <c r="F331" s="26" t="n">
        <v>22998.8</v>
      </c>
      <c r="G331" s="26" t="n">
        <v>0</v>
      </c>
      <c r="H331" s="26" t="n">
        <v>0</v>
      </c>
      <c r="I331" s="26" t="n">
        <v>5941.9</v>
      </c>
      <c r="J331" s="26" t="n">
        <v>0</v>
      </c>
      <c r="K331" s="26" t="n">
        <v>0</v>
      </c>
      <c r="L331" s="26" t="n">
        <v>0</v>
      </c>
      <c r="M331" s="26" t="n">
        <v>268.9</v>
      </c>
      <c r="N331" s="26" t="n">
        <v>212.7</v>
      </c>
      <c r="O331" s="26" t="n">
        <v>0</v>
      </c>
      <c r="P331" s="26" t="n">
        <v>-24.1</v>
      </c>
      <c r="Q331" s="26" t="n">
        <v>4329.5</v>
      </c>
      <c r="R331" s="26" t="n">
        <v>1154.9</v>
      </c>
      <c r="S331" s="26" t="n">
        <v>0</v>
      </c>
      <c r="T331" s="26" t="n">
        <v>0</v>
      </c>
      <c r="U331" s="26" t="n">
        <v>0</v>
      </c>
    </row>
    <row r="332" customFormat="false" ht="15" hidden="false" customHeight="true" outlineLevel="0" collapsed="false">
      <c r="A332" s="8" t="s">
        <v>407</v>
      </c>
      <c r="B332" s="8" t="s">
        <v>291</v>
      </c>
      <c r="C332" s="8" t="s">
        <v>732</v>
      </c>
      <c r="D332" s="26" t="n">
        <v>0</v>
      </c>
      <c r="E332" s="26" t="n">
        <v>0</v>
      </c>
      <c r="F332" s="26" t="n">
        <v>0</v>
      </c>
      <c r="G332" s="26" t="n">
        <v>0</v>
      </c>
      <c r="H332" s="26" t="n">
        <v>0</v>
      </c>
      <c r="I332" s="26" t="n">
        <v>122.8</v>
      </c>
      <c r="J332" s="26" t="n">
        <v>0</v>
      </c>
      <c r="K332" s="26" t="n">
        <v>0</v>
      </c>
      <c r="L332" s="26" t="n">
        <v>0</v>
      </c>
      <c r="M332" s="26" t="n">
        <v>0</v>
      </c>
      <c r="N332" s="26" t="n">
        <v>0</v>
      </c>
      <c r="O332" s="26" t="n">
        <v>0</v>
      </c>
      <c r="P332" s="26" t="n">
        <v>-66.1</v>
      </c>
      <c r="Q332" s="26" t="n">
        <v>122.8</v>
      </c>
      <c r="R332" s="26" t="n">
        <v>66.1</v>
      </c>
      <c r="S332" s="26" t="n">
        <v>0</v>
      </c>
      <c r="T332" s="26" t="n">
        <v>0</v>
      </c>
      <c r="U332" s="26" t="n">
        <v>0</v>
      </c>
    </row>
    <row r="333" customFormat="false" ht="15" hidden="false" customHeight="true" outlineLevel="0" collapsed="false">
      <c r="A333" s="8" t="s">
        <v>407</v>
      </c>
      <c r="B333" s="8" t="s">
        <v>291</v>
      </c>
      <c r="C333" s="8" t="s">
        <v>733</v>
      </c>
      <c r="D333" s="26" t="n">
        <v>0</v>
      </c>
      <c r="E333" s="26" t="n">
        <v>0</v>
      </c>
      <c r="F333" s="26" t="n">
        <v>-13</v>
      </c>
      <c r="G333" s="26" t="n">
        <v>0</v>
      </c>
      <c r="H333" s="26" t="n">
        <v>0</v>
      </c>
      <c r="I333" s="26" t="n">
        <v>-132.3</v>
      </c>
      <c r="J333" s="26" t="n">
        <v>0</v>
      </c>
      <c r="K333" s="26" t="n">
        <v>0</v>
      </c>
      <c r="L333" s="26" t="n">
        <v>0</v>
      </c>
      <c r="M333" s="26" t="n">
        <v>0</v>
      </c>
      <c r="N333" s="26" t="n">
        <v>0</v>
      </c>
      <c r="O333" s="26" t="n">
        <v>0</v>
      </c>
      <c r="P333" s="26" t="n">
        <v>-132.3</v>
      </c>
      <c r="Q333" s="26" t="n">
        <v>0</v>
      </c>
      <c r="R333" s="26" t="n">
        <v>0</v>
      </c>
      <c r="S333" s="26" t="n">
        <v>0</v>
      </c>
      <c r="T333" s="26" t="n">
        <v>0</v>
      </c>
      <c r="U333" s="26" t="n">
        <v>0</v>
      </c>
    </row>
    <row r="334" customFormat="false" ht="15" hidden="false" customHeight="true" outlineLevel="0" collapsed="false">
      <c r="A334" s="8" t="s">
        <v>407</v>
      </c>
      <c r="B334" s="8" t="s">
        <v>262</v>
      </c>
      <c r="C334" s="8" t="s">
        <v>734</v>
      </c>
      <c r="D334" s="26" t="n">
        <v>0</v>
      </c>
      <c r="E334" s="26" t="n">
        <v>0</v>
      </c>
      <c r="F334" s="26" t="n">
        <v>486.6</v>
      </c>
      <c r="G334" s="26" t="n">
        <v>0</v>
      </c>
      <c r="H334" s="26" t="n">
        <v>0</v>
      </c>
      <c r="I334" s="26" t="n">
        <v>0</v>
      </c>
      <c r="J334" s="26" t="n">
        <v>0</v>
      </c>
      <c r="K334" s="26" t="n">
        <v>0</v>
      </c>
      <c r="L334" s="26" t="n">
        <v>0</v>
      </c>
      <c r="M334" s="26" t="n">
        <v>0</v>
      </c>
      <c r="N334" s="26" t="n">
        <v>0</v>
      </c>
      <c r="O334" s="26" t="n">
        <v>0</v>
      </c>
      <c r="P334" s="26" t="n">
        <v>0</v>
      </c>
      <c r="Q334" s="26" t="n">
        <v>0</v>
      </c>
      <c r="R334" s="26" t="n">
        <v>0</v>
      </c>
      <c r="S334" s="26" t="n">
        <v>0</v>
      </c>
      <c r="T334" s="26" t="n">
        <v>0</v>
      </c>
      <c r="U334" s="26" t="n">
        <v>0</v>
      </c>
    </row>
    <row r="335" customFormat="false" ht="15" hidden="false" customHeight="true" outlineLevel="0" collapsed="false">
      <c r="A335" s="8" t="s">
        <v>407</v>
      </c>
      <c r="B335" s="8" t="s">
        <v>262</v>
      </c>
      <c r="C335" s="8" t="s">
        <v>735</v>
      </c>
      <c r="D335" s="26" t="n">
        <v>0</v>
      </c>
      <c r="E335" s="26" t="n">
        <v>0</v>
      </c>
      <c r="F335" s="26" t="n">
        <v>66.1</v>
      </c>
      <c r="G335" s="26" t="n">
        <v>0</v>
      </c>
      <c r="H335" s="26" t="n">
        <v>0</v>
      </c>
      <c r="I335" s="26" t="n">
        <v>0</v>
      </c>
      <c r="J335" s="26" t="n">
        <v>0</v>
      </c>
      <c r="K335" s="26" t="n">
        <v>0</v>
      </c>
      <c r="L335" s="26" t="n">
        <v>0</v>
      </c>
      <c r="M335" s="26" t="n">
        <v>0</v>
      </c>
      <c r="N335" s="26" t="n">
        <v>0</v>
      </c>
      <c r="O335" s="26" t="n">
        <v>0</v>
      </c>
      <c r="P335" s="26" t="n">
        <v>0</v>
      </c>
      <c r="Q335" s="26" t="n">
        <v>0</v>
      </c>
      <c r="R335" s="26" t="n">
        <v>0</v>
      </c>
      <c r="S335" s="26" t="n">
        <v>0</v>
      </c>
      <c r="T335" s="26" t="n">
        <v>0</v>
      </c>
      <c r="U335" s="26" t="n">
        <v>0</v>
      </c>
    </row>
    <row r="336" customFormat="false" ht="15" hidden="false" customHeight="true" outlineLevel="0" collapsed="false">
      <c r="A336" s="8" t="s">
        <v>407</v>
      </c>
      <c r="B336" s="8" t="s">
        <v>262</v>
      </c>
      <c r="C336" s="8" t="s">
        <v>733</v>
      </c>
      <c r="D336" s="26" t="n">
        <v>0</v>
      </c>
      <c r="E336" s="26" t="n">
        <v>0</v>
      </c>
      <c r="F336" s="26" t="n">
        <v>274</v>
      </c>
      <c r="G336" s="26" t="n">
        <v>0</v>
      </c>
      <c r="H336" s="26" t="n">
        <v>0</v>
      </c>
      <c r="I336" s="26" t="n">
        <v>0</v>
      </c>
      <c r="J336" s="26" t="n">
        <v>0</v>
      </c>
      <c r="K336" s="26" t="n">
        <v>0</v>
      </c>
      <c r="L336" s="26" t="n">
        <v>0</v>
      </c>
      <c r="M336" s="26" t="n">
        <v>0</v>
      </c>
      <c r="N336" s="26" t="n">
        <v>0</v>
      </c>
      <c r="O336" s="26" t="n">
        <v>0</v>
      </c>
      <c r="P336" s="26" t="n">
        <v>0</v>
      </c>
      <c r="Q336" s="26" t="n">
        <v>0</v>
      </c>
      <c r="R336" s="26" t="n">
        <v>0</v>
      </c>
      <c r="S336" s="26" t="n">
        <v>0</v>
      </c>
      <c r="T336" s="26" t="n">
        <v>0</v>
      </c>
      <c r="U336" s="26" t="n">
        <v>0</v>
      </c>
    </row>
    <row r="337" customFormat="false" ht="15" hidden="false" customHeight="true" outlineLevel="0" collapsed="false">
      <c r="A337" s="8" t="s">
        <v>407</v>
      </c>
      <c r="B337" s="8" t="s">
        <v>195</v>
      </c>
      <c r="C337" s="8" t="s">
        <v>736</v>
      </c>
      <c r="D337" s="26" t="n">
        <v>0</v>
      </c>
      <c r="E337" s="26" t="n">
        <v>0</v>
      </c>
      <c r="F337" s="26" t="n">
        <v>3144.3</v>
      </c>
      <c r="G337" s="26" t="n">
        <v>0</v>
      </c>
      <c r="H337" s="26" t="n">
        <v>0</v>
      </c>
      <c r="I337" s="26" t="n">
        <v>84796.6</v>
      </c>
      <c r="J337" s="26" t="n">
        <v>0</v>
      </c>
      <c r="K337" s="26" t="n">
        <v>315.3</v>
      </c>
      <c r="L337" s="26" t="n">
        <v>0</v>
      </c>
      <c r="M337" s="26" t="n">
        <v>0</v>
      </c>
      <c r="N337" s="26" t="n">
        <v>0</v>
      </c>
      <c r="O337" s="26" t="n">
        <v>67.6</v>
      </c>
      <c r="P337" s="26" t="n">
        <v>-441.4</v>
      </c>
      <c r="Q337" s="26" t="n">
        <v>74753.7</v>
      </c>
      <c r="R337" s="26" t="n">
        <v>10101.5</v>
      </c>
      <c r="S337" s="26" t="n">
        <v>0</v>
      </c>
      <c r="T337" s="26" t="n">
        <v>0</v>
      </c>
      <c r="U337" s="26" t="n">
        <v>0</v>
      </c>
    </row>
    <row r="338" customFormat="false" ht="15" hidden="false" customHeight="true" outlineLevel="0" collapsed="false">
      <c r="A338" s="8" t="s">
        <v>407</v>
      </c>
      <c r="B338" s="8" t="s">
        <v>195</v>
      </c>
      <c r="C338" s="8" t="s">
        <v>737</v>
      </c>
      <c r="D338" s="26" t="n">
        <v>0</v>
      </c>
      <c r="E338" s="26" t="n">
        <v>0</v>
      </c>
      <c r="F338" s="26" t="n">
        <v>2772</v>
      </c>
      <c r="G338" s="26" t="n">
        <v>0</v>
      </c>
      <c r="H338" s="26" t="n">
        <v>0</v>
      </c>
      <c r="I338" s="26" t="n">
        <v>56705.8</v>
      </c>
      <c r="J338" s="26" t="n">
        <v>0</v>
      </c>
      <c r="K338" s="26" t="n">
        <v>63.1</v>
      </c>
      <c r="L338" s="26" t="n">
        <v>-126.1</v>
      </c>
      <c r="M338" s="26" t="n">
        <v>0</v>
      </c>
      <c r="N338" s="26" t="n">
        <v>67.6</v>
      </c>
      <c r="O338" s="26" t="n">
        <v>67.6</v>
      </c>
      <c r="P338" s="26" t="n">
        <v>-378.3</v>
      </c>
      <c r="Q338" s="26" t="n">
        <v>54679.2</v>
      </c>
      <c r="R338" s="26" t="n">
        <v>2332.9</v>
      </c>
      <c r="S338" s="26" t="n">
        <v>0</v>
      </c>
      <c r="T338" s="26" t="n">
        <v>0</v>
      </c>
      <c r="U338" s="26" t="n">
        <v>0</v>
      </c>
    </row>
    <row r="339" customFormat="false" ht="15" hidden="false" customHeight="true" outlineLevel="0" collapsed="false">
      <c r="A339" s="8" t="s">
        <v>407</v>
      </c>
      <c r="B339" s="8" t="s">
        <v>166</v>
      </c>
      <c r="C339" s="8" t="s">
        <v>736</v>
      </c>
      <c r="D339" s="26" t="n">
        <v>0</v>
      </c>
      <c r="E339" s="26" t="n">
        <v>0</v>
      </c>
      <c r="F339" s="26" t="n">
        <v>5855.2</v>
      </c>
      <c r="G339" s="26" t="n">
        <v>0</v>
      </c>
      <c r="H339" s="26" t="n">
        <v>0</v>
      </c>
      <c r="I339" s="26" t="n">
        <v>17348.5</v>
      </c>
      <c r="J339" s="26" t="n">
        <v>0</v>
      </c>
      <c r="K339" s="26" t="n">
        <v>0</v>
      </c>
      <c r="L339" s="26" t="n">
        <v>0</v>
      </c>
      <c r="M339" s="26" t="n">
        <v>0</v>
      </c>
      <c r="N339" s="26" t="n">
        <v>67.6</v>
      </c>
      <c r="O339" s="26" t="n">
        <v>0</v>
      </c>
      <c r="P339" s="26" t="n">
        <v>0</v>
      </c>
      <c r="Q339" s="26" t="n">
        <v>17280.9</v>
      </c>
      <c r="R339" s="26" t="n">
        <v>0</v>
      </c>
      <c r="S339" s="26" t="n">
        <v>0</v>
      </c>
      <c r="T339" s="26" t="n">
        <v>0</v>
      </c>
      <c r="U339" s="26" t="n">
        <v>0</v>
      </c>
    </row>
    <row r="340" customFormat="false" ht="15" hidden="false" customHeight="true" outlineLevel="0" collapsed="false">
      <c r="A340" s="8" t="s">
        <v>407</v>
      </c>
      <c r="B340" s="8" t="s">
        <v>166</v>
      </c>
      <c r="C340" s="8" t="s">
        <v>737</v>
      </c>
      <c r="D340" s="26" t="n">
        <v>0</v>
      </c>
      <c r="E340" s="26" t="n">
        <v>0</v>
      </c>
      <c r="F340" s="26" t="n">
        <v>3181.8</v>
      </c>
      <c r="G340" s="26" t="n">
        <v>0</v>
      </c>
      <c r="H340" s="26" t="n">
        <v>0</v>
      </c>
      <c r="I340" s="26" t="n">
        <v>10885.6</v>
      </c>
      <c r="J340" s="26" t="n">
        <v>0</v>
      </c>
      <c r="K340" s="26" t="n">
        <v>0</v>
      </c>
      <c r="L340" s="26" t="n">
        <v>0</v>
      </c>
      <c r="M340" s="26" t="n">
        <v>0</v>
      </c>
      <c r="N340" s="26" t="n">
        <v>0</v>
      </c>
      <c r="O340" s="26" t="n">
        <v>0</v>
      </c>
      <c r="P340" s="26" t="n">
        <v>0</v>
      </c>
      <c r="Q340" s="26" t="n">
        <v>10885.6</v>
      </c>
      <c r="R340" s="26" t="n">
        <v>0</v>
      </c>
      <c r="S340" s="26" t="n">
        <v>0</v>
      </c>
      <c r="T340" s="26" t="n">
        <v>0</v>
      </c>
      <c r="U340" s="26" t="n">
        <v>0</v>
      </c>
    </row>
    <row r="341" customFormat="false" ht="15" hidden="false" customHeight="true" outlineLevel="0" collapsed="false">
      <c r="A341" s="8" t="s">
        <v>407</v>
      </c>
      <c r="B341" s="8" t="s">
        <v>228</v>
      </c>
      <c r="C341" s="8" t="s">
        <v>738</v>
      </c>
      <c r="D341" s="26" t="n">
        <v>0</v>
      </c>
      <c r="E341" s="26" t="n">
        <v>0</v>
      </c>
      <c r="F341" s="26" t="n">
        <v>419.3</v>
      </c>
      <c r="G341" s="26" t="n">
        <v>0</v>
      </c>
      <c r="H341" s="26" t="n">
        <v>0</v>
      </c>
      <c r="I341" s="26" t="n">
        <v>1355.6</v>
      </c>
      <c r="J341" s="26" t="n">
        <v>0</v>
      </c>
      <c r="K341" s="26" t="n">
        <v>24.5</v>
      </c>
      <c r="L341" s="26" t="n">
        <v>0</v>
      </c>
      <c r="M341" s="26" t="n">
        <v>0</v>
      </c>
      <c r="N341" s="26" t="n">
        <v>0</v>
      </c>
      <c r="O341" s="26" t="n">
        <v>0</v>
      </c>
      <c r="P341" s="26" t="n">
        <v>0</v>
      </c>
      <c r="Q341" s="26" t="n">
        <v>791.2</v>
      </c>
      <c r="R341" s="26" t="n">
        <v>539.9</v>
      </c>
      <c r="S341" s="26" t="n">
        <v>0</v>
      </c>
      <c r="T341" s="26" t="n">
        <v>0</v>
      </c>
      <c r="U341" s="26" t="n">
        <v>0</v>
      </c>
    </row>
    <row r="342" customFormat="false" ht="15" hidden="false" customHeight="true" outlineLevel="0" collapsed="false">
      <c r="A342" s="8" t="s">
        <v>407</v>
      </c>
      <c r="B342" s="8" t="s">
        <v>212</v>
      </c>
      <c r="C342" s="8" t="s">
        <v>739</v>
      </c>
      <c r="D342" s="26" t="n">
        <v>0</v>
      </c>
      <c r="E342" s="26" t="n">
        <v>0</v>
      </c>
      <c r="F342" s="26" t="n">
        <v>438.5</v>
      </c>
      <c r="G342" s="26" t="n">
        <v>0</v>
      </c>
      <c r="H342" s="26" t="n">
        <v>0</v>
      </c>
      <c r="I342" s="26" t="n">
        <v>0</v>
      </c>
      <c r="J342" s="26" t="n">
        <v>0</v>
      </c>
      <c r="K342" s="26" t="n">
        <v>0</v>
      </c>
      <c r="L342" s="26" t="n">
        <v>0</v>
      </c>
      <c r="M342" s="26" t="n">
        <v>0</v>
      </c>
      <c r="N342" s="26" t="n">
        <v>0</v>
      </c>
      <c r="O342" s="26" t="n">
        <v>0</v>
      </c>
      <c r="P342" s="26" t="n">
        <v>0</v>
      </c>
      <c r="Q342" s="26" t="n">
        <v>0</v>
      </c>
      <c r="R342" s="26" t="n">
        <v>0</v>
      </c>
      <c r="S342" s="26" t="n">
        <v>0</v>
      </c>
      <c r="T342" s="26" t="n">
        <v>0</v>
      </c>
      <c r="U342" s="26" t="n">
        <v>0</v>
      </c>
    </row>
    <row r="343" customFormat="false" ht="15" hidden="false" customHeight="true" outlineLevel="0" collapsed="false">
      <c r="A343" s="8" t="s">
        <v>407</v>
      </c>
      <c r="B343" s="8" t="s">
        <v>212</v>
      </c>
      <c r="C343" s="8" t="s">
        <v>740</v>
      </c>
      <c r="D343" s="26" t="n">
        <v>0</v>
      </c>
      <c r="E343" s="26" t="n">
        <v>0</v>
      </c>
      <c r="F343" s="26" t="n">
        <v>449.8</v>
      </c>
      <c r="G343" s="26" t="n">
        <v>0</v>
      </c>
      <c r="H343" s="26" t="n">
        <v>0</v>
      </c>
      <c r="I343" s="26" t="n">
        <v>0</v>
      </c>
      <c r="J343" s="26" t="n">
        <v>0</v>
      </c>
      <c r="K343" s="26" t="n">
        <v>0</v>
      </c>
      <c r="L343" s="26" t="n">
        <v>0</v>
      </c>
      <c r="M343" s="26" t="n">
        <v>0</v>
      </c>
      <c r="N343" s="26" t="n">
        <v>0</v>
      </c>
      <c r="O343" s="26" t="n">
        <v>0</v>
      </c>
      <c r="P343" s="26" t="n">
        <v>0</v>
      </c>
      <c r="Q343" s="26" t="n">
        <v>0</v>
      </c>
      <c r="R343" s="26" t="n">
        <v>0</v>
      </c>
      <c r="S343" s="26" t="n">
        <v>0</v>
      </c>
      <c r="T343" s="26" t="n">
        <v>0</v>
      </c>
      <c r="U343" s="26" t="n">
        <v>0</v>
      </c>
    </row>
    <row r="344" customFormat="false" ht="15" hidden="false" customHeight="true" outlineLevel="0" collapsed="false">
      <c r="A344" s="8" t="s">
        <v>407</v>
      </c>
      <c r="B344" s="8" t="s">
        <v>265</v>
      </c>
      <c r="C344" s="8" t="s">
        <v>741</v>
      </c>
      <c r="D344" s="26" t="n">
        <v>0</v>
      </c>
      <c r="E344" s="26" t="n">
        <v>0</v>
      </c>
      <c r="F344" s="26" t="n">
        <v>90.1</v>
      </c>
      <c r="G344" s="26" t="n">
        <v>0</v>
      </c>
      <c r="H344" s="26" t="n">
        <v>0</v>
      </c>
      <c r="I344" s="26" t="n">
        <v>-194.1</v>
      </c>
      <c r="J344" s="26" t="n">
        <v>0</v>
      </c>
      <c r="K344" s="26" t="n">
        <v>0</v>
      </c>
      <c r="L344" s="26" t="n">
        <v>0</v>
      </c>
      <c r="M344" s="26" t="n">
        <v>0</v>
      </c>
      <c r="N344" s="26" t="n">
        <v>0</v>
      </c>
      <c r="O344" s="26" t="n">
        <v>0</v>
      </c>
      <c r="P344" s="26" t="n">
        <v>-194.1</v>
      </c>
      <c r="Q344" s="26" t="n">
        <v>0</v>
      </c>
      <c r="R344" s="26" t="n">
        <v>0</v>
      </c>
      <c r="S344" s="26" t="n">
        <v>0</v>
      </c>
      <c r="T344" s="26" t="n">
        <v>0</v>
      </c>
      <c r="U344" s="26" t="n">
        <v>0</v>
      </c>
    </row>
    <row r="345" customFormat="false" ht="15" hidden="false" customHeight="true" outlineLevel="0" collapsed="false">
      <c r="A345" s="8" t="s">
        <v>407</v>
      </c>
      <c r="B345" s="8" t="s">
        <v>265</v>
      </c>
      <c r="C345" s="8" t="s">
        <v>742</v>
      </c>
      <c r="D345" s="26" t="n">
        <v>0</v>
      </c>
      <c r="E345" s="26" t="n">
        <v>0</v>
      </c>
      <c r="F345" s="26" t="n">
        <v>90.1</v>
      </c>
      <c r="G345" s="26" t="n">
        <v>0</v>
      </c>
      <c r="H345" s="26" t="n">
        <v>0</v>
      </c>
      <c r="I345" s="26" t="n">
        <v>0</v>
      </c>
      <c r="J345" s="26" t="n">
        <v>0</v>
      </c>
      <c r="K345" s="26" t="n">
        <v>0</v>
      </c>
      <c r="L345" s="26" t="n">
        <v>0</v>
      </c>
      <c r="M345" s="26" t="n">
        <v>0</v>
      </c>
      <c r="N345" s="26" t="n">
        <v>0</v>
      </c>
      <c r="O345" s="26" t="n">
        <v>0</v>
      </c>
      <c r="P345" s="26" t="n">
        <v>0</v>
      </c>
      <c r="Q345" s="26" t="n">
        <v>0</v>
      </c>
      <c r="R345" s="26" t="n">
        <v>0</v>
      </c>
      <c r="S345" s="26" t="n">
        <v>0</v>
      </c>
      <c r="T345" s="26" t="n">
        <v>0</v>
      </c>
      <c r="U345" s="26" t="n">
        <v>0</v>
      </c>
    </row>
    <row r="346" customFormat="false" ht="15" hidden="false" customHeight="true" outlineLevel="0" collapsed="false">
      <c r="A346" s="8" t="s">
        <v>407</v>
      </c>
      <c r="B346" s="8" t="s">
        <v>212</v>
      </c>
      <c r="C346" s="8" t="s">
        <v>743</v>
      </c>
      <c r="D346" s="26" t="n">
        <v>0</v>
      </c>
      <c r="E346" s="26" t="n">
        <v>0</v>
      </c>
      <c r="F346" s="26" t="n">
        <v>137</v>
      </c>
      <c r="G346" s="26" t="n">
        <v>0</v>
      </c>
      <c r="H346" s="26" t="n">
        <v>0</v>
      </c>
      <c r="I346" s="26" t="n">
        <v>0</v>
      </c>
      <c r="J346" s="26" t="n">
        <v>0</v>
      </c>
      <c r="K346" s="26" t="n">
        <v>0</v>
      </c>
      <c r="L346" s="26" t="n">
        <v>0</v>
      </c>
      <c r="M346" s="26" t="n">
        <v>0</v>
      </c>
      <c r="N346" s="26" t="n">
        <v>0</v>
      </c>
      <c r="O346" s="26" t="n">
        <v>0</v>
      </c>
      <c r="P346" s="26" t="n">
        <v>0</v>
      </c>
      <c r="Q346" s="26" t="n">
        <v>0</v>
      </c>
      <c r="R346" s="26" t="n">
        <v>0</v>
      </c>
      <c r="S346" s="26" t="n">
        <v>0</v>
      </c>
      <c r="T346" s="26" t="n">
        <v>0</v>
      </c>
      <c r="U346" s="26" t="n">
        <v>0</v>
      </c>
    </row>
    <row r="347" customFormat="false" ht="15" hidden="false" customHeight="true" outlineLevel="0" collapsed="false">
      <c r="A347" s="8" t="s">
        <v>407</v>
      </c>
      <c r="B347" s="8" t="s">
        <v>330</v>
      </c>
      <c r="C347" s="8" t="s">
        <v>741</v>
      </c>
      <c r="D347" s="26" t="n">
        <v>0</v>
      </c>
      <c r="E347" s="26" t="n">
        <v>0</v>
      </c>
      <c r="F347" s="26" t="n">
        <v>94.5</v>
      </c>
      <c r="G347" s="26" t="n">
        <v>0</v>
      </c>
      <c r="H347" s="26" t="n">
        <v>0</v>
      </c>
      <c r="I347" s="26" t="n">
        <v>0</v>
      </c>
      <c r="J347" s="26" t="n">
        <v>0</v>
      </c>
      <c r="K347" s="26" t="n">
        <v>0</v>
      </c>
      <c r="L347" s="26" t="n">
        <v>0</v>
      </c>
      <c r="M347" s="26" t="n">
        <v>0</v>
      </c>
      <c r="N347" s="26" t="n">
        <v>0</v>
      </c>
      <c r="O347" s="26" t="n">
        <v>0</v>
      </c>
      <c r="P347" s="26" t="n">
        <v>0</v>
      </c>
      <c r="Q347" s="26" t="n">
        <v>0</v>
      </c>
      <c r="R347" s="26" t="n">
        <v>0</v>
      </c>
      <c r="S347" s="26" t="n">
        <v>0</v>
      </c>
      <c r="T347" s="26" t="n">
        <v>0</v>
      </c>
      <c r="U347" s="26" t="n">
        <v>0</v>
      </c>
    </row>
    <row r="348" customFormat="false" ht="15" hidden="false" customHeight="true" outlineLevel="0" collapsed="false">
      <c r="A348" s="8" t="s">
        <v>407</v>
      </c>
      <c r="B348" s="8" t="s">
        <v>85</v>
      </c>
      <c r="C348" s="8" t="s">
        <v>744</v>
      </c>
      <c r="D348" s="26" t="n">
        <v>0</v>
      </c>
      <c r="E348" s="26" t="n">
        <v>0</v>
      </c>
      <c r="F348" s="26" t="n">
        <v>0</v>
      </c>
      <c r="G348" s="26" t="n">
        <v>0</v>
      </c>
      <c r="H348" s="26" t="n">
        <v>0</v>
      </c>
      <c r="I348" s="26" t="n">
        <v>-166.6</v>
      </c>
      <c r="J348" s="26" t="n">
        <v>0</v>
      </c>
      <c r="K348" s="26" t="n">
        <v>0</v>
      </c>
      <c r="L348" s="26" t="n">
        <v>0</v>
      </c>
      <c r="M348" s="26" t="n">
        <v>0</v>
      </c>
      <c r="N348" s="26" t="n">
        <v>0</v>
      </c>
      <c r="O348" s="26" t="n">
        <v>0</v>
      </c>
      <c r="P348" s="26" t="n">
        <v>-166.6</v>
      </c>
      <c r="Q348" s="26" t="n">
        <v>0</v>
      </c>
      <c r="R348" s="26" t="n">
        <v>0</v>
      </c>
      <c r="S348" s="26" t="n">
        <v>0</v>
      </c>
      <c r="T348" s="26" t="n">
        <v>0</v>
      </c>
      <c r="U348" s="26" t="n">
        <v>0</v>
      </c>
    </row>
    <row r="349" customFormat="false" ht="15" hidden="false" customHeight="true" outlineLevel="0" collapsed="false">
      <c r="A349" s="8" t="s">
        <v>407</v>
      </c>
      <c r="B349" s="8" t="s">
        <v>84</v>
      </c>
      <c r="C349" s="8" t="s">
        <v>745</v>
      </c>
      <c r="D349" s="26" t="n">
        <v>0</v>
      </c>
      <c r="E349" s="26" t="n">
        <v>0</v>
      </c>
      <c r="F349" s="26" t="n">
        <v>12605.9</v>
      </c>
      <c r="G349" s="26" t="n">
        <v>0</v>
      </c>
      <c r="H349" s="26" t="n">
        <v>0</v>
      </c>
      <c r="I349" s="26" t="n">
        <v>42223.8</v>
      </c>
      <c r="J349" s="26" t="n">
        <v>0</v>
      </c>
      <c r="K349" s="26" t="n">
        <v>524.7</v>
      </c>
      <c r="L349" s="26" t="n">
        <v>0</v>
      </c>
      <c r="M349" s="26" t="n">
        <v>0</v>
      </c>
      <c r="N349" s="26" t="n">
        <v>461.5</v>
      </c>
      <c r="O349" s="26" t="n">
        <v>101.4</v>
      </c>
      <c r="P349" s="26" t="n">
        <v>-262.4</v>
      </c>
      <c r="Q349" s="26" t="n">
        <v>34315.1</v>
      </c>
      <c r="R349" s="26" t="n">
        <v>7083.5</v>
      </c>
      <c r="S349" s="26" t="n">
        <v>0</v>
      </c>
      <c r="T349" s="26" t="n">
        <v>0</v>
      </c>
      <c r="U349" s="26" t="n">
        <v>0</v>
      </c>
    </row>
    <row r="350" customFormat="false" ht="15" hidden="false" customHeight="true" outlineLevel="0" collapsed="false">
      <c r="A350" s="8" t="s">
        <v>407</v>
      </c>
      <c r="B350" s="8" t="s">
        <v>84</v>
      </c>
      <c r="C350" s="8" t="s">
        <v>746</v>
      </c>
      <c r="D350" s="26" t="n">
        <v>0</v>
      </c>
      <c r="E350" s="26" t="n">
        <v>0</v>
      </c>
      <c r="F350" s="26" t="n">
        <v>11952.8</v>
      </c>
      <c r="G350" s="26" t="n">
        <v>0</v>
      </c>
      <c r="H350" s="26" t="n">
        <v>0</v>
      </c>
      <c r="I350" s="26" t="n">
        <v>43741.9</v>
      </c>
      <c r="J350" s="26" t="n">
        <v>0</v>
      </c>
      <c r="K350" s="26" t="n">
        <v>699.6</v>
      </c>
      <c r="L350" s="26" t="n">
        <v>0</v>
      </c>
      <c r="M350" s="26" t="n">
        <v>461.2</v>
      </c>
      <c r="N350" s="26" t="n">
        <v>461.5</v>
      </c>
      <c r="O350" s="26" t="n">
        <v>202.8</v>
      </c>
      <c r="P350" s="26" t="n">
        <v>-801</v>
      </c>
      <c r="Q350" s="26" t="n">
        <v>34410.1</v>
      </c>
      <c r="R350" s="26" t="n">
        <v>8307.8</v>
      </c>
      <c r="S350" s="26" t="n">
        <v>0</v>
      </c>
      <c r="T350" s="26" t="n">
        <v>0</v>
      </c>
      <c r="U350" s="26" t="n">
        <v>0</v>
      </c>
    </row>
    <row r="351" customFormat="false" ht="15" hidden="false" customHeight="true" outlineLevel="0" collapsed="false">
      <c r="A351" s="8" t="s">
        <v>407</v>
      </c>
      <c r="B351" s="8" t="s">
        <v>84</v>
      </c>
      <c r="C351" s="8" t="s">
        <v>747</v>
      </c>
      <c r="D351" s="26" t="n">
        <v>0</v>
      </c>
      <c r="E351" s="26" t="n">
        <v>0</v>
      </c>
      <c r="F351" s="26" t="n">
        <v>3512.6</v>
      </c>
      <c r="G351" s="26" t="n">
        <v>0</v>
      </c>
      <c r="H351" s="26" t="n">
        <v>0</v>
      </c>
      <c r="I351" s="26" t="n">
        <v>15526.7</v>
      </c>
      <c r="J351" s="26" t="n">
        <v>0</v>
      </c>
      <c r="K351" s="26" t="n">
        <v>437.3</v>
      </c>
      <c r="L351" s="26" t="n">
        <v>0</v>
      </c>
      <c r="M351" s="26" t="n">
        <v>0</v>
      </c>
      <c r="N351" s="26" t="n">
        <v>122.9</v>
      </c>
      <c r="O351" s="26" t="n">
        <v>0</v>
      </c>
      <c r="P351" s="26" t="n">
        <v>-385.2</v>
      </c>
      <c r="Q351" s="26" t="n">
        <v>12815.8</v>
      </c>
      <c r="R351" s="26" t="n">
        <v>2536.1</v>
      </c>
      <c r="S351" s="26" t="n">
        <v>0</v>
      </c>
      <c r="T351" s="26" t="n">
        <v>0</v>
      </c>
      <c r="U351" s="26" t="n">
        <v>0</v>
      </c>
    </row>
    <row r="352" customFormat="false" ht="15" hidden="false" customHeight="true" outlineLevel="0" collapsed="false">
      <c r="A352" s="8" t="s">
        <v>407</v>
      </c>
      <c r="B352" s="8" t="s">
        <v>123</v>
      </c>
      <c r="C352" s="8" t="s">
        <v>748</v>
      </c>
      <c r="D352" s="26" t="n">
        <v>0</v>
      </c>
      <c r="E352" s="26" t="n">
        <v>0</v>
      </c>
      <c r="F352" s="26" t="n">
        <v>6812.1</v>
      </c>
      <c r="G352" s="26" t="n">
        <v>0</v>
      </c>
      <c r="H352" s="26" t="n">
        <v>0</v>
      </c>
      <c r="I352" s="26" t="n">
        <v>5124.9</v>
      </c>
      <c r="J352" s="26" t="n">
        <v>0</v>
      </c>
      <c r="K352" s="26" t="n">
        <v>272.6</v>
      </c>
      <c r="L352" s="26" t="n">
        <v>-54.5</v>
      </c>
      <c r="M352" s="26" t="n">
        <v>0</v>
      </c>
      <c r="N352" s="26" t="n">
        <v>0</v>
      </c>
      <c r="O352" s="26" t="n">
        <v>0</v>
      </c>
      <c r="P352" s="26" t="n">
        <v>-272.6</v>
      </c>
      <c r="Q352" s="26" t="n">
        <v>0</v>
      </c>
      <c r="R352" s="26" t="n">
        <v>5179.4</v>
      </c>
      <c r="S352" s="26" t="n">
        <v>0</v>
      </c>
      <c r="T352" s="26" t="n">
        <v>0</v>
      </c>
      <c r="U352" s="26" t="n">
        <v>0</v>
      </c>
    </row>
    <row r="353" customFormat="false" ht="15" hidden="false" customHeight="true" outlineLevel="0" collapsed="false">
      <c r="A353" s="8" t="s">
        <v>407</v>
      </c>
      <c r="B353" s="8" t="s">
        <v>123</v>
      </c>
      <c r="C353" s="8" t="s">
        <v>749</v>
      </c>
      <c r="D353" s="26" t="n">
        <v>0</v>
      </c>
      <c r="E353" s="26" t="n">
        <v>0</v>
      </c>
      <c r="F353" s="26" t="n">
        <v>7157.9</v>
      </c>
      <c r="G353" s="26" t="n">
        <v>0</v>
      </c>
      <c r="H353" s="26" t="n">
        <v>0</v>
      </c>
      <c r="I353" s="26" t="n">
        <v>6456.7</v>
      </c>
      <c r="J353" s="26" t="n">
        <v>0</v>
      </c>
      <c r="K353" s="26" t="n">
        <v>54.5</v>
      </c>
      <c r="L353" s="26" t="n">
        <v>0</v>
      </c>
      <c r="M353" s="26" t="n">
        <v>0</v>
      </c>
      <c r="N353" s="26" t="n">
        <v>0</v>
      </c>
      <c r="O353" s="26" t="n">
        <v>0</v>
      </c>
      <c r="P353" s="26" t="n">
        <v>-218.1</v>
      </c>
      <c r="Q353" s="26" t="n">
        <v>0</v>
      </c>
      <c r="R353" s="26" t="n">
        <v>6620.3</v>
      </c>
      <c r="S353" s="26" t="n">
        <v>0</v>
      </c>
      <c r="T353" s="26" t="n">
        <v>0</v>
      </c>
      <c r="U353" s="26" t="n">
        <v>0</v>
      </c>
    </row>
    <row r="354" customFormat="false" ht="15" hidden="false" customHeight="true" outlineLevel="0" collapsed="false">
      <c r="A354" s="8" t="s">
        <v>407</v>
      </c>
      <c r="B354" s="8" t="s">
        <v>123</v>
      </c>
      <c r="C354" s="8" t="s">
        <v>750</v>
      </c>
      <c r="D354" s="26" t="n">
        <v>0</v>
      </c>
      <c r="E354" s="26" t="n">
        <v>0</v>
      </c>
      <c r="F354" s="26" t="n">
        <v>-25.3</v>
      </c>
      <c r="G354" s="26" t="n">
        <v>0</v>
      </c>
      <c r="H354" s="26" t="n">
        <v>0</v>
      </c>
      <c r="I354" s="26" t="n">
        <v>-245.6</v>
      </c>
      <c r="J354" s="26" t="n">
        <v>0</v>
      </c>
      <c r="K354" s="26" t="n">
        <v>0</v>
      </c>
      <c r="L354" s="26" t="n">
        <v>0</v>
      </c>
      <c r="M354" s="26" t="n">
        <v>0</v>
      </c>
      <c r="N354" s="26" t="n">
        <v>0</v>
      </c>
      <c r="O354" s="26" t="n">
        <v>0</v>
      </c>
      <c r="P354" s="26" t="n">
        <v>-163.6</v>
      </c>
      <c r="Q354" s="26" t="n">
        <v>-245.6</v>
      </c>
      <c r="R354" s="26" t="n">
        <v>163.6</v>
      </c>
      <c r="S354" s="26" t="n">
        <v>0</v>
      </c>
      <c r="T354" s="26" t="n">
        <v>0</v>
      </c>
      <c r="U354" s="26" t="n">
        <v>0</v>
      </c>
    </row>
    <row r="355" customFormat="false" ht="15" hidden="false" customHeight="true" outlineLevel="0" collapsed="false">
      <c r="A355" s="8" t="s">
        <v>407</v>
      </c>
      <c r="B355" s="8" t="s">
        <v>374</v>
      </c>
      <c r="C355" s="8" t="s">
        <v>751</v>
      </c>
      <c r="D355" s="26" t="n">
        <v>0</v>
      </c>
      <c r="E355" s="26" t="n">
        <v>0</v>
      </c>
      <c r="F355" s="26" t="n">
        <v>0</v>
      </c>
      <c r="G355" s="26" t="n">
        <v>0</v>
      </c>
      <c r="H355" s="26" t="n">
        <v>0</v>
      </c>
      <c r="I355" s="26" t="n">
        <v>-241.3</v>
      </c>
      <c r="J355" s="26" t="n">
        <v>0</v>
      </c>
      <c r="K355" s="26" t="n">
        <v>0</v>
      </c>
      <c r="L355" s="26" t="n">
        <v>0</v>
      </c>
      <c r="M355" s="26" t="n">
        <v>0</v>
      </c>
      <c r="N355" s="26" t="n">
        <v>0</v>
      </c>
      <c r="O355" s="26" t="n">
        <v>0</v>
      </c>
      <c r="P355" s="26" t="n">
        <v>0</v>
      </c>
      <c r="Q355" s="26" t="n">
        <v>-241.3</v>
      </c>
      <c r="R355" s="26" t="n">
        <v>0</v>
      </c>
      <c r="S355" s="26" t="n">
        <v>0</v>
      </c>
      <c r="T355" s="26" t="n">
        <v>0</v>
      </c>
      <c r="U355" s="26" t="n">
        <v>0</v>
      </c>
    </row>
    <row r="356" customFormat="false" ht="15" hidden="false" customHeight="true" outlineLevel="0" collapsed="false">
      <c r="A356" s="8" t="s">
        <v>407</v>
      </c>
      <c r="B356" s="8" t="s">
        <v>180</v>
      </c>
      <c r="C356" s="8" t="s">
        <v>648</v>
      </c>
      <c r="D356" s="26" t="n">
        <v>0</v>
      </c>
      <c r="E356" s="26" t="n">
        <v>0</v>
      </c>
      <c r="F356" s="26" t="n">
        <v>5363.4</v>
      </c>
      <c r="G356" s="26" t="n">
        <v>0</v>
      </c>
      <c r="H356" s="26" t="n">
        <v>0</v>
      </c>
      <c r="I356" s="26" t="n">
        <v>4371.1</v>
      </c>
      <c r="J356" s="26" t="n">
        <v>0</v>
      </c>
      <c r="K356" s="26" t="n">
        <v>743.7</v>
      </c>
      <c r="L356" s="26" t="n">
        <v>0</v>
      </c>
      <c r="M356" s="26" t="n">
        <v>0</v>
      </c>
      <c r="N356" s="26" t="n">
        <v>83.9</v>
      </c>
      <c r="O356" s="26" t="n">
        <v>0</v>
      </c>
      <c r="P356" s="26" t="n">
        <v>0</v>
      </c>
      <c r="Q356" s="26" t="n">
        <v>0</v>
      </c>
      <c r="R356" s="26" t="n">
        <v>3543.6</v>
      </c>
      <c r="S356" s="26" t="n">
        <v>0</v>
      </c>
      <c r="T356" s="26" t="n">
        <v>0</v>
      </c>
      <c r="U356" s="26" t="n">
        <v>0</v>
      </c>
    </row>
    <row r="357" customFormat="false" ht="15" hidden="false" customHeight="true" outlineLevel="0" collapsed="false">
      <c r="A357" s="8" t="s">
        <v>407</v>
      </c>
      <c r="B357" s="8" t="s">
        <v>357</v>
      </c>
      <c r="C357" s="8" t="s">
        <v>752</v>
      </c>
      <c r="D357" s="26" t="n">
        <v>0</v>
      </c>
      <c r="E357" s="26" t="n">
        <v>0</v>
      </c>
      <c r="F357" s="26" t="n">
        <v>-9</v>
      </c>
      <c r="G357" s="26" t="n">
        <v>0</v>
      </c>
      <c r="H357" s="26" t="n">
        <v>0</v>
      </c>
      <c r="I357" s="26" t="n">
        <v>0</v>
      </c>
      <c r="J357" s="26" t="n">
        <v>0</v>
      </c>
      <c r="K357" s="26" t="n">
        <v>0</v>
      </c>
      <c r="L357" s="26" t="n">
        <v>0</v>
      </c>
      <c r="M357" s="26" t="n">
        <v>0</v>
      </c>
      <c r="N357" s="26" t="n">
        <v>0</v>
      </c>
      <c r="O357" s="26" t="n">
        <v>0</v>
      </c>
      <c r="P357" s="26" t="n">
        <v>0</v>
      </c>
      <c r="Q357" s="26" t="n">
        <v>0</v>
      </c>
      <c r="R357" s="26" t="n">
        <v>0</v>
      </c>
      <c r="S357" s="26" t="n">
        <v>0</v>
      </c>
      <c r="T357" s="26" t="n">
        <v>0</v>
      </c>
      <c r="U357" s="26" t="n">
        <v>0</v>
      </c>
    </row>
    <row r="358" customFormat="false" ht="15" hidden="false" customHeight="true" outlineLevel="0" collapsed="false">
      <c r="A358" s="8" t="s">
        <v>407</v>
      </c>
      <c r="B358" s="8" t="s">
        <v>86</v>
      </c>
      <c r="C358" s="8" t="s">
        <v>753</v>
      </c>
      <c r="D358" s="26" t="n">
        <v>0</v>
      </c>
      <c r="E358" s="26" t="n">
        <v>0</v>
      </c>
      <c r="F358" s="26" t="n">
        <v>9084.2</v>
      </c>
      <c r="G358" s="26" t="n">
        <v>0</v>
      </c>
      <c r="H358" s="26" t="n">
        <v>0</v>
      </c>
      <c r="I358" s="26" t="n">
        <v>21824.2</v>
      </c>
      <c r="J358" s="26" t="n">
        <v>0</v>
      </c>
      <c r="K358" s="26" t="n">
        <v>161.6</v>
      </c>
      <c r="L358" s="26" t="n">
        <v>0</v>
      </c>
      <c r="M358" s="26" t="n">
        <v>0</v>
      </c>
      <c r="N358" s="26" t="n">
        <v>198.4</v>
      </c>
      <c r="O358" s="26" t="n">
        <v>103.8</v>
      </c>
      <c r="P358" s="26" t="n">
        <v>-263</v>
      </c>
      <c r="Q358" s="26" t="n">
        <v>17843.1</v>
      </c>
      <c r="R358" s="26" t="n">
        <v>3780.3</v>
      </c>
      <c r="S358" s="26" t="n">
        <v>0</v>
      </c>
      <c r="T358" s="26" t="n">
        <v>0</v>
      </c>
      <c r="U358" s="26" t="n">
        <v>0</v>
      </c>
    </row>
    <row r="359" customFormat="false" ht="15" hidden="false" customHeight="true" outlineLevel="0" collapsed="false">
      <c r="A359" s="8" t="s">
        <v>407</v>
      </c>
      <c r="B359" s="8" t="s">
        <v>86</v>
      </c>
      <c r="C359" s="8" t="s">
        <v>754</v>
      </c>
      <c r="D359" s="26" t="n">
        <v>0</v>
      </c>
      <c r="E359" s="26" t="n">
        <v>0</v>
      </c>
      <c r="F359" s="26" t="n">
        <v>7044.2</v>
      </c>
      <c r="G359" s="26" t="n">
        <v>0</v>
      </c>
      <c r="H359" s="26" t="n">
        <v>0</v>
      </c>
      <c r="I359" s="26" t="n">
        <v>23163.4</v>
      </c>
      <c r="J359" s="26" t="n">
        <v>0</v>
      </c>
      <c r="K359" s="26" t="n">
        <v>96.9</v>
      </c>
      <c r="L359" s="26" t="n">
        <v>0</v>
      </c>
      <c r="M359" s="26" t="n">
        <v>0</v>
      </c>
      <c r="N359" s="26" t="n">
        <v>49.6</v>
      </c>
      <c r="O359" s="26" t="n">
        <v>69.2</v>
      </c>
      <c r="P359" s="26" t="n">
        <v>-32.3</v>
      </c>
      <c r="Q359" s="26" t="n">
        <v>19003.5</v>
      </c>
      <c r="R359" s="26" t="n">
        <v>3976.4</v>
      </c>
      <c r="S359" s="26" t="n">
        <v>0</v>
      </c>
      <c r="T359" s="26" t="n">
        <v>0</v>
      </c>
      <c r="U359" s="26" t="n">
        <v>0</v>
      </c>
    </row>
    <row r="360" customFormat="false" ht="15" hidden="false" customHeight="true" outlineLevel="0" collapsed="false">
      <c r="A360" s="8" t="s">
        <v>407</v>
      </c>
      <c r="B360" s="8" t="s">
        <v>86</v>
      </c>
      <c r="C360" s="8" t="s">
        <v>755</v>
      </c>
      <c r="D360" s="26" t="n">
        <v>0</v>
      </c>
      <c r="E360" s="26" t="n">
        <v>0</v>
      </c>
      <c r="F360" s="26" t="n">
        <v>3406.8</v>
      </c>
      <c r="G360" s="26" t="n">
        <v>0</v>
      </c>
      <c r="H360" s="26" t="n">
        <v>0</v>
      </c>
      <c r="I360" s="26" t="n">
        <v>12787.6</v>
      </c>
      <c r="J360" s="26" t="n">
        <v>0</v>
      </c>
      <c r="K360" s="26" t="n">
        <v>64.6</v>
      </c>
      <c r="L360" s="26" t="n">
        <v>0</v>
      </c>
      <c r="M360" s="26" t="n">
        <v>0</v>
      </c>
      <c r="N360" s="26" t="n">
        <v>0</v>
      </c>
      <c r="O360" s="26" t="n">
        <v>0</v>
      </c>
      <c r="P360" s="26" t="n">
        <v>-96.9</v>
      </c>
      <c r="Q360" s="26" t="n">
        <v>11107.5</v>
      </c>
      <c r="R360" s="26" t="n">
        <v>1712.4</v>
      </c>
      <c r="S360" s="26" t="n">
        <v>0</v>
      </c>
      <c r="T360" s="26" t="n">
        <v>0</v>
      </c>
      <c r="U360" s="26" t="n">
        <v>0</v>
      </c>
    </row>
    <row r="361" customFormat="false" ht="15" hidden="false" customHeight="true" outlineLevel="0" collapsed="false">
      <c r="A361" s="8" t="s">
        <v>407</v>
      </c>
      <c r="B361" s="8" t="s">
        <v>86</v>
      </c>
      <c r="C361" s="8" t="s">
        <v>756</v>
      </c>
      <c r="D361" s="26" t="n">
        <v>0</v>
      </c>
      <c r="E361" s="26" t="n">
        <v>0</v>
      </c>
      <c r="F361" s="26" t="n">
        <v>6089.6</v>
      </c>
      <c r="G361" s="26" t="n">
        <v>0</v>
      </c>
      <c r="H361" s="26" t="n">
        <v>0</v>
      </c>
      <c r="I361" s="26" t="n">
        <v>17947</v>
      </c>
      <c r="J361" s="26" t="n">
        <v>0</v>
      </c>
      <c r="K361" s="26" t="n">
        <v>64.6</v>
      </c>
      <c r="L361" s="26" t="n">
        <v>0</v>
      </c>
      <c r="M361" s="26" t="n">
        <v>0</v>
      </c>
      <c r="N361" s="26" t="n">
        <v>99.2</v>
      </c>
      <c r="O361" s="26" t="n">
        <v>103.8</v>
      </c>
      <c r="P361" s="26" t="n">
        <v>-166.9</v>
      </c>
      <c r="Q361" s="26" t="n">
        <v>15063</v>
      </c>
      <c r="R361" s="26" t="n">
        <v>2783.3</v>
      </c>
      <c r="S361" s="26" t="n">
        <v>0</v>
      </c>
      <c r="T361" s="26" t="n">
        <v>0</v>
      </c>
      <c r="U361" s="26" t="n">
        <v>0</v>
      </c>
    </row>
    <row r="362" customFormat="false" ht="15" hidden="false" customHeight="true" outlineLevel="0" collapsed="false">
      <c r="A362" s="8" t="s">
        <v>407</v>
      </c>
      <c r="B362" s="8" t="s">
        <v>86</v>
      </c>
      <c r="C362" s="8" t="s">
        <v>757</v>
      </c>
      <c r="D362" s="26" t="n">
        <v>0</v>
      </c>
      <c r="E362" s="26" t="n">
        <v>0</v>
      </c>
      <c r="F362" s="26" t="n">
        <v>99.2</v>
      </c>
      <c r="G362" s="26" t="n">
        <v>0</v>
      </c>
      <c r="H362" s="26" t="n">
        <v>0</v>
      </c>
      <c r="I362" s="26" t="n">
        <v>30</v>
      </c>
      <c r="J362" s="26" t="n">
        <v>0</v>
      </c>
      <c r="K362" s="26" t="n">
        <v>0</v>
      </c>
      <c r="L362" s="26" t="n">
        <v>0</v>
      </c>
      <c r="M362" s="26" t="n">
        <v>0</v>
      </c>
      <c r="N362" s="26" t="n">
        <v>0</v>
      </c>
      <c r="O362" s="26" t="n">
        <v>0</v>
      </c>
      <c r="P362" s="26" t="n">
        <v>0</v>
      </c>
      <c r="Q362" s="26" t="n">
        <v>30</v>
      </c>
      <c r="R362" s="26" t="n">
        <v>0</v>
      </c>
      <c r="S362" s="26" t="n">
        <v>0</v>
      </c>
      <c r="T362" s="26" t="n">
        <v>0</v>
      </c>
      <c r="U362" s="26" t="n">
        <v>0</v>
      </c>
    </row>
    <row r="363" customFormat="false" ht="15" hidden="false" customHeight="true" outlineLevel="0" collapsed="false">
      <c r="A363" s="8" t="s">
        <v>407</v>
      </c>
      <c r="B363" s="8" t="s">
        <v>360</v>
      </c>
      <c r="C363" s="8" t="s">
        <v>758</v>
      </c>
      <c r="D363" s="26" t="n">
        <v>0</v>
      </c>
      <c r="E363" s="26" t="n">
        <v>0</v>
      </c>
      <c r="F363" s="26" t="n">
        <v>66.5</v>
      </c>
      <c r="G363" s="26" t="n">
        <v>0</v>
      </c>
      <c r="H363" s="26" t="n">
        <v>0</v>
      </c>
      <c r="I363" s="26" t="n">
        <v>0</v>
      </c>
      <c r="J363" s="26" t="n">
        <v>0</v>
      </c>
      <c r="K363" s="26" t="n">
        <v>0</v>
      </c>
      <c r="L363" s="26" t="n">
        <v>0</v>
      </c>
      <c r="M363" s="26" t="n">
        <v>0</v>
      </c>
      <c r="N363" s="26" t="n">
        <v>0</v>
      </c>
      <c r="O363" s="26" t="n">
        <v>0</v>
      </c>
      <c r="P363" s="26" t="n">
        <v>0</v>
      </c>
      <c r="Q363" s="26" t="n">
        <v>0</v>
      </c>
      <c r="R363" s="26" t="n">
        <v>0</v>
      </c>
      <c r="S363" s="26" t="n">
        <v>0</v>
      </c>
      <c r="T363" s="26" t="n">
        <v>0</v>
      </c>
      <c r="U363" s="26" t="n">
        <v>0</v>
      </c>
    </row>
    <row r="364" customFormat="false" ht="15" hidden="false" customHeight="true" outlineLevel="0" collapsed="false">
      <c r="A364" s="8" t="s">
        <v>407</v>
      </c>
      <c r="B364" s="8" t="s">
        <v>382</v>
      </c>
      <c r="C364" s="8" t="s">
        <v>759</v>
      </c>
      <c r="D364" s="26" t="n">
        <v>0</v>
      </c>
      <c r="E364" s="26" t="n">
        <v>0</v>
      </c>
      <c r="F364" s="26" t="n">
        <v>0</v>
      </c>
      <c r="G364" s="26" t="n">
        <v>0</v>
      </c>
      <c r="H364" s="26" t="n">
        <v>0</v>
      </c>
      <c r="I364" s="26" t="n">
        <v>-90</v>
      </c>
      <c r="J364" s="26" t="n">
        <v>0</v>
      </c>
      <c r="K364" s="26" t="n">
        <v>0</v>
      </c>
      <c r="L364" s="26" t="n">
        <v>0</v>
      </c>
      <c r="M364" s="26" t="n">
        <v>0</v>
      </c>
      <c r="N364" s="26" t="n">
        <v>0</v>
      </c>
      <c r="O364" s="26" t="n">
        <v>0</v>
      </c>
      <c r="P364" s="26" t="n">
        <v>0</v>
      </c>
      <c r="Q364" s="26" t="n">
        <v>-90</v>
      </c>
      <c r="R364" s="26" t="n">
        <v>0</v>
      </c>
      <c r="S364" s="26" t="n">
        <v>0</v>
      </c>
      <c r="T364" s="26" t="n">
        <v>0</v>
      </c>
      <c r="U364" s="26" t="n">
        <v>0</v>
      </c>
    </row>
    <row r="365" customFormat="false" ht="15" hidden="false" customHeight="true" outlineLevel="0" collapsed="false">
      <c r="A365" s="8" t="s">
        <v>407</v>
      </c>
      <c r="B365" s="8" t="s">
        <v>351</v>
      </c>
      <c r="C365" s="8" t="s">
        <v>760</v>
      </c>
      <c r="D365" s="26" t="n">
        <v>0</v>
      </c>
      <c r="E365" s="26" t="n">
        <v>0</v>
      </c>
      <c r="F365" s="26" t="n">
        <v>0</v>
      </c>
      <c r="G365" s="26" t="n">
        <v>0</v>
      </c>
      <c r="H365" s="26" t="n">
        <v>0</v>
      </c>
      <c r="I365" s="26" t="n">
        <v>0</v>
      </c>
      <c r="J365" s="26" t="n">
        <v>0</v>
      </c>
      <c r="K365" s="26" t="n">
        <v>0</v>
      </c>
      <c r="L365" s="26" t="n">
        <v>0</v>
      </c>
      <c r="M365" s="26" t="n">
        <v>0</v>
      </c>
      <c r="N365" s="26" t="n">
        <v>0</v>
      </c>
      <c r="O365" s="26" t="n">
        <v>0</v>
      </c>
      <c r="P365" s="26" t="n">
        <v>0</v>
      </c>
      <c r="Q365" s="26" t="n">
        <v>0</v>
      </c>
      <c r="R365" s="26" t="n">
        <v>0</v>
      </c>
      <c r="S365" s="26" t="n">
        <v>0</v>
      </c>
      <c r="T365" s="26" t="n">
        <v>0</v>
      </c>
      <c r="U365" s="26" t="n">
        <v>-29.7</v>
      </c>
    </row>
    <row r="366" customFormat="false" ht="15" hidden="false" customHeight="true" outlineLevel="0" collapsed="false">
      <c r="A366" s="8" t="s">
        <v>407</v>
      </c>
      <c r="B366" s="8" t="s">
        <v>309</v>
      </c>
      <c r="C366" s="8" t="s">
        <v>761</v>
      </c>
      <c r="D366" s="26" t="n">
        <v>0</v>
      </c>
      <c r="E366" s="26" t="n">
        <v>0</v>
      </c>
      <c r="F366" s="26" t="n">
        <v>0</v>
      </c>
      <c r="G366" s="26" t="n">
        <v>0</v>
      </c>
      <c r="H366" s="26" t="n">
        <v>0</v>
      </c>
      <c r="I366" s="26" t="n">
        <v>0</v>
      </c>
      <c r="J366" s="26" t="n">
        <v>0</v>
      </c>
      <c r="K366" s="26" t="n">
        <v>0</v>
      </c>
      <c r="L366" s="26" t="n">
        <v>0</v>
      </c>
      <c r="M366" s="26" t="n">
        <v>0</v>
      </c>
      <c r="N366" s="26" t="n">
        <v>0</v>
      </c>
      <c r="O366" s="26" t="n">
        <v>0</v>
      </c>
      <c r="P366" s="26" t="n">
        <v>0</v>
      </c>
      <c r="Q366" s="26" t="n">
        <v>0</v>
      </c>
      <c r="R366" s="26" t="n">
        <v>0</v>
      </c>
      <c r="S366" s="26" t="n">
        <v>0</v>
      </c>
      <c r="T366" s="26" t="n">
        <v>0</v>
      </c>
      <c r="U366" s="26" t="n">
        <v>-165.6</v>
      </c>
    </row>
    <row r="367" customFormat="false" ht="15" hidden="false" customHeight="true" outlineLevel="0" collapsed="false">
      <c r="A367" s="8" t="s">
        <v>407</v>
      </c>
      <c r="B367" s="8" t="s">
        <v>350</v>
      </c>
      <c r="C367" s="8" t="s">
        <v>762</v>
      </c>
      <c r="D367" s="26" t="n">
        <v>0</v>
      </c>
      <c r="E367" s="26" t="n">
        <v>0</v>
      </c>
      <c r="F367" s="26" t="n">
        <v>0</v>
      </c>
      <c r="G367" s="26" t="n">
        <v>0</v>
      </c>
      <c r="H367" s="26" t="n">
        <v>0</v>
      </c>
      <c r="I367" s="26" t="n">
        <v>0</v>
      </c>
      <c r="J367" s="26" t="n">
        <v>0</v>
      </c>
      <c r="K367" s="26" t="n">
        <v>0</v>
      </c>
      <c r="L367" s="26" t="n">
        <v>0</v>
      </c>
      <c r="M367" s="26" t="n">
        <v>0</v>
      </c>
      <c r="N367" s="26" t="n">
        <v>0</v>
      </c>
      <c r="O367" s="26" t="n">
        <v>0</v>
      </c>
      <c r="P367" s="26" t="n">
        <v>0</v>
      </c>
      <c r="Q367" s="26" t="n">
        <v>0</v>
      </c>
      <c r="R367" s="26" t="n">
        <v>0</v>
      </c>
      <c r="S367" s="26" t="n">
        <v>0</v>
      </c>
      <c r="T367" s="26" t="n">
        <v>0</v>
      </c>
      <c r="U367" s="26" t="n">
        <v>-29.7</v>
      </c>
    </row>
    <row r="368" customFormat="false" ht="15" hidden="false" customHeight="true" outlineLevel="0" collapsed="false">
      <c r="A368" s="8" t="s">
        <v>407</v>
      </c>
      <c r="B368" s="8" t="s">
        <v>115</v>
      </c>
      <c r="C368" s="8" t="s">
        <v>763</v>
      </c>
      <c r="D368" s="26" t="n">
        <v>0</v>
      </c>
      <c r="E368" s="26" t="n">
        <v>0</v>
      </c>
      <c r="F368" s="26" t="n">
        <v>14444.1</v>
      </c>
      <c r="G368" s="26" t="n">
        <v>0</v>
      </c>
      <c r="H368" s="26" t="n">
        <v>0</v>
      </c>
      <c r="I368" s="26" t="n">
        <v>12313.6</v>
      </c>
      <c r="J368" s="26" t="n">
        <v>0</v>
      </c>
      <c r="K368" s="26" t="n">
        <v>4892.8</v>
      </c>
      <c r="L368" s="26" t="n">
        <v>-65.8</v>
      </c>
      <c r="M368" s="26" t="n">
        <v>0</v>
      </c>
      <c r="N368" s="26" t="n">
        <v>108.4</v>
      </c>
      <c r="O368" s="26" t="n">
        <v>263</v>
      </c>
      <c r="P368" s="26" t="n">
        <v>0</v>
      </c>
      <c r="Q368" s="26" t="n">
        <v>0</v>
      </c>
      <c r="R368" s="26" t="n">
        <v>7115.1</v>
      </c>
      <c r="S368" s="26" t="n">
        <v>0</v>
      </c>
      <c r="T368" s="26" t="n">
        <v>0</v>
      </c>
      <c r="U368" s="26" t="n">
        <v>0</v>
      </c>
    </row>
    <row r="369" customFormat="false" ht="15" hidden="false" customHeight="true" outlineLevel="0" collapsed="false">
      <c r="A369" s="8" t="s">
        <v>407</v>
      </c>
      <c r="B369" s="8" t="s">
        <v>241</v>
      </c>
      <c r="C369" s="8" t="s">
        <v>764</v>
      </c>
      <c r="D369" s="26" t="n">
        <v>0</v>
      </c>
      <c r="E369" s="26" t="n">
        <v>0</v>
      </c>
      <c r="F369" s="26" t="n">
        <v>-768.2</v>
      </c>
      <c r="G369" s="26" t="n">
        <v>0</v>
      </c>
      <c r="H369" s="26" t="n">
        <v>0</v>
      </c>
      <c r="I369" s="26" t="n">
        <v>0</v>
      </c>
      <c r="J369" s="26" t="n">
        <v>0</v>
      </c>
      <c r="K369" s="26" t="n">
        <v>0</v>
      </c>
      <c r="L369" s="26" t="n">
        <v>0</v>
      </c>
      <c r="M369" s="26" t="n">
        <v>0</v>
      </c>
      <c r="N369" s="26" t="n">
        <v>0</v>
      </c>
      <c r="O369" s="26" t="n">
        <v>0</v>
      </c>
      <c r="P369" s="26" t="n">
        <v>0</v>
      </c>
      <c r="Q369" s="26" t="n">
        <v>0</v>
      </c>
      <c r="R369" s="26" t="n">
        <v>0</v>
      </c>
      <c r="S369" s="26" t="n">
        <v>0</v>
      </c>
      <c r="T369" s="26" t="n">
        <v>0</v>
      </c>
      <c r="U369" s="26" t="n">
        <v>0</v>
      </c>
    </row>
    <row r="370" customFormat="false" ht="15" hidden="false" customHeight="true" outlineLevel="0" collapsed="false">
      <c r="A370" s="8" t="s">
        <v>407</v>
      </c>
      <c r="B370" s="8" t="s">
        <v>207</v>
      </c>
      <c r="C370" s="8" t="s">
        <v>765</v>
      </c>
      <c r="D370" s="26" t="n">
        <v>0</v>
      </c>
      <c r="E370" s="26" t="n">
        <v>0</v>
      </c>
      <c r="F370" s="26" t="n">
        <v>4895.4</v>
      </c>
      <c r="G370" s="26" t="n">
        <v>0</v>
      </c>
      <c r="H370" s="26" t="n">
        <v>0</v>
      </c>
      <c r="I370" s="26" t="n">
        <v>3648.6</v>
      </c>
      <c r="J370" s="26" t="n">
        <v>0</v>
      </c>
      <c r="K370" s="26" t="n">
        <v>672.8</v>
      </c>
      <c r="L370" s="26" t="n">
        <v>0</v>
      </c>
      <c r="M370" s="26" t="n">
        <v>78.5</v>
      </c>
      <c r="N370" s="26" t="n">
        <v>45.8</v>
      </c>
      <c r="O370" s="26" t="n">
        <v>160.1</v>
      </c>
      <c r="P370" s="26" t="n">
        <v>-96.1</v>
      </c>
      <c r="Q370" s="26" t="n">
        <v>0</v>
      </c>
      <c r="R370" s="26" t="n">
        <v>2787.5</v>
      </c>
      <c r="S370" s="26" t="n">
        <v>0</v>
      </c>
      <c r="T370" s="26" t="n">
        <v>0</v>
      </c>
      <c r="U370" s="26" t="n">
        <v>0</v>
      </c>
    </row>
    <row r="371" customFormat="false" ht="15" hidden="false" customHeight="true" outlineLevel="0" collapsed="false">
      <c r="A371" s="8" t="s">
        <v>407</v>
      </c>
      <c r="B371" s="8" t="s">
        <v>237</v>
      </c>
      <c r="C371" s="8" t="s">
        <v>766</v>
      </c>
      <c r="D371" s="26" t="n">
        <v>0</v>
      </c>
      <c r="E371" s="26" t="n">
        <v>0</v>
      </c>
      <c r="F371" s="26" t="n">
        <v>1504.7</v>
      </c>
      <c r="G371" s="26" t="n">
        <v>0</v>
      </c>
      <c r="H371" s="26" t="n">
        <v>0</v>
      </c>
      <c r="I371" s="26" t="n">
        <v>1028.1</v>
      </c>
      <c r="J371" s="26" t="n">
        <v>0</v>
      </c>
      <c r="K371" s="26" t="n">
        <v>53.4</v>
      </c>
      <c r="L371" s="26" t="n">
        <v>0</v>
      </c>
      <c r="M371" s="26" t="n">
        <v>0</v>
      </c>
      <c r="N371" s="26" t="n">
        <v>114.4</v>
      </c>
      <c r="O371" s="26" t="n">
        <v>0</v>
      </c>
      <c r="P371" s="26" t="n">
        <v>0</v>
      </c>
      <c r="Q371" s="26" t="n">
        <v>336.9</v>
      </c>
      <c r="R371" s="26" t="n">
        <v>523.3</v>
      </c>
      <c r="S371" s="26" t="n">
        <v>0</v>
      </c>
      <c r="T371" s="26" t="n">
        <v>0</v>
      </c>
      <c r="U371" s="26" t="n">
        <v>0</v>
      </c>
    </row>
    <row r="372" customFormat="false" ht="15" hidden="false" customHeight="true" outlineLevel="0" collapsed="false">
      <c r="A372" s="8" t="s">
        <v>407</v>
      </c>
      <c r="B372" s="8" t="s">
        <v>148</v>
      </c>
      <c r="C372" s="8" t="s">
        <v>767</v>
      </c>
      <c r="D372" s="26" t="n">
        <v>0</v>
      </c>
      <c r="E372" s="26" t="n">
        <v>0</v>
      </c>
      <c r="F372" s="26" t="n">
        <v>7908</v>
      </c>
      <c r="G372" s="26" t="n">
        <v>0</v>
      </c>
      <c r="H372" s="26" t="n">
        <v>935.5</v>
      </c>
      <c r="I372" s="26" t="n">
        <v>3292.9</v>
      </c>
      <c r="J372" s="26" t="n">
        <v>0</v>
      </c>
      <c r="K372" s="26" t="n">
        <v>217</v>
      </c>
      <c r="L372" s="26" t="n">
        <v>0</v>
      </c>
      <c r="M372" s="26" t="n">
        <v>92.5</v>
      </c>
      <c r="N372" s="26" t="n">
        <v>28.7</v>
      </c>
      <c r="O372" s="26" t="n">
        <v>80.1</v>
      </c>
      <c r="P372" s="26" t="n">
        <v>-135.6</v>
      </c>
      <c r="Q372" s="26" t="n">
        <v>0</v>
      </c>
      <c r="R372" s="26" t="n">
        <v>3010.3</v>
      </c>
      <c r="S372" s="26" t="n">
        <v>0</v>
      </c>
      <c r="T372" s="26" t="n">
        <v>0</v>
      </c>
      <c r="U372" s="26" t="n">
        <v>0</v>
      </c>
    </row>
    <row r="373" customFormat="false" ht="15" hidden="false" customHeight="true" outlineLevel="0" collapsed="false">
      <c r="A373" s="8" t="s">
        <v>407</v>
      </c>
      <c r="B373" s="8" t="s">
        <v>202</v>
      </c>
      <c r="C373" s="8" t="s">
        <v>768</v>
      </c>
      <c r="D373" s="26" t="n">
        <v>0</v>
      </c>
      <c r="E373" s="26" t="n">
        <v>0</v>
      </c>
      <c r="F373" s="26" t="n">
        <v>4003.4</v>
      </c>
      <c r="G373" s="26" t="n">
        <v>0</v>
      </c>
      <c r="H373" s="26" t="n">
        <v>0</v>
      </c>
      <c r="I373" s="26" t="n">
        <v>2396.7</v>
      </c>
      <c r="J373" s="26" t="n">
        <v>0</v>
      </c>
      <c r="K373" s="26" t="n">
        <v>186.8</v>
      </c>
      <c r="L373" s="26" t="n">
        <v>0</v>
      </c>
      <c r="M373" s="26" t="n">
        <v>92.5</v>
      </c>
      <c r="N373" s="26" t="n">
        <v>57.3</v>
      </c>
      <c r="O373" s="26" t="n">
        <v>0</v>
      </c>
      <c r="P373" s="26" t="n">
        <v>-40</v>
      </c>
      <c r="Q373" s="26" t="n">
        <v>0</v>
      </c>
      <c r="R373" s="26" t="n">
        <v>2100.1</v>
      </c>
      <c r="S373" s="26" t="n">
        <v>0</v>
      </c>
      <c r="T373" s="26" t="n">
        <v>0</v>
      </c>
      <c r="U373" s="26" t="n">
        <v>0</v>
      </c>
    </row>
    <row r="374" customFormat="false" ht="15" hidden="false" customHeight="true" outlineLevel="0" collapsed="false">
      <c r="A374" s="8" t="s">
        <v>407</v>
      </c>
      <c r="B374" s="8" t="s">
        <v>236</v>
      </c>
      <c r="C374" s="8" t="s">
        <v>769</v>
      </c>
      <c r="D374" s="26" t="n">
        <v>0</v>
      </c>
      <c r="E374" s="26" t="n">
        <v>0</v>
      </c>
      <c r="F374" s="26" t="n">
        <v>126.9</v>
      </c>
      <c r="G374" s="26" t="n">
        <v>0</v>
      </c>
      <c r="H374" s="26" t="n">
        <v>0</v>
      </c>
      <c r="I374" s="26" t="n">
        <v>73.1</v>
      </c>
      <c r="J374" s="26" t="n">
        <v>0</v>
      </c>
      <c r="K374" s="26" t="n">
        <v>0</v>
      </c>
      <c r="L374" s="26" t="n">
        <v>0</v>
      </c>
      <c r="M374" s="26" t="n">
        <v>0</v>
      </c>
      <c r="N374" s="26" t="n">
        <v>-84.2</v>
      </c>
      <c r="O374" s="26" t="n">
        <v>0</v>
      </c>
      <c r="P374" s="26" t="n">
        <v>-39.3</v>
      </c>
      <c r="Q374" s="26" t="n">
        <v>0</v>
      </c>
      <c r="R374" s="26" t="n">
        <v>196.7</v>
      </c>
      <c r="S374" s="26" t="n">
        <v>0</v>
      </c>
      <c r="T374" s="26" t="n">
        <v>0</v>
      </c>
      <c r="U374" s="26" t="n">
        <v>0</v>
      </c>
    </row>
    <row r="375" customFormat="false" ht="15" hidden="false" customHeight="true" outlineLevel="0" collapsed="false">
      <c r="A375" s="8" t="s">
        <v>407</v>
      </c>
      <c r="B375" s="8" t="s">
        <v>236</v>
      </c>
      <c r="C375" s="8" t="s">
        <v>770</v>
      </c>
      <c r="D375" s="26" t="n">
        <v>0</v>
      </c>
      <c r="E375" s="26" t="n">
        <v>0</v>
      </c>
      <c r="F375" s="26" t="n">
        <v>125</v>
      </c>
      <c r="G375" s="26" t="n">
        <v>0</v>
      </c>
      <c r="H375" s="26" t="n">
        <v>0</v>
      </c>
      <c r="I375" s="26" t="n">
        <v>165</v>
      </c>
      <c r="J375" s="26" t="n">
        <v>0</v>
      </c>
      <c r="K375" s="26" t="n">
        <v>0</v>
      </c>
      <c r="L375" s="26" t="n">
        <v>0</v>
      </c>
      <c r="M375" s="26" t="n">
        <v>0</v>
      </c>
      <c r="N375" s="26" t="n">
        <v>0</v>
      </c>
      <c r="O375" s="26" t="n">
        <v>0</v>
      </c>
      <c r="P375" s="26" t="n">
        <v>0</v>
      </c>
      <c r="Q375" s="26" t="n">
        <v>7.7</v>
      </c>
      <c r="R375" s="26" t="n">
        <v>157.3</v>
      </c>
      <c r="S375" s="26" t="n">
        <v>0</v>
      </c>
      <c r="T375" s="26" t="n">
        <v>0</v>
      </c>
      <c r="U375" s="26" t="n">
        <v>0</v>
      </c>
    </row>
    <row r="376" customFormat="false" ht="15" hidden="false" customHeight="true" outlineLevel="0" collapsed="false">
      <c r="A376" s="8" t="s">
        <v>407</v>
      </c>
      <c r="B376" s="8" t="s">
        <v>236</v>
      </c>
      <c r="C376" s="8" t="s">
        <v>771</v>
      </c>
      <c r="D376" s="26" t="n">
        <v>0</v>
      </c>
      <c r="E376" s="26" t="n">
        <v>0</v>
      </c>
      <c r="F376" s="26" t="n">
        <v>0</v>
      </c>
      <c r="G376" s="26" t="n">
        <v>0</v>
      </c>
      <c r="H376" s="26" t="n">
        <v>0</v>
      </c>
      <c r="I376" s="26" t="n">
        <v>39.3</v>
      </c>
      <c r="J376" s="26" t="n">
        <v>0</v>
      </c>
      <c r="K376" s="26" t="n">
        <v>0</v>
      </c>
      <c r="L376" s="26" t="n">
        <v>0</v>
      </c>
      <c r="M376" s="26" t="n">
        <v>0</v>
      </c>
      <c r="N376" s="26" t="n">
        <v>0</v>
      </c>
      <c r="O376" s="26" t="n">
        <v>0</v>
      </c>
      <c r="P376" s="26" t="n">
        <v>0</v>
      </c>
      <c r="Q376" s="26" t="n">
        <v>0</v>
      </c>
      <c r="R376" s="26" t="n">
        <v>39.3</v>
      </c>
      <c r="S376" s="26" t="n">
        <v>0</v>
      </c>
      <c r="T376" s="26" t="n">
        <v>0</v>
      </c>
      <c r="U376" s="26" t="n">
        <v>0</v>
      </c>
    </row>
    <row r="377" customFormat="false" ht="15" hidden="false" customHeight="true" outlineLevel="0" collapsed="false">
      <c r="A377" s="8" t="s">
        <v>407</v>
      </c>
      <c r="B377" s="8" t="s">
        <v>236</v>
      </c>
      <c r="C377" s="8" t="s">
        <v>772</v>
      </c>
      <c r="D377" s="26" t="n">
        <v>0</v>
      </c>
      <c r="E377" s="26" t="n">
        <v>0</v>
      </c>
      <c r="F377" s="26" t="n">
        <v>81.5</v>
      </c>
      <c r="G377" s="26" t="n">
        <v>0</v>
      </c>
      <c r="H377" s="26" t="n">
        <v>0</v>
      </c>
      <c r="I377" s="26" t="n">
        <v>171.8</v>
      </c>
      <c r="J377" s="26" t="n">
        <v>0</v>
      </c>
      <c r="K377" s="26" t="n">
        <v>0</v>
      </c>
      <c r="L377" s="26" t="n">
        <v>0</v>
      </c>
      <c r="M377" s="26" t="n">
        <v>0</v>
      </c>
      <c r="N377" s="26" t="n">
        <v>0</v>
      </c>
      <c r="O377" s="26" t="n">
        <v>0</v>
      </c>
      <c r="P377" s="26" t="n">
        <v>-86.6</v>
      </c>
      <c r="Q377" s="26" t="n">
        <v>219.1</v>
      </c>
      <c r="R377" s="26" t="n">
        <v>39.3</v>
      </c>
      <c r="S377" s="26" t="n">
        <v>0</v>
      </c>
      <c r="T377" s="26" t="n">
        <v>0</v>
      </c>
      <c r="U377" s="26" t="n">
        <v>0</v>
      </c>
    </row>
    <row r="378" customFormat="false" ht="15" hidden="false" customHeight="true" outlineLevel="0" collapsed="false">
      <c r="A378" s="8" t="s">
        <v>407</v>
      </c>
      <c r="B378" s="8" t="s">
        <v>236</v>
      </c>
      <c r="C378" s="8" t="s">
        <v>773</v>
      </c>
      <c r="D378" s="26" t="n">
        <v>0</v>
      </c>
      <c r="E378" s="26" t="n">
        <v>0</v>
      </c>
      <c r="F378" s="26" t="n">
        <v>84.3</v>
      </c>
      <c r="G378" s="26" t="n">
        <v>0</v>
      </c>
      <c r="H378" s="26" t="n">
        <v>0</v>
      </c>
      <c r="I378" s="26" t="n">
        <v>266.9</v>
      </c>
      <c r="J378" s="26" t="n">
        <v>0</v>
      </c>
      <c r="K378" s="26" t="n">
        <v>0</v>
      </c>
      <c r="L378" s="26" t="n">
        <v>0</v>
      </c>
      <c r="M378" s="26" t="n">
        <v>0</v>
      </c>
      <c r="N378" s="26" t="n">
        <v>0</v>
      </c>
      <c r="O378" s="26" t="n">
        <v>0</v>
      </c>
      <c r="P378" s="26" t="n">
        <v>0</v>
      </c>
      <c r="Q378" s="26" t="n">
        <v>109.6</v>
      </c>
      <c r="R378" s="26" t="n">
        <v>157.3</v>
      </c>
      <c r="S378" s="26" t="n">
        <v>0</v>
      </c>
      <c r="T378" s="26" t="n">
        <v>0</v>
      </c>
      <c r="U378" s="26" t="n">
        <v>0</v>
      </c>
    </row>
    <row r="379" customFormat="false" ht="15" hidden="false" customHeight="true" outlineLevel="0" collapsed="false">
      <c r="A379" s="8" t="s">
        <v>407</v>
      </c>
      <c r="B379" s="8" t="s">
        <v>236</v>
      </c>
      <c r="C379" s="8" t="s">
        <v>774</v>
      </c>
      <c r="D379" s="26" t="n">
        <v>0</v>
      </c>
      <c r="E379" s="26" t="n">
        <v>0</v>
      </c>
      <c r="F379" s="26" t="n">
        <v>247.1</v>
      </c>
      <c r="G379" s="26" t="n">
        <v>0</v>
      </c>
      <c r="H379" s="26" t="n">
        <v>0</v>
      </c>
      <c r="I379" s="26" t="n">
        <v>115.2</v>
      </c>
      <c r="J379" s="26" t="n">
        <v>0</v>
      </c>
      <c r="K379" s="26" t="n">
        <v>0</v>
      </c>
      <c r="L379" s="26" t="n">
        <v>0</v>
      </c>
      <c r="M379" s="26" t="n">
        <v>0</v>
      </c>
      <c r="N379" s="26" t="n">
        <v>0</v>
      </c>
      <c r="O379" s="26" t="n">
        <v>0</v>
      </c>
      <c r="P379" s="26" t="n">
        <v>0</v>
      </c>
      <c r="Q379" s="26" t="n">
        <v>36.5</v>
      </c>
      <c r="R379" s="26" t="n">
        <v>78.7</v>
      </c>
      <c r="S379" s="26" t="n">
        <v>0</v>
      </c>
      <c r="T379" s="26" t="n">
        <v>0</v>
      </c>
      <c r="U379" s="26" t="n">
        <v>0</v>
      </c>
    </row>
    <row r="380" customFormat="false" ht="15" hidden="false" customHeight="true" outlineLevel="0" collapsed="false">
      <c r="A380" s="8" t="s">
        <v>407</v>
      </c>
      <c r="B380" s="8" t="s">
        <v>236</v>
      </c>
      <c r="C380" s="8" t="s">
        <v>775</v>
      </c>
      <c r="D380" s="26" t="n">
        <v>0</v>
      </c>
      <c r="E380" s="26" t="n">
        <v>0</v>
      </c>
      <c r="F380" s="26" t="n">
        <v>0</v>
      </c>
      <c r="G380" s="26" t="n">
        <v>0</v>
      </c>
      <c r="H380" s="26" t="n">
        <v>0</v>
      </c>
      <c r="I380" s="26" t="n">
        <v>5.6</v>
      </c>
      <c r="J380" s="26" t="n">
        <v>0</v>
      </c>
      <c r="K380" s="26" t="n">
        <v>0</v>
      </c>
      <c r="L380" s="26" t="n">
        <v>0</v>
      </c>
      <c r="M380" s="26" t="n">
        <v>0</v>
      </c>
      <c r="N380" s="26" t="n">
        <v>0</v>
      </c>
      <c r="O380" s="26" t="n">
        <v>0</v>
      </c>
      <c r="P380" s="26" t="n">
        <v>0</v>
      </c>
      <c r="Q380" s="26" t="n">
        <v>-73</v>
      </c>
      <c r="R380" s="26" t="n">
        <v>78.7</v>
      </c>
      <c r="S380" s="26" t="n">
        <v>0</v>
      </c>
      <c r="T380" s="26" t="n">
        <v>0</v>
      </c>
      <c r="U380" s="26" t="n">
        <v>0</v>
      </c>
    </row>
    <row r="381" customFormat="false" ht="15" hidden="false" customHeight="true" outlineLevel="0" collapsed="false">
      <c r="A381" s="8" t="s">
        <v>407</v>
      </c>
      <c r="B381" s="8" t="s">
        <v>236</v>
      </c>
      <c r="C381" s="8" t="s">
        <v>776</v>
      </c>
      <c r="D381" s="26" t="n">
        <v>0</v>
      </c>
      <c r="E381" s="26" t="n">
        <v>0</v>
      </c>
      <c r="F381" s="26" t="n">
        <v>0</v>
      </c>
      <c r="G381" s="26" t="n">
        <v>0</v>
      </c>
      <c r="H381" s="26" t="n">
        <v>0</v>
      </c>
      <c r="I381" s="26" t="n">
        <v>54.3</v>
      </c>
      <c r="J381" s="26" t="n">
        <v>0</v>
      </c>
      <c r="K381" s="26" t="n">
        <v>0</v>
      </c>
      <c r="L381" s="26" t="n">
        <v>0</v>
      </c>
      <c r="M381" s="26" t="n">
        <v>0</v>
      </c>
      <c r="N381" s="26" t="n">
        <v>0</v>
      </c>
      <c r="O381" s="26" t="n">
        <v>0</v>
      </c>
      <c r="P381" s="26" t="n">
        <v>-173.2</v>
      </c>
      <c r="Q381" s="26" t="n">
        <v>109.6</v>
      </c>
      <c r="R381" s="26" t="n">
        <v>118</v>
      </c>
      <c r="S381" s="26" t="n">
        <v>0</v>
      </c>
      <c r="T381" s="26" t="n">
        <v>0</v>
      </c>
      <c r="U381" s="26" t="n">
        <v>0</v>
      </c>
    </row>
    <row r="382" customFormat="false" ht="15" hidden="false" customHeight="true" outlineLevel="0" collapsed="false">
      <c r="A382" s="8" t="s">
        <v>407</v>
      </c>
      <c r="B382" s="8" t="s">
        <v>236</v>
      </c>
      <c r="C382" s="8" t="s">
        <v>777</v>
      </c>
      <c r="D382" s="26" t="n">
        <v>0</v>
      </c>
      <c r="E382" s="26" t="n">
        <v>0</v>
      </c>
      <c r="F382" s="26" t="n">
        <v>0</v>
      </c>
      <c r="G382" s="26" t="n">
        <v>0</v>
      </c>
      <c r="H382" s="26" t="n">
        <v>0</v>
      </c>
      <c r="I382" s="26" t="n">
        <v>43</v>
      </c>
      <c r="J382" s="26" t="n">
        <v>0</v>
      </c>
      <c r="K382" s="26" t="n">
        <v>0</v>
      </c>
      <c r="L382" s="26" t="n">
        <v>0</v>
      </c>
      <c r="M382" s="26" t="n">
        <v>0</v>
      </c>
      <c r="N382" s="26" t="n">
        <v>0</v>
      </c>
      <c r="O382" s="26" t="n">
        <v>0</v>
      </c>
      <c r="P382" s="26" t="n">
        <v>0</v>
      </c>
      <c r="Q382" s="26" t="n">
        <v>3.7</v>
      </c>
      <c r="R382" s="26" t="n">
        <v>39.3</v>
      </c>
      <c r="S382" s="26" t="n">
        <v>0</v>
      </c>
      <c r="T382" s="26" t="n">
        <v>0</v>
      </c>
      <c r="U382" s="26" t="n">
        <v>0</v>
      </c>
    </row>
    <row r="383" customFormat="false" ht="15" hidden="false" customHeight="true" outlineLevel="0" collapsed="false">
      <c r="A383" s="8" t="s">
        <v>407</v>
      </c>
      <c r="B383" s="8" t="s">
        <v>236</v>
      </c>
      <c r="C383" s="8" t="s">
        <v>778</v>
      </c>
      <c r="D383" s="26" t="n">
        <v>0</v>
      </c>
      <c r="E383" s="26" t="n">
        <v>0</v>
      </c>
      <c r="F383" s="26" t="n">
        <v>0</v>
      </c>
      <c r="G383" s="26" t="n">
        <v>0</v>
      </c>
      <c r="H383" s="26" t="n">
        <v>0</v>
      </c>
      <c r="I383" s="26" t="n">
        <v>-182.6</v>
      </c>
      <c r="J383" s="26" t="n">
        <v>0</v>
      </c>
      <c r="K383" s="26" t="n">
        <v>0</v>
      </c>
      <c r="L383" s="26" t="n">
        <v>0</v>
      </c>
      <c r="M383" s="26" t="n">
        <v>0</v>
      </c>
      <c r="N383" s="26" t="n">
        <v>0</v>
      </c>
      <c r="O383" s="26" t="n">
        <v>0</v>
      </c>
      <c r="P383" s="26" t="n">
        <v>0</v>
      </c>
      <c r="Q383" s="26" t="n">
        <v>-182.6</v>
      </c>
      <c r="R383" s="26" t="n">
        <v>0</v>
      </c>
      <c r="S383" s="26" t="n">
        <v>0</v>
      </c>
      <c r="T383" s="26" t="n">
        <v>0</v>
      </c>
      <c r="U383" s="26" t="n">
        <v>0</v>
      </c>
    </row>
    <row r="384" customFormat="false" ht="15" hidden="false" customHeight="true" outlineLevel="0" collapsed="false">
      <c r="A384" s="8" t="s">
        <v>407</v>
      </c>
      <c r="B384" s="8" t="s">
        <v>236</v>
      </c>
      <c r="C384" s="8" t="s">
        <v>779</v>
      </c>
      <c r="D384" s="26" t="n">
        <v>0</v>
      </c>
      <c r="E384" s="26" t="n">
        <v>0</v>
      </c>
      <c r="F384" s="26" t="n">
        <v>0</v>
      </c>
      <c r="G384" s="26" t="n">
        <v>0</v>
      </c>
      <c r="H384" s="26" t="n">
        <v>0</v>
      </c>
      <c r="I384" s="26" t="n">
        <v>-109.6</v>
      </c>
      <c r="J384" s="26" t="n">
        <v>0</v>
      </c>
      <c r="K384" s="26" t="n">
        <v>0</v>
      </c>
      <c r="L384" s="26" t="n">
        <v>0</v>
      </c>
      <c r="M384" s="26" t="n">
        <v>0</v>
      </c>
      <c r="N384" s="26" t="n">
        <v>0</v>
      </c>
      <c r="O384" s="26" t="n">
        <v>0</v>
      </c>
      <c r="P384" s="26" t="n">
        <v>0</v>
      </c>
      <c r="Q384" s="26" t="n">
        <v>-109.6</v>
      </c>
      <c r="R384" s="26" t="n">
        <v>0</v>
      </c>
      <c r="S384" s="26" t="n">
        <v>0</v>
      </c>
      <c r="T384" s="26" t="n">
        <v>0</v>
      </c>
      <c r="U384" s="26" t="n">
        <v>0</v>
      </c>
    </row>
    <row r="385" customFormat="false" ht="15" hidden="false" customHeight="true" outlineLevel="0" collapsed="false">
      <c r="A385" s="8" t="s">
        <v>407</v>
      </c>
      <c r="B385" s="8" t="s">
        <v>287</v>
      </c>
      <c r="C385" s="8" t="s">
        <v>780</v>
      </c>
      <c r="D385" s="26" t="n">
        <v>0</v>
      </c>
      <c r="E385" s="26" t="n">
        <v>0</v>
      </c>
      <c r="F385" s="26" t="n">
        <v>2335.3</v>
      </c>
      <c r="G385" s="26" t="n">
        <v>0</v>
      </c>
      <c r="H385" s="26" t="n">
        <v>0</v>
      </c>
      <c r="I385" s="26" t="n">
        <v>46100.5</v>
      </c>
      <c r="J385" s="26" t="n">
        <v>0</v>
      </c>
      <c r="K385" s="26" t="n">
        <v>97</v>
      </c>
      <c r="L385" s="26" t="n">
        <v>0</v>
      </c>
      <c r="M385" s="26" t="n">
        <v>0</v>
      </c>
      <c r="N385" s="26" t="n">
        <v>0</v>
      </c>
      <c r="O385" s="26" t="n">
        <v>0</v>
      </c>
      <c r="P385" s="26" t="n">
        <v>0</v>
      </c>
      <c r="Q385" s="26" t="n">
        <v>43385.1</v>
      </c>
      <c r="R385" s="26" t="n">
        <v>2618.5</v>
      </c>
      <c r="S385" s="26" t="n">
        <v>0</v>
      </c>
      <c r="T385" s="26" t="n">
        <v>0</v>
      </c>
      <c r="U385" s="26" t="n">
        <v>0</v>
      </c>
    </row>
    <row r="386" customFormat="false" ht="15" hidden="false" customHeight="true" outlineLevel="0" collapsed="false">
      <c r="A386" s="8" t="s">
        <v>407</v>
      </c>
      <c r="B386" s="8" t="s">
        <v>209</v>
      </c>
      <c r="C386" s="8" t="s">
        <v>781</v>
      </c>
      <c r="D386" s="26" t="n">
        <v>0</v>
      </c>
      <c r="E386" s="26" t="n">
        <v>0</v>
      </c>
      <c r="F386" s="26" t="n">
        <v>3191.1</v>
      </c>
      <c r="G386" s="26" t="n">
        <v>0</v>
      </c>
      <c r="H386" s="26" t="n">
        <v>0</v>
      </c>
      <c r="I386" s="26" t="n">
        <v>3726.4</v>
      </c>
      <c r="J386" s="26" t="n">
        <v>0</v>
      </c>
      <c r="K386" s="26" t="n">
        <v>0</v>
      </c>
      <c r="L386" s="26" t="n">
        <v>0</v>
      </c>
      <c r="M386" s="26" t="n">
        <v>0</v>
      </c>
      <c r="N386" s="26" t="n">
        <v>0</v>
      </c>
      <c r="O386" s="26" t="n">
        <v>0</v>
      </c>
      <c r="P386" s="26" t="n">
        <v>0</v>
      </c>
      <c r="Q386" s="26" t="n">
        <v>3726.4</v>
      </c>
      <c r="R386" s="26" t="n">
        <v>0</v>
      </c>
      <c r="S386" s="26" t="n">
        <v>0</v>
      </c>
      <c r="T386" s="26" t="n">
        <v>0</v>
      </c>
      <c r="U386" s="26" t="n">
        <v>0</v>
      </c>
    </row>
    <row r="387" customFormat="false" ht="15" hidden="false" customHeight="true" outlineLevel="0" collapsed="false">
      <c r="A387" s="8" t="s">
        <v>407</v>
      </c>
      <c r="B387" s="8" t="s">
        <v>329</v>
      </c>
      <c r="C387" s="8" t="s">
        <v>782</v>
      </c>
      <c r="D387" s="26" t="n">
        <v>0</v>
      </c>
      <c r="E387" s="26" t="n">
        <v>0</v>
      </c>
      <c r="F387" s="26" t="n">
        <v>-98.3</v>
      </c>
      <c r="G387" s="26" t="n">
        <v>0</v>
      </c>
      <c r="H387" s="26" t="n">
        <v>0</v>
      </c>
      <c r="I387" s="26" t="n">
        <v>105.9</v>
      </c>
      <c r="J387" s="26" t="n">
        <v>0</v>
      </c>
      <c r="K387" s="26" t="n">
        <v>0</v>
      </c>
      <c r="L387" s="26" t="n">
        <v>0</v>
      </c>
      <c r="M387" s="26" t="n">
        <v>0</v>
      </c>
      <c r="N387" s="26" t="n">
        <v>0</v>
      </c>
      <c r="O387" s="26" t="n">
        <v>0</v>
      </c>
      <c r="P387" s="26" t="n">
        <v>0</v>
      </c>
      <c r="Q387" s="26" t="n">
        <v>0</v>
      </c>
      <c r="R387" s="26" t="n">
        <v>105.9</v>
      </c>
      <c r="S387" s="26" t="n">
        <v>0</v>
      </c>
      <c r="T387" s="26" t="n">
        <v>0</v>
      </c>
      <c r="U387" s="26" t="n">
        <v>0</v>
      </c>
    </row>
    <row r="388" customFormat="false" ht="15" hidden="false" customHeight="true" outlineLevel="0" collapsed="false">
      <c r="A388" s="8" t="s">
        <v>407</v>
      </c>
      <c r="B388" s="8" t="s">
        <v>365</v>
      </c>
      <c r="C388" s="8" t="s">
        <v>783</v>
      </c>
      <c r="D388" s="26" t="n">
        <v>0</v>
      </c>
      <c r="E388" s="26" t="n">
        <v>0</v>
      </c>
      <c r="F388" s="26" t="n">
        <v>0</v>
      </c>
      <c r="G388" s="26" t="n">
        <v>0</v>
      </c>
      <c r="H388" s="26" t="n">
        <v>0</v>
      </c>
      <c r="I388" s="26" t="n">
        <v>-60.5</v>
      </c>
      <c r="J388" s="26" t="n">
        <v>0</v>
      </c>
      <c r="K388" s="26" t="n">
        <v>0</v>
      </c>
      <c r="L388" s="26" t="n">
        <v>0</v>
      </c>
      <c r="M388" s="26" t="n">
        <v>0</v>
      </c>
      <c r="N388" s="26" t="n">
        <v>0</v>
      </c>
      <c r="O388" s="26" t="n">
        <v>0</v>
      </c>
      <c r="P388" s="26" t="n">
        <v>-158.7</v>
      </c>
      <c r="Q388" s="26" t="n">
        <v>98.2</v>
      </c>
      <c r="R388" s="26" t="n">
        <v>0</v>
      </c>
      <c r="S388" s="26" t="n">
        <v>0</v>
      </c>
      <c r="T388" s="26" t="n">
        <v>0</v>
      </c>
      <c r="U388" s="26" t="n">
        <v>0</v>
      </c>
    </row>
    <row r="389" customFormat="false" ht="15" hidden="false" customHeight="true" outlineLevel="0" collapsed="false">
      <c r="A389" s="8" t="s">
        <v>407</v>
      </c>
      <c r="B389" s="8" t="s">
        <v>365</v>
      </c>
      <c r="C389" s="8" t="s">
        <v>784</v>
      </c>
      <c r="D389" s="26" t="n">
        <v>0</v>
      </c>
      <c r="E389" s="26" t="n">
        <v>0</v>
      </c>
      <c r="F389" s="26" t="n">
        <v>0</v>
      </c>
      <c r="G389" s="26" t="n">
        <v>0</v>
      </c>
      <c r="H389" s="26" t="n">
        <v>0</v>
      </c>
      <c r="I389" s="26" t="n">
        <v>-158.7</v>
      </c>
      <c r="J389" s="26" t="n">
        <v>0</v>
      </c>
      <c r="K389" s="26" t="n">
        <v>0</v>
      </c>
      <c r="L389" s="26" t="n">
        <v>0</v>
      </c>
      <c r="M389" s="26" t="n">
        <v>0</v>
      </c>
      <c r="N389" s="26" t="n">
        <v>0</v>
      </c>
      <c r="O389" s="26" t="n">
        <v>0</v>
      </c>
      <c r="P389" s="26" t="n">
        <v>-158.7</v>
      </c>
      <c r="Q389" s="26" t="n">
        <v>0</v>
      </c>
      <c r="R389" s="26" t="n">
        <v>0</v>
      </c>
      <c r="S389" s="26" t="n">
        <v>0</v>
      </c>
      <c r="T389" s="26" t="n">
        <v>0</v>
      </c>
      <c r="U389" s="26" t="n">
        <v>0</v>
      </c>
    </row>
    <row r="390" customFormat="false" ht="15" hidden="false" customHeight="true" outlineLevel="0" collapsed="false">
      <c r="A390" s="8" t="s">
        <v>407</v>
      </c>
      <c r="B390" s="8" t="s">
        <v>384</v>
      </c>
      <c r="C390" s="8" t="s">
        <v>785</v>
      </c>
      <c r="D390" s="26" t="n">
        <v>0</v>
      </c>
      <c r="E390" s="26" t="n">
        <v>0</v>
      </c>
      <c r="F390" s="26" t="n">
        <v>0</v>
      </c>
      <c r="G390" s="26" t="n">
        <v>0</v>
      </c>
      <c r="H390" s="26" t="n">
        <v>0</v>
      </c>
      <c r="I390" s="26" t="n">
        <v>-73.9</v>
      </c>
      <c r="J390" s="26" t="n">
        <v>0</v>
      </c>
      <c r="K390" s="26" t="n">
        <v>0</v>
      </c>
      <c r="L390" s="26" t="n">
        <v>0</v>
      </c>
      <c r="M390" s="26" t="n">
        <v>0</v>
      </c>
      <c r="N390" s="26" t="n">
        <v>0</v>
      </c>
      <c r="O390" s="26" t="n">
        <v>0</v>
      </c>
      <c r="P390" s="26" t="n">
        <v>0</v>
      </c>
      <c r="Q390" s="26" t="n">
        <v>-73.9</v>
      </c>
      <c r="R390" s="26" t="n">
        <v>0</v>
      </c>
      <c r="S390" s="26" t="n">
        <v>0</v>
      </c>
      <c r="T390" s="26" t="n">
        <v>0</v>
      </c>
      <c r="U390" s="26" t="n">
        <v>0</v>
      </c>
    </row>
    <row r="391" customFormat="false" ht="15" hidden="false" customHeight="true" outlineLevel="0" collapsed="false">
      <c r="A391" s="8" t="s">
        <v>407</v>
      </c>
      <c r="B391" s="8" t="s">
        <v>358</v>
      </c>
      <c r="C391" s="8" t="s">
        <v>786</v>
      </c>
      <c r="D391" s="26" t="n">
        <v>0</v>
      </c>
      <c r="E391" s="26" t="n">
        <v>0</v>
      </c>
      <c r="F391" s="26" t="n">
        <v>1758.7</v>
      </c>
      <c r="G391" s="26" t="n">
        <v>0</v>
      </c>
      <c r="H391" s="26" t="n">
        <v>0</v>
      </c>
      <c r="I391" s="26" t="n">
        <v>1894.5</v>
      </c>
      <c r="J391" s="26" t="n">
        <v>0</v>
      </c>
      <c r="K391" s="26" t="n">
        <v>174.6</v>
      </c>
      <c r="L391" s="26" t="n">
        <v>0</v>
      </c>
      <c r="M391" s="26" t="n">
        <v>0</v>
      </c>
      <c r="N391" s="26" t="n">
        <v>24.1</v>
      </c>
      <c r="O391" s="26" t="n">
        <v>0</v>
      </c>
      <c r="P391" s="26" t="n">
        <v>-203.5</v>
      </c>
      <c r="Q391" s="26" t="n">
        <v>0</v>
      </c>
      <c r="R391" s="26" t="n">
        <v>1899.2</v>
      </c>
      <c r="S391" s="26" t="n">
        <v>0</v>
      </c>
      <c r="T391" s="26" t="n">
        <v>0</v>
      </c>
      <c r="U391" s="26" t="n">
        <v>0</v>
      </c>
    </row>
    <row r="392" customFormat="false" ht="15" hidden="false" customHeight="true" outlineLevel="0" collapsed="false">
      <c r="A392" s="8" t="s">
        <v>407</v>
      </c>
      <c r="B392" s="8" t="s">
        <v>300</v>
      </c>
      <c r="C392" s="8" t="s">
        <v>787</v>
      </c>
      <c r="D392" s="26" t="n">
        <v>0</v>
      </c>
      <c r="E392" s="26" t="n">
        <v>0</v>
      </c>
      <c r="F392" s="26" t="n">
        <v>209.2</v>
      </c>
      <c r="G392" s="26" t="n">
        <v>0</v>
      </c>
      <c r="H392" s="26" t="n">
        <v>0</v>
      </c>
      <c r="I392" s="26" t="n">
        <v>-70.3</v>
      </c>
      <c r="J392" s="26" t="n">
        <v>0</v>
      </c>
      <c r="K392" s="26" t="n">
        <v>26.2</v>
      </c>
      <c r="L392" s="26" t="n">
        <v>0</v>
      </c>
      <c r="M392" s="26" t="n">
        <v>0</v>
      </c>
      <c r="N392" s="26" t="n">
        <v>-28.3</v>
      </c>
      <c r="O392" s="26" t="n">
        <v>0</v>
      </c>
      <c r="P392" s="26" t="n">
        <v>-218.3</v>
      </c>
      <c r="Q392" s="26" t="n">
        <v>-85.8</v>
      </c>
      <c r="R392" s="26" t="n">
        <v>235.9</v>
      </c>
      <c r="S392" s="26" t="n">
        <v>0</v>
      </c>
      <c r="T392" s="26" t="n">
        <v>0</v>
      </c>
      <c r="U392" s="26" t="n">
        <v>0</v>
      </c>
    </row>
    <row r="393" customFormat="false" ht="15" hidden="false" customHeight="true" outlineLevel="0" collapsed="false">
      <c r="A393" s="8" t="s">
        <v>407</v>
      </c>
      <c r="B393" s="8" t="s">
        <v>259</v>
      </c>
      <c r="C393" s="8" t="s">
        <v>788</v>
      </c>
      <c r="D393" s="26" t="n">
        <v>0</v>
      </c>
      <c r="E393" s="26" t="n">
        <v>0</v>
      </c>
      <c r="F393" s="26" t="n">
        <v>1051.7</v>
      </c>
      <c r="G393" s="26" t="n">
        <v>0</v>
      </c>
      <c r="H393" s="26" t="n">
        <v>0</v>
      </c>
      <c r="I393" s="26" t="n">
        <v>1132</v>
      </c>
      <c r="J393" s="26" t="n">
        <v>0</v>
      </c>
      <c r="K393" s="26" t="n">
        <v>176.8</v>
      </c>
      <c r="L393" s="26" t="n">
        <v>0</v>
      </c>
      <c r="M393" s="26" t="n">
        <v>0</v>
      </c>
      <c r="N393" s="26" t="n">
        <v>21.2</v>
      </c>
      <c r="O393" s="26" t="n">
        <v>0</v>
      </c>
      <c r="P393" s="26" t="n">
        <v>-67.6</v>
      </c>
      <c r="Q393" s="26" t="n">
        <v>0</v>
      </c>
      <c r="R393" s="26" t="n">
        <v>1001.6</v>
      </c>
      <c r="S393" s="26" t="n">
        <v>0</v>
      </c>
      <c r="T393" s="26" t="n">
        <v>0</v>
      </c>
      <c r="U393" s="26" t="n">
        <v>0</v>
      </c>
    </row>
    <row r="394" customFormat="false" ht="15" hidden="false" customHeight="true" outlineLevel="0" collapsed="false">
      <c r="A394" s="8" t="s">
        <v>407</v>
      </c>
      <c r="B394" s="8" t="s">
        <v>225</v>
      </c>
      <c r="C394" s="8" t="s">
        <v>789</v>
      </c>
      <c r="D394" s="26" t="n">
        <v>0</v>
      </c>
      <c r="E394" s="26" t="n">
        <v>0</v>
      </c>
      <c r="F394" s="26" t="n">
        <v>936.7</v>
      </c>
      <c r="G394" s="26" t="n">
        <v>0</v>
      </c>
      <c r="H394" s="26" t="n">
        <v>0</v>
      </c>
      <c r="I394" s="26" t="n">
        <v>900.2</v>
      </c>
      <c r="J394" s="26" t="n">
        <v>0</v>
      </c>
      <c r="K394" s="26" t="n">
        <v>109.2</v>
      </c>
      <c r="L394" s="26" t="n">
        <v>0</v>
      </c>
      <c r="M394" s="26" t="n">
        <v>0</v>
      </c>
      <c r="N394" s="26" t="n">
        <v>71.3</v>
      </c>
      <c r="O394" s="26" t="n">
        <v>0</v>
      </c>
      <c r="P394" s="26" t="n">
        <v>-265.7</v>
      </c>
      <c r="Q394" s="26" t="n">
        <v>-40.5</v>
      </c>
      <c r="R394" s="26" t="n">
        <v>1026</v>
      </c>
      <c r="S394" s="26" t="n">
        <v>0</v>
      </c>
      <c r="T394" s="26" t="n">
        <v>0</v>
      </c>
      <c r="U394" s="26" t="n">
        <v>0</v>
      </c>
    </row>
    <row r="395" customFormat="false" ht="15" hidden="false" customHeight="true" outlineLevel="0" collapsed="false">
      <c r="A395" s="8" t="s">
        <v>407</v>
      </c>
      <c r="B395" s="8" t="s">
        <v>97</v>
      </c>
      <c r="C395" s="8" t="s">
        <v>790</v>
      </c>
      <c r="D395" s="26" t="n">
        <v>0</v>
      </c>
      <c r="E395" s="26" t="n">
        <v>0</v>
      </c>
      <c r="F395" s="26" t="n">
        <v>29211.2</v>
      </c>
      <c r="G395" s="26" t="n">
        <v>0</v>
      </c>
      <c r="H395" s="26" t="n">
        <v>413.3</v>
      </c>
      <c r="I395" s="26" t="n">
        <v>15182</v>
      </c>
      <c r="J395" s="26" t="n">
        <v>0</v>
      </c>
      <c r="K395" s="26" t="n">
        <v>895.3</v>
      </c>
      <c r="L395" s="26" t="n">
        <v>-33.2</v>
      </c>
      <c r="M395" s="26" t="n">
        <v>89.6</v>
      </c>
      <c r="N395" s="26" t="n">
        <v>173.5</v>
      </c>
      <c r="O395" s="26" t="n">
        <v>468.5</v>
      </c>
      <c r="P395" s="26" t="n">
        <v>-16.6</v>
      </c>
      <c r="Q395" s="26" t="n">
        <v>0</v>
      </c>
      <c r="R395" s="26" t="n">
        <v>13604.9</v>
      </c>
      <c r="S395" s="26" t="n">
        <v>17.5</v>
      </c>
      <c r="T395" s="26" t="n">
        <v>0</v>
      </c>
      <c r="U395" s="26" t="n">
        <v>0</v>
      </c>
    </row>
    <row r="396" customFormat="false" ht="15" hidden="false" customHeight="true" outlineLevel="0" collapsed="false">
      <c r="A396" s="8" t="s">
        <v>407</v>
      </c>
      <c r="B396" s="8" t="s">
        <v>144</v>
      </c>
      <c r="C396" s="8" t="s">
        <v>791</v>
      </c>
      <c r="D396" s="26" t="n">
        <v>0</v>
      </c>
      <c r="E396" s="26" t="n">
        <v>0</v>
      </c>
      <c r="F396" s="26" t="n">
        <v>9236.9</v>
      </c>
      <c r="G396" s="26" t="n">
        <v>0</v>
      </c>
      <c r="H396" s="26" t="n">
        <v>0</v>
      </c>
      <c r="I396" s="26" t="n">
        <v>64494.5</v>
      </c>
      <c r="J396" s="26" t="n">
        <v>0</v>
      </c>
      <c r="K396" s="26" t="n">
        <v>616</v>
      </c>
      <c r="L396" s="26" t="n">
        <v>0</v>
      </c>
      <c r="M396" s="26" t="n">
        <v>0</v>
      </c>
      <c r="N396" s="26" t="n">
        <v>0</v>
      </c>
      <c r="O396" s="26" t="n">
        <v>56</v>
      </c>
      <c r="P396" s="26" t="n">
        <v>-112</v>
      </c>
      <c r="Q396" s="26" t="n">
        <v>61190.5</v>
      </c>
      <c r="R396" s="26" t="n">
        <v>2744</v>
      </c>
      <c r="S396" s="26" t="n">
        <v>0</v>
      </c>
      <c r="T396" s="26" t="n">
        <v>0</v>
      </c>
      <c r="U396" s="26" t="n">
        <v>0</v>
      </c>
    </row>
    <row r="397" customFormat="false" ht="15" hidden="false" customHeight="true" outlineLevel="0" collapsed="false">
      <c r="A397" s="8" t="s">
        <v>407</v>
      </c>
      <c r="B397" s="8" t="s">
        <v>343</v>
      </c>
      <c r="C397" s="8" t="s">
        <v>792</v>
      </c>
      <c r="D397" s="26" t="n">
        <v>0</v>
      </c>
      <c r="E397" s="26" t="n">
        <v>0</v>
      </c>
      <c r="F397" s="26" t="n">
        <v>2530.7</v>
      </c>
      <c r="G397" s="26" t="n">
        <v>0</v>
      </c>
      <c r="H397" s="26" t="n">
        <v>0</v>
      </c>
      <c r="I397" s="26" t="n">
        <v>7074</v>
      </c>
      <c r="J397" s="26" t="n">
        <v>0</v>
      </c>
      <c r="K397" s="26" t="n">
        <v>680.9</v>
      </c>
      <c r="L397" s="26" t="n">
        <v>0</v>
      </c>
      <c r="M397" s="26" t="n">
        <v>40</v>
      </c>
      <c r="N397" s="26" t="n">
        <v>103.7</v>
      </c>
      <c r="O397" s="26" t="n">
        <v>163.6</v>
      </c>
      <c r="P397" s="26" t="n">
        <v>-52.4</v>
      </c>
      <c r="Q397" s="26" t="n">
        <v>4566.7</v>
      </c>
      <c r="R397" s="26" t="n">
        <v>1571.4</v>
      </c>
      <c r="S397" s="26" t="n">
        <v>0</v>
      </c>
      <c r="T397" s="26" t="n">
        <v>0</v>
      </c>
      <c r="U397" s="26" t="n">
        <v>0</v>
      </c>
    </row>
    <row r="398" customFormat="false" ht="15" hidden="false" customHeight="true" outlineLevel="0" collapsed="false">
      <c r="A398" s="8" t="s">
        <v>407</v>
      </c>
      <c r="B398" s="8" t="s">
        <v>347</v>
      </c>
      <c r="C398" s="8" t="s">
        <v>793</v>
      </c>
      <c r="D398" s="26" t="n">
        <v>0</v>
      </c>
      <c r="E398" s="26" t="n">
        <v>0</v>
      </c>
      <c r="F398" s="26" t="n">
        <v>0</v>
      </c>
      <c r="G398" s="26" t="n">
        <v>0</v>
      </c>
      <c r="H398" s="26" t="n">
        <v>0</v>
      </c>
      <c r="I398" s="26" t="n">
        <v>-70.7</v>
      </c>
      <c r="J398" s="26" t="n">
        <v>0</v>
      </c>
      <c r="K398" s="26" t="n">
        <v>0</v>
      </c>
      <c r="L398" s="26" t="n">
        <v>0</v>
      </c>
      <c r="M398" s="26" t="n">
        <v>0</v>
      </c>
      <c r="N398" s="26" t="n">
        <v>0</v>
      </c>
      <c r="O398" s="26" t="n">
        <v>0</v>
      </c>
      <c r="P398" s="26" t="n">
        <v>0</v>
      </c>
      <c r="Q398" s="26" t="n">
        <v>-70.7</v>
      </c>
      <c r="R398" s="26" t="n">
        <v>0</v>
      </c>
      <c r="S398" s="26" t="n">
        <v>0</v>
      </c>
      <c r="T398" s="26" t="n">
        <v>0</v>
      </c>
      <c r="U398" s="26" t="n">
        <v>-36.5</v>
      </c>
    </row>
    <row r="399" customFormat="false" ht="15" hidden="false" customHeight="true" outlineLevel="0" collapsed="false">
      <c r="A399" s="8" t="s">
        <v>407</v>
      </c>
      <c r="B399" s="8" t="s">
        <v>120</v>
      </c>
      <c r="C399" s="8" t="s">
        <v>794</v>
      </c>
      <c r="D399" s="26" t="n">
        <v>0</v>
      </c>
      <c r="E399" s="26" t="n">
        <v>0</v>
      </c>
      <c r="F399" s="26" t="n">
        <v>2043.8</v>
      </c>
      <c r="G399" s="26" t="n">
        <v>0</v>
      </c>
      <c r="H399" s="26" t="n">
        <v>0</v>
      </c>
      <c r="I399" s="26" t="n">
        <v>0</v>
      </c>
      <c r="J399" s="26" t="n">
        <v>0</v>
      </c>
      <c r="K399" s="26" t="n">
        <v>0</v>
      </c>
      <c r="L399" s="26" t="n">
        <v>0</v>
      </c>
      <c r="M399" s="26" t="n">
        <v>0</v>
      </c>
      <c r="N399" s="26" t="n">
        <v>0</v>
      </c>
      <c r="O399" s="26" t="n">
        <v>0</v>
      </c>
      <c r="P399" s="26" t="n">
        <v>0</v>
      </c>
      <c r="Q399" s="26" t="n">
        <v>0</v>
      </c>
      <c r="R399" s="26" t="n">
        <v>0</v>
      </c>
      <c r="S399" s="26" t="n">
        <v>0</v>
      </c>
      <c r="T399" s="26" t="n">
        <v>0</v>
      </c>
      <c r="U399" s="26" t="n">
        <v>0</v>
      </c>
    </row>
    <row r="400" customFormat="false" ht="15" hidden="false" customHeight="true" outlineLevel="0" collapsed="false">
      <c r="A400" s="8" t="s">
        <v>407</v>
      </c>
      <c r="B400" s="8" t="s">
        <v>120</v>
      </c>
      <c r="C400" s="8" t="s">
        <v>795</v>
      </c>
      <c r="D400" s="26" t="n">
        <v>0</v>
      </c>
      <c r="E400" s="26" t="n">
        <v>0</v>
      </c>
      <c r="F400" s="26" t="n">
        <v>5060</v>
      </c>
      <c r="G400" s="26" t="n">
        <v>0</v>
      </c>
      <c r="H400" s="26" t="n">
        <v>0</v>
      </c>
      <c r="I400" s="26" t="n">
        <v>1763.9</v>
      </c>
      <c r="J400" s="26" t="n">
        <v>0</v>
      </c>
      <c r="K400" s="26" t="n">
        <v>0</v>
      </c>
      <c r="L400" s="26" t="n">
        <v>0</v>
      </c>
      <c r="M400" s="26" t="n">
        <v>0</v>
      </c>
      <c r="N400" s="26" t="n">
        <v>0</v>
      </c>
      <c r="O400" s="26" t="n">
        <v>0</v>
      </c>
      <c r="P400" s="26" t="n">
        <v>0</v>
      </c>
      <c r="Q400" s="26" t="n">
        <v>827.4</v>
      </c>
      <c r="R400" s="26" t="n">
        <v>936.5</v>
      </c>
      <c r="S400" s="26" t="n">
        <v>0</v>
      </c>
      <c r="T400" s="26" t="n">
        <v>0</v>
      </c>
      <c r="U400" s="26" t="n">
        <v>0</v>
      </c>
    </row>
    <row r="401" customFormat="false" ht="15" hidden="false" customHeight="true" outlineLevel="0" collapsed="false">
      <c r="A401" s="8" t="s">
        <v>407</v>
      </c>
      <c r="B401" s="8" t="s">
        <v>120</v>
      </c>
      <c r="C401" s="8" t="s">
        <v>796</v>
      </c>
      <c r="D401" s="26" t="n">
        <v>0</v>
      </c>
      <c r="E401" s="26" t="n">
        <v>0</v>
      </c>
      <c r="F401" s="26" t="n">
        <v>6775.1</v>
      </c>
      <c r="G401" s="26" t="n">
        <v>0</v>
      </c>
      <c r="H401" s="26" t="n">
        <v>328.1</v>
      </c>
      <c r="I401" s="26" t="n">
        <v>1030</v>
      </c>
      <c r="J401" s="26" t="n">
        <v>0</v>
      </c>
      <c r="K401" s="26" t="n">
        <v>0</v>
      </c>
      <c r="L401" s="26" t="n">
        <v>0</v>
      </c>
      <c r="M401" s="26" t="n">
        <v>0</v>
      </c>
      <c r="N401" s="26" t="n">
        <v>0</v>
      </c>
      <c r="O401" s="26" t="n">
        <v>0</v>
      </c>
      <c r="P401" s="26" t="n">
        <v>0</v>
      </c>
      <c r="Q401" s="26" t="n">
        <v>655.4</v>
      </c>
      <c r="R401" s="26" t="n">
        <v>374.6</v>
      </c>
      <c r="S401" s="26" t="n">
        <v>0</v>
      </c>
      <c r="T401" s="26" t="n">
        <v>0</v>
      </c>
      <c r="U401" s="26" t="n">
        <v>0</v>
      </c>
    </row>
    <row r="402" customFormat="false" ht="15" hidden="false" customHeight="true" outlineLevel="0" collapsed="false">
      <c r="A402" s="8" t="s">
        <v>407</v>
      </c>
      <c r="B402" s="8" t="s">
        <v>120</v>
      </c>
      <c r="C402" s="8" t="s">
        <v>797</v>
      </c>
      <c r="D402" s="26" t="n">
        <v>0</v>
      </c>
      <c r="E402" s="26" t="n">
        <v>0</v>
      </c>
      <c r="F402" s="26" t="n">
        <v>3356.7</v>
      </c>
      <c r="G402" s="26" t="n">
        <v>0</v>
      </c>
      <c r="H402" s="26" t="n">
        <v>0</v>
      </c>
      <c r="I402" s="26" t="n">
        <v>655.4</v>
      </c>
      <c r="J402" s="26" t="n">
        <v>0</v>
      </c>
      <c r="K402" s="26" t="n">
        <v>0</v>
      </c>
      <c r="L402" s="26" t="n">
        <v>0</v>
      </c>
      <c r="M402" s="26" t="n">
        <v>0</v>
      </c>
      <c r="N402" s="26" t="n">
        <v>0</v>
      </c>
      <c r="O402" s="26" t="n">
        <v>0</v>
      </c>
      <c r="P402" s="26" t="n">
        <v>0</v>
      </c>
      <c r="Q402" s="26" t="n">
        <v>655.4</v>
      </c>
      <c r="R402" s="26" t="n">
        <v>0</v>
      </c>
      <c r="S402" s="26" t="n">
        <v>0</v>
      </c>
      <c r="T402" s="26" t="n">
        <v>0</v>
      </c>
      <c r="U402" s="26" t="n">
        <v>0</v>
      </c>
    </row>
    <row r="403" customFormat="false" ht="15" hidden="false" customHeight="true" outlineLevel="0" collapsed="false">
      <c r="A403" s="8" t="s">
        <v>407</v>
      </c>
      <c r="B403" s="8" t="s">
        <v>120</v>
      </c>
      <c r="C403" s="8" t="s">
        <v>798</v>
      </c>
      <c r="D403" s="26" t="n">
        <v>0</v>
      </c>
      <c r="E403" s="26" t="n">
        <v>0</v>
      </c>
      <c r="F403" s="26" t="n">
        <v>719.4</v>
      </c>
      <c r="G403" s="26" t="n">
        <v>0</v>
      </c>
      <c r="H403" s="26" t="n">
        <v>0</v>
      </c>
      <c r="I403" s="26" t="n">
        <v>0</v>
      </c>
      <c r="J403" s="26" t="n">
        <v>0</v>
      </c>
      <c r="K403" s="26" t="n">
        <v>0</v>
      </c>
      <c r="L403" s="26" t="n">
        <v>0</v>
      </c>
      <c r="M403" s="26" t="n">
        <v>0</v>
      </c>
      <c r="N403" s="26" t="n">
        <v>0</v>
      </c>
      <c r="O403" s="26" t="n">
        <v>0</v>
      </c>
      <c r="P403" s="26" t="n">
        <v>0</v>
      </c>
      <c r="Q403" s="26" t="n">
        <v>0</v>
      </c>
      <c r="R403" s="26" t="n">
        <v>0</v>
      </c>
      <c r="S403" s="26" t="n">
        <v>0</v>
      </c>
      <c r="T403" s="26" t="n">
        <v>0</v>
      </c>
      <c r="U403" s="26" t="n">
        <v>0</v>
      </c>
    </row>
    <row r="404" customFormat="false" ht="15" hidden="false" customHeight="true" outlineLevel="0" collapsed="false">
      <c r="A404" s="8" t="s">
        <v>407</v>
      </c>
      <c r="B404" s="8" t="s">
        <v>88</v>
      </c>
      <c r="C404" s="8" t="s">
        <v>799</v>
      </c>
      <c r="D404" s="26" t="n">
        <v>0</v>
      </c>
      <c r="E404" s="26" t="n">
        <v>0</v>
      </c>
      <c r="F404" s="26" t="n">
        <v>38817.9</v>
      </c>
      <c r="G404" s="26" t="n">
        <v>0</v>
      </c>
      <c r="H404" s="26" t="n">
        <v>0</v>
      </c>
      <c r="I404" s="26" t="n">
        <v>331446.1</v>
      </c>
      <c r="J404" s="26" t="n">
        <v>0</v>
      </c>
      <c r="K404" s="26" t="n">
        <v>800.4</v>
      </c>
      <c r="L404" s="26" t="n">
        <v>0</v>
      </c>
      <c r="M404" s="26" t="n">
        <v>0</v>
      </c>
      <c r="N404" s="26" t="n">
        <v>0</v>
      </c>
      <c r="O404" s="26" t="n">
        <v>0</v>
      </c>
      <c r="P404" s="26" t="n">
        <v>-436.6</v>
      </c>
      <c r="Q404" s="26" t="n">
        <v>304743.2</v>
      </c>
      <c r="R404" s="26" t="n">
        <v>26339.1</v>
      </c>
      <c r="S404" s="26" t="n">
        <v>72.8</v>
      </c>
      <c r="T404" s="26" t="n">
        <v>0</v>
      </c>
      <c r="U404" s="26" t="n">
        <v>0</v>
      </c>
    </row>
    <row r="405" customFormat="false" ht="15" hidden="false" customHeight="true" outlineLevel="0" collapsed="false">
      <c r="A405" s="8" t="s">
        <v>407</v>
      </c>
      <c r="B405" s="8" t="s">
        <v>185</v>
      </c>
      <c r="C405" s="8" t="s">
        <v>731</v>
      </c>
      <c r="D405" s="26" t="n">
        <v>0</v>
      </c>
      <c r="E405" s="26" t="n">
        <v>0</v>
      </c>
      <c r="F405" s="26" t="n">
        <v>13916.1</v>
      </c>
      <c r="G405" s="26" t="n">
        <v>0</v>
      </c>
      <c r="H405" s="26" t="n">
        <v>0</v>
      </c>
      <c r="I405" s="26" t="n">
        <v>19519.4</v>
      </c>
      <c r="J405" s="26" t="n">
        <v>0</v>
      </c>
      <c r="K405" s="26" t="n">
        <v>0</v>
      </c>
      <c r="L405" s="26" t="n">
        <v>0</v>
      </c>
      <c r="M405" s="26" t="n">
        <v>0</v>
      </c>
      <c r="N405" s="26" t="n">
        <v>0</v>
      </c>
      <c r="O405" s="26" t="n">
        <v>0</v>
      </c>
      <c r="P405" s="26" t="n">
        <v>-220.5</v>
      </c>
      <c r="Q405" s="26" t="n">
        <v>14778.5</v>
      </c>
      <c r="R405" s="26" t="n">
        <v>4961.4</v>
      </c>
      <c r="S405" s="26" t="n">
        <v>0</v>
      </c>
      <c r="T405" s="26" t="n">
        <v>0</v>
      </c>
      <c r="U405" s="26" t="n">
        <v>0</v>
      </c>
    </row>
    <row r="406" customFormat="false" ht="15" hidden="false" customHeight="true" outlineLevel="0" collapsed="false">
      <c r="A406" s="8" t="s">
        <v>407</v>
      </c>
      <c r="B406" s="8" t="s">
        <v>79</v>
      </c>
      <c r="C406" s="8" t="s">
        <v>800</v>
      </c>
      <c r="D406" s="26" t="n">
        <v>0</v>
      </c>
      <c r="E406" s="26" t="n">
        <v>0</v>
      </c>
      <c r="F406" s="26" t="n">
        <v>7050.6</v>
      </c>
      <c r="G406" s="26" t="n">
        <v>0</v>
      </c>
      <c r="H406" s="26" t="n">
        <v>0</v>
      </c>
      <c r="I406" s="26" t="n">
        <v>31177.9</v>
      </c>
      <c r="J406" s="26" t="n">
        <v>0</v>
      </c>
      <c r="K406" s="26" t="n">
        <v>454.6</v>
      </c>
      <c r="L406" s="26" t="n">
        <v>0</v>
      </c>
      <c r="M406" s="26" t="n">
        <v>0</v>
      </c>
      <c r="N406" s="26" t="n">
        <v>304.7</v>
      </c>
      <c r="O406" s="26" t="n">
        <v>0</v>
      </c>
      <c r="P406" s="26" t="n">
        <v>-270.6</v>
      </c>
      <c r="Q406" s="26" t="n">
        <v>22846.7</v>
      </c>
      <c r="R406" s="26" t="n">
        <v>7842.5</v>
      </c>
      <c r="S406" s="26" t="n">
        <v>0</v>
      </c>
      <c r="T406" s="26" t="n">
        <v>0</v>
      </c>
      <c r="U406" s="26" t="n">
        <v>0</v>
      </c>
    </row>
    <row r="407" customFormat="false" ht="15" hidden="false" customHeight="true" outlineLevel="0" collapsed="false">
      <c r="A407" s="8" t="s">
        <v>407</v>
      </c>
      <c r="B407" s="8" t="s">
        <v>79</v>
      </c>
      <c r="C407" s="8" t="s">
        <v>801</v>
      </c>
      <c r="D407" s="26" t="n">
        <v>0</v>
      </c>
      <c r="E407" s="26" t="n">
        <v>0</v>
      </c>
      <c r="F407" s="26" t="n">
        <v>11660.8</v>
      </c>
      <c r="G407" s="26" t="n">
        <v>0</v>
      </c>
      <c r="H407" s="26" t="n">
        <v>164.4</v>
      </c>
      <c r="I407" s="26" t="n">
        <v>42669.9</v>
      </c>
      <c r="J407" s="26" t="n">
        <v>0</v>
      </c>
      <c r="K407" s="26" t="n">
        <v>227.3</v>
      </c>
      <c r="L407" s="26" t="n">
        <v>0</v>
      </c>
      <c r="M407" s="26" t="n">
        <v>0</v>
      </c>
      <c r="N407" s="26" t="n">
        <v>0</v>
      </c>
      <c r="O407" s="26" t="n">
        <v>0</v>
      </c>
      <c r="P407" s="26" t="n">
        <v>-284.2</v>
      </c>
      <c r="Q407" s="26" t="n">
        <v>28632.9</v>
      </c>
      <c r="R407" s="26" t="n">
        <v>14093.8</v>
      </c>
      <c r="S407" s="26" t="n">
        <v>0</v>
      </c>
      <c r="T407" s="26" t="n">
        <v>0</v>
      </c>
      <c r="U407" s="26" t="n">
        <v>0</v>
      </c>
    </row>
    <row r="408" customFormat="false" ht="15" hidden="false" customHeight="true" outlineLevel="0" collapsed="false">
      <c r="A408" s="8" t="s">
        <v>407</v>
      </c>
      <c r="B408" s="8" t="s">
        <v>79</v>
      </c>
      <c r="C408" s="8" t="s">
        <v>802</v>
      </c>
      <c r="D408" s="26" t="n">
        <v>0</v>
      </c>
      <c r="E408" s="26" t="n">
        <v>0</v>
      </c>
      <c r="F408" s="26" t="n">
        <v>11911</v>
      </c>
      <c r="G408" s="26" t="n">
        <v>0</v>
      </c>
      <c r="H408" s="26" t="n">
        <v>580.9</v>
      </c>
      <c r="I408" s="26" t="n">
        <v>36193</v>
      </c>
      <c r="J408" s="26" t="n">
        <v>0</v>
      </c>
      <c r="K408" s="26" t="n">
        <v>170.5</v>
      </c>
      <c r="L408" s="26" t="n">
        <v>0</v>
      </c>
      <c r="M408" s="26" t="n">
        <v>0</v>
      </c>
      <c r="N408" s="26" t="n">
        <v>0</v>
      </c>
      <c r="O408" s="26" t="n">
        <v>0</v>
      </c>
      <c r="P408" s="26" t="n">
        <v>-170.5</v>
      </c>
      <c r="Q408" s="26" t="n">
        <v>27725.3</v>
      </c>
      <c r="R408" s="26" t="n">
        <v>8467.7</v>
      </c>
      <c r="S408" s="26" t="n">
        <v>0</v>
      </c>
      <c r="T408" s="26" t="n">
        <v>0</v>
      </c>
      <c r="U408" s="26" t="n">
        <v>0</v>
      </c>
    </row>
    <row r="409" customFormat="false" ht="15" hidden="false" customHeight="true" outlineLevel="0" collapsed="false">
      <c r="A409" s="8" t="s">
        <v>407</v>
      </c>
      <c r="B409" s="8" t="s">
        <v>337</v>
      </c>
      <c r="C409" s="8" t="s">
        <v>803</v>
      </c>
      <c r="D409" s="26" t="n">
        <v>0</v>
      </c>
      <c r="E409" s="26" t="n">
        <v>0</v>
      </c>
      <c r="F409" s="26" t="n">
        <v>315.3</v>
      </c>
      <c r="G409" s="26" t="n">
        <v>0</v>
      </c>
      <c r="H409" s="26" t="n">
        <v>0</v>
      </c>
      <c r="I409" s="26" t="n">
        <v>0</v>
      </c>
      <c r="J409" s="26" t="n">
        <v>0</v>
      </c>
      <c r="K409" s="26" t="n">
        <v>0</v>
      </c>
      <c r="L409" s="26" t="n">
        <v>0</v>
      </c>
      <c r="M409" s="26" t="n">
        <v>0</v>
      </c>
      <c r="N409" s="26" t="n">
        <v>0</v>
      </c>
      <c r="O409" s="26" t="n">
        <v>0</v>
      </c>
      <c r="P409" s="26" t="n">
        <v>0</v>
      </c>
      <c r="Q409" s="26" t="n">
        <v>0</v>
      </c>
      <c r="R409" s="26" t="n">
        <v>0</v>
      </c>
      <c r="S409" s="26" t="n">
        <v>0</v>
      </c>
      <c r="T409" s="26" t="n">
        <v>0</v>
      </c>
      <c r="U409" s="26" t="n">
        <v>0</v>
      </c>
    </row>
    <row r="410" customFormat="false" ht="15" hidden="false" customHeight="true" outlineLevel="0" collapsed="false">
      <c r="A410" s="8" t="s">
        <v>407</v>
      </c>
      <c r="B410" s="8" t="s">
        <v>353</v>
      </c>
      <c r="C410" s="8" t="s">
        <v>804</v>
      </c>
      <c r="D410" s="26" t="n">
        <v>0</v>
      </c>
      <c r="E410" s="26" t="n">
        <v>0</v>
      </c>
      <c r="F410" s="26" t="n">
        <v>577.8</v>
      </c>
      <c r="G410" s="26" t="n">
        <v>0</v>
      </c>
      <c r="H410" s="26" t="n">
        <v>0</v>
      </c>
      <c r="I410" s="26" t="n">
        <v>34663.2</v>
      </c>
      <c r="J410" s="26" t="n">
        <v>0</v>
      </c>
      <c r="K410" s="26" t="n">
        <v>0</v>
      </c>
      <c r="L410" s="26" t="n">
        <v>0</v>
      </c>
      <c r="M410" s="26" t="n">
        <v>0</v>
      </c>
      <c r="N410" s="26" t="n">
        <v>0</v>
      </c>
      <c r="O410" s="26" t="n">
        <v>0</v>
      </c>
      <c r="P410" s="26" t="n">
        <v>-976.6</v>
      </c>
      <c r="Q410" s="26" t="n">
        <v>33059.8</v>
      </c>
      <c r="R410" s="26" t="n">
        <v>2580</v>
      </c>
      <c r="S410" s="26" t="n">
        <v>0</v>
      </c>
      <c r="T410" s="26" t="n">
        <v>0</v>
      </c>
      <c r="U410" s="26" t="n">
        <v>0</v>
      </c>
    </row>
    <row r="411" customFormat="false" ht="15" hidden="false" customHeight="true" outlineLevel="0" collapsed="false">
      <c r="A411" s="8" t="s">
        <v>407</v>
      </c>
      <c r="B411" s="8" t="s">
        <v>349</v>
      </c>
      <c r="C411" s="8" t="s">
        <v>804</v>
      </c>
      <c r="D411" s="26" t="n">
        <v>0</v>
      </c>
      <c r="E411" s="26" t="n">
        <v>0</v>
      </c>
      <c r="F411" s="26" t="n">
        <v>2977.7</v>
      </c>
      <c r="G411" s="26" t="n">
        <v>0</v>
      </c>
      <c r="H411" s="26" t="n">
        <v>0</v>
      </c>
      <c r="I411" s="26" t="n">
        <v>118489.3</v>
      </c>
      <c r="J411" s="26" t="n">
        <v>0</v>
      </c>
      <c r="K411" s="26" t="n">
        <v>496.2</v>
      </c>
      <c r="L411" s="26" t="n">
        <v>0</v>
      </c>
      <c r="M411" s="26" t="n">
        <v>0</v>
      </c>
      <c r="N411" s="26" t="n">
        <v>0</v>
      </c>
      <c r="O411" s="26" t="n">
        <v>0</v>
      </c>
      <c r="P411" s="26" t="n">
        <v>-992.3</v>
      </c>
      <c r="Q411" s="26" t="n">
        <v>110749.4</v>
      </c>
      <c r="R411" s="26" t="n">
        <v>8236.1</v>
      </c>
      <c r="S411" s="26" t="n">
        <v>0</v>
      </c>
      <c r="T411" s="26" t="n">
        <v>0</v>
      </c>
      <c r="U411" s="26" t="n">
        <v>0</v>
      </c>
    </row>
    <row r="412" customFormat="false" ht="15" hidden="false" customHeight="true" outlineLevel="0" collapsed="false">
      <c r="A412" s="8" t="s">
        <v>407</v>
      </c>
      <c r="B412" s="8" t="s">
        <v>231</v>
      </c>
      <c r="C412" s="8" t="s">
        <v>804</v>
      </c>
      <c r="D412" s="26" t="n">
        <v>0</v>
      </c>
      <c r="E412" s="26" t="n">
        <v>0</v>
      </c>
      <c r="F412" s="26" t="n">
        <v>5547.9</v>
      </c>
      <c r="G412" s="26" t="n">
        <v>0</v>
      </c>
      <c r="H412" s="26" t="n">
        <v>101.5</v>
      </c>
      <c r="I412" s="26" t="n">
        <v>176482.5</v>
      </c>
      <c r="J412" s="26" t="n">
        <v>0</v>
      </c>
      <c r="K412" s="26" t="n">
        <v>694.6</v>
      </c>
      <c r="L412" s="26" t="n">
        <v>0</v>
      </c>
      <c r="M412" s="26" t="n">
        <v>0</v>
      </c>
      <c r="N412" s="26" t="n">
        <v>0</v>
      </c>
      <c r="O412" s="26" t="n">
        <v>0</v>
      </c>
      <c r="P412" s="26" t="n">
        <v>-694.6</v>
      </c>
      <c r="Q412" s="26" t="n">
        <v>161994.9</v>
      </c>
      <c r="R412" s="26" t="n">
        <v>14487.6</v>
      </c>
      <c r="S412" s="26" t="n">
        <v>0</v>
      </c>
      <c r="T412" s="26" t="n">
        <v>0</v>
      </c>
      <c r="U412" s="26" t="n">
        <v>0</v>
      </c>
    </row>
    <row r="413" customFormat="false" ht="15" hidden="false" customHeight="true" outlineLevel="0" collapsed="false">
      <c r="A413" s="8" t="s">
        <v>407</v>
      </c>
      <c r="B413" s="8" t="s">
        <v>173</v>
      </c>
      <c r="C413" s="8" t="s">
        <v>805</v>
      </c>
      <c r="D413" s="26" t="n">
        <v>0</v>
      </c>
      <c r="E413" s="26" t="n">
        <v>0</v>
      </c>
      <c r="F413" s="26" t="n">
        <v>5922.9</v>
      </c>
      <c r="G413" s="26" t="n">
        <v>0</v>
      </c>
      <c r="H413" s="26" t="n">
        <v>0</v>
      </c>
      <c r="I413" s="26" t="n">
        <v>147542.2</v>
      </c>
      <c r="J413" s="26" t="n">
        <v>0</v>
      </c>
      <c r="K413" s="26" t="n">
        <v>297.7</v>
      </c>
      <c r="L413" s="26" t="n">
        <v>0</v>
      </c>
      <c r="M413" s="26" t="n">
        <v>0</v>
      </c>
      <c r="N413" s="26" t="n">
        <v>0</v>
      </c>
      <c r="O413" s="26" t="n">
        <v>0</v>
      </c>
      <c r="P413" s="26" t="n">
        <v>-694.6</v>
      </c>
      <c r="Q413" s="26" t="n">
        <v>137916.9</v>
      </c>
      <c r="R413" s="26" t="n">
        <v>10022.2</v>
      </c>
      <c r="S413" s="26" t="n">
        <v>0</v>
      </c>
      <c r="T413" s="26" t="n">
        <v>0</v>
      </c>
      <c r="U413" s="26" t="n">
        <v>0</v>
      </c>
    </row>
    <row r="414" customFormat="false" ht="15" hidden="false" customHeight="true" outlineLevel="0" collapsed="false">
      <c r="A414" s="8" t="s">
        <v>407</v>
      </c>
      <c r="B414" s="8" t="s">
        <v>175</v>
      </c>
      <c r="C414" s="8" t="s">
        <v>805</v>
      </c>
      <c r="D414" s="26" t="n">
        <v>0</v>
      </c>
      <c r="E414" s="26" t="n">
        <v>0</v>
      </c>
      <c r="F414" s="26" t="n">
        <v>4499.2</v>
      </c>
      <c r="G414" s="26" t="n">
        <v>0</v>
      </c>
      <c r="H414" s="26" t="n">
        <v>0</v>
      </c>
      <c r="I414" s="26" t="n">
        <v>20730.3</v>
      </c>
      <c r="J414" s="26" t="n">
        <v>0</v>
      </c>
      <c r="K414" s="26" t="n">
        <v>297.7</v>
      </c>
      <c r="L414" s="26" t="n">
        <v>0</v>
      </c>
      <c r="M414" s="26" t="n">
        <v>0</v>
      </c>
      <c r="N414" s="26" t="n">
        <v>0</v>
      </c>
      <c r="O414" s="26" t="n">
        <v>0</v>
      </c>
      <c r="P414" s="26" t="n">
        <v>-893.1</v>
      </c>
      <c r="Q414" s="26" t="n">
        <v>14776.5</v>
      </c>
      <c r="R414" s="26" t="n">
        <v>6549.2</v>
      </c>
      <c r="S414" s="26" t="n">
        <v>109.3</v>
      </c>
      <c r="T414" s="26" t="n">
        <v>0</v>
      </c>
      <c r="U414" s="26" t="n">
        <v>-156.2</v>
      </c>
    </row>
    <row r="415" customFormat="false" ht="15" hidden="false" customHeight="true" outlineLevel="0" collapsed="false">
      <c r="A415" s="8" t="s">
        <v>407</v>
      </c>
      <c r="B415" s="8" t="s">
        <v>372</v>
      </c>
      <c r="C415" s="8" t="s">
        <v>806</v>
      </c>
      <c r="D415" s="26" t="n">
        <v>0</v>
      </c>
      <c r="E415" s="26" t="n">
        <v>0</v>
      </c>
      <c r="F415" s="26" t="n">
        <v>0</v>
      </c>
      <c r="G415" s="26" t="n">
        <v>0</v>
      </c>
      <c r="H415" s="26" t="n">
        <v>0</v>
      </c>
      <c r="I415" s="26" t="n">
        <v>1210.5</v>
      </c>
      <c r="J415" s="26" t="n">
        <v>0</v>
      </c>
      <c r="K415" s="26" t="n">
        <v>0</v>
      </c>
      <c r="L415" s="26" t="n">
        <v>0</v>
      </c>
      <c r="M415" s="26" t="n">
        <v>0</v>
      </c>
      <c r="N415" s="26" t="n">
        <v>0</v>
      </c>
      <c r="O415" s="26" t="n">
        <v>0</v>
      </c>
      <c r="P415" s="26" t="n">
        <v>0</v>
      </c>
      <c r="Q415" s="26" t="n">
        <v>1210.5</v>
      </c>
      <c r="R415" s="26" t="n">
        <v>0</v>
      </c>
      <c r="S415" s="26" t="n">
        <v>0</v>
      </c>
      <c r="T415" s="26" t="n">
        <v>0</v>
      </c>
      <c r="U415" s="26" t="n">
        <v>0</v>
      </c>
    </row>
    <row r="416" customFormat="false" ht="15" hidden="false" customHeight="true" outlineLevel="0" collapsed="false">
      <c r="A416" s="8" t="s">
        <v>407</v>
      </c>
      <c r="B416" s="8" t="s">
        <v>275</v>
      </c>
      <c r="C416" s="8" t="s">
        <v>807</v>
      </c>
      <c r="D416" s="26" t="n">
        <v>0</v>
      </c>
      <c r="E416" s="26" t="n">
        <v>0</v>
      </c>
      <c r="F416" s="26" t="n">
        <v>288.7</v>
      </c>
      <c r="G416" s="26" t="n">
        <v>0</v>
      </c>
      <c r="H416" s="26" t="n">
        <v>0</v>
      </c>
      <c r="I416" s="26" t="n">
        <v>2730.6</v>
      </c>
      <c r="J416" s="26" t="n">
        <v>0</v>
      </c>
      <c r="K416" s="26" t="n">
        <v>0</v>
      </c>
      <c r="L416" s="26" t="n">
        <v>0</v>
      </c>
      <c r="M416" s="26" t="n">
        <v>0</v>
      </c>
      <c r="N416" s="26" t="n">
        <v>0</v>
      </c>
      <c r="O416" s="26" t="n">
        <v>0</v>
      </c>
      <c r="P416" s="26" t="n">
        <v>0</v>
      </c>
      <c r="Q416" s="26" t="n">
        <v>2730.6</v>
      </c>
      <c r="R416" s="26" t="n">
        <v>0</v>
      </c>
      <c r="S416" s="26" t="n">
        <v>0</v>
      </c>
      <c r="T416" s="26" t="n">
        <v>0</v>
      </c>
      <c r="U416" s="26" t="n">
        <v>0</v>
      </c>
    </row>
    <row r="417" customFormat="false" ht="15" hidden="false" customHeight="true" outlineLevel="0" collapsed="false">
      <c r="A417" s="8" t="s">
        <v>407</v>
      </c>
      <c r="B417" s="8" t="s">
        <v>299</v>
      </c>
      <c r="C417" s="8" t="s">
        <v>807</v>
      </c>
      <c r="D417" s="26" t="n">
        <v>0</v>
      </c>
      <c r="E417" s="26" t="n">
        <v>0</v>
      </c>
      <c r="F417" s="26" t="n">
        <v>206.1</v>
      </c>
      <c r="G417" s="26" t="n">
        <v>0</v>
      </c>
      <c r="H417" s="26" t="n">
        <v>0</v>
      </c>
      <c r="I417" s="26" t="n">
        <v>3611.3</v>
      </c>
      <c r="J417" s="26" t="n">
        <v>0</v>
      </c>
      <c r="K417" s="26" t="n">
        <v>0</v>
      </c>
      <c r="L417" s="26" t="n">
        <v>0</v>
      </c>
      <c r="M417" s="26" t="n">
        <v>0</v>
      </c>
      <c r="N417" s="26" t="n">
        <v>0</v>
      </c>
      <c r="O417" s="26" t="n">
        <v>0</v>
      </c>
      <c r="P417" s="26" t="n">
        <v>0</v>
      </c>
      <c r="Q417" s="26" t="n">
        <v>3611.3</v>
      </c>
      <c r="R417" s="26" t="n">
        <v>0</v>
      </c>
      <c r="S417" s="26" t="n">
        <v>0</v>
      </c>
      <c r="T417" s="26" t="n">
        <v>0</v>
      </c>
      <c r="U417" s="26" t="n">
        <v>0</v>
      </c>
    </row>
    <row r="418" customFormat="false" ht="15" hidden="false" customHeight="true" outlineLevel="0" collapsed="false">
      <c r="A418" s="8" t="s">
        <v>407</v>
      </c>
      <c r="B418" s="8" t="s">
        <v>327</v>
      </c>
      <c r="C418" s="8" t="s">
        <v>807</v>
      </c>
      <c r="D418" s="26" t="n">
        <v>0</v>
      </c>
      <c r="E418" s="26" t="n">
        <v>0</v>
      </c>
      <c r="F418" s="26" t="n">
        <v>103.1</v>
      </c>
      <c r="G418" s="26" t="n">
        <v>0</v>
      </c>
      <c r="H418" s="26" t="n">
        <v>0</v>
      </c>
      <c r="I418" s="26" t="n">
        <v>2549.6</v>
      </c>
      <c r="J418" s="26" t="n">
        <v>0</v>
      </c>
      <c r="K418" s="26" t="n">
        <v>0</v>
      </c>
      <c r="L418" s="26" t="n">
        <v>0</v>
      </c>
      <c r="M418" s="26" t="n">
        <v>0</v>
      </c>
      <c r="N418" s="26" t="n">
        <v>0</v>
      </c>
      <c r="O418" s="26" t="n">
        <v>0</v>
      </c>
      <c r="P418" s="26" t="n">
        <v>0</v>
      </c>
      <c r="Q418" s="26" t="n">
        <v>2549.6</v>
      </c>
      <c r="R418" s="26" t="n">
        <v>0</v>
      </c>
      <c r="S418" s="26" t="n">
        <v>0</v>
      </c>
      <c r="T418" s="26" t="n">
        <v>0</v>
      </c>
      <c r="U418" s="26" t="n">
        <v>0</v>
      </c>
    </row>
    <row r="419" customFormat="false" ht="15" hidden="false" customHeight="true" outlineLevel="0" collapsed="false">
      <c r="A419" s="8" t="s">
        <v>407</v>
      </c>
      <c r="B419" s="8" t="s">
        <v>303</v>
      </c>
      <c r="C419" s="8" t="s">
        <v>808</v>
      </c>
      <c r="D419" s="26" t="n">
        <v>0</v>
      </c>
      <c r="E419" s="26" t="n">
        <v>0</v>
      </c>
      <c r="F419" s="26" t="n">
        <v>103.1</v>
      </c>
      <c r="G419" s="26" t="n">
        <v>0</v>
      </c>
      <c r="H419" s="26" t="n">
        <v>0</v>
      </c>
      <c r="I419" s="26" t="n">
        <v>635.4</v>
      </c>
      <c r="J419" s="26" t="n">
        <v>0</v>
      </c>
      <c r="K419" s="26" t="n">
        <v>0</v>
      </c>
      <c r="L419" s="26" t="n">
        <v>0</v>
      </c>
      <c r="M419" s="26" t="n">
        <v>0</v>
      </c>
      <c r="N419" s="26" t="n">
        <v>0</v>
      </c>
      <c r="O419" s="26" t="n">
        <v>0</v>
      </c>
      <c r="P419" s="26" t="n">
        <v>0</v>
      </c>
      <c r="Q419" s="26" t="n">
        <v>635.4</v>
      </c>
      <c r="R419" s="26" t="n">
        <v>0</v>
      </c>
      <c r="S419" s="26" t="n">
        <v>0</v>
      </c>
      <c r="T419" s="26" t="n">
        <v>0</v>
      </c>
      <c r="U419" s="26" t="n">
        <v>0</v>
      </c>
    </row>
    <row r="420" customFormat="false" ht="15" hidden="false" customHeight="true" outlineLevel="0" collapsed="false">
      <c r="A420" s="8" t="s">
        <v>407</v>
      </c>
      <c r="B420" s="8" t="s">
        <v>283</v>
      </c>
      <c r="C420" s="8" t="s">
        <v>809</v>
      </c>
      <c r="D420" s="26" t="n">
        <v>0</v>
      </c>
      <c r="E420" s="26" t="n">
        <v>0</v>
      </c>
      <c r="F420" s="26" t="n">
        <v>255.5</v>
      </c>
      <c r="G420" s="26" t="n">
        <v>0</v>
      </c>
      <c r="H420" s="26" t="n">
        <v>0</v>
      </c>
      <c r="I420" s="26" t="n">
        <v>0</v>
      </c>
      <c r="J420" s="26" t="n">
        <v>0</v>
      </c>
      <c r="K420" s="26" t="n">
        <v>0</v>
      </c>
      <c r="L420" s="26" t="n">
        <v>0</v>
      </c>
      <c r="M420" s="26" t="n">
        <v>0</v>
      </c>
      <c r="N420" s="26" t="n">
        <v>0</v>
      </c>
      <c r="O420" s="26" t="n">
        <v>0</v>
      </c>
      <c r="P420" s="26" t="n">
        <v>0</v>
      </c>
      <c r="Q420" s="26" t="n">
        <v>0</v>
      </c>
      <c r="R420" s="26" t="n">
        <v>0</v>
      </c>
      <c r="S420" s="26" t="n">
        <v>0</v>
      </c>
      <c r="T420" s="26" t="n">
        <v>0</v>
      </c>
      <c r="U420" s="26" t="n">
        <v>0</v>
      </c>
    </row>
    <row r="421" customFormat="false" ht="15" hidden="false" customHeight="true" outlineLevel="0" collapsed="false">
      <c r="A421" s="8" t="s">
        <v>407</v>
      </c>
      <c r="B421" s="8" t="s">
        <v>322</v>
      </c>
      <c r="C421" s="8" t="s">
        <v>809</v>
      </c>
      <c r="D421" s="26" t="n">
        <v>0</v>
      </c>
      <c r="E421" s="26" t="n">
        <v>0</v>
      </c>
      <c r="F421" s="26" t="n">
        <v>127.9</v>
      </c>
      <c r="G421" s="26" t="n">
        <v>0</v>
      </c>
      <c r="H421" s="26" t="n">
        <v>0</v>
      </c>
      <c r="I421" s="26" t="n">
        <v>0</v>
      </c>
      <c r="J421" s="26" t="n">
        <v>0</v>
      </c>
      <c r="K421" s="26" t="n">
        <v>0</v>
      </c>
      <c r="L421" s="26" t="n">
        <v>0</v>
      </c>
      <c r="M421" s="26" t="n">
        <v>0</v>
      </c>
      <c r="N421" s="26" t="n">
        <v>0</v>
      </c>
      <c r="O421" s="26" t="n">
        <v>0</v>
      </c>
      <c r="P421" s="26" t="n">
        <v>0</v>
      </c>
      <c r="Q421" s="26" t="n">
        <v>0</v>
      </c>
      <c r="R421" s="26" t="n">
        <v>0</v>
      </c>
      <c r="S421" s="26" t="n">
        <v>0</v>
      </c>
      <c r="T421" s="26" t="n">
        <v>0</v>
      </c>
      <c r="U421" s="26" t="n">
        <v>0</v>
      </c>
    </row>
    <row r="422" customFormat="false" ht="15" hidden="false" customHeight="true" outlineLevel="0" collapsed="false">
      <c r="A422" s="8" t="s">
        <v>407</v>
      </c>
      <c r="B422" s="8" t="s">
        <v>240</v>
      </c>
      <c r="C422" s="8" t="s">
        <v>809</v>
      </c>
      <c r="D422" s="26" t="n">
        <v>0</v>
      </c>
      <c r="E422" s="26" t="n">
        <v>0</v>
      </c>
      <c r="F422" s="26" t="n">
        <v>0</v>
      </c>
      <c r="G422" s="26" t="n">
        <v>0</v>
      </c>
      <c r="H422" s="26" t="n">
        <v>0</v>
      </c>
      <c r="I422" s="26" t="n">
        <v>-131.1</v>
      </c>
      <c r="J422" s="26" t="n">
        <v>0</v>
      </c>
      <c r="K422" s="26" t="n">
        <v>0</v>
      </c>
      <c r="L422" s="26" t="n">
        <v>0</v>
      </c>
      <c r="M422" s="26" t="n">
        <v>0</v>
      </c>
      <c r="N422" s="26" t="n">
        <v>0</v>
      </c>
      <c r="O422" s="26" t="n">
        <v>0</v>
      </c>
      <c r="P422" s="26" t="n">
        <v>0</v>
      </c>
      <c r="Q422" s="26" t="n">
        <v>-131.1</v>
      </c>
      <c r="R422" s="26" t="n">
        <v>0</v>
      </c>
      <c r="S422" s="26" t="n">
        <v>0</v>
      </c>
      <c r="T422" s="26" t="n">
        <v>0</v>
      </c>
      <c r="U422" s="26" t="n">
        <v>0</v>
      </c>
    </row>
    <row r="423" customFormat="false" ht="15" hidden="false" customHeight="true" outlineLevel="0" collapsed="false">
      <c r="A423" s="8" t="s">
        <v>407</v>
      </c>
      <c r="B423" s="8" t="s">
        <v>324</v>
      </c>
      <c r="C423" s="8" t="s">
        <v>810</v>
      </c>
      <c r="D423" s="26" t="n">
        <v>0</v>
      </c>
      <c r="E423" s="26" t="n">
        <v>0</v>
      </c>
      <c r="F423" s="26" t="n">
        <v>127.6</v>
      </c>
      <c r="G423" s="26" t="n">
        <v>0</v>
      </c>
      <c r="H423" s="26" t="n">
        <v>0</v>
      </c>
      <c r="I423" s="26" t="n">
        <v>0</v>
      </c>
      <c r="J423" s="26" t="n">
        <v>0</v>
      </c>
      <c r="K423" s="26" t="n">
        <v>0</v>
      </c>
      <c r="L423" s="26" t="n">
        <v>0</v>
      </c>
      <c r="M423" s="26" t="n">
        <v>0</v>
      </c>
      <c r="N423" s="26" t="n">
        <v>0</v>
      </c>
      <c r="O423" s="26" t="n">
        <v>0</v>
      </c>
      <c r="P423" s="26" t="n">
        <v>0</v>
      </c>
      <c r="Q423" s="26" t="n">
        <v>0</v>
      </c>
      <c r="R423" s="26" t="n">
        <v>0</v>
      </c>
      <c r="S423" s="26" t="n">
        <v>0</v>
      </c>
      <c r="T423" s="26" t="n">
        <v>0</v>
      </c>
      <c r="U423" s="26" t="n">
        <v>0</v>
      </c>
    </row>
    <row r="424" customFormat="false" ht="15" hidden="false" customHeight="true" outlineLevel="0" collapsed="false">
      <c r="A424" s="8" t="s">
        <v>407</v>
      </c>
      <c r="B424" s="8" t="s">
        <v>323</v>
      </c>
      <c r="C424" s="8" t="s">
        <v>809</v>
      </c>
      <c r="D424" s="26" t="n">
        <v>0</v>
      </c>
      <c r="E424" s="26" t="n">
        <v>0</v>
      </c>
      <c r="F424" s="26" t="n">
        <v>127.9</v>
      </c>
      <c r="G424" s="26" t="n">
        <v>0</v>
      </c>
      <c r="H424" s="26" t="n">
        <v>0</v>
      </c>
      <c r="I424" s="26" t="n">
        <v>-131.1</v>
      </c>
      <c r="J424" s="26" t="n">
        <v>0</v>
      </c>
      <c r="K424" s="26" t="n">
        <v>0</v>
      </c>
      <c r="L424" s="26" t="n">
        <v>0</v>
      </c>
      <c r="M424" s="26" t="n">
        <v>0</v>
      </c>
      <c r="N424" s="26" t="n">
        <v>0</v>
      </c>
      <c r="O424" s="26" t="n">
        <v>0</v>
      </c>
      <c r="P424" s="26" t="n">
        <v>0</v>
      </c>
      <c r="Q424" s="26" t="n">
        <v>-131.1</v>
      </c>
      <c r="R424" s="26" t="n">
        <v>0</v>
      </c>
      <c r="S424" s="26" t="n">
        <v>0</v>
      </c>
      <c r="T424" s="26" t="n">
        <v>0</v>
      </c>
      <c r="U424" s="26" t="n">
        <v>0</v>
      </c>
    </row>
    <row r="425" customFormat="false" ht="15" hidden="false" customHeight="true" outlineLevel="0" collapsed="false">
      <c r="A425" s="8" t="s">
        <v>407</v>
      </c>
      <c r="B425" s="8" t="s">
        <v>176</v>
      </c>
      <c r="C425" s="8" t="s">
        <v>811</v>
      </c>
      <c r="D425" s="26" t="n">
        <v>0</v>
      </c>
      <c r="E425" s="26" t="n">
        <v>0</v>
      </c>
      <c r="F425" s="26" t="n">
        <v>1544.1</v>
      </c>
      <c r="G425" s="26" t="n">
        <v>0</v>
      </c>
      <c r="H425" s="26" t="n">
        <v>0</v>
      </c>
      <c r="I425" s="26" t="n">
        <v>4866.1</v>
      </c>
      <c r="J425" s="26" t="n">
        <v>0</v>
      </c>
      <c r="K425" s="26" t="n">
        <v>108.9</v>
      </c>
      <c r="L425" s="26" t="n">
        <v>0</v>
      </c>
      <c r="M425" s="26" t="n">
        <v>0</v>
      </c>
      <c r="N425" s="26" t="n">
        <v>0</v>
      </c>
      <c r="O425" s="26" t="n">
        <v>0</v>
      </c>
      <c r="P425" s="26" t="n">
        <v>-108.9</v>
      </c>
      <c r="Q425" s="26" t="n">
        <v>4430.4</v>
      </c>
      <c r="R425" s="26" t="n">
        <v>435.7</v>
      </c>
      <c r="S425" s="26" t="n">
        <v>0</v>
      </c>
      <c r="T425" s="26" t="n">
        <v>0</v>
      </c>
      <c r="U425" s="26" t="n">
        <v>0</v>
      </c>
    </row>
    <row r="426" customFormat="false" ht="15" hidden="false" customHeight="true" outlineLevel="0" collapsed="false">
      <c r="A426" s="8" t="s">
        <v>407</v>
      </c>
      <c r="B426" s="8" t="s">
        <v>176</v>
      </c>
      <c r="C426" s="8" t="s">
        <v>812</v>
      </c>
      <c r="D426" s="26" t="n">
        <v>0</v>
      </c>
      <c r="E426" s="26" t="n">
        <v>0</v>
      </c>
      <c r="F426" s="26" t="n">
        <v>339.6</v>
      </c>
      <c r="G426" s="26" t="n">
        <v>0</v>
      </c>
      <c r="H426" s="26" t="n">
        <v>0</v>
      </c>
      <c r="I426" s="26" t="n">
        <v>2253.7</v>
      </c>
      <c r="J426" s="26" t="n">
        <v>0</v>
      </c>
      <c r="K426" s="26" t="n">
        <v>0</v>
      </c>
      <c r="L426" s="26" t="n">
        <v>0</v>
      </c>
      <c r="M426" s="26" t="n">
        <v>0</v>
      </c>
      <c r="N426" s="26" t="n">
        <v>0</v>
      </c>
      <c r="O426" s="26" t="n">
        <v>0</v>
      </c>
      <c r="P426" s="26" t="n">
        <v>0</v>
      </c>
      <c r="Q426" s="26" t="n">
        <v>1926.9</v>
      </c>
      <c r="R426" s="26" t="n">
        <v>326.8</v>
      </c>
      <c r="S426" s="26" t="n">
        <v>0</v>
      </c>
      <c r="T426" s="26" t="n">
        <v>0</v>
      </c>
      <c r="U426" s="26" t="n">
        <v>0</v>
      </c>
    </row>
    <row r="427" customFormat="false" ht="15" hidden="false" customHeight="true" outlineLevel="0" collapsed="false">
      <c r="A427" s="8" t="s">
        <v>407</v>
      </c>
      <c r="B427" s="8" t="s">
        <v>176</v>
      </c>
      <c r="C427" s="8" t="s">
        <v>813</v>
      </c>
      <c r="D427" s="26" t="n">
        <v>0</v>
      </c>
      <c r="E427" s="26" t="n">
        <v>0</v>
      </c>
      <c r="F427" s="26" t="n">
        <v>236.2</v>
      </c>
      <c r="G427" s="26" t="n">
        <v>0</v>
      </c>
      <c r="H427" s="26" t="n">
        <v>0</v>
      </c>
      <c r="I427" s="26" t="n">
        <v>-101.1</v>
      </c>
      <c r="J427" s="26" t="n">
        <v>0</v>
      </c>
      <c r="K427" s="26" t="n">
        <v>0</v>
      </c>
      <c r="L427" s="26" t="n">
        <v>0</v>
      </c>
      <c r="M427" s="26" t="n">
        <v>0</v>
      </c>
      <c r="N427" s="26" t="n">
        <v>0</v>
      </c>
      <c r="O427" s="26" t="n">
        <v>0</v>
      </c>
      <c r="P427" s="26" t="n">
        <v>0</v>
      </c>
      <c r="Q427" s="26" t="n">
        <v>-101.1</v>
      </c>
      <c r="R427" s="26" t="n">
        <v>0</v>
      </c>
      <c r="S427" s="26" t="n">
        <v>0</v>
      </c>
      <c r="T427" s="26" t="n">
        <v>0</v>
      </c>
      <c r="U427" s="26" t="n">
        <v>0</v>
      </c>
    </row>
    <row r="428" customFormat="false" ht="15" hidden="false" customHeight="true" outlineLevel="0" collapsed="false">
      <c r="A428" s="8" t="s">
        <v>407</v>
      </c>
      <c r="B428" s="8" t="s">
        <v>297</v>
      </c>
      <c r="C428" s="8" t="s">
        <v>814</v>
      </c>
      <c r="D428" s="26" t="n">
        <v>0</v>
      </c>
      <c r="E428" s="26" t="n">
        <v>0</v>
      </c>
      <c r="F428" s="26" t="n">
        <v>0</v>
      </c>
      <c r="G428" s="26" t="n">
        <v>0</v>
      </c>
      <c r="H428" s="26" t="n">
        <v>0</v>
      </c>
      <c r="I428" s="26" t="n">
        <v>-85.7</v>
      </c>
      <c r="J428" s="26" t="n">
        <v>0</v>
      </c>
      <c r="K428" s="26" t="n">
        <v>0</v>
      </c>
      <c r="L428" s="26" t="n">
        <v>0</v>
      </c>
      <c r="M428" s="26" t="n">
        <v>0</v>
      </c>
      <c r="N428" s="26" t="n">
        <v>0</v>
      </c>
      <c r="O428" s="26" t="n">
        <v>0</v>
      </c>
      <c r="P428" s="26" t="n">
        <v>0</v>
      </c>
      <c r="Q428" s="26" t="n">
        <v>-85.7</v>
      </c>
      <c r="R428" s="26" t="n">
        <v>0</v>
      </c>
      <c r="S428" s="26" t="n">
        <v>0</v>
      </c>
      <c r="T428" s="26" t="n">
        <v>0</v>
      </c>
      <c r="U428" s="26" t="n">
        <v>0</v>
      </c>
    </row>
    <row r="429" customFormat="false" ht="15" hidden="false" customHeight="true" outlineLevel="0" collapsed="false">
      <c r="A429" s="8" t="s">
        <v>407</v>
      </c>
      <c r="B429" s="8" t="s">
        <v>297</v>
      </c>
      <c r="C429" s="8" t="s">
        <v>815</v>
      </c>
      <c r="D429" s="26" t="n">
        <v>0</v>
      </c>
      <c r="E429" s="26" t="n">
        <v>0</v>
      </c>
      <c r="F429" s="26" t="n">
        <v>14.8</v>
      </c>
      <c r="G429" s="26" t="n">
        <v>0</v>
      </c>
      <c r="H429" s="26" t="n">
        <v>0</v>
      </c>
      <c r="I429" s="26" t="n">
        <v>-389.8</v>
      </c>
      <c r="J429" s="26" t="n">
        <v>0</v>
      </c>
      <c r="K429" s="26" t="n">
        <v>0</v>
      </c>
      <c r="L429" s="26" t="n">
        <v>0</v>
      </c>
      <c r="M429" s="26" t="n">
        <v>0</v>
      </c>
      <c r="N429" s="26" t="n">
        <v>0</v>
      </c>
      <c r="O429" s="26" t="n">
        <v>0</v>
      </c>
      <c r="P429" s="26" t="n">
        <v>-297.7</v>
      </c>
      <c r="Q429" s="26" t="n">
        <v>-92.1</v>
      </c>
      <c r="R429" s="26" t="n">
        <v>0</v>
      </c>
      <c r="S429" s="26" t="n">
        <v>0</v>
      </c>
      <c r="T429" s="26" t="n">
        <v>0</v>
      </c>
      <c r="U429" s="26" t="n">
        <v>-148.1</v>
      </c>
    </row>
    <row r="430" customFormat="false" ht="15" hidden="false" customHeight="true" outlineLevel="0" collapsed="false">
      <c r="A430" s="8" t="s">
        <v>407</v>
      </c>
      <c r="B430" s="8" t="s">
        <v>297</v>
      </c>
      <c r="C430" s="8" t="s">
        <v>816</v>
      </c>
      <c r="D430" s="26" t="n">
        <v>0</v>
      </c>
      <c r="E430" s="26" t="n">
        <v>0</v>
      </c>
      <c r="F430" s="26" t="n">
        <v>0</v>
      </c>
      <c r="G430" s="26" t="n">
        <v>0</v>
      </c>
      <c r="H430" s="26" t="n">
        <v>0</v>
      </c>
      <c r="I430" s="26" t="n">
        <v>-1020.6</v>
      </c>
      <c r="J430" s="26" t="n">
        <v>0</v>
      </c>
      <c r="K430" s="26" t="n">
        <v>0</v>
      </c>
      <c r="L430" s="26" t="n">
        <v>0</v>
      </c>
      <c r="M430" s="26" t="n">
        <v>0</v>
      </c>
      <c r="N430" s="26" t="n">
        <v>0</v>
      </c>
      <c r="O430" s="26" t="n">
        <v>0</v>
      </c>
      <c r="P430" s="26" t="n">
        <v>-297.7</v>
      </c>
      <c r="Q430" s="26" t="n">
        <v>-921.4</v>
      </c>
      <c r="R430" s="26" t="n">
        <v>198.5</v>
      </c>
      <c r="S430" s="26" t="n">
        <v>0</v>
      </c>
      <c r="T430" s="26" t="n">
        <v>0</v>
      </c>
      <c r="U430" s="26" t="n">
        <v>0</v>
      </c>
    </row>
    <row r="431" customFormat="false" ht="15" hidden="false" customHeight="true" outlineLevel="0" collapsed="false">
      <c r="A431" s="8" t="s">
        <v>407</v>
      </c>
      <c r="B431" s="8" t="s">
        <v>297</v>
      </c>
      <c r="C431" s="8" t="s">
        <v>817</v>
      </c>
      <c r="D431" s="26" t="n">
        <v>0</v>
      </c>
      <c r="E431" s="26" t="n">
        <v>0</v>
      </c>
      <c r="F431" s="26" t="n">
        <v>0</v>
      </c>
      <c r="G431" s="26" t="n">
        <v>0</v>
      </c>
      <c r="H431" s="26" t="n">
        <v>0</v>
      </c>
      <c r="I431" s="26" t="n">
        <v>-99.2</v>
      </c>
      <c r="J431" s="26" t="n">
        <v>0</v>
      </c>
      <c r="K431" s="26" t="n">
        <v>0</v>
      </c>
      <c r="L431" s="26" t="n">
        <v>0</v>
      </c>
      <c r="M431" s="26" t="n">
        <v>0</v>
      </c>
      <c r="N431" s="26" t="n">
        <v>0</v>
      </c>
      <c r="O431" s="26" t="n">
        <v>0</v>
      </c>
      <c r="P431" s="26" t="n">
        <v>-99.2</v>
      </c>
      <c r="Q431" s="26" t="n">
        <v>0</v>
      </c>
      <c r="R431" s="26" t="n">
        <v>0</v>
      </c>
      <c r="S431" s="26" t="n">
        <v>0</v>
      </c>
      <c r="T431" s="26" t="n">
        <v>0</v>
      </c>
      <c r="U431" s="26" t="n">
        <v>0</v>
      </c>
    </row>
    <row r="432" customFormat="false" ht="15" hidden="false" customHeight="true" outlineLevel="0" collapsed="false">
      <c r="A432" s="8" t="s">
        <v>407</v>
      </c>
      <c r="B432" s="8" t="s">
        <v>172</v>
      </c>
      <c r="C432" s="8" t="s">
        <v>818</v>
      </c>
      <c r="D432" s="26" t="n">
        <v>0</v>
      </c>
      <c r="E432" s="26" t="n">
        <v>0</v>
      </c>
      <c r="F432" s="26" t="n">
        <v>999</v>
      </c>
      <c r="G432" s="26" t="n">
        <v>0</v>
      </c>
      <c r="H432" s="26" t="n">
        <v>0</v>
      </c>
      <c r="I432" s="26" t="n">
        <v>0</v>
      </c>
      <c r="J432" s="26" t="n">
        <v>0</v>
      </c>
      <c r="K432" s="26" t="n">
        <v>0</v>
      </c>
      <c r="L432" s="26" t="n">
        <v>0</v>
      </c>
      <c r="M432" s="26" t="n">
        <v>0</v>
      </c>
      <c r="N432" s="26" t="n">
        <v>0</v>
      </c>
      <c r="O432" s="26" t="n">
        <v>0</v>
      </c>
      <c r="P432" s="26" t="n">
        <v>0</v>
      </c>
      <c r="Q432" s="26" t="n">
        <v>0</v>
      </c>
      <c r="R432" s="26" t="n">
        <v>0</v>
      </c>
      <c r="S432" s="26" t="n">
        <v>0</v>
      </c>
      <c r="T432" s="26" t="n">
        <v>0</v>
      </c>
      <c r="U432" s="26" t="n">
        <v>0</v>
      </c>
    </row>
    <row r="433" customFormat="false" ht="15" hidden="false" customHeight="true" outlineLevel="0" collapsed="false">
      <c r="A433" s="8" t="s">
        <v>407</v>
      </c>
      <c r="B433" s="8" t="s">
        <v>354</v>
      </c>
      <c r="C433" s="8" t="s">
        <v>819</v>
      </c>
      <c r="D433" s="26" t="n">
        <v>0</v>
      </c>
      <c r="E433" s="26" t="n">
        <v>0</v>
      </c>
      <c r="F433" s="26" t="n">
        <v>159.1</v>
      </c>
      <c r="G433" s="26" t="n">
        <v>0</v>
      </c>
      <c r="H433" s="26" t="n">
        <v>0</v>
      </c>
      <c r="I433" s="26" t="n">
        <v>0</v>
      </c>
      <c r="J433" s="26" t="n">
        <v>0</v>
      </c>
      <c r="K433" s="26" t="n">
        <v>0</v>
      </c>
      <c r="L433" s="26" t="n">
        <v>0</v>
      </c>
      <c r="M433" s="26" t="n">
        <v>0</v>
      </c>
      <c r="N433" s="26" t="n">
        <v>0</v>
      </c>
      <c r="O433" s="26" t="n">
        <v>0</v>
      </c>
      <c r="P433" s="26" t="n">
        <v>0</v>
      </c>
      <c r="Q433" s="26" t="n">
        <v>0</v>
      </c>
      <c r="R433" s="26" t="n">
        <v>0</v>
      </c>
      <c r="S433" s="26" t="n">
        <v>0</v>
      </c>
      <c r="T433" s="26" t="n">
        <v>0</v>
      </c>
      <c r="U433" s="26" t="n">
        <v>0</v>
      </c>
    </row>
    <row r="434" customFormat="false" ht="15" hidden="false" customHeight="true" outlineLevel="0" collapsed="false">
      <c r="A434" s="8" t="s">
        <v>407</v>
      </c>
      <c r="B434" s="8" t="s">
        <v>248</v>
      </c>
      <c r="C434" s="8" t="s">
        <v>819</v>
      </c>
      <c r="D434" s="26" t="n">
        <v>0</v>
      </c>
      <c r="E434" s="26" t="n">
        <v>0</v>
      </c>
      <c r="F434" s="26" t="n">
        <v>417.2</v>
      </c>
      <c r="G434" s="26" t="n">
        <v>0</v>
      </c>
      <c r="H434" s="26" t="n">
        <v>0</v>
      </c>
      <c r="I434" s="26" t="n">
        <v>3357.2</v>
      </c>
      <c r="J434" s="26" t="n">
        <v>0</v>
      </c>
      <c r="K434" s="26" t="n">
        <v>785.4</v>
      </c>
      <c r="L434" s="26" t="n">
        <v>-15.4</v>
      </c>
      <c r="M434" s="26" t="n">
        <v>0</v>
      </c>
      <c r="N434" s="26" t="n">
        <v>0</v>
      </c>
      <c r="O434" s="26" t="n">
        <v>0</v>
      </c>
      <c r="P434" s="26" t="n">
        <v>-30.8</v>
      </c>
      <c r="Q434" s="26" t="n">
        <v>0</v>
      </c>
      <c r="R434" s="26" t="n">
        <v>2618</v>
      </c>
      <c r="S434" s="26" t="n">
        <v>0</v>
      </c>
      <c r="T434" s="26" t="n">
        <v>0</v>
      </c>
      <c r="U434" s="26" t="n">
        <v>0</v>
      </c>
    </row>
    <row r="435" customFormat="false" ht="15" hidden="false" customHeight="true" outlineLevel="0" collapsed="false">
      <c r="A435" s="8" t="s">
        <v>407</v>
      </c>
      <c r="B435" s="8" t="s">
        <v>356</v>
      </c>
      <c r="C435" s="8" t="s">
        <v>819</v>
      </c>
      <c r="D435" s="26" t="n">
        <v>0</v>
      </c>
      <c r="E435" s="26" t="n">
        <v>0</v>
      </c>
      <c r="F435" s="26" t="n">
        <v>613.6</v>
      </c>
      <c r="G435" s="26" t="n">
        <v>0</v>
      </c>
      <c r="H435" s="26" t="n">
        <v>0</v>
      </c>
      <c r="I435" s="26" t="n">
        <v>0</v>
      </c>
      <c r="J435" s="26" t="n">
        <v>0</v>
      </c>
      <c r="K435" s="26" t="n">
        <v>0</v>
      </c>
      <c r="L435" s="26" t="n">
        <v>0</v>
      </c>
      <c r="M435" s="26" t="n">
        <v>0</v>
      </c>
      <c r="N435" s="26" t="n">
        <v>0</v>
      </c>
      <c r="O435" s="26" t="n">
        <v>0</v>
      </c>
      <c r="P435" s="26" t="n">
        <v>0</v>
      </c>
      <c r="Q435" s="26" t="n">
        <v>0</v>
      </c>
      <c r="R435" s="26" t="n">
        <v>0</v>
      </c>
      <c r="S435" s="26" t="n">
        <v>0</v>
      </c>
      <c r="T435" s="26" t="n">
        <v>0</v>
      </c>
      <c r="U435" s="26" t="n">
        <v>0</v>
      </c>
    </row>
    <row r="436" customFormat="false" ht="15" hidden="false" customHeight="true" outlineLevel="0" collapsed="false">
      <c r="A436" s="8" t="s">
        <v>407</v>
      </c>
      <c r="B436" s="8" t="s">
        <v>269</v>
      </c>
      <c r="C436" s="8" t="s">
        <v>819</v>
      </c>
      <c r="D436" s="26" t="n">
        <v>0</v>
      </c>
      <c r="E436" s="26" t="n">
        <v>0</v>
      </c>
      <c r="F436" s="26" t="n">
        <v>118.8</v>
      </c>
      <c r="G436" s="26" t="n">
        <v>0</v>
      </c>
      <c r="H436" s="26" t="n">
        <v>0</v>
      </c>
      <c r="I436" s="26" t="n">
        <v>4342.8</v>
      </c>
      <c r="J436" s="26" t="n">
        <v>0</v>
      </c>
      <c r="K436" s="26" t="n">
        <v>554.4</v>
      </c>
      <c r="L436" s="26" t="n">
        <v>0</v>
      </c>
      <c r="M436" s="26" t="n">
        <v>0</v>
      </c>
      <c r="N436" s="26" t="n">
        <v>0</v>
      </c>
      <c r="O436" s="26" t="n">
        <v>0</v>
      </c>
      <c r="P436" s="26" t="n">
        <v>-30.8</v>
      </c>
      <c r="Q436" s="26" t="n">
        <v>0</v>
      </c>
      <c r="R436" s="26" t="n">
        <v>3819.2</v>
      </c>
      <c r="S436" s="26" t="n">
        <v>0</v>
      </c>
      <c r="T436" s="26" t="n">
        <v>0</v>
      </c>
      <c r="U436" s="26" t="n">
        <v>0</v>
      </c>
    </row>
    <row r="437" customFormat="false" ht="15" hidden="false" customHeight="true" outlineLevel="0" collapsed="false">
      <c r="A437" s="8" t="s">
        <v>407</v>
      </c>
      <c r="B437" s="8" t="s">
        <v>117</v>
      </c>
      <c r="C437" s="8" t="s">
        <v>820</v>
      </c>
      <c r="D437" s="26" t="n">
        <v>0</v>
      </c>
      <c r="E437" s="26" t="n">
        <v>0</v>
      </c>
      <c r="F437" s="26" t="n">
        <v>8838</v>
      </c>
      <c r="G437" s="26" t="n">
        <v>0</v>
      </c>
      <c r="H437" s="26" t="n">
        <v>0</v>
      </c>
      <c r="I437" s="26" t="n">
        <v>43432.7</v>
      </c>
      <c r="J437" s="26" t="n">
        <v>0</v>
      </c>
      <c r="K437" s="26" t="n">
        <v>1057.9</v>
      </c>
      <c r="L437" s="26" t="n">
        <v>0</v>
      </c>
      <c r="M437" s="26" t="n">
        <v>0</v>
      </c>
      <c r="N437" s="26" t="n">
        <v>0</v>
      </c>
      <c r="O437" s="26" t="n">
        <v>0</v>
      </c>
      <c r="P437" s="26" t="n">
        <v>-88.2</v>
      </c>
      <c r="Q437" s="26" t="n">
        <v>32148.2</v>
      </c>
      <c r="R437" s="26" t="n">
        <v>10314.7</v>
      </c>
      <c r="S437" s="26" t="n">
        <v>0</v>
      </c>
      <c r="T437" s="26" t="n">
        <v>0</v>
      </c>
      <c r="U437" s="26" t="n">
        <v>0</v>
      </c>
    </row>
    <row r="438" customFormat="false" ht="15" hidden="false" customHeight="true" outlineLevel="0" collapsed="false">
      <c r="A438" s="8" t="s">
        <v>407</v>
      </c>
      <c r="B438" s="8" t="s">
        <v>107</v>
      </c>
      <c r="C438" s="8" t="s">
        <v>820</v>
      </c>
      <c r="D438" s="26" t="n">
        <v>0</v>
      </c>
      <c r="E438" s="26" t="n">
        <v>0</v>
      </c>
      <c r="F438" s="26" t="n">
        <v>13057</v>
      </c>
      <c r="G438" s="26" t="n">
        <v>0</v>
      </c>
      <c r="H438" s="26" t="n">
        <v>0</v>
      </c>
      <c r="I438" s="26" t="n">
        <v>48495.6</v>
      </c>
      <c r="J438" s="26" t="n">
        <v>0</v>
      </c>
      <c r="K438" s="26" t="n">
        <v>0</v>
      </c>
      <c r="L438" s="26" t="n">
        <v>0</v>
      </c>
      <c r="M438" s="26" t="n">
        <v>0</v>
      </c>
      <c r="N438" s="26" t="n">
        <v>0</v>
      </c>
      <c r="O438" s="26" t="n">
        <v>0</v>
      </c>
      <c r="P438" s="26" t="n">
        <v>0</v>
      </c>
      <c r="Q438" s="26" t="n">
        <v>48495.6</v>
      </c>
      <c r="R438" s="26" t="n">
        <v>0</v>
      </c>
      <c r="S438" s="26" t="n">
        <v>0</v>
      </c>
      <c r="T438" s="26" t="n">
        <v>0</v>
      </c>
      <c r="U438" s="26" t="n">
        <v>0</v>
      </c>
    </row>
    <row r="439" customFormat="false" ht="15" hidden="false" customHeight="true" outlineLevel="0" collapsed="false">
      <c r="A439" s="8" t="s">
        <v>407</v>
      </c>
      <c r="B439" s="8" t="s">
        <v>118</v>
      </c>
      <c r="C439" s="8" t="s">
        <v>820</v>
      </c>
      <c r="D439" s="26" t="n">
        <v>0</v>
      </c>
      <c r="E439" s="26" t="n">
        <v>0</v>
      </c>
      <c r="F439" s="26" t="n">
        <v>15602.6</v>
      </c>
      <c r="G439" s="26" t="n">
        <v>0</v>
      </c>
      <c r="H439" s="26" t="n">
        <v>0</v>
      </c>
      <c r="I439" s="26" t="n">
        <v>49625.3</v>
      </c>
      <c r="J439" s="26" t="n">
        <v>0</v>
      </c>
      <c r="K439" s="26" t="n">
        <v>0</v>
      </c>
      <c r="L439" s="26" t="n">
        <v>0</v>
      </c>
      <c r="M439" s="26" t="n">
        <v>0</v>
      </c>
      <c r="N439" s="26" t="n">
        <v>0</v>
      </c>
      <c r="O439" s="26" t="n">
        <v>0</v>
      </c>
      <c r="P439" s="26" t="n">
        <v>-63.1</v>
      </c>
      <c r="Q439" s="26" t="n">
        <v>49688.4</v>
      </c>
      <c r="R439" s="26" t="n">
        <v>0</v>
      </c>
      <c r="S439" s="26" t="n">
        <v>0</v>
      </c>
      <c r="T439" s="26" t="n">
        <v>0</v>
      </c>
      <c r="U439" s="26" t="n">
        <v>0</v>
      </c>
    </row>
    <row r="440" customFormat="false" ht="15" hidden="false" customHeight="true" outlineLevel="0" collapsed="false">
      <c r="A440" s="8" t="s">
        <v>407</v>
      </c>
      <c r="B440" s="8" t="s">
        <v>126</v>
      </c>
      <c r="C440" s="8" t="s">
        <v>820</v>
      </c>
      <c r="D440" s="26" t="n">
        <v>0</v>
      </c>
      <c r="E440" s="26" t="n">
        <v>0</v>
      </c>
      <c r="F440" s="26" t="n">
        <v>12113.8</v>
      </c>
      <c r="G440" s="26" t="n">
        <v>0</v>
      </c>
      <c r="H440" s="26" t="n">
        <v>0</v>
      </c>
      <c r="I440" s="26" t="n">
        <v>45598.1</v>
      </c>
      <c r="J440" s="26" t="n">
        <v>0</v>
      </c>
      <c r="K440" s="26" t="n">
        <v>0</v>
      </c>
      <c r="L440" s="26" t="n">
        <v>0</v>
      </c>
      <c r="M440" s="26" t="n">
        <v>0</v>
      </c>
      <c r="N440" s="26" t="n">
        <v>0</v>
      </c>
      <c r="O440" s="26" t="n">
        <v>0</v>
      </c>
      <c r="P440" s="26" t="n">
        <v>0</v>
      </c>
      <c r="Q440" s="26" t="n">
        <v>45598.1</v>
      </c>
      <c r="R440" s="26" t="n">
        <v>0</v>
      </c>
      <c r="S440" s="26" t="n">
        <v>0</v>
      </c>
      <c r="T440" s="26" t="n">
        <v>0</v>
      </c>
      <c r="U440" s="26" t="n">
        <v>0</v>
      </c>
    </row>
    <row r="441" customFormat="false" ht="15" hidden="false" customHeight="true" outlineLevel="0" collapsed="false">
      <c r="A441" s="8" t="s">
        <v>407</v>
      </c>
      <c r="B441" s="8" t="s">
        <v>84</v>
      </c>
      <c r="C441" s="8" t="s">
        <v>821</v>
      </c>
      <c r="D441" s="26" t="n">
        <v>0</v>
      </c>
      <c r="E441" s="26" t="n">
        <v>0</v>
      </c>
      <c r="F441" s="26" t="n">
        <v>7922.4</v>
      </c>
      <c r="G441" s="26" t="n">
        <v>0</v>
      </c>
      <c r="H441" s="26" t="n">
        <v>0</v>
      </c>
      <c r="I441" s="26" t="n">
        <v>30165.7</v>
      </c>
      <c r="J441" s="26" t="n">
        <v>0</v>
      </c>
      <c r="K441" s="26" t="n">
        <v>1311.8</v>
      </c>
      <c r="L441" s="26" t="n">
        <v>0</v>
      </c>
      <c r="M441" s="26" t="n">
        <v>0</v>
      </c>
      <c r="N441" s="26" t="n">
        <v>276.9</v>
      </c>
      <c r="O441" s="26" t="n">
        <v>87.5</v>
      </c>
      <c r="P441" s="26" t="n">
        <v>-560.1</v>
      </c>
      <c r="Q441" s="26" t="n">
        <v>22578.4</v>
      </c>
      <c r="R441" s="26" t="n">
        <v>6471.3</v>
      </c>
      <c r="S441" s="26" t="n">
        <v>0</v>
      </c>
      <c r="T441" s="26" t="n">
        <v>0</v>
      </c>
      <c r="U441" s="26" t="n">
        <v>0</v>
      </c>
    </row>
    <row r="442" customFormat="false" ht="15" hidden="false" customHeight="true" outlineLevel="0" collapsed="false">
      <c r="A442" s="8" t="s">
        <v>407</v>
      </c>
      <c r="B442" s="8" t="s">
        <v>81</v>
      </c>
      <c r="C442" s="8" t="s">
        <v>822</v>
      </c>
      <c r="D442" s="26" t="n">
        <v>0</v>
      </c>
      <c r="E442" s="26" t="n">
        <v>0</v>
      </c>
      <c r="F442" s="26" t="n">
        <v>34103.6</v>
      </c>
      <c r="G442" s="26" t="n">
        <v>0</v>
      </c>
      <c r="H442" s="26" t="n">
        <v>307.6</v>
      </c>
      <c r="I442" s="26" t="n">
        <v>11645.3</v>
      </c>
      <c r="J442" s="26" t="n">
        <v>0</v>
      </c>
      <c r="K442" s="26" t="n">
        <v>1378.2</v>
      </c>
      <c r="L442" s="26" t="n">
        <v>-328.2</v>
      </c>
      <c r="M442" s="26" t="n">
        <v>637.8</v>
      </c>
      <c r="N442" s="26" t="n">
        <v>-1062.9</v>
      </c>
      <c r="O442" s="26" t="n">
        <v>196.9</v>
      </c>
      <c r="P442" s="26" t="n">
        <v>-1383.7</v>
      </c>
      <c r="Q442" s="26" t="n">
        <v>0</v>
      </c>
      <c r="R442" s="26" t="n">
        <v>12207.2</v>
      </c>
      <c r="S442" s="26" t="n">
        <v>0</v>
      </c>
      <c r="T442" s="26" t="n">
        <v>0</v>
      </c>
      <c r="U442" s="26" t="n">
        <v>-189.9</v>
      </c>
    </row>
    <row r="443" customFormat="false" ht="15" hidden="false" customHeight="true" outlineLevel="0" collapsed="false">
      <c r="A443" s="8" t="s">
        <v>407</v>
      </c>
      <c r="B443" s="8" t="s">
        <v>113</v>
      </c>
      <c r="C443" s="8" t="s">
        <v>823</v>
      </c>
      <c r="D443" s="26" t="n">
        <v>0</v>
      </c>
      <c r="E443" s="26" t="n">
        <v>0</v>
      </c>
      <c r="F443" s="26" t="n">
        <v>6434.6</v>
      </c>
      <c r="G443" s="26" t="n">
        <v>0</v>
      </c>
      <c r="H443" s="26" t="n">
        <v>0</v>
      </c>
      <c r="I443" s="26" t="n">
        <v>31376.7</v>
      </c>
      <c r="J443" s="26" t="n">
        <v>0</v>
      </c>
      <c r="K443" s="26" t="n">
        <v>194.3</v>
      </c>
      <c r="L443" s="26" t="n">
        <v>0</v>
      </c>
      <c r="M443" s="26" t="n">
        <v>0</v>
      </c>
      <c r="N443" s="26" t="n">
        <v>0</v>
      </c>
      <c r="O443" s="26" t="n">
        <v>29.7</v>
      </c>
      <c r="P443" s="26" t="n">
        <v>-285.5</v>
      </c>
      <c r="Q443" s="26" t="n">
        <v>28021.7</v>
      </c>
      <c r="R443" s="26" t="n">
        <v>3416.5</v>
      </c>
      <c r="S443" s="26" t="n">
        <v>0</v>
      </c>
      <c r="T443" s="26" t="n">
        <v>0</v>
      </c>
      <c r="U443" s="26" t="n">
        <v>0</v>
      </c>
    </row>
    <row r="444" customFormat="false" ht="15" hidden="false" customHeight="true" outlineLevel="0" collapsed="false">
      <c r="A444" s="8" t="s">
        <v>407</v>
      </c>
      <c r="B444" s="8" t="s">
        <v>113</v>
      </c>
      <c r="C444" s="8" t="s">
        <v>824</v>
      </c>
      <c r="D444" s="26" t="n">
        <v>0</v>
      </c>
      <c r="E444" s="26" t="n">
        <v>0</v>
      </c>
      <c r="F444" s="26" t="n">
        <v>4343.9</v>
      </c>
      <c r="G444" s="26" t="n">
        <v>0</v>
      </c>
      <c r="H444" s="26" t="n">
        <v>0</v>
      </c>
      <c r="I444" s="26" t="n">
        <v>21827.5</v>
      </c>
      <c r="J444" s="26" t="n">
        <v>0</v>
      </c>
      <c r="K444" s="26" t="n">
        <v>166.6</v>
      </c>
      <c r="L444" s="26" t="n">
        <v>0</v>
      </c>
      <c r="M444" s="26" t="n">
        <v>0</v>
      </c>
      <c r="N444" s="26" t="n">
        <v>0</v>
      </c>
      <c r="O444" s="26" t="n">
        <v>29.7</v>
      </c>
      <c r="P444" s="26" t="n">
        <v>-168.5</v>
      </c>
      <c r="Q444" s="26" t="n">
        <v>18857.2</v>
      </c>
      <c r="R444" s="26" t="n">
        <v>2942.6</v>
      </c>
      <c r="S444" s="26" t="n">
        <v>0</v>
      </c>
      <c r="T444" s="26" t="n">
        <v>0</v>
      </c>
      <c r="U444" s="26" t="n">
        <v>0</v>
      </c>
    </row>
    <row r="445" customFormat="false" ht="15" hidden="false" customHeight="true" outlineLevel="0" collapsed="false">
      <c r="A445" s="8" t="s">
        <v>407</v>
      </c>
      <c r="B445" s="8" t="s">
        <v>113</v>
      </c>
      <c r="C445" s="8" t="s">
        <v>825</v>
      </c>
      <c r="D445" s="26" t="n">
        <v>0</v>
      </c>
      <c r="E445" s="26" t="n">
        <v>0</v>
      </c>
      <c r="F445" s="26" t="n">
        <v>4633.6</v>
      </c>
      <c r="G445" s="26" t="n">
        <v>0</v>
      </c>
      <c r="H445" s="26" t="n">
        <v>0</v>
      </c>
      <c r="I445" s="26" t="n">
        <v>24424.2</v>
      </c>
      <c r="J445" s="26" t="n">
        <v>0</v>
      </c>
      <c r="K445" s="26" t="n">
        <v>166.6</v>
      </c>
      <c r="L445" s="26" t="n">
        <v>0</v>
      </c>
      <c r="M445" s="26" t="n">
        <v>0</v>
      </c>
      <c r="N445" s="26" t="n">
        <v>0</v>
      </c>
      <c r="O445" s="26" t="n">
        <v>0</v>
      </c>
      <c r="P445" s="26" t="n">
        <v>-168.5</v>
      </c>
      <c r="Q445" s="26" t="n">
        <v>21400.4</v>
      </c>
      <c r="R445" s="26" t="n">
        <v>3025.8</v>
      </c>
      <c r="S445" s="26" t="n">
        <v>0</v>
      </c>
      <c r="T445" s="26" t="n">
        <v>0</v>
      </c>
      <c r="U445" s="26" t="n">
        <v>0</v>
      </c>
    </row>
    <row r="446" customFormat="false" ht="15" hidden="false" customHeight="true" outlineLevel="0" collapsed="false">
      <c r="A446" s="8" t="s">
        <v>407</v>
      </c>
      <c r="B446" s="8" t="s">
        <v>113</v>
      </c>
      <c r="C446" s="8" t="s">
        <v>826</v>
      </c>
      <c r="D446" s="26" t="n">
        <v>0</v>
      </c>
      <c r="E446" s="26" t="n">
        <v>0</v>
      </c>
      <c r="F446" s="26" t="n">
        <v>1476.2</v>
      </c>
      <c r="G446" s="26" t="n">
        <v>0</v>
      </c>
      <c r="H446" s="26" t="n">
        <v>0</v>
      </c>
      <c r="I446" s="26" t="n">
        <v>10232.5</v>
      </c>
      <c r="J446" s="26" t="n">
        <v>0</v>
      </c>
      <c r="K446" s="26" t="n">
        <v>83.3</v>
      </c>
      <c r="L446" s="26" t="n">
        <v>0</v>
      </c>
      <c r="M446" s="26" t="n">
        <v>0</v>
      </c>
      <c r="N446" s="26" t="n">
        <v>0</v>
      </c>
      <c r="O446" s="26" t="n">
        <v>0</v>
      </c>
      <c r="P446" s="26" t="n">
        <v>-224.1</v>
      </c>
      <c r="Q446" s="26" t="n">
        <v>8929.8</v>
      </c>
      <c r="R446" s="26" t="n">
        <v>1443.5</v>
      </c>
      <c r="S446" s="26" t="n">
        <v>0</v>
      </c>
      <c r="T446" s="26" t="n">
        <v>0</v>
      </c>
      <c r="U446" s="26" t="n">
        <v>0</v>
      </c>
    </row>
    <row r="447" customFormat="false" ht="15" hidden="false" customHeight="true" outlineLevel="0" collapsed="false">
      <c r="A447" s="8" t="s">
        <v>407</v>
      </c>
      <c r="B447" s="8" t="s">
        <v>113</v>
      </c>
      <c r="C447" s="8" t="s">
        <v>827</v>
      </c>
      <c r="D447" s="26" t="n">
        <v>0</v>
      </c>
      <c r="E447" s="26" t="n">
        <v>0</v>
      </c>
      <c r="F447" s="26" t="n">
        <v>351.9</v>
      </c>
      <c r="G447" s="26" t="n">
        <v>0</v>
      </c>
      <c r="H447" s="26" t="n">
        <v>0</v>
      </c>
      <c r="I447" s="26" t="n">
        <v>1221.4</v>
      </c>
      <c r="J447" s="26" t="n">
        <v>0</v>
      </c>
      <c r="K447" s="26" t="n">
        <v>111</v>
      </c>
      <c r="L447" s="26" t="n">
        <v>0</v>
      </c>
      <c r="M447" s="26" t="n">
        <v>0</v>
      </c>
      <c r="N447" s="26" t="n">
        <v>0</v>
      </c>
      <c r="O447" s="26" t="n">
        <v>0</v>
      </c>
      <c r="P447" s="26" t="n">
        <v>-83.3</v>
      </c>
      <c r="Q447" s="26" t="n">
        <v>0</v>
      </c>
      <c r="R447" s="26" t="n">
        <v>1193.7</v>
      </c>
      <c r="S447" s="26" t="n">
        <v>0</v>
      </c>
      <c r="T447" s="26" t="n">
        <v>0</v>
      </c>
      <c r="U447" s="26" t="n">
        <v>0</v>
      </c>
    </row>
    <row r="448" customFormat="false" ht="15" hidden="false" customHeight="true" outlineLevel="0" collapsed="false">
      <c r="A448" s="8" t="s">
        <v>407</v>
      </c>
      <c r="B448" s="8" t="s">
        <v>113</v>
      </c>
      <c r="C448" s="8" t="s">
        <v>828</v>
      </c>
      <c r="D448" s="26" t="n">
        <v>0</v>
      </c>
      <c r="E448" s="26" t="n">
        <v>0</v>
      </c>
      <c r="F448" s="26" t="n">
        <v>179.2</v>
      </c>
      <c r="G448" s="26" t="n">
        <v>0</v>
      </c>
      <c r="H448" s="26" t="n">
        <v>0</v>
      </c>
      <c r="I448" s="26" t="n">
        <v>0</v>
      </c>
      <c r="J448" s="26" t="n">
        <v>0</v>
      </c>
      <c r="K448" s="26" t="n">
        <v>0</v>
      </c>
      <c r="L448" s="26" t="n">
        <v>0</v>
      </c>
      <c r="M448" s="26" t="n">
        <v>0</v>
      </c>
      <c r="N448" s="26" t="n">
        <v>0</v>
      </c>
      <c r="O448" s="26" t="n">
        <v>0</v>
      </c>
      <c r="P448" s="26" t="n">
        <v>0</v>
      </c>
      <c r="Q448" s="26" t="n">
        <v>0</v>
      </c>
      <c r="R448" s="26" t="n">
        <v>0</v>
      </c>
      <c r="S448" s="26" t="n">
        <v>0</v>
      </c>
      <c r="T448" s="26" t="n">
        <v>0</v>
      </c>
      <c r="U448" s="26" t="n">
        <v>0</v>
      </c>
    </row>
    <row r="449" customFormat="false" ht="15" hidden="false" customHeight="true" outlineLevel="0" collapsed="false">
      <c r="A449" s="8" t="s">
        <v>407</v>
      </c>
      <c r="B449" s="8" t="s">
        <v>127</v>
      </c>
      <c r="C449" s="8" t="s">
        <v>829</v>
      </c>
      <c r="D449" s="26" t="n">
        <v>0</v>
      </c>
      <c r="E449" s="26" t="n">
        <v>0</v>
      </c>
      <c r="F449" s="26" t="n">
        <v>12298.4</v>
      </c>
      <c r="G449" s="26" t="n">
        <v>0</v>
      </c>
      <c r="H449" s="26" t="n">
        <v>0</v>
      </c>
      <c r="I449" s="26" t="n">
        <v>68574.3</v>
      </c>
      <c r="J449" s="26" t="n">
        <v>0</v>
      </c>
      <c r="K449" s="26" t="n">
        <v>486.2</v>
      </c>
      <c r="L449" s="26" t="n">
        <v>-37.4</v>
      </c>
      <c r="M449" s="26" t="n">
        <v>120.8</v>
      </c>
      <c r="N449" s="26" t="n">
        <v>120.8</v>
      </c>
      <c r="O449" s="26" t="n">
        <v>160.3</v>
      </c>
      <c r="P449" s="26" t="n">
        <v>-112.2</v>
      </c>
      <c r="Q449" s="26" t="n">
        <v>63005.9</v>
      </c>
      <c r="R449" s="26" t="n">
        <v>4829.9</v>
      </c>
      <c r="S449" s="26" t="n">
        <v>0</v>
      </c>
      <c r="T449" s="26" t="n">
        <v>0</v>
      </c>
      <c r="U449" s="26" t="n">
        <v>0</v>
      </c>
    </row>
    <row r="450" customFormat="false" ht="15" hidden="false" customHeight="true" outlineLevel="0" collapsed="false">
      <c r="A450" s="8" t="s">
        <v>407</v>
      </c>
      <c r="B450" s="8" t="s">
        <v>306</v>
      </c>
      <c r="C450" s="8" t="s">
        <v>830</v>
      </c>
      <c r="D450" s="26" t="n">
        <v>0</v>
      </c>
      <c r="E450" s="26" t="n">
        <v>0</v>
      </c>
      <c r="F450" s="26" t="n">
        <v>1511.3</v>
      </c>
      <c r="G450" s="26" t="n">
        <v>0</v>
      </c>
      <c r="H450" s="26" t="n">
        <v>31.4</v>
      </c>
      <c r="I450" s="26" t="n">
        <v>2792.2</v>
      </c>
      <c r="J450" s="26" t="n">
        <v>0</v>
      </c>
      <c r="K450" s="26" t="n">
        <v>137.6</v>
      </c>
      <c r="L450" s="26" t="n">
        <v>-82.6</v>
      </c>
      <c r="M450" s="26" t="n">
        <v>0</v>
      </c>
      <c r="N450" s="26" t="n">
        <v>176.9</v>
      </c>
      <c r="O450" s="26" t="n">
        <v>0</v>
      </c>
      <c r="P450" s="26" t="n">
        <v>-192.6</v>
      </c>
      <c r="Q450" s="26" t="n">
        <v>2147.5</v>
      </c>
      <c r="R450" s="26" t="n">
        <v>605.4</v>
      </c>
      <c r="S450" s="26" t="n">
        <v>0</v>
      </c>
      <c r="T450" s="26" t="n">
        <v>0</v>
      </c>
      <c r="U450" s="26" t="n">
        <v>0</v>
      </c>
    </row>
    <row r="451" customFormat="false" ht="15" hidden="false" customHeight="true" outlineLevel="0" collapsed="false">
      <c r="A451" s="8" t="s">
        <v>407</v>
      </c>
      <c r="B451" s="8" t="s">
        <v>81</v>
      </c>
      <c r="C451" s="8" t="s">
        <v>831</v>
      </c>
      <c r="D451" s="26" t="n">
        <v>0</v>
      </c>
      <c r="E451" s="26" t="n">
        <v>0</v>
      </c>
      <c r="F451" s="26" t="n">
        <v>15765.3</v>
      </c>
      <c r="G451" s="26" t="n">
        <v>0</v>
      </c>
      <c r="H451" s="26" t="n">
        <v>0</v>
      </c>
      <c r="I451" s="26" t="n">
        <v>6878</v>
      </c>
      <c r="J451" s="26" t="n">
        <v>0</v>
      </c>
      <c r="K451" s="26" t="n">
        <v>590.7</v>
      </c>
      <c r="L451" s="26" t="n">
        <v>-262.5</v>
      </c>
      <c r="M451" s="26" t="n">
        <v>212.6</v>
      </c>
      <c r="N451" s="26" t="n">
        <v>283.4</v>
      </c>
      <c r="O451" s="26" t="n">
        <v>0</v>
      </c>
      <c r="P451" s="26" t="n">
        <v>-1165.5</v>
      </c>
      <c r="Q451" s="26" t="n">
        <v>0</v>
      </c>
      <c r="R451" s="26" t="n">
        <v>7219.3</v>
      </c>
      <c r="S451" s="26" t="n">
        <v>0</v>
      </c>
      <c r="T451" s="26" t="n">
        <v>0</v>
      </c>
      <c r="U451" s="26" t="n">
        <v>0</v>
      </c>
    </row>
    <row r="452" customFormat="false" ht="15" hidden="false" customHeight="true" outlineLevel="0" collapsed="false">
      <c r="A452" s="8" t="s">
        <v>407</v>
      </c>
      <c r="B452" s="8" t="s">
        <v>194</v>
      </c>
      <c r="C452" s="8" t="s">
        <v>832</v>
      </c>
      <c r="D452" s="26" t="n">
        <v>0</v>
      </c>
      <c r="E452" s="26" t="n">
        <v>0</v>
      </c>
      <c r="F452" s="26" t="n">
        <v>1256.9</v>
      </c>
      <c r="G452" s="26" t="n">
        <v>0</v>
      </c>
      <c r="H452" s="26" t="n">
        <v>0</v>
      </c>
      <c r="I452" s="26" t="n">
        <v>38220.3</v>
      </c>
      <c r="J452" s="26" t="n">
        <v>0</v>
      </c>
      <c r="K452" s="26" t="n">
        <v>0</v>
      </c>
      <c r="L452" s="26" t="n">
        <v>0</v>
      </c>
      <c r="M452" s="26" t="n">
        <v>0</v>
      </c>
      <c r="N452" s="26" t="n">
        <v>0</v>
      </c>
      <c r="O452" s="26" t="n">
        <v>0</v>
      </c>
      <c r="P452" s="26" t="n">
        <v>0</v>
      </c>
      <c r="Q452" s="26" t="n">
        <v>38220.3</v>
      </c>
      <c r="R452" s="26" t="n">
        <v>0</v>
      </c>
      <c r="S452" s="26" t="n">
        <v>0</v>
      </c>
      <c r="T452" s="26" t="n">
        <v>0</v>
      </c>
      <c r="U452" s="26" t="n">
        <v>0</v>
      </c>
    </row>
    <row r="453" customFormat="false" ht="15" hidden="false" customHeight="true" outlineLevel="0" collapsed="false">
      <c r="A453" s="8" t="s">
        <v>407</v>
      </c>
      <c r="B453" s="8" t="s">
        <v>194</v>
      </c>
      <c r="C453" s="8" t="s">
        <v>833</v>
      </c>
      <c r="D453" s="26" t="n">
        <v>0</v>
      </c>
      <c r="E453" s="26" t="n">
        <v>0</v>
      </c>
      <c r="F453" s="26" t="n">
        <v>3323.9</v>
      </c>
      <c r="G453" s="26" t="n">
        <v>0</v>
      </c>
      <c r="H453" s="26" t="n">
        <v>0</v>
      </c>
      <c r="I453" s="26" t="n">
        <v>86595.2</v>
      </c>
      <c r="J453" s="26" t="n">
        <v>0</v>
      </c>
      <c r="K453" s="26" t="n">
        <v>0</v>
      </c>
      <c r="L453" s="26" t="n">
        <v>0</v>
      </c>
      <c r="M453" s="26" t="n">
        <v>0</v>
      </c>
      <c r="N453" s="26" t="n">
        <v>0</v>
      </c>
      <c r="O453" s="26" t="n">
        <v>0</v>
      </c>
      <c r="P453" s="26" t="n">
        <v>0</v>
      </c>
      <c r="Q453" s="26" t="n">
        <v>86595.2</v>
      </c>
      <c r="R453" s="26" t="n">
        <v>0</v>
      </c>
      <c r="S453" s="26" t="n">
        <v>0</v>
      </c>
      <c r="T453" s="26" t="n">
        <v>0</v>
      </c>
      <c r="U453" s="26" t="n">
        <v>0</v>
      </c>
    </row>
    <row r="454" customFormat="false" ht="15" hidden="false" customHeight="true" outlineLevel="0" collapsed="false">
      <c r="A454" s="8" t="s">
        <v>407</v>
      </c>
      <c r="B454" s="8" t="s">
        <v>194</v>
      </c>
      <c r="C454" s="8" t="s">
        <v>834</v>
      </c>
      <c r="D454" s="26" t="n">
        <v>0</v>
      </c>
      <c r="E454" s="26" t="n">
        <v>0</v>
      </c>
      <c r="F454" s="26" t="n">
        <v>3606.2</v>
      </c>
      <c r="G454" s="26" t="n">
        <v>0</v>
      </c>
      <c r="H454" s="26" t="n">
        <v>0</v>
      </c>
      <c r="I454" s="26" t="n">
        <v>82929.1</v>
      </c>
      <c r="J454" s="26" t="n">
        <v>0</v>
      </c>
      <c r="K454" s="26" t="n">
        <v>0</v>
      </c>
      <c r="L454" s="26" t="n">
        <v>0</v>
      </c>
      <c r="M454" s="26" t="n">
        <v>0</v>
      </c>
      <c r="N454" s="26" t="n">
        <v>0</v>
      </c>
      <c r="O454" s="26" t="n">
        <v>0</v>
      </c>
      <c r="P454" s="26" t="n">
        <v>0</v>
      </c>
      <c r="Q454" s="26" t="n">
        <v>82929.1</v>
      </c>
      <c r="R454" s="26" t="n">
        <v>0</v>
      </c>
      <c r="S454" s="26" t="n">
        <v>0</v>
      </c>
      <c r="T454" s="26" t="n">
        <v>0</v>
      </c>
      <c r="U454" s="26" t="n">
        <v>0</v>
      </c>
    </row>
    <row r="455" customFormat="false" ht="15" hidden="false" customHeight="true" outlineLevel="0" collapsed="false">
      <c r="A455" s="8" t="s">
        <v>407</v>
      </c>
      <c r="B455" s="8" t="s">
        <v>194</v>
      </c>
      <c r="C455" s="8" t="s">
        <v>835</v>
      </c>
      <c r="D455" s="26" t="n">
        <v>0</v>
      </c>
      <c r="E455" s="26" t="n">
        <v>0</v>
      </c>
      <c r="F455" s="26" t="n">
        <v>3709.6</v>
      </c>
      <c r="G455" s="26" t="n">
        <v>0</v>
      </c>
      <c r="H455" s="26" t="n">
        <v>0</v>
      </c>
      <c r="I455" s="26" t="n">
        <v>71479.1</v>
      </c>
      <c r="J455" s="26" t="n">
        <v>0</v>
      </c>
      <c r="K455" s="26" t="n">
        <v>0</v>
      </c>
      <c r="L455" s="26" t="n">
        <v>0</v>
      </c>
      <c r="M455" s="26" t="n">
        <v>0</v>
      </c>
      <c r="N455" s="26" t="n">
        <v>0</v>
      </c>
      <c r="O455" s="26" t="n">
        <v>0</v>
      </c>
      <c r="P455" s="26" t="n">
        <v>0</v>
      </c>
      <c r="Q455" s="26" t="n">
        <v>71479.1</v>
      </c>
      <c r="R455" s="26" t="n">
        <v>0</v>
      </c>
      <c r="S455" s="26" t="n">
        <v>0</v>
      </c>
      <c r="T455" s="26" t="n">
        <v>0</v>
      </c>
      <c r="U455" s="26" t="n">
        <v>0</v>
      </c>
    </row>
    <row r="456" customFormat="false" ht="15" hidden="false" customHeight="true" outlineLevel="0" collapsed="false">
      <c r="A456" s="8" t="s">
        <v>407</v>
      </c>
      <c r="B456" s="8" t="s">
        <v>194</v>
      </c>
      <c r="C456" s="8" t="s">
        <v>836</v>
      </c>
      <c r="D456" s="26" t="n">
        <v>0</v>
      </c>
      <c r="E456" s="26" t="n">
        <v>0</v>
      </c>
      <c r="F456" s="26" t="n">
        <v>1579.8</v>
      </c>
      <c r="G456" s="26" t="n">
        <v>0</v>
      </c>
      <c r="H456" s="26" t="n">
        <v>0</v>
      </c>
      <c r="I456" s="26" t="n">
        <v>11165</v>
      </c>
      <c r="J456" s="26" t="n">
        <v>0</v>
      </c>
      <c r="K456" s="26" t="n">
        <v>0</v>
      </c>
      <c r="L456" s="26" t="n">
        <v>0</v>
      </c>
      <c r="M456" s="26" t="n">
        <v>0</v>
      </c>
      <c r="N456" s="26" t="n">
        <v>0</v>
      </c>
      <c r="O456" s="26" t="n">
        <v>0</v>
      </c>
      <c r="P456" s="26" t="n">
        <v>0</v>
      </c>
      <c r="Q456" s="26" t="n">
        <v>11165</v>
      </c>
      <c r="R456" s="26" t="n">
        <v>0</v>
      </c>
      <c r="S456" s="26" t="n">
        <v>33.5</v>
      </c>
      <c r="T456" s="26" t="n">
        <v>0</v>
      </c>
      <c r="U456" s="26" t="n">
        <v>0</v>
      </c>
    </row>
    <row r="457" customFormat="false" ht="15" hidden="false" customHeight="true" outlineLevel="0" collapsed="false">
      <c r="A457" s="8" t="s">
        <v>407</v>
      </c>
      <c r="B457" s="8" t="s">
        <v>78</v>
      </c>
      <c r="C457" s="8" t="s">
        <v>837</v>
      </c>
      <c r="D457" s="26" t="n">
        <v>0</v>
      </c>
      <c r="E457" s="26" t="n">
        <v>0</v>
      </c>
      <c r="F457" s="26" t="n">
        <v>-37.8</v>
      </c>
      <c r="G457" s="26" t="n">
        <v>0</v>
      </c>
      <c r="H457" s="26" t="n">
        <v>0</v>
      </c>
      <c r="I457" s="26" t="n">
        <v>0</v>
      </c>
      <c r="J457" s="26" t="n">
        <v>0</v>
      </c>
      <c r="K457" s="26" t="n">
        <v>0</v>
      </c>
      <c r="L457" s="26" t="n">
        <v>0</v>
      </c>
      <c r="M457" s="26" t="n">
        <v>0</v>
      </c>
      <c r="N457" s="26" t="n">
        <v>0</v>
      </c>
      <c r="O457" s="26" t="n">
        <v>0</v>
      </c>
      <c r="P457" s="26" t="n">
        <v>0</v>
      </c>
      <c r="Q457" s="26" t="n">
        <v>0</v>
      </c>
      <c r="R457" s="26" t="n">
        <v>0</v>
      </c>
      <c r="S457" s="26" t="n">
        <v>0</v>
      </c>
      <c r="T457" s="26" t="n">
        <v>0</v>
      </c>
      <c r="U457" s="26" t="n">
        <v>0</v>
      </c>
    </row>
    <row r="458" customFormat="false" ht="15" hidden="false" customHeight="true" outlineLevel="0" collapsed="false">
      <c r="A458" s="8" t="s">
        <v>407</v>
      </c>
      <c r="B458" s="8" t="s">
        <v>310</v>
      </c>
      <c r="C458" s="8" t="s">
        <v>838</v>
      </c>
      <c r="D458" s="26" t="n">
        <v>0</v>
      </c>
      <c r="E458" s="26" t="n">
        <v>0</v>
      </c>
      <c r="F458" s="26" t="n">
        <v>-165.4</v>
      </c>
      <c r="G458" s="26" t="n">
        <v>0</v>
      </c>
      <c r="H458" s="26" t="n">
        <v>0</v>
      </c>
      <c r="I458" s="26" t="n">
        <v>0</v>
      </c>
      <c r="J458" s="26" t="n">
        <v>0</v>
      </c>
      <c r="K458" s="26" t="n">
        <v>0</v>
      </c>
      <c r="L458" s="26" t="n">
        <v>0</v>
      </c>
      <c r="M458" s="26" t="n">
        <v>0</v>
      </c>
      <c r="N458" s="26" t="n">
        <v>0</v>
      </c>
      <c r="O458" s="26" t="n">
        <v>0</v>
      </c>
      <c r="P458" s="26" t="n">
        <v>0</v>
      </c>
      <c r="Q458" s="26" t="n">
        <v>0</v>
      </c>
      <c r="R458" s="26" t="n">
        <v>0</v>
      </c>
      <c r="S458" s="26" t="n">
        <v>0</v>
      </c>
      <c r="T458" s="26" t="n">
        <v>0</v>
      </c>
      <c r="U458" s="26" t="n">
        <v>0</v>
      </c>
    </row>
    <row r="459" customFormat="false" ht="15" hidden="false" customHeight="true" outlineLevel="0" collapsed="false">
      <c r="A459" s="8" t="s">
        <v>407</v>
      </c>
      <c r="B459" s="8" t="s">
        <v>217</v>
      </c>
      <c r="C459" s="8" t="s">
        <v>839</v>
      </c>
      <c r="D459" s="26" t="n">
        <v>0</v>
      </c>
      <c r="E459" s="26" t="n">
        <v>0</v>
      </c>
      <c r="F459" s="26" t="n">
        <v>5207</v>
      </c>
      <c r="G459" s="26" t="n">
        <v>0</v>
      </c>
      <c r="H459" s="26" t="n">
        <v>0</v>
      </c>
      <c r="I459" s="26" t="n">
        <v>25918.2</v>
      </c>
      <c r="J459" s="26" t="n">
        <v>0</v>
      </c>
      <c r="K459" s="26" t="n">
        <v>431.2</v>
      </c>
      <c r="L459" s="26" t="n">
        <v>0</v>
      </c>
      <c r="M459" s="26" t="n">
        <v>40.2</v>
      </c>
      <c r="N459" s="26" t="n">
        <v>60.3</v>
      </c>
      <c r="O459" s="26" t="n">
        <v>0</v>
      </c>
      <c r="P459" s="26" t="n">
        <v>-15.4</v>
      </c>
      <c r="Q459" s="26" t="n">
        <v>18579.7</v>
      </c>
      <c r="R459" s="26" t="n">
        <v>6822.2</v>
      </c>
      <c r="S459" s="26" t="n">
        <v>0</v>
      </c>
      <c r="T459" s="26" t="n">
        <v>0</v>
      </c>
      <c r="U459" s="26" t="n">
        <v>0</v>
      </c>
    </row>
    <row r="460" customFormat="false" ht="15" hidden="false" customHeight="true" outlineLevel="0" collapsed="false">
      <c r="A460" s="8" t="s">
        <v>407</v>
      </c>
      <c r="B460" s="8" t="s">
        <v>250</v>
      </c>
      <c r="C460" s="8" t="s">
        <v>839</v>
      </c>
      <c r="D460" s="26" t="n">
        <v>0</v>
      </c>
      <c r="E460" s="26" t="n">
        <v>0</v>
      </c>
      <c r="F460" s="26" t="n">
        <v>7084.9</v>
      </c>
      <c r="G460" s="26" t="n">
        <v>0</v>
      </c>
      <c r="H460" s="26" t="n">
        <v>0</v>
      </c>
      <c r="I460" s="26" t="n">
        <v>38080.5</v>
      </c>
      <c r="J460" s="26" t="n">
        <v>0</v>
      </c>
      <c r="K460" s="26" t="n">
        <v>385</v>
      </c>
      <c r="L460" s="26" t="n">
        <v>0</v>
      </c>
      <c r="M460" s="26" t="n">
        <v>180.9</v>
      </c>
      <c r="N460" s="26" t="n">
        <v>181</v>
      </c>
      <c r="O460" s="26" t="n">
        <v>0</v>
      </c>
      <c r="P460" s="26" t="n">
        <v>-30.8</v>
      </c>
      <c r="Q460" s="26" t="n">
        <v>28832.9</v>
      </c>
      <c r="R460" s="26" t="n">
        <v>8531.6</v>
      </c>
      <c r="S460" s="26" t="n">
        <v>0</v>
      </c>
      <c r="T460" s="26" t="n">
        <v>0</v>
      </c>
      <c r="U460" s="26" t="n">
        <v>0</v>
      </c>
    </row>
    <row r="461" customFormat="false" ht="15" hidden="false" customHeight="true" outlineLevel="0" collapsed="false">
      <c r="A461" s="8" t="s">
        <v>407</v>
      </c>
      <c r="B461" s="8" t="s">
        <v>193</v>
      </c>
      <c r="C461" s="8" t="s">
        <v>839</v>
      </c>
      <c r="D461" s="26" t="n">
        <v>0</v>
      </c>
      <c r="E461" s="26" t="n">
        <v>0</v>
      </c>
      <c r="F461" s="26" t="n">
        <v>7215.3</v>
      </c>
      <c r="G461" s="26" t="n">
        <v>0</v>
      </c>
      <c r="H461" s="26" t="n">
        <v>0</v>
      </c>
      <c r="I461" s="26" t="n">
        <v>35520.6</v>
      </c>
      <c r="J461" s="26" t="n">
        <v>0</v>
      </c>
      <c r="K461" s="26" t="n">
        <v>338.8</v>
      </c>
      <c r="L461" s="26" t="n">
        <v>0</v>
      </c>
      <c r="M461" s="26" t="n">
        <v>100.5</v>
      </c>
      <c r="N461" s="26" t="n">
        <v>0</v>
      </c>
      <c r="O461" s="26" t="n">
        <v>0</v>
      </c>
      <c r="P461" s="26" t="n">
        <v>-61.6</v>
      </c>
      <c r="Q461" s="26" t="n">
        <v>26241.7</v>
      </c>
      <c r="R461" s="26" t="n">
        <v>8901.2</v>
      </c>
      <c r="S461" s="26" t="n">
        <v>0</v>
      </c>
      <c r="T461" s="26" t="n">
        <v>0</v>
      </c>
      <c r="U461" s="26" t="n">
        <v>0</v>
      </c>
    </row>
    <row r="462" customFormat="false" ht="15" hidden="false" customHeight="true" outlineLevel="0" collapsed="false">
      <c r="A462" s="8" t="s">
        <v>407</v>
      </c>
      <c r="B462" s="8" t="s">
        <v>199</v>
      </c>
      <c r="C462" s="8" t="s">
        <v>839</v>
      </c>
      <c r="D462" s="26" t="n">
        <v>0</v>
      </c>
      <c r="E462" s="26" t="n">
        <v>0</v>
      </c>
      <c r="F462" s="26" t="n">
        <v>4056.1</v>
      </c>
      <c r="G462" s="26" t="n">
        <v>0</v>
      </c>
      <c r="H462" s="26" t="n">
        <v>0</v>
      </c>
      <c r="I462" s="26" t="n">
        <v>20155.3</v>
      </c>
      <c r="J462" s="26" t="n">
        <v>0</v>
      </c>
      <c r="K462" s="26" t="n">
        <v>30.8</v>
      </c>
      <c r="L462" s="26" t="n">
        <v>0</v>
      </c>
      <c r="M462" s="26" t="n">
        <v>80.4</v>
      </c>
      <c r="N462" s="26" t="n">
        <v>156.5</v>
      </c>
      <c r="O462" s="26" t="n">
        <v>0</v>
      </c>
      <c r="P462" s="26" t="n">
        <v>-61.6</v>
      </c>
      <c r="Q462" s="26" t="n">
        <v>16083.8</v>
      </c>
      <c r="R462" s="26" t="n">
        <v>3865.4</v>
      </c>
      <c r="S462" s="26" t="n">
        <v>0</v>
      </c>
      <c r="T462" s="26" t="n">
        <v>0</v>
      </c>
      <c r="U462" s="26" t="n">
        <v>0</v>
      </c>
    </row>
    <row r="463" customFormat="false" ht="15" hidden="false" customHeight="true" outlineLevel="0" collapsed="false">
      <c r="A463" s="8" t="s">
        <v>407</v>
      </c>
      <c r="B463" s="8" t="s">
        <v>134</v>
      </c>
      <c r="C463" s="8" t="s">
        <v>840</v>
      </c>
      <c r="D463" s="26" t="n">
        <v>0</v>
      </c>
      <c r="E463" s="26" t="n">
        <v>0</v>
      </c>
      <c r="F463" s="26" t="n">
        <v>7117.5</v>
      </c>
      <c r="G463" s="26" t="n">
        <v>0</v>
      </c>
      <c r="H463" s="26" t="n">
        <v>0</v>
      </c>
      <c r="I463" s="26" t="n">
        <v>0</v>
      </c>
      <c r="J463" s="26" t="n">
        <v>0</v>
      </c>
      <c r="K463" s="26" t="n">
        <v>0</v>
      </c>
      <c r="L463" s="26" t="n">
        <v>0</v>
      </c>
      <c r="M463" s="26" t="n">
        <v>0</v>
      </c>
      <c r="N463" s="26" t="n">
        <v>0</v>
      </c>
      <c r="O463" s="26" t="n">
        <v>0</v>
      </c>
      <c r="P463" s="26" t="n">
        <v>0</v>
      </c>
      <c r="Q463" s="26" t="n">
        <v>0</v>
      </c>
      <c r="R463" s="26" t="n">
        <v>0</v>
      </c>
      <c r="S463" s="26" t="n">
        <v>0</v>
      </c>
      <c r="T463" s="26" t="n">
        <v>0</v>
      </c>
      <c r="U463" s="26" t="n">
        <v>0</v>
      </c>
    </row>
    <row r="464" customFormat="false" ht="15" hidden="false" customHeight="true" outlineLevel="0" collapsed="false">
      <c r="A464" s="8" t="s">
        <v>407</v>
      </c>
      <c r="B464" s="8" t="s">
        <v>246</v>
      </c>
      <c r="C464" s="8" t="s">
        <v>841</v>
      </c>
      <c r="D464" s="26" t="n">
        <v>0</v>
      </c>
      <c r="E464" s="26" t="n">
        <v>0</v>
      </c>
      <c r="F464" s="26" t="n">
        <v>472.3</v>
      </c>
      <c r="G464" s="26" t="n">
        <v>0</v>
      </c>
      <c r="H464" s="26" t="n">
        <v>136</v>
      </c>
      <c r="I464" s="26" t="n">
        <v>1504.7</v>
      </c>
      <c r="J464" s="26" t="n">
        <v>0</v>
      </c>
      <c r="K464" s="26" t="n">
        <v>0</v>
      </c>
      <c r="L464" s="26" t="n">
        <v>0</v>
      </c>
      <c r="M464" s="26" t="n">
        <v>0</v>
      </c>
      <c r="N464" s="26" t="n">
        <v>70.6</v>
      </c>
      <c r="O464" s="26" t="n">
        <v>0</v>
      </c>
      <c r="P464" s="26" t="n">
        <v>0</v>
      </c>
      <c r="Q464" s="26" t="n">
        <v>1434.1</v>
      </c>
      <c r="R464" s="26" t="n">
        <v>0</v>
      </c>
      <c r="S464" s="26" t="n">
        <v>0</v>
      </c>
      <c r="T464" s="26" t="n">
        <v>0</v>
      </c>
      <c r="U464" s="26" t="n">
        <v>0</v>
      </c>
    </row>
    <row r="465" customFormat="false" ht="15" hidden="false" customHeight="true" outlineLevel="0" collapsed="false">
      <c r="A465" s="8" t="s">
        <v>407</v>
      </c>
      <c r="B465" s="8" t="s">
        <v>336</v>
      </c>
      <c r="C465" s="8" t="s">
        <v>842</v>
      </c>
      <c r="D465" s="26" t="n">
        <v>0</v>
      </c>
      <c r="E465" s="26" t="n">
        <v>0</v>
      </c>
      <c r="F465" s="26" t="n">
        <v>-43.2</v>
      </c>
      <c r="G465" s="26" t="n">
        <v>0</v>
      </c>
      <c r="H465" s="26" t="n">
        <v>0</v>
      </c>
      <c r="I465" s="26" t="n">
        <v>0</v>
      </c>
      <c r="J465" s="26" t="n">
        <v>0</v>
      </c>
      <c r="K465" s="26" t="n">
        <v>0</v>
      </c>
      <c r="L465" s="26" t="n">
        <v>0</v>
      </c>
      <c r="M465" s="26" t="n">
        <v>0</v>
      </c>
      <c r="N465" s="26" t="n">
        <v>0</v>
      </c>
      <c r="O465" s="26" t="n">
        <v>0</v>
      </c>
      <c r="P465" s="26" t="n">
        <v>0</v>
      </c>
      <c r="Q465" s="26" t="n">
        <v>0</v>
      </c>
      <c r="R465" s="26" t="n">
        <v>0</v>
      </c>
      <c r="S465" s="26" t="n">
        <v>0</v>
      </c>
      <c r="T465" s="26" t="n">
        <v>0</v>
      </c>
      <c r="U465" s="26" t="n">
        <v>0</v>
      </c>
    </row>
    <row r="466" customFormat="false" ht="15" hidden="false" customHeight="true" outlineLevel="0" collapsed="false">
      <c r="A466" s="8" t="s">
        <v>407</v>
      </c>
      <c r="B466" s="8" t="s">
        <v>359</v>
      </c>
      <c r="C466" s="8" t="s">
        <v>842</v>
      </c>
      <c r="D466" s="26" t="n">
        <v>0</v>
      </c>
      <c r="E466" s="26" t="n">
        <v>0</v>
      </c>
      <c r="F466" s="26" t="n">
        <v>33</v>
      </c>
      <c r="G466" s="26" t="n">
        <v>0</v>
      </c>
      <c r="H466" s="26" t="n">
        <v>0</v>
      </c>
      <c r="I466" s="26" t="n">
        <v>0</v>
      </c>
      <c r="J466" s="26" t="n">
        <v>0</v>
      </c>
      <c r="K466" s="26" t="n">
        <v>0</v>
      </c>
      <c r="L466" s="26" t="n">
        <v>0</v>
      </c>
      <c r="M466" s="26" t="n">
        <v>0</v>
      </c>
      <c r="N466" s="26" t="n">
        <v>0</v>
      </c>
      <c r="O466" s="26" t="n">
        <v>0</v>
      </c>
      <c r="P466" s="26" t="n">
        <v>0</v>
      </c>
      <c r="Q466" s="26" t="n">
        <v>0</v>
      </c>
      <c r="R466" s="26" t="n">
        <v>0</v>
      </c>
      <c r="S466" s="26" t="n">
        <v>0</v>
      </c>
      <c r="T466" s="26" t="n">
        <v>0</v>
      </c>
      <c r="U466" s="26" t="n">
        <v>0</v>
      </c>
    </row>
    <row r="467" customFormat="false" ht="15" hidden="false" customHeight="true" outlineLevel="0" collapsed="false">
      <c r="A467" s="8" t="s">
        <v>407</v>
      </c>
      <c r="B467" s="8" t="s">
        <v>328</v>
      </c>
      <c r="C467" s="8" t="s">
        <v>842</v>
      </c>
      <c r="D467" s="26" t="n">
        <v>0</v>
      </c>
      <c r="E467" s="26" t="n">
        <v>0</v>
      </c>
      <c r="F467" s="26" t="n">
        <v>133.6</v>
      </c>
      <c r="G467" s="26" t="n">
        <v>0</v>
      </c>
      <c r="H467" s="26" t="n">
        <v>0</v>
      </c>
      <c r="I467" s="26" t="n">
        <v>0</v>
      </c>
      <c r="J467" s="26" t="n">
        <v>0</v>
      </c>
      <c r="K467" s="26" t="n">
        <v>0</v>
      </c>
      <c r="L467" s="26" t="n">
        <v>0</v>
      </c>
      <c r="M467" s="26" t="n">
        <v>0</v>
      </c>
      <c r="N467" s="26" t="n">
        <v>0</v>
      </c>
      <c r="O467" s="26" t="n">
        <v>0</v>
      </c>
      <c r="P467" s="26" t="n">
        <v>0</v>
      </c>
      <c r="Q467" s="26" t="n">
        <v>0</v>
      </c>
      <c r="R467" s="26" t="n">
        <v>0</v>
      </c>
      <c r="S467" s="26" t="n">
        <v>0</v>
      </c>
      <c r="T467" s="26" t="n">
        <v>0</v>
      </c>
      <c r="U467" s="26" t="n">
        <v>0</v>
      </c>
    </row>
    <row r="468" customFormat="false" ht="15" hidden="false" customHeight="true" outlineLevel="0" collapsed="false">
      <c r="A468" s="8" t="s">
        <v>407</v>
      </c>
      <c r="B468" s="8" t="s">
        <v>186</v>
      </c>
      <c r="C468" s="8" t="s">
        <v>843</v>
      </c>
      <c r="D468" s="26" t="n">
        <v>0</v>
      </c>
      <c r="E468" s="26" t="n">
        <v>0</v>
      </c>
      <c r="F468" s="26" t="n">
        <v>4318.7</v>
      </c>
      <c r="G468" s="26" t="n">
        <v>0</v>
      </c>
      <c r="H468" s="26" t="n">
        <v>0</v>
      </c>
      <c r="I468" s="26" t="n">
        <v>30816.1</v>
      </c>
      <c r="J468" s="26" t="n">
        <v>0</v>
      </c>
      <c r="K468" s="26" t="n">
        <v>778</v>
      </c>
      <c r="L468" s="26" t="n">
        <v>0</v>
      </c>
      <c r="M468" s="26" t="n">
        <v>0</v>
      </c>
      <c r="N468" s="26" t="n">
        <v>100</v>
      </c>
      <c r="O468" s="26" t="n">
        <v>62.2</v>
      </c>
      <c r="P468" s="26" t="n">
        <v>-124.5</v>
      </c>
      <c r="Q468" s="26" t="n">
        <v>27666.3</v>
      </c>
      <c r="R468" s="26" t="n">
        <v>2334</v>
      </c>
      <c r="S468" s="26" t="n">
        <v>0</v>
      </c>
      <c r="T468" s="26" t="n">
        <v>0</v>
      </c>
      <c r="U468" s="26" t="n">
        <v>0</v>
      </c>
    </row>
    <row r="469" customFormat="false" ht="15" hidden="false" customHeight="true" outlineLevel="0" collapsed="false">
      <c r="A469" s="8" t="s">
        <v>407</v>
      </c>
      <c r="B469" s="8" t="s">
        <v>129</v>
      </c>
      <c r="C469" s="8" t="s">
        <v>844</v>
      </c>
      <c r="D469" s="26" t="n">
        <v>0</v>
      </c>
      <c r="E469" s="26" t="n">
        <v>0</v>
      </c>
      <c r="F469" s="26" t="n">
        <v>14703.8</v>
      </c>
      <c r="G469" s="26" t="n">
        <v>0</v>
      </c>
      <c r="H469" s="26" t="n">
        <v>0</v>
      </c>
      <c r="I469" s="26" t="n">
        <v>41284.6</v>
      </c>
      <c r="J469" s="26" t="n">
        <v>0</v>
      </c>
      <c r="K469" s="26" t="n">
        <v>76.9</v>
      </c>
      <c r="L469" s="26" t="n">
        <v>0</v>
      </c>
      <c r="M469" s="26" t="n">
        <v>0</v>
      </c>
      <c r="N469" s="26" t="n">
        <v>0</v>
      </c>
      <c r="O469" s="26" t="n">
        <v>117.7</v>
      </c>
      <c r="P469" s="26" t="n">
        <v>-11.8</v>
      </c>
      <c r="Q469" s="26" t="n">
        <v>32526.4</v>
      </c>
      <c r="R469" s="26" t="n">
        <v>8575.4</v>
      </c>
      <c r="S469" s="26" t="n">
        <v>0</v>
      </c>
      <c r="T469" s="26" t="n">
        <v>0</v>
      </c>
      <c r="U469" s="26" t="n">
        <v>0</v>
      </c>
    </row>
    <row r="470" customFormat="false" ht="15" hidden="false" customHeight="true" outlineLevel="0" collapsed="false">
      <c r="A470" s="8" t="s">
        <v>407</v>
      </c>
      <c r="B470" s="8" t="s">
        <v>145</v>
      </c>
      <c r="C470" s="8" t="s">
        <v>844</v>
      </c>
      <c r="D470" s="26" t="n">
        <v>0</v>
      </c>
      <c r="E470" s="26" t="n">
        <v>0</v>
      </c>
      <c r="F470" s="26" t="n">
        <v>9335.6</v>
      </c>
      <c r="G470" s="26" t="n">
        <v>0</v>
      </c>
      <c r="H470" s="26" t="n">
        <v>0</v>
      </c>
      <c r="I470" s="26" t="n">
        <v>34596.7</v>
      </c>
      <c r="J470" s="26" t="n">
        <v>0</v>
      </c>
      <c r="K470" s="26" t="n">
        <v>1504.3</v>
      </c>
      <c r="L470" s="26" t="n">
        <v>-11</v>
      </c>
      <c r="M470" s="26" t="n">
        <v>0</v>
      </c>
      <c r="N470" s="26" t="n">
        <v>-22.5</v>
      </c>
      <c r="O470" s="26" t="n">
        <v>58.8</v>
      </c>
      <c r="P470" s="26" t="n">
        <v>-43.9</v>
      </c>
      <c r="Q470" s="26" t="n">
        <v>28005.4</v>
      </c>
      <c r="R470" s="26" t="n">
        <v>5105.7</v>
      </c>
      <c r="S470" s="26" t="n">
        <v>0</v>
      </c>
      <c r="T470" s="26" t="n">
        <v>0</v>
      </c>
      <c r="U470" s="26" t="n">
        <v>0</v>
      </c>
    </row>
    <row r="471" customFormat="false" ht="15" hidden="false" customHeight="true" outlineLevel="0" collapsed="false">
      <c r="A471" s="8" t="s">
        <v>407</v>
      </c>
      <c r="B471" s="8" t="s">
        <v>157</v>
      </c>
      <c r="C471" s="8" t="s">
        <v>844</v>
      </c>
      <c r="D471" s="26" t="n">
        <v>0</v>
      </c>
      <c r="E471" s="26" t="n">
        <v>0</v>
      </c>
      <c r="F471" s="26" t="n">
        <v>4364.1</v>
      </c>
      <c r="G471" s="26" t="n">
        <v>0</v>
      </c>
      <c r="H471" s="26" t="n">
        <v>0</v>
      </c>
      <c r="I471" s="26" t="n">
        <v>21006.6</v>
      </c>
      <c r="J471" s="26" t="n">
        <v>0</v>
      </c>
      <c r="K471" s="26" t="n">
        <v>32.9</v>
      </c>
      <c r="L471" s="26" t="n">
        <v>0</v>
      </c>
      <c r="M471" s="26" t="n">
        <v>0</v>
      </c>
      <c r="N471" s="26" t="n">
        <v>176.5</v>
      </c>
      <c r="O471" s="26" t="n">
        <v>0</v>
      </c>
      <c r="P471" s="26" t="n">
        <v>-43.9</v>
      </c>
      <c r="Q471" s="26" t="n">
        <v>17832.6</v>
      </c>
      <c r="R471" s="26" t="n">
        <v>3008.5</v>
      </c>
      <c r="S471" s="26" t="n">
        <v>0</v>
      </c>
      <c r="T471" s="26" t="n">
        <v>0</v>
      </c>
      <c r="U471" s="26" t="n">
        <v>0</v>
      </c>
    </row>
    <row r="472" customFormat="false" ht="15" hidden="false" customHeight="true" outlineLevel="0" collapsed="false">
      <c r="A472" s="8" t="s">
        <v>407</v>
      </c>
      <c r="B472" s="8" t="s">
        <v>156</v>
      </c>
      <c r="C472" s="8" t="s">
        <v>844</v>
      </c>
      <c r="D472" s="26" t="n">
        <v>0</v>
      </c>
      <c r="E472" s="26" t="n">
        <v>0</v>
      </c>
      <c r="F472" s="26" t="n">
        <v>4693.4</v>
      </c>
      <c r="G472" s="26" t="n">
        <v>0</v>
      </c>
      <c r="H472" s="26" t="n">
        <v>0</v>
      </c>
      <c r="I472" s="26" t="n">
        <v>13834.2</v>
      </c>
      <c r="J472" s="26" t="n">
        <v>0</v>
      </c>
      <c r="K472" s="26" t="n">
        <v>32.9</v>
      </c>
      <c r="L472" s="26" t="n">
        <v>0</v>
      </c>
      <c r="M472" s="26" t="n">
        <v>0</v>
      </c>
      <c r="N472" s="26" t="n">
        <v>0</v>
      </c>
      <c r="O472" s="26" t="n">
        <v>0</v>
      </c>
      <c r="P472" s="26" t="n">
        <v>0</v>
      </c>
      <c r="Q472" s="26" t="n">
        <v>9936.3</v>
      </c>
      <c r="R472" s="26" t="n">
        <v>3865</v>
      </c>
      <c r="S472" s="26" t="n">
        <v>0</v>
      </c>
      <c r="T472" s="26" t="n">
        <v>0</v>
      </c>
      <c r="U472" s="26" t="n">
        <v>0</v>
      </c>
    </row>
    <row r="473" customFormat="false" ht="15" hidden="false" customHeight="true" outlineLevel="0" collapsed="false">
      <c r="A473" s="8" t="s">
        <v>407</v>
      </c>
      <c r="B473" s="8" t="s">
        <v>165</v>
      </c>
      <c r="C473" s="8" t="s">
        <v>845</v>
      </c>
      <c r="D473" s="26" t="n">
        <v>0</v>
      </c>
      <c r="E473" s="26" t="n">
        <v>0</v>
      </c>
      <c r="F473" s="26" t="n">
        <v>248.3</v>
      </c>
      <c r="G473" s="26" t="n">
        <v>0</v>
      </c>
      <c r="H473" s="26" t="n">
        <v>0</v>
      </c>
      <c r="I473" s="26" t="n">
        <v>70.6</v>
      </c>
      <c r="J473" s="26" t="n">
        <v>0</v>
      </c>
      <c r="K473" s="26" t="n">
        <v>0</v>
      </c>
      <c r="L473" s="26" t="n">
        <v>0</v>
      </c>
      <c r="M473" s="26" t="n">
        <v>0</v>
      </c>
      <c r="N473" s="26" t="n">
        <v>0</v>
      </c>
      <c r="O473" s="26" t="n">
        <v>0</v>
      </c>
      <c r="P473" s="26" t="n">
        <v>-70.6</v>
      </c>
      <c r="Q473" s="26" t="n">
        <v>0</v>
      </c>
      <c r="R473" s="26" t="n">
        <v>141.1</v>
      </c>
      <c r="S473" s="26" t="n">
        <v>0</v>
      </c>
      <c r="T473" s="26" t="n">
        <v>0</v>
      </c>
      <c r="U473" s="26" t="n">
        <v>0</v>
      </c>
    </row>
    <row r="474" customFormat="false" ht="15" hidden="false" customHeight="true" outlineLevel="0" collapsed="false">
      <c r="A474" s="8" t="s">
        <v>407</v>
      </c>
      <c r="B474" s="8" t="s">
        <v>165</v>
      </c>
      <c r="C474" s="8" t="s">
        <v>846</v>
      </c>
      <c r="D474" s="26" t="n">
        <v>0</v>
      </c>
      <c r="E474" s="26" t="n">
        <v>0</v>
      </c>
      <c r="F474" s="26" t="n">
        <v>1102.3</v>
      </c>
      <c r="G474" s="26" t="n">
        <v>0</v>
      </c>
      <c r="H474" s="26" t="n">
        <v>0</v>
      </c>
      <c r="I474" s="26" t="n">
        <v>1161.8</v>
      </c>
      <c r="J474" s="26" t="n">
        <v>0</v>
      </c>
      <c r="K474" s="26" t="n">
        <v>0</v>
      </c>
      <c r="L474" s="26" t="n">
        <v>0</v>
      </c>
      <c r="M474" s="26" t="n">
        <v>0</v>
      </c>
      <c r="N474" s="26" t="n">
        <v>0</v>
      </c>
      <c r="O474" s="26" t="n">
        <v>0</v>
      </c>
      <c r="P474" s="26" t="n">
        <v>-324.3</v>
      </c>
      <c r="Q474" s="26" t="n">
        <v>964.7</v>
      </c>
      <c r="R474" s="26" t="n">
        <v>521.4</v>
      </c>
      <c r="S474" s="26" t="n">
        <v>0</v>
      </c>
      <c r="T474" s="26" t="n">
        <v>0</v>
      </c>
      <c r="U474" s="26" t="n">
        <v>0</v>
      </c>
    </row>
    <row r="475" customFormat="false" ht="15" hidden="false" customHeight="true" outlineLevel="0" collapsed="false">
      <c r="A475" s="8" t="s">
        <v>407</v>
      </c>
      <c r="B475" s="8" t="s">
        <v>165</v>
      </c>
      <c r="C475" s="8" t="s">
        <v>847</v>
      </c>
      <c r="D475" s="26" t="n">
        <v>0</v>
      </c>
      <c r="E475" s="26" t="n">
        <v>0</v>
      </c>
      <c r="F475" s="26" t="n">
        <v>806</v>
      </c>
      <c r="G475" s="26" t="n">
        <v>0</v>
      </c>
      <c r="H475" s="26" t="n">
        <v>0</v>
      </c>
      <c r="I475" s="26" t="n">
        <v>421.4</v>
      </c>
      <c r="J475" s="26" t="n">
        <v>0</v>
      </c>
      <c r="K475" s="26" t="n">
        <v>0</v>
      </c>
      <c r="L475" s="26" t="n">
        <v>0</v>
      </c>
      <c r="M475" s="26" t="n">
        <v>0</v>
      </c>
      <c r="N475" s="26" t="n">
        <v>0</v>
      </c>
      <c r="O475" s="26" t="n">
        <v>0</v>
      </c>
      <c r="P475" s="26" t="n">
        <v>-477.7</v>
      </c>
      <c r="Q475" s="26" t="n">
        <v>452.2</v>
      </c>
      <c r="R475" s="26" t="n">
        <v>446.9</v>
      </c>
      <c r="S475" s="26" t="n">
        <v>0</v>
      </c>
      <c r="T475" s="26" t="n">
        <v>0</v>
      </c>
      <c r="U475" s="26" t="n">
        <v>0</v>
      </c>
    </row>
    <row r="476" customFormat="false" ht="15" hidden="false" customHeight="true" outlineLevel="0" collapsed="false">
      <c r="A476" s="8" t="s">
        <v>407</v>
      </c>
      <c r="B476" s="8" t="s">
        <v>165</v>
      </c>
      <c r="C476" s="8" t="s">
        <v>848</v>
      </c>
      <c r="D476" s="26" t="n">
        <v>0</v>
      </c>
      <c r="E476" s="26" t="n">
        <v>0</v>
      </c>
      <c r="F476" s="26" t="n">
        <v>718.1</v>
      </c>
      <c r="G476" s="26" t="n">
        <v>0</v>
      </c>
      <c r="H476" s="26" t="n">
        <v>0</v>
      </c>
      <c r="I476" s="26" t="n">
        <v>1064.8</v>
      </c>
      <c r="J476" s="26" t="n">
        <v>0</v>
      </c>
      <c r="K476" s="26" t="n">
        <v>0</v>
      </c>
      <c r="L476" s="26" t="n">
        <v>0</v>
      </c>
      <c r="M476" s="26" t="n">
        <v>0</v>
      </c>
      <c r="N476" s="26" t="n">
        <v>0</v>
      </c>
      <c r="O476" s="26" t="n">
        <v>0</v>
      </c>
      <c r="P476" s="26" t="n">
        <v>-350.6</v>
      </c>
      <c r="Q476" s="26" t="n">
        <v>1117.4</v>
      </c>
      <c r="R476" s="26" t="n">
        <v>298</v>
      </c>
      <c r="S476" s="26" t="n">
        <v>0</v>
      </c>
      <c r="T476" s="26" t="n">
        <v>0</v>
      </c>
      <c r="U476" s="26" t="n">
        <v>0</v>
      </c>
    </row>
    <row r="477" customFormat="false" ht="15" hidden="false" customHeight="true" outlineLevel="0" collapsed="false">
      <c r="A477" s="8" t="s">
        <v>407</v>
      </c>
      <c r="B477" s="8" t="s">
        <v>258</v>
      </c>
      <c r="C477" s="8" t="s">
        <v>849</v>
      </c>
      <c r="D477" s="26" t="n">
        <v>0</v>
      </c>
      <c r="E477" s="26" t="n">
        <v>0</v>
      </c>
      <c r="F477" s="26" t="n">
        <v>0</v>
      </c>
      <c r="G477" s="26" t="n">
        <v>0</v>
      </c>
      <c r="H477" s="26" t="n">
        <v>0</v>
      </c>
      <c r="I477" s="26" t="n">
        <v>369.2</v>
      </c>
      <c r="J477" s="26" t="n">
        <v>0</v>
      </c>
      <c r="K477" s="26" t="n">
        <v>0</v>
      </c>
      <c r="L477" s="26" t="n">
        <v>0</v>
      </c>
      <c r="M477" s="26" t="n">
        <v>0</v>
      </c>
      <c r="N477" s="26" t="n">
        <v>0</v>
      </c>
      <c r="O477" s="26" t="n">
        <v>0</v>
      </c>
      <c r="P477" s="26" t="n">
        <v>-211.7</v>
      </c>
      <c r="Q477" s="26" t="n">
        <v>510.3</v>
      </c>
      <c r="R477" s="26" t="n">
        <v>70.6</v>
      </c>
      <c r="S477" s="26" t="n">
        <v>0</v>
      </c>
      <c r="T477" s="26" t="n">
        <v>0</v>
      </c>
      <c r="U477" s="26" t="n">
        <v>0</v>
      </c>
    </row>
    <row r="478" customFormat="false" ht="15" hidden="false" customHeight="true" outlineLevel="0" collapsed="false">
      <c r="A478" s="8" t="s">
        <v>407</v>
      </c>
      <c r="B478" s="8" t="s">
        <v>258</v>
      </c>
      <c r="C478" s="8" t="s">
        <v>850</v>
      </c>
      <c r="D478" s="26" t="n">
        <v>0</v>
      </c>
      <c r="E478" s="26" t="n">
        <v>0</v>
      </c>
      <c r="F478" s="26" t="n">
        <v>507.7</v>
      </c>
      <c r="G478" s="26" t="n">
        <v>0</v>
      </c>
      <c r="H478" s="26" t="n">
        <v>0</v>
      </c>
      <c r="I478" s="26" t="n">
        <v>729.8</v>
      </c>
      <c r="J478" s="26" t="n">
        <v>0</v>
      </c>
      <c r="K478" s="26" t="n">
        <v>0</v>
      </c>
      <c r="L478" s="26" t="n">
        <v>0</v>
      </c>
      <c r="M478" s="26" t="n">
        <v>0</v>
      </c>
      <c r="N478" s="26" t="n">
        <v>0</v>
      </c>
      <c r="O478" s="26" t="n">
        <v>0</v>
      </c>
      <c r="P478" s="26" t="n">
        <v>-249.8</v>
      </c>
      <c r="Q478" s="26" t="n">
        <v>607.1</v>
      </c>
      <c r="R478" s="26" t="n">
        <v>372.5</v>
      </c>
      <c r="S478" s="26" t="n">
        <v>0</v>
      </c>
      <c r="T478" s="26" t="n">
        <v>0</v>
      </c>
      <c r="U478" s="26" t="n">
        <v>0</v>
      </c>
    </row>
    <row r="479" customFormat="false" ht="15" hidden="false" customHeight="true" outlineLevel="0" collapsed="false">
      <c r="A479" s="8" t="s">
        <v>407</v>
      </c>
      <c r="B479" s="8" t="s">
        <v>258</v>
      </c>
      <c r="C479" s="8" t="s">
        <v>851</v>
      </c>
      <c r="D479" s="26" t="n">
        <v>0</v>
      </c>
      <c r="E479" s="26" t="n">
        <v>0</v>
      </c>
      <c r="F479" s="26" t="n">
        <v>548.9</v>
      </c>
      <c r="G479" s="26" t="n">
        <v>0</v>
      </c>
      <c r="H479" s="26" t="n">
        <v>0</v>
      </c>
      <c r="I479" s="26" t="n">
        <v>2178.4</v>
      </c>
      <c r="J479" s="26" t="n">
        <v>0</v>
      </c>
      <c r="K479" s="26" t="n">
        <v>149</v>
      </c>
      <c r="L479" s="26" t="n">
        <v>0</v>
      </c>
      <c r="M479" s="26" t="n">
        <v>0</v>
      </c>
      <c r="N479" s="26" t="n">
        <v>0</v>
      </c>
      <c r="O479" s="26" t="n">
        <v>0</v>
      </c>
      <c r="P479" s="26" t="n">
        <v>-425.1</v>
      </c>
      <c r="Q479" s="26" t="n">
        <v>1933</v>
      </c>
      <c r="R479" s="26" t="n">
        <v>521.4</v>
      </c>
      <c r="S479" s="26" t="n">
        <v>0</v>
      </c>
      <c r="T479" s="26" t="n">
        <v>0</v>
      </c>
      <c r="U479" s="26" t="n">
        <v>0</v>
      </c>
    </row>
    <row r="480" customFormat="false" ht="15" hidden="false" customHeight="true" outlineLevel="0" collapsed="false">
      <c r="A480" s="8" t="s">
        <v>407</v>
      </c>
      <c r="B480" s="8" t="s">
        <v>258</v>
      </c>
      <c r="C480" s="8" t="s">
        <v>852</v>
      </c>
      <c r="D480" s="26" t="n">
        <v>0</v>
      </c>
      <c r="E480" s="26" t="n">
        <v>0</v>
      </c>
      <c r="F480" s="26" t="n">
        <v>377.3</v>
      </c>
      <c r="G480" s="26" t="n">
        <v>0</v>
      </c>
      <c r="H480" s="26" t="n">
        <v>0</v>
      </c>
      <c r="I480" s="26" t="n">
        <v>1385.3</v>
      </c>
      <c r="J480" s="26" t="n">
        <v>0</v>
      </c>
      <c r="K480" s="26" t="n">
        <v>223.5</v>
      </c>
      <c r="L480" s="26" t="n">
        <v>0</v>
      </c>
      <c r="M480" s="26" t="n">
        <v>0</v>
      </c>
      <c r="N480" s="26" t="n">
        <v>0</v>
      </c>
      <c r="O480" s="26" t="n">
        <v>0</v>
      </c>
      <c r="P480" s="26" t="n">
        <v>-249.8</v>
      </c>
      <c r="Q480" s="26" t="n">
        <v>964.7</v>
      </c>
      <c r="R480" s="26" t="n">
        <v>446.9</v>
      </c>
      <c r="S480" s="26" t="n">
        <v>0</v>
      </c>
      <c r="T480" s="26" t="n">
        <v>0</v>
      </c>
      <c r="U480" s="26" t="n">
        <v>0</v>
      </c>
    </row>
    <row r="481" customFormat="false" ht="15" hidden="false" customHeight="true" outlineLevel="0" collapsed="false">
      <c r="A481" s="8" t="s">
        <v>407</v>
      </c>
      <c r="B481" s="8" t="s">
        <v>183</v>
      </c>
      <c r="C481" s="8" t="s">
        <v>672</v>
      </c>
      <c r="D481" s="26" t="n">
        <v>0</v>
      </c>
      <c r="E481" s="26" t="n">
        <v>0</v>
      </c>
      <c r="F481" s="26" t="n">
        <v>413.3</v>
      </c>
      <c r="G481" s="26" t="n">
        <v>0</v>
      </c>
      <c r="H481" s="26" t="n">
        <v>0</v>
      </c>
      <c r="I481" s="26" t="n">
        <v>256</v>
      </c>
      <c r="J481" s="26" t="n">
        <v>0</v>
      </c>
      <c r="K481" s="26" t="n">
        <v>0</v>
      </c>
      <c r="L481" s="26" t="n">
        <v>0</v>
      </c>
      <c r="M481" s="26" t="n">
        <v>0</v>
      </c>
      <c r="N481" s="26" t="n">
        <v>0</v>
      </c>
      <c r="O481" s="26" t="n">
        <v>0</v>
      </c>
      <c r="P481" s="26" t="n">
        <v>-256</v>
      </c>
      <c r="Q481" s="26" t="n">
        <v>0</v>
      </c>
      <c r="R481" s="26" t="n">
        <v>512</v>
      </c>
      <c r="S481" s="26" t="n">
        <v>0</v>
      </c>
      <c r="T481" s="26" t="n">
        <v>0</v>
      </c>
      <c r="U481" s="26" t="n">
        <v>0</v>
      </c>
    </row>
    <row r="482" customFormat="false" ht="15" hidden="false" customHeight="true" outlineLevel="0" collapsed="false">
      <c r="A482" s="8" t="s">
        <v>407</v>
      </c>
      <c r="B482" s="8" t="s">
        <v>183</v>
      </c>
      <c r="C482" s="8" t="s">
        <v>671</v>
      </c>
      <c r="D482" s="26" t="n">
        <v>0</v>
      </c>
      <c r="E482" s="26" t="n">
        <v>0</v>
      </c>
      <c r="F482" s="26" t="n">
        <v>145.3</v>
      </c>
      <c r="G482" s="26" t="n">
        <v>0</v>
      </c>
      <c r="H482" s="26" t="n">
        <v>0</v>
      </c>
      <c r="I482" s="26" t="n">
        <v>2323.6</v>
      </c>
      <c r="J482" s="26" t="n">
        <v>0</v>
      </c>
      <c r="K482" s="26" t="n">
        <v>0</v>
      </c>
      <c r="L482" s="26" t="n">
        <v>0</v>
      </c>
      <c r="M482" s="26" t="n">
        <v>0</v>
      </c>
      <c r="N482" s="26" t="n">
        <v>0</v>
      </c>
      <c r="O482" s="26" t="n">
        <v>0</v>
      </c>
      <c r="P482" s="26" t="n">
        <v>-596.3</v>
      </c>
      <c r="Q482" s="26" t="n">
        <v>1479.8</v>
      </c>
      <c r="R482" s="26" t="n">
        <v>1440.1</v>
      </c>
      <c r="S482" s="26" t="n">
        <v>0</v>
      </c>
      <c r="T482" s="26" t="n">
        <v>0</v>
      </c>
      <c r="U482" s="26" t="n">
        <v>0</v>
      </c>
    </row>
    <row r="483" customFormat="false" ht="15" hidden="false" customHeight="true" outlineLevel="0" collapsed="false">
      <c r="A483" s="8" t="s">
        <v>407</v>
      </c>
      <c r="B483" s="8" t="s">
        <v>183</v>
      </c>
      <c r="C483" s="8" t="s">
        <v>673</v>
      </c>
      <c r="D483" s="26" t="n">
        <v>0</v>
      </c>
      <c r="E483" s="26" t="n">
        <v>0</v>
      </c>
      <c r="F483" s="26" t="n">
        <v>290.5</v>
      </c>
      <c r="G483" s="26" t="n">
        <v>0</v>
      </c>
      <c r="H483" s="26" t="n">
        <v>0</v>
      </c>
      <c r="I483" s="26" t="n">
        <v>1575.9</v>
      </c>
      <c r="J483" s="26" t="n">
        <v>0</v>
      </c>
      <c r="K483" s="26" t="n">
        <v>0</v>
      </c>
      <c r="L483" s="26" t="n">
        <v>0</v>
      </c>
      <c r="M483" s="26" t="n">
        <v>0</v>
      </c>
      <c r="N483" s="26" t="n">
        <v>0</v>
      </c>
      <c r="O483" s="26" t="n">
        <v>0</v>
      </c>
      <c r="P483" s="26" t="n">
        <v>-596.3</v>
      </c>
      <c r="Q483" s="26" t="n">
        <v>407.3</v>
      </c>
      <c r="R483" s="26" t="n">
        <v>1764.9</v>
      </c>
      <c r="S483" s="26" t="n">
        <v>0</v>
      </c>
      <c r="T483" s="26" t="n">
        <v>0</v>
      </c>
      <c r="U483" s="26" t="n">
        <v>0</v>
      </c>
    </row>
    <row r="484" customFormat="false" ht="15" hidden="false" customHeight="true" outlineLevel="0" collapsed="false">
      <c r="A484" s="8" t="s">
        <v>407</v>
      </c>
      <c r="B484" s="8" t="s">
        <v>183</v>
      </c>
      <c r="C484" s="8" t="s">
        <v>670</v>
      </c>
      <c r="D484" s="26" t="n">
        <v>0</v>
      </c>
      <c r="E484" s="26" t="n">
        <v>0</v>
      </c>
      <c r="F484" s="26" t="n">
        <v>153.1</v>
      </c>
      <c r="G484" s="26" t="n">
        <v>0</v>
      </c>
      <c r="H484" s="26" t="n">
        <v>0</v>
      </c>
      <c r="I484" s="26" t="n">
        <v>96.1</v>
      </c>
      <c r="J484" s="26" t="n">
        <v>0</v>
      </c>
      <c r="K484" s="26" t="n">
        <v>0</v>
      </c>
      <c r="L484" s="26" t="n">
        <v>0</v>
      </c>
      <c r="M484" s="26" t="n">
        <v>0</v>
      </c>
      <c r="N484" s="26" t="n">
        <v>0</v>
      </c>
      <c r="O484" s="26" t="n">
        <v>0</v>
      </c>
      <c r="P484" s="26" t="n">
        <v>-189</v>
      </c>
      <c r="Q484" s="26" t="n">
        <v>285.1</v>
      </c>
      <c r="R484" s="26" t="n">
        <v>0</v>
      </c>
      <c r="S484" s="26" t="n">
        <v>0</v>
      </c>
      <c r="T484" s="26" t="n">
        <v>0</v>
      </c>
      <c r="U484" s="26" t="n">
        <v>0</v>
      </c>
    </row>
    <row r="485" customFormat="false" ht="15" hidden="false" customHeight="true" outlineLevel="0" collapsed="false">
      <c r="A485" s="8" t="s">
        <v>407</v>
      </c>
      <c r="B485" s="8" t="s">
        <v>183</v>
      </c>
      <c r="C485" s="8" t="s">
        <v>853</v>
      </c>
      <c r="D485" s="26" t="n">
        <v>0</v>
      </c>
      <c r="E485" s="26" t="n">
        <v>0</v>
      </c>
      <c r="F485" s="26" t="n">
        <v>22.4</v>
      </c>
      <c r="G485" s="26" t="n">
        <v>0</v>
      </c>
      <c r="H485" s="26" t="n">
        <v>0</v>
      </c>
      <c r="I485" s="26" t="n">
        <v>-596.3</v>
      </c>
      <c r="J485" s="26" t="n">
        <v>0</v>
      </c>
      <c r="K485" s="26" t="n">
        <v>0</v>
      </c>
      <c r="L485" s="26" t="n">
        <v>0</v>
      </c>
      <c r="M485" s="26" t="n">
        <v>0</v>
      </c>
      <c r="N485" s="26" t="n">
        <v>0</v>
      </c>
      <c r="O485" s="26" t="n">
        <v>0</v>
      </c>
      <c r="P485" s="26" t="n">
        <v>-596.3</v>
      </c>
      <c r="Q485" s="26" t="n">
        <v>0</v>
      </c>
      <c r="R485" s="26" t="n">
        <v>0</v>
      </c>
      <c r="S485" s="26" t="n">
        <v>0</v>
      </c>
      <c r="T485" s="26" t="n">
        <v>0</v>
      </c>
      <c r="U485" s="26" t="n">
        <v>0</v>
      </c>
    </row>
    <row r="486" customFormat="false" ht="15" hidden="false" customHeight="true" outlineLevel="0" collapsed="false">
      <c r="A486" s="8" t="s">
        <v>407</v>
      </c>
      <c r="B486" s="8" t="s">
        <v>311</v>
      </c>
      <c r="C486" s="8" t="s">
        <v>854</v>
      </c>
      <c r="D486" s="26" t="n">
        <v>0</v>
      </c>
      <c r="E486" s="26" t="n">
        <v>0</v>
      </c>
      <c r="F486" s="26" t="n">
        <v>154.6</v>
      </c>
      <c r="G486" s="26" t="n">
        <v>0</v>
      </c>
      <c r="H486" s="26" t="n">
        <v>0</v>
      </c>
      <c r="I486" s="26" t="n">
        <v>0</v>
      </c>
      <c r="J486" s="26" t="n">
        <v>0</v>
      </c>
      <c r="K486" s="26" t="n">
        <v>0</v>
      </c>
      <c r="L486" s="26" t="n">
        <v>0</v>
      </c>
      <c r="M486" s="26" t="n">
        <v>0</v>
      </c>
      <c r="N486" s="26" t="n">
        <v>0</v>
      </c>
      <c r="O486" s="26" t="n">
        <v>0</v>
      </c>
      <c r="P486" s="26" t="n">
        <v>0</v>
      </c>
      <c r="Q486" s="26" t="n">
        <v>0</v>
      </c>
      <c r="R486" s="26" t="n">
        <v>0</v>
      </c>
      <c r="S486" s="26" t="n">
        <v>0</v>
      </c>
      <c r="T486" s="26" t="n">
        <v>0</v>
      </c>
      <c r="U486" s="26" t="n">
        <v>0</v>
      </c>
    </row>
    <row r="487" customFormat="false" ht="15" hidden="false" customHeight="true" outlineLevel="0" collapsed="false">
      <c r="A487" s="8" t="s">
        <v>407</v>
      </c>
      <c r="B487" s="8" t="s">
        <v>311</v>
      </c>
      <c r="C487" s="8" t="s">
        <v>855</v>
      </c>
      <c r="D487" s="26" t="n">
        <v>0</v>
      </c>
      <c r="E487" s="26" t="n">
        <v>0</v>
      </c>
      <c r="F487" s="26" t="n">
        <v>490.3</v>
      </c>
      <c r="G487" s="26" t="n">
        <v>0</v>
      </c>
      <c r="H487" s="26" t="n">
        <v>0</v>
      </c>
      <c r="I487" s="26" t="n">
        <v>2413.3</v>
      </c>
      <c r="J487" s="26" t="n">
        <v>0</v>
      </c>
      <c r="K487" s="26" t="n">
        <v>0</v>
      </c>
      <c r="L487" s="26" t="n">
        <v>0</v>
      </c>
      <c r="M487" s="26" t="n">
        <v>0</v>
      </c>
      <c r="N487" s="26" t="n">
        <v>0</v>
      </c>
      <c r="O487" s="26" t="n">
        <v>0</v>
      </c>
      <c r="P487" s="26" t="n">
        <v>-324.3</v>
      </c>
      <c r="Q487" s="26" t="n">
        <v>1918.1</v>
      </c>
      <c r="R487" s="26" t="n">
        <v>819.4</v>
      </c>
      <c r="S487" s="26" t="n">
        <v>0</v>
      </c>
      <c r="T487" s="26" t="n">
        <v>0</v>
      </c>
      <c r="U487" s="26" t="n">
        <v>0</v>
      </c>
    </row>
    <row r="488" customFormat="false" ht="15" hidden="false" customHeight="true" outlineLevel="0" collapsed="false">
      <c r="A488" s="8" t="s">
        <v>407</v>
      </c>
      <c r="B488" s="8" t="s">
        <v>311</v>
      </c>
      <c r="C488" s="8" t="s">
        <v>856</v>
      </c>
      <c r="D488" s="26" t="n">
        <v>0</v>
      </c>
      <c r="E488" s="26" t="n">
        <v>0</v>
      </c>
      <c r="F488" s="26" t="n">
        <v>231.9</v>
      </c>
      <c r="G488" s="26" t="n">
        <v>0</v>
      </c>
      <c r="H488" s="26" t="n">
        <v>0</v>
      </c>
      <c r="I488" s="26" t="n">
        <v>2282.9</v>
      </c>
      <c r="J488" s="26" t="n">
        <v>0</v>
      </c>
      <c r="K488" s="26" t="n">
        <v>0</v>
      </c>
      <c r="L488" s="26" t="n">
        <v>0</v>
      </c>
      <c r="M488" s="26" t="n">
        <v>0</v>
      </c>
      <c r="N488" s="26" t="n">
        <v>0</v>
      </c>
      <c r="O488" s="26" t="n">
        <v>0</v>
      </c>
      <c r="P488" s="26" t="n">
        <v>-473.2</v>
      </c>
      <c r="Q488" s="26" t="n">
        <v>1638.8</v>
      </c>
      <c r="R488" s="26" t="n">
        <v>1117.4</v>
      </c>
      <c r="S488" s="26" t="n">
        <v>0</v>
      </c>
      <c r="T488" s="26" t="n">
        <v>0</v>
      </c>
      <c r="U488" s="26" t="n">
        <v>0</v>
      </c>
    </row>
    <row r="489" customFormat="false" ht="15" hidden="false" customHeight="true" outlineLevel="0" collapsed="false">
      <c r="A489" s="8" t="s">
        <v>407</v>
      </c>
      <c r="B489" s="8" t="s">
        <v>311</v>
      </c>
      <c r="C489" s="8" t="s">
        <v>857</v>
      </c>
      <c r="D489" s="26" t="n">
        <v>0</v>
      </c>
      <c r="E489" s="26" t="n">
        <v>0</v>
      </c>
      <c r="F489" s="26" t="n">
        <v>72.1</v>
      </c>
      <c r="G489" s="26" t="n">
        <v>0</v>
      </c>
      <c r="H489" s="26" t="n">
        <v>0</v>
      </c>
      <c r="I489" s="26" t="n">
        <v>245.4</v>
      </c>
      <c r="J489" s="26" t="n">
        <v>0</v>
      </c>
      <c r="K489" s="26" t="n">
        <v>298</v>
      </c>
      <c r="L489" s="26" t="n">
        <v>0</v>
      </c>
      <c r="M489" s="26" t="n">
        <v>0</v>
      </c>
      <c r="N489" s="26" t="n">
        <v>0</v>
      </c>
      <c r="O489" s="26" t="n">
        <v>0</v>
      </c>
      <c r="P489" s="26" t="n">
        <v>-425.1</v>
      </c>
      <c r="Q489" s="26" t="n">
        <v>0</v>
      </c>
      <c r="R489" s="26" t="n">
        <v>372.5</v>
      </c>
      <c r="S489" s="26" t="n">
        <v>0</v>
      </c>
      <c r="T489" s="26" t="n">
        <v>0</v>
      </c>
      <c r="U489" s="26" t="n">
        <v>0</v>
      </c>
    </row>
    <row r="490" customFormat="false" ht="15" hidden="false" customHeight="true" outlineLevel="0" collapsed="false">
      <c r="A490" s="8" t="s">
        <v>407</v>
      </c>
      <c r="B490" s="8" t="s">
        <v>239</v>
      </c>
      <c r="C490" s="8" t="s">
        <v>858</v>
      </c>
      <c r="D490" s="26" t="n">
        <v>0</v>
      </c>
      <c r="E490" s="26" t="n">
        <v>0</v>
      </c>
      <c r="F490" s="26" t="n">
        <v>231.9</v>
      </c>
      <c r="G490" s="26" t="n">
        <v>0</v>
      </c>
      <c r="H490" s="26" t="n">
        <v>0</v>
      </c>
      <c r="I490" s="26" t="n">
        <v>0</v>
      </c>
      <c r="J490" s="26" t="n">
        <v>0</v>
      </c>
      <c r="K490" s="26" t="n">
        <v>0</v>
      </c>
      <c r="L490" s="26" t="n">
        <v>0</v>
      </c>
      <c r="M490" s="26" t="n">
        <v>0</v>
      </c>
      <c r="N490" s="26" t="n">
        <v>0</v>
      </c>
      <c r="O490" s="26" t="n">
        <v>0</v>
      </c>
      <c r="P490" s="26" t="n">
        <v>0</v>
      </c>
      <c r="Q490" s="26" t="n">
        <v>0</v>
      </c>
      <c r="R490" s="26" t="n">
        <v>0</v>
      </c>
      <c r="S490" s="26" t="n">
        <v>0</v>
      </c>
      <c r="T490" s="26" t="n">
        <v>0</v>
      </c>
      <c r="U490" s="26" t="n">
        <v>0</v>
      </c>
    </row>
    <row r="491" customFormat="false" ht="15" hidden="false" customHeight="true" outlineLevel="0" collapsed="false">
      <c r="A491" s="8" t="s">
        <v>407</v>
      </c>
      <c r="B491" s="8" t="s">
        <v>239</v>
      </c>
      <c r="C491" s="8" t="s">
        <v>859</v>
      </c>
      <c r="D491" s="26" t="n">
        <v>0</v>
      </c>
      <c r="E491" s="26" t="n">
        <v>0</v>
      </c>
      <c r="F491" s="26" t="n">
        <v>724.8</v>
      </c>
      <c r="G491" s="26" t="n">
        <v>0</v>
      </c>
      <c r="H491" s="26" t="n">
        <v>0</v>
      </c>
      <c r="I491" s="26" t="n">
        <v>1746.6</v>
      </c>
      <c r="J491" s="26" t="n">
        <v>0</v>
      </c>
      <c r="K491" s="26" t="n">
        <v>0</v>
      </c>
      <c r="L491" s="26" t="n">
        <v>0</v>
      </c>
      <c r="M491" s="26" t="n">
        <v>0</v>
      </c>
      <c r="N491" s="26" t="n">
        <v>0</v>
      </c>
      <c r="O491" s="26" t="n">
        <v>0</v>
      </c>
      <c r="P491" s="26" t="n">
        <v>-249.8</v>
      </c>
      <c r="Q491" s="26" t="n">
        <v>1772.9</v>
      </c>
      <c r="R491" s="26" t="n">
        <v>223.5</v>
      </c>
      <c r="S491" s="26" t="n">
        <v>0</v>
      </c>
      <c r="T491" s="26" t="n">
        <v>0</v>
      </c>
      <c r="U491" s="26" t="n">
        <v>0</v>
      </c>
    </row>
    <row r="492" customFormat="false" ht="15" hidden="false" customHeight="true" outlineLevel="0" collapsed="false">
      <c r="A492" s="8" t="s">
        <v>407</v>
      </c>
      <c r="B492" s="8" t="s">
        <v>239</v>
      </c>
      <c r="C492" s="8" t="s">
        <v>860</v>
      </c>
      <c r="D492" s="26" t="n">
        <v>0</v>
      </c>
      <c r="E492" s="26" t="n">
        <v>0</v>
      </c>
      <c r="F492" s="26" t="n">
        <v>309.2</v>
      </c>
      <c r="G492" s="26" t="n">
        <v>0</v>
      </c>
      <c r="H492" s="26" t="n">
        <v>0</v>
      </c>
      <c r="I492" s="26" t="n">
        <v>1273.3</v>
      </c>
      <c r="J492" s="26" t="n">
        <v>0</v>
      </c>
      <c r="K492" s="26" t="n">
        <v>0</v>
      </c>
      <c r="L492" s="26" t="n">
        <v>0</v>
      </c>
      <c r="M492" s="26" t="n">
        <v>0</v>
      </c>
      <c r="N492" s="26" t="n">
        <v>0</v>
      </c>
      <c r="O492" s="26" t="n">
        <v>0</v>
      </c>
      <c r="P492" s="26" t="n">
        <v>-425.1</v>
      </c>
      <c r="Q492" s="26" t="n">
        <v>1549.4</v>
      </c>
      <c r="R492" s="26" t="n">
        <v>149</v>
      </c>
      <c r="S492" s="26" t="n">
        <v>0</v>
      </c>
      <c r="T492" s="26" t="n">
        <v>0</v>
      </c>
      <c r="U492" s="26" t="n">
        <v>0</v>
      </c>
    </row>
    <row r="493" customFormat="false" ht="15" hidden="false" customHeight="true" outlineLevel="0" collapsed="false">
      <c r="A493" s="8" t="s">
        <v>407</v>
      </c>
      <c r="B493" s="8" t="s">
        <v>239</v>
      </c>
      <c r="C493" s="8" t="s">
        <v>861</v>
      </c>
      <c r="D493" s="26" t="n">
        <v>0</v>
      </c>
      <c r="E493" s="26" t="n">
        <v>0</v>
      </c>
      <c r="F493" s="26" t="n">
        <v>77.3</v>
      </c>
      <c r="G493" s="26" t="n">
        <v>0</v>
      </c>
      <c r="H493" s="26" t="n">
        <v>0</v>
      </c>
      <c r="I493" s="26" t="n">
        <v>688.6</v>
      </c>
      <c r="J493" s="26" t="n">
        <v>0</v>
      </c>
      <c r="K493" s="26" t="n">
        <v>0</v>
      </c>
      <c r="L493" s="26" t="n">
        <v>0</v>
      </c>
      <c r="M493" s="26" t="n">
        <v>0</v>
      </c>
      <c r="N493" s="26" t="n">
        <v>0</v>
      </c>
      <c r="O493" s="26" t="n">
        <v>0</v>
      </c>
      <c r="P493" s="26" t="n">
        <v>-425.1</v>
      </c>
      <c r="Q493" s="26" t="n">
        <v>815.7</v>
      </c>
      <c r="R493" s="26" t="n">
        <v>298</v>
      </c>
      <c r="S493" s="26" t="n">
        <v>0</v>
      </c>
      <c r="T493" s="26" t="n">
        <v>0</v>
      </c>
      <c r="U493" s="26" t="n">
        <v>0</v>
      </c>
    </row>
    <row r="494" customFormat="false" ht="15" hidden="false" customHeight="true" outlineLevel="0" collapsed="false">
      <c r="A494" s="8" t="s">
        <v>407</v>
      </c>
      <c r="B494" s="8" t="s">
        <v>375</v>
      </c>
      <c r="C494" s="8" t="s">
        <v>862</v>
      </c>
      <c r="D494" s="26" t="n">
        <v>0</v>
      </c>
      <c r="E494" s="26" t="n">
        <v>0</v>
      </c>
      <c r="F494" s="26" t="n">
        <v>0</v>
      </c>
      <c r="G494" s="26" t="n">
        <v>0</v>
      </c>
      <c r="H494" s="26" t="n">
        <v>0</v>
      </c>
      <c r="I494" s="26" t="n">
        <v>-213</v>
      </c>
      <c r="J494" s="26" t="n">
        <v>0</v>
      </c>
      <c r="K494" s="26" t="n">
        <v>0</v>
      </c>
      <c r="L494" s="26" t="n">
        <v>0</v>
      </c>
      <c r="M494" s="26" t="n">
        <v>0</v>
      </c>
      <c r="N494" s="26" t="n">
        <v>0</v>
      </c>
      <c r="O494" s="26" t="n">
        <v>0</v>
      </c>
      <c r="P494" s="26" t="n">
        <v>0</v>
      </c>
      <c r="Q494" s="26" t="n">
        <v>-213</v>
      </c>
      <c r="R494" s="26" t="n">
        <v>0</v>
      </c>
      <c r="S494" s="26" t="n">
        <v>0</v>
      </c>
      <c r="T494" s="26" t="n">
        <v>0</v>
      </c>
      <c r="U494" s="26" t="n">
        <v>0</v>
      </c>
    </row>
    <row r="495" customFormat="false" ht="15" hidden="false" customHeight="true" outlineLevel="0" collapsed="false">
      <c r="A495" s="8" t="s">
        <v>407</v>
      </c>
      <c r="B495" s="8" t="s">
        <v>378</v>
      </c>
      <c r="C495" s="8" t="s">
        <v>862</v>
      </c>
      <c r="D495" s="26" t="n">
        <v>0</v>
      </c>
      <c r="E495" s="26" t="n">
        <v>0</v>
      </c>
      <c r="F495" s="26" t="n">
        <v>0</v>
      </c>
      <c r="G495" s="26" t="n">
        <v>0</v>
      </c>
      <c r="H495" s="26" t="n">
        <v>0</v>
      </c>
      <c r="I495" s="26" t="n">
        <v>-106.5</v>
      </c>
      <c r="J495" s="26" t="n">
        <v>0</v>
      </c>
      <c r="K495" s="26" t="n">
        <v>0</v>
      </c>
      <c r="L495" s="26" t="n">
        <v>0</v>
      </c>
      <c r="M495" s="26" t="n">
        <v>0</v>
      </c>
      <c r="N495" s="26" t="n">
        <v>0</v>
      </c>
      <c r="O495" s="26" t="n">
        <v>0</v>
      </c>
      <c r="P495" s="26" t="n">
        <v>0</v>
      </c>
      <c r="Q495" s="26" t="n">
        <v>-106.5</v>
      </c>
      <c r="R495" s="26" t="n">
        <v>0</v>
      </c>
      <c r="S495" s="26" t="n">
        <v>0</v>
      </c>
      <c r="T495" s="26" t="n">
        <v>0</v>
      </c>
      <c r="U495" s="26" t="n">
        <v>0</v>
      </c>
    </row>
    <row r="496" customFormat="false" ht="15" hidden="false" customHeight="true" outlineLevel="0" collapsed="false">
      <c r="A496" s="8" t="s">
        <v>407</v>
      </c>
      <c r="B496" s="8" t="s">
        <v>379</v>
      </c>
      <c r="C496" s="8" t="s">
        <v>862</v>
      </c>
      <c r="D496" s="26" t="n">
        <v>0</v>
      </c>
      <c r="E496" s="26" t="n">
        <v>0</v>
      </c>
      <c r="F496" s="26" t="n">
        <v>0</v>
      </c>
      <c r="G496" s="26" t="n">
        <v>0</v>
      </c>
      <c r="H496" s="26" t="n">
        <v>0</v>
      </c>
      <c r="I496" s="26" t="n">
        <v>-106.5</v>
      </c>
      <c r="J496" s="26" t="n">
        <v>0</v>
      </c>
      <c r="K496" s="26" t="n">
        <v>0</v>
      </c>
      <c r="L496" s="26" t="n">
        <v>0</v>
      </c>
      <c r="M496" s="26" t="n">
        <v>0</v>
      </c>
      <c r="N496" s="26" t="n">
        <v>0</v>
      </c>
      <c r="O496" s="26" t="n">
        <v>0</v>
      </c>
      <c r="P496" s="26" t="n">
        <v>0</v>
      </c>
      <c r="Q496" s="26" t="n">
        <v>-106.5</v>
      </c>
      <c r="R496" s="26" t="n">
        <v>0</v>
      </c>
      <c r="S496" s="26" t="n">
        <v>0</v>
      </c>
      <c r="T496" s="26" t="n">
        <v>0</v>
      </c>
      <c r="U496" s="26" t="n">
        <v>0</v>
      </c>
    </row>
    <row r="497" customFormat="false" ht="15" hidden="false" customHeight="true" outlineLevel="0" collapsed="false">
      <c r="A497" s="8" t="s">
        <v>407</v>
      </c>
      <c r="B497" s="8" t="s">
        <v>380</v>
      </c>
      <c r="C497" s="8" t="s">
        <v>862</v>
      </c>
      <c r="D497" s="26" t="n">
        <v>0</v>
      </c>
      <c r="E497" s="26" t="n">
        <v>0</v>
      </c>
      <c r="F497" s="26" t="n">
        <v>0</v>
      </c>
      <c r="G497" s="26" t="n">
        <v>0</v>
      </c>
      <c r="H497" s="26" t="n">
        <v>0</v>
      </c>
      <c r="I497" s="26" t="n">
        <v>-106.5</v>
      </c>
      <c r="J497" s="26" t="n">
        <v>0</v>
      </c>
      <c r="K497" s="26" t="n">
        <v>0</v>
      </c>
      <c r="L497" s="26" t="n">
        <v>0</v>
      </c>
      <c r="M497" s="26" t="n">
        <v>0</v>
      </c>
      <c r="N497" s="26" t="n">
        <v>0</v>
      </c>
      <c r="O497" s="26" t="n">
        <v>0</v>
      </c>
      <c r="P497" s="26" t="n">
        <v>0</v>
      </c>
      <c r="Q497" s="26" t="n">
        <v>-106.5</v>
      </c>
      <c r="R497" s="26" t="n">
        <v>0</v>
      </c>
      <c r="S497" s="26" t="n">
        <v>0</v>
      </c>
      <c r="T497" s="26" t="n">
        <v>0</v>
      </c>
      <c r="U497" s="26" t="n">
        <v>0</v>
      </c>
    </row>
    <row r="498" customFormat="false" ht="15" hidden="false" customHeight="true" outlineLevel="0" collapsed="false">
      <c r="A498" s="8" t="s">
        <v>407</v>
      </c>
      <c r="B498" s="8" t="s">
        <v>150</v>
      </c>
      <c r="C498" s="8" t="s">
        <v>863</v>
      </c>
      <c r="D498" s="26" t="n">
        <v>0</v>
      </c>
      <c r="E498" s="26" t="n">
        <v>0</v>
      </c>
      <c r="F498" s="26" t="n">
        <v>830.5</v>
      </c>
      <c r="G498" s="26" t="n">
        <v>0</v>
      </c>
      <c r="H498" s="26" t="n">
        <v>0</v>
      </c>
      <c r="I498" s="26" t="n">
        <v>1880.3</v>
      </c>
      <c r="J498" s="26" t="n">
        <v>0</v>
      </c>
      <c r="K498" s="26" t="n">
        <v>0</v>
      </c>
      <c r="L498" s="26" t="n">
        <v>0</v>
      </c>
      <c r="M498" s="26" t="n">
        <v>0</v>
      </c>
      <c r="N498" s="26" t="n">
        <v>0</v>
      </c>
      <c r="O498" s="26" t="n">
        <v>0</v>
      </c>
      <c r="P498" s="26" t="n">
        <v>0</v>
      </c>
      <c r="Q498" s="26" t="n">
        <v>1880.3</v>
      </c>
      <c r="R498" s="26" t="n">
        <v>0</v>
      </c>
      <c r="S498" s="26" t="n">
        <v>0</v>
      </c>
      <c r="T498" s="26" t="n">
        <v>0</v>
      </c>
      <c r="U498" s="26" t="n">
        <v>0</v>
      </c>
    </row>
    <row r="499" customFormat="false" ht="15" hidden="false" customHeight="true" outlineLevel="0" collapsed="false">
      <c r="A499" s="8" t="s">
        <v>407</v>
      </c>
      <c r="B499" s="8" t="s">
        <v>150</v>
      </c>
      <c r="C499" s="8" t="s">
        <v>864</v>
      </c>
      <c r="D499" s="26" t="n">
        <v>0</v>
      </c>
      <c r="E499" s="26" t="n">
        <v>0</v>
      </c>
      <c r="F499" s="26" t="n">
        <v>1474.1</v>
      </c>
      <c r="G499" s="26" t="n">
        <v>0</v>
      </c>
      <c r="H499" s="26" t="n">
        <v>0</v>
      </c>
      <c r="I499" s="26" t="n">
        <v>3212.4</v>
      </c>
      <c r="J499" s="26" t="n">
        <v>0</v>
      </c>
      <c r="K499" s="26" t="n">
        <v>1086.1</v>
      </c>
      <c r="L499" s="26" t="n">
        <v>-271.5</v>
      </c>
      <c r="M499" s="26" t="n">
        <v>0</v>
      </c>
      <c r="N499" s="26" t="n">
        <v>0</v>
      </c>
      <c r="O499" s="26" t="n">
        <v>0</v>
      </c>
      <c r="P499" s="26" t="n">
        <v>-955.5</v>
      </c>
      <c r="Q499" s="26" t="n">
        <v>2674.5</v>
      </c>
      <c r="R499" s="26" t="n">
        <v>678.8</v>
      </c>
      <c r="S499" s="26" t="n">
        <v>0</v>
      </c>
      <c r="T499" s="26" t="n">
        <v>0</v>
      </c>
      <c r="U499" s="26" t="n">
        <v>0</v>
      </c>
    </row>
    <row r="500" customFormat="false" ht="15" hidden="false" customHeight="true" outlineLevel="0" collapsed="false">
      <c r="A500" s="8" t="s">
        <v>407</v>
      </c>
      <c r="B500" s="8" t="s">
        <v>150</v>
      </c>
      <c r="C500" s="8" t="s">
        <v>865</v>
      </c>
      <c r="D500" s="26" t="n">
        <v>0</v>
      </c>
      <c r="E500" s="26" t="n">
        <v>0</v>
      </c>
      <c r="F500" s="26" t="n">
        <v>2570.5</v>
      </c>
      <c r="G500" s="26" t="n">
        <v>0</v>
      </c>
      <c r="H500" s="26" t="n">
        <v>0</v>
      </c>
      <c r="I500" s="26" t="n">
        <v>5160</v>
      </c>
      <c r="J500" s="26" t="n">
        <v>0</v>
      </c>
      <c r="K500" s="26" t="n">
        <v>135.8</v>
      </c>
      <c r="L500" s="26" t="n">
        <v>0</v>
      </c>
      <c r="M500" s="26" t="n">
        <v>0</v>
      </c>
      <c r="N500" s="26" t="n">
        <v>0</v>
      </c>
      <c r="O500" s="26" t="n">
        <v>0</v>
      </c>
      <c r="P500" s="26" t="n">
        <v>-1044.3</v>
      </c>
      <c r="Q500" s="26" t="n">
        <v>4167.8</v>
      </c>
      <c r="R500" s="26" t="n">
        <v>1900.6</v>
      </c>
      <c r="S500" s="26" t="n">
        <v>0</v>
      </c>
      <c r="T500" s="26" t="n">
        <v>0</v>
      </c>
      <c r="U500" s="26" t="n">
        <v>0</v>
      </c>
    </row>
    <row r="501" customFormat="false" ht="15" hidden="false" customHeight="true" outlineLevel="0" collapsed="false">
      <c r="A501" s="8" t="s">
        <v>407</v>
      </c>
      <c r="B501" s="8" t="s">
        <v>150</v>
      </c>
      <c r="C501" s="8" t="s">
        <v>866</v>
      </c>
      <c r="D501" s="26" t="n">
        <v>0</v>
      </c>
      <c r="E501" s="26" t="n">
        <v>0</v>
      </c>
      <c r="F501" s="26" t="n">
        <v>1455.4</v>
      </c>
      <c r="G501" s="26" t="n">
        <v>0</v>
      </c>
      <c r="H501" s="26" t="n">
        <v>0</v>
      </c>
      <c r="I501" s="26" t="n">
        <v>1887.1</v>
      </c>
      <c r="J501" s="26" t="n">
        <v>0</v>
      </c>
      <c r="K501" s="26" t="n">
        <v>271.5</v>
      </c>
      <c r="L501" s="26" t="n">
        <v>0</v>
      </c>
      <c r="M501" s="26" t="n">
        <v>0</v>
      </c>
      <c r="N501" s="26" t="n">
        <v>0</v>
      </c>
      <c r="O501" s="26" t="n">
        <v>0</v>
      </c>
      <c r="P501" s="26" t="n">
        <v>-407.3</v>
      </c>
      <c r="Q501" s="26" t="n">
        <v>1751.3</v>
      </c>
      <c r="R501" s="26" t="n">
        <v>271.5</v>
      </c>
      <c r="S501" s="26" t="n">
        <v>0</v>
      </c>
      <c r="T501" s="26" t="n">
        <v>0</v>
      </c>
      <c r="U501" s="26" t="n">
        <v>0</v>
      </c>
    </row>
    <row r="502" customFormat="false" ht="15" hidden="false" customHeight="true" outlineLevel="0" collapsed="false">
      <c r="A502" s="8" t="s">
        <v>407</v>
      </c>
      <c r="B502" s="8" t="s">
        <v>150</v>
      </c>
      <c r="C502" s="8" t="s">
        <v>867</v>
      </c>
      <c r="D502" s="26" t="n">
        <v>0</v>
      </c>
      <c r="E502" s="26" t="n">
        <v>0</v>
      </c>
      <c r="F502" s="26" t="n">
        <v>112.7</v>
      </c>
      <c r="G502" s="26" t="n">
        <v>0</v>
      </c>
      <c r="H502" s="26" t="n">
        <v>0</v>
      </c>
      <c r="I502" s="26" t="n">
        <v>375.2</v>
      </c>
      <c r="J502" s="26" t="n">
        <v>0</v>
      </c>
      <c r="K502" s="26" t="n">
        <v>271.5</v>
      </c>
      <c r="L502" s="26" t="n">
        <v>0</v>
      </c>
      <c r="M502" s="26" t="n">
        <v>0</v>
      </c>
      <c r="N502" s="26" t="n">
        <v>0</v>
      </c>
      <c r="O502" s="26" t="n">
        <v>0</v>
      </c>
      <c r="P502" s="26" t="n">
        <v>-1044.3</v>
      </c>
      <c r="Q502" s="26" t="n">
        <v>469.1</v>
      </c>
      <c r="R502" s="26" t="n">
        <v>678.8</v>
      </c>
      <c r="S502" s="26" t="n">
        <v>0</v>
      </c>
      <c r="T502" s="26" t="n">
        <v>0</v>
      </c>
      <c r="U502" s="26" t="n">
        <v>0</v>
      </c>
    </row>
    <row r="503" customFormat="false" ht="15" hidden="false" customHeight="true" outlineLevel="0" collapsed="false">
      <c r="A503" s="8" t="s">
        <v>407</v>
      </c>
      <c r="B503" s="8" t="s">
        <v>310</v>
      </c>
      <c r="C503" s="8" t="s">
        <v>868</v>
      </c>
      <c r="D503" s="26" t="n">
        <v>0</v>
      </c>
      <c r="E503" s="26" t="n">
        <v>0</v>
      </c>
      <c r="F503" s="26" t="n">
        <v>0</v>
      </c>
      <c r="G503" s="26" t="n">
        <v>0</v>
      </c>
      <c r="H503" s="26" t="n">
        <v>0</v>
      </c>
      <c r="I503" s="26" t="n">
        <v>-570.3</v>
      </c>
      <c r="J503" s="26" t="n">
        <v>0</v>
      </c>
      <c r="K503" s="26" t="n">
        <v>0</v>
      </c>
      <c r="L503" s="26" t="n">
        <v>0</v>
      </c>
      <c r="M503" s="26" t="n">
        <v>0</v>
      </c>
      <c r="N503" s="26" t="n">
        <v>0</v>
      </c>
      <c r="O503" s="26" t="n">
        <v>0</v>
      </c>
      <c r="P503" s="26" t="n">
        <v>0</v>
      </c>
      <c r="Q503" s="26" t="n">
        <v>-570.3</v>
      </c>
      <c r="R503" s="26" t="n">
        <v>0</v>
      </c>
      <c r="S503" s="26" t="n">
        <v>0</v>
      </c>
      <c r="T503" s="26" t="n">
        <v>0</v>
      </c>
      <c r="U503" s="26" t="n">
        <v>0</v>
      </c>
    </row>
    <row r="504" customFormat="false" ht="15" hidden="false" customHeight="true" outlineLevel="0" collapsed="false">
      <c r="A504" s="8" t="s">
        <v>407</v>
      </c>
      <c r="B504" s="8" t="s">
        <v>294</v>
      </c>
      <c r="C504" s="8" t="s">
        <v>869</v>
      </c>
      <c r="D504" s="26" t="n">
        <v>0</v>
      </c>
      <c r="E504" s="26" t="n">
        <v>0</v>
      </c>
      <c r="F504" s="26" t="n">
        <v>108.7</v>
      </c>
      <c r="G504" s="26" t="n">
        <v>0</v>
      </c>
      <c r="H504" s="26" t="n">
        <v>0</v>
      </c>
      <c r="I504" s="26" t="n">
        <v>0</v>
      </c>
      <c r="J504" s="26" t="n">
        <v>0</v>
      </c>
      <c r="K504" s="26" t="n">
        <v>0</v>
      </c>
      <c r="L504" s="26" t="n">
        <v>0</v>
      </c>
      <c r="M504" s="26" t="n">
        <v>0</v>
      </c>
      <c r="N504" s="26" t="n">
        <v>0</v>
      </c>
      <c r="O504" s="26" t="n">
        <v>0</v>
      </c>
      <c r="P504" s="26" t="n">
        <v>0</v>
      </c>
      <c r="Q504" s="26" t="n">
        <v>0</v>
      </c>
      <c r="R504" s="26" t="n">
        <v>0</v>
      </c>
      <c r="S504" s="26" t="n">
        <v>0</v>
      </c>
      <c r="T504" s="26" t="n">
        <v>0</v>
      </c>
      <c r="U504" s="26" t="n">
        <v>0</v>
      </c>
    </row>
    <row r="505" customFormat="false" ht="15" hidden="false" customHeight="true" outlineLevel="0" collapsed="false">
      <c r="A505" s="8" t="s">
        <v>407</v>
      </c>
      <c r="B505" s="8" t="s">
        <v>294</v>
      </c>
      <c r="C505" s="8" t="s">
        <v>870</v>
      </c>
      <c r="D505" s="26" t="n">
        <v>0</v>
      </c>
      <c r="E505" s="26" t="n">
        <v>0</v>
      </c>
      <c r="F505" s="26" t="n">
        <v>108.7</v>
      </c>
      <c r="G505" s="26" t="n">
        <v>0</v>
      </c>
      <c r="H505" s="26" t="n">
        <v>0</v>
      </c>
      <c r="I505" s="26" t="n">
        <v>-188.4</v>
      </c>
      <c r="J505" s="26" t="n">
        <v>0</v>
      </c>
      <c r="K505" s="26" t="n">
        <v>0</v>
      </c>
      <c r="L505" s="26" t="n">
        <v>0</v>
      </c>
      <c r="M505" s="26" t="n">
        <v>0</v>
      </c>
      <c r="N505" s="26" t="n">
        <v>0</v>
      </c>
      <c r="O505" s="26" t="n">
        <v>0</v>
      </c>
      <c r="P505" s="26" t="n">
        <v>0</v>
      </c>
      <c r="Q505" s="26" t="n">
        <v>-188.4</v>
      </c>
      <c r="R505" s="26" t="n">
        <v>0</v>
      </c>
      <c r="S505" s="26" t="n">
        <v>0</v>
      </c>
      <c r="T505" s="26" t="n">
        <v>0</v>
      </c>
      <c r="U505" s="26" t="n">
        <v>0</v>
      </c>
    </row>
    <row r="506" customFormat="false" ht="15" hidden="false" customHeight="true" outlineLevel="0" collapsed="false">
      <c r="A506" s="8" t="s">
        <v>407</v>
      </c>
      <c r="B506" s="8" t="s">
        <v>293</v>
      </c>
      <c r="C506" s="8" t="s">
        <v>871</v>
      </c>
      <c r="D506" s="26" t="n">
        <v>0</v>
      </c>
      <c r="E506" s="26" t="n">
        <v>0</v>
      </c>
      <c r="F506" s="26" t="n">
        <v>108.7</v>
      </c>
      <c r="G506" s="26" t="n">
        <v>0</v>
      </c>
      <c r="H506" s="26" t="n">
        <v>0</v>
      </c>
      <c r="I506" s="26" t="n">
        <v>0</v>
      </c>
      <c r="J506" s="26" t="n">
        <v>0</v>
      </c>
      <c r="K506" s="26" t="n">
        <v>0</v>
      </c>
      <c r="L506" s="26" t="n">
        <v>0</v>
      </c>
      <c r="M506" s="26" t="n">
        <v>0</v>
      </c>
      <c r="N506" s="26" t="n">
        <v>0</v>
      </c>
      <c r="O506" s="26" t="n">
        <v>0</v>
      </c>
      <c r="P506" s="26" t="n">
        <v>0</v>
      </c>
      <c r="Q506" s="26" t="n">
        <v>0</v>
      </c>
      <c r="R506" s="26" t="n">
        <v>0</v>
      </c>
      <c r="S506" s="26" t="n">
        <v>0</v>
      </c>
      <c r="T506" s="26" t="n">
        <v>0</v>
      </c>
      <c r="U506" s="26" t="n">
        <v>0</v>
      </c>
    </row>
    <row r="507" customFormat="false" ht="15" hidden="false" customHeight="true" outlineLevel="0" collapsed="false">
      <c r="A507" s="8" t="s">
        <v>407</v>
      </c>
      <c r="B507" s="8" t="s">
        <v>293</v>
      </c>
      <c r="C507" s="8" t="s">
        <v>872</v>
      </c>
      <c r="D507" s="26" t="n">
        <v>0</v>
      </c>
      <c r="E507" s="26" t="n">
        <v>0</v>
      </c>
      <c r="F507" s="26" t="n">
        <v>108.7</v>
      </c>
      <c r="G507" s="26" t="n">
        <v>0</v>
      </c>
      <c r="H507" s="26" t="n">
        <v>0</v>
      </c>
      <c r="I507" s="26" t="n">
        <v>0</v>
      </c>
      <c r="J507" s="26" t="n">
        <v>0</v>
      </c>
      <c r="K507" s="26" t="n">
        <v>0</v>
      </c>
      <c r="L507" s="26" t="n">
        <v>0</v>
      </c>
      <c r="M507" s="26" t="n">
        <v>0</v>
      </c>
      <c r="N507" s="26" t="n">
        <v>0</v>
      </c>
      <c r="O507" s="26" t="n">
        <v>0</v>
      </c>
      <c r="P507" s="26" t="n">
        <v>0</v>
      </c>
      <c r="Q507" s="26" t="n">
        <v>0</v>
      </c>
      <c r="R507" s="26" t="n">
        <v>0</v>
      </c>
      <c r="S507" s="26" t="n">
        <v>0</v>
      </c>
      <c r="T507" s="26" t="n">
        <v>0</v>
      </c>
      <c r="U507" s="26" t="n">
        <v>0</v>
      </c>
    </row>
    <row r="508" customFormat="false" ht="15" hidden="false" customHeight="true" outlineLevel="0" collapsed="false">
      <c r="A508" s="8" t="s">
        <v>407</v>
      </c>
      <c r="B508" s="8" t="s">
        <v>295</v>
      </c>
      <c r="C508" s="8" t="s">
        <v>873</v>
      </c>
      <c r="D508" s="26" t="n">
        <v>0</v>
      </c>
      <c r="E508" s="26" t="n">
        <v>0</v>
      </c>
      <c r="F508" s="26" t="n">
        <v>108.7</v>
      </c>
      <c r="G508" s="26" t="n">
        <v>0</v>
      </c>
      <c r="H508" s="26" t="n">
        <v>0</v>
      </c>
      <c r="I508" s="26" t="n">
        <v>0</v>
      </c>
      <c r="J508" s="26" t="n">
        <v>0</v>
      </c>
      <c r="K508" s="26" t="n">
        <v>0</v>
      </c>
      <c r="L508" s="26" t="n">
        <v>0</v>
      </c>
      <c r="M508" s="26" t="n">
        <v>0</v>
      </c>
      <c r="N508" s="26" t="n">
        <v>0</v>
      </c>
      <c r="O508" s="26" t="n">
        <v>0</v>
      </c>
      <c r="P508" s="26" t="n">
        <v>0</v>
      </c>
      <c r="Q508" s="26" t="n">
        <v>0</v>
      </c>
      <c r="R508" s="26" t="n">
        <v>0</v>
      </c>
      <c r="S508" s="26" t="n">
        <v>0</v>
      </c>
      <c r="T508" s="26" t="n">
        <v>0</v>
      </c>
      <c r="U508" s="26" t="n">
        <v>0</v>
      </c>
    </row>
    <row r="509" customFormat="false" ht="15" hidden="false" customHeight="true" outlineLevel="0" collapsed="false">
      <c r="A509" s="8" t="s">
        <v>407</v>
      </c>
      <c r="B509" s="8" t="s">
        <v>295</v>
      </c>
      <c r="C509" s="8" t="s">
        <v>874</v>
      </c>
      <c r="D509" s="26" t="n">
        <v>0</v>
      </c>
      <c r="E509" s="26" t="n">
        <v>0</v>
      </c>
      <c r="F509" s="26" t="n">
        <v>108.7</v>
      </c>
      <c r="G509" s="26" t="n">
        <v>0</v>
      </c>
      <c r="H509" s="26" t="n">
        <v>0</v>
      </c>
      <c r="I509" s="26" t="n">
        <v>0</v>
      </c>
      <c r="J509" s="26" t="n">
        <v>0</v>
      </c>
      <c r="K509" s="26" t="n">
        <v>0</v>
      </c>
      <c r="L509" s="26" t="n">
        <v>0</v>
      </c>
      <c r="M509" s="26" t="n">
        <v>0</v>
      </c>
      <c r="N509" s="26" t="n">
        <v>0</v>
      </c>
      <c r="O509" s="26" t="n">
        <v>0</v>
      </c>
      <c r="P509" s="26" t="n">
        <v>0</v>
      </c>
      <c r="Q509" s="26" t="n">
        <v>0</v>
      </c>
      <c r="R509" s="26" t="n">
        <v>0</v>
      </c>
      <c r="S509" s="26" t="n">
        <v>0</v>
      </c>
      <c r="T509" s="26" t="n">
        <v>0</v>
      </c>
      <c r="U509" s="26" t="n">
        <v>0</v>
      </c>
    </row>
    <row r="510" customFormat="false" ht="15" hidden="false" customHeight="true" outlineLevel="0" collapsed="false">
      <c r="A510" s="8" t="s">
        <v>407</v>
      </c>
      <c r="B510" s="8" t="s">
        <v>292</v>
      </c>
      <c r="C510" s="8" t="s">
        <v>875</v>
      </c>
      <c r="D510" s="26" t="n">
        <v>0</v>
      </c>
      <c r="E510" s="26" t="n">
        <v>0</v>
      </c>
      <c r="F510" s="26" t="n">
        <v>108.7</v>
      </c>
      <c r="G510" s="26" t="n">
        <v>0</v>
      </c>
      <c r="H510" s="26" t="n">
        <v>0</v>
      </c>
      <c r="I510" s="26" t="n">
        <v>0</v>
      </c>
      <c r="J510" s="26" t="n">
        <v>0</v>
      </c>
      <c r="K510" s="26" t="n">
        <v>0</v>
      </c>
      <c r="L510" s="26" t="n">
        <v>0</v>
      </c>
      <c r="M510" s="26" t="n">
        <v>0</v>
      </c>
      <c r="N510" s="26" t="n">
        <v>0</v>
      </c>
      <c r="O510" s="26" t="n">
        <v>0</v>
      </c>
      <c r="P510" s="26" t="n">
        <v>0</v>
      </c>
      <c r="Q510" s="26" t="n">
        <v>0</v>
      </c>
      <c r="R510" s="26" t="n">
        <v>0</v>
      </c>
      <c r="S510" s="26" t="n">
        <v>0</v>
      </c>
      <c r="T510" s="26" t="n">
        <v>0</v>
      </c>
      <c r="U510" s="26" t="n">
        <v>0</v>
      </c>
    </row>
    <row r="511" customFormat="false" ht="15" hidden="false" customHeight="true" outlineLevel="0" collapsed="false">
      <c r="A511" s="8" t="s">
        <v>407</v>
      </c>
      <c r="B511" s="8" t="s">
        <v>292</v>
      </c>
      <c r="C511" s="8" t="s">
        <v>876</v>
      </c>
      <c r="D511" s="26" t="n">
        <v>0</v>
      </c>
      <c r="E511" s="26" t="n">
        <v>0</v>
      </c>
      <c r="F511" s="26" t="n">
        <v>108.7</v>
      </c>
      <c r="G511" s="26" t="n">
        <v>0</v>
      </c>
      <c r="H511" s="26" t="n">
        <v>0</v>
      </c>
      <c r="I511" s="26" t="n">
        <v>0</v>
      </c>
      <c r="J511" s="26" t="n">
        <v>0</v>
      </c>
      <c r="K511" s="26" t="n">
        <v>0</v>
      </c>
      <c r="L511" s="26" t="n">
        <v>0</v>
      </c>
      <c r="M511" s="26" t="n">
        <v>0</v>
      </c>
      <c r="N511" s="26" t="n">
        <v>0</v>
      </c>
      <c r="O511" s="26" t="n">
        <v>0</v>
      </c>
      <c r="P511" s="26" t="n">
        <v>0</v>
      </c>
      <c r="Q511" s="26" t="n">
        <v>0</v>
      </c>
      <c r="R511" s="26" t="n">
        <v>0</v>
      </c>
      <c r="S511" s="26" t="n">
        <v>0</v>
      </c>
      <c r="T511" s="26" t="n">
        <v>0</v>
      </c>
      <c r="U511" s="26" t="n">
        <v>0</v>
      </c>
    </row>
    <row r="512" customFormat="false" ht="15" hidden="false" customHeight="true" outlineLevel="0" collapsed="false">
      <c r="A512" s="8" t="s">
        <v>407</v>
      </c>
      <c r="B512" s="8" t="s">
        <v>24</v>
      </c>
      <c r="C512" s="8" t="s">
        <v>877</v>
      </c>
      <c r="D512" s="26" t="n">
        <v>0</v>
      </c>
      <c r="E512" s="26" t="n">
        <v>0</v>
      </c>
      <c r="F512" s="26" t="n">
        <v>0</v>
      </c>
      <c r="G512" s="26" t="n">
        <v>0</v>
      </c>
      <c r="H512" s="26" t="n">
        <v>0</v>
      </c>
      <c r="I512" s="26" t="n">
        <v>-26.4</v>
      </c>
      <c r="J512" s="26" t="n">
        <v>0</v>
      </c>
      <c r="K512" s="26" t="n">
        <v>0</v>
      </c>
      <c r="L512" s="26" t="n">
        <v>0</v>
      </c>
      <c r="M512" s="26" t="n">
        <v>0</v>
      </c>
      <c r="N512" s="26" t="n">
        <v>0</v>
      </c>
      <c r="O512" s="26" t="n">
        <v>0</v>
      </c>
      <c r="P512" s="26" t="n">
        <v>-26.4</v>
      </c>
      <c r="Q512" s="26" t="n">
        <v>0</v>
      </c>
      <c r="R512" s="26" t="n">
        <v>0</v>
      </c>
      <c r="S512" s="26" t="n">
        <v>0</v>
      </c>
      <c r="T512" s="26" t="n">
        <v>0</v>
      </c>
      <c r="U512" s="26" t="n">
        <v>0</v>
      </c>
    </row>
    <row r="513" customFormat="false" ht="15" hidden="false" customHeight="true" outlineLevel="0" collapsed="false">
      <c r="A513" s="8" t="s">
        <v>407</v>
      </c>
      <c r="B513" s="8" t="s">
        <v>24</v>
      </c>
      <c r="C513" s="8" t="s">
        <v>878</v>
      </c>
      <c r="D513" s="26" t="n">
        <v>0</v>
      </c>
      <c r="E513" s="26" t="n">
        <v>0</v>
      </c>
      <c r="F513" s="26" t="n">
        <v>0</v>
      </c>
      <c r="G513" s="26" t="n">
        <v>0</v>
      </c>
      <c r="H513" s="26" t="n">
        <v>0</v>
      </c>
      <c r="I513" s="26" t="n">
        <v>-48</v>
      </c>
      <c r="J513" s="26" t="n">
        <v>0</v>
      </c>
      <c r="K513" s="26" t="n">
        <v>0</v>
      </c>
      <c r="L513" s="26" t="n">
        <v>0</v>
      </c>
      <c r="M513" s="26" t="n">
        <v>0</v>
      </c>
      <c r="N513" s="26" t="n">
        <v>0</v>
      </c>
      <c r="O513" s="26" t="n">
        <v>-48</v>
      </c>
      <c r="P513" s="26" t="n">
        <v>0</v>
      </c>
      <c r="Q513" s="26" t="n">
        <v>0</v>
      </c>
      <c r="R513" s="26" t="n">
        <v>0</v>
      </c>
      <c r="S513" s="26" t="n">
        <v>0</v>
      </c>
      <c r="T513" s="26" t="n">
        <v>0</v>
      </c>
      <c r="U513" s="26" t="n">
        <v>0</v>
      </c>
    </row>
    <row r="514" customFormat="false" ht="15" hidden="false" customHeight="true" outlineLevel="0" collapsed="false">
      <c r="A514" s="8" t="s">
        <v>407</v>
      </c>
      <c r="B514" s="8" t="s">
        <v>24</v>
      </c>
      <c r="C514" s="8" t="s">
        <v>879</v>
      </c>
      <c r="D514" s="26" t="n">
        <v>0</v>
      </c>
      <c r="E514" s="26" t="n">
        <v>0</v>
      </c>
      <c r="F514" s="26" t="n">
        <v>0</v>
      </c>
      <c r="G514" s="26" t="n">
        <v>0</v>
      </c>
      <c r="H514" s="26" t="n">
        <v>0</v>
      </c>
      <c r="I514" s="26" t="n">
        <v>-24</v>
      </c>
      <c r="J514" s="26" t="n">
        <v>0</v>
      </c>
      <c r="K514" s="26" t="n">
        <v>0</v>
      </c>
      <c r="L514" s="26" t="n">
        <v>0</v>
      </c>
      <c r="M514" s="26" t="n">
        <v>0</v>
      </c>
      <c r="N514" s="26" t="n">
        <v>0</v>
      </c>
      <c r="O514" s="26" t="n">
        <v>0</v>
      </c>
      <c r="P514" s="26" t="n">
        <v>-24</v>
      </c>
      <c r="Q514" s="26" t="n">
        <v>0</v>
      </c>
      <c r="R514" s="26" t="n">
        <v>0</v>
      </c>
      <c r="S514" s="26" t="n">
        <v>0</v>
      </c>
      <c r="T514" s="26" t="n">
        <v>0</v>
      </c>
      <c r="U514" s="26" t="n">
        <v>0</v>
      </c>
    </row>
    <row r="515" customFormat="false" ht="15" hidden="false" customHeight="true" outlineLevel="0" collapsed="false">
      <c r="A515" s="8" t="s">
        <v>407</v>
      </c>
      <c r="B515" s="8" t="s">
        <v>252</v>
      </c>
      <c r="C515" s="8" t="s">
        <v>880</v>
      </c>
      <c r="D515" s="26" t="n">
        <v>0</v>
      </c>
      <c r="E515" s="26" t="n">
        <v>0</v>
      </c>
      <c r="F515" s="26" t="n">
        <v>922.3</v>
      </c>
      <c r="G515" s="26" t="n">
        <v>0</v>
      </c>
      <c r="H515" s="26" t="n">
        <v>0</v>
      </c>
      <c r="I515" s="26" t="n">
        <v>5113.7</v>
      </c>
      <c r="J515" s="26" t="n">
        <v>0</v>
      </c>
      <c r="K515" s="26" t="n">
        <v>0</v>
      </c>
      <c r="L515" s="26" t="n">
        <v>0</v>
      </c>
      <c r="M515" s="26" t="n">
        <v>0</v>
      </c>
      <c r="N515" s="26" t="n">
        <v>0</v>
      </c>
      <c r="O515" s="26" t="n">
        <v>0</v>
      </c>
      <c r="P515" s="26" t="n">
        <v>0</v>
      </c>
      <c r="Q515" s="26" t="n">
        <v>5113.7</v>
      </c>
      <c r="R515" s="26" t="n">
        <v>0</v>
      </c>
      <c r="S515" s="26" t="n">
        <v>0</v>
      </c>
      <c r="T515" s="26" t="n">
        <v>0</v>
      </c>
      <c r="U515" s="26" t="n">
        <v>0</v>
      </c>
    </row>
    <row r="516" customFormat="false" ht="15" hidden="false" customHeight="true" outlineLevel="0" collapsed="false">
      <c r="A516" s="8" t="s">
        <v>407</v>
      </c>
      <c r="B516" s="8" t="s">
        <v>245</v>
      </c>
      <c r="C516" s="8" t="s">
        <v>880</v>
      </c>
      <c r="D516" s="26" t="n">
        <v>0</v>
      </c>
      <c r="E516" s="26" t="n">
        <v>0</v>
      </c>
      <c r="F516" s="26" t="n">
        <v>1162.2</v>
      </c>
      <c r="G516" s="26" t="n">
        <v>0</v>
      </c>
      <c r="H516" s="26" t="n">
        <v>0</v>
      </c>
      <c r="I516" s="26" t="n">
        <v>7344.8</v>
      </c>
      <c r="J516" s="26" t="n">
        <v>0</v>
      </c>
      <c r="K516" s="26" t="n">
        <v>0</v>
      </c>
      <c r="L516" s="26" t="n">
        <v>0</v>
      </c>
      <c r="M516" s="26" t="n">
        <v>0</v>
      </c>
      <c r="N516" s="26" t="n">
        <v>0</v>
      </c>
      <c r="O516" s="26" t="n">
        <v>0</v>
      </c>
      <c r="P516" s="26" t="n">
        <v>0</v>
      </c>
      <c r="Q516" s="26" t="n">
        <v>7344.8</v>
      </c>
      <c r="R516" s="26" t="n">
        <v>0</v>
      </c>
      <c r="S516" s="26" t="n">
        <v>0</v>
      </c>
      <c r="T516" s="26" t="n">
        <v>0</v>
      </c>
      <c r="U516" s="26" t="n">
        <v>0</v>
      </c>
    </row>
    <row r="517" customFormat="false" ht="15" hidden="false" customHeight="true" outlineLevel="0" collapsed="false">
      <c r="A517" s="8" t="s">
        <v>407</v>
      </c>
      <c r="B517" s="8" t="s">
        <v>253</v>
      </c>
      <c r="C517" s="8" t="s">
        <v>880</v>
      </c>
      <c r="D517" s="26" t="n">
        <v>0</v>
      </c>
      <c r="E517" s="26" t="n">
        <v>0</v>
      </c>
      <c r="F517" s="26" t="n">
        <v>857.1</v>
      </c>
      <c r="G517" s="26" t="n">
        <v>0</v>
      </c>
      <c r="H517" s="26" t="n">
        <v>0</v>
      </c>
      <c r="I517" s="26" t="n">
        <v>6998.3</v>
      </c>
      <c r="J517" s="26" t="n">
        <v>0</v>
      </c>
      <c r="K517" s="26" t="n">
        <v>0</v>
      </c>
      <c r="L517" s="26" t="n">
        <v>0</v>
      </c>
      <c r="M517" s="26" t="n">
        <v>0</v>
      </c>
      <c r="N517" s="26" t="n">
        <v>0</v>
      </c>
      <c r="O517" s="26" t="n">
        <v>0</v>
      </c>
      <c r="P517" s="26" t="n">
        <v>0</v>
      </c>
      <c r="Q517" s="26" t="n">
        <v>6998.3</v>
      </c>
      <c r="R517" s="26" t="n">
        <v>0</v>
      </c>
      <c r="S517" s="26" t="n">
        <v>0</v>
      </c>
      <c r="T517" s="26" t="n">
        <v>0</v>
      </c>
      <c r="U517" s="26" t="n">
        <v>0</v>
      </c>
    </row>
    <row r="518" customFormat="false" ht="15" hidden="false" customHeight="true" outlineLevel="0" collapsed="false">
      <c r="A518" s="8" t="s">
        <v>407</v>
      </c>
      <c r="B518" s="8" t="s">
        <v>276</v>
      </c>
      <c r="C518" s="8" t="s">
        <v>880</v>
      </c>
      <c r="D518" s="26" t="n">
        <v>0</v>
      </c>
      <c r="E518" s="26" t="n">
        <v>0</v>
      </c>
      <c r="F518" s="26" t="n">
        <v>469.4</v>
      </c>
      <c r="G518" s="26" t="n">
        <v>0</v>
      </c>
      <c r="H518" s="26" t="n">
        <v>0</v>
      </c>
      <c r="I518" s="26" t="n">
        <v>2156.6</v>
      </c>
      <c r="J518" s="26" t="n">
        <v>0</v>
      </c>
      <c r="K518" s="26" t="n">
        <v>0</v>
      </c>
      <c r="L518" s="26" t="n">
        <v>0</v>
      </c>
      <c r="M518" s="26" t="n">
        <v>0</v>
      </c>
      <c r="N518" s="26" t="n">
        <v>0</v>
      </c>
      <c r="O518" s="26" t="n">
        <v>0</v>
      </c>
      <c r="P518" s="26" t="n">
        <v>0</v>
      </c>
      <c r="Q518" s="26" t="n">
        <v>2156.6</v>
      </c>
      <c r="R518" s="26" t="n">
        <v>0</v>
      </c>
      <c r="S518" s="26" t="n">
        <v>0</v>
      </c>
      <c r="T518" s="26" t="n">
        <v>0</v>
      </c>
      <c r="U518" s="26" t="n">
        <v>0</v>
      </c>
    </row>
    <row r="519" customFormat="false" ht="15" hidden="false" customHeight="true" outlineLevel="0" collapsed="false">
      <c r="A519" s="8" t="s">
        <v>407</v>
      </c>
      <c r="B519" s="8" t="s">
        <v>247</v>
      </c>
      <c r="C519" s="8" t="s">
        <v>881</v>
      </c>
      <c r="D519" s="26" t="n">
        <v>0</v>
      </c>
      <c r="E519" s="26" t="n">
        <v>0</v>
      </c>
      <c r="F519" s="26" t="n">
        <v>1071.9</v>
      </c>
      <c r="G519" s="26" t="n">
        <v>0</v>
      </c>
      <c r="H519" s="26" t="n">
        <v>0</v>
      </c>
      <c r="I519" s="26" t="n">
        <v>6942.4</v>
      </c>
      <c r="J519" s="26" t="n">
        <v>0</v>
      </c>
      <c r="K519" s="26" t="n">
        <v>0</v>
      </c>
      <c r="L519" s="26" t="n">
        <v>0</v>
      </c>
      <c r="M519" s="26" t="n">
        <v>0</v>
      </c>
      <c r="N519" s="26" t="n">
        <v>0</v>
      </c>
      <c r="O519" s="26" t="n">
        <v>0</v>
      </c>
      <c r="P519" s="26" t="n">
        <v>0</v>
      </c>
      <c r="Q519" s="26" t="n">
        <v>6942.4</v>
      </c>
      <c r="R519" s="26" t="n">
        <v>0</v>
      </c>
      <c r="S519" s="26" t="n">
        <v>0</v>
      </c>
      <c r="T519" s="26" t="n">
        <v>0</v>
      </c>
      <c r="U519" s="26" t="n">
        <v>0</v>
      </c>
    </row>
    <row r="520" customFormat="false" ht="15" hidden="false" customHeight="true" outlineLevel="0" collapsed="false">
      <c r="A520" s="8" t="s">
        <v>407</v>
      </c>
      <c r="B520" s="8" t="s">
        <v>243</v>
      </c>
      <c r="C520" s="8" t="s">
        <v>881</v>
      </c>
      <c r="D520" s="26" t="n">
        <v>0</v>
      </c>
      <c r="E520" s="26" t="n">
        <v>0</v>
      </c>
      <c r="F520" s="26" t="n">
        <v>1685.9</v>
      </c>
      <c r="G520" s="26" t="n">
        <v>0</v>
      </c>
      <c r="H520" s="26" t="n">
        <v>0</v>
      </c>
      <c r="I520" s="26" t="n">
        <v>11927.2</v>
      </c>
      <c r="J520" s="26" t="n">
        <v>0</v>
      </c>
      <c r="K520" s="26" t="n">
        <v>0</v>
      </c>
      <c r="L520" s="26" t="n">
        <v>0</v>
      </c>
      <c r="M520" s="26" t="n">
        <v>0</v>
      </c>
      <c r="N520" s="26" t="n">
        <v>0</v>
      </c>
      <c r="O520" s="26" t="n">
        <v>0</v>
      </c>
      <c r="P520" s="26" t="n">
        <v>0</v>
      </c>
      <c r="Q520" s="26" t="n">
        <v>11927.2</v>
      </c>
      <c r="R520" s="26" t="n">
        <v>0</v>
      </c>
      <c r="S520" s="26" t="n">
        <v>0</v>
      </c>
      <c r="T520" s="26" t="n">
        <v>0</v>
      </c>
      <c r="U520" s="26" t="n">
        <v>0</v>
      </c>
    </row>
    <row r="521" customFormat="false" ht="15" hidden="false" customHeight="true" outlineLevel="0" collapsed="false">
      <c r="A521" s="8" t="s">
        <v>407</v>
      </c>
      <c r="B521" s="8" t="s">
        <v>271</v>
      </c>
      <c r="C521" s="8" t="s">
        <v>881</v>
      </c>
      <c r="D521" s="26" t="n">
        <v>0</v>
      </c>
      <c r="E521" s="26" t="n">
        <v>0</v>
      </c>
      <c r="F521" s="26" t="n">
        <v>1331.6</v>
      </c>
      <c r="G521" s="26" t="n">
        <v>0</v>
      </c>
      <c r="H521" s="26" t="n">
        <v>0</v>
      </c>
      <c r="I521" s="26" t="n">
        <v>11254.2</v>
      </c>
      <c r="J521" s="26" t="n">
        <v>0</v>
      </c>
      <c r="K521" s="26" t="n">
        <v>0</v>
      </c>
      <c r="L521" s="26" t="n">
        <v>0</v>
      </c>
      <c r="M521" s="26" t="n">
        <v>0</v>
      </c>
      <c r="N521" s="26" t="n">
        <v>0</v>
      </c>
      <c r="O521" s="26" t="n">
        <v>0</v>
      </c>
      <c r="P521" s="26" t="n">
        <v>0</v>
      </c>
      <c r="Q521" s="26" t="n">
        <v>11254.2</v>
      </c>
      <c r="R521" s="26" t="n">
        <v>0</v>
      </c>
      <c r="S521" s="26" t="n">
        <v>0</v>
      </c>
      <c r="T521" s="26" t="n">
        <v>0</v>
      </c>
      <c r="U521" s="26" t="n">
        <v>0</v>
      </c>
    </row>
    <row r="522" customFormat="false" ht="15" hidden="false" customHeight="true" outlineLevel="0" collapsed="false">
      <c r="A522" s="8" t="s">
        <v>407</v>
      </c>
      <c r="B522" s="8" t="s">
        <v>261</v>
      </c>
      <c r="C522" s="8" t="s">
        <v>881</v>
      </c>
      <c r="D522" s="26" t="n">
        <v>0</v>
      </c>
      <c r="E522" s="26" t="n">
        <v>0</v>
      </c>
      <c r="F522" s="26" t="n">
        <v>609.4</v>
      </c>
      <c r="G522" s="26" t="n">
        <v>0</v>
      </c>
      <c r="H522" s="26" t="n">
        <v>0</v>
      </c>
      <c r="I522" s="26" t="n">
        <v>1770</v>
      </c>
      <c r="J522" s="26" t="n">
        <v>0</v>
      </c>
      <c r="K522" s="26" t="n">
        <v>0</v>
      </c>
      <c r="L522" s="26" t="n">
        <v>0</v>
      </c>
      <c r="M522" s="26" t="n">
        <v>0</v>
      </c>
      <c r="N522" s="26" t="n">
        <v>0</v>
      </c>
      <c r="O522" s="26" t="n">
        <v>0</v>
      </c>
      <c r="P522" s="26" t="n">
        <v>0</v>
      </c>
      <c r="Q522" s="26" t="n">
        <v>1770</v>
      </c>
      <c r="R522" s="26" t="n">
        <v>0</v>
      </c>
      <c r="S522" s="26" t="n">
        <v>0</v>
      </c>
      <c r="T522" s="26" t="n">
        <v>0</v>
      </c>
      <c r="U522" s="26" t="n">
        <v>0</v>
      </c>
    </row>
    <row r="523" customFormat="false" ht="15" hidden="false" customHeight="true" outlineLevel="0" collapsed="false">
      <c r="A523" s="8" t="s">
        <v>407</v>
      </c>
      <c r="B523" s="8" t="s">
        <v>164</v>
      </c>
      <c r="C523" s="8" t="s">
        <v>882</v>
      </c>
      <c r="D523" s="26" t="n">
        <v>0</v>
      </c>
      <c r="E523" s="26" t="n">
        <v>0</v>
      </c>
      <c r="F523" s="26" t="n">
        <v>-50</v>
      </c>
      <c r="G523" s="26" t="n">
        <v>0</v>
      </c>
      <c r="H523" s="26" t="n">
        <v>0</v>
      </c>
      <c r="I523" s="26" t="n">
        <v>-65.6</v>
      </c>
      <c r="J523" s="26" t="n">
        <v>0</v>
      </c>
      <c r="K523" s="26" t="n">
        <v>0</v>
      </c>
      <c r="L523" s="26" t="n">
        <v>0</v>
      </c>
      <c r="M523" s="26" t="n">
        <v>0</v>
      </c>
      <c r="N523" s="26" t="n">
        <v>0</v>
      </c>
      <c r="O523" s="26" t="n">
        <v>0</v>
      </c>
      <c r="P523" s="26" t="n">
        <v>-65.6</v>
      </c>
      <c r="Q523" s="26" t="n">
        <v>0</v>
      </c>
      <c r="R523" s="26" t="n">
        <v>0</v>
      </c>
      <c r="S523" s="26" t="n">
        <v>0</v>
      </c>
      <c r="T523" s="26" t="n">
        <v>0</v>
      </c>
      <c r="U523" s="26" t="n">
        <v>-94.5</v>
      </c>
    </row>
    <row r="524" customFormat="false" ht="15" hidden="false" customHeight="true" outlineLevel="0" collapsed="false">
      <c r="A524" s="8" t="s">
        <v>407</v>
      </c>
      <c r="B524" s="8" t="s">
        <v>164</v>
      </c>
      <c r="C524" s="8" t="s">
        <v>883</v>
      </c>
      <c r="D524" s="26" t="n">
        <v>0</v>
      </c>
      <c r="E524" s="26" t="n">
        <v>0</v>
      </c>
      <c r="F524" s="26" t="n">
        <v>150.9</v>
      </c>
      <c r="G524" s="26" t="n">
        <v>0</v>
      </c>
      <c r="H524" s="26" t="n">
        <v>0</v>
      </c>
      <c r="I524" s="26" t="n">
        <v>196.9</v>
      </c>
      <c r="J524" s="26" t="n">
        <v>0</v>
      </c>
      <c r="K524" s="26" t="n">
        <v>0</v>
      </c>
      <c r="L524" s="26" t="n">
        <v>-65.6</v>
      </c>
      <c r="M524" s="26" t="n">
        <v>0</v>
      </c>
      <c r="N524" s="26" t="n">
        <v>0</v>
      </c>
      <c r="O524" s="26" t="n">
        <v>0</v>
      </c>
      <c r="P524" s="26" t="n">
        <v>-65.6</v>
      </c>
      <c r="Q524" s="26" t="n">
        <v>0</v>
      </c>
      <c r="R524" s="26" t="n">
        <v>328.2</v>
      </c>
      <c r="S524" s="26" t="n">
        <v>0</v>
      </c>
      <c r="T524" s="26" t="n">
        <v>0</v>
      </c>
      <c r="U524" s="26" t="n">
        <v>-94.9</v>
      </c>
    </row>
    <row r="525" customFormat="false" ht="15" hidden="false" customHeight="true" outlineLevel="0" collapsed="false">
      <c r="A525" s="8" t="s">
        <v>407</v>
      </c>
      <c r="B525" s="8" t="s">
        <v>282</v>
      </c>
      <c r="C525" s="8" t="s">
        <v>884</v>
      </c>
      <c r="D525" s="26" t="n">
        <v>0</v>
      </c>
      <c r="E525" s="26" t="n">
        <v>0</v>
      </c>
      <c r="F525" s="26" t="n">
        <v>2631.5</v>
      </c>
      <c r="G525" s="26" t="n">
        <v>0</v>
      </c>
      <c r="H525" s="26" t="n">
        <v>0</v>
      </c>
      <c r="I525" s="26" t="n">
        <v>35507.8</v>
      </c>
      <c r="J525" s="26" t="n">
        <v>0</v>
      </c>
      <c r="K525" s="26" t="n">
        <v>132.2</v>
      </c>
      <c r="L525" s="26" t="n">
        <v>0</v>
      </c>
      <c r="M525" s="26" t="n">
        <v>189</v>
      </c>
      <c r="N525" s="26" t="n">
        <v>94.6</v>
      </c>
      <c r="O525" s="26" t="n">
        <v>0</v>
      </c>
      <c r="P525" s="26" t="n">
        <v>0</v>
      </c>
      <c r="Q525" s="26" t="n">
        <v>33989.9</v>
      </c>
      <c r="R525" s="26" t="n">
        <v>1102</v>
      </c>
      <c r="S525" s="26" t="n">
        <v>0</v>
      </c>
      <c r="T525" s="26" t="n">
        <v>0</v>
      </c>
      <c r="U525" s="26" t="n">
        <v>0</v>
      </c>
    </row>
    <row r="526" customFormat="false" ht="15" hidden="false" customHeight="true" outlineLevel="0" collapsed="false">
      <c r="A526" s="8" t="s">
        <v>407</v>
      </c>
      <c r="B526" s="8" t="s">
        <v>95</v>
      </c>
      <c r="C526" s="8" t="s">
        <v>885</v>
      </c>
      <c r="D526" s="26" t="n">
        <v>0</v>
      </c>
      <c r="E526" s="26" t="n">
        <v>0</v>
      </c>
      <c r="F526" s="26" t="n">
        <v>64415.4</v>
      </c>
      <c r="G526" s="26" t="n">
        <v>0</v>
      </c>
      <c r="H526" s="26" t="n">
        <v>0</v>
      </c>
      <c r="I526" s="26" t="n">
        <v>40511</v>
      </c>
      <c r="J526" s="26" t="n">
        <v>0</v>
      </c>
      <c r="K526" s="26" t="n">
        <v>1351.5</v>
      </c>
      <c r="L526" s="26" t="n">
        <v>0</v>
      </c>
      <c r="M526" s="26" t="n">
        <v>0</v>
      </c>
      <c r="N526" s="26" t="n">
        <v>992.1</v>
      </c>
      <c r="O526" s="26" t="n">
        <v>0</v>
      </c>
      <c r="P526" s="26" t="n">
        <v>-159</v>
      </c>
      <c r="Q526" s="26" t="n">
        <v>34271.9</v>
      </c>
      <c r="R526" s="26" t="n">
        <v>4054.5</v>
      </c>
      <c r="S526" s="26" t="n">
        <v>203.3</v>
      </c>
      <c r="T526" s="26" t="n">
        <v>0</v>
      </c>
      <c r="U526" s="26" t="n">
        <v>0</v>
      </c>
    </row>
    <row r="527" customFormat="false" ht="15" hidden="false" customHeight="true" outlineLevel="0" collapsed="false">
      <c r="A527" s="8" t="s">
        <v>407</v>
      </c>
      <c r="B527" s="8" t="s">
        <v>177</v>
      </c>
      <c r="C527" s="8" t="s">
        <v>886</v>
      </c>
      <c r="D527" s="26" t="n">
        <v>0</v>
      </c>
      <c r="E527" s="26" t="n">
        <v>0</v>
      </c>
      <c r="F527" s="26" t="n">
        <v>7407.9</v>
      </c>
      <c r="G527" s="26" t="n">
        <v>0</v>
      </c>
      <c r="H527" s="26" t="n">
        <v>0</v>
      </c>
      <c r="I527" s="26" t="n">
        <v>14406.4</v>
      </c>
      <c r="J527" s="26" t="n">
        <v>0</v>
      </c>
      <c r="K527" s="26" t="n">
        <v>97</v>
      </c>
      <c r="L527" s="26" t="n">
        <v>0</v>
      </c>
      <c r="M527" s="26" t="n">
        <v>259.8</v>
      </c>
      <c r="N527" s="26" t="n">
        <v>52</v>
      </c>
      <c r="O527" s="26" t="n">
        <v>0</v>
      </c>
      <c r="P527" s="26" t="n">
        <v>0</v>
      </c>
      <c r="Q527" s="26" t="n">
        <v>13367.2</v>
      </c>
      <c r="R527" s="26" t="n">
        <v>630.4</v>
      </c>
      <c r="S527" s="26" t="n">
        <v>0</v>
      </c>
      <c r="T527" s="26" t="n">
        <v>0</v>
      </c>
      <c r="U527" s="26" t="n">
        <v>0</v>
      </c>
    </row>
    <row r="528" customFormat="false" ht="15" hidden="false" customHeight="true" outlineLevel="0" collapsed="false">
      <c r="A528" s="8" t="s">
        <v>407</v>
      </c>
      <c r="B528" s="8" t="s">
        <v>95</v>
      </c>
      <c r="C528" s="8" t="s">
        <v>887</v>
      </c>
      <c r="D528" s="26" t="n">
        <v>0</v>
      </c>
      <c r="E528" s="26" t="n">
        <v>0</v>
      </c>
      <c r="F528" s="26" t="n">
        <v>7262.4</v>
      </c>
      <c r="G528" s="26" t="n">
        <v>0</v>
      </c>
      <c r="H528" s="26" t="n">
        <v>0</v>
      </c>
      <c r="I528" s="26" t="n">
        <v>5912.4</v>
      </c>
      <c r="J528" s="26" t="n">
        <v>0</v>
      </c>
      <c r="K528" s="26" t="n">
        <v>0</v>
      </c>
      <c r="L528" s="26" t="n">
        <v>0</v>
      </c>
      <c r="M528" s="26" t="n">
        <v>0</v>
      </c>
      <c r="N528" s="26" t="n">
        <v>-70.9</v>
      </c>
      <c r="O528" s="26" t="n">
        <v>0</v>
      </c>
      <c r="P528" s="26" t="n">
        <v>0</v>
      </c>
      <c r="Q528" s="26" t="n">
        <v>5983.3</v>
      </c>
      <c r="R528" s="26" t="n">
        <v>0</v>
      </c>
      <c r="S528" s="26" t="n">
        <v>0</v>
      </c>
      <c r="T528" s="26" t="n">
        <v>0</v>
      </c>
      <c r="U528" s="26" t="n">
        <v>0</v>
      </c>
    </row>
    <row r="529" customFormat="false" ht="15" hidden="false" customHeight="true" outlineLevel="0" collapsed="false">
      <c r="A529" s="8" t="s">
        <v>407</v>
      </c>
      <c r="B529" s="8" t="s">
        <v>348</v>
      </c>
      <c r="C529" s="8" t="s">
        <v>888</v>
      </c>
      <c r="D529" s="26" t="n">
        <v>0</v>
      </c>
      <c r="E529" s="26" t="n">
        <v>0</v>
      </c>
      <c r="F529" s="26" t="n">
        <v>-32.5</v>
      </c>
      <c r="G529" s="26" t="n">
        <v>0</v>
      </c>
      <c r="H529" s="26" t="n">
        <v>0</v>
      </c>
      <c r="I529" s="26" t="n">
        <v>0</v>
      </c>
      <c r="J529" s="26" t="n">
        <v>0</v>
      </c>
      <c r="K529" s="26" t="n">
        <v>0</v>
      </c>
      <c r="L529" s="26" t="n">
        <v>0</v>
      </c>
      <c r="M529" s="26" t="n">
        <v>0</v>
      </c>
      <c r="N529" s="26" t="n">
        <v>0</v>
      </c>
      <c r="O529" s="26" t="n">
        <v>0</v>
      </c>
      <c r="P529" s="26" t="n">
        <v>0</v>
      </c>
      <c r="Q529" s="26" t="n">
        <v>0</v>
      </c>
      <c r="R529" s="26" t="n">
        <v>0</v>
      </c>
      <c r="S529" s="26" t="n">
        <v>0</v>
      </c>
      <c r="T529" s="26" t="n">
        <v>0</v>
      </c>
      <c r="U529" s="26" t="n">
        <v>0</v>
      </c>
    </row>
    <row r="530" customFormat="false" ht="15" hidden="false" customHeight="true" outlineLevel="0" collapsed="false">
      <c r="A530" s="8" t="s">
        <v>407</v>
      </c>
      <c r="B530" s="8" t="s">
        <v>98</v>
      </c>
      <c r="C530" s="8" t="s">
        <v>889</v>
      </c>
      <c r="D530" s="26" t="n">
        <v>0</v>
      </c>
      <c r="E530" s="26" t="n">
        <v>0</v>
      </c>
      <c r="F530" s="26" t="n">
        <v>8370</v>
      </c>
      <c r="G530" s="26" t="n">
        <v>0</v>
      </c>
      <c r="H530" s="26" t="n">
        <v>0</v>
      </c>
      <c r="I530" s="26" t="n">
        <v>29.7</v>
      </c>
      <c r="J530" s="26" t="n">
        <v>0</v>
      </c>
      <c r="K530" s="26" t="n">
        <v>0</v>
      </c>
      <c r="L530" s="26" t="n">
        <v>0</v>
      </c>
      <c r="M530" s="26" t="n">
        <v>0</v>
      </c>
      <c r="N530" s="26" t="n">
        <v>29.7</v>
      </c>
      <c r="O530" s="26" t="n">
        <v>0</v>
      </c>
      <c r="P530" s="26" t="n">
        <v>0</v>
      </c>
      <c r="Q530" s="26" t="n">
        <v>0</v>
      </c>
      <c r="R530" s="26" t="n">
        <v>0</v>
      </c>
      <c r="S530" s="26" t="n">
        <v>0</v>
      </c>
      <c r="T530" s="26" t="n">
        <v>0</v>
      </c>
      <c r="U530" s="26" t="n">
        <v>0</v>
      </c>
    </row>
    <row r="531" customFormat="false" ht="15" hidden="false" customHeight="true" outlineLevel="0" collapsed="false">
      <c r="A531" s="8" t="s">
        <v>407</v>
      </c>
      <c r="B531" s="8" t="s">
        <v>98</v>
      </c>
      <c r="C531" s="8" t="s">
        <v>890</v>
      </c>
      <c r="D531" s="26" t="n">
        <v>0</v>
      </c>
      <c r="E531" s="26" t="n">
        <v>0</v>
      </c>
      <c r="F531" s="26" t="n">
        <v>5494.6</v>
      </c>
      <c r="G531" s="26" t="n">
        <v>0</v>
      </c>
      <c r="H531" s="26" t="n">
        <v>0</v>
      </c>
      <c r="I531" s="26" t="n">
        <v>59.5</v>
      </c>
      <c r="J531" s="26" t="n">
        <v>0</v>
      </c>
      <c r="K531" s="26" t="n">
        <v>0</v>
      </c>
      <c r="L531" s="26" t="n">
        <v>0</v>
      </c>
      <c r="M531" s="26" t="n">
        <v>0</v>
      </c>
      <c r="N531" s="26" t="n">
        <v>59.5</v>
      </c>
      <c r="O531" s="26" t="n">
        <v>0</v>
      </c>
      <c r="P531" s="26" t="n">
        <v>0</v>
      </c>
      <c r="Q531" s="26" t="n">
        <v>0</v>
      </c>
      <c r="R531" s="26" t="n">
        <v>0</v>
      </c>
      <c r="S531" s="26" t="n">
        <v>0</v>
      </c>
      <c r="T531" s="26" t="n">
        <v>0</v>
      </c>
      <c r="U531" s="26" t="n">
        <v>0</v>
      </c>
    </row>
    <row r="532" customFormat="false" ht="15" hidden="false" customHeight="true" outlineLevel="0" collapsed="false">
      <c r="A532" s="8" t="s">
        <v>407</v>
      </c>
      <c r="B532" s="8" t="s">
        <v>98</v>
      </c>
      <c r="C532" s="8" t="s">
        <v>891</v>
      </c>
      <c r="D532" s="26" t="n">
        <v>0</v>
      </c>
      <c r="E532" s="26" t="n">
        <v>0</v>
      </c>
      <c r="F532" s="26" t="n">
        <v>7783.2</v>
      </c>
      <c r="G532" s="26" t="n">
        <v>0</v>
      </c>
      <c r="H532" s="26" t="n">
        <v>0</v>
      </c>
      <c r="I532" s="26" t="n">
        <v>29.7</v>
      </c>
      <c r="J532" s="26" t="n">
        <v>0</v>
      </c>
      <c r="K532" s="26" t="n">
        <v>0</v>
      </c>
      <c r="L532" s="26" t="n">
        <v>0</v>
      </c>
      <c r="M532" s="26" t="n">
        <v>0</v>
      </c>
      <c r="N532" s="26" t="n">
        <v>29.7</v>
      </c>
      <c r="O532" s="26" t="n">
        <v>0</v>
      </c>
      <c r="P532" s="26" t="n">
        <v>0</v>
      </c>
      <c r="Q532" s="26" t="n">
        <v>0</v>
      </c>
      <c r="R532" s="26" t="n">
        <v>0</v>
      </c>
      <c r="S532" s="26" t="n">
        <v>0</v>
      </c>
      <c r="T532" s="26" t="n">
        <v>0</v>
      </c>
      <c r="U532" s="26" t="n">
        <v>0</v>
      </c>
    </row>
    <row r="533" customFormat="false" ht="15" hidden="false" customHeight="true" outlineLevel="0" collapsed="false">
      <c r="A533" s="8" t="s">
        <v>407</v>
      </c>
      <c r="B533" s="8" t="s">
        <v>98</v>
      </c>
      <c r="C533" s="8" t="s">
        <v>892</v>
      </c>
      <c r="D533" s="26" t="n">
        <v>0</v>
      </c>
      <c r="E533" s="26" t="n">
        <v>0</v>
      </c>
      <c r="F533" s="26" t="n">
        <v>4108.5</v>
      </c>
      <c r="G533" s="26" t="n">
        <v>0</v>
      </c>
      <c r="H533" s="26" t="n">
        <v>0</v>
      </c>
      <c r="I533" s="26" t="n">
        <v>29.7</v>
      </c>
      <c r="J533" s="26" t="n">
        <v>0</v>
      </c>
      <c r="K533" s="26" t="n">
        <v>0</v>
      </c>
      <c r="L533" s="26" t="n">
        <v>0</v>
      </c>
      <c r="M533" s="26" t="n">
        <v>0</v>
      </c>
      <c r="N533" s="26" t="n">
        <v>29.7</v>
      </c>
      <c r="O533" s="26" t="n">
        <v>0</v>
      </c>
      <c r="P533" s="26" t="n">
        <v>0</v>
      </c>
      <c r="Q533" s="26" t="n">
        <v>0</v>
      </c>
      <c r="R533" s="26" t="n">
        <v>0</v>
      </c>
      <c r="S533" s="26" t="n">
        <v>0</v>
      </c>
      <c r="T533" s="26" t="n">
        <v>0</v>
      </c>
      <c r="U533" s="26" t="n">
        <v>0</v>
      </c>
    </row>
    <row r="534" customFormat="false" ht="15" hidden="false" customHeight="true" outlineLevel="0" collapsed="false">
      <c r="A534" s="8" t="s">
        <v>407</v>
      </c>
      <c r="B534" s="8" t="s">
        <v>98</v>
      </c>
      <c r="C534" s="8" t="s">
        <v>893</v>
      </c>
      <c r="D534" s="26" t="n">
        <v>0</v>
      </c>
      <c r="E534" s="26" t="n">
        <v>0</v>
      </c>
      <c r="F534" s="26" t="n">
        <v>1423</v>
      </c>
      <c r="G534" s="26" t="n">
        <v>0</v>
      </c>
      <c r="H534" s="26" t="n">
        <v>0</v>
      </c>
      <c r="I534" s="26" t="n">
        <v>0</v>
      </c>
      <c r="J534" s="26" t="n">
        <v>0</v>
      </c>
      <c r="K534" s="26" t="n">
        <v>0</v>
      </c>
      <c r="L534" s="26" t="n">
        <v>0</v>
      </c>
      <c r="M534" s="26" t="n">
        <v>0</v>
      </c>
      <c r="N534" s="26" t="n">
        <v>0</v>
      </c>
      <c r="O534" s="26" t="n">
        <v>0</v>
      </c>
      <c r="P534" s="26" t="n">
        <v>0</v>
      </c>
      <c r="Q534" s="26" t="n">
        <v>0</v>
      </c>
      <c r="R534" s="26" t="n">
        <v>0</v>
      </c>
      <c r="S534" s="26" t="n">
        <v>0</v>
      </c>
      <c r="T534" s="26" t="n">
        <v>0</v>
      </c>
      <c r="U534" s="26" t="n">
        <v>0</v>
      </c>
    </row>
    <row r="535" customFormat="false" ht="15" hidden="false" customHeight="true" outlineLevel="0" collapsed="false">
      <c r="A535" s="8" t="s">
        <v>407</v>
      </c>
      <c r="B535" s="8" t="s">
        <v>90</v>
      </c>
      <c r="C535" s="8" t="s">
        <v>894</v>
      </c>
      <c r="D535" s="26" t="n">
        <v>0</v>
      </c>
      <c r="E535" s="26" t="n">
        <v>0</v>
      </c>
      <c r="F535" s="26" t="n">
        <v>11265.9</v>
      </c>
      <c r="G535" s="26" t="n">
        <v>0</v>
      </c>
      <c r="H535" s="26" t="n">
        <v>0</v>
      </c>
      <c r="I535" s="26" t="n">
        <v>1310.2</v>
      </c>
      <c r="J535" s="26" t="n">
        <v>0</v>
      </c>
      <c r="K535" s="26" t="n">
        <v>749.3</v>
      </c>
      <c r="L535" s="26" t="n">
        <v>0</v>
      </c>
      <c r="M535" s="26" t="n">
        <v>0</v>
      </c>
      <c r="N535" s="26" t="n">
        <v>89.2</v>
      </c>
      <c r="O535" s="26" t="n">
        <v>0</v>
      </c>
      <c r="P535" s="26" t="n">
        <v>-27.8</v>
      </c>
      <c r="Q535" s="26" t="n">
        <v>0</v>
      </c>
      <c r="R535" s="26" t="n">
        <v>499.5</v>
      </c>
      <c r="S535" s="26" t="n">
        <v>0</v>
      </c>
      <c r="T535" s="26" t="n">
        <v>0</v>
      </c>
      <c r="U535" s="26" t="n">
        <v>0</v>
      </c>
    </row>
    <row r="536" customFormat="false" ht="15" hidden="false" customHeight="true" outlineLevel="0" collapsed="false">
      <c r="A536" s="8" t="s">
        <v>407</v>
      </c>
      <c r="B536" s="8" t="s">
        <v>90</v>
      </c>
      <c r="C536" s="8" t="s">
        <v>895</v>
      </c>
      <c r="D536" s="26" t="n">
        <v>0</v>
      </c>
      <c r="E536" s="26" t="n">
        <v>0</v>
      </c>
      <c r="F536" s="26" t="n">
        <v>8104.1</v>
      </c>
      <c r="G536" s="26" t="n">
        <v>0</v>
      </c>
      <c r="H536" s="26" t="n">
        <v>0</v>
      </c>
      <c r="I536" s="26" t="n">
        <v>390.5</v>
      </c>
      <c r="J536" s="26" t="n">
        <v>0</v>
      </c>
      <c r="K536" s="26" t="n">
        <v>249.8</v>
      </c>
      <c r="L536" s="26" t="n">
        <v>0</v>
      </c>
      <c r="M536" s="26" t="n">
        <v>0</v>
      </c>
      <c r="N536" s="26" t="n">
        <v>29.7</v>
      </c>
      <c r="O536" s="26" t="n">
        <v>0</v>
      </c>
      <c r="P536" s="26" t="n">
        <v>0</v>
      </c>
      <c r="Q536" s="26" t="n">
        <v>0</v>
      </c>
      <c r="R536" s="26" t="n">
        <v>111</v>
      </c>
      <c r="S536" s="26" t="n">
        <v>0</v>
      </c>
      <c r="T536" s="26" t="n">
        <v>0</v>
      </c>
      <c r="U536" s="26" t="n">
        <v>0</v>
      </c>
    </row>
    <row r="537" customFormat="false" ht="15" hidden="false" customHeight="true" outlineLevel="0" collapsed="false">
      <c r="A537" s="8" t="s">
        <v>407</v>
      </c>
      <c r="B537" s="8" t="s">
        <v>90</v>
      </c>
      <c r="C537" s="8" t="s">
        <v>896</v>
      </c>
      <c r="D537" s="26" t="n">
        <v>0</v>
      </c>
      <c r="E537" s="26" t="n">
        <v>0</v>
      </c>
      <c r="F537" s="26" t="n">
        <v>8129.6</v>
      </c>
      <c r="G537" s="26" t="n">
        <v>0</v>
      </c>
      <c r="H537" s="26" t="n">
        <v>0</v>
      </c>
      <c r="I537" s="26" t="n">
        <v>1110</v>
      </c>
      <c r="J537" s="26" t="n">
        <v>0</v>
      </c>
      <c r="K537" s="26" t="n">
        <v>471.8</v>
      </c>
      <c r="L537" s="26" t="n">
        <v>0</v>
      </c>
      <c r="M537" s="26" t="n">
        <v>0</v>
      </c>
      <c r="N537" s="26" t="n">
        <v>0</v>
      </c>
      <c r="O537" s="26" t="n">
        <v>0</v>
      </c>
      <c r="P537" s="26" t="n">
        <v>0</v>
      </c>
      <c r="Q537" s="26" t="n">
        <v>0</v>
      </c>
      <c r="R537" s="26" t="n">
        <v>638.3</v>
      </c>
      <c r="S537" s="26" t="n">
        <v>0</v>
      </c>
      <c r="T537" s="26" t="n">
        <v>0</v>
      </c>
      <c r="U537" s="26" t="n">
        <v>0</v>
      </c>
    </row>
    <row r="538" customFormat="false" ht="15" hidden="false" customHeight="true" outlineLevel="0" collapsed="false">
      <c r="A538" s="8" t="s">
        <v>407</v>
      </c>
      <c r="B538" s="8" t="s">
        <v>90</v>
      </c>
      <c r="C538" s="8" t="s">
        <v>897</v>
      </c>
      <c r="D538" s="26" t="n">
        <v>0</v>
      </c>
      <c r="E538" s="26" t="n">
        <v>0</v>
      </c>
      <c r="F538" s="26" t="n">
        <v>3671.8</v>
      </c>
      <c r="G538" s="26" t="n">
        <v>0</v>
      </c>
      <c r="H538" s="26" t="n">
        <v>0</v>
      </c>
      <c r="I538" s="26" t="n">
        <v>362.7</v>
      </c>
      <c r="J538" s="26" t="n">
        <v>0</v>
      </c>
      <c r="K538" s="26" t="n">
        <v>305.3</v>
      </c>
      <c r="L538" s="26" t="n">
        <v>0</v>
      </c>
      <c r="M538" s="26" t="n">
        <v>0</v>
      </c>
      <c r="N538" s="26" t="n">
        <v>29.7</v>
      </c>
      <c r="O538" s="26" t="n">
        <v>0</v>
      </c>
      <c r="P538" s="26" t="n">
        <v>-27.8</v>
      </c>
      <c r="Q538" s="26" t="n">
        <v>0</v>
      </c>
      <c r="R538" s="26" t="n">
        <v>55.5</v>
      </c>
      <c r="S538" s="26" t="n">
        <v>0</v>
      </c>
      <c r="T538" s="26" t="n">
        <v>0</v>
      </c>
      <c r="U538" s="26" t="n">
        <v>0</v>
      </c>
    </row>
    <row r="539" customFormat="false" ht="15" hidden="false" customHeight="true" outlineLevel="0" collapsed="false">
      <c r="A539" s="8" t="s">
        <v>407</v>
      </c>
      <c r="B539" s="8" t="s">
        <v>90</v>
      </c>
      <c r="C539" s="8" t="s">
        <v>898</v>
      </c>
      <c r="D539" s="26" t="n">
        <v>0</v>
      </c>
      <c r="E539" s="26" t="n">
        <v>0</v>
      </c>
      <c r="F539" s="26" t="n">
        <v>2454.1</v>
      </c>
      <c r="G539" s="26" t="n">
        <v>0</v>
      </c>
      <c r="H539" s="26" t="n">
        <v>0</v>
      </c>
      <c r="I539" s="26" t="n">
        <v>555</v>
      </c>
      <c r="J539" s="26" t="n">
        <v>0</v>
      </c>
      <c r="K539" s="26" t="n">
        <v>333</v>
      </c>
      <c r="L539" s="26" t="n">
        <v>0</v>
      </c>
      <c r="M539" s="26" t="n">
        <v>0</v>
      </c>
      <c r="N539" s="26" t="n">
        <v>0</v>
      </c>
      <c r="O539" s="26" t="n">
        <v>0</v>
      </c>
      <c r="P539" s="26" t="n">
        <v>-55.5</v>
      </c>
      <c r="Q539" s="26" t="n">
        <v>0</v>
      </c>
      <c r="R539" s="26" t="n">
        <v>277.5</v>
      </c>
      <c r="S539" s="26" t="n">
        <v>0</v>
      </c>
      <c r="T539" s="26" t="n">
        <v>0</v>
      </c>
      <c r="U539" s="26" t="n">
        <v>0</v>
      </c>
    </row>
    <row r="540" customFormat="false" ht="15" hidden="false" customHeight="true" outlineLevel="0" collapsed="false">
      <c r="A540" s="8" t="s">
        <v>407</v>
      </c>
      <c r="B540" s="8" t="s">
        <v>142</v>
      </c>
      <c r="C540" s="8" t="s">
        <v>899</v>
      </c>
      <c r="D540" s="26" t="n">
        <v>0</v>
      </c>
      <c r="E540" s="26" t="n">
        <v>0</v>
      </c>
      <c r="F540" s="26" t="n">
        <v>2610.1</v>
      </c>
      <c r="G540" s="26" t="n">
        <v>0</v>
      </c>
      <c r="H540" s="26" t="n">
        <v>0</v>
      </c>
      <c r="I540" s="26" t="n">
        <v>59.5</v>
      </c>
      <c r="J540" s="26" t="n">
        <v>0</v>
      </c>
      <c r="K540" s="26" t="n">
        <v>0</v>
      </c>
      <c r="L540" s="26" t="n">
        <v>0</v>
      </c>
      <c r="M540" s="26" t="n">
        <v>0</v>
      </c>
      <c r="N540" s="26" t="n">
        <v>59.5</v>
      </c>
      <c r="O540" s="26" t="n">
        <v>0</v>
      </c>
      <c r="P540" s="26" t="n">
        <v>0</v>
      </c>
      <c r="Q540" s="26" t="n">
        <v>0</v>
      </c>
      <c r="R540" s="26" t="n">
        <v>0</v>
      </c>
      <c r="S540" s="26" t="n">
        <v>0</v>
      </c>
      <c r="T540" s="26" t="n">
        <v>0</v>
      </c>
      <c r="U540" s="26" t="n">
        <v>0</v>
      </c>
    </row>
    <row r="541" customFormat="false" ht="15" hidden="false" customHeight="true" outlineLevel="0" collapsed="false">
      <c r="A541" s="8" t="s">
        <v>407</v>
      </c>
      <c r="B541" s="8" t="s">
        <v>142</v>
      </c>
      <c r="C541" s="8" t="s">
        <v>900</v>
      </c>
      <c r="D541" s="26" t="n">
        <v>0</v>
      </c>
      <c r="E541" s="26" t="n">
        <v>0</v>
      </c>
      <c r="F541" s="26" t="n">
        <v>5003.7</v>
      </c>
      <c r="G541" s="26" t="n">
        <v>0</v>
      </c>
      <c r="H541" s="26" t="n">
        <v>0</v>
      </c>
      <c r="I541" s="26" t="n">
        <v>0</v>
      </c>
      <c r="J541" s="26" t="n">
        <v>0</v>
      </c>
      <c r="K541" s="26" t="n">
        <v>0</v>
      </c>
      <c r="L541" s="26" t="n">
        <v>0</v>
      </c>
      <c r="M541" s="26" t="n">
        <v>0</v>
      </c>
      <c r="N541" s="26" t="n">
        <v>0</v>
      </c>
      <c r="O541" s="26" t="n">
        <v>0</v>
      </c>
      <c r="P541" s="26" t="n">
        <v>0</v>
      </c>
      <c r="Q541" s="26" t="n">
        <v>0</v>
      </c>
      <c r="R541" s="26" t="n">
        <v>0</v>
      </c>
      <c r="S541" s="26" t="n">
        <v>0</v>
      </c>
      <c r="T541" s="26" t="n">
        <v>0</v>
      </c>
      <c r="U541" s="26" t="n">
        <v>0</v>
      </c>
    </row>
    <row r="542" customFormat="false" ht="15" hidden="false" customHeight="true" outlineLevel="0" collapsed="false">
      <c r="A542" s="8" t="s">
        <v>407</v>
      </c>
      <c r="B542" s="8" t="s">
        <v>142</v>
      </c>
      <c r="C542" s="8" t="s">
        <v>901</v>
      </c>
      <c r="D542" s="26" t="n">
        <v>0</v>
      </c>
      <c r="E542" s="26" t="n">
        <v>0</v>
      </c>
      <c r="F542" s="26" t="n">
        <v>3501.7</v>
      </c>
      <c r="G542" s="26" t="n">
        <v>0</v>
      </c>
      <c r="H542" s="26" t="n">
        <v>0</v>
      </c>
      <c r="I542" s="26" t="n">
        <v>59.5</v>
      </c>
      <c r="J542" s="26" t="n">
        <v>0</v>
      </c>
      <c r="K542" s="26" t="n">
        <v>0</v>
      </c>
      <c r="L542" s="26" t="n">
        <v>0</v>
      </c>
      <c r="M542" s="26" t="n">
        <v>0</v>
      </c>
      <c r="N542" s="26" t="n">
        <v>59.5</v>
      </c>
      <c r="O542" s="26" t="n">
        <v>0</v>
      </c>
      <c r="P542" s="26" t="n">
        <v>0</v>
      </c>
      <c r="Q542" s="26" t="n">
        <v>0</v>
      </c>
      <c r="R542" s="26" t="n">
        <v>0</v>
      </c>
      <c r="S542" s="26" t="n">
        <v>0</v>
      </c>
      <c r="T542" s="26" t="n">
        <v>0</v>
      </c>
      <c r="U542" s="26" t="n">
        <v>0</v>
      </c>
    </row>
    <row r="543" customFormat="false" ht="15" hidden="false" customHeight="true" outlineLevel="0" collapsed="false">
      <c r="A543" s="8" t="s">
        <v>407</v>
      </c>
      <c r="B543" s="8" t="s">
        <v>142</v>
      </c>
      <c r="C543" s="8" t="s">
        <v>902</v>
      </c>
      <c r="D543" s="26" t="n">
        <v>0</v>
      </c>
      <c r="E543" s="26" t="n">
        <v>0</v>
      </c>
      <c r="F543" s="26" t="n">
        <v>2618.2</v>
      </c>
      <c r="G543" s="26" t="n">
        <v>0</v>
      </c>
      <c r="H543" s="26" t="n">
        <v>0</v>
      </c>
      <c r="I543" s="26" t="n">
        <v>59.5</v>
      </c>
      <c r="J543" s="26" t="n">
        <v>0</v>
      </c>
      <c r="K543" s="26" t="n">
        <v>0</v>
      </c>
      <c r="L543" s="26" t="n">
        <v>0</v>
      </c>
      <c r="M543" s="26" t="n">
        <v>0</v>
      </c>
      <c r="N543" s="26" t="n">
        <v>59.5</v>
      </c>
      <c r="O543" s="26" t="n">
        <v>0</v>
      </c>
      <c r="P543" s="26" t="n">
        <v>0</v>
      </c>
      <c r="Q543" s="26" t="n">
        <v>0</v>
      </c>
      <c r="R543" s="26" t="n">
        <v>0</v>
      </c>
      <c r="S543" s="26" t="n">
        <v>27.8</v>
      </c>
      <c r="T543" s="26" t="n">
        <v>0</v>
      </c>
      <c r="U543" s="26" t="n">
        <v>0</v>
      </c>
    </row>
    <row r="544" customFormat="false" ht="15" hidden="false" customHeight="true" outlineLevel="0" collapsed="false">
      <c r="A544" s="8" t="s">
        <v>407</v>
      </c>
      <c r="B544" s="8" t="s">
        <v>142</v>
      </c>
      <c r="C544" s="8" t="s">
        <v>903</v>
      </c>
      <c r="D544" s="26" t="n">
        <v>0</v>
      </c>
      <c r="E544" s="26" t="n">
        <v>0</v>
      </c>
      <c r="F544" s="26" t="n">
        <v>119.4</v>
      </c>
      <c r="G544" s="26" t="n">
        <v>0</v>
      </c>
      <c r="H544" s="26" t="n">
        <v>0</v>
      </c>
      <c r="I544" s="26" t="n">
        <v>0</v>
      </c>
      <c r="J544" s="26" t="n">
        <v>0</v>
      </c>
      <c r="K544" s="26" t="n">
        <v>0</v>
      </c>
      <c r="L544" s="26" t="n">
        <v>0</v>
      </c>
      <c r="M544" s="26" t="n">
        <v>0</v>
      </c>
      <c r="N544" s="26" t="n">
        <v>0</v>
      </c>
      <c r="O544" s="26" t="n">
        <v>0</v>
      </c>
      <c r="P544" s="26" t="n">
        <v>0</v>
      </c>
      <c r="Q544" s="26" t="n">
        <v>0</v>
      </c>
      <c r="R544" s="26" t="n">
        <v>0</v>
      </c>
      <c r="S544" s="26" t="n">
        <v>27.8</v>
      </c>
      <c r="T544" s="26" t="n">
        <v>0</v>
      </c>
      <c r="U544" s="26" t="n">
        <v>0</v>
      </c>
    </row>
    <row r="545" customFormat="false" ht="15" hidden="false" customHeight="true" outlineLevel="0" collapsed="false">
      <c r="A545" s="8" t="s">
        <v>407</v>
      </c>
      <c r="B545" s="8" t="s">
        <v>314</v>
      </c>
      <c r="C545" s="8" t="s">
        <v>904</v>
      </c>
      <c r="D545" s="26" t="n">
        <v>0</v>
      </c>
      <c r="E545" s="26" t="n">
        <v>0</v>
      </c>
      <c r="F545" s="26" t="n">
        <v>1297.9</v>
      </c>
      <c r="G545" s="26" t="n">
        <v>0</v>
      </c>
      <c r="H545" s="26" t="n">
        <v>0</v>
      </c>
      <c r="I545" s="26" t="n">
        <v>5827.9</v>
      </c>
      <c r="J545" s="26" t="n">
        <v>0</v>
      </c>
      <c r="K545" s="26" t="n">
        <v>0</v>
      </c>
      <c r="L545" s="26" t="n">
        <v>0</v>
      </c>
      <c r="M545" s="26" t="n">
        <v>0</v>
      </c>
      <c r="N545" s="26" t="n">
        <v>0</v>
      </c>
      <c r="O545" s="26" t="n">
        <v>0</v>
      </c>
      <c r="P545" s="26" t="n">
        <v>-40.6</v>
      </c>
      <c r="Q545" s="26" t="n">
        <v>5300.6</v>
      </c>
      <c r="R545" s="26" t="n">
        <v>567.8</v>
      </c>
      <c r="S545" s="26" t="n">
        <v>0</v>
      </c>
      <c r="T545" s="26" t="n">
        <v>0</v>
      </c>
      <c r="U545" s="26" t="n">
        <v>0</v>
      </c>
    </row>
    <row r="546" customFormat="false" ht="15" hidden="false" customHeight="true" outlineLevel="0" collapsed="false">
      <c r="A546" s="8" t="s">
        <v>407</v>
      </c>
      <c r="B546" s="8" t="s">
        <v>346</v>
      </c>
      <c r="C546" s="8" t="s">
        <v>905</v>
      </c>
      <c r="D546" s="26" t="n">
        <v>0</v>
      </c>
      <c r="E546" s="26" t="n">
        <v>0</v>
      </c>
      <c r="F546" s="26" t="n">
        <v>75.5</v>
      </c>
      <c r="G546" s="26" t="n">
        <v>0</v>
      </c>
      <c r="H546" s="26" t="n">
        <v>0</v>
      </c>
      <c r="I546" s="26" t="n">
        <v>0</v>
      </c>
      <c r="J546" s="26" t="n">
        <v>0</v>
      </c>
      <c r="K546" s="26" t="n">
        <v>0</v>
      </c>
      <c r="L546" s="26" t="n">
        <v>0</v>
      </c>
      <c r="M546" s="26" t="n">
        <v>0</v>
      </c>
      <c r="N546" s="26" t="n">
        <v>0</v>
      </c>
      <c r="O546" s="26" t="n">
        <v>0</v>
      </c>
      <c r="P546" s="26" t="n">
        <v>0</v>
      </c>
      <c r="Q546" s="26" t="n">
        <v>0</v>
      </c>
      <c r="R546" s="26" t="n">
        <v>0</v>
      </c>
      <c r="S546" s="26" t="n">
        <v>0</v>
      </c>
      <c r="T546" s="26" t="n">
        <v>0</v>
      </c>
      <c r="U546" s="26" t="n">
        <v>0</v>
      </c>
    </row>
    <row r="547" customFormat="false" ht="15" hidden="false" customHeight="true" outlineLevel="0" collapsed="false">
      <c r="A547" s="8" t="s">
        <v>407</v>
      </c>
      <c r="B547" s="8" t="s">
        <v>298</v>
      </c>
      <c r="C547" s="8" t="s">
        <v>906</v>
      </c>
      <c r="D547" s="26" t="n">
        <v>0</v>
      </c>
      <c r="E547" s="26" t="n">
        <v>0</v>
      </c>
      <c r="F547" s="26" t="n">
        <v>401</v>
      </c>
      <c r="G547" s="26" t="n">
        <v>0</v>
      </c>
      <c r="H547" s="26" t="n">
        <v>0</v>
      </c>
      <c r="I547" s="26" t="n">
        <v>0</v>
      </c>
      <c r="J547" s="26" t="n">
        <v>0</v>
      </c>
      <c r="K547" s="26" t="n">
        <v>0</v>
      </c>
      <c r="L547" s="26" t="n">
        <v>0</v>
      </c>
      <c r="M547" s="26" t="n">
        <v>0</v>
      </c>
      <c r="N547" s="26" t="n">
        <v>0</v>
      </c>
      <c r="O547" s="26" t="n">
        <v>0</v>
      </c>
      <c r="P547" s="26" t="n">
        <v>0</v>
      </c>
      <c r="Q547" s="26" t="n">
        <v>0</v>
      </c>
      <c r="R547" s="26" t="n">
        <v>0</v>
      </c>
      <c r="S547" s="26" t="n">
        <v>0</v>
      </c>
      <c r="T547" s="26" t="n">
        <v>0</v>
      </c>
      <c r="U547" s="26" t="n">
        <v>0</v>
      </c>
    </row>
    <row r="548" customFormat="false" ht="15" hidden="false" customHeight="true" outlineLevel="0" collapsed="false">
      <c r="A548" s="8" t="s">
        <v>407</v>
      </c>
      <c r="B548" s="8" t="s">
        <v>200</v>
      </c>
      <c r="C548" s="8" t="s">
        <v>907</v>
      </c>
      <c r="D548" s="26" t="n">
        <v>0</v>
      </c>
      <c r="E548" s="26" t="n">
        <v>0</v>
      </c>
      <c r="F548" s="26" t="n">
        <v>1431.1</v>
      </c>
      <c r="G548" s="26" t="n">
        <v>0</v>
      </c>
      <c r="H548" s="26" t="n">
        <v>0</v>
      </c>
      <c r="I548" s="26" t="n">
        <v>0</v>
      </c>
      <c r="J548" s="26" t="n">
        <v>0</v>
      </c>
      <c r="K548" s="26" t="n">
        <v>0</v>
      </c>
      <c r="L548" s="26" t="n">
        <v>0</v>
      </c>
      <c r="M548" s="26" t="n">
        <v>0</v>
      </c>
      <c r="N548" s="26" t="n">
        <v>0</v>
      </c>
      <c r="O548" s="26" t="n">
        <v>0</v>
      </c>
      <c r="P548" s="26" t="n">
        <v>0</v>
      </c>
      <c r="Q548" s="26" t="n">
        <v>0</v>
      </c>
      <c r="R548" s="26" t="n">
        <v>0</v>
      </c>
      <c r="S548" s="26" t="n">
        <v>0</v>
      </c>
      <c r="T548" s="26" t="n">
        <v>0</v>
      </c>
      <c r="U548" s="26" t="n">
        <v>0</v>
      </c>
    </row>
    <row r="549" customFormat="false" ht="15" hidden="false" customHeight="true" outlineLevel="0" collapsed="false">
      <c r="A549" s="8" t="s">
        <v>407</v>
      </c>
      <c r="B549" s="8" t="s">
        <v>284</v>
      </c>
      <c r="C549" s="8" t="s">
        <v>908</v>
      </c>
      <c r="D549" s="26" t="n">
        <v>0</v>
      </c>
      <c r="E549" s="26" t="n">
        <v>0</v>
      </c>
      <c r="F549" s="26" t="n">
        <v>-100</v>
      </c>
      <c r="G549" s="26" t="n">
        <v>0</v>
      </c>
      <c r="H549" s="26" t="n">
        <v>0</v>
      </c>
      <c r="I549" s="26" t="n">
        <v>-7.2</v>
      </c>
      <c r="J549" s="26" t="n">
        <v>0</v>
      </c>
      <c r="K549" s="26" t="n">
        <v>0</v>
      </c>
      <c r="L549" s="26" t="n">
        <v>0</v>
      </c>
      <c r="M549" s="26" t="n">
        <v>-7.2</v>
      </c>
      <c r="N549" s="26" t="n">
        <v>0</v>
      </c>
      <c r="O549" s="26" t="n">
        <v>0</v>
      </c>
      <c r="P549" s="26" t="n">
        <v>0</v>
      </c>
      <c r="Q549" s="26" t="n">
        <v>0</v>
      </c>
      <c r="R549" s="26" t="n">
        <v>0</v>
      </c>
      <c r="S549" s="26" t="n">
        <v>0</v>
      </c>
      <c r="T549" s="26" t="n">
        <v>0</v>
      </c>
      <c r="U549" s="26" t="n">
        <v>0</v>
      </c>
    </row>
    <row r="550" customFormat="false" ht="15" hidden="false" customHeight="true" outlineLevel="0" collapsed="false">
      <c r="A550" s="8" t="s">
        <v>407</v>
      </c>
      <c r="B550" s="8" t="s">
        <v>213</v>
      </c>
      <c r="C550" s="8" t="s">
        <v>909</v>
      </c>
      <c r="D550" s="26" t="n">
        <v>0</v>
      </c>
      <c r="E550" s="26" t="n">
        <v>0</v>
      </c>
      <c r="F550" s="26" t="n">
        <v>2651</v>
      </c>
      <c r="G550" s="26" t="n">
        <v>0</v>
      </c>
      <c r="H550" s="26" t="n">
        <v>0</v>
      </c>
      <c r="I550" s="26" t="n">
        <v>10951.3</v>
      </c>
      <c r="J550" s="26" t="n">
        <v>0</v>
      </c>
      <c r="K550" s="26" t="n">
        <v>0</v>
      </c>
      <c r="L550" s="26" t="n">
        <v>0</v>
      </c>
      <c r="M550" s="26" t="n">
        <v>0</v>
      </c>
      <c r="N550" s="26" t="n">
        <v>0</v>
      </c>
      <c r="O550" s="26" t="n">
        <v>0</v>
      </c>
      <c r="P550" s="26" t="n">
        <v>0</v>
      </c>
      <c r="Q550" s="26" t="n">
        <v>10951.3</v>
      </c>
      <c r="R550" s="26" t="n">
        <v>0</v>
      </c>
      <c r="S550" s="26" t="n">
        <v>0</v>
      </c>
      <c r="T550" s="26" t="n">
        <v>0</v>
      </c>
      <c r="U550" s="26" t="n">
        <v>0</v>
      </c>
    </row>
    <row r="551" customFormat="false" ht="15" hidden="false" customHeight="true" outlineLevel="0" collapsed="false">
      <c r="A551" s="8" t="s">
        <v>407</v>
      </c>
      <c r="B551" s="8" t="s">
        <v>213</v>
      </c>
      <c r="C551" s="8" t="s">
        <v>910</v>
      </c>
      <c r="D551" s="26" t="n">
        <v>0</v>
      </c>
      <c r="E551" s="26" t="n">
        <v>0</v>
      </c>
      <c r="F551" s="26" t="n">
        <v>4671.1</v>
      </c>
      <c r="G551" s="26" t="n">
        <v>0</v>
      </c>
      <c r="H551" s="26" t="n">
        <v>0</v>
      </c>
      <c r="I551" s="26" t="n">
        <v>16470.8</v>
      </c>
      <c r="J551" s="26" t="n">
        <v>0</v>
      </c>
      <c r="K551" s="26" t="n">
        <v>0</v>
      </c>
      <c r="L551" s="26" t="n">
        <v>0</v>
      </c>
      <c r="M551" s="26" t="n">
        <v>0</v>
      </c>
      <c r="N551" s="26" t="n">
        <v>0</v>
      </c>
      <c r="O551" s="26" t="n">
        <v>0</v>
      </c>
      <c r="P551" s="26" t="n">
        <v>0</v>
      </c>
      <c r="Q551" s="26" t="n">
        <v>16470.8</v>
      </c>
      <c r="R551" s="26" t="n">
        <v>0</v>
      </c>
      <c r="S551" s="26" t="n">
        <v>0</v>
      </c>
      <c r="T551" s="26" t="n">
        <v>0</v>
      </c>
      <c r="U551" s="26" t="n">
        <v>0</v>
      </c>
    </row>
    <row r="552" customFormat="false" ht="15" hidden="false" customHeight="true" outlineLevel="0" collapsed="false">
      <c r="A552" s="8" t="s">
        <v>407</v>
      </c>
      <c r="B552" s="8" t="s">
        <v>213</v>
      </c>
      <c r="C552" s="8" t="s">
        <v>911</v>
      </c>
      <c r="D552" s="26" t="n">
        <v>0</v>
      </c>
      <c r="E552" s="26" t="n">
        <v>0</v>
      </c>
      <c r="F552" s="26" t="n">
        <v>3457.6</v>
      </c>
      <c r="G552" s="26" t="n">
        <v>0</v>
      </c>
      <c r="H552" s="26" t="n">
        <v>0</v>
      </c>
      <c r="I552" s="26" t="n">
        <v>9621.9</v>
      </c>
      <c r="J552" s="26" t="n">
        <v>0</v>
      </c>
      <c r="K552" s="26" t="n">
        <v>0</v>
      </c>
      <c r="L552" s="26" t="n">
        <v>0</v>
      </c>
      <c r="M552" s="26" t="n">
        <v>0</v>
      </c>
      <c r="N552" s="26" t="n">
        <v>0</v>
      </c>
      <c r="O552" s="26" t="n">
        <v>0</v>
      </c>
      <c r="P552" s="26" t="n">
        <v>0</v>
      </c>
      <c r="Q552" s="26" t="n">
        <v>9621.9</v>
      </c>
      <c r="R552" s="26" t="n">
        <v>0</v>
      </c>
      <c r="S552" s="26" t="n">
        <v>0</v>
      </c>
      <c r="T552" s="26" t="n">
        <v>0</v>
      </c>
      <c r="U552" s="26" t="n">
        <v>0</v>
      </c>
    </row>
    <row r="553" customFormat="false" ht="15" hidden="false" customHeight="true" outlineLevel="0" collapsed="false">
      <c r="A553" s="8" t="s">
        <v>407</v>
      </c>
      <c r="B553" s="8" t="s">
        <v>213</v>
      </c>
      <c r="C553" s="8" t="s">
        <v>912</v>
      </c>
      <c r="D553" s="26" t="n">
        <v>0</v>
      </c>
      <c r="E553" s="26" t="n">
        <v>0</v>
      </c>
      <c r="F553" s="26" t="n">
        <v>4014.8</v>
      </c>
      <c r="G553" s="26" t="n">
        <v>0</v>
      </c>
      <c r="H553" s="26" t="n">
        <v>0</v>
      </c>
      <c r="I553" s="26" t="n">
        <v>13563.4</v>
      </c>
      <c r="J553" s="26" t="n">
        <v>0</v>
      </c>
      <c r="K553" s="26" t="n">
        <v>0</v>
      </c>
      <c r="L553" s="26" t="n">
        <v>0</v>
      </c>
      <c r="M553" s="26" t="n">
        <v>0</v>
      </c>
      <c r="N553" s="26" t="n">
        <v>0</v>
      </c>
      <c r="O553" s="26" t="n">
        <v>0</v>
      </c>
      <c r="P553" s="26" t="n">
        <v>0</v>
      </c>
      <c r="Q553" s="26" t="n">
        <v>13563.4</v>
      </c>
      <c r="R553" s="26" t="n">
        <v>0</v>
      </c>
      <c r="S553" s="26" t="n">
        <v>0</v>
      </c>
      <c r="T553" s="26" t="n">
        <v>0</v>
      </c>
      <c r="U553" s="26" t="n">
        <v>0</v>
      </c>
    </row>
    <row r="554" customFormat="false" ht="15" hidden="false" customHeight="true" outlineLevel="0" collapsed="false">
      <c r="A554" s="8" t="s">
        <v>407</v>
      </c>
      <c r="B554" s="8" t="s">
        <v>197</v>
      </c>
      <c r="C554" s="8" t="s">
        <v>913</v>
      </c>
      <c r="D554" s="26" t="n">
        <v>0</v>
      </c>
      <c r="E554" s="26" t="n">
        <v>0</v>
      </c>
      <c r="F554" s="26" t="n">
        <v>7071.1</v>
      </c>
      <c r="G554" s="26" t="n">
        <v>0</v>
      </c>
      <c r="H554" s="26" t="n">
        <v>0</v>
      </c>
      <c r="I554" s="26" t="n">
        <v>12532.2</v>
      </c>
      <c r="J554" s="26" t="n">
        <v>0</v>
      </c>
      <c r="K554" s="26" t="n">
        <v>0</v>
      </c>
      <c r="L554" s="26" t="n">
        <v>0</v>
      </c>
      <c r="M554" s="26" t="n">
        <v>0</v>
      </c>
      <c r="N554" s="26" t="n">
        <v>0</v>
      </c>
      <c r="O554" s="26" t="n">
        <v>0</v>
      </c>
      <c r="P554" s="26" t="n">
        <v>0</v>
      </c>
      <c r="Q554" s="26" t="n">
        <v>12532.2</v>
      </c>
      <c r="R554" s="26" t="n">
        <v>0</v>
      </c>
      <c r="S554" s="26" t="n">
        <v>0</v>
      </c>
      <c r="T554" s="26" t="n">
        <v>0</v>
      </c>
      <c r="U554" s="26" t="n">
        <v>0</v>
      </c>
    </row>
    <row r="555" customFormat="false" ht="15" hidden="false" customHeight="true" outlineLevel="0" collapsed="false">
      <c r="A555" s="8" t="s">
        <v>407</v>
      </c>
      <c r="B555" s="8" t="s">
        <v>174</v>
      </c>
      <c r="C555" s="8" t="s">
        <v>914</v>
      </c>
      <c r="D555" s="26" t="n">
        <v>0</v>
      </c>
      <c r="E555" s="26" t="n">
        <v>0</v>
      </c>
      <c r="F555" s="26" t="n">
        <v>4463.1</v>
      </c>
      <c r="G555" s="26" t="n">
        <v>0</v>
      </c>
      <c r="H555" s="26" t="n">
        <v>0</v>
      </c>
      <c r="I555" s="26" t="n">
        <v>18164.7</v>
      </c>
      <c r="J555" s="26" t="n">
        <v>0</v>
      </c>
      <c r="K555" s="26" t="n">
        <v>0</v>
      </c>
      <c r="L555" s="26" t="n">
        <v>0</v>
      </c>
      <c r="M555" s="26" t="n">
        <v>0</v>
      </c>
      <c r="N555" s="26" t="n">
        <v>0</v>
      </c>
      <c r="O555" s="26" t="n">
        <v>0</v>
      </c>
      <c r="P555" s="26" t="n">
        <v>0</v>
      </c>
      <c r="Q555" s="26" t="n">
        <v>18164.7</v>
      </c>
      <c r="R555" s="26" t="n">
        <v>0</v>
      </c>
      <c r="S555" s="26" t="n">
        <v>0</v>
      </c>
      <c r="T555" s="26" t="n">
        <v>0</v>
      </c>
      <c r="U555" s="26" t="n">
        <v>0</v>
      </c>
    </row>
    <row r="556" customFormat="false" ht="15" hidden="false" customHeight="true" outlineLevel="0" collapsed="false">
      <c r="A556" s="8" t="s">
        <v>407</v>
      </c>
      <c r="B556" s="8" t="s">
        <v>163</v>
      </c>
      <c r="C556" s="8" t="s">
        <v>915</v>
      </c>
      <c r="D556" s="26" t="n">
        <v>0</v>
      </c>
      <c r="E556" s="26" t="n">
        <v>0</v>
      </c>
      <c r="F556" s="26" t="n">
        <v>3741.1</v>
      </c>
      <c r="G556" s="26" t="n">
        <v>0</v>
      </c>
      <c r="H556" s="26" t="n">
        <v>0</v>
      </c>
      <c r="I556" s="26" t="n">
        <v>15795.7</v>
      </c>
      <c r="J556" s="26" t="n">
        <v>0</v>
      </c>
      <c r="K556" s="26" t="n">
        <v>0</v>
      </c>
      <c r="L556" s="26" t="n">
        <v>0</v>
      </c>
      <c r="M556" s="26" t="n">
        <v>0</v>
      </c>
      <c r="N556" s="26" t="n">
        <v>0</v>
      </c>
      <c r="O556" s="26" t="n">
        <v>0</v>
      </c>
      <c r="P556" s="26" t="n">
        <v>0</v>
      </c>
      <c r="Q556" s="26" t="n">
        <v>15795.7</v>
      </c>
      <c r="R556" s="26" t="n">
        <v>0</v>
      </c>
      <c r="S556" s="26" t="n">
        <v>0</v>
      </c>
      <c r="T556" s="26" t="n">
        <v>0</v>
      </c>
      <c r="U556" s="26" t="n">
        <v>0</v>
      </c>
    </row>
    <row r="557" customFormat="false" ht="15" hidden="false" customHeight="true" outlineLevel="0" collapsed="false">
      <c r="A557" s="8" t="s">
        <v>407</v>
      </c>
      <c r="B557" s="8" t="s">
        <v>204</v>
      </c>
      <c r="C557" s="8" t="s">
        <v>916</v>
      </c>
      <c r="D557" s="26" t="n">
        <v>0</v>
      </c>
      <c r="E557" s="26" t="n">
        <v>0</v>
      </c>
      <c r="F557" s="26" t="n">
        <v>1926.5</v>
      </c>
      <c r="G557" s="26" t="n">
        <v>0</v>
      </c>
      <c r="H557" s="26" t="n">
        <v>0</v>
      </c>
      <c r="I557" s="26" t="n">
        <v>11512.2</v>
      </c>
      <c r="J557" s="26" t="n">
        <v>0</v>
      </c>
      <c r="K557" s="26" t="n">
        <v>0</v>
      </c>
      <c r="L557" s="26" t="n">
        <v>0</v>
      </c>
      <c r="M557" s="26" t="n">
        <v>0</v>
      </c>
      <c r="N557" s="26" t="n">
        <v>0</v>
      </c>
      <c r="O557" s="26" t="n">
        <v>0</v>
      </c>
      <c r="P557" s="26" t="n">
        <v>0</v>
      </c>
      <c r="Q557" s="26" t="n">
        <v>11512.2</v>
      </c>
      <c r="R557" s="26" t="n">
        <v>0</v>
      </c>
      <c r="S557" s="26" t="n">
        <v>0</v>
      </c>
      <c r="T557" s="26" t="n">
        <v>0</v>
      </c>
      <c r="U557" s="26" t="n">
        <v>0</v>
      </c>
    </row>
    <row r="558" customFormat="false" ht="15" hidden="false" customHeight="true" outlineLevel="0" collapsed="false">
      <c r="A558" s="8" t="s">
        <v>407</v>
      </c>
      <c r="B558" s="8" t="s">
        <v>333</v>
      </c>
      <c r="C558" s="8" t="s">
        <v>917</v>
      </c>
      <c r="D558" s="26" t="n">
        <v>0</v>
      </c>
      <c r="E558" s="26" t="n">
        <v>0</v>
      </c>
      <c r="F558" s="26" t="n">
        <v>92.1</v>
      </c>
      <c r="G558" s="26" t="n">
        <v>0</v>
      </c>
      <c r="H558" s="26" t="n">
        <v>0</v>
      </c>
      <c r="I558" s="26" t="n">
        <v>0</v>
      </c>
      <c r="J558" s="26" t="n">
        <v>0</v>
      </c>
      <c r="K558" s="26" t="n">
        <v>0</v>
      </c>
      <c r="L558" s="26" t="n">
        <v>0</v>
      </c>
      <c r="M558" s="26" t="n">
        <v>0</v>
      </c>
      <c r="N558" s="26" t="n">
        <v>0</v>
      </c>
      <c r="O558" s="26" t="n">
        <v>0</v>
      </c>
      <c r="P558" s="26" t="n">
        <v>0</v>
      </c>
      <c r="Q558" s="26" t="n">
        <v>0</v>
      </c>
      <c r="R558" s="26" t="n">
        <v>0</v>
      </c>
      <c r="S558" s="26" t="n">
        <v>0</v>
      </c>
      <c r="T558" s="26" t="n">
        <v>0</v>
      </c>
      <c r="U558" s="26" t="n">
        <v>0</v>
      </c>
    </row>
    <row r="559" customFormat="false" ht="15" hidden="false" customHeight="true" outlineLevel="0" collapsed="false">
      <c r="A559" s="8" t="s">
        <v>407</v>
      </c>
      <c r="B559" s="8" t="s">
        <v>267</v>
      </c>
      <c r="C559" s="8" t="s">
        <v>918</v>
      </c>
      <c r="D559" s="26" t="n">
        <v>0</v>
      </c>
      <c r="E559" s="26" t="n">
        <v>0</v>
      </c>
      <c r="F559" s="26" t="n">
        <v>310.5</v>
      </c>
      <c r="G559" s="26" t="n">
        <v>0</v>
      </c>
      <c r="H559" s="26" t="n">
        <v>0</v>
      </c>
      <c r="I559" s="26" t="n">
        <v>0</v>
      </c>
      <c r="J559" s="26" t="n">
        <v>0</v>
      </c>
      <c r="K559" s="26" t="n">
        <v>0</v>
      </c>
      <c r="L559" s="26" t="n">
        <v>0</v>
      </c>
      <c r="M559" s="26" t="n">
        <v>0</v>
      </c>
      <c r="N559" s="26" t="n">
        <v>0</v>
      </c>
      <c r="O559" s="26" t="n">
        <v>0</v>
      </c>
      <c r="P559" s="26" t="n">
        <v>0</v>
      </c>
      <c r="Q559" s="26" t="n">
        <v>0</v>
      </c>
      <c r="R559" s="26" t="n">
        <v>0</v>
      </c>
      <c r="S559" s="26" t="n">
        <v>0</v>
      </c>
      <c r="T559" s="26" t="n">
        <v>0</v>
      </c>
      <c r="U559" s="26" t="n">
        <v>0</v>
      </c>
    </row>
    <row r="560" customFormat="false" ht="15" hidden="false" customHeight="true" outlineLevel="0" collapsed="false">
      <c r="A560" s="8" t="s">
        <v>407</v>
      </c>
      <c r="B560" s="8" t="s">
        <v>338</v>
      </c>
      <c r="C560" s="8" t="s">
        <v>919</v>
      </c>
      <c r="D560" s="26" t="n">
        <v>0</v>
      </c>
      <c r="E560" s="26" t="n">
        <v>0</v>
      </c>
      <c r="F560" s="26" t="n">
        <v>-75.6</v>
      </c>
      <c r="G560" s="26" t="n">
        <v>0</v>
      </c>
      <c r="H560" s="26" t="n">
        <v>0</v>
      </c>
      <c r="I560" s="26" t="n">
        <v>0</v>
      </c>
      <c r="J560" s="26" t="n">
        <v>0</v>
      </c>
      <c r="K560" s="26" t="n">
        <v>0</v>
      </c>
      <c r="L560" s="26" t="n">
        <v>0</v>
      </c>
      <c r="M560" s="26" t="n">
        <v>0</v>
      </c>
      <c r="N560" s="26" t="n">
        <v>0</v>
      </c>
      <c r="O560" s="26" t="n">
        <v>0</v>
      </c>
      <c r="P560" s="26" t="n">
        <v>0</v>
      </c>
      <c r="Q560" s="26" t="n">
        <v>0</v>
      </c>
      <c r="R560" s="26" t="n">
        <v>0</v>
      </c>
      <c r="S560" s="26" t="n">
        <v>0</v>
      </c>
      <c r="T560" s="26" t="n">
        <v>0</v>
      </c>
      <c r="U560" s="26" t="n">
        <v>0</v>
      </c>
    </row>
    <row r="561" customFormat="false" ht="15" hidden="false" customHeight="true" outlineLevel="0" collapsed="false">
      <c r="A561" s="8" t="s">
        <v>407</v>
      </c>
      <c r="B561" s="8" t="s">
        <v>103</v>
      </c>
      <c r="C561" s="8" t="s">
        <v>920</v>
      </c>
      <c r="D561" s="26" t="n">
        <v>0</v>
      </c>
      <c r="E561" s="26" t="n">
        <v>0</v>
      </c>
      <c r="F561" s="26" t="n">
        <v>12736.4</v>
      </c>
      <c r="G561" s="26" t="n">
        <v>0</v>
      </c>
      <c r="H561" s="26" t="n">
        <v>0</v>
      </c>
      <c r="I561" s="26" t="n">
        <v>45804.2</v>
      </c>
      <c r="J561" s="26" t="n">
        <v>0</v>
      </c>
      <c r="K561" s="26" t="n">
        <v>0</v>
      </c>
      <c r="L561" s="26" t="n">
        <v>0</v>
      </c>
      <c r="M561" s="26" t="n">
        <v>0</v>
      </c>
      <c r="N561" s="26" t="n">
        <v>0</v>
      </c>
      <c r="O561" s="26" t="n">
        <v>0</v>
      </c>
      <c r="P561" s="26" t="n">
        <v>0</v>
      </c>
      <c r="Q561" s="26" t="n">
        <v>45804.2</v>
      </c>
      <c r="R561" s="26" t="n">
        <v>0</v>
      </c>
      <c r="S561" s="26" t="n">
        <v>0</v>
      </c>
      <c r="T561" s="26" t="n">
        <v>0</v>
      </c>
      <c r="U561" s="26" t="n">
        <v>0</v>
      </c>
    </row>
    <row r="562" customFormat="false" ht="15" hidden="false" customHeight="true" outlineLevel="0" collapsed="false">
      <c r="A562" s="8" t="s">
        <v>407</v>
      </c>
      <c r="B562" s="8" t="s">
        <v>103</v>
      </c>
      <c r="C562" s="8" t="s">
        <v>921</v>
      </c>
      <c r="D562" s="26" t="n">
        <v>0</v>
      </c>
      <c r="E562" s="26" t="n">
        <v>0</v>
      </c>
      <c r="F562" s="26" t="n">
        <v>8753.6</v>
      </c>
      <c r="G562" s="26" t="n">
        <v>0</v>
      </c>
      <c r="H562" s="26" t="n">
        <v>0</v>
      </c>
      <c r="I562" s="26" t="n">
        <v>39247.7</v>
      </c>
      <c r="J562" s="26" t="n">
        <v>0</v>
      </c>
      <c r="K562" s="26" t="n">
        <v>0</v>
      </c>
      <c r="L562" s="26" t="n">
        <v>0</v>
      </c>
      <c r="M562" s="26" t="n">
        <v>0</v>
      </c>
      <c r="N562" s="26" t="n">
        <v>0</v>
      </c>
      <c r="O562" s="26" t="n">
        <v>0</v>
      </c>
      <c r="P562" s="26" t="n">
        <v>0</v>
      </c>
      <c r="Q562" s="26" t="n">
        <v>39247.7</v>
      </c>
      <c r="R562" s="26" t="n">
        <v>0</v>
      </c>
      <c r="S562" s="26" t="n">
        <v>0</v>
      </c>
      <c r="T562" s="26" t="n">
        <v>0</v>
      </c>
      <c r="U562" s="26" t="n">
        <v>0</v>
      </c>
    </row>
    <row r="563" customFormat="false" ht="15" hidden="false" customHeight="true" outlineLevel="0" collapsed="false">
      <c r="A563" s="8" t="s">
        <v>407</v>
      </c>
      <c r="B563" s="8" t="s">
        <v>103</v>
      </c>
      <c r="C563" s="8" t="s">
        <v>922</v>
      </c>
      <c r="D563" s="26" t="n">
        <v>0</v>
      </c>
      <c r="E563" s="26" t="n">
        <v>0</v>
      </c>
      <c r="F563" s="26" t="n">
        <v>6162.7</v>
      </c>
      <c r="G563" s="26" t="n">
        <v>0</v>
      </c>
      <c r="H563" s="26" t="n">
        <v>0</v>
      </c>
      <c r="I563" s="26" t="n">
        <v>28808.8</v>
      </c>
      <c r="J563" s="26" t="n">
        <v>0</v>
      </c>
      <c r="K563" s="26" t="n">
        <v>0</v>
      </c>
      <c r="L563" s="26" t="n">
        <v>0</v>
      </c>
      <c r="M563" s="26" t="n">
        <v>0</v>
      </c>
      <c r="N563" s="26" t="n">
        <v>0</v>
      </c>
      <c r="O563" s="26" t="n">
        <v>0</v>
      </c>
      <c r="P563" s="26" t="n">
        <v>0</v>
      </c>
      <c r="Q563" s="26" t="n">
        <v>28808.8</v>
      </c>
      <c r="R563" s="26" t="n">
        <v>0</v>
      </c>
      <c r="S563" s="26" t="n">
        <v>0</v>
      </c>
      <c r="T563" s="26" t="n">
        <v>0</v>
      </c>
      <c r="U563" s="26" t="n">
        <v>0</v>
      </c>
    </row>
    <row r="564" customFormat="false" ht="15" hidden="false" customHeight="true" outlineLevel="0" collapsed="false">
      <c r="A564" s="8" t="s">
        <v>407</v>
      </c>
      <c r="B564" s="8" t="s">
        <v>103</v>
      </c>
      <c r="C564" s="8" t="s">
        <v>923</v>
      </c>
      <c r="D564" s="26" t="n">
        <v>0</v>
      </c>
      <c r="E564" s="26" t="n">
        <v>0</v>
      </c>
      <c r="F564" s="26" t="n">
        <v>4720.2</v>
      </c>
      <c r="G564" s="26" t="n">
        <v>0</v>
      </c>
      <c r="H564" s="26" t="n">
        <v>0</v>
      </c>
      <c r="I564" s="26" t="n">
        <v>22776.9</v>
      </c>
      <c r="J564" s="26" t="n">
        <v>0</v>
      </c>
      <c r="K564" s="26" t="n">
        <v>0</v>
      </c>
      <c r="L564" s="26" t="n">
        <v>0</v>
      </c>
      <c r="M564" s="26" t="n">
        <v>0</v>
      </c>
      <c r="N564" s="26" t="n">
        <v>0</v>
      </c>
      <c r="O564" s="26" t="n">
        <v>0</v>
      </c>
      <c r="P564" s="26" t="n">
        <v>0</v>
      </c>
      <c r="Q564" s="26" t="n">
        <v>22776.9</v>
      </c>
      <c r="R564" s="26" t="n">
        <v>0</v>
      </c>
      <c r="S564" s="26" t="n">
        <v>0</v>
      </c>
      <c r="T564" s="26" t="n">
        <v>0</v>
      </c>
      <c r="U564" s="26" t="n">
        <v>0</v>
      </c>
    </row>
    <row r="565" customFormat="false" ht="15" hidden="false" customHeight="true" outlineLevel="0" collapsed="false">
      <c r="A565" s="8" t="s">
        <v>407</v>
      </c>
      <c r="B565" s="8" t="s">
        <v>254</v>
      </c>
      <c r="C565" s="8" t="s">
        <v>924</v>
      </c>
      <c r="D565" s="26" t="n">
        <v>0</v>
      </c>
      <c r="E565" s="26" t="n">
        <v>0</v>
      </c>
      <c r="F565" s="26" t="n">
        <v>-54.7</v>
      </c>
      <c r="G565" s="26" t="n">
        <v>0</v>
      </c>
      <c r="H565" s="26" t="n">
        <v>0</v>
      </c>
      <c r="I565" s="26" t="n">
        <v>4298.7</v>
      </c>
      <c r="J565" s="26" t="n">
        <v>0</v>
      </c>
      <c r="K565" s="26" t="n">
        <v>0</v>
      </c>
      <c r="L565" s="26" t="n">
        <v>0</v>
      </c>
      <c r="M565" s="26" t="n">
        <v>0</v>
      </c>
      <c r="N565" s="26" t="n">
        <v>0</v>
      </c>
      <c r="O565" s="26" t="n">
        <v>0</v>
      </c>
      <c r="P565" s="26" t="n">
        <v>0</v>
      </c>
      <c r="Q565" s="26" t="n">
        <v>4298.7</v>
      </c>
      <c r="R565" s="26" t="n">
        <v>0</v>
      </c>
      <c r="S565" s="26" t="n">
        <v>0</v>
      </c>
      <c r="T565" s="26" t="n">
        <v>0</v>
      </c>
      <c r="U565" s="26" t="n">
        <v>0</v>
      </c>
    </row>
    <row r="566" customFormat="false" ht="15" hidden="false" customHeight="true" outlineLevel="0" collapsed="false">
      <c r="A566" s="8" t="s">
        <v>407</v>
      </c>
      <c r="B566" s="8" t="s">
        <v>342</v>
      </c>
      <c r="C566" s="8" t="s">
        <v>924</v>
      </c>
      <c r="D566" s="26" t="n">
        <v>0</v>
      </c>
      <c r="E566" s="26" t="n">
        <v>0</v>
      </c>
      <c r="F566" s="26" t="n">
        <v>-53.5</v>
      </c>
      <c r="G566" s="26" t="n">
        <v>0</v>
      </c>
      <c r="H566" s="26" t="n">
        <v>0</v>
      </c>
      <c r="I566" s="26" t="n">
        <v>1673</v>
      </c>
      <c r="J566" s="26" t="n">
        <v>0</v>
      </c>
      <c r="K566" s="26" t="n">
        <v>0</v>
      </c>
      <c r="L566" s="26" t="n">
        <v>0</v>
      </c>
      <c r="M566" s="26" t="n">
        <v>0</v>
      </c>
      <c r="N566" s="26" t="n">
        <v>0</v>
      </c>
      <c r="O566" s="26" t="n">
        <v>0</v>
      </c>
      <c r="P566" s="26" t="n">
        <v>0</v>
      </c>
      <c r="Q566" s="26" t="n">
        <v>1673</v>
      </c>
      <c r="R566" s="26" t="n">
        <v>0</v>
      </c>
      <c r="S566" s="26" t="n">
        <v>0</v>
      </c>
      <c r="T566" s="26" t="n">
        <v>0</v>
      </c>
      <c r="U566" s="26" t="n">
        <v>0</v>
      </c>
    </row>
    <row r="567" customFormat="false" ht="15" hidden="false" customHeight="true" outlineLevel="0" collapsed="false">
      <c r="A567" s="8" t="s">
        <v>407</v>
      </c>
      <c r="B567" s="8" t="s">
        <v>254</v>
      </c>
      <c r="C567" s="8" t="s">
        <v>925</v>
      </c>
      <c r="D567" s="26" t="n">
        <v>0</v>
      </c>
      <c r="E567" s="26" t="n">
        <v>0</v>
      </c>
      <c r="F567" s="26" t="n">
        <v>-90.5</v>
      </c>
      <c r="G567" s="26" t="n">
        <v>0</v>
      </c>
      <c r="H567" s="26" t="n">
        <v>0</v>
      </c>
      <c r="I567" s="26" t="n">
        <v>3993.5</v>
      </c>
      <c r="J567" s="26" t="n">
        <v>0</v>
      </c>
      <c r="K567" s="26" t="n">
        <v>0</v>
      </c>
      <c r="L567" s="26" t="n">
        <v>0</v>
      </c>
      <c r="M567" s="26" t="n">
        <v>0</v>
      </c>
      <c r="N567" s="26" t="n">
        <v>0</v>
      </c>
      <c r="O567" s="26" t="n">
        <v>0</v>
      </c>
      <c r="P567" s="26" t="n">
        <v>0</v>
      </c>
      <c r="Q567" s="26" t="n">
        <v>3993.5</v>
      </c>
      <c r="R567" s="26" t="n">
        <v>0</v>
      </c>
      <c r="S567" s="26" t="n">
        <v>0</v>
      </c>
      <c r="T567" s="26" t="n">
        <v>0</v>
      </c>
      <c r="U567" s="26" t="n">
        <v>0</v>
      </c>
    </row>
    <row r="568" customFormat="false" ht="15" hidden="false" customHeight="true" outlineLevel="0" collapsed="false">
      <c r="A568" s="8" t="s">
        <v>407</v>
      </c>
      <c r="B568" s="8" t="s">
        <v>340</v>
      </c>
      <c r="C568" s="8" t="s">
        <v>925</v>
      </c>
      <c r="D568" s="26" t="n">
        <v>0</v>
      </c>
      <c r="E568" s="26" t="n">
        <v>0</v>
      </c>
      <c r="F568" s="26" t="n">
        <v>-55.3</v>
      </c>
      <c r="G568" s="26" t="n">
        <v>0</v>
      </c>
      <c r="H568" s="26" t="n">
        <v>0</v>
      </c>
      <c r="I568" s="26" t="n">
        <v>5450</v>
      </c>
      <c r="J568" s="26" t="n">
        <v>0</v>
      </c>
      <c r="K568" s="26" t="n">
        <v>0</v>
      </c>
      <c r="L568" s="26" t="n">
        <v>0</v>
      </c>
      <c r="M568" s="26" t="n">
        <v>0</v>
      </c>
      <c r="N568" s="26" t="n">
        <v>0</v>
      </c>
      <c r="O568" s="26" t="n">
        <v>0</v>
      </c>
      <c r="P568" s="26" t="n">
        <v>0</v>
      </c>
      <c r="Q568" s="26" t="n">
        <v>5450</v>
      </c>
      <c r="R568" s="26" t="n">
        <v>0</v>
      </c>
      <c r="S568" s="26" t="n">
        <v>0</v>
      </c>
      <c r="T568" s="26" t="n">
        <v>0</v>
      </c>
      <c r="U568" s="26" t="n">
        <v>0</v>
      </c>
    </row>
    <row r="569" customFormat="false" ht="15" hidden="false" customHeight="true" outlineLevel="0" collapsed="false">
      <c r="A569" s="8" t="s">
        <v>407</v>
      </c>
      <c r="B569" s="8" t="s">
        <v>92</v>
      </c>
      <c r="C569" s="8" t="s">
        <v>926</v>
      </c>
      <c r="D569" s="26" t="n">
        <v>0</v>
      </c>
      <c r="E569" s="26" t="n">
        <v>0</v>
      </c>
      <c r="F569" s="26" t="n">
        <v>17465.6</v>
      </c>
      <c r="G569" s="26" t="n">
        <v>0</v>
      </c>
      <c r="H569" s="26" t="n">
        <v>0</v>
      </c>
      <c r="I569" s="26" t="n">
        <v>30910.4</v>
      </c>
      <c r="J569" s="26" t="n">
        <v>0</v>
      </c>
      <c r="K569" s="26" t="n">
        <v>0</v>
      </c>
      <c r="L569" s="26" t="n">
        <v>0</v>
      </c>
      <c r="M569" s="26" t="n">
        <v>212.3</v>
      </c>
      <c r="N569" s="26" t="n">
        <v>123.8</v>
      </c>
      <c r="O569" s="26" t="n">
        <v>0</v>
      </c>
      <c r="P569" s="26" t="n">
        <v>0</v>
      </c>
      <c r="Q569" s="26" t="n">
        <v>30574.4</v>
      </c>
      <c r="R569" s="26" t="n">
        <v>0</v>
      </c>
      <c r="S569" s="26" t="n">
        <v>0</v>
      </c>
      <c r="T569" s="26" t="n">
        <v>0</v>
      </c>
      <c r="U569" s="26" t="n">
        <v>0</v>
      </c>
    </row>
    <row r="570" customFormat="false" ht="15" hidden="false" customHeight="true" outlineLevel="0" collapsed="false">
      <c r="A570" s="8" t="s">
        <v>407</v>
      </c>
      <c r="B570" s="8" t="s">
        <v>149</v>
      </c>
      <c r="C570" s="8" t="s">
        <v>927</v>
      </c>
      <c r="D570" s="26" t="n">
        <v>0</v>
      </c>
      <c r="E570" s="26" t="n">
        <v>0</v>
      </c>
      <c r="F570" s="26" t="n">
        <v>4004.4</v>
      </c>
      <c r="G570" s="26" t="n">
        <v>0</v>
      </c>
      <c r="H570" s="26" t="n">
        <v>0</v>
      </c>
      <c r="I570" s="26" t="n">
        <v>3384.7</v>
      </c>
      <c r="J570" s="26" t="n">
        <v>0</v>
      </c>
      <c r="K570" s="26" t="n">
        <v>0</v>
      </c>
      <c r="L570" s="26" t="n">
        <v>0</v>
      </c>
      <c r="M570" s="26" t="n">
        <v>0</v>
      </c>
      <c r="N570" s="26" t="n">
        <v>0</v>
      </c>
      <c r="O570" s="26" t="n">
        <v>0</v>
      </c>
      <c r="P570" s="26" t="n">
        <v>0</v>
      </c>
      <c r="Q570" s="26" t="n">
        <v>3384.7</v>
      </c>
      <c r="R570" s="26" t="n">
        <v>0</v>
      </c>
      <c r="S570" s="26" t="n">
        <v>0</v>
      </c>
      <c r="T570" s="26" t="n">
        <v>0</v>
      </c>
      <c r="U570" s="26" t="n">
        <v>0</v>
      </c>
    </row>
    <row r="571" customFormat="false" ht="15" hidden="false" customHeight="true" outlineLevel="0" collapsed="false">
      <c r="A571" s="8" t="s">
        <v>407</v>
      </c>
      <c r="B571" s="8" t="s">
        <v>110</v>
      </c>
      <c r="C571" s="8" t="s">
        <v>928</v>
      </c>
      <c r="D571" s="26" t="n">
        <v>0</v>
      </c>
      <c r="E571" s="26" t="n">
        <v>0</v>
      </c>
      <c r="F571" s="26" t="n">
        <v>15998.7</v>
      </c>
      <c r="G571" s="26" t="n">
        <v>0</v>
      </c>
      <c r="H571" s="26" t="n">
        <v>0</v>
      </c>
      <c r="I571" s="26" t="n">
        <v>0</v>
      </c>
      <c r="J571" s="26" t="n">
        <v>0</v>
      </c>
      <c r="K571" s="26" t="n">
        <v>0</v>
      </c>
      <c r="L571" s="26" t="n">
        <v>0</v>
      </c>
      <c r="M571" s="26" t="n">
        <v>0</v>
      </c>
      <c r="N571" s="26" t="n">
        <v>0</v>
      </c>
      <c r="O571" s="26" t="n">
        <v>0</v>
      </c>
      <c r="P571" s="26" t="n">
        <v>0</v>
      </c>
      <c r="Q571" s="26" t="n">
        <v>0</v>
      </c>
      <c r="R571" s="26" t="n">
        <v>0</v>
      </c>
      <c r="S571" s="26" t="n">
        <v>0</v>
      </c>
      <c r="T571" s="26" t="n">
        <v>0</v>
      </c>
      <c r="U571" s="26" t="n">
        <v>0</v>
      </c>
    </row>
    <row r="572" customFormat="false" ht="15" hidden="false" customHeight="true" outlineLevel="0" collapsed="false">
      <c r="A572" s="8" t="s">
        <v>407</v>
      </c>
      <c r="B572" s="8" t="s">
        <v>147</v>
      </c>
      <c r="C572" s="8" t="s">
        <v>533</v>
      </c>
      <c r="D572" s="26" t="n">
        <v>0</v>
      </c>
      <c r="E572" s="26" t="n">
        <v>0</v>
      </c>
      <c r="F572" s="26" t="n">
        <v>6752.6</v>
      </c>
      <c r="G572" s="26" t="n">
        <v>0</v>
      </c>
      <c r="H572" s="26" t="n">
        <v>0</v>
      </c>
      <c r="I572" s="26" t="n">
        <v>2640.1</v>
      </c>
      <c r="J572" s="26" t="n">
        <v>0</v>
      </c>
      <c r="K572" s="26" t="n">
        <v>0</v>
      </c>
      <c r="L572" s="26" t="n">
        <v>0</v>
      </c>
      <c r="M572" s="26" t="n">
        <v>0</v>
      </c>
      <c r="N572" s="26" t="n">
        <v>0</v>
      </c>
      <c r="O572" s="26" t="n">
        <v>0</v>
      </c>
      <c r="P572" s="26" t="n">
        <v>0</v>
      </c>
      <c r="Q572" s="26" t="n">
        <v>2640.1</v>
      </c>
      <c r="R572" s="26" t="n">
        <v>0</v>
      </c>
      <c r="S572" s="26" t="n">
        <v>0</v>
      </c>
      <c r="T572" s="26" t="n">
        <v>0</v>
      </c>
      <c r="U572" s="26" t="n">
        <v>0</v>
      </c>
    </row>
    <row r="573" customFormat="false" ht="15" hidden="false" customHeight="true" outlineLevel="0" collapsed="false">
      <c r="A573" s="8" t="s">
        <v>407</v>
      </c>
      <c r="B573" s="8" t="s">
        <v>216</v>
      </c>
      <c r="C573" s="8" t="s">
        <v>929</v>
      </c>
      <c r="D573" s="26" t="n">
        <v>0</v>
      </c>
      <c r="E573" s="26" t="n">
        <v>0</v>
      </c>
      <c r="F573" s="26" t="n">
        <v>6503.9</v>
      </c>
      <c r="G573" s="26" t="n">
        <v>0</v>
      </c>
      <c r="H573" s="26" t="n">
        <v>0</v>
      </c>
      <c r="I573" s="26" t="n">
        <v>62831.2</v>
      </c>
      <c r="J573" s="26" t="n">
        <v>0</v>
      </c>
      <c r="K573" s="26" t="n">
        <v>0</v>
      </c>
      <c r="L573" s="26" t="n">
        <v>0</v>
      </c>
      <c r="M573" s="26" t="n">
        <v>0</v>
      </c>
      <c r="N573" s="26" t="n">
        <v>0</v>
      </c>
      <c r="O573" s="26" t="n">
        <v>0</v>
      </c>
      <c r="P573" s="26" t="n">
        <v>0</v>
      </c>
      <c r="Q573" s="26" t="n">
        <v>62831.2</v>
      </c>
      <c r="R573" s="26" t="n">
        <v>0</v>
      </c>
      <c r="S573" s="26" t="n">
        <v>0</v>
      </c>
      <c r="T573" s="26" t="n">
        <v>0</v>
      </c>
      <c r="U573" s="26" t="n">
        <v>0</v>
      </c>
    </row>
    <row r="574" customFormat="false" ht="15" hidden="false" customHeight="true" outlineLevel="0" collapsed="false">
      <c r="A574" s="8" t="s">
        <v>407</v>
      </c>
      <c r="B574" s="8" t="s">
        <v>151</v>
      </c>
      <c r="C574" s="8" t="s">
        <v>930</v>
      </c>
      <c r="D574" s="26" t="n">
        <v>0</v>
      </c>
      <c r="E574" s="26" t="n">
        <v>0</v>
      </c>
      <c r="F574" s="26" t="n">
        <v>700.1</v>
      </c>
      <c r="G574" s="26" t="n">
        <v>0</v>
      </c>
      <c r="H574" s="26" t="n">
        <v>0</v>
      </c>
      <c r="I574" s="26" t="n">
        <v>80570.4</v>
      </c>
      <c r="J574" s="26" t="n">
        <v>0</v>
      </c>
      <c r="K574" s="26" t="n">
        <v>0</v>
      </c>
      <c r="L574" s="26" t="n">
        <v>0</v>
      </c>
      <c r="M574" s="26" t="n">
        <v>0</v>
      </c>
      <c r="N574" s="26" t="n">
        <v>0</v>
      </c>
      <c r="O574" s="26" t="n">
        <v>0</v>
      </c>
      <c r="P574" s="26" t="n">
        <v>0</v>
      </c>
      <c r="Q574" s="26" t="n">
        <v>80570.4</v>
      </c>
      <c r="R574" s="26" t="n">
        <v>0</v>
      </c>
      <c r="S574" s="26" t="n">
        <v>0</v>
      </c>
      <c r="T574" s="26" t="n">
        <v>0</v>
      </c>
      <c r="U574" s="26" t="n">
        <v>0</v>
      </c>
    </row>
    <row r="575" customFormat="false" ht="15" hidden="false" customHeight="true" outlineLevel="0" collapsed="false">
      <c r="A575" s="8" t="s">
        <v>407</v>
      </c>
      <c r="B575" s="8" t="s">
        <v>151</v>
      </c>
      <c r="C575" s="8" t="s">
        <v>931</v>
      </c>
      <c r="D575" s="26" t="n">
        <v>0</v>
      </c>
      <c r="E575" s="26" t="n">
        <v>0</v>
      </c>
      <c r="F575" s="26" t="n">
        <v>2137.3</v>
      </c>
      <c r="G575" s="26" t="n">
        <v>0</v>
      </c>
      <c r="H575" s="26" t="n">
        <v>0</v>
      </c>
      <c r="I575" s="26" t="n">
        <v>87621.8</v>
      </c>
      <c r="J575" s="26" t="n">
        <v>0</v>
      </c>
      <c r="K575" s="26" t="n">
        <v>0</v>
      </c>
      <c r="L575" s="26" t="n">
        <v>0</v>
      </c>
      <c r="M575" s="26" t="n">
        <v>0</v>
      </c>
      <c r="N575" s="26" t="n">
        <v>0</v>
      </c>
      <c r="O575" s="26" t="n">
        <v>0</v>
      </c>
      <c r="P575" s="26" t="n">
        <v>0</v>
      </c>
      <c r="Q575" s="26" t="n">
        <v>87621.8</v>
      </c>
      <c r="R575" s="26" t="n">
        <v>0</v>
      </c>
      <c r="S575" s="26" t="n">
        <v>0</v>
      </c>
      <c r="T575" s="26" t="n">
        <v>0</v>
      </c>
      <c r="U575" s="26" t="n">
        <v>0</v>
      </c>
    </row>
    <row r="576" customFormat="false" ht="15" hidden="false" customHeight="true" outlineLevel="0" collapsed="false">
      <c r="A576" s="8" t="s">
        <v>407</v>
      </c>
      <c r="B576" s="8" t="s">
        <v>151</v>
      </c>
      <c r="C576" s="8" t="s">
        <v>932</v>
      </c>
      <c r="D576" s="26" t="n">
        <v>0</v>
      </c>
      <c r="E576" s="26" t="n">
        <v>0</v>
      </c>
      <c r="F576" s="26" t="n">
        <v>2824.7</v>
      </c>
      <c r="G576" s="26" t="n">
        <v>0</v>
      </c>
      <c r="H576" s="26" t="n">
        <v>0</v>
      </c>
      <c r="I576" s="26" t="n">
        <v>97534</v>
      </c>
      <c r="J576" s="26" t="n">
        <v>0</v>
      </c>
      <c r="K576" s="26" t="n">
        <v>0</v>
      </c>
      <c r="L576" s="26" t="n">
        <v>0</v>
      </c>
      <c r="M576" s="26" t="n">
        <v>0</v>
      </c>
      <c r="N576" s="26" t="n">
        <v>0</v>
      </c>
      <c r="O576" s="26" t="n">
        <v>0</v>
      </c>
      <c r="P576" s="26" t="n">
        <v>0</v>
      </c>
      <c r="Q576" s="26" t="n">
        <v>97534</v>
      </c>
      <c r="R576" s="26" t="n">
        <v>0</v>
      </c>
      <c r="S576" s="26" t="n">
        <v>0</v>
      </c>
      <c r="T576" s="26" t="n">
        <v>0</v>
      </c>
      <c r="U576" s="26" t="n">
        <v>0</v>
      </c>
    </row>
    <row r="577" customFormat="false" ht="15" hidden="false" customHeight="true" outlineLevel="0" collapsed="false">
      <c r="A577" s="8" t="s">
        <v>407</v>
      </c>
      <c r="B577" s="8" t="s">
        <v>288</v>
      </c>
      <c r="C577" s="8" t="s">
        <v>933</v>
      </c>
      <c r="D577" s="26" t="n">
        <v>0</v>
      </c>
      <c r="E577" s="26" t="n">
        <v>0</v>
      </c>
      <c r="F577" s="26" t="n">
        <v>700.1</v>
      </c>
      <c r="G577" s="26" t="n">
        <v>0</v>
      </c>
      <c r="H577" s="26" t="n">
        <v>0</v>
      </c>
      <c r="I577" s="26" t="n">
        <v>82352.3</v>
      </c>
      <c r="J577" s="26" t="n">
        <v>0</v>
      </c>
      <c r="K577" s="26" t="n">
        <v>0</v>
      </c>
      <c r="L577" s="26" t="n">
        <v>0</v>
      </c>
      <c r="M577" s="26" t="n">
        <v>0</v>
      </c>
      <c r="N577" s="26" t="n">
        <v>0</v>
      </c>
      <c r="O577" s="26" t="n">
        <v>0</v>
      </c>
      <c r="P577" s="26" t="n">
        <v>0</v>
      </c>
      <c r="Q577" s="26" t="n">
        <v>82352.3</v>
      </c>
      <c r="R577" s="26" t="n">
        <v>0</v>
      </c>
      <c r="S577" s="26" t="n">
        <v>0</v>
      </c>
      <c r="T577" s="26" t="n">
        <v>0</v>
      </c>
      <c r="U577" s="26" t="n">
        <v>0</v>
      </c>
    </row>
    <row r="578" customFormat="false" ht="15" hidden="false" customHeight="true" outlineLevel="0" collapsed="false">
      <c r="A578" s="8" t="s">
        <v>407</v>
      </c>
      <c r="B578" s="8" t="s">
        <v>171</v>
      </c>
      <c r="C578" s="8" t="s">
        <v>933</v>
      </c>
      <c r="D578" s="26" t="n">
        <v>0</v>
      </c>
      <c r="E578" s="26" t="n">
        <v>0</v>
      </c>
      <c r="F578" s="26" t="n">
        <v>2384.9</v>
      </c>
      <c r="G578" s="26" t="n">
        <v>0</v>
      </c>
      <c r="H578" s="26" t="n">
        <v>0</v>
      </c>
      <c r="I578" s="26" t="n">
        <v>90203.7</v>
      </c>
      <c r="J578" s="26" t="n">
        <v>0</v>
      </c>
      <c r="K578" s="26" t="n">
        <v>0</v>
      </c>
      <c r="L578" s="26" t="n">
        <v>0</v>
      </c>
      <c r="M578" s="26" t="n">
        <v>0</v>
      </c>
      <c r="N578" s="26" t="n">
        <v>0</v>
      </c>
      <c r="O578" s="26" t="n">
        <v>0</v>
      </c>
      <c r="P578" s="26" t="n">
        <v>0</v>
      </c>
      <c r="Q578" s="26" t="n">
        <v>90203.7</v>
      </c>
      <c r="R578" s="26" t="n">
        <v>0</v>
      </c>
      <c r="S578" s="26" t="n">
        <v>0</v>
      </c>
      <c r="T578" s="26" t="n">
        <v>0</v>
      </c>
      <c r="U578" s="26" t="n">
        <v>0</v>
      </c>
    </row>
    <row r="579" customFormat="false" ht="15" hidden="false" customHeight="true" outlineLevel="0" collapsed="false">
      <c r="A579" s="8" t="s">
        <v>407</v>
      </c>
      <c r="B579" s="8" t="s">
        <v>179</v>
      </c>
      <c r="C579" s="8" t="s">
        <v>933</v>
      </c>
      <c r="D579" s="26" t="n">
        <v>0</v>
      </c>
      <c r="E579" s="26" t="n">
        <v>0</v>
      </c>
      <c r="F579" s="26" t="n">
        <v>2114</v>
      </c>
      <c r="G579" s="26" t="n">
        <v>0</v>
      </c>
      <c r="H579" s="26" t="n">
        <v>0</v>
      </c>
      <c r="I579" s="26" t="n">
        <v>92093.6</v>
      </c>
      <c r="J579" s="26" t="n">
        <v>0</v>
      </c>
      <c r="K579" s="26" t="n">
        <v>0</v>
      </c>
      <c r="L579" s="26" t="n">
        <v>0</v>
      </c>
      <c r="M579" s="26" t="n">
        <v>0</v>
      </c>
      <c r="N579" s="26" t="n">
        <v>0</v>
      </c>
      <c r="O579" s="26" t="n">
        <v>0</v>
      </c>
      <c r="P579" s="26" t="n">
        <v>0</v>
      </c>
      <c r="Q579" s="26" t="n">
        <v>92093.6</v>
      </c>
      <c r="R579" s="26" t="n">
        <v>0</v>
      </c>
      <c r="S579" s="26" t="n">
        <v>0</v>
      </c>
      <c r="T579" s="26" t="n">
        <v>0</v>
      </c>
      <c r="U579" s="26" t="n">
        <v>0</v>
      </c>
    </row>
    <row r="580" customFormat="false" ht="15" hidden="false" customHeight="true" outlineLevel="0" collapsed="false">
      <c r="A580" s="8" t="s">
        <v>407</v>
      </c>
      <c r="B580" s="8" t="s">
        <v>288</v>
      </c>
      <c r="C580" s="8" t="s">
        <v>934</v>
      </c>
      <c r="D580" s="26" t="n">
        <v>0</v>
      </c>
      <c r="E580" s="26" t="n">
        <v>0</v>
      </c>
      <c r="F580" s="26" t="n">
        <v>902.8</v>
      </c>
      <c r="G580" s="26" t="n">
        <v>0</v>
      </c>
      <c r="H580" s="26" t="n">
        <v>0</v>
      </c>
      <c r="I580" s="26" t="n">
        <v>82079.4</v>
      </c>
      <c r="J580" s="26" t="n">
        <v>0</v>
      </c>
      <c r="K580" s="26" t="n">
        <v>0</v>
      </c>
      <c r="L580" s="26" t="n">
        <v>0</v>
      </c>
      <c r="M580" s="26" t="n">
        <v>0</v>
      </c>
      <c r="N580" s="26" t="n">
        <v>0</v>
      </c>
      <c r="O580" s="26" t="n">
        <v>0</v>
      </c>
      <c r="P580" s="26" t="n">
        <v>0</v>
      </c>
      <c r="Q580" s="26" t="n">
        <v>82079.4</v>
      </c>
      <c r="R580" s="26" t="n">
        <v>0</v>
      </c>
      <c r="S580" s="26" t="n">
        <v>0</v>
      </c>
      <c r="T580" s="26" t="n">
        <v>0</v>
      </c>
      <c r="U580" s="26" t="n">
        <v>0</v>
      </c>
    </row>
    <row r="581" customFormat="false" ht="15" hidden="false" customHeight="true" outlineLevel="0" collapsed="false">
      <c r="A581" s="8" t="s">
        <v>407</v>
      </c>
      <c r="B581" s="8" t="s">
        <v>171</v>
      </c>
      <c r="C581" s="8" t="s">
        <v>934</v>
      </c>
      <c r="D581" s="26" t="n">
        <v>0</v>
      </c>
      <c r="E581" s="26" t="n">
        <v>0</v>
      </c>
      <c r="F581" s="26" t="n">
        <v>2358.5</v>
      </c>
      <c r="G581" s="26" t="n">
        <v>0</v>
      </c>
      <c r="H581" s="26" t="n">
        <v>0</v>
      </c>
      <c r="I581" s="26" t="n">
        <v>98563.4</v>
      </c>
      <c r="J581" s="26" t="n">
        <v>0</v>
      </c>
      <c r="K581" s="26" t="n">
        <v>0</v>
      </c>
      <c r="L581" s="26" t="n">
        <v>0</v>
      </c>
      <c r="M581" s="26" t="n">
        <v>0</v>
      </c>
      <c r="N581" s="26" t="n">
        <v>0</v>
      </c>
      <c r="O581" s="26" t="n">
        <v>0</v>
      </c>
      <c r="P581" s="26" t="n">
        <v>0</v>
      </c>
      <c r="Q581" s="26" t="n">
        <v>98563.4</v>
      </c>
      <c r="R581" s="26" t="n">
        <v>0</v>
      </c>
      <c r="S581" s="26" t="n">
        <v>0</v>
      </c>
      <c r="T581" s="26" t="n">
        <v>0</v>
      </c>
      <c r="U581" s="26" t="n">
        <v>0</v>
      </c>
    </row>
    <row r="582" customFormat="false" ht="15" hidden="false" customHeight="true" outlineLevel="0" collapsed="false">
      <c r="A582" s="8" t="s">
        <v>407</v>
      </c>
      <c r="B582" s="8" t="s">
        <v>179</v>
      </c>
      <c r="C582" s="8" t="s">
        <v>934</v>
      </c>
      <c r="D582" s="26" t="n">
        <v>0</v>
      </c>
      <c r="E582" s="26" t="n">
        <v>0</v>
      </c>
      <c r="F582" s="26" t="n">
        <v>2158.5</v>
      </c>
      <c r="G582" s="26" t="n">
        <v>0</v>
      </c>
      <c r="H582" s="26" t="n">
        <v>0</v>
      </c>
      <c r="I582" s="26" t="n">
        <v>105681.3</v>
      </c>
      <c r="J582" s="26" t="n">
        <v>0</v>
      </c>
      <c r="K582" s="26" t="n">
        <v>0</v>
      </c>
      <c r="L582" s="26" t="n">
        <v>0</v>
      </c>
      <c r="M582" s="26" t="n">
        <v>0</v>
      </c>
      <c r="N582" s="26" t="n">
        <v>0</v>
      </c>
      <c r="O582" s="26" t="n">
        <v>0</v>
      </c>
      <c r="P582" s="26" t="n">
        <v>0</v>
      </c>
      <c r="Q582" s="26" t="n">
        <v>105681.3</v>
      </c>
      <c r="R582" s="26" t="n">
        <v>0</v>
      </c>
      <c r="S582" s="26" t="n">
        <v>0</v>
      </c>
      <c r="T582" s="26" t="n">
        <v>0</v>
      </c>
      <c r="U582" s="26" t="n">
        <v>0</v>
      </c>
    </row>
    <row r="583" customFormat="false" ht="15" hidden="false" customHeight="true" outlineLevel="0" collapsed="false">
      <c r="A583" s="8" t="s">
        <v>407</v>
      </c>
      <c r="B583" s="8" t="s">
        <v>94</v>
      </c>
      <c r="C583" s="8" t="s">
        <v>935</v>
      </c>
      <c r="D583" s="26" t="n">
        <v>0</v>
      </c>
      <c r="E583" s="26" t="n">
        <v>0</v>
      </c>
      <c r="F583" s="26" t="n">
        <v>28.8</v>
      </c>
      <c r="G583" s="26" t="n">
        <v>0</v>
      </c>
      <c r="H583" s="26" t="n">
        <v>0</v>
      </c>
      <c r="I583" s="26" t="n">
        <v>0</v>
      </c>
      <c r="J583" s="26" t="n">
        <v>0</v>
      </c>
      <c r="K583" s="26" t="n">
        <v>0</v>
      </c>
      <c r="L583" s="26" t="n">
        <v>0</v>
      </c>
      <c r="M583" s="26" t="n">
        <v>0</v>
      </c>
      <c r="N583" s="26" t="n">
        <v>0</v>
      </c>
      <c r="O583" s="26" t="n">
        <v>0</v>
      </c>
      <c r="P583" s="26" t="n">
        <v>0</v>
      </c>
      <c r="Q583" s="26" t="n">
        <v>0</v>
      </c>
      <c r="R583" s="26" t="n">
        <v>0</v>
      </c>
      <c r="S583" s="26" t="n">
        <v>0</v>
      </c>
      <c r="T583" s="26" t="n">
        <v>0</v>
      </c>
      <c r="U583" s="26" t="n">
        <v>0</v>
      </c>
    </row>
    <row r="584" customFormat="false" ht="15" hidden="false" customHeight="true" outlineLevel="0" collapsed="false">
      <c r="A584" s="8" t="s">
        <v>407</v>
      </c>
      <c r="B584" s="8" t="s">
        <v>133</v>
      </c>
      <c r="C584" s="8" t="s">
        <v>936</v>
      </c>
      <c r="D584" s="26" t="n">
        <v>0</v>
      </c>
      <c r="E584" s="26" t="n">
        <v>0</v>
      </c>
      <c r="F584" s="26" t="n">
        <v>2988.8</v>
      </c>
      <c r="G584" s="26" t="n">
        <v>0</v>
      </c>
      <c r="H584" s="26" t="n">
        <v>0</v>
      </c>
      <c r="I584" s="26" t="n">
        <v>2362.3</v>
      </c>
      <c r="J584" s="26" t="n">
        <v>0</v>
      </c>
      <c r="K584" s="26" t="n">
        <v>0</v>
      </c>
      <c r="L584" s="26" t="n">
        <v>0</v>
      </c>
      <c r="M584" s="26" t="n">
        <v>0</v>
      </c>
      <c r="N584" s="26" t="n">
        <v>0</v>
      </c>
      <c r="O584" s="26" t="n">
        <v>0</v>
      </c>
      <c r="P584" s="26" t="n">
        <v>0</v>
      </c>
      <c r="Q584" s="26" t="n">
        <v>2362.3</v>
      </c>
      <c r="R584" s="26" t="n">
        <v>0</v>
      </c>
      <c r="S584" s="26" t="n">
        <v>0</v>
      </c>
      <c r="T584" s="26" t="n">
        <v>0</v>
      </c>
      <c r="U584" s="26" t="n">
        <v>0</v>
      </c>
    </row>
    <row r="585" customFormat="false" ht="15" hidden="false" customHeight="true" outlineLevel="0" collapsed="false">
      <c r="A585" s="8" t="s">
        <v>407</v>
      </c>
      <c r="B585" s="8" t="s">
        <v>133</v>
      </c>
      <c r="C585" s="8" t="s">
        <v>937</v>
      </c>
      <c r="D585" s="26" t="n">
        <v>0</v>
      </c>
      <c r="E585" s="26" t="n">
        <v>0</v>
      </c>
      <c r="F585" s="26" t="n">
        <v>3826.8</v>
      </c>
      <c r="G585" s="26" t="n">
        <v>0</v>
      </c>
      <c r="H585" s="26" t="n">
        <v>254.7</v>
      </c>
      <c r="I585" s="26" t="n">
        <v>2786.5</v>
      </c>
      <c r="J585" s="26" t="n">
        <v>0</v>
      </c>
      <c r="K585" s="26" t="n">
        <v>0</v>
      </c>
      <c r="L585" s="26" t="n">
        <v>0</v>
      </c>
      <c r="M585" s="26" t="n">
        <v>0</v>
      </c>
      <c r="N585" s="26" t="n">
        <v>0</v>
      </c>
      <c r="O585" s="26" t="n">
        <v>0</v>
      </c>
      <c r="P585" s="26" t="n">
        <v>0</v>
      </c>
      <c r="Q585" s="26" t="n">
        <v>2786.5</v>
      </c>
      <c r="R585" s="26" t="n">
        <v>0</v>
      </c>
      <c r="S585" s="26" t="n">
        <v>0</v>
      </c>
      <c r="T585" s="26" t="n">
        <v>0</v>
      </c>
      <c r="U585" s="26" t="n">
        <v>0</v>
      </c>
    </row>
    <row r="586" customFormat="false" ht="15" hidden="false" customHeight="true" outlineLevel="0" collapsed="false">
      <c r="A586" s="8" t="s">
        <v>407</v>
      </c>
      <c r="B586" s="8" t="s">
        <v>101</v>
      </c>
      <c r="C586" s="8" t="s">
        <v>938</v>
      </c>
      <c r="D586" s="26" t="n">
        <v>0</v>
      </c>
      <c r="E586" s="26" t="n">
        <v>0</v>
      </c>
      <c r="F586" s="26" t="n">
        <v>19629.5</v>
      </c>
      <c r="G586" s="26" t="n">
        <v>0</v>
      </c>
      <c r="H586" s="26" t="n">
        <v>0</v>
      </c>
      <c r="I586" s="26" t="n">
        <v>12662</v>
      </c>
      <c r="J586" s="26" t="n">
        <v>0</v>
      </c>
      <c r="K586" s="26" t="n">
        <v>0</v>
      </c>
      <c r="L586" s="26" t="n">
        <v>0</v>
      </c>
      <c r="M586" s="26" t="n">
        <v>0</v>
      </c>
      <c r="N586" s="26" t="n">
        <v>0</v>
      </c>
      <c r="O586" s="26" t="n">
        <v>0</v>
      </c>
      <c r="P586" s="26" t="n">
        <v>0</v>
      </c>
      <c r="Q586" s="26" t="n">
        <v>12662</v>
      </c>
      <c r="R586" s="26" t="n">
        <v>0</v>
      </c>
      <c r="S586" s="26" t="n">
        <v>0</v>
      </c>
      <c r="T586" s="26" t="n">
        <v>0</v>
      </c>
      <c r="U586" s="26" t="n">
        <v>0</v>
      </c>
    </row>
    <row r="587" customFormat="false" ht="15" hidden="false" customHeight="true" outlineLevel="0" collapsed="false">
      <c r="A587" s="8" t="s">
        <v>407</v>
      </c>
      <c r="B587" s="8" t="s">
        <v>83</v>
      </c>
      <c r="C587" s="8" t="s">
        <v>939</v>
      </c>
      <c r="D587" s="26" t="n">
        <v>0</v>
      </c>
      <c r="E587" s="26" t="n">
        <v>0</v>
      </c>
      <c r="F587" s="26" t="n">
        <v>215.4</v>
      </c>
      <c r="G587" s="26" t="n">
        <v>0</v>
      </c>
      <c r="H587" s="26" t="n">
        <v>0</v>
      </c>
      <c r="I587" s="26" t="n">
        <v>0</v>
      </c>
      <c r="J587" s="26" t="n">
        <v>0</v>
      </c>
      <c r="K587" s="26" t="n">
        <v>0</v>
      </c>
      <c r="L587" s="26" t="n">
        <v>0</v>
      </c>
      <c r="M587" s="26" t="n">
        <v>0</v>
      </c>
      <c r="N587" s="26" t="n">
        <v>0</v>
      </c>
      <c r="O587" s="26" t="n">
        <v>0</v>
      </c>
      <c r="P587" s="26" t="n">
        <v>0</v>
      </c>
      <c r="Q587" s="26" t="n">
        <v>0</v>
      </c>
      <c r="R587" s="26" t="n">
        <v>0</v>
      </c>
      <c r="S587" s="26" t="n">
        <v>0</v>
      </c>
      <c r="T587" s="26" t="n">
        <v>0</v>
      </c>
      <c r="U587" s="26" t="n">
        <v>0</v>
      </c>
    </row>
    <row r="588" customFormat="false" ht="15" hidden="false" customHeight="true" outlineLevel="0" collapsed="false">
      <c r="A588" s="8" t="s">
        <v>407</v>
      </c>
      <c r="B588" s="8" t="s">
        <v>83</v>
      </c>
      <c r="C588" s="8" t="s">
        <v>940</v>
      </c>
      <c r="D588" s="26" t="n">
        <v>0</v>
      </c>
      <c r="E588" s="26" t="n">
        <v>0</v>
      </c>
      <c r="F588" s="26" t="n">
        <v>646.1</v>
      </c>
      <c r="G588" s="26" t="n">
        <v>0</v>
      </c>
      <c r="H588" s="26" t="n">
        <v>0</v>
      </c>
      <c r="I588" s="26" t="n">
        <v>0</v>
      </c>
      <c r="J588" s="26" t="n">
        <v>0</v>
      </c>
      <c r="K588" s="26" t="n">
        <v>0</v>
      </c>
      <c r="L588" s="26" t="n">
        <v>0</v>
      </c>
      <c r="M588" s="26" t="n">
        <v>0</v>
      </c>
      <c r="N588" s="26" t="n">
        <v>0</v>
      </c>
      <c r="O588" s="26" t="n">
        <v>0</v>
      </c>
      <c r="P588" s="26" t="n">
        <v>0</v>
      </c>
      <c r="Q588" s="26" t="n">
        <v>0</v>
      </c>
      <c r="R588" s="26" t="n">
        <v>0</v>
      </c>
      <c r="S588" s="26" t="n">
        <v>0</v>
      </c>
      <c r="T588" s="26" t="n">
        <v>0</v>
      </c>
      <c r="U588" s="26" t="n">
        <v>0</v>
      </c>
    </row>
    <row r="589" customFormat="false" ht="15" hidden="false" customHeight="true" outlineLevel="0" collapsed="false">
      <c r="A589" s="8" t="s">
        <v>407</v>
      </c>
      <c r="B589" s="8" t="s">
        <v>83</v>
      </c>
      <c r="C589" s="8" t="s">
        <v>941</v>
      </c>
      <c r="D589" s="26" t="n">
        <v>0</v>
      </c>
      <c r="E589" s="26" t="n">
        <v>0</v>
      </c>
      <c r="F589" s="26" t="n">
        <v>646.1</v>
      </c>
      <c r="G589" s="26" t="n">
        <v>0</v>
      </c>
      <c r="H589" s="26" t="n">
        <v>0</v>
      </c>
      <c r="I589" s="26" t="n">
        <v>0</v>
      </c>
      <c r="J589" s="26" t="n">
        <v>0</v>
      </c>
      <c r="K589" s="26" t="n">
        <v>0</v>
      </c>
      <c r="L589" s="26" t="n">
        <v>0</v>
      </c>
      <c r="M589" s="26" t="n">
        <v>0</v>
      </c>
      <c r="N589" s="26" t="n">
        <v>0</v>
      </c>
      <c r="O589" s="26" t="n">
        <v>0</v>
      </c>
      <c r="P589" s="26" t="n">
        <v>0</v>
      </c>
      <c r="Q589" s="26" t="n">
        <v>0</v>
      </c>
      <c r="R589" s="26" t="n">
        <v>0</v>
      </c>
      <c r="S589" s="26" t="n">
        <v>0</v>
      </c>
      <c r="T589" s="26" t="n">
        <v>0</v>
      </c>
      <c r="U589" s="26" t="n">
        <v>0</v>
      </c>
    </row>
    <row r="590" customFormat="false" ht="15" hidden="false" customHeight="true" outlineLevel="0" collapsed="false">
      <c r="A590" s="8" t="s">
        <v>407</v>
      </c>
      <c r="B590" s="8" t="s">
        <v>83</v>
      </c>
      <c r="C590" s="8" t="s">
        <v>942</v>
      </c>
      <c r="D590" s="26" t="n">
        <v>0</v>
      </c>
      <c r="E590" s="26" t="n">
        <v>0</v>
      </c>
      <c r="F590" s="26" t="n">
        <v>1263.5</v>
      </c>
      <c r="G590" s="26" t="n">
        <v>0</v>
      </c>
      <c r="H590" s="26" t="n">
        <v>0</v>
      </c>
      <c r="I590" s="26" t="n">
        <v>0</v>
      </c>
      <c r="J590" s="26" t="n">
        <v>0</v>
      </c>
      <c r="K590" s="26" t="n">
        <v>0</v>
      </c>
      <c r="L590" s="26" t="n">
        <v>0</v>
      </c>
      <c r="M590" s="26" t="n">
        <v>0</v>
      </c>
      <c r="N590" s="26" t="n">
        <v>0</v>
      </c>
      <c r="O590" s="26" t="n">
        <v>0</v>
      </c>
      <c r="P590" s="26" t="n">
        <v>0</v>
      </c>
      <c r="Q590" s="26" t="n">
        <v>0</v>
      </c>
      <c r="R590" s="26" t="n">
        <v>0</v>
      </c>
      <c r="S590" s="26" t="n">
        <v>0</v>
      </c>
      <c r="T590" s="26" t="n">
        <v>0</v>
      </c>
      <c r="U590" s="26" t="n">
        <v>0</v>
      </c>
    </row>
    <row r="591" customFormat="false" ht="15" hidden="false" customHeight="true" outlineLevel="0" collapsed="false">
      <c r="A591" s="8" t="s">
        <v>407</v>
      </c>
      <c r="B591" s="8" t="s">
        <v>83</v>
      </c>
      <c r="C591" s="8" t="s">
        <v>943</v>
      </c>
      <c r="D591" s="26" t="n">
        <v>0</v>
      </c>
      <c r="E591" s="26" t="n">
        <v>0</v>
      </c>
      <c r="F591" s="26" t="n">
        <v>1263.5</v>
      </c>
      <c r="G591" s="26" t="n">
        <v>0</v>
      </c>
      <c r="H591" s="26" t="n">
        <v>0</v>
      </c>
      <c r="I591" s="26" t="n">
        <v>0</v>
      </c>
      <c r="J591" s="26" t="n">
        <v>0</v>
      </c>
      <c r="K591" s="26" t="n">
        <v>0</v>
      </c>
      <c r="L591" s="26" t="n">
        <v>0</v>
      </c>
      <c r="M591" s="26" t="n">
        <v>0</v>
      </c>
      <c r="N591" s="26" t="n">
        <v>0</v>
      </c>
      <c r="O591" s="26" t="n">
        <v>0</v>
      </c>
      <c r="P591" s="26" t="n">
        <v>0</v>
      </c>
      <c r="Q591" s="26" t="n">
        <v>0</v>
      </c>
      <c r="R591" s="26" t="n">
        <v>0</v>
      </c>
      <c r="S591" s="26" t="n">
        <v>0</v>
      </c>
      <c r="T591" s="26" t="n">
        <v>0</v>
      </c>
      <c r="U591" s="26" t="n">
        <v>0</v>
      </c>
    </row>
    <row r="592" customFormat="false" ht="15" hidden="false" customHeight="true" outlineLevel="0" collapsed="false">
      <c r="A592" s="8" t="s">
        <v>944</v>
      </c>
      <c r="B592" s="8" t="s">
        <v>131</v>
      </c>
      <c r="C592" s="8" t="s">
        <v>408</v>
      </c>
      <c r="D592" s="26" t="n">
        <v>0</v>
      </c>
      <c r="E592" s="26" t="n">
        <v>0</v>
      </c>
      <c r="F592" s="26" t="n">
        <v>328</v>
      </c>
      <c r="G592" s="26" t="n">
        <v>0</v>
      </c>
      <c r="H592" s="26" t="n">
        <v>0</v>
      </c>
      <c r="I592" s="26" t="n">
        <v>1164</v>
      </c>
      <c r="J592" s="26" t="n">
        <v>0</v>
      </c>
      <c r="K592" s="26" t="n">
        <v>13</v>
      </c>
      <c r="L592" s="26" t="n">
        <v>0</v>
      </c>
      <c r="M592" s="26" t="n">
        <v>0</v>
      </c>
      <c r="N592" s="26" t="n">
        <v>0</v>
      </c>
      <c r="O592" s="26" t="n">
        <v>0</v>
      </c>
      <c r="P592" s="26" t="n">
        <v>-8</v>
      </c>
      <c r="Q592" s="26" t="n">
        <v>1030</v>
      </c>
      <c r="R592" s="26" t="n">
        <v>129</v>
      </c>
      <c r="S592" s="26" t="n">
        <v>0</v>
      </c>
      <c r="T592" s="26" t="n">
        <v>0</v>
      </c>
      <c r="U592" s="26" t="n">
        <v>0</v>
      </c>
    </row>
    <row r="593" customFormat="false" ht="15" hidden="false" customHeight="true" outlineLevel="0" collapsed="false">
      <c r="A593" s="8" t="s">
        <v>944</v>
      </c>
      <c r="B593" s="8" t="s">
        <v>131</v>
      </c>
      <c r="C593" s="8" t="s">
        <v>409</v>
      </c>
      <c r="D593" s="26" t="n">
        <v>0</v>
      </c>
      <c r="E593" s="26" t="n">
        <v>0</v>
      </c>
      <c r="F593" s="26" t="n">
        <v>415</v>
      </c>
      <c r="G593" s="26" t="n">
        <v>0</v>
      </c>
      <c r="H593" s="26" t="n">
        <v>0</v>
      </c>
      <c r="I593" s="26" t="n">
        <v>1310</v>
      </c>
      <c r="J593" s="26" t="n">
        <v>0</v>
      </c>
      <c r="K593" s="26" t="n">
        <v>5</v>
      </c>
      <c r="L593" s="26" t="n">
        <v>0</v>
      </c>
      <c r="M593" s="26" t="n">
        <v>0</v>
      </c>
      <c r="N593" s="26" t="n">
        <v>0</v>
      </c>
      <c r="O593" s="26" t="n">
        <v>2</v>
      </c>
      <c r="P593" s="26" t="n">
        <v>-13</v>
      </c>
      <c r="Q593" s="26" t="n">
        <v>1142</v>
      </c>
      <c r="R593" s="26" t="n">
        <v>174</v>
      </c>
      <c r="S593" s="26" t="n">
        <v>0</v>
      </c>
      <c r="T593" s="26" t="n">
        <v>0</v>
      </c>
      <c r="U593" s="26" t="n">
        <v>0</v>
      </c>
    </row>
    <row r="594" customFormat="false" ht="15" hidden="false" customHeight="true" outlineLevel="0" collapsed="false">
      <c r="A594" s="8" t="s">
        <v>944</v>
      </c>
      <c r="B594" s="8" t="s">
        <v>235</v>
      </c>
      <c r="C594" s="8" t="s">
        <v>410</v>
      </c>
      <c r="D594" s="26" t="n">
        <v>0</v>
      </c>
      <c r="E594" s="26" t="n">
        <v>0</v>
      </c>
      <c r="F594" s="26" t="n">
        <v>261</v>
      </c>
      <c r="G594" s="26" t="n">
        <v>0</v>
      </c>
      <c r="H594" s="26" t="n">
        <v>0</v>
      </c>
      <c r="I594" s="26" t="n">
        <v>118</v>
      </c>
      <c r="J594" s="26" t="n">
        <v>0</v>
      </c>
      <c r="K594" s="26" t="n">
        <v>8</v>
      </c>
      <c r="L594" s="26" t="n">
        <v>0</v>
      </c>
      <c r="M594" s="26" t="n">
        <v>0</v>
      </c>
      <c r="N594" s="26" t="n">
        <v>0</v>
      </c>
      <c r="O594" s="26" t="n">
        <v>14</v>
      </c>
      <c r="P594" s="26" t="n">
        <v>-2</v>
      </c>
      <c r="Q594" s="26" t="n">
        <v>0</v>
      </c>
      <c r="R594" s="26" t="n">
        <v>98</v>
      </c>
      <c r="S594" s="26" t="n">
        <v>0</v>
      </c>
      <c r="T594" s="26" t="n">
        <v>0</v>
      </c>
      <c r="U594" s="26" t="n">
        <v>0</v>
      </c>
    </row>
    <row r="595" customFormat="false" ht="15" hidden="false" customHeight="true" outlineLevel="0" collapsed="false">
      <c r="A595" s="8" t="s">
        <v>944</v>
      </c>
      <c r="B595" s="8" t="s">
        <v>274</v>
      </c>
      <c r="C595" s="8" t="s">
        <v>411</v>
      </c>
      <c r="D595" s="26" t="n">
        <v>0</v>
      </c>
      <c r="E595" s="26" t="n">
        <v>0</v>
      </c>
      <c r="F595" s="26" t="n">
        <v>70</v>
      </c>
      <c r="G595" s="26" t="n">
        <v>0</v>
      </c>
      <c r="H595" s="26" t="n">
        <v>0</v>
      </c>
      <c r="I595" s="26" t="n">
        <v>0</v>
      </c>
      <c r="J595" s="26" t="n">
        <v>0</v>
      </c>
      <c r="K595" s="26" t="n">
        <v>0</v>
      </c>
      <c r="L595" s="26" t="n">
        <v>0</v>
      </c>
      <c r="M595" s="26" t="n">
        <v>0</v>
      </c>
      <c r="N595" s="26" t="n">
        <v>0</v>
      </c>
      <c r="O595" s="26" t="n">
        <v>0</v>
      </c>
      <c r="P595" s="26" t="n">
        <v>0</v>
      </c>
      <c r="Q595" s="26" t="n">
        <v>0</v>
      </c>
      <c r="R595" s="26" t="n">
        <v>0</v>
      </c>
      <c r="S595" s="26" t="n">
        <v>0</v>
      </c>
      <c r="T595" s="26" t="n">
        <v>0</v>
      </c>
      <c r="U595" s="26" t="n">
        <v>0</v>
      </c>
    </row>
    <row r="596" customFormat="false" ht="15" hidden="false" customHeight="true" outlineLevel="0" collapsed="false">
      <c r="A596" s="8" t="s">
        <v>944</v>
      </c>
      <c r="B596" s="8" t="s">
        <v>344</v>
      </c>
      <c r="C596" s="8" t="s">
        <v>412</v>
      </c>
      <c r="D596" s="26" t="n">
        <v>0</v>
      </c>
      <c r="E596" s="26" t="n">
        <v>0</v>
      </c>
      <c r="F596" s="26" t="n">
        <v>20</v>
      </c>
      <c r="G596" s="26" t="n">
        <v>0</v>
      </c>
      <c r="H596" s="26" t="n">
        <v>0</v>
      </c>
      <c r="I596" s="26" t="n">
        <v>0</v>
      </c>
      <c r="J596" s="26" t="n">
        <v>0</v>
      </c>
      <c r="K596" s="26" t="n">
        <v>0</v>
      </c>
      <c r="L596" s="26" t="n">
        <v>0</v>
      </c>
      <c r="M596" s="26" t="n">
        <v>0</v>
      </c>
      <c r="N596" s="26" t="n">
        <v>0</v>
      </c>
      <c r="O596" s="26" t="n">
        <v>0</v>
      </c>
      <c r="P596" s="26" t="n">
        <v>0</v>
      </c>
      <c r="Q596" s="26" t="n">
        <v>0</v>
      </c>
      <c r="R596" s="26" t="n">
        <v>0</v>
      </c>
      <c r="S596" s="26" t="n">
        <v>0</v>
      </c>
      <c r="T596" s="26" t="n">
        <v>0</v>
      </c>
      <c r="U596" s="26" t="n">
        <v>0</v>
      </c>
    </row>
    <row r="597" customFormat="false" ht="15" hidden="false" customHeight="true" outlineLevel="0" collapsed="false">
      <c r="A597" s="8" t="s">
        <v>944</v>
      </c>
      <c r="B597" s="8" t="s">
        <v>355</v>
      </c>
      <c r="C597" s="8" t="s">
        <v>413</v>
      </c>
      <c r="D597" s="26" t="n">
        <v>0</v>
      </c>
      <c r="E597" s="26" t="n">
        <v>0</v>
      </c>
      <c r="F597" s="26" t="n">
        <v>19</v>
      </c>
      <c r="G597" s="26" t="n">
        <v>0</v>
      </c>
      <c r="H597" s="26" t="n">
        <v>0</v>
      </c>
      <c r="I597" s="26" t="n">
        <v>0</v>
      </c>
      <c r="J597" s="26" t="n">
        <v>0</v>
      </c>
      <c r="K597" s="26" t="n">
        <v>0</v>
      </c>
      <c r="L597" s="26" t="n">
        <v>0</v>
      </c>
      <c r="M597" s="26" t="n">
        <v>0</v>
      </c>
      <c r="N597" s="26" t="n">
        <v>0</v>
      </c>
      <c r="O597" s="26" t="n">
        <v>0</v>
      </c>
      <c r="P597" s="26" t="n">
        <v>0</v>
      </c>
      <c r="Q597" s="26" t="n">
        <v>0</v>
      </c>
      <c r="R597" s="26" t="n">
        <v>0</v>
      </c>
      <c r="S597" s="26" t="n">
        <v>0</v>
      </c>
      <c r="T597" s="26" t="n">
        <v>0</v>
      </c>
      <c r="U597" s="26" t="n">
        <v>0</v>
      </c>
    </row>
    <row r="598" customFormat="false" ht="15" hidden="false" customHeight="true" outlineLevel="0" collapsed="false">
      <c r="A598" s="8" t="s">
        <v>944</v>
      </c>
      <c r="B598" s="8" t="s">
        <v>341</v>
      </c>
      <c r="C598" s="8" t="s">
        <v>414</v>
      </c>
      <c r="D598" s="26" t="n">
        <v>0</v>
      </c>
      <c r="E598" s="26" t="n">
        <v>0</v>
      </c>
      <c r="F598" s="26" t="n">
        <v>47</v>
      </c>
      <c r="G598" s="26" t="n">
        <v>0</v>
      </c>
      <c r="H598" s="26" t="n">
        <v>0</v>
      </c>
      <c r="I598" s="26" t="n">
        <v>0</v>
      </c>
      <c r="J598" s="26" t="n">
        <v>0</v>
      </c>
      <c r="K598" s="26" t="n">
        <v>0</v>
      </c>
      <c r="L598" s="26" t="n">
        <v>0</v>
      </c>
      <c r="M598" s="26" t="n">
        <v>0</v>
      </c>
      <c r="N598" s="26" t="n">
        <v>0</v>
      </c>
      <c r="O598" s="26" t="n">
        <v>0</v>
      </c>
      <c r="P598" s="26" t="n">
        <v>0</v>
      </c>
      <c r="Q598" s="26" t="n">
        <v>0</v>
      </c>
      <c r="R598" s="26" t="n">
        <v>0</v>
      </c>
      <c r="S598" s="26" t="n">
        <v>0</v>
      </c>
      <c r="T598" s="26" t="n">
        <v>0</v>
      </c>
      <c r="U598" s="26" t="n">
        <v>0</v>
      </c>
    </row>
    <row r="599" customFormat="false" ht="15" hidden="false" customHeight="true" outlineLevel="0" collapsed="false">
      <c r="A599" s="8" t="s">
        <v>944</v>
      </c>
      <c r="B599" s="8" t="s">
        <v>256</v>
      </c>
      <c r="C599" s="8" t="s">
        <v>415</v>
      </c>
      <c r="D599" s="26" t="n">
        <v>0</v>
      </c>
      <c r="E599" s="26" t="n">
        <v>0</v>
      </c>
      <c r="F599" s="26" t="n">
        <v>124</v>
      </c>
      <c r="G599" s="26" t="n">
        <v>0</v>
      </c>
      <c r="H599" s="26" t="n">
        <v>0</v>
      </c>
      <c r="I599" s="26" t="n">
        <v>252</v>
      </c>
      <c r="J599" s="26" t="n">
        <v>0</v>
      </c>
      <c r="K599" s="26" t="n">
        <v>7</v>
      </c>
      <c r="L599" s="26" t="n">
        <v>0</v>
      </c>
      <c r="M599" s="26" t="n">
        <v>0</v>
      </c>
      <c r="N599" s="26" t="n">
        <v>0</v>
      </c>
      <c r="O599" s="26" t="n">
        <v>0</v>
      </c>
      <c r="P599" s="26" t="n">
        <v>-4</v>
      </c>
      <c r="Q599" s="26" t="n">
        <v>199</v>
      </c>
      <c r="R599" s="26" t="n">
        <v>50</v>
      </c>
      <c r="S599" s="26" t="n">
        <v>0</v>
      </c>
      <c r="T599" s="26" t="n">
        <v>0</v>
      </c>
      <c r="U599" s="26" t="n">
        <v>0</v>
      </c>
    </row>
    <row r="600" customFormat="false" ht="15" hidden="false" customHeight="true" outlineLevel="0" collapsed="false">
      <c r="A600" s="8" t="s">
        <v>944</v>
      </c>
      <c r="B600" s="8" t="s">
        <v>167</v>
      </c>
      <c r="C600" s="8" t="s">
        <v>416</v>
      </c>
      <c r="D600" s="26" t="n">
        <v>0</v>
      </c>
      <c r="E600" s="26" t="n">
        <v>0</v>
      </c>
      <c r="F600" s="26" t="n">
        <v>296</v>
      </c>
      <c r="G600" s="26" t="n">
        <v>0</v>
      </c>
      <c r="H600" s="26" t="n">
        <v>42</v>
      </c>
      <c r="I600" s="26" t="n">
        <v>2062</v>
      </c>
      <c r="J600" s="26" t="n">
        <v>0</v>
      </c>
      <c r="K600" s="26" t="n">
        <v>20</v>
      </c>
      <c r="L600" s="26" t="n">
        <v>-1</v>
      </c>
      <c r="M600" s="26" t="n">
        <v>3</v>
      </c>
      <c r="N600" s="26" t="n">
        <v>2</v>
      </c>
      <c r="O600" s="26" t="n">
        <v>0</v>
      </c>
      <c r="P600" s="26" t="n">
        <v>-5</v>
      </c>
      <c r="Q600" s="26" t="n">
        <v>1909</v>
      </c>
      <c r="R600" s="26" t="n">
        <v>134</v>
      </c>
      <c r="S600" s="26" t="n">
        <v>0</v>
      </c>
      <c r="T600" s="26" t="n">
        <v>0</v>
      </c>
      <c r="U600" s="26" t="n">
        <v>0</v>
      </c>
    </row>
    <row r="601" customFormat="false" ht="15" hidden="false" customHeight="true" outlineLevel="0" collapsed="false">
      <c r="A601" s="8" t="s">
        <v>944</v>
      </c>
      <c r="B601" s="8" t="s">
        <v>155</v>
      </c>
      <c r="C601" s="8" t="s">
        <v>417</v>
      </c>
      <c r="D601" s="26" t="n">
        <v>0</v>
      </c>
      <c r="E601" s="26" t="n">
        <v>0</v>
      </c>
      <c r="F601" s="26" t="n">
        <v>21</v>
      </c>
      <c r="G601" s="26" t="n">
        <v>0</v>
      </c>
      <c r="H601" s="26" t="n">
        <v>0</v>
      </c>
      <c r="I601" s="26" t="n">
        <v>30</v>
      </c>
      <c r="J601" s="26" t="n">
        <v>0</v>
      </c>
      <c r="K601" s="26" t="n">
        <v>0</v>
      </c>
      <c r="L601" s="26" t="n">
        <v>0</v>
      </c>
      <c r="M601" s="26" t="n">
        <v>0</v>
      </c>
      <c r="N601" s="26" t="n">
        <v>0</v>
      </c>
      <c r="O601" s="26" t="n">
        <v>0</v>
      </c>
      <c r="P601" s="26" t="n">
        <v>-2</v>
      </c>
      <c r="Q601" s="26" t="n">
        <v>30</v>
      </c>
      <c r="R601" s="26" t="n">
        <v>2</v>
      </c>
      <c r="S601" s="26" t="n">
        <v>0</v>
      </c>
      <c r="T601" s="26" t="n">
        <v>0</v>
      </c>
      <c r="U601" s="26" t="n">
        <v>0</v>
      </c>
    </row>
    <row r="602" customFormat="false" ht="15" hidden="false" customHeight="true" outlineLevel="0" collapsed="false">
      <c r="A602" s="8" t="s">
        <v>944</v>
      </c>
      <c r="B602" s="8" t="s">
        <v>155</v>
      </c>
      <c r="C602" s="8" t="s">
        <v>418</v>
      </c>
      <c r="D602" s="26" t="n">
        <v>0</v>
      </c>
      <c r="E602" s="26" t="n">
        <v>0</v>
      </c>
      <c r="F602" s="26" t="n">
        <v>42</v>
      </c>
      <c r="G602" s="26" t="n">
        <v>0</v>
      </c>
      <c r="H602" s="26" t="n">
        <v>0</v>
      </c>
      <c r="I602" s="26" t="n">
        <v>89</v>
      </c>
      <c r="J602" s="26" t="n">
        <v>0</v>
      </c>
      <c r="K602" s="26" t="n">
        <v>0</v>
      </c>
      <c r="L602" s="26" t="n">
        <v>0</v>
      </c>
      <c r="M602" s="26" t="n">
        <v>0</v>
      </c>
      <c r="N602" s="26" t="n">
        <v>0</v>
      </c>
      <c r="O602" s="26" t="n">
        <v>0</v>
      </c>
      <c r="P602" s="26" t="n">
        <v>0</v>
      </c>
      <c r="Q602" s="26" t="n">
        <v>75</v>
      </c>
      <c r="R602" s="26" t="n">
        <v>14</v>
      </c>
      <c r="S602" s="26" t="n">
        <v>0</v>
      </c>
      <c r="T602" s="26" t="n">
        <v>0</v>
      </c>
      <c r="U602" s="26" t="n">
        <v>0</v>
      </c>
    </row>
    <row r="603" customFormat="false" ht="15" hidden="false" customHeight="true" outlineLevel="0" collapsed="false">
      <c r="A603" s="8" t="s">
        <v>944</v>
      </c>
      <c r="B603" s="8" t="s">
        <v>155</v>
      </c>
      <c r="C603" s="8" t="s">
        <v>419</v>
      </c>
      <c r="D603" s="26" t="n">
        <v>0</v>
      </c>
      <c r="E603" s="26" t="n">
        <v>0</v>
      </c>
      <c r="F603" s="26" t="n">
        <v>73</v>
      </c>
      <c r="G603" s="26" t="n">
        <v>0</v>
      </c>
      <c r="H603" s="26" t="n">
        <v>0</v>
      </c>
      <c r="I603" s="26" t="n">
        <v>114</v>
      </c>
      <c r="J603" s="26" t="n">
        <v>0</v>
      </c>
      <c r="K603" s="26" t="n">
        <v>5</v>
      </c>
      <c r="L603" s="26" t="n">
        <v>0</v>
      </c>
      <c r="M603" s="26" t="n">
        <v>0</v>
      </c>
      <c r="N603" s="26" t="n">
        <v>0</v>
      </c>
      <c r="O603" s="26" t="n">
        <v>0</v>
      </c>
      <c r="P603" s="26" t="n">
        <v>-3</v>
      </c>
      <c r="Q603" s="26" t="n">
        <v>96</v>
      </c>
      <c r="R603" s="26" t="n">
        <v>16</v>
      </c>
      <c r="S603" s="26" t="n">
        <v>0</v>
      </c>
      <c r="T603" s="26" t="n">
        <v>0</v>
      </c>
      <c r="U603" s="26" t="n">
        <v>0</v>
      </c>
    </row>
    <row r="604" customFormat="false" ht="15" hidden="false" customHeight="true" outlineLevel="0" collapsed="false">
      <c r="A604" s="8" t="s">
        <v>944</v>
      </c>
      <c r="B604" s="8" t="s">
        <v>335</v>
      </c>
      <c r="C604" s="8" t="s">
        <v>420</v>
      </c>
      <c r="D604" s="26" t="n">
        <v>0</v>
      </c>
      <c r="E604" s="26" t="n">
        <v>0</v>
      </c>
      <c r="F604" s="26" t="n">
        <v>2</v>
      </c>
      <c r="G604" s="26" t="n">
        <v>0</v>
      </c>
      <c r="H604" s="26" t="n">
        <v>0</v>
      </c>
      <c r="I604" s="26" t="n">
        <v>24</v>
      </c>
      <c r="J604" s="26" t="n">
        <v>0</v>
      </c>
      <c r="K604" s="26" t="n">
        <v>0</v>
      </c>
      <c r="L604" s="26" t="n">
        <v>0</v>
      </c>
      <c r="M604" s="26" t="n">
        <v>0</v>
      </c>
      <c r="N604" s="26" t="n">
        <v>0</v>
      </c>
      <c r="O604" s="26" t="n">
        <v>0</v>
      </c>
      <c r="P604" s="26" t="n">
        <v>0</v>
      </c>
      <c r="Q604" s="26" t="n">
        <v>22</v>
      </c>
      <c r="R604" s="26" t="n">
        <v>2</v>
      </c>
      <c r="S604" s="26" t="n">
        <v>0</v>
      </c>
      <c r="T604" s="26" t="n">
        <v>0</v>
      </c>
      <c r="U604" s="26" t="n">
        <v>0</v>
      </c>
    </row>
    <row r="605" customFormat="false" ht="15" hidden="false" customHeight="true" outlineLevel="0" collapsed="false">
      <c r="A605" s="8" t="s">
        <v>944</v>
      </c>
      <c r="B605" s="8" t="s">
        <v>335</v>
      </c>
      <c r="C605" s="8" t="s">
        <v>421</v>
      </c>
      <c r="D605" s="26" t="n">
        <v>0</v>
      </c>
      <c r="E605" s="26" t="n">
        <v>0</v>
      </c>
      <c r="F605" s="26" t="n">
        <v>16</v>
      </c>
      <c r="G605" s="26" t="n">
        <v>0</v>
      </c>
      <c r="H605" s="26" t="n">
        <v>0</v>
      </c>
      <c r="I605" s="26" t="n">
        <v>54</v>
      </c>
      <c r="J605" s="26" t="n">
        <v>0</v>
      </c>
      <c r="K605" s="26" t="n">
        <v>0</v>
      </c>
      <c r="L605" s="26" t="n">
        <v>0</v>
      </c>
      <c r="M605" s="26" t="n">
        <v>0</v>
      </c>
      <c r="N605" s="26" t="n">
        <v>0</v>
      </c>
      <c r="O605" s="26" t="n">
        <v>0</v>
      </c>
      <c r="P605" s="26" t="n">
        <v>-2</v>
      </c>
      <c r="Q605" s="26" t="n">
        <v>52</v>
      </c>
      <c r="R605" s="26" t="n">
        <v>4</v>
      </c>
      <c r="S605" s="26" t="n">
        <v>0</v>
      </c>
      <c r="T605" s="26" t="n">
        <v>0</v>
      </c>
      <c r="U605" s="26" t="n">
        <v>0</v>
      </c>
    </row>
    <row r="606" customFormat="false" ht="15" hidden="false" customHeight="true" outlineLevel="0" collapsed="false">
      <c r="A606" s="8" t="s">
        <v>944</v>
      </c>
      <c r="B606" s="8" t="s">
        <v>263</v>
      </c>
      <c r="C606" s="8" t="s">
        <v>422</v>
      </c>
      <c r="D606" s="26" t="n">
        <v>0</v>
      </c>
      <c r="E606" s="26" t="n">
        <v>0</v>
      </c>
      <c r="F606" s="26" t="n">
        <v>12</v>
      </c>
      <c r="G606" s="26" t="n">
        <v>0</v>
      </c>
      <c r="H606" s="26" t="n">
        <v>0</v>
      </c>
      <c r="I606" s="26" t="n">
        <v>42</v>
      </c>
      <c r="J606" s="26" t="n">
        <v>0</v>
      </c>
      <c r="K606" s="26" t="n">
        <v>0</v>
      </c>
      <c r="L606" s="26" t="n">
        <v>0</v>
      </c>
      <c r="M606" s="26" t="n">
        <v>0</v>
      </c>
      <c r="N606" s="26" t="n">
        <v>0</v>
      </c>
      <c r="O606" s="26" t="n">
        <v>0</v>
      </c>
      <c r="P606" s="26" t="n">
        <v>-2</v>
      </c>
      <c r="Q606" s="26" t="n">
        <v>39</v>
      </c>
      <c r="R606" s="26" t="n">
        <v>5</v>
      </c>
      <c r="S606" s="26" t="n">
        <v>0</v>
      </c>
      <c r="T606" s="26" t="n">
        <v>0</v>
      </c>
      <c r="U606" s="26" t="n">
        <v>0</v>
      </c>
    </row>
    <row r="607" customFormat="false" ht="15" hidden="false" customHeight="true" outlineLevel="0" collapsed="false">
      <c r="A607" s="8" t="s">
        <v>944</v>
      </c>
      <c r="B607" s="8" t="s">
        <v>304</v>
      </c>
      <c r="C607" s="8" t="s">
        <v>423</v>
      </c>
      <c r="D607" s="26" t="n">
        <v>0</v>
      </c>
      <c r="E607" s="26" t="n">
        <v>0</v>
      </c>
      <c r="F607" s="26" t="n">
        <v>7</v>
      </c>
      <c r="G607" s="26" t="n">
        <v>0</v>
      </c>
      <c r="H607" s="26" t="n">
        <v>0</v>
      </c>
      <c r="I607" s="26" t="n">
        <v>27</v>
      </c>
      <c r="J607" s="26" t="n">
        <v>0</v>
      </c>
      <c r="K607" s="26" t="n">
        <v>0</v>
      </c>
      <c r="L607" s="26" t="n">
        <v>0</v>
      </c>
      <c r="M607" s="26" t="n">
        <v>0</v>
      </c>
      <c r="N607" s="26" t="n">
        <v>5</v>
      </c>
      <c r="O607" s="26" t="n">
        <v>0</v>
      </c>
      <c r="P607" s="26" t="n">
        <v>-3</v>
      </c>
      <c r="Q607" s="26" t="n">
        <v>20</v>
      </c>
      <c r="R607" s="26" t="n">
        <v>5</v>
      </c>
      <c r="S607" s="26" t="n">
        <v>0</v>
      </c>
      <c r="T607" s="26" t="n">
        <v>0</v>
      </c>
      <c r="U607" s="26" t="n">
        <v>0</v>
      </c>
    </row>
    <row r="608" customFormat="false" ht="15" hidden="false" customHeight="true" outlineLevel="0" collapsed="false">
      <c r="A608" s="8" t="s">
        <v>944</v>
      </c>
      <c r="B608" s="8" t="s">
        <v>304</v>
      </c>
      <c r="C608" s="8" t="s">
        <v>424</v>
      </c>
      <c r="D608" s="26" t="n">
        <v>0</v>
      </c>
      <c r="E608" s="26" t="n">
        <v>0</v>
      </c>
      <c r="F608" s="26" t="n">
        <v>18</v>
      </c>
      <c r="G608" s="26" t="n">
        <v>0</v>
      </c>
      <c r="H608" s="26" t="n">
        <v>0</v>
      </c>
      <c r="I608" s="26" t="n">
        <v>51</v>
      </c>
      <c r="J608" s="26" t="n">
        <v>0</v>
      </c>
      <c r="K608" s="26" t="n">
        <v>9</v>
      </c>
      <c r="L608" s="26" t="n">
        <v>-1</v>
      </c>
      <c r="M608" s="26" t="n">
        <v>0</v>
      </c>
      <c r="N608" s="26" t="n">
        <v>0</v>
      </c>
      <c r="O608" s="26" t="n">
        <v>0</v>
      </c>
      <c r="P608" s="26" t="n">
        <v>-6</v>
      </c>
      <c r="Q608" s="26" t="n">
        <v>35</v>
      </c>
      <c r="R608" s="26" t="n">
        <v>14</v>
      </c>
      <c r="S608" s="26" t="n">
        <v>0</v>
      </c>
      <c r="T608" s="26" t="n">
        <v>0</v>
      </c>
      <c r="U608" s="26" t="n">
        <v>0</v>
      </c>
    </row>
    <row r="609" customFormat="false" ht="15" hidden="false" customHeight="true" outlineLevel="0" collapsed="false">
      <c r="A609" s="8" t="s">
        <v>944</v>
      </c>
      <c r="B609" s="8" t="s">
        <v>304</v>
      </c>
      <c r="C609" s="8" t="s">
        <v>425</v>
      </c>
      <c r="D609" s="26" t="n">
        <v>0</v>
      </c>
      <c r="E609" s="26" t="n">
        <v>0</v>
      </c>
      <c r="F609" s="26" t="n">
        <v>20</v>
      </c>
      <c r="G609" s="26" t="n">
        <v>0</v>
      </c>
      <c r="H609" s="26" t="n">
        <v>0</v>
      </c>
      <c r="I609" s="26" t="n">
        <v>34</v>
      </c>
      <c r="J609" s="26" t="n">
        <v>0</v>
      </c>
      <c r="K609" s="26" t="n">
        <v>0</v>
      </c>
      <c r="L609" s="26" t="n">
        <v>0</v>
      </c>
      <c r="M609" s="26" t="n">
        <v>0</v>
      </c>
      <c r="N609" s="26" t="n">
        <v>0</v>
      </c>
      <c r="O609" s="26" t="n">
        <v>0</v>
      </c>
      <c r="P609" s="26" t="n">
        <v>0</v>
      </c>
      <c r="Q609" s="26" t="n">
        <v>34</v>
      </c>
      <c r="R609" s="26" t="n">
        <v>0</v>
      </c>
      <c r="S609" s="26" t="n">
        <v>0</v>
      </c>
      <c r="T609" s="26" t="n">
        <v>0</v>
      </c>
      <c r="U609" s="26" t="n">
        <v>0</v>
      </c>
    </row>
    <row r="610" customFormat="false" ht="15" hidden="false" customHeight="true" outlineLevel="0" collapsed="false">
      <c r="A610" s="8" t="s">
        <v>944</v>
      </c>
      <c r="B610" s="8" t="s">
        <v>385</v>
      </c>
      <c r="C610" s="8" t="s">
        <v>426</v>
      </c>
      <c r="D610" s="26" t="n">
        <v>0</v>
      </c>
      <c r="E610" s="26" t="n">
        <v>0</v>
      </c>
      <c r="F610" s="26" t="n">
        <v>0</v>
      </c>
      <c r="G610" s="26" t="n">
        <v>0</v>
      </c>
      <c r="H610" s="26" t="n">
        <v>0</v>
      </c>
      <c r="I610" s="26" t="n">
        <v>-1</v>
      </c>
      <c r="J610" s="26" t="n">
        <v>0</v>
      </c>
      <c r="K610" s="26" t="n">
        <v>0</v>
      </c>
      <c r="L610" s="26" t="n">
        <v>0</v>
      </c>
      <c r="M610" s="26" t="n">
        <v>0</v>
      </c>
      <c r="N610" s="26" t="n">
        <v>0</v>
      </c>
      <c r="O610" s="26" t="n">
        <v>0</v>
      </c>
      <c r="P610" s="26" t="n">
        <v>0</v>
      </c>
      <c r="Q610" s="26" t="n">
        <v>-1</v>
      </c>
      <c r="R610" s="26" t="n">
        <v>0</v>
      </c>
      <c r="S610" s="26" t="n">
        <v>0</v>
      </c>
      <c r="T610" s="26" t="n">
        <v>0</v>
      </c>
      <c r="U610" s="26" t="n">
        <v>0</v>
      </c>
    </row>
    <row r="611" customFormat="false" ht="15" hidden="false" customHeight="true" outlineLevel="0" collapsed="false">
      <c r="A611" s="8" t="s">
        <v>944</v>
      </c>
      <c r="B611" s="8" t="s">
        <v>128</v>
      </c>
      <c r="C611" s="8" t="s">
        <v>417</v>
      </c>
      <c r="D611" s="26" t="n">
        <v>0</v>
      </c>
      <c r="E611" s="26" t="n">
        <v>0</v>
      </c>
      <c r="F611" s="26" t="n">
        <v>52</v>
      </c>
      <c r="G611" s="26" t="n">
        <v>0</v>
      </c>
      <c r="H611" s="26" t="n">
        <v>0</v>
      </c>
      <c r="I611" s="26" t="n">
        <v>87</v>
      </c>
      <c r="J611" s="26" t="n">
        <v>0</v>
      </c>
      <c r="K611" s="26" t="n">
        <v>0</v>
      </c>
      <c r="L611" s="26" t="n">
        <v>0</v>
      </c>
      <c r="M611" s="26" t="n">
        <v>0</v>
      </c>
      <c r="N611" s="26" t="n">
        <v>10</v>
      </c>
      <c r="O611" s="26" t="n">
        <v>0</v>
      </c>
      <c r="P611" s="26" t="n">
        <v>0</v>
      </c>
      <c r="Q611" s="26" t="n">
        <v>77</v>
      </c>
      <c r="R611" s="26" t="n">
        <v>0</v>
      </c>
      <c r="S611" s="26" t="n">
        <v>0</v>
      </c>
      <c r="T611" s="26" t="n">
        <v>0</v>
      </c>
      <c r="U611" s="26" t="n">
        <v>0</v>
      </c>
    </row>
    <row r="612" customFormat="false" ht="15" hidden="false" customHeight="true" outlineLevel="0" collapsed="false">
      <c r="A612" s="8" t="s">
        <v>944</v>
      </c>
      <c r="B612" s="8" t="s">
        <v>128</v>
      </c>
      <c r="C612" s="8" t="s">
        <v>427</v>
      </c>
      <c r="D612" s="26" t="n">
        <v>0</v>
      </c>
      <c r="E612" s="26" t="n">
        <v>0</v>
      </c>
      <c r="F612" s="26" t="n">
        <v>90</v>
      </c>
      <c r="G612" s="26" t="n">
        <v>0</v>
      </c>
      <c r="H612" s="26" t="n">
        <v>29</v>
      </c>
      <c r="I612" s="26" t="n">
        <v>173</v>
      </c>
      <c r="J612" s="26" t="n">
        <v>0</v>
      </c>
      <c r="K612" s="26" t="n">
        <v>6</v>
      </c>
      <c r="L612" s="26" t="n">
        <v>0</v>
      </c>
      <c r="M612" s="26" t="n">
        <v>0</v>
      </c>
      <c r="N612" s="26" t="n">
        <v>0</v>
      </c>
      <c r="O612" s="26" t="n">
        <v>0</v>
      </c>
      <c r="P612" s="26" t="n">
        <v>0</v>
      </c>
      <c r="Q612" s="26" t="n">
        <v>148</v>
      </c>
      <c r="R612" s="26" t="n">
        <v>19</v>
      </c>
      <c r="S612" s="26" t="n">
        <v>4</v>
      </c>
      <c r="T612" s="26" t="n">
        <v>0</v>
      </c>
      <c r="U612" s="26" t="n">
        <v>0</v>
      </c>
    </row>
    <row r="613" customFormat="false" ht="15" hidden="false" customHeight="true" outlineLevel="0" collapsed="false">
      <c r="A613" s="8" t="s">
        <v>944</v>
      </c>
      <c r="B613" s="8" t="s">
        <v>128</v>
      </c>
      <c r="C613" s="8" t="s">
        <v>428</v>
      </c>
      <c r="D613" s="26" t="n">
        <v>0</v>
      </c>
      <c r="E613" s="26" t="n">
        <v>0</v>
      </c>
      <c r="F613" s="26" t="n">
        <v>146</v>
      </c>
      <c r="G613" s="26" t="n">
        <v>0</v>
      </c>
      <c r="H613" s="26" t="n">
        <v>34</v>
      </c>
      <c r="I613" s="26" t="n">
        <v>213</v>
      </c>
      <c r="J613" s="26" t="n">
        <v>0</v>
      </c>
      <c r="K613" s="26" t="n">
        <v>0</v>
      </c>
      <c r="L613" s="26" t="n">
        <v>0</v>
      </c>
      <c r="M613" s="26" t="n">
        <v>0</v>
      </c>
      <c r="N613" s="26" t="n">
        <v>0</v>
      </c>
      <c r="O613" s="26" t="n">
        <v>0</v>
      </c>
      <c r="P613" s="26" t="n">
        <v>0</v>
      </c>
      <c r="Q613" s="26" t="n">
        <v>213</v>
      </c>
      <c r="R613" s="26" t="n">
        <v>0</v>
      </c>
      <c r="S613" s="26" t="n">
        <v>0</v>
      </c>
      <c r="T613" s="26" t="n">
        <v>0</v>
      </c>
      <c r="U613" s="26" t="n">
        <v>0</v>
      </c>
    </row>
    <row r="614" customFormat="false" ht="15" hidden="false" customHeight="true" outlineLevel="0" collapsed="false">
      <c r="A614" s="8" t="s">
        <v>944</v>
      </c>
      <c r="B614" s="8" t="s">
        <v>170</v>
      </c>
      <c r="C614" s="8" t="s">
        <v>429</v>
      </c>
      <c r="D614" s="26" t="n">
        <v>0</v>
      </c>
      <c r="E614" s="26" t="n">
        <v>0</v>
      </c>
      <c r="F614" s="26" t="n">
        <v>13</v>
      </c>
      <c r="G614" s="26" t="n">
        <v>0</v>
      </c>
      <c r="H614" s="26" t="n">
        <v>4</v>
      </c>
      <c r="I614" s="26" t="n">
        <v>42</v>
      </c>
      <c r="J614" s="26" t="n">
        <v>0</v>
      </c>
      <c r="K614" s="26" t="n">
        <v>0</v>
      </c>
      <c r="L614" s="26" t="n">
        <v>0</v>
      </c>
      <c r="M614" s="26" t="n">
        <v>0</v>
      </c>
      <c r="N614" s="26" t="n">
        <v>0</v>
      </c>
      <c r="O614" s="26" t="n">
        <v>0</v>
      </c>
      <c r="P614" s="26" t="n">
        <v>0</v>
      </c>
      <c r="Q614" s="26" t="n">
        <v>42</v>
      </c>
      <c r="R614" s="26" t="n">
        <v>0</v>
      </c>
      <c r="S614" s="26" t="n">
        <v>0</v>
      </c>
      <c r="T614" s="26" t="n">
        <v>0</v>
      </c>
      <c r="U614" s="26" t="n">
        <v>0</v>
      </c>
    </row>
    <row r="615" customFormat="false" ht="15" hidden="false" customHeight="true" outlineLevel="0" collapsed="false">
      <c r="A615" s="8" t="s">
        <v>944</v>
      </c>
      <c r="B615" s="8" t="s">
        <v>170</v>
      </c>
      <c r="C615" s="8" t="s">
        <v>430</v>
      </c>
      <c r="D615" s="26" t="n">
        <v>0</v>
      </c>
      <c r="E615" s="26" t="n">
        <v>0</v>
      </c>
      <c r="F615" s="26" t="n">
        <v>26</v>
      </c>
      <c r="G615" s="26" t="n">
        <v>0</v>
      </c>
      <c r="H615" s="26" t="n">
        <v>4</v>
      </c>
      <c r="I615" s="26" t="n">
        <v>57</v>
      </c>
      <c r="J615" s="26" t="n">
        <v>0</v>
      </c>
      <c r="K615" s="26" t="n">
        <v>0</v>
      </c>
      <c r="L615" s="26" t="n">
        <v>0</v>
      </c>
      <c r="M615" s="26" t="n">
        <v>0</v>
      </c>
      <c r="N615" s="26" t="n">
        <v>0</v>
      </c>
      <c r="O615" s="26" t="n">
        <v>0</v>
      </c>
      <c r="P615" s="26" t="n">
        <v>0</v>
      </c>
      <c r="Q615" s="26" t="n">
        <v>57</v>
      </c>
      <c r="R615" s="26" t="n">
        <v>0</v>
      </c>
      <c r="S615" s="26" t="n">
        <v>0</v>
      </c>
      <c r="T615" s="26" t="n">
        <v>0</v>
      </c>
      <c r="U615" s="26" t="n">
        <v>0</v>
      </c>
    </row>
    <row r="616" customFormat="false" ht="15" hidden="false" customHeight="true" outlineLevel="0" collapsed="false">
      <c r="A616" s="8" t="s">
        <v>944</v>
      </c>
      <c r="B616" s="8" t="s">
        <v>170</v>
      </c>
      <c r="C616" s="8" t="s">
        <v>431</v>
      </c>
      <c r="D616" s="26" t="n">
        <v>0</v>
      </c>
      <c r="E616" s="26" t="n">
        <v>0</v>
      </c>
      <c r="F616" s="26" t="n">
        <v>23</v>
      </c>
      <c r="G616" s="26" t="n">
        <v>0</v>
      </c>
      <c r="H616" s="26" t="n">
        <v>14</v>
      </c>
      <c r="I616" s="26" t="n">
        <v>62</v>
      </c>
      <c r="J616" s="26" t="n">
        <v>0</v>
      </c>
      <c r="K616" s="26" t="n">
        <v>0</v>
      </c>
      <c r="L616" s="26" t="n">
        <v>0</v>
      </c>
      <c r="M616" s="26" t="n">
        <v>0</v>
      </c>
      <c r="N616" s="26" t="n">
        <v>0</v>
      </c>
      <c r="O616" s="26" t="n">
        <v>0</v>
      </c>
      <c r="P616" s="26" t="n">
        <v>0</v>
      </c>
      <c r="Q616" s="26" t="n">
        <v>58</v>
      </c>
      <c r="R616" s="26" t="n">
        <v>4</v>
      </c>
      <c r="S616" s="26" t="n">
        <v>0</v>
      </c>
      <c r="T616" s="26" t="n">
        <v>0</v>
      </c>
      <c r="U616" s="26" t="n">
        <v>0</v>
      </c>
    </row>
    <row r="617" customFormat="false" ht="15" hidden="false" customHeight="true" outlineLevel="0" collapsed="false">
      <c r="A617" s="8" t="s">
        <v>944</v>
      </c>
      <c r="B617" s="8" t="s">
        <v>191</v>
      </c>
      <c r="C617" s="8" t="s">
        <v>432</v>
      </c>
      <c r="D617" s="26" t="n">
        <v>0</v>
      </c>
      <c r="E617" s="26" t="n">
        <v>0</v>
      </c>
      <c r="F617" s="26" t="n">
        <v>34</v>
      </c>
      <c r="G617" s="26" t="n">
        <v>0</v>
      </c>
      <c r="H617" s="26" t="n">
        <v>0</v>
      </c>
      <c r="I617" s="26" t="n">
        <v>29</v>
      </c>
      <c r="J617" s="26" t="n">
        <v>0</v>
      </c>
      <c r="K617" s="26" t="n">
        <v>5</v>
      </c>
      <c r="L617" s="26" t="n">
        <v>0</v>
      </c>
      <c r="M617" s="26" t="n">
        <v>0</v>
      </c>
      <c r="N617" s="26" t="n">
        <v>0</v>
      </c>
      <c r="O617" s="26" t="n">
        <v>0</v>
      </c>
      <c r="P617" s="26" t="n">
        <v>-3</v>
      </c>
      <c r="Q617" s="26" t="n">
        <v>25</v>
      </c>
      <c r="R617" s="26" t="n">
        <v>2</v>
      </c>
      <c r="S617" s="26" t="n">
        <v>0</v>
      </c>
      <c r="T617" s="26" t="n">
        <v>0</v>
      </c>
      <c r="U617" s="26" t="n">
        <v>0</v>
      </c>
    </row>
    <row r="618" customFormat="false" ht="15" hidden="false" customHeight="true" outlineLevel="0" collapsed="false">
      <c r="A618" s="8" t="s">
        <v>944</v>
      </c>
      <c r="B618" s="8" t="s">
        <v>191</v>
      </c>
      <c r="C618" s="8" t="s">
        <v>433</v>
      </c>
      <c r="D618" s="26" t="n">
        <v>0</v>
      </c>
      <c r="E618" s="26" t="n">
        <v>0</v>
      </c>
      <c r="F618" s="26" t="n">
        <v>61</v>
      </c>
      <c r="G618" s="26" t="n">
        <v>0</v>
      </c>
      <c r="H618" s="26" t="n">
        <v>1</v>
      </c>
      <c r="I618" s="26" t="n">
        <v>88</v>
      </c>
      <c r="J618" s="26" t="n">
        <v>0</v>
      </c>
      <c r="K618" s="26" t="n">
        <v>5</v>
      </c>
      <c r="L618" s="26" t="n">
        <v>-1</v>
      </c>
      <c r="M618" s="26" t="n">
        <v>0</v>
      </c>
      <c r="N618" s="26" t="n">
        <v>0</v>
      </c>
      <c r="O618" s="26" t="n">
        <v>0</v>
      </c>
      <c r="P618" s="26" t="n">
        <v>-2</v>
      </c>
      <c r="Q618" s="26" t="n">
        <v>78</v>
      </c>
      <c r="R618" s="26" t="n">
        <v>8</v>
      </c>
      <c r="S618" s="26" t="n">
        <v>4</v>
      </c>
      <c r="T618" s="26" t="n">
        <v>0</v>
      </c>
      <c r="U618" s="26" t="n">
        <v>0</v>
      </c>
    </row>
    <row r="619" customFormat="false" ht="15" hidden="false" customHeight="true" outlineLevel="0" collapsed="false">
      <c r="A619" s="8" t="s">
        <v>944</v>
      </c>
      <c r="B619" s="8" t="s">
        <v>191</v>
      </c>
      <c r="C619" s="8" t="s">
        <v>434</v>
      </c>
      <c r="D619" s="26" t="n">
        <v>0</v>
      </c>
      <c r="E619" s="26" t="n">
        <v>0</v>
      </c>
      <c r="F619" s="26" t="n">
        <v>49</v>
      </c>
      <c r="G619" s="26" t="n">
        <v>0</v>
      </c>
      <c r="H619" s="26" t="n">
        <v>29</v>
      </c>
      <c r="I619" s="26" t="n">
        <v>92</v>
      </c>
      <c r="J619" s="26" t="n">
        <v>0</v>
      </c>
      <c r="K619" s="26" t="n">
        <v>0</v>
      </c>
      <c r="L619" s="26" t="n">
        <v>0</v>
      </c>
      <c r="M619" s="26" t="n">
        <v>0</v>
      </c>
      <c r="N619" s="26" t="n">
        <v>0</v>
      </c>
      <c r="O619" s="26" t="n">
        <v>0</v>
      </c>
      <c r="P619" s="26" t="n">
        <v>-2</v>
      </c>
      <c r="Q619" s="26" t="n">
        <v>85</v>
      </c>
      <c r="R619" s="26" t="n">
        <v>9</v>
      </c>
      <c r="S619" s="26" t="n">
        <v>0</v>
      </c>
      <c r="T619" s="26" t="n">
        <v>0</v>
      </c>
      <c r="U619" s="26" t="n">
        <v>0</v>
      </c>
    </row>
    <row r="620" customFormat="false" ht="15" hidden="false" customHeight="true" outlineLevel="0" collapsed="false">
      <c r="A620" s="8" t="s">
        <v>944</v>
      </c>
      <c r="B620" s="8" t="s">
        <v>307</v>
      </c>
      <c r="C620" s="8" t="s">
        <v>435</v>
      </c>
      <c r="D620" s="26" t="n">
        <v>0</v>
      </c>
      <c r="E620" s="26" t="n">
        <v>0</v>
      </c>
      <c r="F620" s="26" t="n">
        <v>-5</v>
      </c>
      <c r="G620" s="26" t="n">
        <v>0</v>
      </c>
      <c r="H620" s="26" t="n">
        <v>0</v>
      </c>
      <c r="I620" s="26" t="n">
        <v>1</v>
      </c>
      <c r="J620" s="26" t="n">
        <v>0</v>
      </c>
      <c r="K620" s="26" t="n">
        <v>0</v>
      </c>
      <c r="L620" s="26" t="n">
        <v>0</v>
      </c>
      <c r="M620" s="26" t="n">
        <v>0</v>
      </c>
      <c r="N620" s="26" t="n">
        <v>0</v>
      </c>
      <c r="O620" s="26" t="n">
        <v>0</v>
      </c>
      <c r="P620" s="26" t="n">
        <v>-2</v>
      </c>
      <c r="Q620" s="26" t="n">
        <v>-2</v>
      </c>
      <c r="R620" s="26" t="n">
        <v>5</v>
      </c>
      <c r="S620" s="26" t="n">
        <v>0</v>
      </c>
      <c r="T620" s="26" t="n">
        <v>0</v>
      </c>
      <c r="U620" s="26" t="n">
        <v>-1</v>
      </c>
    </row>
    <row r="621" customFormat="false" ht="15" hidden="false" customHeight="true" outlineLevel="0" collapsed="false">
      <c r="A621" s="8" t="s">
        <v>944</v>
      </c>
      <c r="B621" s="8" t="s">
        <v>367</v>
      </c>
      <c r="C621" s="8" t="s">
        <v>436</v>
      </c>
      <c r="D621" s="26" t="n">
        <v>0</v>
      </c>
      <c r="E621" s="26" t="n">
        <v>0</v>
      </c>
      <c r="F621" s="26" t="n">
        <v>0</v>
      </c>
      <c r="G621" s="26" t="n">
        <v>0</v>
      </c>
      <c r="H621" s="26" t="n">
        <v>0</v>
      </c>
      <c r="I621" s="26" t="n">
        <v>-1</v>
      </c>
      <c r="J621" s="26" t="n">
        <v>0</v>
      </c>
      <c r="K621" s="26" t="n">
        <v>0</v>
      </c>
      <c r="L621" s="26" t="n">
        <v>0</v>
      </c>
      <c r="M621" s="26" t="n">
        <v>0</v>
      </c>
      <c r="N621" s="26" t="n">
        <v>0</v>
      </c>
      <c r="O621" s="26" t="n">
        <v>0</v>
      </c>
      <c r="P621" s="26" t="n">
        <v>-1</v>
      </c>
      <c r="Q621" s="26" t="n">
        <v>0</v>
      </c>
      <c r="R621" s="26" t="n">
        <v>0</v>
      </c>
      <c r="S621" s="26" t="n">
        <v>0</v>
      </c>
      <c r="T621" s="26" t="n">
        <v>0</v>
      </c>
      <c r="U621" s="26" t="n">
        <v>0</v>
      </c>
    </row>
    <row r="622" customFormat="false" ht="15" hidden="false" customHeight="true" outlineLevel="0" collapsed="false">
      <c r="A622" s="8" t="s">
        <v>944</v>
      </c>
      <c r="B622" s="8" t="s">
        <v>367</v>
      </c>
      <c r="C622" s="8" t="s">
        <v>437</v>
      </c>
      <c r="D622" s="26" t="n">
        <v>0</v>
      </c>
      <c r="E622" s="26" t="n">
        <v>0</v>
      </c>
      <c r="F622" s="26" t="n">
        <v>-1</v>
      </c>
      <c r="G622" s="26" t="n">
        <v>0</v>
      </c>
      <c r="H622" s="26" t="n">
        <v>0</v>
      </c>
      <c r="I622" s="26" t="n">
        <v>0</v>
      </c>
      <c r="J622" s="26" t="n">
        <v>0</v>
      </c>
      <c r="K622" s="26" t="n">
        <v>0</v>
      </c>
      <c r="L622" s="26" t="n">
        <v>0</v>
      </c>
      <c r="M622" s="26" t="n">
        <v>0</v>
      </c>
      <c r="N622" s="26" t="n">
        <v>0</v>
      </c>
      <c r="O622" s="26" t="n">
        <v>0</v>
      </c>
      <c r="P622" s="26" t="n">
        <v>0</v>
      </c>
      <c r="Q622" s="26" t="n">
        <v>0</v>
      </c>
      <c r="R622" s="26" t="n">
        <v>0</v>
      </c>
      <c r="S622" s="26" t="n">
        <v>0</v>
      </c>
      <c r="T622" s="26" t="n">
        <v>0</v>
      </c>
      <c r="U622" s="26" t="n">
        <v>0</v>
      </c>
    </row>
    <row r="623" customFormat="false" ht="15" hidden="false" customHeight="true" outlineLevel="0" collapsed="false">
      <c r="A623" s="8" t="s">
        <v>944</v>
      </c>
      <c r="B623" s="8" t="s">
        <v>367</v>
      </c>
      <c r="C623" s="8" t="s">
        <v>438</v>
      </c>
      <c r="D623" s="26" t="n">
        <v>0</v>
      </c>
      <c r="E623" s="26" t="n">
        <v>0</v>
      </c>
      <c r="F623" s="26" t="n">
        <v>1</v>
      </c>
      <c r="G623" s="26" t="n">
        <v>0</v>
      </c>
      <c r="H623" s="26" t="n">
        <v>0</v>
      </c>
      <c r="I623" s="26" t="n">
        <v>0</v>
      </c>
      <c r="J623" s="26" t="n">
        <v>0</v>
      </c>
      <c r="K623" s="26" t="n">
        <v>0</v>
      </c>
      <c r="L623" s="26" t="n">
        <v>0</v>
      </c>
      <c r="M623" s="26" t="n">
        <v>0</v>
      </c>
      <c r="N623" s="26" t="n">
        <v>0</v>
      </c>
      <c r="O623" s="26" t="n">
        <v>0</v>
      </c>
      <c r="P623" s="26" t="n">
        <v>0</v>
      </c>
      <c r="Q623" s="26" t="n">
        <v>0</v>
      </c>
      <c r="R623" s="26" t="n">
        <v>0</v>
      </c>
      <c r="S623" s="26" t="n">
        <v>0</v>
      </c>
      <c r="T623" s="26" t="n">
        <v>0</v>
      </c>
      <c r="U623" s="26" t="n">
        <v>0</v>
      </c>
    </row>
    <row r="624" customFormat="false" ht="15" hidden="false" customHeight="true" outlineLevel="0" collapsed="false">
      <c r="A624" s="8" t="s">
        <v>944</v>
      </c>
      <c r="B624" s="8" t="s">
        <v>367</v>
      </c>
      <c r="C624" s="8" t="s">
        <v>439</v>
      </c>
      <c r="D624" s="26" t="n">
        <v>0</v>
      </c>
      <c r="E624" s="26" t="n">
        <v>0</v>
      </c>
      <c r="F624" s="26" t="n">
        <v>0</v>
      </c>
      <c r="G624" s="26" t="n">
        <v>0</v>
      </c>
      <c r="H624" s="26" t="n">
        <v>0</v>
      </c>
      <c r="I624" s="26" t="n">
        <v>-1</v>
      </c>
      <c r="J624" s="26" t="n">
        <v>0</v>
      </c>
      <c r="K624" s="26" t="n">
        <v>0</v>
      </c>
      <c r="L624" s="26" t="n">
        <v>0</v>
      </c>
      <c r="M624" s="26" t="n">
        <v>0</v>
      </c>
      <c r="N624" s="26" t="n">
        <v>0</v>
      </c>
      <c r="O624" s="26" t="n">
        <v>0</v>
      </c>
      <c r="P624" s="26" t="n">
        <v>0</v>
      </c>
      <c r="Q624" s="26" t="n">
        <v>-1</v>
      </c>
      <c r="R624" s="26" t="n">
        <v>0</v>
      </c>
      <c r="S624" s="26" t="n">
        <v>0</v>
      </c>
      <c r="T624" s="26" t="n">
        <v>0</v>
      </c>
      <c r="U624" s="26" t="n">
        <v>0</v>
      </c>
    </row>
    <row r="625" customFormat="false" ht="15" hidden="false" customHeight="true" outlineLevel="0" collapsed="false">
      <c r="A625" s="8" t="s">
        <v>944</v>
      </c>
      <c r="B625" s="8" t="s">
        <v>184</v>
      </c>
      <c r="C625" s="8" t="s">
        <v>440</v>
      </c>
      <c r="D625" s="26" t="n">
        <v>0</v>
      </c>
      <c r="E625" s="26" t="n">
        <v>0</v>
      </c>
      <c r="F625" s="26" t="n">
        <v>4</v>
      </c>
      <c r="G625" s="26" t="n">
        <v>0</v>
      </c>
      <c r="H625" s="26" t="n">
        <v>0</v>
      </c>
      <c r="I625" s="26" t="n">
        <v>8</v>
      </c>
      <c r="J625" s="26" t="n">
        <v>0</v>
      </c>
      <c r="K625" s="26" t="n">
        <v>2</v>
      </c>
      <c r="L625" s="26" t="n">
        <v>0</v>
      </c>
      <c r="M625" s="26" t="n">
        <v>0</v>
      </c>
      <c r="N625" s="26" t="n">
        <v>0</v>
      </c>
      <c r="O625" s="26" t="n">
        <v>0</v>
      </c>
      <c r="P625" s="26" t="n">
        <v>-7</v>
      </c>
      <c r="Q625" s="26" t="n">
        <v>2</v>
      </c>
      <c r="R625" s="26" t="n">
        <v>11</v>
      </c>
      <c r="S625" s="26" t="n">
        <v>0</v>
      </c>
      <c r="T625" s="26" t="n">
        <v>0</v>
      </c>
      <c r="U625" s="26" t="n">
        <v>-1</v>
      </c>
    </row>
    <row r="626" customFormat="false" ht="15" hidden="false" customHeight="true" outlineLevel="0" collapsed="false">
      <c r="A626" s="8" t="s">
        <v>944</v>
      </c>
      <c r="B626" s="8" t="s">
        <v>184</v>
      </c>
      <c r="C626" s="8" t="s">
        <v>441</v>
      </c>
      <c r="D626" s="26" t="n">
        <v>0</v>
      </c>
      <c r="E626" s="26" t="n">
        <v>0</v>
      </c>
      <c r="F626" s="26" t="n">
        <v>2</v>
      </c>
      <c r="G626" s="26" t="n">
        <v>0</v>
      </c>
      <c r="H626" s="26" t="n">
        <v>0</v>
      </c>
      <c r="I626" s="26" t="n">
        <v>-6</v>
      </c>
      <c r="J626" s="26" t="n">
        <v>0</v>
      </c>
      <c r="K626" s="26" t="n">
        <v>0</v>
      </c>
      <c r="L626" s="26" t="n">
        <v>0</v>
      </c>
      <c r="M626" s="26" t="n">
        <v>0</v>
      </c>
      <c r="N626" s="26" t="n">
        <v>0</v>
      </c>
      <c r="O626" s="26" t="n">
        <v>0</v>
      </c>
      <c r="P626" s="26" t="n">
        <v>-11</v>
      </c>
      <c r="Q626" s="26" t="n">
        <v>-3</v>
      </c>
      <c r="R626" s="26" t="n">
        <v>8</v>
      </c>
      <c r="S626" s="26" t="n">
        <v>0</v>
      </c>
      <c r="T626" s="26" t="n">
        <v>0</v>
      </c>
      <c r="U626" s="26" t="n">
        <v>0</v>
      </c>
    </row>
    <row r="627" customFormat="false" ht="15" hidden="false" customHeight="true" outlineLevel="0" collapsed="false">
      <c r="A627" s="8" t="s">
        <v>944</v>
      </c>
      <c r="B627" s="8" t="s">
        <v>184</v>
      </c>
      <c r="C627" s="8" t="s">
        <v>442</v>
      </c>
      <c r="D627" s="26" t="n">
        <v>0</v>
      </c>
      <c r="E627" s="26" t="n">
        <v>0</v>
      </c>
      <c r="F627" s="26" t="n">
        <v>4</v>
      </c>
      <c r="G627" s="26" t="n">
        <v>0</v>
      </c>
      <c r="H627" s="26" t="n">
        <v>0</v>
      </c>
      <c r="I627" s="26" t="n">
        <v>0</v>
      </c>
      <c r="J627" s="26" t="n">
        <v>0</v>
      </c>
      <c r="K627" s="26" t="n">
        <v>0</v>
      </c>
      <c r="L627" s="26" t="n">
        <v>0</v>
      </c>
      <c r="M627" s="26" t="n">
        <v>0</v>
      </c>
      <c r="N627" s="26" t="n">
        <v>0</v>
      </c>
      <c r="O627" s="26" t="n">
        <v>0</v>
      </c>
      <c r="P627" s="26" t="n">
        <v>-5</v>
      </c>
      <c r="Q627" s="26" t="n">
        <v>-2</v>
      </c>
      <c r="R627" s="26" t="n">
        <v>7</v>
      </c>
      <c r="S627" s="26" t="n">
        <v>0</v>
      </c>
      <c r="T627" s="26" t="n">
        <v>0</v>
      </c>
      <c r="U627" s="26" t="n">
        <v>-1</v>
      </c>
    </row>
    <row r="628" customFormat="false" ht="15" hidden="false" customHeight="true" outlineLevel="0" collapsed="false">
      <c r="A628" s="8" t="s">
        <v>944</v>
      </c>
      <c r="B628" s="8" t="s">
        <v>184</v>
      </c>
      <c r="C628" s="8" t="s">
        <v>443</v>
      </c>
      <c r="D628" s="26" t="n">
        <v>0</v>
      </c>
      <c r="E628" s="26" t="n">
        <v>0</v>
      </c>
      <c r="F628" s="26" t="n">
        <v>6</v>
      </c>
      <c r="G628" s="26" t="n">
        <v>0</v>
      </c>
      <c r="H628" s="26" t="n">
        <v>0</v>
      </c>
      <c r="I628" s="26" t="n">
        <v>-7</v>
      </c>
      <c r="J628" s="26" t="n">
        <v>0</v>
      </c>
      <c r="K628" s="26" t="n">
        <v>0</v>
      </c>
      <c r="L628" s="26" t="n">
        <v>0</v>
      </c>
      <c r="M628" s="26" t="n">
        <v>0</v>
      </c>
      <c r="N628" s="26" t="n">
        <v>1</v>
      </c>
      <c r="O628" s="26" t="n">
        <v>0</v>
      </c>
      <c r="P628" s="26" t="n">
        <v>-8</v>
      </c>
      <c r="Q628" s="26" t="n">
        <v>-6</v>
      </c>
      <c r="R628" s="26" t="n">
        <v>6</v>
      </c>
      <c r="S628" s="26" t="n">
        <v>0</v>
      </c>
      <c r="T628" s="26" t="n">
        <v>0</v>
      </c>
      <c r="U628" s="26" t="n">
        <v>0</v>
      </c>
    </row>
    <row r="629" customFormat="false" ht="15" hidden="false" customHeight="true" outlineLevel="0" collapsed="false">
      <c r="A629" s="8" t="s">
        <v>944</v>
      </c>
      <c r="B629" s="8" t="s">
        <v>184</v>
      </c>
      <c r="C629" s="8" t="s">
        <v>444</v>
      </c>
      <c r="D629" s="26" t="n">
        <v>0</v>
      </c>
      <c r="E629" s="26" t="n">
        <v>0</v>
      </c>
      <c r="F629" s="26" t="n">
        <v>6</v>
      </c>
      <c r="G629" s="26" t="n">
        <v>0</v>
      </c>
      <c r="H629" s="26" t="n">
        <v>0</v>
      </c>
      <c r="I629" s="26" t="n">
        <v>3</v>
      </c>
      <c r="J629" s="26" t="n">
        <v>0</v>
      </c>
      <c r="K629" s="26" t="n">
        <v>0</v>
      </c>
      <c r="L629" s="26" t="n">
        <v>0</v>
      </c>
      <c r="M629" s="26" t="n">
        <v>0</v>
      </c>
      <c r="N629" s="26" t="n">
        <v>0</v>
      </c>
      <c r="O629" s="26" t="n">
        <v>0</v>
      </c>
      <c r="P629" s="26" t="n">
        <v>-5</v>
      </c>
      <c r="Q629" s="26" t="n">
        <v>3</v>
      </c>
      <c r="R629" s="26" t="n">
        <v>5</v>
      </c>
      <c r="S629" s="26" t="n">
        <v>0</v>
      </c>
      <c r="T629" s="26" t="n">
        <v>0</v>
      </c>
      <c r="U629" s="26" t="n">
        <v>-1</v>
      </c>
    </row>
    <row r="630" customFormat="false" ht="15" hidden="false" customHeight="true" outlineLevel="0" collapsed="false">
      <c r="A630" s="8" t="s">
        <v>944</v>
      </c>
      <c r="B630" s="8" t="s">
        <v>153</v>
      </c>
      <c r="C630" s="8" t="s">
        <v>445</v>
      </c>
      <c r="D630" s="26" t="n">
        <v>0</v>
      </c>
      <c r="E630" s="26" t="n">
        <v>0</v>
      </c>
      <c r="F630" s="26" t="n">
        <v>1</v>
      </c>
      <c r="G630" s="26" t="n">
        <v>0</v>
      </c>
      <c r="H630" s="26" t="n">
        <v>0</v>
      </c>
      <c r="I630" s="26" t="n">
        <v>0</v>
      </c>
      <c r="J630" s="26" t="n">
        <v>0</v>
      </c>
      <c r="K630" s="26" t="n">
        <v>0</v>
      </c>
      <c r="L630" s="26" t="n">
        <v>0</v>
      </c>
      <c r="M630" s="26" t="n">
        <v>0</v>
      </c>
      <c r="N630" s="26" t="n">
        <v>0</v>
      </c>
      <c r="O630" s="26" t="n">
        <v>0</v>
      </c>
      <c r="P630" s="26" t="n">
        <v>0</v>
      </c>
      <c r="Q630" s="26" t="n">
        <v>0</v>
      </c>
      <c r="R630" s="26" t="n">
        <v>0</v>
      </c>
      <c r="S630" s="26" t="n">
        <v>0</v>
      </c>
      <c r="T630" s="26" t="n">
        <v>0</v>
      </c>
      <c r="U630" s="26" t="n">
        <v>0</v>
      </c>
    </row>
    <row r="631" customFormat="false" ht="15" hidden="false" customHeight="true" outlineLevel="0" collapsed="false">
      <c r="A631" s="8" t="s">
        <v>944</v>
      </c>
      <c r="B631" s="8" t="s">
        <v>153</v>
      </c>
      <c r="C631" s="8" t="s">
        <v>446</v>
      </c>
      <c r="D631" s="26" t="n">
        <v>0</v>
      </c>
      <c r="E631" s="26" t="n">
        <v>0</v>
      </c>
      <c r="F631" s="26" t="n">
        <v>4</v>
      </c>
      <c r="G631" s="26" t="n">
        <v>0</v>
      </c>
      <c r="H631" s="26" t="n">
        <v>0</v>
      </c>
      <c r="I631" s="26" t="n">
        <v>1</v>
      </c>
      <c r="J631" s="26" t="n">
        <v>0</v>
      </c>
      <c r="K631" s="26" t="n">
        <v>0</v>
      </c>
      <c r="L631" s="26" t="n">
        <v>0</v>
      </c>
      <c r="M631" s="26" t="n">
        <v>0</v>
      </c>
      <c r="N631" s="26" t="n">
        <v>0</v>
      </c>
      <c r="O631" s="26" t="n">
        <v>0</v>
      </c>
      <c r="P631" s="26" t="n">
        <v>-1</v>
      </c>
      <c r="Q631" s="26" t="n">
        <v>0</v>
      </c>
      <c r="R631" s="26" t="n">
        <v>2</v>
      </c>
      <c r="S631" s="26" t="n">
        <v>0</v>
      </c>
      <c r="T631" s="26" t="n">
        <v>0</v>
      </c>
      <c r="U631" s="26" t="n">
        <v>0</v>
      </c>
    </row>
    <row r="632" customFormat="false" ht="15" hidden="false" customHeight="true" outlineLevel="0" collapsed="false">
      <c r="A632" s="8" t="s">
        <v>944</v>
      </c>
      <c r="B632" s="8" t="s">
        <v>153</v>
      </c>
      <c r="C632" s="8" t="s">
        <v>447</v>
      </c>
      <c r="D632" s="26" t="n">
        <v>0</v>
      </c>
      <c r="E632" s="26" t="n">
        <v>0</v>
      </c>
      <c r="F632" s="26" t="n">
        <v>0</v>
      </c>
      <c r="G632" s="26" t="n">
        <v>0</v>
      </c>
      <c r="H632" s="26" t="n">
        <v>0</v>
      </c>
      <c r="I632" s="26" t="n">
        <v>2</v>
      </c>
      <c r="J632" s="26" t="n">
        <v>0</v>
      </c>
      <c r="K632" s="26" t="n">
        <v>0</v>
      </c>
      <c r="L632" s="26" t="n">
        <v>0</v>
      </c>
      <c r="M632" s="26" t="n">
        <v>0</v>
      </c>
      <c r="N632" s="26" t="n">
        <v>0</v>
      </c>
      <c r="O632" s="26" t="n">
        <v>0</v>
      </c>
      <c r="P632" s="26" t="n">
        <v>0</v>
      </c>
      <c r="Q632" s="26" t="n">
        <v>0</v>
      </c>
      <c r="R632" s="26" t="n">
        <v>2</v>
      </c>
      <c r="S632" s="26" t="n">
        <v>0</v>
      </c>
      <c r="T632" s="26" t="n">
        <v>0</v>
      </c>
      <c r="U632" s="26" t="n">
        <v>0</v>
      </c>
    </row>
    <row r="633" customFormat="false" ht="15" hidden="false" customHeight="true" outlineLevel="0" collapsed="false">
      <c r="A633" s="8" t="s">
        <v>944</v>
      </c>
      <c r="B633" s="8" t="s">
        <v>153</v>
      </c>
      <c r="C633" s="8" t="s">
        <v>448</v>
      </c>
      <c r="D633" s="26" t="n">
        <v>0</v>
      </c>
      <c r="E633" s="26" t="n">
        <v>0</v>
      </c>
      <c r="F633" s="26" t="n">
        <v>4</v>
      </c>
      <c r="G633" s="26" t="n">
        <v>0</v>
      </c>
      <c r="H633" s="26" t="n">
        <v>0</v>
      </c>
      <c r="I633" s="26" t="n">
        <v>-1</v>
      </c>
      <c r="J633" s="26" t="n">
        <v>0</v>
      </c>
      <c r="K633" s="26" t="n">
        <v>0</v>
      </c>
      <c r="L633" s="26" t="n">
        <v>0</v>
      </c>
      <c r="M633" s="26" t="n">
        <v>0</v>
      </c>
      <c r="N633" s="26" t="n">
        <v>0</v>
      </c>
      <c r="O633" s="26" t="n">
        <v>0</v>
      </c>
      <c r="P633" s="26" t="n">
        <v>0</v>
      </c>
      <c r="Q633" s="26" t="n">
        <v>-1</v>
      </c>
      <c r="R633" s="26" t="n">
        <v>0</v>
      </c>
      <c r="S633" s="26" t="n">
        <v>0</v>
      </c>
      <c r="T633" s="26" t="n">
        <v>0</v>
      </c>
      <c r="U633" s="26" t="n">
        <v>0</v>
      </c>
    </row>
    <row r="634" customFormat="false" ht="15" hidden="false" customHeight="true" outlineLevel="0" collapsed="false">
      <c r="A634" s="8" t="s">
        <v>944</v>
      </c>
      <c r="B634" s="8" t="s">
        <v>289</v>
      </c>
      <c r="C634" s="8" t="s">
        <v>450</v>
      </c>
      <c r="D634" s="26" t="n">
        <v>0</v>
      </c>
      <c r="E634" s="26" t="n">
        <v>0</v>
      </c>
      <c r="F634" s="26" t="n">
        <v>1</v>
      </c>
      <c r="G634" s="26" t="n">
        <v>0</v>
      </c>
      <c r="H634" s="26" t="n">
        <v>0</v>
      </c>
      <c r="I634" s="26" t="n">
        <v>0</v>
      </c>
      <c r="J634" s="26" t="n">
        <v>0</v>
      </c>
      <c r="K634" s="26" t="n">
        <v>0</v>
      </c>
      <c r="L634" s="26" t="n">
        <v>0</v>
      </c>
      <c r="M634" s="26" t="n">
        <v>0</v>
      </c>
      <c r="N634" s="26" t="n">
        <v>0</v>
      </c>
      <c r="O634" s="26" t="n">
        <v>0</v>
      </c>
      <c r="P634" s="26" t="n">
        <v>0</v>
      </c>
      <c r="Q634" s="26" t="n">
        <v>0</v>
      </c>
      <c r="R634" s="26" t="n">
        <v>0</v>
      </c>
      <c r="S634" s="26" t="n">
        <v>0</v>
      </c>
      <c r="T634" s="26" t="n">
        <v>0</v>
      </c>
      <c r="U634" s="26" t="n">
        <v>0</v>
      </c>
    </row>
    <row r="635" customFormat="false" ht="15" hidden="false" customHeight="true" outlineLevel="0" collapsed="false">
      <c r="A635" s="8" t="s">
        <v>944</v>
      </c>
      <c r="B635" s="8" t="s">
        <v>242</v>
      </c>
      <c r="C635" s="8" t="s">
        <v>451</v>
      </c>
      <c r="D635" s="26" t="n">
        <v>0</v>
      </c>
      <c r="E635" s="26" t="n">
        <v>0</v>
      </c>
      <c r="F635" s="26" t="n">
        <v>0</v>
      </c>
      <c r="G635" s="26" t="n">
        <v>0</v>
      </c>
      <c r="H635" s="26" t="n">
        <v>0</v>
      </c>
      <c r="I635" s="26" t="n">
        <v>6</v>
      </c>
      <c r="J635" s="26" t="n">
        <v>0</v>
      </c>
      <c r="K635" s="26" t="n">
        <v>0</v>
      </c>
      <c r="L635" s="26" t="n">
        <v>0</v>
      </c>
      <c r="M635" s="26" t="n">
        <v>0</v>
      </c>
      <c r="N635" s="26" t="n">
        <v>0</v>
      </c>
      <c r="O635" s="26" t="n">
        <v>0</v>
      </c>
      <c r="P635" s="26" t="n">
        <v>0</v>
      </c>
      <c r="Q635" s="26" t="n">
        <v>6</v>
      </c>
      <c r="R635" s="26" t="n">
        <v>0</v>
      </c>
      <c r="S635" s="26" t="n">
        <v>0</v>
      </c>
      <c r="T635" s="26" t="n">
        <v>0</v>
      </c>
      <c r="U635" s="26" t="n">
        <v>0</v>
      </c>
    </row>
    <row r="636" customFormat="false" ht="15" hidden="false" customHeight="true" outlineLevel="0" collapsed="false">
      <c r="A636" s="8" t="s">
        <v>944</v>
      </c>
      <c r="B636" s="8" t="s">
        <v>242</v>
      </c>
      <c r="C636" s="8" t="s">
        <v>452</v>
      </c>
      <c r="D636" s="26" t="n">
        <v>0</v>
      </c>
      <c r="E636" s="26" t="n">
        <v>0</v>
      </c>
      <c r="F636" s="26" t="n">
        <v>12</v>
      </c>
      <c r="G636" s="26" t="n">
        <v>0</v>
      </c>
      <c r="H636" s="26" t="n">
        <v>0</v>
      </c>
      <c r="I636" s="26" t="n">
        <v>60</v>
      </c>
      <c r="J636" s="26" t="n">
        <v>0</v>
      </c>
      <c r="K636" s="26" t="n">
        <v>0</v>
      </c>
      <c r="L636" s="26" t="n">
        <v>0</v>
      </c>
      <c r="M636" s="26" t="n">
        <v>0</v>
      </c>
      <c r="N636" s="26" t="n">
        <v>0</v>
      </c>
      <c r="O636" s="26" t="n">
        <v>0</v>
      </c>
      <c r="P636" s="26" t="n">
        <v>0</v>
      </c>
      <c r="Q636" s="26" t="n">
        <v>58</v>
      </c>
      <c r="R636" s="26" t="n">
        <v>2</v>
      </c>
      <c r="S636" s="26" t="n">
        <v>0</v>
      </c>
      <c r="T636" s="26" t="n">
        <v>0</v>
      </c>
      <c r="U636" s="26" t="n">
        <v>0</v>
      </c>
    </row>
    <row r="637" customFormat="false" ht="15" hidden="false" customHeight="true" outlineLevel="0" collapsed="false">
      <c r="A637" s="8" t="s">
        <v>944</v>
      </c>
      <c r="B637" s="8" t="s">
        <v>242</v>
      </c>
      <c r="C637" s="8" t="s">
        <v>453</v>
      </c>
      <c r="D637" s="26" t="n">
        <v>0</v>
      </c>
      <c r="E637" s="26" t="n">
        <v>0</v>
      </c>
      <c r="F637" s="26" t="n">
        <v>14</v>
      </c>
      <c r="G637" s="26" t="n">
        <v>0</v>
      </c>
      <c r="H637" s="26" t="n">
        <v>1</v>
      </c>
      <c r="I637" s="26" t="n">
        <v>40</v>
      </c>
      <c r="J637" s="26" t="n">
        <v>0</v>
      </c>
      <c r="K637" s="26" t="n">
        <v>0</v>
      </c>
      <c r="L637" s="26" t="n">
        <v>0</v>
      </c>
      <c r="M637" s="26" t="n">
        <v>0</v>
      </c>
      <c r="N637" s="26" t="n">
        <v>0</v>
      </c>
      <c r="O637" s="26" t="n">
        <v>0</v>
      </c>
      <c r="P637" s="26" t="n">
        <v>0</v>
      </c>
      <c r="Q637" s="26" t="n">
        <v>37</v>
      </c>
      <c r="R637" s="26" t="n">
        <v>3</v>
      </c>
      <c r="S637" s="26" t="n">
        <v>0</v>
      </c>
      <c r="T637" s="26" t="n">
        <v>0</v>
      </c>
      <c r="U637" s="26" t="n">
        <v>0</v>
      </c>
    </row>
    <row r="638" customFormat="false" ht="15" hidden="false" customHeight="true" outlineLevel="0" collapsed="false">
      <c r="A638" s="8" t="s">
        <v>944</v>
      </c>
      <c r="B638" s="8" t="s">
        <v>242</v>
      </c>
      <c r="C638" s="8" t="s">
        <v>454</v>
      </c>
      <c r="D638" s="26" t="n">
        <v>0</v>
      </c>
      <c r="E638" s="26" t="n">
        <v>0</v>
      </c>
      <c r="F638" s="26" t="n">
        <v>16</v>
      </c>
      <c r="G638" s="26" t="n">
        <v>0</v>
      </c>
      <c r="H638" s="26" t="n">
        <v>0</v>
      </c>
      <c r="I638" s="26" t="n">
        <v>67</v>
      </c>
      <c r="J638" s="26" t="n">
        <v>0</v>
      </c>
      <c r="K638" s="26" t="n">
        <v>0</v>
      </c>
      <c r="L638" s="26" t="n">
        <v>0</v>
      </c>
      <c r="M638" s="26" t="n">
        <v>0</v>
      </c>
      <c r="N638" s="26" t="n">
        <v>0</v>
      </c>
      <c r="O638" s="26" t="n">
        <v>0</v>
      </c>
      <c r="P638" s="26" t="n">
        <v>0</v>
      </c>
      <c r="Q638" s="26" t="n">
        <v>65</v>
      </c>
      <c r="R638" s="26" t="n">
        <v>2</v>
      </c>
      <c r="S638" s="26" t="n">
        <v>0</v>
      </c>
      <c r="T638" s="26" t="n">
        <v>0</v>
      </c>
      <c r="U638" s="26" t="n">
        <v>0</v>
      </c>
    </row>
    <row r="639" customFormat="false" ht="15" hidden="false" customHeight="true" outlineLevel="0" collapsed="false">
      <c r="A639" s="8" t="s">
        <v>944</v>
      </c>
      <c r="B639" s="8" t="s">
        <v>242</v>
      </c>
      <c r="C639" s="8" t="s">
        <v>455</v>
      </c>
      <c r="D639" s="26" t="n">
        <v>0</v>
      </c>
      <c r="E639" s="26" t="n">
        <v>0</v>
      </c>
      <c r="F639" s="26" t="n">
        <v>1</v>
      </c>
      <c r="G639" s="26" t="n">
        <v>0</v>
      </c>
      <c r="H639" s="26" t="n">
        <v>0</v>
      </c>
      <c r="I639" s="26" t="n">
        <v>4</v>
      </c>
      <c r="J639" s="26" t="n">
        <v>0</v>
      </c>
      <c r="K639" s="26" t="n">
        <v>0</v>
      </c>
      <c r="L639" s="26" t="n">
        <v>0</v>
      </c>
      <c r="M639" s="26" t="n">
        <v>0</v>
      </c>
      <c r="N639" s="26" t="n">
        <v>0</v>
      </c>
      <c r="O639" s="26" t="n">
        <v>0</v>
      </c>
      <c r="P639" s="26" t="n">
        <v>0</v>
      </c>
      <c r="Q639" s="26" t="n">
        <v>4</v>
      </c>
      <c r="R639" s="26" t="n">
        <v>0</v>
      </c>
      <c r="S639" s="26" t="n">
        <v>0</v>
      </c>
      <c r="T639" s="26" t="n">
        <v>0</v>
      </c>
      <c r="U639" s="26" t="n">
        <v>0</v>
      </c>
    </row>
    <row r="640" customFormat="false" ht="15" hidden="false" customHeight="true" outlineLevel="0" collapsed="false">
      <c r="A640" s="8" t="s">
        <v>944</v>
      </c>
      <c r="B640" s="8" t="s">
        <v>108</v>
      </c>
      <c r="C640" s="8" t="s">
        <v>456</v>
      </c>
      <c r="D640" s="26" t="n">
        <v>0</v>
      </c>
      <c r="E640" s="26" t="n">
        <v>0</v>
      </c>
      <c r="F640" s="26" t="n">
        <v>6</v>
      </c>
      <c r="G640" s="26" t="n">
        <v>0</v>
      </c>
      <c r="H640" s="26" t="n">
        <v>0</v>
      </c>
      <c r="I640" s="26" t="n">
        <v>166</v>
      </c>
      <c r="J640" s="26" t="n">
        <v>0</v>
      </c>
      <c r="K640" s="26" t="n">
        <v>1</v>
      </c>
      <c r="L640" s="26" t="n">
        <v>0</v>
      </c>
      <c r="M640" s="26" t="n">
        <v>0</v>
      </c>
      <c r="N640" s="26" t="n">
        <v>0</v>
      </c>
      <c r="O640" s="26" t="n">
        <v>0</v>
      </c>
      <c r="P640" s="26" t="n">
        <v>-6</v>
      </c>
      <c r="Q640" s="26" t="n">
        <v>147</v>
      </c>
      <c r="R640" s="26" t="n">
        <v>24</v>
      </c>
      <c r="S640" s="26" t="n">
        <v>0</v>
      </c>
      <c r="T640" s="26" t="n">
        <v>0</v>
      </c>
      <c r="U640" s="26" t="n">
        <v>-1</v>
      </c>
    </row>
    <row r="641" customFormat="false" ht="15" hidden="false" customHeight="true" outlineLevel="0" collapsed="false">
      <c r="A641" s="8" t="s">
        <v>944</v>
      </c>
      <c r="B641" s="8" t="s">
        <v>108</v>
      </c>
      <c r="C641" s="8" t="s">
        <v>457</v>
      </c>
      <c r="D641" s="26" t="n">
        <v>0</v>
      </c>
      <c r="E641" s="26" t="n">
        <v>0</v>
      </c>
      <c r="F641" s="26" t="n">
        <v>46</v>
      </c>
      <c r="G641" s="26" t="n">
        <v>0</v>
      </c>
      <c r="H641" s="26" t="n">
        <v>0</v>
      </c>
      <c r="I641" s="26" t="n">
        <v>479</v>
      </c>
      <c r="J641" s="26" t="n">
        <v>0</v>
      </c>
      <c r="K641" s="26" t="n">
        <v>0</v>
      </c>
      <c r="L641" s="26" t="n">
        <v>0</v>
      </c>
      <c r="M641" s="26" t="n">
        <v>0</v>
      </c>
      <c r="N641" s="26" t="n">
        <v>0</v>
      </c>
      <c r="O641" s="26" t="n">
        <v>0</v>
      </c>
      <c r="P641" s="26" t="n">
        <v>-3</v>
      </c>
      <c r="Q641" s="26" t="n">
        <v>412</v>
      </c>
      <c r="R641" s="26" t="n">
        <v>70</v>
      </c>
      <c r="S641" s="26" t="n">
        <v>0</v>
      </c>
      <c r="T641" s="26" t="n">
        <v>0</v>
      </c>
      <c r="U641" s="26" t="n">
        <v>-1</v>
      </c>
    </row>
    <row r="642" customFormat="false" ht="15" hidden="false" customHeight="true" outlineLevel="0" collapsed="false">
      <c r="A642" s="8" t="s">
        <v>944</v>
      </c>
      <c r="B642" s="8" t="s">
        <v>108</v>
      </c>
      <c r="C642" s="8" t="s">
        <v>458</v>
      </c>
      <c r="D642" s="26" t="n">
        <v>0</v>
      </c>
      <c r="E642" s="26" t="n">
        <v>0</v>
      </c>
      <c r="F642" s="26" t="n">
        <v>43</v>
      </c>
      <c r="G642" s="26" t="n">
        <v>0</v>
      </c>
      <c r="H642" s="26" t="n">
        <v>0</v>
      </c>
      <c r="I642" s="26" t="n">
        <v>360</v>
      </c>
      <c r="J642" s="26" t="n">
        <v>0</v>
      </c>
      <c r="K642" s="26" t="n">
        <v>0</v>
      </c>
      <c r="L642" s="26" t="n">
        <v>0</v>
      </c>
      <c r="M642" s="26" t="n">
        <v>0</v>
      </c>
      <c r="N642" s="26" t="n">
        <v>0</v>
      </c>
      <c r="O642" s="26" t="n">
        <v>0</v>
      </c>
      <c r="P642" s="26" t="n">
        <v>-7</v>
      </c>
      <c r="Q642" s="26" t="n">
        <v>313</v>
      </c>
      <c r="R642" s="26" t="n">
        <v>54</v>
      </c>
      <c r="S642" s="26" t="n">
        <v>0</v>
      </c>
      <c r="T642" s="26" t="n">
        <v>0</v>
      </c>
      <c r="U642" s="26" t="n">
        <v>0</v>
      </c>
    </row>
    <row r="643" customFormat="false" ht="15" hidden="false" customHeight="true" outlineLevel="0" collapsed="false">
      <c r="A643" s="8" t="s">
        <v>944</v>
      </c>
      <c r="B643" s="8" t="s">
        <v>108</v>
      </c>
      <c r="C643" s="8" t="s">
        <v>459</v>
      </c>
      <c r="D643" s="26" t="n">
        <v>0</v>
      </c>
      <c r="E643" s="26" t="n">
        <v>0</v>
      </c>
      <c r="F643" s="26" t="n">
        <v>47</v>
      </c>
      <c r="G643" s="26" t="n">
        <v>0</v>
      </c>
      <c r="H643" s="26" t="n">
        <v>0</v>
      </c>
      <c r="I643" s="26" t="n">
        <v>465</v>
      </c>
      <c r="J643" s="26" t="n">
        <v>0</v>
      </c>
      <c r="K643" s="26" t="n">
        <v>0</v>
      </c>
      <c r="L643" s="26" t="n">
        <v>0</v>
      </c>
      <c r="M643" s="26" t="n">
        <v>0</v>
      </c>
      <c r="N643" s="26" t="n">
        <v>0</v>
      </c>
      <c r="O643" s="26" t="n">
        <v>0</v>
      </c>
      <c r="P643" s="26" t="n">
        <v>-10</v>
      </c>
      <c r="Q643" s="26" t="n">
        <v>399</v>
      </c>
      <c r="R643" s="26" t="n">
        <v>76</v>
      </c>
      <c r="S643" s="26" t="n">
        <v>0</v>
      </c>
      <c r="T643" s="26" t="n">
        <v>0</v>
      </c>
      <c r="U643" s="26" t="n">
        <v>-2</v>
      </c>
    </row>
    <row r="644" customFormat="false" ht="15" hidden="false" customHeight="true" outlineLevel="0" collapsed="false">
      <c r="A644" s="8" t="s">
        <v>944</v>
      </c>
      <c r="B644" s="8" t="s">
        <v>108</v>
      </c>
      <c r="C644" s="8" t="s">
        <v>460</v>
      </c>
      <c r="D644" s="26" t="n">
        <v>0</v>
      </c>
      <c r="E644" s="26" t="n">
        <v>0</v>
      </c>
      <c r="F644" s="26" t="n">
        <v>30</v>
      </c>
      <c r="G644" s="26" t="n">
        <v>0</v>
      </c>
      <c r="H644" s="26" t="n">
        <v>0</v>
      </c>
      <c r="I644" s="26" t="n">
        <v>126</v>
      </c>
      <c r="J644" s="26" t="n">
        <v>0</v>
      </c>
      <c r="K644" s="26" t="n">
        <v>0</v>
      </c>
      <c r="L644" s="26" t="n">
        <v>0</v>
      </c>
      <c r="M644" s="26" t="n">
        <v>0</v>
      </c>
      <c r="N644" s="26" t="n">
        <v>0</v>
      </c>
      <c r="O644" s="26" t="n">
        <v>0</v>
      </c>
      <c r="P644" s="26" t="n">
        <v>-7</v>
      </c>
      <c r="Q644" s="26" t="n">
        <v>98</v>
      </c>
      <c r="R644" s="26" t="n">
        <v>35</v>
      </c>
      <c r="S644" s="26" t="n">
        <v>0</v>
      </c>
      <c r="T644" s="26" t="n">
        <v>0</v>
      </c>
      <c r="U644" s="26" t="n">
        <v>-1</v>
      </c>
    </row>
    <row r="645" customFormat="false" ht="15" hidden="false" customHeight="true" outlineLevel="0" collapsed="false">
      <c r="A645" s="8" t="s">
        <v>944</v>
      </c>
      <c r="B645" s="8" t="s">
        <v>386</v>
      </c>
      <c r="C645" s="8" t="s">
        <v>461</v>
      </c>
      <c r="D645" s="26" t="n">
        <v>0</v>
      </c>
      <c r="E645" s="26" t="n">
        <v>0</v>
      </c>
      <c r="F645" s="26" t="n">
        <v>0</v>
      </c>
      <c r="G645" s="26" t="n">
        <v>0</v>
      </c>
      <c r="H645" s="26" t="n">
        <v>0</v>
      </c>
      <c r="I645" s="26" t="n">
        <v>-1</v>
      </c>
      <c r="J645" s="26" t="n">
        <v>0</v>
      </c>
      <c r="K645" s="26" t="n">
        <v>0</v>
      </c>
      <c r="L645" s="26" t="n">
        <v>0</v>
      </c>
      <c r="M645" s="26" t="n">
        <v>0</v>
      </c>
      <c r="N645" s="26" t="n">
        <v>0</v>
      </c>
      <c r="O645" s="26" t="n">
        <v>0</v>
      </c>
      <c r="P645" s="26" t="n">
        <v>0</v>
      </c>
      <c r="Q645" s="26" t="n">
        <v>-1</v>
      </c>
      <c r="R645" s="26" t="n">
        <v>0</v>
      </c>
      <c r="S645" s="26" t="n">
        <v>0</v>
      </c>
      <c r="T645" s="26" t="n">
        <v>0</v>
      </c>
      <c r="U645" s="26" t="n">
        <v>0</v>
      </c>
    </row>
    <row r="646" customFormat="false" ht="15" hidden="false" customHeight="true" outlineLevel="0" collapsed="false">
      <c r="A646" s="8" t="s">
        <v>944</v>
      </c>
      <c r="B646" s="8" t="s">
        <v>233</v>
      </c>
      <c r="C646" s="8" t="s">
        <v>462</v>
      </c>
      <c r="D646" s="26" t="n">
        <v>0</v>
      </c>
      <c r="E646" s="26" t="n">
        <v>0</v>
      </c>
      <c r="F646" s="26" t="n">
        <v>-1</v>
      </c>
      <c r="G646" s="26" t="n">
        <v>0</v>
      </c>
      <c r="H646" s="26" t="n">
        <v>0</v>
      </c>
      <c r="I646" s="26" t="n">
        <v>0</v>
      </c>
      <c r="J646" s="26" t="n">
        <v>0</v>
      </c>
      <c r="K646" s="26" t="n">
        <v>0</v>
      </c>
      <c r="L646" s="26" t="n">
        <v>0</v>
      </c>
      <c r="M646" s="26" t="n">
        <v>0</v>
      </c>
      <c r="N646" s="26" t="n">
        <v>0</v>
      </c>
      <c r="O646" s="26" t="n">
        <v>0</v>
      </c>
      <c r="P646" s="26" t="n">
        <v>0</v>
      </c>
      <c r="Q646" s="26" t="n">
        <v>0</v>
      </c>
      <c r="R646" s="26" t="n">
        <v>0</v>
      </c>
      <c r="S646" s="26" t="n">
        <v>0</v>
      </c>
      <c r="T646" s="26" t="n">
        <v>0</v>
      </c>
      <c r="U646" s="26" t="n">
        <v>0</v>
      </c>
    </row>
    <row r="647" customFormat="false" ht="15" hidden="false" customHeight="true" outlineLevel="0" collapsed="false">
      <c r="A647" s="8" t="s">
        <v>944</v>
      </c>
      <c r="B647" s="8" t="s">
        <v>233</v>
      </c>
      <c r="C647" s="8" t="s">
        <v>463</v>
      </c>
      <c r="D647" s="26" t="n">
        <v>0</v>
      </c>
      <c r="E647" s="26" t="n">
        <v>0</v>
      </c>
      <c r="F647" s="26" t="n">
        <v>0</v>
      </c>
      <c r="G647" s="26" t="n">
        <v>0</v>
      </c>
      <c r="H647" s="26" t="n">
        <v>0</v>
      </c>
      <c r="I647" s="26" t="n">
        <v>2</v>
      </c>
      <c r="J647" s="26" t="n">
        <v>0</v>
      </c>
      <c r="K647" s="26" t="n">
        <v>1</v>
      </c>
      <c r="L647" s="26" t="n">
        <v>0</v>
      </c>
      <c r="M647" s="26" t="n">
        <v>0</v>
      </c>
      <c r="N647" s="26" t="n">
        <v>0</v>
      </c>
      <c r="O647" s="26" t="n">
        <v>0</v>
      </c>
      <c r="P647" s="26" t="n">
        <v>0</v>
      </c>
      <c r="Q647" s="26" t="n">
        <v>0</v>
      </c>
      <c r="R647" s="26" t="n">
        <v>1</v>
      </c>
      <c r="S647" s="26" t="n">
        <v>0</v>
      </c>
      <c r="T647" s="26" t="n">
        <v>0</v>
      </c>
      <c r="U647" s="26" t="n">
        <v>0</v>
      </c>
    </row>
    <row r="648" customFormat="false" ht="15" hidden="false" customHeight="true" outlineLevel="0" collapsed="false">
      <c r="A648" s="8" t="s">
        <v>944</v>
      </c>
      <c r="B648" s="8" t="s">
        <v>104</v>
      </c>
      <c r="C648" s="8" t="s">
        <v>464</v>
      </c>
      <c r="D648" s="26" t="n">
        <v>0</v>
      </c>
      <c r="E648" s="26" t="n">
        <v>0</v>
      </c>
      <c r="F648" s="26" t="n">
        <v>167</v>
      </c>
      <c r="G648" s="26" t="n">
        <v>0</v>
      </c>
      <c r="H648" s="26" t="n">
        <v>0</v>
      </c>
      <c r="I648" s="26" t="n">
        <v>289</v>
      </c>
      <c r="J648" s="26" t="n">
        <v>0</v>
      </c>
      <c r="K648" s="26" t="n">
        <v>4</v>
      </c>
      <c r="L648" s="26" t="n">
        <v>0</v>
      </c>
      <c r="M648" s="26" t="n">
        <v>0</v>
      </c>
      <c r="N648" s="26" t="n">
        <v>2</v>
      </c>
      <c r="O648" s="26" t="n">
        <v>1</v>
      </c>
      <c r="P648" s="26" t="n">
        <v>-7</v>
      </c>
      <c r="Q648" s="26" t="n">
        <v>189</v>
      </c>
      <c r="R648" s="26" t="n">
        <v>100</v>
      </c>
      <c r="S648" s="26" t="n">
        <v>0</v>
      </c>
      <c r="T648" s="26" t="n">
        <v>0</v>
      </c>
      <c r="U648" s="26" t="n">
        <v>0</v>
      </c>
    </row>
    <row r="649" customFormat="false" ht="15" hidden="false" customHeight="true" outlineLevel="0" collapsed="false">
      <c r="A649" s="8" t="s">
        <v>944</v>
      </c>
      <c r="B649" s="8" t="s">
        <v>104</v>
      </c>
      <c r="C649" s="8" t="s">
        <v>465</v>
      </c>
      <c r="D649" s="26" t="n">
        <v>0</v>
      </c>
      <c r="E649" s="26" t="n">
        <v>0</v>
      </c>
      <c r="F649" s="26" t="n">
        <v>194</v>
      </c>
      <c r="G649" s="26" t="n">
        <v>0</v>
      </c>
      <c r="H649" s="26" t="n">
        <v>0</v>
      </c>
      <c r="I649" s="26" t="n">
        <v>389</v>
      </c>
      <c r="J649" s="26" t="n">
        <v>0</v>
      </c>
      <c r="K649" s="26" t="n">
        <v>6</v>
      </c>
      <c r="L649" s="26" t="n">
        <v>0</v>
      </c>
      <c r="M649" s="26" t="n">
        <v>0</v>
      </c>
      <c r="N649" s="26" t="n">
        <v>0</v>
      </c>
      <c r="O649" s="26" t="n">
        <v>2</v>
      </c>
      <c r="P649" s="26" t="n">
        <v>-6</v>
      </c>
      <c r="Q649" s="26" t="n">
        <v>282</v>
      </c>
      <c r="R649" s="26" t="n">
        <v>105</v>
      </c>
      <c r="S649" s="26" t="n">
        <v>0</v>
      </c>
      <c r="T649" s="26" t="n">
        <v>0</v>
      </c>
      <c r="U649" s="26" t="n">
        <v>0</v>
      </c>
    </row>
    <row r="650" customFormat="false" ht="15" hidden="false" customHeight="true" outlineLevel="0" collapsed="false">
      <c r="A650" s="8" t="s">
        <v>944</v>
      </c>
      <c r="B650" s="8" t="s">
        <v>104</v>
      </c>
      <c r="C650" s="8" t="s">
        <v>466</v>
      </c>
      <c r="D650" s="26" t="n">
        <v>0</v>
      </c>
      <c r="E650" s="26" t="n">
        <v>0</v>
      </c>
      <c r="F650" s="26" t="n">
        <v>125</v>
      </c>
      <c r="G650" s="26" t="n">
        <v>0</v>
      </c>
      <c r="H650" s="26" t="n">
        <v>0</v>
      </c>
      <c r="I650" s="26" t="n">
        <v>285</v>
      </c>
      <c r="J650" s="26" t="n">
        <v>0</v>
      </c>
      <c r="K650" s="26" t="n">
        <v>9</v>
      </c>
      <c r="L650" s="26" t="n">
        <v>0</v>
      </c>
      <c r="M650" s="26" t="n">
        <v>1</v>
      </c>
      <c r="N650" s="26" t="n">
        <v>3</v>
      </c>
      <c r="O650" s="26" t="n">
        <v>2</v>
      </c>
      <c r="P650" s="26" t="n">
        <v>-12</v>
      </c>
      <c r="Q650" s="26" t="n">
        <v>183</v>
      </c>
      <c r="R650" s="26" t="n">
        <v>99</v>
      </c>
      <c r="S650" s="26" t="n">
        <v>0</v>
      </c>
      <c r="T650" s="26" t="n">
        <v>0</v>
      </c>
      <c r="U650" s="26" t="n">
        <v>0</v>
      </c>
    </row>
    <row r="651" customFormat="false" ht="15" hidden="false" customHeight="true" outlineLevel="0" collapsed="false">
      <c r="A651" s="8" t="s">
        <v>944</v>
      </c>
      <c r="B651" s="8" t="s">
        <v>104</v>
      </c>
      <c r="C651" s="8" t="s">
        <v>467</v>
      </c>
      <c r="D651" s="26" t="n">
        <v>0</v>
      </c>
      <c r="E651" s="26" t="n">
        <v>0</v>
      </c>
      <c r="F651" s="26" t="n">
        <v>77</v>
      </c>
      <c r="G651" s="26" t="n">
        <v>0</v>
      </c>
      <c r="H651" s="26" t="n">
        <v>0</v>
      </c>
      <c r="I651" s="26" t="n">
        <v>128</v>
      </c>
      <c r="J651" s="26" t="n">
        <v>0</v>
      </c>
      <c r="K651" s="26" t="n">
        <v>4</v>
      </c>
      <c r="L651" s="26" t="n">
        <v>0</v>
      </c>
      <c r="M651" s="26" t="n">
        <v>1</v>
      </c>
      <c r="N651" s="26" t="n">
        <v>2</v>
      </c>
      <c r="O651" s="26" t="n">
        <v>1</v>
      </c>
      <c r="P651" s="26" t="n">
        <v>-5</v>
      </c>
      <c r="Q651" s="26" t="n">
        <v>84</v>
      </c>
      <c r="R651" s="26" t="n">
        <v>41</v>
      </c>
      <c r="S651" s="26" t="n">
        <v>0</v>
      </c>
      <c r="T651" s="26" t="n">
        <v>0</v>
      </c>
      <c r="U651" s="26" t="n">
        <v>0</v>
      </c>
    </row>
    <row r="652" customFormat="false" ht="15" hidden="false" customHeight="true" outlineLevel="0" collapsed="false">
      <c r="A652" s="8" t="s">
        <v>944</v>
      </c>
      <c r="B652" s="8" t="s">
        <v>104</v>
      </c>
      <c r="C652" s="8" t="s">
        <v>468</v>
      </c>
      <c r="D652" s="26" t="n">
        <v>0</v>
      </c>
      <c r="E652" s="26" t="n">
        <v>0</v>
      </c>
      <c r="F652" s="26" t="n">
        <v>4</v>
      </c>
      <c r="G652" s="26" t="n">
        <v>0</v>
      </c>
      <c r="H652" s="26" t="n">
        <v>0</v>
      </c>
      <c r="I652" s="26" t="n">
        <v>1</v>
      </c>
      <c r="J652" s="26" t="n">
        <v>0</v>
      </c>
      <c r="K652" s="26" t="n">
        <v>0</v>
      </c>
      <c r="L652" s="26" t="n">
        <v>0</v>
      </c>
      <c r="M652" s="26" t="n">
        <v>0</v>
      </c>
      <c r="N652" s="26" t="n">
        <v>0</v>
      </c>
      <c r="O652" s="26" t="n">
        <v>0</v>
      </c>
      <c r="P652" s="26" t="n">
        <v>0</v>
      </c>
      <c r="Q652" s="26" t="n">
        <v>1</v>
      </c>
      <c r="R652" s="26" t="n">
        <v>0</v>
      </c>
      <c r="S652" s="26" t="n">
        <v>0</v>
      </c>
      <c r="T652" s="26" t="n">
        <v>0</v>
      </c>
      <c r="U652" s="26" t="n">
        <v>0</v>
      </c>
    </row>
    <row r="653" customFormat="false" ht="15" hidden="false" customHeight="true" outlineLevel="0" collapsed="false">
      <c r="A653" s="8" t="s">
        <v>944</v>
      </c>
      <c r="B653" s="8" t="s">
        <v>78</v>
      </c>
      <c r="C653" s="8" t="s">
        <v>469</v>
      </c>
      <c r="D653" s="26" t="n">
        <v>0</v>
      </c>
      <c r="E653" s="26" t="n">
        <v>0</v>
      </c>
      <c r="F653" s="26" t="n">
        <v>342</v>
      </c>
      <c r="G653" s="26" t="n">
        <v>0</v>
      </c>
      <c r="H653" s="26" t="n">
        <v>0</v>
      </c>
      <c r="I653" s="26" t="n">
        <v>2443</v>
      </c>
      <c r="J653" s="26" t="n">
        <v>0</v>
      </c>
      <c r="K653" s="26" t="n">
        <v>10</v>
      </c>
      <c r="L653" s="26" t="n">
        <v>0</v>
      </c>
      <c r="M653" s="26" t="n">
        <v>0</v>
      </c>
      <c r="N653" s="26" t="n">
        <v>4</v>
      </c>
      <c r="O653" s="26" t="n">
        <v>3</v>
      </c>
      <c r="P653" s="26" t="n">
        <v>-8</v>
      </c>
      <c r="Q653" s="26" t="n">
        <v>2255</v>
      </c>
      <c r="R653" s="26" t="n">
        <v>179</v>
      </c>
      <c r="S653" s="26" t="n">
        <v>0</v>
      </c>
      <c r="T653" s="26" t="n">
        <v>0</v>
      </c>
      <c r="U653" s="26" t="n">
        <v>0</v>
      </c>
    </row>
    <row r="654" customFormat="false" ht="15" hidden="false" customHeight="true" outlineLevel="0" collapsed="false">
      <c r="A654" s="8" t="s">
        <v>944</v>
      </c>
      <c r="B654" s="8" t="s">
        <v>78</v>
      </c>
      <c r="C654" s="8" t="s">
        <v>470</v>
      </c>
      <c r="D654" s="26" t="n">
        <v>0</v>
      </c>
      <c r="E654" s="26" t="n">
        <v>0</v>
      </c>
      <c r="F654" s="26" t="n">
        <v>611</v>
      </c>
      <c r="G654" s="26" t="n">
        <v>0</v>
      </c>
      <c r="H654" s="26" t="n">
        <v>0</v>
      </c>
      <c r="I654" s="26" t="n">
        <v>2373</v>
      </c>
      <c r="J654" s="26" t="n">
        <v>0</v>
      </c>
      <c r="K654" s="26" t="n">
        <v>13</v>
      </c>
      <c r="L654" s="26" t="n">
        <v>0</v>
      </c>
      <c r="M654" s="26" t="n">
        <v>0</v>
      </c>
      <c r="N654" s="26" t="n">
        <v>2</v>
      </c>
      <c r="O654" s="26" t="n">
        <v>3</v>
      </c>
      <c r="P654" s="26" t="n">
        <v>-5</v>
      </c>
      <c r="Q654" s="26" t="n">
        <v>2160</v>
      </c>
      <c r="R654" s="26" t="n">
        <v>200</v>
      </c>
      <c r="S654" s="26" t="n">
        <v>0</v>
      </c>
      <c r="T654" s="26" t="n">
        <v>0</v>
      </c>
      <c r="U654" s="26" t="n">
        <v>0</v>
      </c>
    </row>
    <row r="655" customFormat="false" ht="15" hidden="false" customHeight="true" outlineLevel="0" collapsed="false">
      <c r="A655" s="8" t="s">
        <v>944</v>
      </c>
      <c r="B655" s="8" t="s">
        <v>78</v>
      </c>
      <c r="C655" s="8" t="s">
        <v>471</v>
      </c>
      <c r="D655" s="26" t="n">
        <v>0</v>
      </c>
      <c r="E655" s="26" t="n">
        <v>0</v>
      </c>
      <c r="F655" s="26" t="n">
        <v>663</v>
      </c>
      <c r="G655" s="26" t="n">
        <v>0</v>
      </c>
      <c r="H655" s="26" t="n">
        <v>0</v>
      </c>
      <c r="I655" s="26" t="n">
        <v>3344</v>
      </c>
      <c r="J655" s="26" t="n">
        <v>0</v>
      </c>
      <c r="K655" s="26" t="n">
        <v>21</v>
      </c>
      <c r="L655" s="26" t="n">
        <v>0</v>
      </c>
      <c r="M655" s="26" t="n">
        <v>0</v>
      </c>
      <c r="N655" s="26" t="n">
        <v>2</v>
      </c>
      <c r="O655" s="26" t="n">
        <v>3</v>
      </c>
      <c r="P655" s="26" t="n">
        <v>-7</v>
      </c>
      <c r="Q655" s="26" t="n">
        <v>3042</v>
      </c>
      <c r="R655" s="26" t="n">
        <v>283</v>
      </c>
      <c r="S655" s="26" t="n">
        <v>0</v>
      </c>
      <c r="T655" s="26" t="n">
        <v>0</v>
      </c>
      <c r="U655" s="26" t="n">
        <v>0</v>
      </c>
    </row>
    <row r="656" customFormat="false" ht="15" hidden="false" customHeight="true" outlineLevel="0" collapsed="false">
      <c r="A656" s="8" t="s">
        <v>944</v>
      </c>
      <c r="B656" s="8" t="s">
        <v>78</v>
      </c>
      <c r="C656" s="8" t="s">
        <v>472</v>
      </c>
      <c r="D656" s="26" t="n">
        <v>0</v>
      </c>
      <c r="E656" s="26" t="n">
        <v>0</v>
      </c>
      <c r="F656" s="26" t="n">
        <v>245</v>
      </c>
      <c r="G656" s="26" t="n">
        <v>0</v>
      </c>
      <c r="H656" s="26" t="n">
        <v>0</v>
      </c>
      <c r="I656" s="26" t="n">
        <v>863</v>
      </c>
      <c r="J656" s="26" t="n">
        <v>0</v>
      </c>
      <c r="K656" s="26" t="n">
        <v>7</v>
      </c>
      <c r="L656" s="26" t="n">
        <v>0</v>
      </c>
      <c r="M656" s="26" t="n">
        <v>0</v>
      </c>
      <c r="N656" s="26" t="n">
        <v>0</v>
      </c>
      <c r="O656" s="26" t="n">
        <v>1</v>
      </c>
      <c r="P656" s="26" t="n">
        <v>-8</v>
      </c>
      <c r="Q656" s="26" t="n">
        <v>801</v>
      </c>
      <c r="R656" s="26" t="n">
        <v>62</v>
      </c>
      <c r="S656" s="26" t="n">
        <v>0</v>
      </c>
      <c r="T656" s="26" t="n">
        <v>0</v>
      </c>
      <c r="U656" s="26" t="n">
        <v>0</v>
      </c>
    </row>
    <row r="657" customFormat="false" ht="15" hidden="false" customHeight="true" outlineLevel="0" collapsed="false">
      <c r="A657" s="8" t="s">
        <v>944</v>
      </c>
      <c r="B657" s="8" t="s">
        <v>280</v>
      </c>
      <c r="C657" s="8" t="s">
        <v>473</v>
      </c>
      <c r="D657" s="26" t="n">
        <v>0</v>
      </c>
      <c r="E657" s="26" t="n">
        <v>0</v>
      </c>
      <c r="F657" s="26" t="n">
        <v>2</v>
      </c>
      <c r="G657" s="26" t="n">
        <v>0</v>
      </c>
      <c r="H657" s="26" t="n">
        <v>0</v>
      </c>
      <c r="I657" s="26" t="n">
        <v>-9</v>
      </c>
      <c r="J657" s="26" t="n">
        <v>0</v>
      </c>
      <c r="K657" s="26" t="n">
        <v>0</v>
      </c>
      <c r="L657" s="26" t="n">
        <v>0</v>
      </c>
      <c r="M657" s="26" t="n">
        <v>0</v>
      </c>
      <c r="N657" s="26" t="n">
        <v>0</v>
      </c>
      <c r="O657" s="26" t="n">
        <v>0</v>
      </c>
      <c r="P657" s="26" t="n">
        <v>-4</v>
      </c>
      <c r="Q657" s="26" t="n">
        <v>-5</v>
      </c>
      <c r="R657" s="26" t="n">
        <v>0</v>
      </c>
      <c r="S657" s="26" t="n">
        <v>0</v>
      </c>
      <c r="T657" s="26" t="n">
        <v>0</v>
      </c>
      <c r="U657" s="26" t="n">
        <v>0</v>
      </c>
    </row>
    <row r="658" customFormat="false" ht="15" hidden="false" customHeight="true" outlineLevel="0" collapsed="false">
      <c r="A658" s="8" t="s">
        <v>944</v>
      </c>
      <c r="B658" s="8" t="s">
        <v>280</v>
      </c>
      <c r="C658" s="8" t="s">
        <v>474</v>
      </c>
      <c r="D658" s="26" t="n">
        <v>0</v>
      </c>
      <c r="E658" s="26" t="n">
        <v>0</v>
      </c>
      <c r="F658" s="26" t="n">
        <v>-1</v>
      </c>
      <c r="G658" s="26" t="n">
        <v>0</v>
      </c>
      <c r="H658" s="26" t="n">
        <v>0</v>
      </c>
      <c r="I658" s="26" t="n">
        <v>1</v>
      </c>
      <c r="J658" s="26" t="n">
        <v>0</v>
      </c>
      <c r="K658" s="26" t="n">
        <v>0</v>
      </c>
      <c r="L658" s="26" t="n">
        <v>0</v>
      </c>
      <c r="M658" s="26" t="n">
        <v>0</v>
      </c>
      <c r="N658" s="26" t="n">
        <v>0</v>
      </c>
      <c r="O658" s="26" t="n">
        <v>0</v>
      </c>
      <c r="P658" s="26" t="n">
        <v>0</v>
      </c>
      <c r="Q658" s="26" t="n">
        <v>-1</v>
      </c>
      <c r="R658" s="26" t="n">
        <v>2</v>
      </c>
      <c r="S658" s="26" t="n">
        <v>0</v>
      </c>
      <c r="T658" s="26" t="n">
        <v>0</v>
      </c>
      <c r="U658" s="26" t="n">
        <v>0</v>
      </c>
    </row>
    <row r="659" customFormat="false" ht="15" hidden="false" customHeight="true" outlineLevel="0" collapsed="false">
      <c r="A659" s="8" t="s">
        <v>944</v>
      </c>
      <c r="B659" s="8" t="s">
        <v>280</v>
      </c>
      <c r="C659" s="8" t="s">
        <v>475</v>
      </c>
      <c r="D659" s="26" t="n">
        <v>0</v>
      </c>
      <c r="E659" s="26" t="n">
        <v>0</v>
      </c>
      <c r="F659" s="26" t="n">
        <v>0</v>
      </c>
      <c r="G659" s="26" t="n">
        <v>0</v>
      </c>
      <c r="H659" s="26" t="n">
        <v>0</v>
      </c>
      <c r="I659" s="26" t="n">
        <v>-2</v>
      </c>
      <c r="J659" s="26" t="n">
        <v>0</v>
      </c>
      <c r="K659" s="26" t="n">
        <v>0</v>
      </c>
      <c r="L659" s="26" t="n">
        <v>0</v>
      </c>
      <c r="M659" s="26" t="n">
        <v>0</v>
      </c>
      <c r="N659" s="26" t="n">
        <v>0</v>
      </c>
      <c r="O659" s="26" t="n">
        <v>0</v>
      </c>
      <c r="P659" s="26" t="n">
        <v>-3</v>
      </c>
      <c r="Q659" s="26" t="n">
        <v>0</v>
      </c>
      <c r="R659" s="26" t="n">
        <v>1</v>
      </c>
      <c r="S659" s="26" t="n">
        <v>0</v>
      </c>
      <c r="T659" s="26" t="n">
        <v>0</v>
      </c>
      <c r="U659" s="26" t="n">
        <v>0</v>
      </c>
    </row>
    <row r="660" customFormat="false" ht="15" hidden="false" customHeight="true" outlineLevel="0" collapsed="false">
      <c r="A660" s="8" t="s">
        <v>944</v>
      </c>
      <c r="B660" s="8" t="s">
        <v>280</v>
      </c>
      <c r="C660" s="8" t="s">
        <v>476</v>
      </c>
      <c r="D660" s="26" t="n">
        <v>0</v>
      </c>
      <c r="E660" s="26" t="n">
        <v>0</v>
      </c>
      <c r="F660" s="26" t="n">
        <v>2</v>
      </c>
      <c r="G660" s="26" t="n">
        <v>0</v>
      </c>
      <c r="H660" s="26" t="n">
        <v>0</v>
      </c>
      <c r="I660" s="26" t="n">
        <v>-4</v>
      </c>
      <c r="J660" s="26" t="n">
        <v>0</v>
      </c>
      <c r="K660" s="26" t="n">
        <v>0</v>
      </c>
      <c r="L660" s="26" t="n">
        <v>0</v>
      </c>
      <c r="M660" s="26" t="n">
        <v>0</v>
      </c>
      <c r="N660" s="26" t="n">
        <v>0</v>
      </c>
      <c r="O660" s="26" t="n">
        <v>0</v>
      </c>
      <c r="P660" s="26" t="n">
        <v>-1</v>
      </c>
      <c r="Q660" s="26" t="n">
        <v>-5</v>
      </c>
      <c r="R660" s="26" t="n">
        <v>2</v>
      </c>
      <c r="S660" s="26" t="n">
        <v>0</v>
      </c>
      <c r="T660" s="26" t="n">
        <v>0</v>
      </c>
      <c r="U660" s="26" t="n">
        <v>0</v>
      </c>
    </row>
    <row r="661" customFormat="false" ht="15" hidden="false" customHeight="true" outlineLevel="0" collapsed="false">
      <c r="A661" s="8" t="s">
        <v>944</v>
      </c>
      <c r="B661" s="8" t="s">
        <v>305</v>
      </c>
      <c r="C661" s="8" t="s">
        <v>477</v>
      </c>
      <c r="D661" s="26" t="n">
        <v>0</v>
      </c>
      <c r="E661" s="26" t="n">
        <v>0</v>
      </c>
      <c r="F661" s="26" t="n">
        <v>0</v>
      </c>
      <c r="G661" s="26" t="n">
        <v>0</v>
      </c>
      <c r="H661" s="26" t="n">
        <v>0</v>
      </c>
      <c r="I661" s="26" t="n">
        <v>-2</v>
      </c>
      <c r="J661" s="26" t="n">
        <v>0</v>
      </c>
      <c r="K661" s="26" t="n">
        <v>0</v>
      </c>
      <c r="L661" s="26" t="n">
        <v>0</v>
      </c>
      <c r="M661" s="26" t="n">
        <v>0</v>
      </c>
      <c r="N661" s="26" t="n">
        <v>0</v>
      </c>
      <c r="O661" s="26" t="n">
        <v>0</v>
      </c>
      <c r="P661" s="26" t="n">
        <v>0</v>
      </c>
      <c r="Q661" s="26" t="n">
        <v>-2</v>
      </c>
      <c r="R661" s="26" t="n">
        <v>0</v>
      </c>
      <c r="S661" s="26" t="n">
        <v>0</v>
      </c>
      <c r="T661" s="26" t="n">
        <v>0</v>
      </c>
      <c r="U661" s="26" t="n">
        <v>0</v>
      </c>
    </row>
    <row r="662" customFormat="false" ht="15" hidden="false" customHeight="true" outlineLevel="0" collapsed="false">
      <c r="A662" s="8" t="s">
        <v>944</v>
      </c>
      <c r="B662" s="8" t="s">
        <v>264</v>
      </c>
      <c r="C662" s="8" t="s">
        <v>478</v>
      </c>
      <c r="D662" s="26" t="n">
        <v>0</v>
      </c>
      <c r="E662" s="26" t="n">
        <v>0</v>
      </c>
      <c r="F662" s="26" t="n">
        <v>0</v>
      </c>
      <c r="G662" s="26" t="n">
        <v>0</v>
      </c>
      <c r="H662" s="26" t="n">
        <v>0</v>
      </c>
      <c r="I662" s="26" t="n">
        <v>4</v>
      </c>
      <c r="J662" s="26" t="n">
        <v>0</v>
      </c>
      <c r="K662" s="26" t="n">
        <v>0</v>
      </c>
      <c r="L662" s="26" t="n">
        <v>0</v>
      </c>
      <c r="M662" s="26" t="n">
        <v>0</v>
      </c>
      <c r="N662" s="26" t="n">
        <v>0</v>
      </c>
      <c r="O662" s="26" t="n">
        <v>0</v>
      </c>
      <c r="P662" s="26" t="n">
        <v>0</v>
      </c>
      <c r="Q662" s="26" t="n">
        <v>0</v>
      </c>
      <c r="R662" s="26" t="n">
        <v>4</v>
      </c>
      <c r="S662" s="26" t="n">
        <v>0</v>
      </c>
      <c r="T662" s="26" t="n">
        <v>0</v>
      </c>
      <c r="U662" s="26" t="n">
        <v>0</v>
      </c>
    </row>
    <row r="663" customFormat="false" ht="15" hidden="false" customHeight="true" outlineLevel="0" collapsed="false">
      <c r="A663" s="8" t="s">
        <v>944</v>
      </c>
      <c r="B663" s="8" t="s">
        <v>264</v>
      </c>
      <c r="C663" s="8" t="s">
        <v>479</v>
      </c>
      <c r="D663" s="26" t="n">
        <v>0</v>
      </c>
      <c r="E663" s="26" t="n">
        <v>0</v>
      </c>
      <c r="F663" s="26" t="n">
        <v>2</v>
      </c>
      <c r="G663" s="26" t="n">
        <v>0</v>
      </c>
      <c r="H663" s="26" t="n">
        <v>0</v>
      </c>
      <c r="I663" s="26" t="n">
        <v>0</v>
      </c>
      <c r="J663" s="26" t="n">
        <v>0</v>
      </c>
      <c r="K663" s="26" t="n">
        <v>0</v>
      </c>
      <c r="L663" s="26" t="n">
        <v>0</v>
      </c>
      <c r="M663" s="26" t="n">
        <v>0</v>
      </c>
      <c r="N663" s="26" t="n">
        <v>0</v>
      </c>
      <c r="O663" s="26" t="n">
        <v>0</v>
      </c>
      <c r="P663" s="26" t="n">
        <v>0</v>
      </c>
      <c r="Q663" s="26" t="n">
        <v>0</v>
      </c>
      <c r="R663" s="26" t="n">
        <v>0</v>
      </c>
      <c r="S663" s="26" t="n">
        <v>0</v>
      </c>
      <c r="T663" s="26" t="n">
        <v>0</v>
      </c>
      <c r="U663" s="26" t="n">
        <v>0</v>
      </c>
    </row>
    <row r="664" customFormat="false" ht="15" hidden="false" customHeight="true" outlineLevel="0" collapsed="false">
      <c r="A664" s="8" t="s">
        <v>944</v>
      </c>
      <c r="B664" s="8" t="s">
        <v>264</v>
      </c>
      <c r="C664" s="8" t="s">
        <v>480</v>
      </c>
      <c r="D664" s="26" t="n">
        <v>0</v>
      </c>
      <c r="E664" s="26" t="n">
        <v>0</v>
      </c>
      <c r="F664" s="26" t="n">
        <v>2</v>
      </c>
      <c r="G664" s="26" t="n">
        <v>0</v>
      </c>
      <c r="H664" s="26" t="n">
        <v>0</v>
      </c>
      <c r="I664" s="26" t="n">
        <v>0</v>
      </c>
      <c r="J664" s="26" t="n">
        <v>0</v>
      </c>
      <c r="K664" s="26" t="n">
        <v>0</v>
      </c>
      <c r="L664" s="26" t="n">
        <v>0</v>
      </c>
      <c r="M664" s="26" t="n">
        <v>0</v>
      </c>
      <c r="N664" s="26" t="n">
        <v>0</v>
      </c>
      <c r="O664" s="26" t="n">
        <v>0</v>
      </c>
      <c r="P664" s="26" t="n">
        <v>0</v>
      </c>
      <c r="Q664" s="26" t="n">
        <v>0</v>
      </c>
      <c r="R664" s="26" t="n">
        <v>0</v>
      </c>
      <c r="S664" s="26" t="n">
        <v>0</v>
      </c>
      <c r="T664" s="26" t="n">
        <v>0</v>
      </c>
      <c r="U664" s="26" t="n">
        <v>0</v>
      </c>
    </row>
    <row r="665" customFormat="false" ht="15" hidden="false" customHeight="true" outlineLevel="0" collapsed="false">
      <c r="A665" s="8" t="s">
        <v>944</v>
      </c>
      <c r="B665" s="8" t="s">
        <v>264</v>
      </c>
      <c r="C665" s="8" t="s">
        <v>481</v>
      </c>
      <c r="D665" s="26" t="n">
        <v>0</v>
      </c>
      <c r="E665" s="26" t="n">
        <v>0</v>
      </c>
      <c r="F665" s="26" t="n">
        <v>2</v>
      </c>
      <c r="G665" s="26" t="n">
        <v>0</v>
      </c>
      <c r="H665" s="26" t="n">
        <v>0</v>
      </c>
      <c r="I665" s="26" t="n">
        <v>2</v>
      </c>
      <c r="J665" s="26" t="n">
        <v>0</v>
      </c>
      <c r="K665" s="26" t="n">
        <v>0</v>
      </c>
      <c r="L665" s="26" t="n">
        <v>0</v>
      </c>
      <c r="M665" s="26" t="n">
        <v>0</v>
      </c>
      <c r="N665" s="26" t="n">
        <v>0</v>
      </c>
      <c r="O665" s="26" t="n">
        <v>0</v>
      </c>
      <c r="P665" s="26" t="n">
        <v>-1</v>
      </c>
      <c r="Q665" s="26" t="n">
        <v>0</v>
      </c>
      <c r="R665" s="26" t="n">
        <v>3</v>
      </c>
      <c r="S665" s="26" t="n">
        <v>0</v>
      </c>
      <c r="T665" s="26" t="n">
        <v>0</v>
      </c>
      <c r="U665" s="26" t="n">
        <v>0</v>
      </c>
    </row>
    <row r="666" customFormat="false" ht="15" hidden="false" customHeight="true" outlineLevel="0" collapsed="false">
      <c r="A666" s="8" t="s">
        <v>944</v>
      </c>
      <c r="B666" s="8" t="s">
        <v>302</v>
      </c>
      <c r="C666" s="8" t="s">
        <v>482</v>
      </c>
      <c r="D666" s="26" t="n">
        <v>0</v>
      </c>
      <c r="E666" s="26" t="n">
        <v>0</v>
      </c>
      <c r="F666" s="26" t="n">
        <v>4</v>
      </c>
      <c r="G666" s="26" t="n">
        <v>0</v>
      </c>
      <c r="H666" s="26" t="n">
        <v>0</v>
      </c>
      <c r="I666" s="26" t="n">
        <v>-1</v>
      </c>
      <c r="J666" s="26" t="n">
        <v>0</v>
      </c>
      <c r="K666" s="26" t="n">
        <v>0</v>
      </c>
      <c r="L666" s="26" t="n">
        <v>0</v>
      </c>
      <c r="M666" s="26" t="n">
        <v>0</v>
      </c>
      <c r="N666" s="26" t="n">
        <v>0</v>
      </c>
      <c r="O666" s="26" t="n">
        <v>0</v>
      </c>
      <c r="P666" s="26" t="n">
        <v>-1</v>
      </c>
      <c r="Q666" s="26" t="n">
        <v>0</v>
      </c>
      <c r="R666" s="26" t="n">
        <v>0</v>
      </c>
      <c r="S666" s="26" t="n">
        <v>0</v>
      </c>
      <c r="T666" s="26" t="n">
        <v>0</v>
      </c>
      <c r="U666" s="26" t="n">
        <v>0</v>
      </c>
    </row>
    <row r="667" customFormat="false" ht="15" hidden="false" customHeight="true" outlineLevel="0" collapsed="false">
      <c r="A667" s="8" t="s">
        <v>944</v>
      </c>
      <c r="B667" s="8" t="s">
        <v>302</v>
      </c>
      <c r="C667" s="8" t="s">
        <v>483</v>
      </c>
      <c r="D667" s="26" t="n">
        <v>0</v>
      </c>
      <c r="E667" s="26" t="n">
        <v>0</v>
      </c>
      <c r="F667" s="26" t="n">
        <v>2</v>
      </c>
      <c r="G667" s="26" t="n">
        <v>0</v>
      </c>
      <c r="H667" s="26" t="n">
        <v>0</v>
      </c>
      <c r="I667" s="26" t="n">
        <v>-1</v>
      </c>
      <c r="J667" s="26" t="n">
        <v>0</v>
      </c>
      <c r="K667" s="26" t="n">
        <v>0</v>
      </c>
      <c r="L667" s="26" t="n">
        <v>0</v>
      </c>
      <c r="M667" s="26" t="n">
        <v>0</v>
      </c>
      <c r="N667" s="26" t="n">
        <v>0</v>
      </c>
      <c r="O667" s="26" t="n">
        <v>0</v>
      </c>
      <c r="P667" s="26" t="n">
        <v>0</v>
      </c>
      <c r="Q667" s="26" t="n">
        <v>-1</v>
      </c>
      <c r="R667" s="26" t="n">
        <v>0</v>
      </c>
      <c r="S667" s="26" t="n">
        <v>0</v>
      </c>
      <c r="T667" s="26" t="n">
        <v>0</v>
      </c>
      <c r="U667" s="26" t="n">
        <v>0</v>
      </c>
    </row>
    <row r="668" customFormat="false" ht="15" hidden="false" customHeight="true" outlineLevel="0" collapsed="false">
      <c r="A668" s="8" t="s">
        <v>944</v>
      </c>
      <c r="B668" s="8" t="s">
        <v>192</v>
      </c>
      <c r="C668" s="8" t="s">
        <v>484</v>
      </c>
      <c r="D668" s="26" t="n">
        <v>0</v>
      </c>
      <c r="E668" s="26" t="n">
        <v>0</v>
      </c>
      <c r="F668" s="26" t="n">
        <v>3</v>
      </c>
      <c r="G668" s="26" t="n">
        <v>0</v>
      </c>
      <c r="H668" s="26" t="n">
        <v>0</v>
      </c>
      <c r="I668" s="26" t="n">
        <v>0</v>
      </c>
      <c r="J668" s="26" t="n">
        <v>0</v>
      </c>
      <c r="K668" s="26" t="n">
        <v>0</v>
      </c>
      <c r="L668" s="26" t="n">
        <v>0</v>
      </c>
      <c r="M668" s="26" t="n">
        <v>0</v>
      </c>
      <c r="N668" s="26" t="n">
        <v>0</v>
      </c>
      <c r="O668" s="26" t="n">
        <v>0</v>
      </c>
      <c r="P668" s="26" t="n">
        <v>0</v>
      </c>
      <c r="Q668" s="26" t="n">
        <v>0</v>
      </c>
      <c r="R668" s="26" t="n">
        <v>0</v>
      </c>
      <c r="S668" s="26" t="n">
        <v>0</v>
      </c>
      <c r="T668" s="26" t="n">
        <v>0</v>
      </c>
      <c r="U668" s="26" t="n">
        <v>0</v>
      </c>
    </row>
    <row r="669" customFormat="false" ht="15" hidden="false" customHeight="true" outlineLevel="0" collapsed="false">
      <c r="A669" s="8" t="s">
        <v>944</v>
      </c>
      <c r="B669" s="8" t="s">
        <v>192</v>
      </c>
      <c r="C669" s="8" t="s">
        <v>485</v>
      </c>
      <c r="D669" s="26" t="n">
        <v>0</v>
      </c>
      <c r="E669" s="26" t="n">
        <v>0</v>
      </c>
      <c r="F669" s="26" t="n">
        <v>6</v>
      </c>
      <c r="G669" s="26" t="n">
        <v>0</v>
      </c>
      <c r="H669" s="26" t="n">
        <v>0</v>
      </c>
      <c r="I669" s="26" t="n">
        <v>5</v>
      </c>
      <c r="J669" s="26" t="n">
        <v>0</v>
      </c>
      <c r="K669" s="26" t="n">
        <v>0</v>
      </c>
      <c r="L669" s="26" t="n">
        <v>0</v>
      </c>
      <c r="M669" s="26" t="n">
        <v>0</v>
      </c>
      <c r="N669" s="26" t="n">
        <v>0</v>
      </c>
      <c r="O669" s="26" t="n">
        <v>0</v>
      </c>
      <c r="P669" s="26" t="n">
        <v>0</v>
      </c>
      <c r="Q669" s="26" t="n">
        <v>1</v>
      </c>
      <c r="R669" s="26" t="n">
        <v>4</v>
      </c>
      <c r="S669" s="26" t="n">
        <v>0</v>
      </c>
      <c r="T669" s="26" t="n">
        <v>0</v>
      </c>
      <c r="U669" s="26" t="n">
        <v>0</v>
      </c>
    </row>
    <row r="670" customFormat="false" ht="15" hidden="false" customHeight="true" outlineLevel="0" collapsed="false">
      <c r="A670" s="8" t="s">
        <v>944</v>
      </c>
      <c r="B670" s="8" t="s">
        <v>192</v>
      </c>
      <c r="C670" s="8" t="s">
        <v>486</v>
      </c>
      <c r="D670" s="26" t="n">
        <v>0</v>
      </c>
      <c r="E670" s="26" t="n">
        <v>0</v>
      </c>
      <c r="F670" s="26" t="n">
        <v>7</v>
      </c>
      <c r="G670" s="26" t="n">
        <v>0</v>
      </c>
      <c r="H670" s="26" t="n">
        <v>0</v>
      </c>
      <c r="I670" s="26" t="n">
        <v>0</v>
      </c>
      <c r="J670" s="26" t="n">
        <v>0</v>
      </c>
      <c r="K670" s="26" t="n">
        <v>0</v>
      </c>
      <c r="L670" s="26" t="n">
        <v>0</v>
      </c>
      <c r="M670" s="26" t="n">
        <v>0</v>
      </c>
      <c r="N670" s="26" t="n">
        <v>0</v>
      </c>
      <c r="O670" s="26" t="n">
        <v>0</v>
      </c>
      <c r="P670" s="26" t="n">
        <v>0</v>
      </c>
      <c r="Q670" s="26" t="n">
        <v>-1</v>
      </c>
      <c r="R670" s="26" t="n">
        <v>1</v>
      </c>
      <c r="S670" s="26" t="n">
        <v>0</v>
      </c>
      <c r="T670" s="26" t="n">
        <v>0</v>
      </c>
      <c r="U670" s="26" t="n">
        <v>0</v>
      </c>
    </row>
    <row r="671" customFormat="false" ht="15" hidden="false" customHeight="true" outlineLevel="0" collapsed="false">
      <c r="A671" s="8" t="s">
        <v>944</v>
      </c>
      <c r="B671" s="8" t="s">
        <v>192</v>
      </c>
      <c r="C671" s="8" t="s">
        <v>487</v>
      </c>
      <c r="D671" s="26" t="n">
        <v>0</v>
      </c>
      <c r="E671" s="26" t="n">
        <v>0</v>
      </c>
      <c r="F671" s="26" t="n">
        <v>4</v>
      </c>
      <c r="G671" s="26" t="n">
        <v>0</v>
      </c>
      <c r="H671" s="26" t="n">
        <v>0</v>
      </c>
      <c r="I671" s="26" t="n">
        <v>-2</v>
      </c>
      <c r="J671" s="26" t="n">
        <v>0</v>
      </c>
      <c r="K671" s="26" t="n">
        <v>0</v>
      </c>
      <c r="L671" s="26" t="n">
        <v>0</v>
      </c>
      <c r="M671" s="26" t="n">
        <v>0</v>
      </c>
      <c r="N671" s="26" t="n">
        <v>0</v>
      </c>
      <c r="O671" s="26" t="n">
        <v>0</v>
      </c>
      <c r="P671" s="26" t="n">
        <v>0</v>
      </c>
      <c r="Q671" s="26" t="n">
        <v>-2</v>
      </c>
      <c r="R671" s="26" t="n">
        <v>0</v>
      </c>
      <c r="S671" s="26" t="n">
        <v>0</v>
      </c>
      <c r="T671" s="26" t="n">
        <v>0</v>
      </c>
      <c r="U671" s="26" t="n">
        <v>0</v>
      </c>
    </row>
    <row r="672" customFormat="false" ht="15" hidden="false" customHeight="true" outlineLevel="0" collapsed="false">
      <c r="A672" s="8" t="s">
        <v>944</v>
      </c>
      <c r="B672" s="8" t="s">
        <v>317</v>
      </c>
      <c r="C672" s="8" t="s">
        <v>488</v>
      </c>
      <c r="D672" s="26" t="n">
        <v>0</v>
      </c>
      <c r="E672" s="26" t="n">
        <v>0</v>
      </c>
      <c r="F672" s="26" t="n">
        <v>1</v>
      </c>
      <c r="G672" s="26" t="n">
        <v>0</v>
      </c>
      <c r="H672" s="26" t="n">
        <v>0</v>
      </c>
      <c r="I672" s="26" t="n">
        <v>0</v>
      </c>
      <c r="J672" s="26" t="n">
        <v>0</v>
      </c>
      <c r="K672" s="26" t="n">
        <v>0</v>
      </c>
      <c r="L672" s="26" t="n">
        <v>0</v>
      </c>
      <c r="M672" s="26" t="n">
        <v>0</v>
      </c>
      <c r="N672" s="26" t="n">
        <v>0</v>
      </c>
      <c r="O672" s="26" t="n">
        <v>0</v>
      </c>
      <c r="P672" s="26" t="n">
        <v>0</v>
      </c>
      <c r="Q672" s="26" t="n">
        <v>0</v>
      </c>
      <c r="R672" s="26" t="n">
        <v>0</v>
      </c>
      <c r="S672" s="26" t="n">
        <v>0</v>
      </c>
      <c r="T672" s="26" t="n">
        <v>0</v>
      </c>
      <c r="U672" s="26" t="n">
        <v>0</v>
      </c>
    </row>
    <row r="673" customFormat="false" ht="15" hidden="false" customHeight="true" outlineLevel="0" collapsed="false">
      <c r="A673" s="8" t="s">
        <v>944</v>
      </c>
      <c r="B673" s="8" t="s">
        <v>318</v>
      </c>
      <c r="C673" s="8" t="s">
        <v>489</v>
      </c>
      <c r="D673" s="26" t="n">
        <v>0</v>
      </c>
      <c r="E673" s="26" t="n">
        <v>0</v>
      </c>
      <c r="F673" s="26" t="n">
        <v>1</v>
      </c>
      <c r="G673" s="26" t="n">
        <v>0</v>
      </c>
      <c r="H673" s="26" t="n">
        <v>0</v>
      </c>
      <c r="I673" s="26" t="n">
        <v>-2</v>
      </c>
      <c r="J673" s="26" t="n">
        <v>0</v>
      </c>
      <c r="K673" s="26" t="n">
        <v>0</v>
      </c>
      <c r="L673" s="26" t="n">
        <v>0</v>
      </c>
      <c r="M673" s="26" t="n">
        <v>0</v>
      </c>
      <c r="N673" s="26" t="n">
        <v>0</v>
      </c>
      <c r="O673" s="26" t="n">
        <v>0</v>
      </c>
      <c r="P673" s="26" t="n">
        <v>0</v>
      </c>
      <c r="Q673" s="26" t="n">
        <v>-2</v>
      </c>
      <c r="R673" s="26" t="n">
        <v>0</v>
      </c>
      <c r="S673" s="26" t="n">
        <v>0</v>
      </c>
      <c r="T673" s="26" t="n">
        <v>0</v>
      </c>
      <c r="U673" s="26" t="n">
        <v>0</v>
      </c>
    </row>
    <row r="674" customFormat="false" ht="15" hidden="false" customHeight="true" outlineLevel="0" collapsed="false">
      <c r="A674" s="8" t="s">
        <v>944</v>
      </c>
      <c r="B674" s="8" t="s">
        <v>388</v>
      </c>
      <c r="C674" s="8" t="s">
        <v>488</v>
      </c>
      <c r="D674" s="26" t="n">
        <v>0</v>
      </c>
      <c r="E674" s="26" t="n">
        <v>0</v>
      </c>
      <c r="F674" s="26" t="n">
        <v>0</v>
      </c>
      <c r="G674" s="26" t="n">
        <v>0</v>
      </c>
      <c r="H674" s="26" t="n">
        <v>0</v>
      </c>
      <c r="I674" s="26" t="n">
        <v>-1</v>
      </c>
      <c r="J674" s="26" t="n">
        <v>0</v>
      </c>
      <c r="K674" s="26" t="n">
        <v>0</v>
      </c>
      <c r="L674" s="26" t="n">
        <v>0</v>
      </c>
      <c r="M674" s="26" t="n">
        <v>0</v>
      </c>
      <c r="N674" s="26" t="n">
        <v>0</v>
      </c>
      <c r="O674" s="26" t="n">
        <v>0</v>
      </c>
      <c r="P674" s="26" t="n">
        <v>0</v>
      </c>
      <c r="Q674" s="26" t="n">
        <v>-1</v>
      </c>
      <c r="R674" s="26" t="n">
        <v>0</v>
      </c>
      <c r="S674" s="26" t="n">
        <v>0</v>
      </c>
      <c r="T674" s="26" t="n">
        <v>0</v>
      </c>
      <c r="U674" s="26" t="n">
        <v>0</v>
      </c>
    </row>
    <row r="675" customFormat="false" ht="15" hidden="false" customHeight="true" outlineLevel="0" collapsed="false">
      <c r="A675" s="8" t="s">
        <v>944</v>
      </c>
      <c r="B675" s="8" t="s">
        <v>208</v>
      </c>
      <c r="C675" s="8" t="s">
        <v>490</v>
      </c>
      <c r="D675" s="26" t="n">
        <v>0</v>
      </c>
      <c r="E675" s="26" t="n">
        <v>0</v>
      </c>
      <c r="F675" s="26" t="n">
        <v>20</v>
      </c>
      <c r="G675" s="26" t="n">
        <v>0</v>
      </c>
      <c r="H675" s="26" t="n">
        <v>1</v>
      </c>
      <c r="I675" s="26" t="n">
        <v>259</v>
      </c>
      <c r="J675" s="26" t="n">
        <v>0</v>
      </c>
      <c r="K675" s="26" t="n">
        <v>1</v>
      </c>
      <c r="L675" s="26" t="n">
        <v>0</v>
      </c>
      <c r="M675" s="26" t="n">
        <v>0</v>
      </c>
      <c r="N675" s="26" t="n">
        <v>4</v>
      </c>
      <c r="O675" s="26" t="n">
        <v>0</v>
      </c>
      <c r="P675" s="26" t="n">
        <v>-4</v>
      </c>
      <c r="Q675" s="26" t="n">
        <v>224</v>
      </c>
      <c r="R675" s="26" t="n">
        <v>34</v>
      </c>
      <c r="S675" s="26" t="n">
        <v>0</v>
      </c>
      <c r="T675" s="26" t="n">
        <v>0</v>
      </c>
      <c r="U675" s="26" t="n">
        <v>0</v>
      </c>
    </row>
    <row r="676" customFormat="false" ht="15" hidden="false" customHeight="true" outlineLevel="0" collapsed="false">
      <c r="A676" s="8" t="s">
        <v>944</v>
      </c>
      <c r="B676" s="8" t="s">
        <v>234</v>
      </c>
      <c r="C676" s="8" t="s">
        <v>491</v>
      </c>
      <c r="D676" s="26" t="n">
        <v>0</v>
      </c>
      <c r="E676" s="26" t="n">
        <v>0</v>
      </c>
      <c r="F676" s="26" t="n">
        <v>0</v>
      </c>
      <c r="G676" s="26" t="n">
        <v>0</v>
      </c>
      <c r="H676" s="26" t="n">
        <v>0</v>
      </c>
      <c r="I676" s="26" t="n">
        <v>-3</v>
      </c>
      <c r="J676" s="26" t="n">
        <v>0</v>
      </c>
      <c r="K676" s="26" t="n">
        <v>0</v>
      </c>
      <c r="L676" s="26" t="n">
        <v>0</v>
      </c>
      <c r="M676" s="26" t="n">
        <v>0</v>
      </c>
      <c r="N676" s="26" t="n">
        <v>0</v>
      </c>
      <c r="O676" s="26" t="n">
        <v>0</v>
      </c>
      <c r="P676" s="26" t="n">
        <v>-2</v>
      </c>
      <c r="Q676" s="26" t="n">
        <v>-1</v>
      </c>
      <c r="R676" s="26" t="n">
        <v>0</v>
      </c>
      <c r="S676" s="26" t="n">
        <v>0</v>
      </c>
      <c r="T676" s="26" t="n">
        <v>0</v>
      </c>
      <c r="U676" s="26" t="n">
        <v>0</v>
      </c>
    </row>
    <row r="677" customFormat="false" ht="15" hidden="false" customHeight="true" outlineLevel="0" collapsed="false">
      <c r="A677" s="8" t="s">
        <v>944</v>
      </c>
      <c r="B677" s="8" t="s">
        <v>234</v>
      </c>
      <c r="C677" s="8" t="s">
        <v>492</v>
      </c>
      <c r="D677" s="26" t="n">
        <v>0</v>
      </c>
      <c r="E677" s="26" t="n">
        <v>0</v>
      </c>
      <c r="F677" s="26" t="n">
        <v>8</v>
      </c>
      <c r="G677" s="26" t="n">
        <v>0</v>
      </c>
      <c r="H677" s="26" t="n">
        <v>0</v>
      </c>
      <c r="I677" s="26" t="n">
        <v>17</v>
      </c>
      <c r="J677" s="26" t="n">
        <v>0</v>
      </c>
      <c r="K677" s="26" t="n">
        <v>0</v>
      </c>
      <c r="L677" s="26" t="n">
        <v>0</v>
      </c>
      <c r="M677" s="26" t="n">
        <v>0</v>
      </c>
      <c r="N677" s="26" t="n">
        <v>0</v>
      </c>
      <c r="O677" s="26" t="n">
        <v>0</v>
      </c>
      <c r="P677" s="26" t="n">
        <v>0</v>
      </c>
      <c r="Q677" s="26" t="n">
        <v>9</v>
      </c>
      <c r="R677" s="26" t="n">
        <v>8</v>
      </c>
      <c r="S677" s="26" t="n">
        <v>0</v>
      </c>
      <c r="T677" s="26" t="n">
        <v>0</v>
      </c>
      <c r="U677" s="26" t="n">
        <v>0</v>
      </c>
    </row>
    <row r="678" customFormat="false" ht="15" hidden="false" customHeight="true" outlineLevel="0" collapsed="false">
      <c r="A678" s="8" t="s">
        <v>944</v>
      </c>
      <c r="B678" s="8" t="s">
        <v>234</v>
      </c>
      <c r="C678" s="8" t="s">
        <v>493</v>
      </c>
      <c r="D678" s="26" t="n">
        <v>0</v>
      </c>
      <c r="E678" s="26" t="n">
        <v>0</v>
      </c>
      <c r="F678" s="26" t="n">
        <v>0</v>
      </c>
      <c r="G678" s="26" t="n">
        <v>0</v>
      </c>
      <c r="H678" s="26" t="n">
        <v>0</v>
      </c>
      <c r="I678" s="26" t="n">
        <v>7</v>
      </c>
      <c r="J678" s="26" t="n">
        <v>0</v>
      </c>
      <c r="K678" s="26" t="n">
        <v>0</v>
      </c>
      <c r="L678" s="26" t="n">
        <v>0</v>
      </c>
      <c r="M678" s="26" t="n">
        <v>0</v>
      </c>
      <c r="N678" s="26" t="n">
        <v>0</v>
      </c>
      <c r="O678" s="26" t="n">
        <v>0</v>
      </c>
      <c r="P678" s="26" t="n">
        <v>-1</v>
      </c>
      <c r="Q678" s="26" t="n">
        <v>7</v>
      </c>
      <c r="R678" s="26" t="n">
        <v>1</v>
      </c>
      <c r="S678" s="26" t="n">
        <v>0</v>
      </c>
      <c r="T678" s="26" t="n">
        <v>0</v>
      </c>
      <c r="U678" s="26" t="n">
        <v>0</v>
      </c>
    </row>
    <row r="679" customFormat="false" ht="15" hidden="false" customHeight="true" outlineLevel="0" collapsed="false">
      <c r="A679" s="8" t="s">
        <v>944</v>
      </c>
      <c r="B679" s="8" t="s">
        <v>234</v>
      </c>
      <c r="C679" s="8" t="s">
        <v>494</v>
      </c>
      <c r="D679" s="26" t="n">
        <v>0</v>
      </c>
      <c r="E679" s="26" t="n">
        <v>0</v>
      </c>
      <c r="F679" s="26" t="n">
        <v>9</v>
      </c>
      <c r="G679" s="26" t="n">
        <v>0</v>
      </c>
      <c r="H679" s="26" t="n">
        <v>1</v>
      </c>
      <c r="I679" s="26" t="n">
        <v>19</v>
      </c>
      <c r="J679" s="26" t="n">
        <v>0</v>
      </c>
      <c r="K679" s="26" t="n">
        <v>0</v>
      </c>
      <c r="L679" s="26" t="n">
        <v>0</v>
      </c>
      <c r="M679" s="26" t="n">
        <v>0</v>
      </c>
      <c r="N679" s="26" t="n">
        <v>0</v>
      </c>
      <c r="O679" s="26" t="n">
        <v>0</v>
      </c>
      <c r="P679" s="26" t="n">
        <v>0</v>
      </c>
      <c r="Q679" s="26" t="n">
        <v>13</v>
      </c>
      <c r="R679" s="26" t="n">
        <v>6</v>
      </c>
      <c r="S679" s="26" t="n">
        <v>0</v>
      </c>
      <c r="T679" s="26" t="n">
        <v>0</v>
      </c>
      <c r="U679" s="26" t="n">
        <v>0</v>
      </c>
    </row>
    <row r="680" customFormat="false" ht="15" hidden="false" customHeight="true" outlineLevel="0" collapsed="false">
      <c r="A680" s="8" t="s">
        <v>944</v>
      </c>
      <c r="B680" s="8" t="s">
        <v>234</v>
      </c>
      <c r="C680" s="8" t="s">
        <v>495</v>
      </c>
      <c r="D680" s="26" t="n">
        <v>0</v>
      </c>
      <c r="E680" s="26" t="n">
        <v>0</v>
      </c>
      <c r="F680" s="26" t="n">
        <v>8</v>
      </c>
      <c r="G680" s="26" t="n">
        <v>0</v>
      </c>
      <c r="H680" s="26" t="n">
        <v>0</v>
      </c>
      <c r="I680" s="26" t="n">
        <v>0</v>
      </c>
      <c r="J680" s="26" t="n">
        <v>0</v>
      </c>
      <c r="K680" s="26" t="n">
        <v>0</v>
      </c>
      <c r="L680" s="26" t="n">
        <v>0</v>
      </c>
      <c r="M680" s="26" t="n">
        <v>0</v>
      </c>
      <c r="N680" s="26" t="n">
        <v>0</v>
      </c>
      <c r="O680" s="26" t="n">
        <v>0</v>
      </c>
      <c r="P680" s="26" t="n">
        <v>0</v>
      </c>
      <c r="Q680" s="26" t="n">
        <v>0</v>
      </c>
      <c r="R680" s="26" t="n">
        <v>0</v>
      </c>
      <c r="S680" s="26" t="n">
        <v>0</v>
      </c>
      <c r="T680" s="26" t="n">
        <v>0</v>
      </c>
      <c r="U680" s="26" t="n">
        <v>0</v>
      </c>
    </row>
    <row r="681" customFormat="false" ht="15" hidden="false" customHeight="true" outlineLevel="0" collapsed="false">
      <c r="A681" s="8" t="s">
        <v>944</v>
      </c>
      <c r="B681" s="8" t="s">
        <v>214</v>
      </c>
      <c r="C681" s="8" t="s">
        <v>496</v>
      </c>
      <c r="D681" s="26" t="n">
        <v>0</v>
      </c>
      <c r="E681" s="26" t="n">
        <v>0</v>
      </c>
      <c r="F681" s="26" t="n">
        <v>104</v>
      </c>
      <c r="G681" s="26" t="n">
        <v>0</v>
      </c>
      <c r="H681" s="26" t="n">
        <v>0</v>
      </c>
      <c r="I681" s="26" t="n">
        <v>229</v>
      </c>
      <c r="J681" s="26" t="n">
        <v>0</v>
      </c>
      <c r="K681" s="26" t="n">
        <v>2</v>
      </c>
      <c r="L681" s="26" t="n">
        <v>0</v>
      </c>
      <c r="M681" s="26" t="n">
        <v>0</v>
      </c>
      <c r="N681" s="26" t="n">
        <v>0</v>
      </c>
      <c r="O681" s="26" t="n">
        <v>0</v>
      </c>
      <c r="P681" s="26" t="n">
        <v>-1</v>
      </c>
      <c r="Q681" s="26" t="n">
        <v>187</v>
      </c>
      <c r="R681" s="26" t="n">
        <v>41</v>
      </c>
      <c r="S681" s="26" t="n">
        <v>0</v>
      </c>
      <c r="T681" s="26" t="n">
        <v>0</v>
      </c>
      <c r="U681" s="26" t="n">
        <v>0</v>
      </c>
    </row>
    <row r="682" customFormat="false" ht="15" hidden="false" customHeight="true" outlineLevel="0" collapsed="false">
      <c r="A682" s="8" t="s">
        <v>944</v>
      </c>
      <c r="B682" s="8" t="s">
        <v>214</v>
      </c>
      <c r="C682" s="8" t="s">
        <v>497</v>
      </c>
      <c r="D682" s="26" t="n">
        <v>0</v>
      </c>
      <c r="E682" s="26" t="n">
        <v>0</v>
      </c>
      <c r="F682" s="26" t="n">
        <v>47</v>
      </c>
      <c r="G682" s="26" t="n">
        <v>0</v>
      </c>
      <c r="H682" s="26" t="n">
        <v>0</v>
      </c>
      <c r="I682" s="26" t="n">
        <v>152</v>
      </c>
      <c r="J682" s="26" t="n">
        <v>0</v>
      </c>
      <c r="K682" s="26" t="n">
        <v>5</v>
      </c>
      <c r="L682" s="26" t="n">
        <v>0</v>
      </c>
      <c r="M682" s="26" t="n">
        <v>0</v>
      </c>
      <c r="N682" s="26" t="n">
        <v>0</v>
      </c>
      <c r="O682" s="26" t="n">
        <v>0</v>
      </c>
      <c r="P682" s="26" t="n">
        <v>-1</v>
      </c>
      <c r="Q682" s="26" t="n">
        <v>121</v>
      </c>
      <c r="R682" s="26" t="n">
        <v>27</v>
      </c>
      <c r="S682" s="26" t="n">
        <v>0</v>
      </c>
      <c r="T682" s="26" t="n">
        <v>0</v>
      </c>
      <c r="U682" s="26" t="n">
        <v>0</v>
      </c>
    </row>
    <row r="683" customFormat="false" ht="15" hidden="false" customHeight="true" outlineLevel="0" collapsed="false">
      <c r="A683" s="8" t="s">
        <v>944</v>
      </c>
      <c r="B683" s="8" t="s">
        <v>138</v>
      </c>
      <c r="C683" s="8" t="s">
        <v>498</v>
      </c>
      <c r="D683" s="26" t="n">
        <v>0</v>
      </c>
      <c r="E683" s="26" t="n">
        <v>0</v>
      </c>
      <c r="F683" s="26" t="n">
        <v>108</v>
      </c>
      <c r="G683" s="26" t="n">
        <v>0</v>
      </c>
      <c r="H683" s="26" t="n">
        <v>0</v>
      </c>
      <c r="I683" s="26" t="n">
        <v>102</v>
      </c>
      <c r="J683" s="26" t="n">
        <v>0</v>
      </c>
      <c r="K683" s="26" t="n">
        <v>0</v>
      </c>
      <c r="L683" s="26" t="n">
        <v>0</v>
      </c>
      <c r="M683" s="26" t="n">
        <v>0</v>
      </c>
      <c r="N683" s="26" t="n">
        <v>0</v>
      </c>
      <c r="O683" s="26" t="n">
        <v>0</v>
      </c>
      <c r="P683" s="26" t="n">
        <v>0</v>
      </c>
      <c r="Q683" s="26" t="n">
        <v>102</v>
      </c>
      <c r="R683" s="26" t="n">
        <v>0</v>
      </c>
      <c r="S683" s="26" t="n">
        <v>0</v>
      </c>
      <c r="T683" s="26" t="n">
        <v>0</v>
      </c>
      <c r="U683" s="26" t="n">
        <v>0</v>
      </c>
    </row>
    <row r="684" customFormat="false" ht="15" hidden="false" customHeight="true" outlineLevel="0" collapsed="false">
      <c r="A684" s="8" t="s">
        <v>944</v>
      </c>
      <c r="B684" s="8" t="s">
        <v>138</v>
      </c>
      <c r="C684" s="8" t="s">
        <v>499</v>
      </c>
      <c r="D684" s="26" t="n">
        <v>0</v>
      </c>
      <c r="E684" s="26" t="n">
        <v>0</v>
      </c>
      <c r="F684" s="26" t="n">
        <v>77</v>
      </c>
      <c r="G684" s="26" t="n">
        <v>0</v>
      </c>
      <c r="H684" s="26" t="n">
        <v>0</v>
      </c>
      <c r="I684" s="26" t="n">
        <v>116</v>
      </c>
      <c r="J684" s="26" t="n">
        <v>0</v>
      </c>
      <c r="K684" s="26" t="n">
        <v>0</v>
      </c>
      <c r="L684" s="26" t="n">
        <v>0</v>
      </c>
      <c r="M684" s="26" t="n">
        <v>0</v>
      </c>
      <c r="N684" s="26" t="n">
        <v>0</v>
      </c>
      <c r="O684" s="26" t="n">
        <v>0</v>
      </c>
      <c r="P684" s="26" t="n">
        <v>0</v>
      </c>
      <c r="Q684" s="26" t="n">
        <v>116</v>
      </c>
      <c r="R684" s="26" t="n">
        <v>0</v>
      </c>
      <c r="S684" s="26" t="n">
        <v>0</v>
      </c>
      <c r="T684" s="26" t="n">
        <v>0</v>
      </c>
      <c r="U684" s="26" t="n">
        <v>0</v>
      </c>
    </row>
    <row r="685" customFormat="false" ht="15" hidden="false" customHeight="true" outlineLevel="0" collapsed="false">
      <c r="A685" s="8" t="s">
        <v>944</v>
      </c>
      <c r="B685" s="8" t="s">
        <v>96</v>
      </c>
      <c r="C685" s="8" t="s">
        <v>500</v>
      </c>
      <c r="D685" s="26" t="n">
        <v>0</v>
      </c>
      <c r="E685" s="26" t="n">
        <v>0</v>
      </c>
      <c r="F685" s="26" t="n">
        <v>542</v>
      </c>
      <c r="G685" s="26" t="n">
        <v>0</v>
      </c>
      <c r="H685" s="26" t="n">
        <v>0</v>
      </c>
      <c r="I685" s="26" t="n">
        <v>4789</v>
      </c>
      <c r="J685" s="26" t="n">
        <v>0</v>
      </c>
      <c r="K685" s="26" t="n">
        <v>14</v>
      </c>
      <c r="L685" s="26" t="n">
        <v>0</v>
      </c>
      <c r="M685" s="26" t="n">
        <v>3</v>
      </c>
      <c r="N685" s="26" t="n">
        <v>8</v>
      </c>
      <c r="O685" s="26" t="n">
        <v>9</v>
      </c>
      <c r="P685" s="26" t="n">
        <v>-7</v>
      </c>
      <c r="Q685" s="26" t="n">
        <v>4392</v>
      </c>
      <c r="R685" s="26" t="n">
        <v>370</v>
      </c>
      <c r="S685" s="26" t="n">
        <v>1</v>
      </c>
      <c r="T685" s="26" t="n">
        <v>0</v>
      </c>
      <c r="U685" s="26" t="n">
        <v>0</v>
      </c>
    </row>
    <row r="686" customFormat="false" ht="15" hidden="false" customHeight="true" outlineLevel="0" collapsed="false">
      <c r="A686" s="8" t="s">
        <v>944</v>
      </c>
      <c r="B686" s="8" t="s">
        <v>125</v>
      </c>
      <c r="C686" s="8" t="s">
        <v>500</v>
      </c>
      <c r="D686" s="26" t="n">
        <v>0</v>
      </c>
      <c r="E686" s="26" t="n">
        <v>0</v>
      </c>
      <c r="F686" s="26" t="n">
        <v>469</v>
      </c>
      <c r="G686" s="26" t="n">
        <v>0</v>
      </c>
      <c r="H686" s="26" t="n">
        <v>0</v>
      </c>
      <c r="I686" s="26" t="n">
        <v>5745</v>
      </c>
      <c r="J686" s="26" t="n">
        <v>0</v>
      </c>
      <c r="K686" s="26" t="n">
        <v>8</v>
      </c>
      <c r="L686" s="26" t="n">
        <v>0</v>
      </c>
      <c r="M686" s="26" t="n">
        <v>7</v>
      </c>
      <c r="N686" s="26" t="n">
        <v>2</v>
      </c>
      <c r="O686" s="26" t="n">
        <v>3</v>
      </c>
      <c r="P686" s="26" t="n">
        <v>-7</v>
      </c>
      <c r="Q686" s="26" t="n">
        <v>5414</v>
      </c>
      <c r="R686" s="26" t="n">
        <v>318</v>
      </c>
      <c r="S686" s="26" t="n">
        <v>0</v>
      </c>
      <c r="T686" s="26" t="n">
        <v>0</v>
      </c>
      <c r="U686" s="26" t="n">
        <v>0</v>
      </c>
    </row>
    <row r="687" customFormat="false" ht="15" hidden="false" customHeight="true" outlineLevel="0" collapsed="false">
      <c r="A687" s="8" t="s">
        <v>944</v>
      </c>
      <c r="B687" s="8" t="s">
        <v>331</v>
      </c>
      <c r="C687" s="8" t="s">
        <v>501</v>
      </c>
      <c r="D687" s="26" t="n">
        <v>0</v>
      </c>
      <c r="E687" s="26" t="n">
        <v>0</v>
      </c>
      <c r="F687" s="26" t="n">
        <v>1</v>
      </c>
      <c r="G687" s="26" t="n">
        <v>0</v>
      </c>
      <c r="H687" s="26" t="n">
        <v>0</v>
      </c>
      <c r="I687" s="26" t="n">
        <v>0</v>
      </c>
      <c r="J687" s="26" t="n">
        <v>0</v>
      </c>
      <c r="K687" s="26" t="n">
        <v>0</v>
      </c>
      <c r="L687" s="26" t="n">
        <v>0</v>
      </c>
      <c r="M687" s="26" t="n">
        <v>0</v>
      </c>
      <c r="N687" s="26" t="n">
        <v>0</v>
      </c>
      <c r="O687" s="26" t="n">
        <v>0</v>
      </c>
      <c r="P687" s="26" t="n">
        <v>0</v>
      </c>
      <c r="Q687" s="26" t="n">
        <v>0</v>
      </c>
      <c r="R687" s="26" t="n">
        <v>0</v>
      </c>
      <c r="S687" s="26" t="n">
        <v>0</v>
      </c>
      <c r="T687" s="26" t="n">
        <v>0</v>
      </c>
      <c r="U687" s="26" t="n">
        <v>0</v>
      </c>
    </row>
    <row r="688" customFormat="false" ht="15" hidden="false" customHeight="true" outlineLevel="0" collapsed="false">
      <c r="A688" s="8" t="s">
        <v>944</v>
      </c>
      <c r="B688" s="8" t="s">
        <v>296</v>
      </c>
      <c r="C688" s="8" t="s">
        <v>502</v>
      </c>
      <c r="D688" s="26" t="n">
        <v>0</v>
      </c>
      <c r="E688" s="26" t="n">
        <v>0</v>
      </c>
      <c r="F688" s="26" t="n">
        <v>1</v>
      </c>
      <c r="G688" s="26" t="n">
        <v>0</v>
      </c>
      <c r="H688" s="26" t="n">
        <v>0</v>
      </c>
      <c r="I688" s="26" t="n">
        <v>0</v>
      </c>
      <c r="J688" s="26" t="n">
        <v>0</v>
      </c>
      <c r="K688" s="26" t="n">
        <v>0</v>
      </c>
      <c r="L688" s="26" t="n">
        <v>0</v>
      </c>
      <c r="M688" s="26" t="n">
        <v>0</v>
      </c>
      <c r="N688" s="26" t="n">
        <v>0</v>
      </c>
      <c r="O688" s="26" t="n">
        <v>0</v>
      </c>
      <c r="P688" s="26" t="n">
        <v>0</v>
      </c>
      <c r="Q688" s="26" t="n">
        <v>0</v>
      </c>
      <c r="R688" s="26" t="n">
        <v>0</v>
      </c>
      <c r="S688" s="26" t="n">
        <v>0</v>
      </c>
      <c r="T688" s="26" t="n">
        <v>0</v>
      </c>
      <c r="U688" s="26" t="n">
        <v>0</v>
      </c>
    </row>
    <row r="689" customFormat="false" ht="15" hidden="false" customHeight="true" outlineLevel="0" collapsed="false">
      <c r="A689" s="8" t="s">
        <v>944</v>
      </c>
      <c r="B689" s="8" t="s">
        <v>137</v>
      </c>
      <c r="C689" s="8" t="s">
        <v>503</v>
      </c>
      <c r="D689" s="26" t="n">
        <v>0</v>
      </c>
      <c r="E689" s="26" t="n">
        <v>0</v>
      </c>
      <c r="F689" s="26" t="n">
        <v>3</v>
      </c>
      <c r="G689" s="26" t="n">
        <v>0</v>
      </c>
      <c r="H689" s="26" t="n">
        <v>0</v>
      </c>
      <c r="I689" s="26" t="n">
        <v>0</v>
      </c>
      <c r="J689" s="26" t="n">
        <v>0</v>
      </c>
      <c r="K689" s="26" t="n">
        <v>0</v>
      </c>
      <c r="L689" s="26" t="n">
        <v>0</v>
      </c>
      <c r="M689" s="26" t="n">
        <v>0</v>
      </c>
      <c r="N689" s="26" t="n">
        <v>0</v>
      </c>
      <c r="O689" s="26" t="n">
        <v>0</v>
      </c>
      <c r="P689" s="26" t="n">
        <v>0</v>
      </c>
      <c r="Q689" s="26" t="n">
        <v>0</v>
      </c>
      <c r="R689" s="26" t="n">
        <v>0</v>
      </c>
      <c r="S689" s="26" t="n">
        <v>0</v>
      </c>
      <c r="T689" s="26" t="n">
        <v>0</v>
      </c>
      <c r="U689" s="26" t="n">
        <v>0</v>
      </c>
    </row>
    <row r="690" customFormat="false" ht="15" hidden="false" customHeight="true" outlineLevel="0" collapsed="false">
      <c r="A690" s="8" t="s">
        <v>944</v>
      </c>
      <c r="B690" s="8" t="s">
        <v>137</v>
      </c>
      <c r="C690" s="8" t="s">
        <v>504</v>
      </c>
      <c r="D690" s="26" t="n">
        <v>0</v>
      </c>
      <c r="E690" s="26" t="n">
        <v>0</v>
      </c>
      <c r="F690" s="26" t="n">
        <v>10</v>
      </c>
      <c r="G690" s="26" t="n">
        <v>0</v>
      </c>
      <c r="H690" s="26" t="n">
        <v>0</v>
      </c>
      <c r="I690" s="26" t="n">
        <v>10</v>
      </c>
      <c r="J690" s="26" t="n">
        <v>0</v>
      </c>
      <c r="K690" s="26" t="n">
        <v>0</v>
      </c>
      <c r="L690" s="26" t="n">
        <v>0</v>
      </c>
      <c r="M690" s="26" t="n">
        <v>0</v>
      </c>
      <c r="N690" s="26" t="n">
        <v>0</v>
      </c>
      <c r="O690" s="26" t="n">
        <v>0</v>
      </c>
      <c r="P690" s="26" t="n">
        <v>0</v>
      </c>
      <c r="Q690" s="26" t="n">
        <v>10</v>
      </c>
      <c r="R690" s="26" t="n">
        <v>0</v>
      </c>
      <c r="S690" s="26" t="n">
        <v>0</v>
      </c>
      <c r="T690" s="26" t="n">
        <v>0</v>
      </c>
      <c r="U690" s="26" t="n">
        <v>0</v>
      </c>
    </row>
    <row r="691" customFormat="false" ht="15" hidden="false" customHeight="true" outlineLevel="0" collapsed="false">
      <c r="A691" s="8" t="s">
        <v>944</v>
      </c>
      <c r="B691" s="8" t="s">
        <v>137</v>
      </c>
      <c r="C691" s="8" t="s">
        <v>505</v>
      </c>
      <c r="D691" s="26" t="n">
        <v>0</v>
      </c>
      <c r="E691" s="26" t="n">
        <v>0</v>
      </c>
      <c r="F691" s="26" t="n">
        <v>19</v>
      </c>
      <c r="G691" s="26" t="n">
        <v>0</v>
      </c>
      <c r="H691" s="26" t="n">
        <v>0</v>
      </c>
      <c r="I691" s="26" t="n">
        <v>11</v>
      </c>
      <c r="J691" s="26" t="n">
        <v>0</v>
      </c>
      <c r="K691" s="26" t="n">
        <v>0</v>
      </c>
      <c r="L691" s="26" t="n">
        <v>0</v>
      </c>
      <c r="M691" s="26" t="n">
        <v>0</v>
      </c>
      <c r="N691" s="26" t="n">
        <v>0</v>
      </c>
      <c r="O691" s="26" t="n">
        <v>0</v>
      </c>
      <c r="P691" s="26" t="n">
        <v>-3</v>
      </c>
      <c r="Q691" s="26" t="n">
        <v>0</v>
      </c>
      <c r="R691" s="26" t="n">
        <v>14</v>
      </c>
      <c r="S691" s="26" t="n">
        <v>0</v>
      </c>
      <c r="T691" s="26" t="n">
        <v>0</v>
      </c>
      <c r="U691" s="26" t="n">
        <v>0</v>
      </c>
    </row>
    <row r="692" customFormat="false" ht="15" hidden="false" customHeight="true" outlineLevel="0" collapsed="false">
      <c r="A692" s="8" t="s">
        <v>944</v>
      </c>
      <c r="B692" s="8" t="s">
        <v>137</v>
      </c>
      <c r="C692" s="8" t="s">
        <v>506</v>
      </c>
      <c r="D692" s="26" t="n">
        <v>0</v>
      </c>
      <c r="E692" s="26" t="n">
        <v>0</v>
      </c>
      <c r="F692" s="26" t="n">
        <v>34</v>
      </c>
      <c r="G692" s="26" t="n">
        <v>0</v>
      </c>
      <c r="H692" s="26" t="n">
        <v>0</v>
      </c>
      <c r="I692" s="26" t="n">
        <v>0</v>
      </c>
      <c r="J692" s="26" t="n">
        <v>0</v>
      </c>
      <c r="K692" s="26" t="n">
        <v>0</v>
      </c>
      <c r="L692" s="26" t="n">
        <v>0</v>
      </c>
      <c r="M692" s="26" t="n">
        <v>0</v>
      </c>
      <c r="N692" s="26" t="n">
        <v>0</v>
      </c>
      <c r="O692" s="26" t="n">
        <v>0</v>
      </c>
      <c r="P692" s="26" t="n">
        <v>0</v>
      </c>
      <c r="Q692" s="26" t="n">
        <v>0</v>
      </c>
      <c r="R692" s="26" t="n">
        <v>0</v>
      </c>
      <c r="S692" s="26" t="n">
        <v>0</v>
      </c>
      <c r="T692" s="26" t="n">
        <v>0</v>
      </c>
      <c r="U692" s="26" t="n">
        <v>0</v>
      </c>
    </row>
    <row r="693" customFormat="false" ht="15" hidden="false" customHeight="true" outlineLevel="0" collapsed="false">
      <c r="A693" s="8" t="s">
        <v>944</v>
      </c>
      <c r="B693" s="8" t="s">
        <v>273</v>
      </c>
      <c r="C693" s="8" t="s">
        <v>507</v>
      </c>
      <c r="D693" s="26" t="n">
        <v>0</v>
      </c>
      <c r="E693" s="26" t="n">
        <v>0</v>
      </c>
      <c r="F693" s="26" t="n">
        <v>2</v>
      </c>
      <c r="G693" s="26" t="n">
        <v>0</v>
      </c>
      <c r="H693" s="26" t="n">
        <v>0</v>
      </c>
      <c r="I693" s="26" t="n">
        <v>0</v>
      </c>
      <c r="J693" s="26" t="n">
        <v>0</v>
      </c>
      <c r="K693" s="26" t="n">
        <v>0</v>
      </c>
      <c r="L693" s="26" t="n">
        <v>0</v>
      </c>
      <c r="M693" s="26" t="n">
        <v>0</v>
      </c>
      <c r="N693" s="26" t="n">
        <v>0</v>
      </c>
      <c r="O693" s="26" t="n">
        <v>0</v>
      </c>
      <c r="P693" s="26" t="n">
        <v>0</v>
      </c>
      <c r="Q693" s="26" t="n">
        <v>0</v>
      </c>
      <c r="R693" s="26" t="n">
        <v>0</v>
      </c>
      <c r="S693" s="26" t="n">
        <v>0</v>
      </c>
      <c r="T693" s="26" t="n">
        <v>0</v>
      </c>
      <c r="U693" s="26" t="n">
        <v>0</v>
      </c>
    </row>
    <row r="694" customFormat="false" ht="15" hidden="false" customHeight="true" outlineLevel="0" collapsed="false">
      <c r="A694" s="8" t="s">
        <v>944</v>
      </c>
      <c r="B694" s="8" t="s">
        <v>273</v>
      </c>
      <c r="C694" s="8" t="s">
        <v>508</v>
      </c>
      <c r="D694" s="26" t="n">
        <v>0</v>
      </c>
      <c r="E694" s="26" t="n">
        <v>0</v>
      </c>
      <c r="F694" s="26" t="n">
        <v>2</v>
      </c>
      <c r="G694" s="26" t="n">
        <v>0</v>
      </c>
      <c r="H694" s="26" t="n">
        <v>0</v>
      </c>
      <c r="I694" s="26" t="n">
        <v>0</v>
      </c>
      <c r="J694" s="26" t="n">
        <v>0</v>
      </c>
      <c r="K694" s="26" t="n">
        <v>0</v>
      </c>
      <c r="L694" s="26" t="n">
        <v>0</v>
      </c>
      <c r="M694" s="26" t="n">
        <v>0</v>
      </c>
      <c r="N694" s="26" t="n">
        <v>0</v>
      </c>
      <c r="O694" s="26" t="n">
        <v>0</v>
      </c>
      <c r="P694" s="26" t="n">
        <v>0</v>
      </c>
      <c r="Q694" s="26" t="n">
        <v>0</v>
      </c>
      <c r="R694" s="26" t="n">
        <v>0</v>
      </c>
      <c r="S694" s="26" t="n">
        <v>0</v>
      </c>
      <c r="T694" s="26" t="n">
        <v>0</v>
      </c>
      <c r="U694" s="26" t="n">
        <v>0</v>
      </c>
    </row>
    <row r="695" customFormat="false" ht="15" hidden="false" customHeight="true" outlineLevel="0" collapsed="false">
      <c r="A695" s="8" t="s">
        <v>944</v>
      </c>
      <c r="B695" s="8" t="s">
        <v>260</v>
      </c>
      <c r="C695" s="8" t="s">
        <v>509</v>
      </c>
      <c r="D695" s="26" t="n">
        <v>0</v>
      </c>
      <c r="E695" s="26" t="n">
        <v>0</v>
      </c>
      <c r="F695" s="26" t="n">
        <v>2</v>
      </c>
      <c r="G695" s="26" t="n">
        <v>0</v>
      </c>
      <c r="H695" s="26" t="n">
        <v>0</v>
      </c>
      <c r="I695" s="26" t="n">
        <v>0</v>
      </c>
      <c r="J695" s="26" t="n">
        <v>0</v>
      </c>
      <c r="K695" s="26" t="n">
        <v>0</v>
      </c>
      <c r="L695" s="26" t="n">
        <v>0</v>
      </c>
      <c r="M695" s="26" t="n">
        <v>0</v>
      </c>
      <c r="N695" s="26" t="n">
        <v>0</v>
      </c>
      <c r="O695" s="26" t="n">
        <v>0</v>
      </c>
      <c r="P695" s="26" t="n">
        <v>0</v>
      </c>
      <c r="Q695" s="26" t="n">
        <v>0</v>
      </c>
      <c r="R695" s="26" t="n">
        <v>0</v>
      </c>
      <c r="S695" s="26" t="n">
        <v>0</v>
      </c>
      <c r="T695" s="26" t="n">
        <v>0</v>
      </c>
      <c r="U695" s="26" t="n">
        <v>0</v>
      </c>
    </row>
    <row r="696" customFormat="false" ht="15" hidden="false" customHeight="true" outlineLevel="0" collapsed="false">
      <c r="A696" s="8" t="s">
        <v>944</v>
      </c>
      <c r="B696" s="8" t="s">
        <v>320</v>
      </c>
      <c r="C696" s="8" t="s">
        <v>510</v>
      </c>
      <c r="D696" s="26" t="n">
        <v>0</v>
      </c>
      <c r="E696" s="26" t="n">
        <v>0</v>
      </c>
      <c r="F696" s="26" t="n">
        <v>1</v>
      </c>
      <c r="G696" s="26" t="n">
        <v>0</v>
      </c>
      <c r="H696" s="26" t="n">
        <v>0</v>
      </c>
      <c r="I696" s="26" t="n">
        <v>0</v>
      </c>
      <c r="J696" s="26" t="n">
        <v>0</v>
      </c>
      <c r="K696" s="26" t="n">
        <v>0</v>
      </c>
      <c r="L696" s="26" t="n">
        <v>0</v>
      </c>
      <c r="M696" s="26" t="n">
        <v>0</v>
      </c>
      <c r="N696" s="26" t="n">
        <v>0</v>
      </c>
      <c r="O696" s="26" t="n">
        <v>0</v>
      </c>
      <c r="P696" s="26" t="n">
        <v>0</v>
      </c>
      <c r="Q696" s="26" t="n">
        <v>0</v>
      </c>
      <c r="R696" s="26" t="n">
        <v>0</v>
      </c>
      <c r="S696" s="26" t="n">
        <v>0</v>
      </c>
      <c r="T696" s="26" t="n">
        <v>0</v>
      </c>
      <c r="U696" s="26" t="n">
        <v>0</v>
      </c>
    </row>
    <row r="697" customFormat="false" ht="15" hidden="false" customHeight="true" outlineLevel="0" collapsed="false">
      <c r="A697" s="8" t="s">
        <v>944</v>
      </c>
      <c r="B697" s="8" t="s">
        <v>260</v>
      </c>
      <c r="C697" s="8" t="s">
        <v>511</v>
      </c>
      <c r="D697" s="26" t="n">
        <v>0</v>
      </c>
      <c r="E697" s="26" t="n">
        <v>0</v>
      </c>
      <c r="F697" s="26" t="n">
        <v>1</v>
      </c>
      <c r="G697" s="26" t="n">
        <v>0</v>
      </c>
      <c r="H697" s="26" t="n">
        <v>0</v>
      </c>
      <c r="I697" s="26" t="n">
        <v>0</v>
      </c>
      <c r="J697" s="26" t="n">
        <v>0</v>
      </c>
      <c r="K697" s="26" t="n">
        <v>0</v>
      </c>
      <c r="L697" s="26" t="n">
        <v>0</v>
      </c>
      <c r="M697" s="26" t="n">
        <v>0</v>
      </c>
      <c r="N697" s="26" t="n">
        <v>0</v>
      </c>
      <c r="O697" s="26" t="n">
        <v>0</v>
      </c>
      <c r="P697" s="26" t="n">
        <v>0</v>
      </c>
      <c r="Q697" s="26" t="n">
        <v>0</v>
      </c>
      <c r="R697" s="26" t="n">
        <v>0</v>
      </c>
      <c r="S697" s="26" t="n">
        <v>0</v>
      </c>
      <c r="T697" s="26" t="n">
        <v>0</v>
      </c>
      <c r="U697" s="26" t="n">
        <v>0</v>
      </c>
    </row>
    <row r="698" customFormat="false" ht="15" hidden="false" customHeight="true" outlineLevel="0" collapsed="false">
      <c r="A698" s="8" t="s">
        <v>944</v>
      </c>
      <c r="B698" s="8" t="s">
        <v>137</v>
      </c>
      <c r="C698" s="8" t="s">
        <v>512</v>
      </c>
      <c r="D698" s="26" t="n">
        <v>0</v>
      </c>
      <c r="E698" s="26" t="n">
        <v>0</v>
      </c>
      <c r="F698" s="26" t="n">
        <v>22</v>
      </c>
      <c r="G698" s="26" t="n">
        <v>0</v>
      </c>
      <c r="H698" s="26" t="n">
        <v>0</v>
      </c>
      <c r="I698" s="26" t="n">
        <v>63</v>
      </c>
      <c r="J698" s="26" t="n">
        <v>0</v>
      </c>
      <c r="K698" s="26" t="n">
        <v>0</v>
      </c>
      <c r="L698" s="26" t="n">
        <v>0</v>
      </c>
      <c r="M698" s="26" t="n">
        <v>0</v>
      </c>
      <c r="N698" s="26" t="n">
        <v>0</v>
      </c>
      <c r="O698" s="26" t="n">
        <v>0</v>
      </c>
      <c r="P698" s="26" t="n">
        <v>-7</v>
      </c>
      <c r="Q698" s="26" t="n">
        <v>0</v>
      </c>
      <c r="R698" s="26" t="n">
        <v>70</v>
      </c>
      <c r="S698" s="26" t="n">
        <v>0</v>
      </c>
      <c r="T698" s="26" t="n">
        <v>0</v>
      </c>
      <c r="U698" s="26" t="n">
        <v>0</v>
      </c>
    </row>
    <row r="699" customFormat="false" ht="15" hidden="false" customHeight="true" outlineLevel="0" collapsed="false">
      <c r="A699" s="8" t="s">
        <v>944</v>
      </c>
      <c r="B699" s="8" t="s">
        <v>172</v>
      </c>
      <c r="C699" s="8" t="s">
        <v>513</v>
      </c>
      <c r="D699" s="26" t="n">
        <v>0</v>
      </c>
      <c r="E699" s="26" t="n">
        <v>0</v>
      </c>
      <c r="F699" s="26" t="n">
        <v>7</v>
      </c>
      <c r="G699" s="26" t="n">
        <v>0</v>
      </c>
      <c r="H699" s="26" t="n">
        <v>0</v>
      </c>
      <c r="I699" s="26" t="n">
        <v>0</v>
      </c>
      <c r="J699" s="26" t="n">
        <v>0</v>
      </c>
      <c r="K699" s="26" t="n">
        <v>0</v>
      </c>
      <c r="L699" s="26" t="n">
        <v>0</v>
      </c>
      <c r="M699" s="26" t="n">
        <v>0</v>
      </c>
      <c r="N699" s="26" t="n">
        <v>0</v>
      </c>
      <c r="O699" s="26" t="n">
        <v>0</v>
      </c>
      <c r="P699" s="26" t="n">
        <v>0</v>
      </c>
      <c r="Q699" s="26" t="n">
        <v>0</v>
      </c>
      <c r="R699" s="26" t="n">
        <v>0</v>
      </c>
      <c r="S699" s="26" t="n">
        <v>0</v>
      </c>
      <c r="T699" s="26" t="n">
        <v>0</v>
      </c>
      <c r="U699" s="26" t="n">
        <v>0</v>
      </c>
    </row>
    <row r="700" customFormat="false" ht="15" hidden="false" customHeight="true" outlineLevel="0" collapsed="false">
      <c r="A700" s="8" t="s">
        <v>944</v>
      </c>
      <c r="B700" s="8" t="s">
        <v>172</v>
      </c>
      <c r="C700" s="8" t="s">
        <v>514</v>
      </c>
      <c r="D700" s="26" t="n">
        <v>0</v>
      </c>
      <c r="E700" s="26" t="n">
        <v>0</v>
      </c>
      <c r="F700" s="26" t="n">
        <v>20</v>
      </c>
      <c r="G700" s="26" t="n">
        <v>0</v>
      </c>
      <c r="H700" s="26" t="n">
        <v>0</v>
      </c>
      <c r="I700" s="26" t="n">
        <v>0</v>
      </c>
      <c r="J700" s="26" t="n">
        <v>0</v>
      </c>
      <c r="K700" s="26" t="n">
        <v>0</v>
      </c>
      <c r="L700" s="26" t="n">
        <v>0</v>
      </c>
      <c r="M700" s="26" t="n">
        <v>0</v>
      </c>
      <c r="N700" s="26" t="n">
        <v>0</v>
      </c>
      <c r="O700" s="26" t="n">
        <v>0</v>
      </c>
      <c r="P700" s="26" t="n">
        <v>0</v>
      </c>
      <c r="Q700" s="26" t="n">
        <v>0</v>
      </c>
      <c r="R700" s="26" t="n">
        <v>0</v>
      </c>
      <c r="S700" s="26" t="n">
        <v>0</v>
      </c>
      <c r="T700" s="26" t="n">
        <v>0</v>
      </c>
      <c r="U700" s="26" t="n">
        <v>0</v>
      </c>
    </row>
    <row r="701" customFormat="false" ht="15" hidden="false" customHeight="true" outlineLevel="0" collapsed="false">
      <c r="A701" s="8" t="s">
        <v>944</v>
      </c>
      <c r="B701" s="8" t="s">
        <v>315</v>
      </c>
      <c r="C701" s="8" t="s">
        <v>515</v>
      </c>
      <c r="D701" s="26" t="n">
        <v>0</v>
      </c>
      <c r="E701" s="26" t="n">
        <v>0</v>
      </c>
      <c r="F701" s="26" t="n">
        <v>0</v>
      </c>
      <c r="G701" s="26" t="n">
        <v>0</v>
      </c>
      <c r="H701" s="26" t="n">
        <v>0</v>
      </c>
      <c r="I701" s="26" t="n">
        <v>0</v>
      </c>
      <c r="J701" s="26" t="n">
        <v>0</v>
      </c>
      <c r="K701" s="26" t="n">
        <v>0</v>
      </c>
      <c r="L701" s="26" t="n">
        <v>0</v>
      </c>
      <c r="M701" s="26" t="n">
        <v>0</v>
      </c>
      <c r="N701" s="26" t="n">
        <v>0</v>
      </c>
      <c r="O701" s="26" t="n">
        <v>0</v>
      </c>
      <c r="P701" s="26" t="n">
        <v>0</v>
      </c>
      <c r="Q701" s="26" t="n">
        <v>0</v>
      </c>
      <c r="R701" s="26" t="n">
        <v>0</v>
      </c>
      <c r="S701" s="26" t="n">
        <v>1</v>
      </c>
      <c r="T701" s="26" t="n">
        <v>0</v>
      </c>
      <c r="U701" s="26" t="n">
        <v>0</v>
      </c>
    </row>
    <row r="702" customFormat="false" ht="15" hidden="false" customHeight="true" outlineLevel="0" collapsed="false">
      <c r="A702" s="8" t="s">
        <v>944</v>
      </c>
      <c r="B702" s="8" t="s">
        <v>220</v>
      </c>
      <c r="C702" s="8" t="s">
        <v>516</v>
      </c>
      <c r="D702" s="26" t="n">
        <v>0</v>
      </c>
      <c r="E702" s="26" t="n">
        <v>0</v>
      </c>
      <c r="F702" s="26" t="n">
        <v>1</v>
      </c>
      <c r="G702" s="26" t="n">
        <v>0</v>
      </c>
      <c r="H702" s="26" t="n">
        <v>0</v>
      </c>
      <c r="I702" s="26" t="n">
        <v>0</v>
      </c>
      <c r="J702" s="26" t="n">
        <v>0</v>
      </c>
      <c r="K702" s="26" t="n">
        <v>0</v>
      </c>
      <c r="L702" s="26" t="n">
        <v>0</v>
      </c>
      <c r="M702" s="26" t="n">
        <v>0</v>
      </c>
      <c r="N702" s="26" t="n">
        <v>0</v>
      </c>
      <c r="O702" s="26" t="n">
        <v>0</v>
      </c>
      <c r="P702" s="26" t="n">
        <v>0</v>
      </c>
      <c r="Q702" s="26" t="n">
        <v>0</v>
      </c>
      <c r="R702" s="26" t="n">
        <v>0</v>
      </c>
      <c r="S702" s="26" t="n">
        <v>0</v>
      </c>
      <c r="T702" s="26" t="n">
        <v>0</v>
      </c>
      <c r="U702" s="26" t="n">
        <v>0</v>
      </c>
    </row>
    <row r="703" customFormat="false" ht="15" hidden="false" customHeight="true" outlineLevel="0" collapsed="false">
      <c r="A703" s="8" t="s">
        <v>944</v>
      </c>
      <c r="B703" s="8" t="s">
        <v>220</v>
      </c>
      <c r="C703" s="8" t="s">
        <v>517</v>
      </c>
      <c r="D703" s="26" t="n">
        <v>0</v>
      </c>
      <c r="E703" s="26" t="n">
        <v>0</v>
      </c>
      <c r="F703" s="26" t="n">
        <v>1</v>
      </c>
      <c r="G703" s="26" t="n">
        <v>0</v>
      </c>
      <c r="H703" s="26" t="n">
        <v>0</v>
      </c>
      <c r="I703" s="26" t="n">
        <v>0</v>
      </c>
      <c r="J703" s="26" t="n">
        <v>0</v>
      </c>
      <c r="K703" s="26" t="n">
        <v>0</v>
      </c>
      <c r="L703" s="26" t="n">
        <v>0</v>
      </c>
      <c r="M703" s="26" t="n">
        <v>0</v>
      </c>
      <c r="N703" s="26" t="n">
        <v>0</v>
      </c>
      <c r="O703" s="26" t="n">
        <v>0</v>
      </c>
      <c r="P703" s="26" t="n">
        <v>0</v>
      </c>
      <c r="Q703" s="26" t="n">
        <v>0</v>
      </c>
      <c r="R703" s="26" t="n">
        <v>0</v>
      </c>
      <c r="S703" s="26" t="n">
        <v>0</v>
      </c>
      <c r="T703" s="26" t="n">
        <v>0</v>
      </c>
      <c r="U703" s="26" t="n">
        <v>0</v>
      </c>
    </row>
    <row r="704" customFormat="false" ht="15" hidden="false" customHeight="true" outlineLevel="0" collapsed="false">
      <c r="A704" s="8" t="s">
        <v>944</v>
      </c>
      <c r="B704" s="8" t="s">
        <v>266</v>
      </c>
      <c r="C704" s="8" t="s">
        <v>518</v>
      </c>
      <c r="D704" s="26" t="n">
        <v>0</v>
      </c>
      <c r="E704" s="26" t="n">
        <v>0</v>
      </c>
      <c r="F704" s="26" t="n">
        <v>0</v>
      </c>
      <c r="G704" s="26" t="n">
        <v>0</v>
      </c>
      <c r="H704" s="26" t="n">
        <v>0</v>
      </c>
      <c r="I704" s="26" t="n">
        <v>-1</v>
      </c>
      <c r="J704" s="26" t="n">
        <v>0</v>
      </c>
      <c r="K704" s="26" t="n">
        <v>0</v>
      </c>
      <c r="L704" s="26" t="n">
        <v>0</v>
      </c>
      <c r="M704" s="26" t="n">
        <v>0</v>
      </c>
      <c r="N704" s="26" t="n">
        <v>0</v>
      </c>
      <c r="O704" s="26" t="n">
        <v>0</v>
      </c>
      <c r="P704" s="26" t="n">
        <v>-1</v>
      </c>
      <c r="Q704" s="26" t="n">
        <v>0</v>
      </c>
      <c r="R704" s="26" t="n">
        <v>0</v>
      </c>
      <c r="S704" s="26" t="n">
        <v>0</v>
      </c>
      <c r="T704" s="26" t="n">
        <v>0</v>
      </c>
      <c r="U704" s="26" t="n">
        <v>0</v>
      </c>
    </row>
    <row r="705" customFormat="false" ht="15" hidden="false" customHeight="true" outlineLevel="0" collapsed="false">
      <c r="A705" s="8" t="s">
        <v>944</v>
      </c>
      <c r="B705" s="8" t="s">
        <v>266</v>
      </c>
      <c r="C705" s="8" t="s">
        <v>519</v>
      </c>
      <c r="D705" s="26" t="n">
        <v>0</v>
      </c>
      <c r="E705" s="26" t="n">
        <v>0</v>
      </c>
      <c r="F705" s="26" t="n">
        <v>0</v>
      </c>
      <c r="G705" s="26" t="n">
        <v>0</v>
      </c>
      <c r="H705" s="26" t="n">
        <v>0</v>
      </c>
      <c r="I705" s="26" t="n">
        <v>1</v>
      </c>
      <c r="J705" s="26" t="n">
        <v>0</v>
      </c>
      <c r="K705" s="26" t="n">
        <v>0</v>
      </c>
      <c r="L705" s="26" t="n">
        <v>0</v>
      </c>
      <c r="M705" s="26" t="n">
        <v>0</v>
      </c>
      <c r="N705" s="26" t="n">
        <v>0</v>
      </c>
      <c r="O705" s="26" t="n">
        <v>0</v>
      </c>
      <c r="P705" s="26" t="n">
        <v>0</v>
      </c>
      <c r="Q705" s="26" t="n">
        <v>0</v>
      </c>
      <c r="R705" s="26" t="n">
        <v>1</v>
      </c>
      <c r="S705" s="26" t="n">
        <v>0</v>
      </c>
      <c r="T705" s="26" t="n">
        <v>0</v>
      </c>
      <c r="U705" s="26" t="n">
        <v>0</v>
      </c>
    </row>
    <row r="706" customFormat="false" ht="15" hidden="false" customHeight="true" outlineLevel="0" collapsed="false">
      <c r="A706" s="8" t="s">
        <v>944</v>
      </c>
      <c r="B706" s="8" t="s">
        <v>266</v>
      </c>
      <c r="C706" s="8" t="s">
        <v>520</v>
      </c>
      <c r="D706" s="26" t="n">
        <v>0</v>
      </c>
      <c r="E706" s="26" t="n">
        <v>0</v>
      </c>
      <c r="F706" s="26" t="n">
        <v>1</v>
      </c>
      <c r="G706" s="26" t="n">
        <v>0</v>
      </c>
      <c r="H706" s="26" t="n">
        <v>0</v>
      </c>
      <c r="I706" s="26" t="n">
        <v>3</v>
      </c>
      <c r="J706" s="26" t="n">
        <v>0</v>
      </c>
      <c r="K706" s="26" t="n">
        <v>0</v>
      </c>
      <c r="L706" s="26" t="n">
        <v>0</v>
      </c>
      <c r="M706" s="26" t="n">
        <v>0</v>
      </c>
      <c r="N706" s="26" t="n">
        <v>0</v>
      </c>
      <c r="O706" s="26" t="n">
        <v>0</v>
      </c>
      <c r="P706" s="26" t="n">
        <v>0</v>
      </c>
      <c r="Q706" s="26" t="n">
        <v>3</v>
      </c>
      <c r="R706" s="26" t="n">
        <v>0</v>
      </c>
      <c r="S706" s="26" t="n">
        <v>0</v>
      </c>
      <c r="T706" s="26" t="n">
        <v>0</v>
      </c>
      <c r="U706" s="26" t="n">
        <v>0</v>
      </c>
    </row>
    <row r="707" customFormat="false" ht="15" hidden="false" customHeight="true" outlineLevel="0" collapsed="false">
      <c r="A707" s="8" t="s">
        <v>944</v>
      </c>
      <c r="B707" s="8" t="s">
        <v>266</v>
      </c>
      <c r="C707" s="8" t="s">
        <v>521</v>
      </c>
      <c r="D707" s="26" t="n">
        <v>0</v>
      </c>
      <c r="E707" s="26" t="n">
        <v>0</v>
      </c>
      <c r="F707" s="26" t="n">
        <v>2</v>
      </c>
      <c r="G707" s="26" t="n">
        <v>0</v>
      </c>
      <c r="H707" s="26" t="n">
        <v>0</v>
      </c>
      <c r="I707" s="26" t="n">
        <v>14</v>
      </c>
      <c r="J707" s="26" t="n">
        <v>0</v>
      </c>
      <c r="K707" s="26" t="n">
        <v>0</v>
      </c>
      <c r="L707" s="26" t="n">
        <v>0</v>
      </c>
      <c r="M707" s="26" t="n">
        <v>0</v>
      </c>
      <c r="N707" s="26" t="n">
        <v>0</v>
      </c>
      <c r="O707" s="26" t="n">
        <v>0</v>
      </c>
      <c r="P707" s="26" t="n">
        <v>0</v>
      </c>
      <c r="Q707" s="26" t="n">
        <v>3</v>
      </c>
      <c r="R707" s="26" t="n">
        <v>11</v>
      </c>
      <c r="S707" s="26" t="n">
        <v>0</v>
      </c>
      <c r="T707" s="26" t="n">
        <v>0</v>
      </c>
      <c r="U707" s="26" t="n">
        <v>0</v>
      </c>
    </row>
    <row r="708" customFormat="false" ht="15" hidden="false" customHeight="true" outlineLevel="0" collapsed="false">
      <c r="A708" s="8" t="s">
        <v>944</v>
      </c>
      <c r="B708" s="8" t="s">
        <v>266</v>
      </c>
      <c r="C708" s="8" t="s">
        <v>522</v>
      </c>
      <c r="D708" s="26" t="n">
        <v>0</v>
      </c>
      <c r="E708" s="26" t="n">
        <v>0</v>
      </c>
      <c r="F708" s="26" t="n">
        <v>2</v>
      </c>
      <c r="G708" s="26" t="n">
        <v>0</v>
      </c>
      <c r="H708" s="26" t="n">
        <v>0</v>
      </c>
      <c r="I708" s="26" t="n">
        <v>12</v>
      </c>
      <c r="J708" s="26" t="n">
        <v>0</v>
      </c>
      <c r="K708" s="26" t="n">
        <v>0</v>
      </c>
      <c r="L708" s="26" t="n">
        <v>0</v>
      </c>
      <c r="M708" s="26" t="n">
        <v>0</v>
      </c>
      <c r="N708" s="26" t="n">
        <v>0</v>
      </c>
      <c r="O708" s="26" t="n">
        <v>0</v>
      </c>
      <c r="P708" s="26" t="n">
        <v>0</v>
      </c>
      <c r="Q708" s="26" t="n">
        <v>0</v>
      </c>
      <c r="R708" s="26" t="n">
        <v>12</v>
      </c>
      <c r="S708" s="26" t="n">
        <v>0</v>
      </c>
      <c r="T708" s="26" t="n">
        <v>0</v>
      </c>
      <c r="U708" s="26" t="n">
        <v>0</v>
      </c>
    </row>
    <row r="709" customFormat="false" ht="15" hidden="false" customHeight="true" outlineLevel="0" collapsed="false">
      <c r="A709" s="8" t="s">
        <v>944</v>
      </c>
      <c r="B709" s="8" t="s">
        <v>226</v>
      </c>
      <c r="C709" s="8" t="s">
        <v>523</v>
      </c>
      <c r="D709" s="26" t="n">
        <v>0</v>
      </c>
      <c r="E709" s="26" t="n">
        <v>0</v>
      </c>
      <c r="F709" s="26" t="n">
        <v>0</v>
      </c>
      <c r="G709" s="26" t="n">
        <v>0</v>
      </c>
      <c r="H709" s="26" t="n">
        <v>0</v>
      </c>
      <c r="I709" s="26" t="n">
        <v>8</v>
      </c>
      <c r="J709" s="26" t="n">
        <v>0</v>
      </c>
      <c r="K709" s="26" t="n">
        <v>0</v>
      </c>
      <c r="L709" s="26" t="n">
        <v>0</v>
      </c>
      <c r="M709" s="26" t="n">
        <v>0</v>
      </c>
      <c r="N709" s="26" t="n">
        <v>0</v>
      </c>
      <c r="O709" s="26" t="n">
        <v>0</v>
      </c>
      <c r="P709" s="26" t="n">
        <v>-6</v>
      </c>
      <c r="Q709" s="26" t="n">
        <v>0</v>
      </c>
      <c r="R709" s="26" t="n">
        <v>14</v>
      </c>
      <c r="S709" s="26" t="n">
        <v>0</v>
      </c>
      <c r="T709" s="26" t="n">
        <v>0</v>
      </c>
      <c r="U709" s="26" t="n">
        <v>-1</v>
      </c>
    </row>
    <row r="710" customFormat="false" ht="15" hidden="false" customHeight="true" outlineLevel="0" collapsed="false">
      <c r="A710" s="8" t="s">
        <v>944</v>
      </c>
      <c r="B710" s="8" t="s">
        <v>226</v>
      </c>
      <c r="C710" s="8" t="s">
        <v>524</v>
      </c>
      <c r="D710" s="26" t="n">
        <v>0</v>
      </c>
      <c r="E710" s="26" t="n">
        <v>0</v>
      </c>
      <c r="F710" s="26" t="n">
        <v>2</v>
      </c>
      <c r="G710" s="26" t="n">
        <v>0</v>
      </c>
      <c r="H710" s="26" t="n">
        <v>0</v>
      </c>
      <c r="I710" s="26" t="n">
        <v>30</v>
      </c>
      <c r="J710" s="26" t="n">
        <v>0</v>
      </c>
      <c r="K710" s="26" t="n">
        <v>0</v>
      </c>
      <c r="L710" s="26" t="n">
        <v>0</v>
      </c>
      <c r="M710" s="26" t="n">
        <v>0</v>
      </c>
      <c r="N710" s="26" t="n">
        <v>0</v>
      </c>
      <c r="O710" s="26" t="n">
        <v>0</v>
      </c>
      <c r="P710" s="26" t="n">
        <v>-5</v>
      </c>
      <c r="Q710" s="26" t="n">
        <v>13</v>
      </c>
      <c r="R710" s="26" t="n">
        <v>22</v>
      </c>
      <c r="S710" s="26" t="n">
        <v>0</v>
      </c>
      <c r="T710" s="26" t="n">
        <v>0</v>
      </c>
      <c r="U710" s="26" t="n">
        <v>0</v>
      </c>
    </row>
    <row r="711" customFormat="false" ht="15" hidden="false" customHeight="true" outlineLevel="0" collapsed="false">
      <c r="A711" s="8" t="s">
        <v>944</v>
      </c>
      <c r="B711" s="8" t="s">
        <v>226</v>
      </c>
      <c r="C711" s="8" t="s">
        <v>525</v>
      </c>
      <c r="D711" s="26" t="n">
        <v>0</v>
      </c>
      <c r="E711" s="26" t="n">
        <v>0</v>
      </c>
      <c r="F711" s="26" t="n">
        <v>9</v>
      </c>
      <c r="G711" s="26" t="n">
        <v>0</v>
      </c>
      <c r="H711" s="26" t="n">
        <v>0</v>
      </c>
      <c r="I711" s="26" t="n">
        <v>51</v>
      </c>
      <c r="J711" s="26" t="n">
        <v>0</v>
      </c>
      <c r="K711" s="26" t="n">
        <v>0</v>
      </c>
      <c r="L711" s="26" t="n">
        <v>0</v>
      </c>
      <c r="M711" s="26" t="n">
        <v>0</v>
      </c>
      <c r="N711" s="26" t="n">
        <v>0</v>
      </c>
      <c r="O711" s="26" t="n">
        <v>0</v>
      </c>
      <c r="P711" s="26" t="n">
        <v>-6</v>
      </c>
      <c r="Q711" s="26" t="n">
        <v>10</v>
      </c>
      <c r="R711" s="26" t="n">
        <v>47</v>
      </c>
      <c r="S711" s="26" t="n">
        <v>0</v>
      </c>
      <c r="T711" s="26" t="n">
        <v>0</v>
      </c>
      <c r="U711" s="26" t="n">
        <v>-1</v>
      </c>
    </row>
    <row r="712" customFormat="false" ht="15" hidden="false" customHeight="true" outlineLevel="0" collapsed="false">
      <c r="A712" s="8" t="s">
        <v>944</v>
      </c>
      <c r="B712" s="8" t="s">
        <v>226</v>
      </c>
      <c r="C712" s="8" t="s">
        <v>526</v>
      </c>
      <c r="D712" s="26" t="n">
        <v>0</v>
      </c>
      <c r="E712" s="26" t="n">
        <v>0</v>
      </c>
      <c r="F712" s="26" t="n">
        <v>14</v>
      </c>
      <c r="G712" s="26" t="n">
        <v>0</v>
      </c>
      <c r="H712" s="26" t="n">
        <v>0</v>
      </c>
      <c r="I712" s="26" t="n">
        <v>76</v>
      </c>
      <c r="J712" s="26" t="n">
        <v>0</v>
      </c>
      <c r="K712" s="26" t="n">
        <v>0</v>
      </c>
      <c r="L712" s="26" t="n">
        <v>0</v>
      </c>
      <c r="M712" s="26" t="n">
        <v>0</v>
      </c>
      <c r="N712" s="26" t="n">
        <v>0</v>
      </c>
      <c r="O712" s="26" t="n">
        <v>0</v>
      </c>
      <c r="P712" s="26" t="n">
        <v>-6</v>
      </c>
      <c r="Q712" s="26" t="n">
        <v>19</v>
      </c>
      <c r="R712" s="26" t="n">
        <v>63</v>
      </c>
      <c r="S712" s="26" t="n">
        <v>0</v>
      </c>
      <c r="T712" s="26" t="n">
        <v>0</v>
      </c>
      <c r="U712" s="26" t="n">
        <v>0</v>
      </c>
    </row>
    <row r="713" customFormat="false" ht="15" hidden="false" customHeight="true" outlineLevel="0" collapsed="false">
      <c r="A713" s="8" t="s">
        <v>944</v>
      </c>
      <c r="B713" s="8" t="s">
        <v>226</v>
      </c>
      <c r="C713" s="8" t="s">
        <v>527</v>
      </c>
      <c r="D713" s="26" t="n">
        <v>0</v>
      </c>
      <c r="E713" s="26" t="n">
        <v>0</v>
      </c>
      <c r="F713" s="26" t="n">
        <v>7</v>
      </c>
      <c r="G713" s="26" t="n">
        <v>0</v>
      </c>
      <c r="H713" s="26" t="n">
        <v>0</v>
      </c>
      <c r="I713" s="26" t="n">
        <v>82</v>
      </c>
      <c r="J713" s="26" t="n">
        <v>0</v>
      </c>
      <c r="K713" s="26" t="n">
        <v>0</v>
      </c>
      <c r="L713" s="26" t="n">
        <v>0</v>
      </c>
      <c r="M713" s="26" t="n">
        <v>0</v>
      </c>
      <c r="N713" s="26" t="n">
        <v>0</v>
      </c>
      <c r="O713" s="26" t="n">
        <v>0</v>
      </c>
      <c r="P713" s="26" t="n">
        <v>-4</v>
      </c>
      <c r="Q713" s="26" t="n">
        <v>21</v>
      </c>
      <c r="R713" s="26" t="n">
        <v>65</v>
      </c>
      <c r="S713" s="26" t="n">
        <v>0</v>
      </c>
      <c r="T713" s="26" t="n">
        <v>0</v>
      </c>
      <c r="U713" s="26" t="n">
        <v>-1</v>
      </c>
    </row>
    <row r="714" customFormat="false" ht="15" hidden="false" customHeight="true" outlineLevel="0" collapsed="false">
      <c r="A714" s="8" t="s">
        <v>944</v>
      </c>
      <c r="B714" s="8" t="s">
        <v>108</v>
      </c>
      <c r="C714" s="8" t="s">
        <v>528</v>
      </c>
      <c r="D714" s="26" t="n">
        <v>0</v>
      </c>
      <c r="E714" s="26" t="n">
        <v>0</v>
      </c>
      <c r="F714" s="26" t="n">
        <v>2</v>
      </c>
      <c r="G714" s="26" t="n">
        <v>0</v>
      </c>
      <c r="H714" s="26" t="n">
        <v>0</v>
      </c>
      <c r="I714" s="26" t="n">
        <v>0</v>
      </c>
      <c r="J714" s="26" t="n">
        <v>0</v>
      </c>
      <c r="K714" s="26" t="n">
        <v>0</v>
      </c>
      <c r="L714" s="26" t="n">
        <v>0</v>
      </c>
      <c r="M714" s="26" t="n">
        <v>0</v>
      </c>
      <c r="N714" s="26" t="n">
        <v>0</v>
      </c>
      <c r="O714" s="26" t="n">
        <v>0</v>
      </c>
      <c r="P714" s="26" t="n">
        <v>0</v>
      </c>
      <c r="Q714" s="26" t="n">
        <v>0</v>
      </c>
      <c r="R714" s="26" t="n">
        <v>0</v>
      </c>
      <c r="S714" s="26" t="n">
        <v>0</v>
      </c>
      <c r="T714" s="26" t="n">
        <v>0</v>
      </c>
      <c r="U714" s="26" t="n">
        <v>0</v>
      </c>
    </row>
    <row r="715" customFormat="false" ht="15" hidden="false" customHeight="true" outlineLevel="0" collapsed="false">
      <c r="A715" s="8" t="s">
        <v>944</v>
      </c>
      <c r="B715" s="8" t="s">
        <v>221</v>
      </c>
      <c r="C715" s="8" t="s">
        <v>529</v>
      </c>
      <c r="D715" s="26" t="n">
        <v>0</v>
      </c>
      <c r="E715" s="26" t="n">
        <v>0</v>
      </c>
      <c r="F715" s="26" t="n">
        <v>1</v>
      </c>
      <c r="G715" s="26" t="n">
        <v>0</v>
      </c>
      <c r="H715" s="26" t="n">
        <v>0</v>
      </c>
      <c r="I715" s="26" t="n">
        <v>0</v>
      </c>
      <c r="J715" s="26" t="n">
        <v>0</v>
      </c>
      <c r="K715" s="26" t="n">
        <v>0</v>
      </c>
      <c r="L715" s="26" t="n">
        <v>0</v>
      </c>
      <c r="M715" s="26" t="n">
        <v>0</v>
      </c>
      <c r="N715" s="26" t="n">
        <v>0</v>
      </c>
      <c r="O715" s="26" t="n">
        <v>0</v>
      </c>
      <c r="P715" s="26" t="n">
        <v>0</v>
      </c>
      <c r="Q715" s="26" t="n">
        <v>0</v>
      </c>
      <c r="R715" s="26" t="n">
        <v>0</v>
      </c>
      <c r="S715" s="26" t="n">
        <v>0</v>
      </c>
      <c r="T715" s="26" t="n">
        <v>0</v>
      </c>
      <c r="U715" s="26" t="n">
        <v>0</v>
      </c>
    </row>
    <row r="716" customFormat="false" ht="15" hidden="false" customHeight="true" outlineLevel="0" collapsed="false">
      <c r="A716" s="8" t="s">
        <v>944</v>
      </c>
      <c r="B716" s="8" t="s">
        <v>221</v>
      </c>
      <c r="C716" s="8" t="s">
        <v>530</v>
      </c>
      <c r="D716" s="26" t="n">
        <v>0</v>
      </c>
      <c r="E716" s="26" t="n">
        <v>0</v>
      </c>
      <c r="F716" s="26" t="n">
        <v>1</v>
      </c>
      <c r="G716" s="26" t="n">
        <v>0</v>
      </c>
      <c r="H716" s="26" t="n">
        <v>0</v>
      </c>
      <c r="I716" s="26" t="n">
        <v>-1</v>
      </c>
      <c r="J716" s="26" t="n">
        <v>0</v>
      </c>
      <c r="K716" s="26" t="n">
        <v>0</v>
      </c>
      <c r="L716" s="26" t="n">
        <v>0</v>
      </c>
      <c r="M716" s="26" t="n">
        <v>0</v>
      </c>
      <c r="N716" s="26" t="n">
        <v>0</v>
      </c>
      <c r="O716" s="26" t="n">
        <v>0</v>
      </c>
      <c r="P716" s="26" t="n">
        <v>0</v>
      </c>
      <c r="Q716" s="26" t="n">
        <v>-1</v>
      </c>
      <c r="R716" s="26" t="n">
        <v>0</v>
      </c>
      <c r="S716" s="26" t="n">
        <v>0</v>
      </c>
      <c r="T716" s="26" t="n">
        <v>0</v>
      </c>
      <c r="U716" s="26" t="n">
        <v>0</v>
      </c>
    </row>
    <row r="717" customFormat="false" ht="15" hidden="false" customHeight="true" outlineLevel="0" collapsed="false">
      <c r="A717" s="8" t="s">
        <v>944</v>
      </c>
      <c r="B717" s="8" t="s">
        <v>221</v>
      </c>
      <c r="C717" s="8" t="s">
        <v>531</v>
      </c>
      <c r="D717" s="26" t="n">
        <v>0</v>
      </c>
      <c r="E717" s="26" t="n">
        <v>0</v>
      </c>
      <c r="F717" s="26" t="n">
        <v>3</v>
      </c>
      <c r="G717" s="26" t="n">
        <v>0</v>
      </c>
      <c r="H717" s="26" t="n">
        <v>0</v>
      </c>
      <c r="I717" s="26" t="n">
        <v>0</v>
      </c>
      <c r="J717" s="26" t="n">
        <v>0</v>
      </c>
      <c r="K717" s="26" t="n">
        <v>0</v>
      </c>
      <c r="L717" s="26" t="n">
        <v>0</v>
      </c>
      <c r="M717" s="26" t="n">
        <v>0</v>
      </c>
      <c r="N717" s="26" t="n">
        <v>0</v>
      </c>
      <c r="O717" s="26" t="n">
        <v>0</v>
      </c>
      <c r="P717" s="26" t="n">
        <v>0</v>
      </c>
      <c r="Q717" s="26" t="n">
        <v>0</v>
      </c>
      <c r="R717" s="26" t="n">
        <v>0</v>
      </c>
      <c r="S717" s="26" t="n">
        <v>0</v>
      </c>
      <c r="T717" s="26" t="n">
        <v>0</v>
      </c>
      <c r="U717" s="26" t="n">
        <v>0</v>
      </c>
    </row>
    <row r="718" customFormat="false" ht="15" hidden="false" customHeight="true" outlineLevel="0" collapsed="false">
      <c r="A718" s="8" t="s">
        <v>944</v>
      </c>
      <c r="B718" s="8" t="s">
        <v>221</v>
      </c>
      <c r="C718" s="8" t="s">
        <v>532</v>
      </c>
      <c r="D718" s="26" t="n">
        <v>0</v>
      </c>
      <c r="E718" s="26" t="n">
        <v>0</v>
      </c>
      <c r="F718" s="26" t="n">
        <v>3</v>
      </c>
      <c r="G718" s="26" t="n">
        <v>0</v>
      </c>
      <c r="H718" s="26" t="n">
        <v>0</v>
      </c>
      <c r="I718" s="26" t="n">
        <v>0</v>
      </c>
      <c r="J718" s="26" t="n">
        <v>0</v>
      </c>
      <c r="K718" s="26" t="n">
        <v>0</v>
      </c>
      <c r="L718" s="26" t="n">
        <v>0</v>
      </c>
      <c r="M718" s="26" t="n">
        <v>0</v>
      </c>
      <c r="N718" s="26" t="n">
        <v>0</v>
      </c>
      <c r="O718" s="26" t="n">
        <v>0</v>
      </c>
      <c r="P718" s="26" t="n">
        <v>0</v>
      </c>
      <c r="Q718" s="26" t="n">
        <v>0</v>
      </c>
      <c r="R718" s="26" t="n">
        <v>0</v>
      </c>
      <c r="S718" s="26" t="n">
        <v>0</v>
      </c>
      <c r="T718" s="26" t="n">
        <v>0</v>
      </c>
      <c r="U718" s="26" t="n">
        <v>0</v>
      </c>
    </row>
    <row r="719" customFormat="false" ht="15" hidden="false" customHeight="true" outlineLevel="0" collapsed="false">
      <c r="A719" s="8" t="s">
        <v>944</v>
      </c>
      <c r="B719" s="8" t="s">
        <v>121</v>
      </c>
      <c r="C719" s="8" t="s">
        <v>533</v>
      </c>
      <c r="D719" s="26" t="n">
        <v>0</v>
      </c>
      <c r="E719" s="26" t="n">
        <v>0</v>
      </c>
      <c r="F719" s="26" t="n">
        <v>86</v>
      </c>
      <c r="G719" s="26" t="n">
        <v>0</v>
      </c>
      <c r="H719" s="26" t="n">
        <v>0</v>
      </c>
      <c r="I719" s="26" t="n">
        <v>65</v>
      </c>
      <c r="J719" s="26" t="n">
        <v>0</v>
      </c>
      <c r="K719" s="26" t="n">
        <v>0</v>
      </c>
      <c r="L719" s="26" t="n">
        <v>0</v>
      </c>
      <c r="M719" s="26" t="n">
        <v>0</v>
      </c>
      <c r="N719" s="26" t="n">
        <v>0</v>
      </c>
      <c r="O719" s="26" t="n">
        <v>0</v>
      </c>
      <c r="P719" s="26" t="n">
        <v>0</v>
      </c>
      <c r="Q719" s="26" t="n">
        <v>65</v>
      </c>
      <c r="R719" s="26" t="n">
        <v>0</v>
      </c>
      <c r="S719" s="26" t="n">
        <v>0</v>
      </c>
      <c r="T719" s="26" t="n">
        <v>0</v>
      </c>
      <c r="U719" s="26" t="n">
        <v>0</v>
      </c>
    </row>
    <row r="720" customFormat="false" ht="15" hidden="false" customHeight="true" outlineLevel="0" collapsed="false">
      <c r="A720" s="8" t="s">
        <v>944</v>
      </c>
      <c r="B720" s="8" t="s">
        <v>105</v>
      </c>
      <c r="C720" s="8" t="s">
        <v>534</v>
      </c>
      <c r="D720" s="26" t="n">
        <v>0</v>
      </c>
      <c r="E720" s="26" t="n">
        <v>0</v>
      </c>
      <c r="F720" s="26" t="n">
        <v>139</v>
      </c>
      <c r="G720" s="26" t="n">
        <v>0</v>
      </c>
      <c r="H720" s="26" t="n">
        <v>0</v>
      </c>
      <c r="I720" s="26" t="n">
        <v>164</v>
      </c>
      <c r="J720" s="26" t="n">
        <v>0</v>
      </c>
      <c r="K720" s="26" t="n">
        <v>0</v>
      </c>
      <c r="L720" s="26" t="n">
        <v>0</v>
      </c>
      <c r="M720" s="26" t="n">
        <v>0</v>
      </c>
      <c r="N720" s="26" t="n">
        <v>0</v>
      </c>
      <c r="O720" s="26" t="n">
        <v>0</v>
      </c>
      <c r="P720" s="26" t="n">
        <v>0</v>
      </c>
      <c r="Q720" s="26" t="n">
        <v>164</v>
      </c>
      <c r="R720" s="26" t="n">
        <v>0</v>
      </c>
      <c r="S720" s="26" t="n">
        <v>0</v>
      </c>
      <c r="T720" s="26" t="n">
        <v>0</v>
      </c>
      <c r="U720" s="26" t="n">
        <v>0</v>
      </c>
    </row>
    <row r="721" customFormat="false" ht="15" hidden="false" customHeight="true" outlineLevel="0" collapsed="false">
      <c r="A721" s="8" t="s">
        <v>944</v>
      </c>
      <c r="B721" s="8" t="s">
        <v>232</v>
      </c>
      <c r="C721" s="8" t="s">
        <v>535</v>
      </c>
      <c r="D721" s="26" t="n">
        <v>0</v>
      </c>
      <c r="E721" s="26" t="n">
        <v>0</v>
      </c>
      <c r="F721" s="26" t="n">
        <v>5</v>
      </c>
      <c r="G721" s="26" t="n">
        <v>0</v>
      </c>
      <c r="H721" s="26" t="n">
        <v>0</v>
      </c>
      <c r="I721" s="26" t="n">
        <v>2</v>
      </c>
      <c r="J721" s="26" t="n">
        <v>0</v>
      </c>
      <c r="K721" s="26" t="n">
        <v>0</v>
      </c>
      <c r="L721" s="26" t="n">
        <v>0</v>
      </c>
      <c r="M721" s="26" t="n">
        <v>0</v>
      </c>
      <c r="N721" s="26" t="n">
        <v>0</v>
      </c>
      <c r="O721" s="26" t="n">
        <v>0</v>
      </c>
      <c r="P721" s="26" t="n">
        <v>0</v>
      </c>
      <c r="Q721" s="26" t="n">
        <v>2</v>
      </c>
      <c r="R721" s="26" t="n">
        <v>0</v>
      </c>
      <c r="S721" s="26" t="n">
        <v>1</v>
      </c>
      <c r="T721" s="26" t="n">
        <v>0</v>
      </c>
      <c r="U721" s="26" t="n">
        <v>0</v>
      </c>
    </row>
    <row r="722" customFormat="false" ht="15" hidden="false" customHeight="true" outlineLevel="0" collapsed="false">
      <c r="A722" s="8" t="s">
        <v>944</v>
      </c>
      <c r="B722" s="8" t="s">
        <v>82</v>
      </c>
      <c r="C722" s="8" t="s">
        <v>536</v>
      </c>
      <c r="D722" s="26" t="n">
        <v>0</v>
      </c>
      <c r="E722" s="26" t="n">
        <v>0</v>
      </c>
      <c r="F722" s="26" t="n">
        <v>1098</v>
      </c>
      <c r="G722" s="26" t="n">
        <v>0</v>
      </c>
      <c r="H722" s="26" t="n">
        <v>0</v>
      </c>
      <c r="I722" s="26" t="n">
        <v>34</v>
      </c>
      <c r="J722" s="26" t="n">
        <v>0</v>
      </c>
      <c r="K722" s="26" t="n">
        <v>1</v>
      </c>
      <c r="L722" s="26" t="n">
        <v>0</v>
      </c>
      <c r="M722" s="26" t="n">
        <v>6</v>
      </c>
      <c r="N722" s="26" t="n">
        <v>6</v>
      </c>
      <c r="O722" s="26" t="n">
        <v>11</v>
      </c>
      <c r="P722" s="26" t="n">
        <v>0</v>
      </c>
      <c r="Q722" s="26" t="n">
        <v>0</v>
      </c>
      <c r="R722" s="26" t="n">
        <v>10</v>
      </c>
      <c r="S722" s="26" t="n">
        <v>0</v>
      </c>
      <c r="T722" s="26" t="n">
        <v>0</v>
      </c>
      <c r="U722" s="26" t="n">
        <v>0</v>
      </c>
    </row>
    <row r="723" customFormat="false" ht="15" hidden="false" customHeight="true" outlineLevel="0" collapsed="false">
      <c r="A723" s="8" t="s">
        <v>944</v>
      </c>
      <c r="B723" s="8" t="s">
        <v>140</v>
      </c>
      <c r="C723" s="8" t="s">
        <v>537</v>
      </c>
      <c r="D723" s="26" t="n">
        <v>0</v>
      </c>
      <c r="E723" s="26" t="n">
        <v>0</v>
      </c>
      <c r="F723" s="26" t="n">
        <v>219</v>
      </c>
      <c r="G723" s="26" t="n">
        <v>0</v>
      </c>
      <c r="H723" s="26" t="n">
        <v>2</v>
      </c>
      <c r="I723" s="26" t="n">
        <v>2</v>
      </c>
      <c r="J723" s="26" t="n">
        <v>0</v>
      </c>
      <c r="K723" s="26" t="n">
        <v>0</v>
      </c>
      <c r="L723" s="26" t="n">
        <v>0</v>
      </c>
      <c r="M723" s="26" t="n">
        <v>0</v>
      </c>
      <c r="N723" s="26" t="n">
        <v>3</v>
      </c>
      <c r="O723" s="26" t="n">
        <v>0</v>
      </c>
      <c r="P723" s="26" t="n">
        <v>-1</v>
      </c>
      <c r="Q723" s="26" t="n">
        <v>0</v>
      </c>
      <c r="R723" s="26" t="n">
        <v>0</v>
      </c>
      <c r="S723" s="26" t="n">
        <v>0</v>
      </c>
      <c r="T723" s="26" t="n">
        <v>0</v>
      </c>
      <c r="U723" s="26" t="n">
        <v>0</v>
      </c>
    </row>
    <row r="724" customFormat="false" ht="15" hidden="false" customHeight="true" outlineLevel="0" collapsed="false">
      <c r="A724" s="8" t="s">
        <v>944</v>
      </c>
      <c r="B724" s="8" t="s">
        <v>102</v>
      </c>
      <c r="C724" s="8" t="s">
        <v>538</v>
      </c>
      <c r="D724" s="26" t="n">
        <v>0</v>
      </c>
      <c r="E724" s="26" t="n">
        <v>0</v>
      </c>
      <c r="F724" s="26" t="n">
        <v>1130</v>
      </c>
      <c r="G724" s="26" t="n">
        <v>0</v>
      </c>
      <c r="H724" s="26" t="n">
        <v>0</v>
      </c>
      <c r="I724" s="26" t="n">
        <v>73</v>
      </c>
      <c r="J724" s="26" t="n">
        <v>0</v>
      </c>
      <c r="K724" s="26" t="n">
        <v>3</v>
      </c>
      <c r="L724" s="26" t="n">
        <v>0</v>
      </c>
      <c r="M724" s="26" t="n">
        <v>11</v>
      </c>
      <c r="N724" s="26" t="n">
        <v>2</v>
      </c>
      <c r="O724" s="26" t="n">
        <v>0</v>
      </c>
      <c r="P724" s="26" t="n">
        <v>-2</v>
      </c>
      <c r="Q724" s="26" t="n">
        <v>0</v>
      </c>
      <c r="R724" s="26" t="n">
        <v>59</v>
      </c>
      <c r="S724" s="26" t="n">
        <v>0</v>
      </c>
      <c r="T724" s="26" t="n">
        <v>0</v>
      </c>
      <c r="U724" s="26" t="n">
        <v>0</v>
      </c>
    </row>
    <row r="725" customFormat="false" ht="15" hidden="false" customHeight="true" outlineLevel="0" collapsed="false">
      <c r="A725" s="8" t="s">
        <v>944</v>
      </c>
      <c r="B725" s="8" t="s">
        <v>162</v>
      </c>
      <c r="C725" s="8" t="s">
        <v>539</v>
      </c>
      <c r="D725" s="26" t="n">
        <v>0</v>
      </c>
      <c r="E725" s="26" t="n">
        <v>0</v>
      </c>
      <c r="F725" s="26" t="n">
        <v>388</v>
      </c>
      <c r="G725" s="26" t="n">
        <v>0</v>
      </c>
      <c r="H725" s="26" t="n">
        <v>0</v>
      </c>
      <c r="I725" s="26" t="n">
        <v>934</v>
      </c>
      <c r="J725" s="26" t="n">
        <v>0</v>
      </c>
      <c r="K725" s="26" t="n">
        <v>9</v>
      </c>
      <c r="L725" s="26" t="n">
        <v>0</v>
      </c>
      <c r="M725" s="26" t="n">
        <v>2</v>
      </c>
      <c r="N725" s="26" t="n">
        <v>6</v>
      </c>
      <c r="O725" s="26" t="n">
        <v>1</v>
      </c>
      <c r="P725" s="26" t="n">
        <v>-1</v>
      </c>
      <c r="Q725" s="26" t="n">
        <v>803</v>
      </c>
      <c r="R725" s="26" t="n">
        <v>114</v>
      </c>
      <c r="S725" s="26" t="n">
        <v>0</v>
      </c>
      <c r="T725" s="26" t="n">
        <v>0</v>
      </c>
      <c r="U725" s="26" t="n">
        <v>-2</v>
      </c>
    </row>
    <row r="726" customFormat="false" ht="15" hidden="false" customHeight="true" outlineLevel="0" collapsed="false">
      <c r="A726" s="8" t="s">
        <v>944</v>
      </c>
      <c r="B726" s="8" t="s">
        <v>189</v>
      </c>
      <c r="C726" s="8" t="s">
        <v>533</v>
      </c>
      <c r="D726" s="26" t="n">
        <v>0</v>
      </c>
      <c r="E726" s="26" t="n">
        <v>0</v>
      </c>
      <c r="F726" s="26" t="n">
        <v>20</v>
      </c>
      <c r="G726" s="26" t="n">
        <v>0</v>
      </c>
      <c r="H726" s="26" t="n">
        <v>0</v>
      </c>
      <c r="I726" s="26" t="n">
        <v>12</v>
      </c>
      <c r="J726" s="26" t="n">
        <v>0</v>
      </c>
      <c r="K726" s="26" t="n">
        <v>0</v>
      </c>
      <c r="L726" s="26" t="n">
        <v>0</v>
      </c>
      <c r="M726" s="26" t="n">
        <v>0</v>
      </c>
      <c r="N726" s="26" t="n">
        <v>1</v>
      </c>
      <c r="O726" s="26" t="n">
        <v>0</v>
      </c>
      <c r="P726" s="26" t="n">
        <v>0</v>
      </c>
      <c r="Q726" s="26" t="n">
        <v>11</v>
      </c>
      <c r="R726" s="26" t="n">
        <v>0</v>
      </c>
      <c r="S726" s="26" t="n">
        <v>0</v>
      </c>
      <c r="T726" s="26" t="n">
        <v>0</v>
      </c>
      <c r="U726" s="26" t="n">
        <v>0</v>
      </c>
    </row>
    <row r="727" customFormat="false" ht="15" hidden="false" customHeight="true" outlineLevel="0" collapsed="false">
      <c r="A727" s="8" t="s">
        <v>944</v>
      </c>
      <c r="B727" s="8" t="s">
        <v>112</v>
      </c>
      <c r="C727" s="8" t="s">
        <v>533</v>
      </c>
      <c r="D727" s="26" t="n">
        <v>0</v>
      </c>
      <c r="E727" s="26" t="n">
        <v>0</v>
      </c>
      <c r="F727" s="26" t="n">
        <v>121</v>
      </c>
      <c r="G727" s="26" t="n">
        <v>0</v>
      </c>
      <c r="H727" s="26" t="n">
        <v>0</v>
      </c>
      <c r="I727" s="26" t="n">
        <v>132</v>
      </c>
      <c r="J727" s="26" t="n">
        <v>0</v>
      </c>
      <c r="K727" s="26" t="n">
        <v>0</v>
      </c>
      <c r="L727" s="26" t="n">
        <v>0</v>
      </c>
      <c r="M727" s="26" t="n">
        <v>0</v>
      </c>
      <c r="N727" s="26" t="n">
        <v>0</v>
      </c>
      <c r="O727" s="26" t="n">
        <v>0</v>
      </c>
      <c r="P727" s="26" t="n">
        <v>0</v>
      </c>
      <c r="Q727" s="26" t="n">
        <v>132</v>
      </c>
      <c r="R727" s="26" t="n">
        <v>0</v>
      </c>
      <c r="S727" s="26" t="n">
        <v>0</v>
      </c>
      <c r="T727" s="26" t="n">
        <v>0</v>
      </c>
      <c r="U727" s="26" t="n">
        <v>0</v>
      </c>
    </row>
    <row r="728" customFormat="false" ht="15" hidden="false" customHeight="true" outlineLevel="0" collapsed="false">
      <c r="A728" s="8" t="s">
        <v>944</v>
      </c>
      <c r="B728" s="8" t="s">
        <v>159</v>
      </c>
      <c r="C728" s="8" t="s">
        <v>540</v>
      </c>
      <c r="D728" s="26" t="n">
        <v>0</v>
      </c>
      <c r="E728" s="26" t="n">
        <v>0</v>
      </c>
      <c r="F728" s="26" t="n">
        <v>388</v>
      </c>
      <c r="G728" s="26" t="n">
        <v>0</v>
      </c>
      <c r="H728" s="26" t="n">
        <v>0</v>
      </c>
      <c r="I728" s="26" t="n">
        <v>266</v>
      </c>
      <c r="J728" s="26" t="n">
        <v>0</v>
      </c>
      <c r="K728" s="26" t="n">
        <v>41</v>
      </c>
      <c r="L728" s="26" t="n">
        <v>-1</v>
      </c>
      <c r="M728" s="26" t="n">
        <v>8</v>
      </c>
      <c r="N728" s="26" t="n">
        <v>11</v>
      </c>
      <c r="O728" s="26" t="n">
        <v>5</v>
      </c>
      <c r="P728" s="26" t="n">
        <v>0</v>
      </c>
      <c r="Q728" s="26" t="n">
        <v>0</v>
      </c>
      <c r="R728" s="26" t="n">
        <v>202</v>
      </c>
      <c r="S728" s="26" t="n">
        <v>0</v>
      </c>
      <c r="T728" s="26" t="n">
        <v>0</v>
      </c>
      <c r="U728" s="26" t="n">
        <v>0</v>
      </c>
    </row>
    <row r="729" customFormat="false" ht="15" hidden="false" customHeight="true" outlineLevel="0" collapsed="false">
      <c r="A729" s="8" t="s">
        <v>944</v>
      </c>
      <c r="B729" s="8" t="s">
        <v>159</v>
      </c>
      <c r="C729" s="8" t="s">
        <v>541</v>
      </c>
      <c r="D729" s="26" t="n">
        <v>0</v>
      </c>
      <c r="E729" s="26" t="n">
        <v>0</v>
      </c>
      <c r="F729" s="26" t="n">
        <v>243</v>
      </c>
      <c r="G729" s="26" t="n">
        <v>0</v>
      </c>
      <c r="H729" s="26" t="n">
        <v>3</v>
      </c>
      <c r="I729" s="26" t="n">
        <v>348</v>
      </c>
      <c r="J729" s="26" t="n">
        <v>0</v>
      </c>
      <c r="K729" s="26" t="n">
        <v>12</v>
      </c>
      <c r="L729" s="26" t="n">
        <v>0</v>
      </c>
      <c r="M729" s="26" t="n">
        <v>2</v>
      </c>
      <c r="N729" s="26" t="n">
        <v>11</v>
      </c>
      <c r="O729" s="26" t="n">
        <v>4</v>
      </c>
      <c r="P729" s="26" t="n">
        <v>0</v>
      </c>
      <c r="Q729" s="26" t="n">
        <v>223</v>
      </c>
      <c r="R729" s="26" t="n">
        <v>96</v>
      </c>
      <c r="S729" s="26" t="n">
        <v>0</v>
      </c>
      <c r="T729" s="26" t="n">
        <v>0</v>
      </c>
      <c r="U729" s="26" t="n">
        <v>0</v>
      </c>
    </row>
    <row r="730" customFormat="false" ht="15" hidden="false" customHeight="true" outlineLevel="0" collapsed="false">
      <c r="A730" s="8" t="s">
        <v>944</v>
      </c>
      <c r="B730" s="8" t="s">
        <v>230</v>
      </c>
      <c r="C730" s="8" t="s">
        <v>542</v>
      </c>
      <c r="D730" s="26" t="n">
        <v>0</v>
      </c>
      <c r="E730" s="26" t="n">
        <v>0</v>
      </c>
      <c r="F730" s="26" t="n">
        <v>-15</v>
      </c>
      <c r="G730" s="26" t="n">
        <v>0</v>
      </c>
      <c r="H730" s="26" t="n">
        <v>-2</v>
      </c>
      <c r="I730" s="26" t="n">
        <v>-25</v>
      </c>
      <c r="J730" s="26" t="n">
        <v>0</v>
      </c>
      <c r="K730" s="26" t="n">
        <v>0</v>
      </c>
      <c r="L730" s="26" t="n">
        <v>0</v>
      </c>
      <c r="M730" s="26" t="n">
        <v>0</v>
      </c>
      <c r="N730" s="26" t="n">
        <v>-2</v>
      </c>
      <c r="O730" s="26" t="n">
        <v>0</v>
      </c>
      <c r="P730" s="26" t="n">
        <v>-11</v>
      </c>
      <c r="Q730" s="26" t="n">
        <v>-8</v>
      </c>
      <c r="R730" s="26" t="n">
        <v>-4</v>
      </c>
      <c r="S730" s="26" t="n">
        <v>0</v>
      </c>
      <c r="T730" s="26" t="n">
        <v>0</v>
      </c>
      <c r="U730" s="26" t="n">
        <v>-2</v>
      </c>
    </row>
    <row r="731" customFormat="false" ht="15" hidden="false" customHeight="true" outlineLevel="0" collapsed="false">
      <c r="A731" s="8" t="s">
        <v>944</v>
      </c>
      <c r="B731" s="8" t="s">
        <v>369</v>
      </c>
      <c r="C731" s="8" t="s">
        <v>543</v>
      </c>
      <c r="D731" s="26" t="n">
        <v>0</v>
      </c>
      <c r="E731" s="26" t="n">
        <v>0</v>
      </c>
      <c r="F731" s="26" t="n">
        <v>0</v>
      </c>
      <c r="G731" s="26" t="n">
        <v>0</v>
      </c>
      <c r="H731" s="26" t="n">
        <v>0</v>
      </c>
      <c r="I731" s="26" t="n">
        <v>-1</v>
      </c>
      <c r="J731" s="26" t="n">
        <v>0</v>
      </c>
      <c r="K731" s="26" t="n">
        <v>0</v>
      </c>
      <c r="L731" s="26" t="n">
        <v>0</v>
      </c>
      <c r="M731" s="26" t="n">
        <v>0</v>
      </c>
      <c r="N731" s="26" t="n">
        <v>0</v>
      </c>
      <c r="O731" s="26" t="n">
        <v>0</v>
      </c>
      <c r="P731" s="26" t="n">
        <v>-1</v>
      </c>
      <c r="Q731" s="26" t="n">
        <v>0</v>
      </c>
      <c r="R731" s="26" t="n">
        <v>0</v>
      </c>
      <c r="S731" s="26" t="n">
        <v>0</v>
      </c>
      <c r="T731" s="26" t="n">
        <v>0</v>
      </c>
      <c r="U731" s="26" t="n">
        <v>0</v>
      </c>
    </row>
    <row r="732" customFormat="false" ht="15" hidden="false" customHeight="true" outlineLevel="0" collapsed="false">
      <c r="A732" s="8" t="s">
        <v>944</v>
      </c>
      <c r="B732" s="8" t="s">
        <v>106</v>
      </c>
      <c r="C732" s="8" t="s">
        <v>544</v>
      </c>
      <c r="D732" s="26" t="n">
        <v>0</v>
      </c>
      <c r="E732" s="26" t="n">
        <v>0</v>
      </c>
      <c r="F732" s="26" t="n">
        <v>625</v>
      </c>
      <c r="G732" s="26" t="n">
        <v>0</v>
      </c>
      <c r="H732" s="26" t="n">
        <v>11</v>
      </c>
      <c r="I732" s="26" t="n">
        <v>2669</v>
      </c>
      <c r="J732" s="26" t="n">
        <v>0</v>
      </c>
      <c r="K732" s="26" t="n">
        <v>93</v>
      </c>
      <c r="L732" s="26" t="n">
        <v>-6</v>
      </c>
      <c r="M732" s="26" t="n">
        <v>25</v>
      </c>
      <c r="N732" s="26" t="n">
        <v>21</v>
      </c>
      <c r="O732" s="26" t="n">
        <v>26</v>
      </c>
      <c r="P732" s="26" t="n">
        <v>-12</v>
      </c>
      <c r="Q732" s="26" t="n">
        <v>1282</v>
      </c>
      <c r="R732" s="26" t="n">
        <v>1240</v>
      </c>
      <c r="S732" s="26" t="n">
        <v>4</v>
      </c>
      <c r="T732" s="26" t="n">
        <v>0</v>
      </c>
      <c r="U732" s="26" t="n">
        <v>0</v>
      </c>
    </row>
    <row r="733" customFormat="false" ht="15" hidden="false" customHeight="true" outlineLevel="0" collapsed="false">
      <c r="A733" s="8" t="s">
        <v>944</v>
      </c>
      <c r="B733" s="8" t="s">
        <v>141</v>
      </c>
      <c r="C733" s="8" t="s">
        <v>545</v>
      </c>
      <c r="D733" s="26" t="n">
        <v>0</v>
      </c>
      <c r="E733" s="26" t="n">
        <v>0</v>
      </c>
      <c r="F733" s="26" t="n">
        <v>296</v>
      </c>
      <c r="G733" s="26" t="n">
        <v>0</v>
      </c>
      <c r="H733" s="26" t="n">
        <v>0</v>
      </c>
      <c r="I733" s="26" t="n">
        <v>2372</v>
      </c>
      <c r="J733" s="26" t="n">
        <v>0</v>
      </c>
      <c r="K733" s="26" t="n">
        <v>8</v>
      </c>
      <c r="L733" s="26" t="n">
        <v>0</v>
      </c>
      <c r="M733" s="26" t="n">
        <v>3</v>
      </c>
      <c r="N733" s="26" t="n">
        <v>10</v>
      </c>
      <c r="O733" s="26" t="n">
        <v>4</v>
      </c>
      <c r="P733" s="26" t="n">
        <v>-5</v>
      </c>
      <c r="Q733" s="26" t="n">
        <v>2204</v>
      </c>
      <c r="R733" s="26" t="n">
        <v>148</v>
      </c>
      <c r="S733" s="26" t="n">
        <v>0</v>
      </c>
      <c r="T733" s="26" t="n">
        <v>0</v>
      </c>
      <c r="U733" s="26" t="n">
        <v>0</v>
      </c>
    </row>
    <row r="734" customFormat="false" ht="15" hidden="false" customHeight="true" outlineLevel="0" collapsed="false">
      <c r="A734" s="8" t="s">
        <v>944</v>
      </c>
      <c r="B734" s="8" t="s">
        <v>169</v>
      </c>
      <c r="C734" s="8" t="s">
        <v>546</v>
      </c>
      <c r="D734" s="26" t="n">
        <v>0</v>
      </c>
      <c r="E734" s="26" t="n">
        <v>0</v>
      </c>
      <c r="F734" s="26" t="n">
        <v>222</v>
      </c>
      <c r="G734" s="26" t="n">
        <v>0</v>
      </c>
      <c r="H734" s="26" t="n">
        <v>0</v>
      </c>
      <c r="I734" s="26" t="n">
        <v>301</v>
      </c>
      <c r="J734" s="26" t="n">
        <v>0</v>
      </c>
      <c r="K734" s="26" t="n">
        <v>9</v>
      </c>
      <c r="L734" s="26" t="n">
        <v>0</v>
      </c>
      <c r="M734" s="26" t="n">
        <v>0</v>
      </c>
      <c r="N734" s="26" t="n">
        <v>0</v>
      </c>
      <c r="O734" s="26" t="n">
        <v>0</v>
      </c>
      <c r="P734" s="26" t="n">
        <v>-14</v>
      </c>
      <c r="Q734" s="26" t="n">
        <v>235</v>
      </c>
      <c r="R734" s="26" t="n">
        <v>71</v>
      </c>
      <c r="S734" s="26" t="n">
        <v>0</v>
      </c>
      <c r="T734" s="26" t="n">
        <v>0</v>
      </c>
      <c r="U734" s="26" t="n">
        <v>0</v>
      </c>
    </row>
    <row r="735" customFormat="false" ht="15" hidden="false" customHeight="true" outlineLevel="0" collapsed="false">
      <c r="A735" s="8" t="s">
        <v>944</v>
      </c>
      <c r="B735" s="8" t="s">
        <v>373</v>
      </c>
      <c r="C735" s="8" t="s">
        <v>547</v>
      </c>
      <c r="D735" s="26" t="n">
        <v>0</v>
      </c>
      <c r="E735" s="26" t="n">
        <v>0</v>
      </c>
      <c r="F735" s="26" t="n">
        <v>0</v>
      </c>
      <c r="G735" s="26" t="n">
        <v>0</v>
      </c>
      <c r="H735" s="26" t="n">
        <v>0</v>
      </c>
      <c r="I735" s="26" t="n">
        <v>-3</v>
      </c>
      <c r="J735" s="26" t="n">
        <v>0</v>
      </c>
      <c r="K735" s="26" t="n">
        <v>0</v>
      </c>
      <c r="L735" s="26" t="n">
        <v>0</v>
      </c>
      <c r="M735" s="26" t="n">
        <v>0</v>
      </c>
      <c r="N735" s="26" t="n">
        <v>0</v>
      </c>
      <c r="O735" s="26" t="n">
        <v>0</v>
      </c>
      <c r="P735" s="26" t="n">
        <v>0</v>
      </c>
      <c r="Q735" s="26" t="n">
        <v>-3</v>
      </c>
      <c r="R735" s="26" t="n">
        <v>0</v>
      </c>
      <c r="S735" s="26" t="n">
        <v>0</v>
      </c>
      <c r="T735" s="26" t="n">
        <v>0</v>
      </c>
      <c r="U735" s="26" t="n">
        <v>0</v>
      </c>
    </row>
    <row r="736" customFormat="false" ht="15" hidden="false" customHeight="true" outlineLevel="0" collapsed="false">
      <c r="A736" s="8" t="s">
        <v>944</v>
      </c>
      <c r="B736" s="8" t="s">
        <v>244</v>
      </c>
      <c r="C736" s="8" t="s">
        <v>548</v>
      </c>
      <c r="D736" s="26" t="n">
        <v>0</v>
      </c>
      <c r="E736" s="26" t="n">
        <v>0</v>
      </c>
      <c r="F736" s="26" t="n">
        <v>49</v>
      </c>
      <c r="G736" s="26" t="n">
        <v>0</v>
      </c>
      <c r="H736" s="26" t="n">
        <v>0</v>
      </c>
      <c r="I736" s="26" t="n">
        <v>21</v>
      </c>
      <c r="J736" s="26" t="n">
        <v>0</v>
      </c>
      <c r="K736" s="26" t="n">
        <v>0</v>
      </c>
      <c r="L736" s="26" t="n">
        <v>0</v>
      </c>
      <c r="M736" s="26" t="n">
        <v>0</v>
      </c>
      <c r="N736" s="26" t="n">
        <v>0</v>
      </c>
      <c r="O736" s="26" t="n">
        <v>0</v>
      </c>
      <c r="P736" s="26" t="n">
        <v>0</v>
      </c>
      <c r="Q736" s="26" t="n">
        <v>21</v>
      </c>
      <c r="R736" s="26" t="n">
        <v>0</v>
      </c>
      <c r="S736" s="26" t="n">
        <v>0</v>
      </c>
      <c r="T736" s="26" t="n">
        <v>0</v>
      </c>
      <c r="U736" s="26" t="n">
        <v>0</v>
      </c>
    </row>
    <row r="737" customFormat="false" ht="15" hidden="false" customHeight="true" outlineLevel="0" collapsed="false">
      <c r="A737" s="8" t="s">
        <v>944</v>
      </c>
      <c r="B737" s="8" t="s">
        <v>158</v>
      </c>
      <c r="C737" s="8" t="s">
        <v>549</v>
      </c>
      <c r="D737" s="26" t="n">
        <v>0</v>
      </c>
      <c r="E737" s="26" t="n">
        <v>0</v>
      </c>
      <c r="F737" s="26" t="n">
        <v>6</v>
      </c>
      <c r="G737" s="26" t="n">
        <v>0</v>
      </c>
      <c r="H737" s="26" t="n">
        <v>0</v>
      </c>
      <c r="I737" s="26" t="n">
        <v>35</v>
      </c>
      <c r="J737" s="26" t="n">
        <v>0</v>
      </c>
      <c r="K737" s="26" t="n">
        <v>2</v>
      </c>
      <c r="L737" s="26" t="n">
        <v>0</v>
      </c>
      <c r="M737" s="26" t="n">
        <v>0</v>
      </c>
      <c r="N737" s="26" t="n">
        <v>0</v>
      </c>
      <c r="O737" s="26" t="n">
        <v>0</v>
      </c>
      <c r="P737" s="26" t="n">
        <v>-4</v>
      </c>
      <c r="Q737" s="26" t="n">
        <v>26</v>
      </c>
      <c r="R737" s="26" t="n">
        <v>11</v>
      </c>
      <c r="S737" s="26" t="n">
        <v>0</v>
      </c>
      <c r="T737" s="26" t="n">
        <v>0</v>
      </c>
      <c r="U737" s="26" t="n">
        <v>0</v>
      </c>
    </row>
    <row r="738" customFormat="false" ht="15" hidden="false" customHeight="true" outlineLevel="0" collapsed="false">
      <c r="A738" s="8" t="s">
        <v>944</v>
      </c>
      <c r="B738" s="8" t="s">
        <v>158</v>
      </c>
      <c r="C738" s="8" t="s">
        <v>550</v>
      </c>
      <c r="D738" s="26" t="n">
        <v>0</v>
      </c>
      <c r="E738" s="26" t="n">
        <v>0</v>
      </c>
      <c r="F738" s="26" t="n">
        <v>14</v>
      </c>
      <c r="G738" s="26" t="n">
        <v>0</v>
      </c>
      <c r="H738" s="26" t="n">
        <v>0</v>
      </c>
      <c r="I738" s="26" t="n">
        <v>33</v>
      </c>
      <c r="J738" s="26" t="n">
        <v>0</v>
      </c>
      <c r="K738" s="26" t="n">
        <v>0</v>
      </c>
      <c r="L738" s="26" t="n">
        <v>0</v>
      </c>
      <c r="M738" s="26" t="n">
        <v>0</v>
      </c>
      <c r="N738" s="26" t="n">
        <v>0</v>
      </c>
      <c r="O738" s="26" t="n">
        <v>0</v>
      </c>
      <c r="P738" s="26" t="n">
        <v>-5</v>
      </c>
      <c r="Q738" s="26" t="n">
        <v>30</v>
      </c>
      <c r="R738" s="26" t="n">
        <v>8</v>
      </c>
      <c r="S738" s="26" t="n">
        <v>0</v>
      </c>
      <c r="T738" s="26" t="n">
        <v>0</v>
      </c>
      <c r="U738" s="26" t="n">
        <v>0</v>
      </c>
    </row>
    <row r="739" customFormat="false" ht="15" hidden="false" customHeight="true" outlineLevel="0" collapsed="false">
      <c r="A739" s="8" t="s">
        <v>944</v>
      </c>
      <c r="B739" s="8" t="s">
        <v>158</v>
      </c>
      <c r="C739" s="8" t="s">
        <v>551</v>
      </c>
      <c r="D739" s="26" t="n">
        <v>0</v>
      </c>
      <c r="E739" s="26" t="n">
        <v>0</v>
      </c>
      <c r="F739" s="26" t="n">
        <v>6</v>
      </c>
      <c r="G739" s="26" t="n">
        <v>0</v>
      </c>
      <c r="H739" s="26" t="n">
        <v>0</v>
      </c>
      <c r="I739" s="26" t="n">
        <v>46</v>
      </c>
      <c r="J739" s="26" t="n">
        <v>0</v>
      </c>
      <c r="K739" s="26" t="n">
        <v>0</v>
      </c>
      <c r="L739" s="26" t="n">
        <v>0</v>
      </c>
      <c r="M739" s="26" t="n">
        <v>0</v>
      </c>
      <c r="N739" s="26" t="n">
        <v>0</v>
      </c>
      <c r="O739" s="26" t="n">
        <v>0</v>
      </c>
      <c r="P739" s="26" t="n">
        <v>-7</v>
      </c>
      <c r="Q739" s="26" t="n">
        <v>31</v>
      </c>
      <c r="R739" s="26" t="n">
        <v>22</v>
      </c>
      <c r="S739" s="26" t="n">
        <v>0</v>
      </c>
      <c r="T739" s="26" t="n">
        <v>0</v>
      </c>
      <c r="U739" s="26" t="n">
        <v>0</v>
      </c>
    </row>
    <row r="740" customFormat="false" ht="15" hidden="false" customHeight="true" outlineLevel="0" collapsed="false">
      <c r="A740" s="8" t="s">
        <v>944</v>
      </c>
      <c r="B740" s="8" t="s">
        <v>158</v>
      </c>
      <c r="C740" s="8" t="s">
        <v>552</v>
      </c>
      <c r="D740" s="26" t="n">
        <v>0</v>
      </c>
      <c r="E740" s="26" t="n">
        <v>0</v>
      </c>
      <c r="F740" s="26" t="n">
        <v>11</v>
      </c>
      <c r="G740" s="26" t="n">
        <v>0</v>
      </c>
      <c r="H740" s="26" t="n">
        <v>0</v>
      </c>
      <c r="I740" s="26" t="n">
        <v>22</v>
      </c>
      <c r="J740" s="26" t="n">
        <v>0</v>
      </c>
      <c r="K740" s="26" t="n">
        <v>0</v>
      </c>
      <c r="L740" s="26" t="n">
        <v>0</v>
      </c>
      <c r="M740" s="26" t="n">
        <v>0</v>
      </c>
      <c r="N740" s="26" t="n">
        <v>0</v>
      </c>
      <c r="O740" s="26" t="n">
        <v>1</v>
      </c>
      <c r="P740" s="26" t="n">
        <v>-5</v>
      </c>
      <c r="Q740" s="26" t="n">
        <v>11</v>
      </c>
      <c r="R740" s="26" t="n">
        <v>15</v>
      </c>
      <c r="S740" s="26" t="n">
        <v>0</v>
      </c>
      <c r="T740" s="26" t="n">
        <v>0</v>
      </c>
      <c r="U740" s="26" t="n">
        <v>0</v>
      </c>
    </row>
    <row r="741" customFormat="false" ht="15" hidden="false" customHeight="true" outlineLevel="0" collapsed="false">
      <c r="A741" s="8" t="s">
        <v>944</v>
      </c>
      <c r="B741" s="8" t="s">
        <v>158</v>
      </c>
      <c r="C741" s="8" t="s">
        <v>553</v>
      </c>
      <c r="D741" s="26" t="n">
        <v>0</v>
      </c>
      <c r="E741" s="26" t="n">
        <v>0</v>
      </c>
      <c r="F741" s="26" t="n">
        <v>2</v>
      </c>
      <c r="G741" s="26" t="n">
        <v>0</v>
      </c>
      <c r="H741" s="26" t="n">
        <v>0</v>
      </c>
      <c r="I741" s="26" t="n">
        <v>0</v>
      </c>
      <c r="J741" s="26" t="n">
        <v>0</v>
      </c>
      <c r="K741" s="26" t="n">
        <v>0</v>
      </c>
      <c r="L741" s="26" t="n">
        <v>0</v>
      </c>
      <c r="M741" s="26" t="n">
        <v>0</v>
      </c>
      <c r="N741" s="26" t="n">
        <v>0</v>
      </c>
      <c r="O741" s="26" t="n">
        <v>0</v>
      </c>
      <c r="P741" s="26" t="n">
        <v>-4</v>
      </c>
      <c r="Q741" s="26" t="n">
        <v>-1</v>
      </c>
      <c r="R741" s="26" t="n">
        <v>5</v>
      </c>
      <c r="S741" s="26" t="n">
        <v>0</v>
      </c>
      <c r="T741" s="26" t="n">
        <v>0</v>
      </c>
      <c r="U741" s="26" t="n">
        <v>0</v>
      </c>
    </row>
    <row r="742" customFormat="false" ht="15" hidden="false" customHeight="true" outlineLevel="0" collapsed="false">
      <c r="A742" s="8" t="s">
        <v>944</v>
      </c>
      <c r="B742" s="8" t="s">
        <v>366</v>
      </c>
      <c r="C742" s="8" t="s">
        <v>554</v>
      </c>
      <c r="D742" s="26" t="n">
        <v>0</v>
      </c>
      <c r="E742" s="26" t="n">
        <v>0</v>
      </c>
      <c r="F742" s="26" t="n">
        <v>0</v>
      </c>
      <c r="G742" s="26" t="n">
        <v>0</v>
      </c>
      <c r="H742" s="26" t="n">
        <v>0</v>
      </c>
      <c r="I742" s="26" t="n">
        <v>-2</v>
      </c>
      <c r="J742" s="26" t="n">
        <v>0</v>
      </c>
      <c r="K742" s="26" t="n">
        <v>0</v>
      </c>
      <c r="L742" s="26" t="n">
        <v>0</v>
      </c>
      <c r="M742" s="26" t="n">
        <v>0</v>
      </c>
      <c r="N742" s="26" t="n">
        <v>0</v>
      </c>
      <c r="O742" s="26" t="n">
        <v>0</v>
      </c>
      <c r="P742" s="26" t="n">
        <v>-2</v>
      </c>
      <c r="Q742" s="26" t="n">
        <v>0</v>
      </c>
      <c r="R742" s="26" t="n">
        <v>0</v>
      </c>
      <c r="S742" s="26" t="n">
        <v>0</v>
      </c>
      <c r="T742" s="26" t="n">
        <v>0</v>
      </c>
      <c r="U742" s="26" t="n">
        <v>0</v>
      </c>
    </row>
    <row r="743" customFormat="false" ht="15" hidden="false" customHeight="true" outlineLevel="0" collapsed="false">
      <c r="A743" s="8" t="s">
        <v>944</v>
      </c>
      <c r="B743" s="8" t="s">
        <v>366</v>
      </c>
      <c r="C743" s="8" t="s">
        <v>555</v>
      </c>
      <c r="D743" s="26" t="n">
        <v>0</v>
      </c>
      <c r="E743" s="26" t="n">
        <v>0</v>
      </c>
      <c r="F743" s="26" t="n">
        <v>0</v>
      </c>
      <c r="G743" s="26" t="n">
        <v>0</v>
      </c>
      <c r="H743" s="26" t="n">
        <v>0</v>
      </c>
      <c r="I743" s="26" t="n">
        <v>-2</v>
      </c>
      <c r="J743" s="26" t="n">
        <v>0</v>
      </c>
      <c r="K743" s="26" t="n">
        <v>0</v>
      </c>
      <c r="L743" s="26" t="n">
        <v>0</v>
      </c>
      <c r="M743" s="26" t="n">
        <v>0</v>
      </c>
      <c r="N743" s="26" t="n">
        <v>0</v>
      </c>
      <c r="O743" s="26" t="n">
        <v>0</v>
      </c>
      <c r="P743" s="26" t="n">
        <v>-2</v>
      </c>
      <c r="Q743" s="26" t="n">
        <v>0</v>
      </c>
      <c r="R743" s="26" t="n">
        <v>0</v>
      </c>
      <c r="S743" s="26" t="n">
        <v>0</v>
      </c>
      <c r="T743" s="26" t="n">
        <v>0</v>
      </c>
      <c r="U743" s="26" t="n">
        <v>0</v>
      </c>
    </row>
    <row r="744" customFormat="false" ht="15" hidden="false" customHeight="true" outlineLevel="0" collapsed="false">
      <c r="A744" s="8" t="s">
        <v>944</v>
      </c>
      <c r="B744" s="8" t="s">
        <v>181</v>
      </c>
      <c r="C744" s="8" t="s">
        <v>556</v>
      </c>
      <c r="D744" s="26" t="n">
        <v>0</v>
      </c>
      <c r="E744" s="26" t="n">
        <v>0</v>
      </c>
      <c r="F744" s="26" t="n">
        <v>1</v>
      </c>
      <c r="G744" s="26" t="n">
        <v>0</v>
      </c>
      <c r="H744" s="26" t="n">
        <v>0</v>
      </c>
      <c r="I744" s="26" t="n">
        <v>7</v>
      </c>
      <c r="J744" s="26" t="n">
        <v>0</v>
      </c>
      <c r="K744" s="26" t="n">
        <v>3</v>
      </c>
      <c r="L744" s="26" t="n">
        <v>0</v>
      </c>
      <c r="M744" s="26" t="n">
        <v>0</v>
      </c>
      <c r="N744" s="26" t="n">
        <v>0</v>
      </c>
      <c r="O744" s="26" t="n">
        <v>0</v>
      </c>
      <c r="P744" s="26" t="n">
        <v>0</v>
      </c>
      <c r="Q744" s="26" t="n">
        <v>0</v>
      </c>
      <c r="R744" s="26" t="n">
        <v>4</v>
      </c>
      <c r="S744" s="26" t="n">
        <v>0</v>
      </c>
      <c r="T744" s="26" t="n">
        <v>0</v>
      </c>
      <c r="U744" s="26" t="n">
        <v>0</v>
      </c>
    </row>
    <row r="745" customFormat="false" ht="15" hidden="false" customHeight="true" outlineLevel="0" collapsed="false">
      <c r="A745" s="8" t="s">
        <v>944</v>
      </c>
      <c r="B745" s="8" t="s">
        <v>181</v>
      </c>
      <c r="C745" s="8" t="s">
        <v>557</v>
      </c>
      <c r="D745" s="26" t="n">
        <v>0</v>
      </c>
      <c r="E745" s="26" t="n">
        <v>0</v>
      </c>
      <c r="F745" s="26" t="n">
        <v>0</v>
      </c>
      <c r="G745" s="26" t="n">
        <v>0</v>
      </c>
      <c r="H745" s="26" t="n">
        <v>0</v>
      </c>
      <c r="I745" s="26" t="n">
        <v>6</v>
      </c>
      <c r="J745" s="26" t="n">
        <v>0</v>
      </c>
      <c r="K745" s="26" t="n">
        <v>0</v>
      </c>
      <c r="L745" s="26" t="n">
        <v>0</v>
      </c>
      <c r="M745" s="26" t="n">
        <v>0</v>
      </c>
      <c r="N745" s="26" t="n">
        <v>0</v>
      </c>
      <c r="O745" s="26" t="n">
        <v>0</v>
      </c>
      <c r="P745" s="26" t="n">
        <v>-1</v>
      </c>
      <c r="Q745" s="26" t="n">
        <v>0</v>
      </c>
      <c r="R745" s="26" t="n">
        <v>7</v>
      </c>
      <c r="S745" s="26" t="n">
        <v>0</v>
      </c>
      <c r="T745" s="26" t="n">
        <v>0</v>
      </c>
      <c r="U745" s="26" t="n">
        <v>0</v>
      </c>
    </row>
    <row r="746" customFormat="false" ht="15" hidden="false" customHeight="true" outlineLevel="0" collapsed="false">
      <c r="A746" s="8" t="s">
        <v>944</v>
      </c>
      <c r="B746" s="8" t="s">
        <v>181</v>
      </c>
      <c r="C746" s="8" t="s">
        <v>558</v>
      </c>
      <c r="D746" s="26" t="n">
        <v>0</v>
      </c>
      <c r="E746" s="26" t="n">
        <v>0</v>
      </c>
      <c r="F746" s="26" t="n">
        <v>6</v>
      </c>
      <c r="G746" s="26" t="n">
        <v>0</v>
      </c>
      <c r="H746" s="26" t="n">
        <v>0</v>
      </c>
      <c r="I746" s="26" t="n">
        <v>2</v>
      </c>
      <c r="J746" s="26" t="n">
        <v>0</v>
      </c>
      <c r="K746" s="26" t="n">
        <v>0</v>
      </c>
      <c r="L746" s="26" t="n">
        <v>0</v>
      </c>
      <c r="M746" s="26" t="n">
        <v>0</v>
      </c>
      <c r="N746" s="26" t="n">
        <v>0</v>
      </c>
      <c r="O746" s="26" t="n">
        <v>0</v>
      </c>
      <c r="P746" s="26" t="n">
        <v>0</v>
      </c>
      <c r="Q746" s="26" t="n">
        <v>-1</v>
      </c>
      <c r="R746" s="26" t="n">
        <v>3</v>
      </c>
      <c r="S746" s="26" t="n">
        <v>0</v>
      </c>
      <c r="T746" s="26" t="n">
        <v>0</v>
      </c>
      <c r="U746" s="26" t="n">
        <v>0</v>
      </c>
    </row>
    <row r="747" customFormat="false" ht="15" hidden="false" customHeight="true" outlineLevel="0" collapsed="false">
      <c r="A747" s="8" t="s">
        <v>944</v>
      </c>
      <c r="B747" s="8" t="s">
        <v>181</v>
      </c>
      <c r="C747" s="8" t="s">
        <v>559</v>
      </c>
      <c r="D747" s="26" t="n">
        <v>0</v>
      </c>
      <c r="E747" s="26" t="n">
        <v>0</v>
      </c>
      <c r="F747" s="26" t="n">
        <v>8</v>
      </c>
      <c r="G747" s="26" t="n">
        <v>0</v>
      </c>
      <c r="H747" s="26" t="n">
        <v>2</v>
      </c>
      <c r="I747" s="26" t="n">
        <v>1</v>
      </c>
      <c r="J747" s="26" t="n">
        <v>0</v>
      </c>
      <c r="K747" s="26" t="n">
        <v>0</v>
      </c>
      <c r="L747" s="26" t="n">
        <v>0</v>
      </c>
      <c r="M747" s="26" t="n">
        <v>0</v>
      </c>
      <c r="N747" s="26" t="n">
        <v>0</v>
      </c>
      <c r="O747" s="26" t="n">
        <v>0</v>
      </c>
      <c r="P747" s="26" t="n">
        <v>0</v>
      </c>
      <c r="Q747" s="26" t="n">
        <v>0</v>
      </c>
      <c r="R747" s="26" t="n">
        <v>1</v>
      </c>
      <c r="S747" s="26" t="n">
        <v>0</v>
      </c>
      <c r="T747" s="26" t="n">
        <v>0</v>
      </c>
      <c r="U747" s="26" t="n">
        <v>0</v>
      </c>
    </row>
    <row r="748" customFormat="false" ht="15" hidden="false" customHeight="true" outlineLevel="0" collapsed="false">
      <c r="A748" s="8" t="s">
        <v>944</v>
      </c>
      <c r="B748" s="8" t="s">
        <v>181</v>
      </c>
      <c r="C748" s="8" t="s">
        <v>560</v>
      </c>
      <c r="D748" s="26" t="n">
        <v>0</v>
      </c>
      <c r="E748" s="26" t="n">
        <v>0</v>
      </c>
      <c r="F748" s="26" t="n">
        <v>3</v>
      </c>
      <c r="G748" s="26" t="n">
        <v>0</v>
      </c>
      <c r="H748" s="26" t="n">
        <v>0</v>
      </c>
      <c r="I748" s="26" t="n">
        <v>-5</v>
      </c>
      <c r="J748" s="26" t="n">
        <v>0</v>
      </c>
      <c r="K748" s="26" t="n">
        <v>0</v>
      </c>
      <c r="L748" s="26" t="n">
        <v>0</v>
      </c>
      <c r="M748" s="26" t="n">
        <v>0</v>
      </c>
      <c r="N748" s="26" t="n">
        <v>0</v>
      </c>
      <c r="O748" s="26" t="n">
        <v>0</v>
      </c>
      <c r="P748" s="26" t="n">
        <v>0</v>
      </c>
      <c r="Q748" s="26" t="n">
        <v>-5</v>
      </c>
      <c r="R748" s="26" t="n">
        <v>0</v>
      </c>
      <c r="S748" s="26" t="n">
        <v>0</v>
      </c>
      <c r="T748" s="26" t="n">
        <v>0</v>
      </c>
      <c r="U748" s="26" t="n">
        <v>0</v>
      </c>
    </row>
    <row r="749" customFormat="false" ht="15" hidden="false" customHeight="true" outlineLevel="0" collapsed="false">
      <c r="A749" s="8" t="s">
        <v>944</v>
      </c>
      <c r="B749" s="8" t="s">
        <v>132</v>
      </c>
      <c r="C749" s="8" t="s">
        <v>561</v>
      </c>
      <c r="D749" s="26" t="n">
        <v>0</v>
      </c>
      <c r="E749" s="26" t="n">
        <v>0</v>
      </c>
      <c r="F749" s="26" t="n">
        <v>736</v>
      </c>
      <c r="G749" s="26" t="n">
        <v>0</v>
      </c>
      <c r="H749" s="26" t="n">
        <v>0</v>
      </c>
      <c r="I749" s="26" t="n">
        <v>4630</v>
      </c>
      <c r="J749" s="26" t="n">
        <v>0</v>
      </c>
      <c r="K749" s="26" t="n">
        <v>36</v>
      </c>
      <c r="L749" s="26" t="n">
        <v>-1</v>
      </c>
      <c r="M749" s="26" t="n">
        <v>9</v>
      </c>
      <c r="N749" s="26" t="n">
        <v>2</v>
      </c>
      <c r="O749" s="26" t="n">
        <v>2</v>
      </c>
      <c r="P749" s="26" t="n">
        <v>-6</v>
      </c>
      <c r="Q749" s="26" t="n">
        <v>4057</v>
      </c>
      <c r="R749" s="26" t="n">
        <v>531</v>
      </c>
      <c r="S749" s="26" t="n">
        <v>0</v>
      </c>
      <c r="T749" s="26" t="n">
        <v>0</v>
      </c>
      <c r="U749" s="26" t="n">
        <v>0</v>
      </c>
    </row>
    <row r="750" customFormat="false" ht="15" hidden="false" customHeight="true" outlineLevel="0" collapsed="false">
      <c r="A750" s="8" t="s">
        <v>944</v>
      </c>
      <c r="B750" s="8" t="s">
        <v>201</v>
      </c>
      <c r="C750" s="8" t="s">
        <v>562</v>
      </c>
      <c r="D750" s="26" t="n">
        <v>0</v>
      </c>
      <c r="E750" s="26" t="n">
        <v>0</v>
      </c>
      <c r="F750" s="26" t="n">
        <v>116</v>
      </c>
      <c r="G750" s="26" t="n">
        <v>0</v>
      </c>
      <c r="H750" s="26" t="n">
        <v>0</v>
      </c>
      <c r="I750" s="26" t="n">
        <v>253</v>
      </c>
      <c r="J750" s="26" t="n">
        <v>0</v>
      </c>
      <c r="K750" s="26" t="n">
        <v>4</v>
      </c>
      <c r="L750" s="26" t="n">
        <v>0</v>
      </c>
      <c r="M750" s="26" t="n">
        <v>0</v>
      </c>
      <c r="N750" s="26" t="n">
        <v>0</v>
      </c>
      <c r="O750" s="26" t="n">
        <v>0</v>
      </c>
      <c r="P750" s="26" t="n">
        <v>-3</v>
      </c>
      <c r="Q750" s="26" t="n">
        <v>208</v>
      </c>
      <c r="R750" s="26" t="n">
        <v>44</v>
      </c>
      <c r="S750" s="26" t="n">
        <v>0</v>
      </c>
      <c r="T750" s="26" t="n">
        <v>0</v>
      </c>
      <c r="U750" s="26" t="n">
        <v>0</v>
      </c>
    </row>
    <row r="751" customFormat="false" ht="15" hidden="false" customHeight="true" outlineLevel="0" collapsed="false">
      <c r="A751" s="8" t="s">
        <v>944</v>
      </c>
      <c r="B751" s="8" t="s">
        <v>93</v>
      </c>
      <c r="C751" s="8" t="s">
        <v>563</v>
      </c>
      <c r="D751" s="26" t="n">
        <v>0</v>
      </c>
      <c r="E751" s="26" t="n">
        <v>0</v>
      </c>
      <c r="F751" s="26" t="n">
        <v>192</v>
      </c>
      <c r="G751" s="26" t="n">
        <v>0</v>
      </c>
      <c r="H751" s="26" t="n">
        <v>9</v>
      </c>
      <c r="I751" s="26" t="n">
        <v>2109</v>
      </c>
      <c r="J751" s="26" t="n">
        <v>0</v>
      </c>
      <c r="K751" s="26" t="n">
        <v>17</v>
      </c>
      <c r="L751" s="26" t="n">
        <v>0</v>
      </c>
      <c r="M751" s="26" t="n">
        <v>0</v>
      </c>
      <c r="N751" s="26" t="n">
        <v>2</v>
      </c>
      <c r="O751" s="26" t="n">
        <v>1</v>
      </c>
      <c r="P751" s="26" t="n">
        <v>-5</v>
      </c>
      <c r="Q751" s="26" t="n">
        <v>1906</v>
      </c>
      <c r="R751" s="26" t="n">
        <v>188</v>
      </c>
      <c r="S751" s="26" t="n">
        <v>0</v>
      </c>
      <c r="T751" s="26" t="n">
        <v>0</v>
      </c>
      <c r="U751" s="26" t="n">
        <v>-1</v>
      </c>
    </row>
    <row r="752" customFormat="false" ht="15" hidden="false" customHeight="true" outlineLevel="0" collapsed="false">
      <c r="A752" s="8" t="s">
        <v>944</v>
      </c>
      <c r="B752" s="8" t="s">
        <v>93</v>
      </c>
      <c r="C752" s="8" t="s">
        <v>564</v>
      </c>
      <c r="D752" s="26" t="n">
        <v>0</v>
      </c>
      <c r="E752" s="26" t="n">
        <v>0</v>
      </c>
      <c r="F752" s="26" t="n">
        <v>79</v>
      </c>
      <c r="G752" s="26" t="n">
        <v>0</v>
      </c>
      <c r="H752" s="26" t="n">
        <v>0</v>
      </c>
      <c r="I752" s="26" t="n">
        <v>1313</v>
      </c>
      <c r="J752" s="26" t="n">
        <v>0</v>
      </c>
      <c r="K752" s="26" t="n">
        <v>7</v>
      </c>
      <c r="L752" s="26" t="n">
        <v>0</v>
      </c>
      <c r="M752" s="26" t="n">
        <v>0</v>
      </c>
      <c r="N752" s="26" t="n">
        <v>2</v>
      </c>
      <c r="O752" s="26" t="n">
        <v>0</v>
      </c>
      <c r="P752" s="26" t="n">
        <v>-5</v>
      </c>
      <c r="Q752" s="26" t="n">
        <v>1192</v>
      </c>
      <c r="R752" s="26" t="n">
        <v>117</v>
      </c>
      <c r="S752" s="26" t="n">
        <v>0</v>
      </c>
      <c r="T752" s="26" t="n">
        <v>0</v>
      </c>
      <c r="U752" s="26" t="n">
        <v>-2</v>
      </c>
    </row>
    <row r="753" customFormat="false" ht="15" hidden="false" customHeight="true" outlineLevel="0" collapsed="false">
      <c r="A753" s="8" t="s">
        <v>944</v>
      </c>
      <c r="B753" s="8" t="s">
        <v>93</v>
      </c>
      <c r="C753" s="8" t="s">
        <v>565</v>
      </c>
      <c r="D753" s="26" t="n">
        <v>0</v>
      </c>
      <c r="E753" s="26" t="n">
        <v>0</v>
      </c>
      <c r="F753" s="26" t="n">
        <v>173</v>
      </c>
      <c r="G753" s="26" t="n">
        <v>0</v>
      </c>
      <c r="H753" s="26" t="n">
        <v>4</v>
      </c>
      <c r="I753" s="26" t="n">
        <v>1983</v>
      </c>
      <c r="J753" s="26" t="n">
        <v>0</v>
      </c>
      <c r="K753" s="26" t="n">
        <v>12</v>
      </c>
      <c r="L753" s="26" t="n">
        <v>0</v>
      </c>
      <c r="M753" s="26" t="n">
        <v>0</v>
      </c>
      <c r="N753" s="26" t="n">
        <v>2</v>
      </c>
      <c r="O753" s="26" t="n">
        <v>2</v>
      </c>
      <c r="P753" s="26" t="n">
        <v>-7</v>
      </c>
      <c r="Q753" s="26" t="n">
        <v>1793</v>
      </c>
      <c r="R753" s="26" t="n">
        <v>181</v>
      </c>
      <c r="S753" s="26" t="n">
        <v>1</v>
      </c>
      <c r="T753" s="26" t="n">
        <v>0</v>
      </c>
      <c r="U753" s="26" t="n">
        <v>0</v>
      </c>
    </row>
    <row r="754" customFormat="false" ht="15" hidden="false" customHeight="true" outlineLevel="0" collapsed="false">
      <c r="A754" s="8" t="s">
        <v>944</v>
      </c>
      <c r="B754" s="8" t="s">
        <v>93</v>
      </c>
      <c r="C754" s="8" t="s">
        <v>566</v>
      </c>
      <c r="D754" s="26" t="n">
        <v>0</v>
      </c>
      <c r="E754" s="26" t="n">
        <v>0</v>
      </c>
      <c r="F754" s="26" t="n">
        <v>114</v>
      </c>
      <c r="G754" s="26" t="n">
        <v>0</v>
      </c>
      <c r="H754" s="26" t="n">
        <v>0</v>
      </c>
      <c r="I754" s="26" t="n">
        <v>1354</v>
      </c>
      <c r="J754" s="26" t="n">
        <v>0</v>
      </c>
      <c r="K754" s="26" t="n">
        <v>4</v>
      </c>
      <c r="L754" s="26" t="n">
        <v>0</v>
      </c>
      <c r="M754" s="26" t="n">
        <v>0</v>
      </c>
      <c r="N754" s="26" t="n">
        <v>0</v>
      </c>
      <c r="O754" s="26" t="n">
        <v>1</v>
      </c>
      <c r="P754" s="26" t="n">
        <v>-8</v>
      </c>
      <c r="Q754" s="26" t="n">
        <v>1232</v>
      </c>
      <c r="R754" s="26" t="n">
        <v>125</v>
      </c>
      <c r="S754" s="26" t="n">
        <v>0</v>
      </c>
      <c r="T754" s="26" t="n">
        <v>0</v>
      </c>
      <c r="U754" s="26" t="n">
        <v>-1</v>
      </c>
    </row>
    <row r="755" customFormat="false" ht="15" hidden="false" customHeight="true" outlineLevel="0" collapsed="false">
      <c r="A755" s="8" t="s">
        <v>944</v>
      </c>
      <c r="B755" s="8" t="s">
        <v>93</v>
      </c>
      <c r="C755" s="8" t="s">
        <v>567</v>
      </c>
      <c r="D755" s="26" t="n">
        <v>0</v>
      </c>
      <c r="E755" s="26" t="n">
        <v>0</v>
      </c>
      <c r="F755" s="26" t="n">
        <v>10</v>
      </c>
      <c r="G755" s="26" t="n">
        <v>0</v>
      </c>
      <c r="H755" s="26" t="n">
        <v>0</v>
      </c>
      <c r="I755" s="26" t="n">
        <v>0</v>
      </c>
      <c r="J755" s="26" t="n">
        <v>0</v>
      </c>
      <c r="K755" s="26" t="n">
        <v>0</v>
      </c>
      <c r="L755" s="26" t="n">
        <v>0</v>
      </c>
      <c r="M755" s="26" t="n">
        <v>0</v>
      </c>
      <c r="N755" s="26" t="n">
        <v>0</v>
      </c>
      <c r="O755" s="26" t="n">
        <v>0</v>
      </c>
      <c r="P755" s="26" t="n">
        <v>0</v>
      </c>
      <c r="Q755" s="26" t="n">
        <v>0</v>
      </c>
      <c r="R755" s="26" t="n">
        <v>0</v>
      </c>
      <c r="S755" s="26" t="n">
        <v>0</v>
      </c>
      <c r="T755" s="26" t="n">
        <v>0</v>
      </c>
      <c r="U755" s="26" t="n">
        <v>0</v>
      </c>
    </row>
    <row r="756" customFormat="false" ht="15" hidden="false" customHeight="true" outlineLevel="0" collapsed="false">
      <c r="A756" s="8" t="s">
        <v>944</v>
      </c>
      <c r="B756" s="8" t="s">
        <v>93</v>
      </c>
      <c r="C756" s="8" t="s">
        <v>568</v>
      </c>
      <c r="D756" s="26" t="n">
        <v>0</v>
      </c>
      <c r="E756" s="26" t="n">
        <v>0</v>
      </c>
      <c r="F756" s="26" t="n">
        <v>24</v>
      </c>
      <c r="G756" s="26" t="n">
        <v>0</v>
      </c>
      <c r="H756" s="26" t="n">
        <v>0</v>
      </c>
      <c r="I756" s="26" t="n">
        <v>113</v>
      </c>
      <c r="J756" s="26" t="n">
        <v>0</v>
      </c>
      <c r="K756" s="26" t="n">
        <v>6</v>
      </c>
      <c r="L756" s="26" t="n">
        <v>0</v>
      </c>
      <c r="M756" s="26" t="n">
        <v>0</v>
      </c>
      <c r="N756" s="26" t="n">
        <v>0</v>
      </c>
      <c r="O756" s="26" t="n">
        <v>0</v>
      </c>
      <c r="P756" s="26" t="n">
        <v>-4</v>
      </c>
      <c r="Q756" s="26" t="n">
        <v>54</v>
      </c>
      <c r="R756" s="26" t="n">
        <v>57</v>
      </c>
      <c r="S756" s="26" t="n">
        <v>0</v>
      </c>
      <c r="T756" s="26" t="n">
        <v>0</v>
      </c>
      <c r="U756" s="26" t="n">
        <v>0</v>
      </c>
    </row>
    <row r="757" customFormat="false" ht="15" hidden="false" customHeight="true" outlineLevel="0" collapsed="false">
      <c r="A757" s="8" t="s">
        <v>944</v>
      </c>
      <c r="B757" s="8" t="s">
        <v>99</v>
      </c>
      <c r="C757" s="8" t="s">
        <v>569</v>
      </c>
      <c r="D757" s="26" t="n">
        <v>0</v>
      </c>
      <c r="E757" s="26" t="n">
        <v>0</v>
      </c>
      <c r="F757" s="26" t="n">
        <v>109</v>
      </c>
      <c r="G757" s="26" t="n">
        <v>0</v>
      </c>
      <c r="H757" s="26" t="n">
        <v>0</v>
      </c>
      <c r="I757" s="26" t="n">
        <v>1323</v>
      </c>
      <c r="J757" s="26" t="n">
        <v>0</v>
      </c>
      <c r="K757" s="26" t="n">
        <v>12</v>
      </c>
      <c r="L757" s="26" t="n">
        <v>0</v>
      </c>
      <c r="M757" s="26" t="n">
        <v>0</v>
      </c>
      <c r="N757" s="26" t="n">
        <v>3</v>
      </c>
      <c r="O757" s="26" t="n">
        <v>2</v>
      </c>
      <c r="P757" s="26" t="n">
        <v>-7</v>
      </c>
      <c r="Q757" s="26" t="n">
        <v>1156</v>
      </c>
      <c r="R757" s="26" t="n">
        <v>157</v>
      </c>
      <c r="S757" s="26" t="n">
        <v>0</v>
      </c>
      <c r="T757" s="26" t="n">
        <v>0</v>
      </c>
      <c r="U757" s="26" t="n">
        <v>0</v>
      </c>
    </row>
    <row r="758" customFormat="false" ht="15" hidden="false" customHeight="true" outlineLevel="0" collapsed="false">
      <c r="A758" s="8" t="s">
        <v>944</v>
      </c>
      <c r="B758" s="8" t="s">
        <v>99</v>
      </c>
      <c r="C758" s="8" t="s">
        <v>570</v>
      </c>
      <c r="D758" s="26" t="n">
        <v>0</v>
      </c>
      <c r="E758" s="26" t="n">
        <v>0</v>
      </c>
      <c r="F758" s="26" t="n">
        <v>207</v>
      </c>
      <c r="G758" s="26" t="n">
        <v>0</v>
      </c>
      <c r="H758" s="26" t="n">
        <v>0</v>
      </c>
      <c r="I758" s="26" t="n">
        <v>1917</v>
      </c>
      <c r="J758" s="26" t="n">
        <v>0</v>
      </c>
      <c r="K758" s="26" t="n">
        <v>20</v>
      </c>
      <c r="L758" s="26" t="n">
        <v>0</v>
      </c>
      <c r="M758" s="26" t="n">
        <v>0</v>
      </c>
      <c r="N758" s="26" t="n">
        <v>0</v>
      </c>
      <c r="O758" s="26" t="n">
        <v>4</v>
      </c>
      <c r="P758" s="26" t="n">
        <v>-8</v>
      </c>
      <c r="Q758" s="26" t="n">
        <v>1656</v>
      </c>
      <c r="R758" s="26" t="n">
        <v>245</v>
      </c>
      <c r="S758" s="26" t="n">
        <v>0</v>
      </c>
      <c r="T758" s="26" t="n">
        <v>0</v>
      </c>
      <c r="U758" s="26" t="n">
        <v>0</v>
      </c>
    </row>
    <row r="759" customFormat="false" ht="15" hidden="false" customHeight="true" outlineLevel="0" collapsed="false">
      <c r="A759" s="8" t="s">
        <v>944</v>
      </c>
      <c r="B759" s="8" t="s">
        <v>99</v>
      </c>
      <c r="C759" s="8" t="s">
        <v>571</v>
      </c>
      <c r="D759" s="26" t="n">
        <v>0</v>
      </c>
      <c r="E759" s="26" t="n">
        <v>0</v>
      </c>
      <c r="F759" s="26" t="n">
        <v>220</v>
      </c>
      <c r="G759" s="26" t="n">
        <v>0</v>
      </c>
      <c r="H759" s="26" t="n">
        <v>2</v>
      </c>
      <c r="I759" s="26" t="n">
        <v>2146</v>
      </c>
      <c r="J759" s="26" t="n">
        <v>0</v>
      </c>
      <c r="K759" s="26" t="n">
        <v>17</v>
      </c>
      <c r="L759" s="26" t="n">
        <v>0</v>
      </c>
      <c r="M759" s="26" t="n">
        <v>0</v>
      </c>
      <c r="N759" s="26" t="n">
        <v>0</v>
      </c>
      <c r="O759" s="26" t="n">
        <v>2</v>
      </c>
      <c r="P759" s="26" t="n">
        <v>-7</v>
      </c>
      <c r="Q759" s="26" t="n">
        <v>1895</v>
      </c>
      <c r="R759" s="26" t="n">
        <v>239</v>
      </c>
      <c r="S759" s="26" t="n">
        <v>0</v>
      </c>
      <c r="T759" s="26" t="n">
        <v>0</v>
      </c>
      <c r="U759" s="26" t="n">
        <v>0</v>
      </c>
    </row>
    <row r="760" customFormat="false" ht="15" hidden="false" customHeight="true" outlineLevel="0" collapsed="false">
      <c r="A760" s="8" t="s">
        <v>944</v>
      </c>
      <c r="B760" s="8" t="s">
        <v>99</v>
      </c>
      <c r="C760" s="8" t="s">
        <v>572</v>
      </c>
      <c r="D760" s="26" t="n">
        <v>0</v>
      </c>
      <c r="E760" s="26" t="n">
        <v>0</v>
      </c>
      <c r="F760" s="26" t="n">
        <v>154</v>
      </c>
      <c r="G760" s="26" t="n">
        <v>0</v>
      </c>
      <c r="H760" s="26" t="n">
        <v>0</v>
      </c>
      <c r="I760" s="26" t="n">
        <v>1262</v>
      </c>
      <c r="J760" s="26" t="n">
        <v>0</v>
      </c>
      <c r="K760" s="26" t="n">
        <v>12</v>
      </c>
      <c r="L760" s="26" t="n">
        <v>0</v>
      </c>
      <c r="M760" s="26" t="n">
        <v>0</v>
      </c>
      <c r="N760" s="26" t="n">
        <v>0</v>
      </c>
      <c r="O760" s="26" t="n">
        <v>2</v>
      </c>
      <c r="P760" s="26" t="n">
        <v>-8</v>
      </c>
      <c r="Q760" s="26" t="n">
        <v>1115</v>
      </c>
      <c r="R760" s="26" t="n">
        <v>141</v>
      </c>
      <c r="S760" s="26" t="n">
        <v>0</v>
      </c>
      <c r="T760" s="26" t="n">
        <v>0</v>
      </c>
      <c r="U760" s="26" t="n">
        <v>0</v>
      </c>
    </row>
    <row r="761" customFormat="false" ht="15" hidden="false" customHeight="true" outlineLevel="0" collapsed="false">
      <c r="A761" s="8" t="s">
        <v>944</v>
      </c>
      <c r="B761" s="8" t="s">
        <v>99</v>
      </c>
      <c r="C761" s="8" t="s">
        <v>573</v>
      </c>
      <c r="D761" s="26" t="n">
        <v>0</v>
      </c>
      <c r="E761" s="26" t="n">
        <v>0</v>
      </c>
      <c r="F761" s="26" t="n">
        <v>81</v>
      </c>
      <c r="G761" s="26" t="n">
        <v>0</v>
      </c>
      <c r="H761" s="26" t="n">
        <v>2</v>
      </c>
      <c r="I761" s="26" t="n">
        <v>165</v>
      </c>
      <c r="J761" s="26" t="n">
        <v>0</v>
      </c>
      <c r="K761" s="26" t="n">
        <v>8</v>
      </c>
      <c r="L761" s="26" t="n">
        <v>0</v>
      </c>
      <c r="M761" s="26" t="n">
        <v>0</v>
      </c>
      <c r="N761" s="26" t="n">
        <v>0</v>
      </c>
      <c r="O761" s="26" t="n">
        <v>0</v>
      </c>
      <c r="P761" s="26" t="n">
        <v>-3</v>
      </c>
      <c r="Q761" s="26" t="n">
        <v>88</v>
      </c>
      <c r="R761" s="26" t="n">
        <v>72</v>
      </c>
      <c r="S761" s="26" t="n">
        <v>0</v>
      </c>
      <c r="T761" s="26" t="n">
        <v>0</v>
      </c>
      <c r="U761" s="26" t="n">
        <v>0</v>
      </c>
    </row>
    <row r="762" customFormat="false" ht="15" hidden="false" customHeight="true" outlineLevel="0" collapsed="false">
      <c r="A762" s="8" t="s">
        <v>944</v>
      </c>
      <c r="B762" s="8" t="s">
        <v>94</v>
      </c>
      <c r="C762" s="8" t="s">
        <v>574</v>
      </c>
      <c r="D762" s="26" t="n">
        <v>0</v>
      </c>
      <c r="E762" s="26" t="n">
        <v>0</v>
      </c>
      <c r="F762" s="26" t="n">
        <v>223</v>
      </c>
      <c r="G762" s="26" t="n">
        <v>0</v>
      </c>
      <c r="H762" s="26" t="n">
        <v>0</v>
      </c>
      <c r="I762" s="26" t="n">
        <v>2663</v>
      </c>
      <c r="J762" s="26" t="n">
        <v>0</v>
      </c>
      <c r="K762" s="26" t="n">
        <v>16</v>
      </c>
      <c r="L762" s="26" t="n">
        <v>0</v>
      </c>
      <c r="M762" s="26" t="n">
        <v>0</v>
      </c>
      <c r="N762" s="26" t="n">
        <v>7</v>
      </c>
      <c r="O762" s="26" t="n">
        <v>3</v>
      </c>
      <c r="P762" s="26" t="n">
        <v>-7</v>
      </c>
      <c r="Q762" s="26" t="n">
        <v>2476</v>
      </c>
      <c r="R762" s="26" t="n">
        <v>168</v>
      </c>
      <c r="S762" s="26" t="n">
        <v>0</v>
      </c>
      <c r="T762" s="26" t="n">
        <v>0</v>
      </c>
      <c r="U762" s="26" t="n">
        <v>-1</v>
      </c>
    </row>
    <row r="763" customFormat="false" ht="15" hidden="false" customHeight="true" outlineLevel="0" collapsed="false">
      <c r="A763" s="8" t="s">
        <v>944</v>
      </c>
      <c r="B763" s="8" t="s">
        <v>94</v>
      </c>
      <c r="C763" s="8" t="s">
        <v>575</v>
      </c>
      <c r="D763" s="26" t="n">
        <v>0</v>
      </c>
      <c r="E763" s="26" t="n">
        <v>0</v>
      </c>
      <c r="F763" s="26" t="n">
        <v>404</v>
      </c>
      <c r="G763" s="26" t="n">
        <v>0</v>
      </c>
      <c r="H763" s="26" t="n">
        <v>0</v>
      </c>
      <c r="I763" s="26" t="n">
        <v>3381</v>
      </c>
      <c r="J763" s="26" t="n">
        <v>0</v>
      </c>
      <c r="K763" s="26" t="n">
        <v>14</v>
      </c>
      <c r="L763" s="26" t="n">
        <v>0</v>
      </c>
      <c r="M763" s="26" t="n">
        <v>0</v>
      </c>
      <c r="N763" s="26" t="n">
        <v>0</v>
      </c>
      <c r="O763" s="26" t="n">
        <v>0</v>
      </c>
      <c r="P763" s="26" t="n">
        <v>-4</v>
      </c>
      <c r="Q763" s="26" t="n">
        <v>3121</v>
      </c>
      <c r="R763" s="26" t="n">
        <v>250</v>
      </c>
      <c r="S763" s="26" t="n">
        <v>0</v>
      </c>
      <c r="T763" s="26" t="n">
        <v>0</v>
      </c>
      <c r="U763" s="26" t="n">
        <v>0</v>
      </c>
    </row>
    <row r="764" customFormat="false" ht="15" hidden="false" customHeight="true" outlineLevel="0" collapsed="false">
      <c r="A764" s="8" t="s">
        <v>944</v>
      </c>
      <c r="B764" s="8" t="s">
        <v>94</v>
      </c>
      <c r="C764" s="8" t="s">
        <v>576</v>
      </c>
      <c r="D764" s="26" t="n">
        <v>0</v>
      </c>
      <c r="E764" s="26" t="n">
        <v>0</v>
      </c>
      <c r="F764" s="26" t="n">
        <v>376</v>
      </c>
      <c r="G764" s="26" t="n">
        <v>0</v>
      </c>
      <c r="H764" s="26" t="n">
        <v>0</v>
      </c>
      <c r="I764" s="26" t="n">
        <v>3615</v>
      </c>
      <c r="J764" s="26" t="n">
        <v>0</v>
      </c>
      <c r="K764" s="26" t="n">
        <v>25</v>
      </c>
      <c r="L764" s="26" t="n">
        <v>0</v>
      </c>
      <c r="M764" s="26" t="n">
        <v>0</v>
      </c>
      <c r="N764" s="26" t="n">
        <v>0</v>
      </c>
      <c r="O764" s="26" t="n">
        <v>5</v>
      </c>
      <c r="P764" s="26" t="n">
        <v>-11</v>
      </c>
      <c r="Q764" s="26" t="n">
        <v>3288</v>
      </c>
      <c r="R764" s="26" t="n">
        <v>308</v>
      </c>
      <c r="S764" s="26" t="n">
        <v>0</v>
      </c>
      <c r="T764" s="26" t="n">
        <v>0</v>
      </c>
      <c r="U764" s="26" t="n">
        <v>0</v>
      </c>
    </row>
    <row r="765" customFormat="false" ht="15" hidden="false" customHeight="true" outlineLevel="0" collapsed="false">
      <c r="A765" s="8" t="s">
        <v>944</v>
      </c>
      <c r="B765" s="8" t="s">
        <v>94</v>
      </c>
      <c r="C765" s="8" t="s">
        <v>577</v>
      </c>
      <c r="D765" s="26" t="n">
        <v>0</v>
      </c>
      <c r="E765" s="26" t="n">
        <v>0</v>
      </c>
      <c r="F765" s="26" t="n">
        <v>243</v>
      </c>
      <c r="G765" s="26" t="n">
        <v>0</v>
      </c>
      <c r="H765" s="26" t="n">
        <v>0</v>
      </c>
      <c r="I765" s="26" t="n">
        <v>2023</v>
      </c>
      <c r="J765" s="26" t="n">
        <v>0</v>
      </c>
      <c r="K765" s="26" t="n">
        <v>11</v>
      </c>
      <c r="L765" s="26" t="n">
        <v>0</v>
      </c>
      <c r="M765" s="26" t="n">
        <v>0</v>
      </c>
      <c r="N765" s="26" t="n">
        <v>0</v>
      </c>
      <c r="O765" s="26" t="n">
        <v>5</v>
      </c>
      <c r="P765" s="26" t="n">
        <v>-13</v>
      </c>
      <c r="Q765" s="26" t="n">
        <v>1866</v>
      </c>
      <c r="R765" s="26" t="n">
        <v>154</v>
      </c>
      <c r="S765" s="26" t="n">
        <v>0</v>
      </c>
      <c r="T765" s="26" t="n">
        <v>0</v>
      </c>
      <c r="U765" s="26" t="n">
        <v>-1</v>
      </c>
    </row>
    <row r="766" customFormat="false" ht="15" hidden="false" customHeight="true" outlineLevel="0" collapsed="false">
      <c r="A766" s="8" t="s">
        <v>944</v>
      </c>
      <c r="B766" s="8" t="s">
        <v>218</v>
      </c>
      <c r="C766" s="8" t="s">
        <v>578</v>
      </c>
      <c r="D766" s="26" t="n">
        <v>0</v>
      </c>
      <c r="E766" s="26" t="n">
        <v>0</v>
      </c>
      <c r="F766" s="26" t="n">
        <v>76</v>
      </c>
      <c r="G766" s="26" t="n">
        <v>0</v>
      </c>
      <c r="H766" s="26" t="n">
        <v>0</v>
      </c>
      <c r="I766" s="26" t="n">
        <v>68</v>
      </c>
      <c r="J766" s="26" t="n">
        <v>0</v>
      </c>
      <c r="K766" s="26" t="n">
        <v>6</v>
      </c>
      <c r="L766" s="26" t="n">
        <v>0</v>
      </c>
      <c r="M766" s="26" t="n">
        <v>0</v>
      </c>
      <c r="N766" s="26" t="n">
        <v>2</v>
      </c>
      <c r="O766" s="26" t="n">
        <v>0</v>
      </c>
      <c r="P766" s="26" t="n">
        <v>0</v>
      </c>
      <c r="Q766" s="26" t="n">
        <v>44</v>
      </c>
      <c r="R766" s="26" t="n">
        <v>16</v>
      </c>
      <c r="S766" s="26" t="n">
        <v>0</v>
      </c>
      <c r="T766" s="26" t="n">
        <v>0</v>
      </c>
      <c r="U766" s="26" t="n">
        <v>0</v>
      </c>
    </row>
    <row r="767" customFormat="false" ht="15" hidden="false" customHeight="true" outlineLevel="0" collapsed="false">
      <c r="A767" s="8" t="s">
        <v>944</v>
      </c>
      <c r="B767" s="8" t="s">
        <v>219</v>
      </c>
      <c r="C767" s="8" t="s">
        <v>579</v>
      </c>
      <c r="D767" s="26" t="n">
        <v>0</v>
      </c>
      <c r="E767" s="26" t="n">
        <v>0</v>
      </c>
      <c r="F767" s="26" t="n">
        <v>113</v>
      </c>
      <c r="G767" s="26" t="n">
        <v>0</v>
      </c>
      <c r="H767" s="26" t="n">
        <v>0</v>
      </c>
      <c r="I767" s="26" t="n">
        <v>655</v>
      </c>
      <c r="J767" s="26" t="n">
        <v>0</v>
      </c>
      <c r="K767" s="26" t="n">
        <v>7</v>
      </c>
      <c r="L767" s="26" t="n">
        <v>0</v>
      </c>
      <c r="M767" s="26" t="n">
        <v>0</v>
      </c>
      <c r="N767" s="26" t="n">
        <v>0</v>
      </c>
      <c r="O767" s="26" t="n">
        <v>0</v>
      </c>
      <c r="P767" s="26" t="n">
        <v>-4</v>
      </c>
      <c r="Q767" s="26" t="n">
        <v>571</v>
      </c>
      <c r="R767" s="26" t="n">
        <v>81</v>
      </c>
      <c r="S767" s="26" t="n">
        <v>0</v>
      </c>
      <c r="T767" s="26" t="n">
        <v>0</v>
      </c>
      <c r="U767" s="26" t="n">
        <v>0</v>
      </c>
    </row>
    <row r="768" customFormat="false" ht="15" hidden="false" customHeight="true" outlineLevel="0" collapsed="false">
      <c r="A768" s="8" t="s">
        <v>944</v>
      </c>
      <c r="B768" s="8" t="s">
        <v>130</v>
      </c>
      <c r="C768" s="8" t="s">
        <v>580</v>
      </c>
      <c r="D768" s="26" t="n">
        <v>0</v>
      </c>
      <c r="E768" s="26" t="n">
        <v>0</v>
      </c>
      <c r="F768" s="26" t="n">
        <v>997</v>
      </c>
      <c r="G768" s="26" t="n">
        <v>0</v>
      </c>
      <c r="H768" s="26" t="n">
        <v>4</v>
      </c>
      <c r="I768" s="26" t="n">
        <v>686</v>
      </c>
      <c r="J768" s="26" t="n">
        <v>0</v>
      </c>
      <c r="K768" s="26" t="n">
        <v>67</v>
      </c>
      <c r="L768" s="26" t="n">
        <v>0</v>
      </c>
      <c r="M768" s="26" t="n">
        <v>0</v>
      </c>
      <c r="N768" s="26" t="n">
        <v>28</v>
      </c>
      <c r="O768" s="26" t="n">
        <v>0</v>
      </c>
      <c r="P768" s="26" t="n">
        <v>-9</v>
      </c>
      <c r="Q768" s="26" t="n">
        <v>-4</v>
      </c>
      <c r="R768" s="26" t="n">
        <v>604</v>
      </c>
      <c r="S768" s="26" t="n">
        <v>1</v>
      </c>
      <c r="T768" s="26" t="n">
        <v>0</v>
      </c>
      <c r="U768" s="26" t="n">
        <v>0</v>
      </c>
    </row>
    <row r="769" customFormat="false" ht="15" hidden="false" customHeight="true" outlineLevel="0" collapsed="false">
      <c r="A769" s="8" t="s">
        <v>944</v>
      </c>
      <c r="B769" s="8" t="s">
        <v>206</v>
      </c>
      <c r="C769" s="8" t="s">
        <v>581</v>
      </c>
      <c r="D769" s="26" t="n">
        <v>0</v>
      </c>
      <c r="E769" s="26" t="n">
        <v>0</v>
      </c>
      <c r="F769" s="26" t="n">
        <v>513</v>
      </c>
      <c r="G769" s="26" t="n">
        <v>0</v>
      </c>
      <c r="H769" s="26" t="n">
        <v>0</v>
      </c>
      <c r="I769" s="26" t="n">
        <v>344</v>
      </c>
      <c r="J769" s="26" t="n">
        <v>0</v>
      </c>
      <c r="K769" s="26" t="n">
        <v>20</v>
      </c>
      <c r="L769" s="26" t="n">
        <v>0</v>
      </c>
      <c r="M769" s="26" t="n">
        <v>2</v>
      </c>
      <c r="N769" s="26" t="n">
        <v>6</v>
      </c>
      <c r="O769" s="26" t="n">
        <v>3</v>
      </c>
      <c r="P769" s="26" t="n">
        <v>-5</v>
      </c>
      <c r="Q769" s="26" t="n">
        <v>0</v>
      </c>
      <c r="R769" s="26" t="n">
        <v>318</v>
      </c>
      <c r="S769" s="26" t="n">
        <v>0</v>
      </c>
      <c r="T769" s="26" t="n">
        <v>0</v>
      </c>
      <c r="U769" s="26" t="n">
        <v>0</v>
      </c>
    </row>
    <row r="770" customFormat="false" ht="15" hidden="false" customHeight="true" outlineLevel="0" collapsed="false">
      <c r="A770" s="8" t="s">
        <v>944</v>
      </c>
      <c r="B770" s="8" t="s">
        <v>161</v>
      </c>
      <c r="C770" s="8" t="s">
        <v>582</v>
      </c>
      <c r="D770" s="26" t="n">
        <v>0</v>
      </c>
      <c r="E770" s="26" t="n">
        <v>0</v>
      </c>
      <c r="F770" s="26" t="n">
        <v>160</v>
      </c>
      <c r="G770" s="26" t="n">
        <v>0</v>
      </c>
      <c r="H770" s="26" t="n">
        <v>0</v>
      </c>
      <c r="I770" s="26" t="n">
        <v>157</v>
      </c>
      <c r="J770" s="26" t="n">
        <v>0</v>
      </c>
      <c r="K770" s="26" t="n">
        <v>24</v>
      </c>
      <c r="L770" s="26" t="n">
        <v>0</v>
      </c>
      <c r="M770" s="26" t="n">
        <v>0</v>
      </c>
      <c r="N770" s="26" t="n">
        <v>7</v>
      </c>
      <c r="O770" s="26" t="n">
        <v>0</v>
      </c>
      <c r="P770" s="26" t="n">
        <v>0</v>
      </c>
      <c r="Q770" s="26" t="n">
        <v>0</v>
      </c>
      <c r="R770" s="26" t="n">
        <v>126</v>
      </c>
      <c r="S770" s="26" t="n">
        <v>0</v>
      </c>
      <c r="T770" s="26" t="n">
        <v>0</v>
      </c>
      <c r="U770" s="26" t="n">
        <v>0</v>
      </c>
    </row>
    <row r="771" customFormat="false" ht="15" hidden="false" customHeight="true" outlineLevel="0" collapsed="false">
      <c r="A771" s="8" t="s">
        <v>944</v>
      </c>
      <c r="B771" s="8" t="s">
        <v>198</v>
      </c>
      <c r="C771" s="8" t="s">
        <v>583</v>
      </c>
      <c r="D771" s="26" t="n">
        <v>0</v>
      </c>
      <c r="E771" s="26" t="n">
        <v>0</v>
      </c>
      <c r="F771" s="26" t="n">
        <v>258</v>
      </c>
      <c r="G771" s="26" t="n">
        <v>0</v>
      </c>
      <c r="H771" s="26" t="n">
        <v>2</v>
      </c>
      <c r="I771" s="26" t="n">
        <v>88</v>
      </c>
      <c r="J771" s="26" t="n">
        <v>0</v>
      </c>
      <c r="K771" s="26" t="n">
        <v>6</v>
      </c>
      <c r="L771" s="26" t="n">
        <v>0</v>
      </c>
      <c r="M771" s="26" t="n">
        <v>0</v>
      </c>
      <c r="N771" s="26" t="n">
        <v>0</v>
      </c>
      <c r="O771" s="26" t="n">
        <v>1</v>
      </c>
      <c r="P771" s="26" t="n">
        <v>-7</v>
      </c>
      <c r="Q771" s="26" t="n">
        <v>0</v>
      </c>
      <c r="R771" s="26" t="n">
        <v>88</v>
      </c>
      <c r="S771" s="26" t="n">
        <v>0</v>
      </c>
      <c r="T771" s="26" t="n">
        <v>0</v>
      </c>
      <c r="U771" s="26" t="n">
        <v>0</v>
      </c>
    </row>
    <row r="772" customFormat="false" ht="15" hidden="false" customHeight="true" outlineLevel="0" collapsed="false">
      <c r="A772" s="8" t="s">
        <v>944</v>
      </c>
      <c r="B772" s="8" t="s">
        <v>190</v>
      </c>
      <c r="C772" s="8" t="s">
        <v>584</v>
      </c>
      <c r="D772" s="26" t="n">
        <v>0</v>
      </c>
      <c r="E772" s="26" t="n">
        <v>0</v>
      </c>
      <c r="F772" s="26" t="n">
        <v>146</v>
      </c>
      <c r="G772" s="26" t="n">
        <v>0</v>
      </c>
      <c r="H772" s="26" t="n">
        <v>0</v>
      </c>
      <c r="I772" s="26" t="n">
        <v>38</v>
      </c>
      <c r="J772" s="26" t="n">
        <v>0</v>
      </c>
      <c r="K772" s="26" t="n">
        <v>11</v>
      </c>
      <c r="L772" s="26" t="n">
        <v>0</v>
      </c>
      <c r="M772" s="26" t="n">
        <v>0</v>
      </c>
      <c r="N772" s="26" t="n">
        <v>3</v>
      </c>
      <c r="O772" s="26" t="n">
        <v>0</v>
      </c>
      <c r="P772" s="26" t="n">
        <v>-7</v>
      </c>
      <c r="Q772" s="26" t="n">
        <v>0</v>
      </c>
      <c r="R772" s="26" t="n">
        <v>31</v>
      </c>
      <c r="S772" s="26" t="n">
        <v>0</v>
      </c>
      <c r="T772" s="26" t="n">
        <v>0</v>
      </c>
      <c r="U772" s="26" t="n">
        <v>0</v>
      </c>
    </row>
    <row r="773" customFormat="false" ht="15" hidden="false" customHeight="true" outlineLevel="0" collapsed="false">
      <c r="A773" s="8" t="s">
        <v>944</v>
      </c>
      <c r="B773" s="8" t="s">
        <v>316</v>
      </c>
      <c r="C773" s="8" t="s">
        <v>585</v>
      </c>
      <c r="D773" s="26" t="n">
        <v>0</v>
      </c>
      <c r="E773" s="26" t="n">
        <v>0</v>
      </c>
      <c r="F773" s="26" t="n">
        <v>-2</v>
      </c>
      <c r="G773" s="26" t="n">
        <v>0</v>
      </c>
      <c r="H773" s="26" t="n">
        <v>0</v>
      </c>
      <c r="I773" s="26" t="n">
        <v>-16</v>
      </c>
      <c r="J773" s="26" t="n">
        <v>0</v>
      </c>
      <c r="K773" s="26" t="n">
        <v>0</v>
      </c>
      <c r="L773" s="26" t="n">
        <v>0</v>
      </c>
      <c r="M773" s="26" t="n">
        <v>0</v>
      </c>
      <c r="N773" s="26" t="n">
        <v>0</v>
      </c>
      <c r="O773" s="26" t="n">
        <v>0</v>
      </c>
      <c r="P773" s="26" t="n">
        <v>0</v>
      </c>
      <c r="Q773" s="26" t="n">
        <v>-16</v>
      </c>
      <c r="R773" s="26" t="n">
        <v>0</v>
      </c>
      <c r="S773" s="26" t="n">
        <v>0</v>
      </c>
      <c r="T773" s="26" t="n">
        <v>0</v>
      </c>
      <c r="U773" s="26" t="n">
        <v>0</v>
      </c>
    </row>
    <row r="774" customFormat="false" ht="15" hidden="false" customHeight="true" outlineLevel="0" collapsed="false">
      <c r="A774" s="8" t="s">
        <v>944</v>
      </c>
      <c r="B774" s="8" t="s">
        <v>339</v>
      </c>
      <c r="C774" s="8" t="s">
        <v>585</v>
      </c>
      <c r="D774" s="26" t="n">
        <v>0</v>
      </c>
      <c r="E774" s="26" t="n">
        <v>0</v>
      </c>
      <c r="F774" s="26" t="n">
        <v>-1</v>
      </c>
      <c r="G774" s="26" t="n">
        <v>0</v>
      </c>
      <c r="H774" s="26" t="n">
        <v>0</v>
      </c>
      <c r="I774" s="26" t="n">
        <v>-12</v>
      </c>
      <c r="J774" s="26" t="n">
        <v>0</v>
      </c>
      <c r="K774" s="26" t="n">
        <v>0</v>
      </c>
      <c r="L774" s="26" t="n">
        <v>0</v>
      </c>
      <c r="M774" s="26" t="n">
        <v>0</v>
      </c>
      <c r="N774" s="26" t="n">
        <v>0</v>
      </c>
      <c r="O774" s="26" t="n">
        <v>0</v>
      </c>
      <c r="P774" s="26" t="n">
        <v>0</v>
      </c>
      <c r="Q774" s="26" t="n">
        <v>-12</v>
      </c>
      <c r="R774" s="26" t="n">
        <v>0</v>
      </c>
      <c r="S774" s="26" t="n">
        <v>0</v>
      </c>
      <c r="T774" s="26" t="n">
        <v>0</v>
      </c>
      <c r="U774" s="26" t="n">
        <v>0</v>
      </c>
    </row>
    <row r="775" customFormat="false" ht="15" hidden="false" customHeight="true" outlineLevel="0" collapsed="false">
      <c r="A775" s="8" t="s">
        <v>944</v>
      </c>
      <c r="B775" s="8" t="s">
        <v>205</v>
      </c>
      <c r="C775" s="8" t="s">
        <v>586</v>
      </c>
      <c r="D775" s="26" t="n">
        <v>0</v>
      </c>
      <c r="E775" s="26" t="n">
        <v>0</v>
      </c>
      <c r="F775" s="26" t="n">
        <v>1</v>
      </c>
      <c r="G775" s="26" t="n">
        <v>0</v>
      </c>
      <c r="H775" s="26" t="n">
        <v>0</v>
      </c>
      <c r="I775" s="26" t="n">
        <v>2</v>
      </c>
      <c r="J775" s="26" t="n">
        <v>0</v>
      </c>
      <c r="K775" s="26" t="n">
        <v>0</v>
      </c>
      <c r="L775" s="26" t="n">
        <v>0</v>
      </c>
      <c r="M775" s="26" t="n">
        <v>0</v>
      </c>
      <c r="N775" s="26" t="n">
        <v>0</v>
      </c>
      <c r="O775" s="26" t="n">
        <v>0</v>
      </c>
      <c r="P775" s="26" t="n">
        <v>-1</v>
      </c>
      <c r="Q775" s="26" t="n">
        <v>0</v>
      </c>
      <c r="R775" s="26" t="n">
        <v>3</v>
      </c>
      <c r="S775" s="26" t="n">
        <v>0</v>
      </c>
      <c r="T775" s="26" t="n">
        <v>0</v>
      </c>
      <c r="U775" s="26" t="n">
        <v>0</v>
      </c>
    </row>
    <row r="776" customFormat="false" ht="15" hidden="false" customHeight="true" outlineLevel="0" collapsed="false">
      <c r="A776" s="8" t="s">
        <v>944</v>
      </c>
      <c r="B776" s="8" t="s">
        <v>205</v>
      </c>
      <c r="C776" s="8" t="s">
        <v>587</v>
      </c>
      <c r="D776" s="26" t="n">
        <v>0</v>
      </c>
      <c r="E776" s="26" t="n">
        <v>0</v>
      </c>
      <c r="F776" s="26" t="n">
        <v>13</v>
      </c>
      <c r="G776" s="26" t="n">
        <v>0</v>
      </c>
      <c r="H776" s="26" t="n">
        <v>0</v>
      </c>
      <c r="I776" s="26" t="n">
        <v>7</v>
      </c>
      <c r="J776" s="26" t="n">
        <v>0</v>
      </c>
      <c r="K776" s="26" t="n">
        <v>0</v>
      </c>
      <c r="L776" s="26" t="n">
        <v>0</v>
      </c>
      <c r="M776" s="26" t="n">
        <v>0</v>
      </c>
      <c r="N776" s="26" t="n">
        <v>0</v>
      </c>
      <c r="O776" s="26" t="n">
        <v>0</v>
      </c>
      <c r="P776" s="26" t="n">
        <v>0</v>
      </c>
      <c r="Q776" s="26" t="n">
        <v>3</v>
      </c>
      <c r="R776" s="26" t="n">
        <v>4</v>
      </c>
      <c r="S776" s="26" t="n">
        <v>0</v>
      </c>
      <c r="T776" s="26" t="n">
        <v>0</v>
      </c>
      <c r="U776" s="26" t="n">
        <v>0</v>
      </c>
    </row>
    <row r="777" customFormat="false" ht="15" hidden="false" customHeight="true" outlineLevel="0" collapsed="false">
      <c r="A777" s="8" t="s">
        <v>944</v>
      </c>
      <c r="B777" s="8" t="s">
        <v>205</v>
      </c>
      <c r="C777" s="8" t="s">
        <v>588</v>
      </c>
      <c r="D777" s="26" t="n">
        <v>0</v>
      </c>
      <c r="E777" s="26" t="n">
        <v>0</v>
      </c>
      <c r="F777" s="26" t="n">
        <v>4</v>
      </c>
      <c r="G777" s="26" t="n">
        <v>0</v>
      </c>
      <c r="H777" s="26" t="n">
        <v>0</v>
      </c>
      <c r="I777" s="26" t="n">
        <v>7</v>
      </c>
      <c r="J777" s="26" t="n">
        <v>0</v>
      </c>
      <c r="K777" s="26" t="n">
        <v>0</v>
      </c>
      <c r="L777" s="26" t="n">
        <v>0</v>
      </c>
      <c r="M777" s="26" t="n">
        <v>0</v>
      </c>
      <c r="N777" s="26" t="n">
        <v>0</v>
      </c>
      <c r="O777" s="26" t="n">
        <v>0</v>
      </c>
      <c r="P777" s="26" t="n">
        <v>0</v>
      </c>
      <c r="Q777" s="26" t="n">
        <v>1</v>
      </c>
      <c r="R777" s="26" t="n">
        <v>6</v>
      </c>
      <c r="S777" s="26" t="n">
        <v>0</v>
      </c>
      <c r="T777" s="26" t="n">
        <v>0</v>
      </c>
      <c r="U777" s="26" t="n">
        <v>0</v>
      </c>
    </row>
    <row r="778" customFormat="false" ht="15" hidden="false" customHeight="true" outlineLevel="0" collapsed="false">
      <c r="A778" s="8" t="s">
        <v>944</v>
      </c>
      <c r="B778" s="8" t="s">
        <v>205</v>
      </c>
      <c r="C778" s="8" t="s">
        <v>589</v>
      </c>
      <c r="D778" s="26" t="n">
        <v>0</v>
      </c>
      <c r="E778" s="26" t="n">
        <v>0</v>
      </c>
      <c r="F778" s="26" t="n">
        <v>11</v>
      </c>
      <c r="G778" s="26" t="n">
        <v>0</v>
      </c>
      <c r="H778" s="26" t="n">
        <v>0</v>
      </c>
      <c r="I778" s="26" t="n">
        <v>9</v>
      </c>
      <c r="J778" s="26" t="n">
        <v>0</v>
      </c>
      <c r="K778" s="26" t="n">
        <v>0</v>
      </c>
      <c r="L778" s="26" t="n">
        <v>0</v>
      </c>
      <c r="M778" s="26" t="n">
        <v>0</v>
      </c>
      <c r="N778" s="26" t="n">
        <v>0</v>
      </c>
      <c r="O778" s="26" t="n">
        <v>0</v>
      </c>
      <c r="P778" s="26" t="n">
        <v>0</v>
      </c>
      <c r="Q778" s="26" t="n">
        <v>3</v>
      </c>
      <c r="R778" s="26" t="n">
        <v>6</v>
      </c>
      <c r="S778" s="26" t="n">
        <v>0</v>
      </c>
      <c r="T778" s="26" t="n">
        <v>0</v>
      </c>
      <c r="U778" s="26" t="n">
        <v>0</v>
      </c>
    </row>
    <row r="779" customFormat="false" ht="15" hidden="false" customHeight="true" outlineLevel="0" collapsed="false">
      <c r="A779" s="8" t="s">
        <v>944</v>
      </c>
      <c r="B779" s="8" t="s">
        <v>279</v>
      </c>
      <c r="C779" s="8" t="s">
        <v>590</v>
      </c>
      <c r="D779" s="26" t="n">
        <v>0</v>
      </c>
      <c r="E779" s="26" t="n">
        <v>0</v>
      </c>
      <c r="F779" s="26" t="n">
        <v>7</v>
      </c>
      <c r="G779" s="26" t="n">
        <v>0</v>
      </c>
      <c r="H779" s="26" t="n">
        <v>0</v>
      </c>
      <c r="I779" s="26" t="n">
        <v>5</v>
      </c>
      <c r="J779" s="26" t="n">
        <v>0</v>
      </c>
      <c r="K779" s="26" t="n">
        <v>1</v>
      </c>
      <c r="L779" s="26" t="n">
        <v>0</v>
      </c>
      <c r="M779" s="26" t="n">
        <v>0</v>
      </c>
      <c r="N779" s="26" t="n">
        <v>0</v>
      </c>
      <c r="O779" s="26" t="n">
        <v>0</v>
      </c>
      <c r="P779" s="26" t="n">
        <v>0</v>
      </c>
      <c r="Q779" s="26" t="n">
        <v>0</v>
      </c>
      <c r="R779" s="26" t="n">
        <v>4</v>
      </c>
      <c r="S779" s="26" t="n">
        <v>0</v>
      </c>
      <c r="T779" s="26" t="n">
        <v>0</v>
      </c>
      <c r="U779" s="26" t="n">
        <v>0</v>
      </c>
    </row>
    <row r="780" customFormat="false" ht="15" hidden="false" customHeight="true" outlineLevel="0" collapsed="false">
      <c r="A780" s="8" t="s">
        <v>944</v>
      </c>
      <c r="B780" s="8" t="s">
        <v>279</v>
      </c>
      <c r="C780" s="8" t="s">
        <v>591</v>
      </c>
      <c r="D780" s="26" t="n">
        <v>0</v>
      </c>
      <c r="E780" s="26" t="n">
        <v>0</v>
      </c>
      <c r="F780" s="26" t="n">
        <v>0</v>
      </c>
      <c r="G780" s="26" t="n">
        <v>0</v>
      </c>
      <c r="H780" s="26" t="n">
        <v>0</v>
      </c>
      <c r="I780" s="26" t="n">
        <v>0</v>
      </c>
      <c r="J780" s="26" t="n">
        <v>0</v>
      </c>
      <c r="K780" s="26" t="n">
        <v>0</v>
      </c>
      <c r="L780" s="26" t="n">
        <v>0</v>
      </c>
      <c r="M780" s="26" t="n">
        <v>0</v>
      </c>
      <c r="N780" s="26" t="n">
        <v>0</v>
      </c>
      <c r="O780" s="26" t="n">
        <v>0</v>
      </c>
      <c r="P780" s="26" t="n">
        <v>-1</v>
      </c>
      <c r="Q780" s="26" t="n">
        <v>-1</v>
      </c>
      <c r="R780" s="26" t="n">
        <v>2</v>
      </c>
      <c r="S780" s="26" t="n">
        <v>0</v>
      </c>
      <c r="T780" s="26" t="n">
        <v>0</v>
      </c>
      <c r="U780" s="26" t="n">
        <v>0</v>
      </c>
    </row>
    <row r="781" customFormat="false" ht="15" hidden="false" customHeight="true" outlineLevel="0" collapsed="false">
      <c r="A781" s="8" t="s">
        <v>944</v>
      </c>
      <c r="B781" s="8" t="s">
        <v>279</v>
      </c>
      <c r="C781" s="8" t="s">
        <v>592</v>
      </c>
      <c r="D781" s="26" t="n">
        <v>0</v>
      </c>
      <c r="E781" s="26" t="n">
        <v>0</v>
      </c>
      <c r="F781" s="26" t="n">
        <v>1</v>
      </c>
      <c r="G781" s="26" t="n">
        <v>0</v>
      </c>
      <c r="H781" s="26" t="n">
        <v>0</v>
      </c>
      <c r="I781" s="26" t="n">
        <v>3</v>
      </c>
      <c r="J781" s="26" t="n">
        <v>0</v>
      </c>
      <c r="K781" s="26" t="n">
        <v>0</v>
      </c>
      <c r="L781" s="26" t="n">
        <v>0</v>
      </c>
      <c r="M781" s="26" t="n">
        <v>0</v>
      </c>
      <c r="N781" s="26" t="n">
        <v>0</v>
      </c>
      <c r="O781" s="26" t="n">
        <v>0</v>
      </c>
      <c r="P781" s="26" t="n">
        <v>0</v>
      </c>
      <c r="Q781" s="26" t="n">
        <v>0</v>
      </c>
      <c r="R781" s="26" t="n">
        <v>3</v>
      </c>
      <c r="S781" s="26" t="n">
        <v>0</v>
      </c>
      <c r="T781" s="26" t="n">
        <v>0</v>
      </c>
      <c r="U781" s="26" t="n">
        <v>0</v>
      </c>
    </row>
    <row r="782" customFormat="false" ht="15" hidden="false" customHeight="true" outlineLevel="0" collapsed="false">
      <c r="A782" s="8" t="s">
        <v>944</v>
      </c>
      <c r="B782" s="8" t="s">
        <v>152</v>
      </c>
      <c r="C782" s="8" t="s">
        <v>593</v>
      </c>
      <c r="D782" s="26" t="n">
        <v>0</v>
      </c>
      <c r="E782" s="26" t="n">
        <v>0</v>
      </c>
      <c r="F782" s="26" t="n">
        <v>5</v>
      </c>
      <c r="G782" s="26" t="n">
        <v>0</v>
      </c>
      <c r="H782" s="26" t="n">
        <v>0</v>
      </c>
      <c r="I782" s="26" t="n">
        <v>-1</v>
      </c>
      <c r="J782" s="26" t="n">
        <v>0</v>
      </c>
      <c r="K782" s="26" t="n">
        <v>0</v>
      </c>
      <c r="L782" s="26" t="n">
        <v>0</v>
      </c>
      <c r="M782" s="26" t="n">
        <v>0</v>
      </c>
      <c r="N782" s="26" t="n">
        <v>0</v>
      </c>
      <c r="O782" s="26" t="n">
        <v>0</v>
      </c>
      <c r="P782" s="26" t="n">
        <v>-1</v>
      </c>
      <c r="Q782" s="26" t="n">
        <v>-2</v>
      </c>
      <c r="R782" s="26" t="n">
        <v>2</v>
      </c>
      <c r="S782" s="26" t="n">
        <v>0</v>
      </c>
      <c r="T782" s="26" t="n">
        <v>0</v>
      </c>
      <c r="U782" s="26" t="n">
        <v>0</v>
      </c>
    </row>
    <row r="783" customFormat="false" ht="15" hidden="false" customHeight="true" outlineLevel="0" collapsed="false">
      <c r="A783" s="8" t="s">
        <v>944</v>
      </c>
      <c r="B783" s="8" t="s">
        <v>152</v>
      </c>
      <c r="C783" s="8" t="s">
        <v>594</v>
      </c>
      <c r="D783" s="26" t="n">
        <v>0</v>
      </c>
      <c r="E783" s="26" t="n">
        <v>0</v>
      </c>
      <c r="F783" s="26" t="n">
        <v>2</v>
      </c>
      <c r="G783" s="26" t="n">
        <v>0</v>
      </c>
      <c r="H783" s="26" t="n">
        <v>0</v>
      </c>
      <c r="I783" s="26" t="n">
        <v>2</v>
      </c>
      <c r="J783" s="26" t="n">
        <v>0</v>
      </c>
      <c r="K783" s="26" t="n">
        <v>0</v>
      </c>
      <c r="L783" s="26" t="n">
        <v>0</v>
      </c>
      <c r="M783" s="26" t="n">
        <v>0</v>
      </c>
      <c r="N783" s="26" t="n">
        <v>0</v>
      </c>
      <c r="O783" s="26" t="n">
        <v>0</v>
      </c>
      <c r="P783" s="26" t="n">
        <v>-1</v>
      </c>
      <c r="Q783" s="26" t="n">
        <v>0</v>
      </c>
      <c r="R783" s="26" t="n">
        <v>3</v>
      </c>
      <c r="S783" s="26" t="n">
        <v>0</v>
      </c>
      <c r="T783" s="26" t="n">
        <v>0</v>
      </c>
      <c r="U783" s="26" t="n">
        <v>0</v>
      </c>
    </row>
    <row r="784" customFormat="false" ht="15" hidden="false" customHeight="true" outlineLevel="0" collapsed="false">
      <c r="A784" s="8" t="s">
        <v>944</v>
      </c>
      <c r="B784" s="8" t="s">
        <v>152</v>
      </c>
      <c r="C784" s="8" t="s">
        <v>595</v>
      </c>
      <c r="D784" s="26" t="n">
        <v>0</v>
      </c>
      <c r="E784" s="26" t="n">
        <v>0</v>
      </c>
      <c r="F784" s="26" t="n">
        <v>0</v>
      </c>
      <c r="G784" s="26" t="n">
        <v>0</v>
      </c>
      <c r="H784" s="26" t="n">
        <v>0</v>
      </c>
      <c r="I784" s="26" t="n">
        <v>-3</v>
      </c>
      <c r="J784" s="26" t="n">
        <v>0</v>
      </c>
      <c r="K784" s="26" t="n">
        <v>0</v>
      </c>
      <c r="L784" s="26" t="n">
        <v>0</v>
      </c>
      <c r="M784" s="26" t="n">
        <v>0</v>
      </c>
      <c r="N784" s="26" t="n">
        <v>0</v>
      </c>
      <c r="O784" s="26" t="n">
        <v>0</v>
      </c>
      <c r="P784" s="26" t="n">
        <v>0</v>
      </c>
      <c r="Q784" s="26" t="n">
        <v>-3</v>
      </c>
      <c r="R784" s="26" t="n">
        <v>0</v>
      </c>
      <c r="S784" s="26" t="n">
        <v>0</v>
      </c>
      <c r="T784" s="26" t="n">
        <v>0</v>
      </c>
      <c r="U784" s="26" t="n">
        <v>0</v>
      </c>
    </row>
    <row r="785" customFormat="false" ht="15" hidden="false" customHeight="true" outlineLevel="0" collapsed="false">
      <c r="A785" s="8" t="s">
        <v>944</v>
      </c>
      <c r="B785" s="8" t="s">
        <v>152</v>
      </c>
      <c r="C785" s="8" t="s">
        <v>596</v>
      </c>
      <c r="D785" s="26" t="n">
        <v>0</v>
      </c>
      <c r="E785" s="26" t="n">
        <v>0</v>
      </c>
      <c r="F785" s="26" t="n">
        <v>8</v>
      </c>
      <c r="G785" s="26" t="n">
        <v>0</v>
      </c>
      <c r="H785" s="26" t="n">
        <v>0</v>
      </c>
      <c r="I785" s="26" t="n">
        <v>0</v>
      </c>
      <c r="J785" s="26" t="n">
        <v>0</v>
      </c>
      <c r="K785" s="26" t="n">
        <v>0</v>
      </c>
      <c r="L785" s="26" t="n">
        <v>0</v>
      </c>
      <c r="M785" s="26" t="n">
        <v>0</v>
      </c>
      <c r="N785" s="26" t="n">
        <v>0</v>
      </c>
      <c r="O785" s="26" t="n">
        <v>0</v>
      </c>
      <c r="P785" s="26" t="n">
        <v>0</v>
      </c>
      <c r="Q785" s="26" t="n">
        <v>0</v>
      </c>
      <c r="R785" s="26" t="n">
        <v>0</v>
      </c>
      <c r="S785" s="26" t="n">
        <v>0</v>
      </c>
      <c r="T785" s="26" t="n">
        <v>0</v>
      </c>
      <c r="U785" s="26" t="n">
        <v>0</v>
      </c>
    </row>
    <row r="786" customFormat="false" ht="15" hidden="false" customHeight="true" outlineLevel="0" collapsed="false">
      <c r="A786" s="8" t="s">
        <v>944</v>
      </c>
      <c r="B786" s="8" t="s">
        <v>152</v>
      </c>
      <c r="C786" s="8" t="s">
        <v>597</v>
      </c>
      <c r="D786" s="26" t="n">
        <v>0</v>
      </c>
      <c r="E786" s="26" t="n">
        <v>0</v>
      </c>
      <c r="F786" s="26" t="n">
        <v>2</v>
      </c>
      <c r="G786" s="26" t="n">
        <v>0</v>
      </c>
      <c r="H786" s="26" t="n">
        <v>0</v>
      </c>
      <c r="I786" s="26" t="n">
        <v>2</v>
      </c>
      <c r="J786" s="26" t="n">
        <v>0</v>
      </c>
      <c r="K786" s="26" t="n">
        <v>0</v>
      </c>
      <c r="L786" s="26" t="n">
        <v>0</v>
      </c>
      <c r="M786" s="26" t="n">
        <v>0</v>
      </c>
      <c r="N786" s="26" t="n">
        <v>0</v>
      </c>
      <c r="O786" s="26" t="n">
        <v>0</v>
      </c>
      <c r="P786" s="26" t="n">
        <v>0</v>
      </c>
      <c r="Q786" s="26" t="n">
        <v>2</v>
      </c>
      <c r="R786" s="26" t="n">
        <v>0</v>
      </c>
      <c r="S786" s="26" t="n">
        <v>0</v>
      </c>
      <c r="T786" s="26" t="n">
        <v>0</v>
      </c>
      <c r="U786" s="26" t="n">
        <v>0</v>
      </c>
    </row>
    <row r="787" customFormat="false" ht="15" hidden="false" customHeight="true" outlineLevel="0" collapsed="false">
      <c r="A787" s="8" t="s">
        <v>944</v>
      </c>
      <c r="B787" s="8" t="s">
        <v>100</v>
      </c>
      <c r="C787" s="8" t="s">
        <v>598</v>
      </c>
      <c r="D787" s="26" t="n">
        <v>0</v>
      </c>
      <c r="E787" s="26" t="n">
        <v>0</v>
      </c>
      <c r="F787" s="26" t="n">
        <v>319</v>
      </c>
      <c r="G787" s="26" t="n">
        <v>0</v>
      </c>
      <c r="H787" s="26" t="n">
        <v>0</v>
      </c>
      <c r="I787" s="26" t="n">
        <v>1768</v>
      </c>
      <c r="J787" s="26" t="n">
        <v>0</v>
      </c>
      <c r="K787" s="26" t="n">
        <v>9</v>
      </c>
      <c r="L787" s="26" t="n">
        <v>0</v>
      </c>
      <c r="M787" s="26" t="n">
        <v>0</v>
      </c>
      <c r="N787" s="26" t="n">
        <v>0</v>
      </c>
      <c r="O787" s="26" t="n">
        <v>2</v>
      </c>
      <c r="P787" s="26" t="n">
        <v>-10</v>
      </c>
      <c r="Q787" s="26" t="n">
        <v>1539</v>
      </c>
      <c r="R787" s="26" t="n">
        <v>228</v>
      </c>
      <c r="S787" s="26" t="n">
        <v>0</v>
      </c>
      <c r="T787" s="26" t="n">
        <v>0</v>
      </c>
      <c r="U787" s="26" t="n">
        <v>0</v>
      </c>
    </row>
    <row r="788" customFormat="false" ht="15" hidden="false" customHeight="true" outlineLevel="0" collapsed="false">
      <c r="A788" s="8" t="s">
        <v>944</v>
      </c>
      <c r="B788" s="8" t="s">
        <v>100</v>
      </c>
      <c r="C788" s="8" t="s">
        <v>599</v>
      </c>
      <c r="D788" s="26" t="n">
        <v>0</v>
      </c>
      <c r="E788" s="26" t="n">
        <v>0</v>
      </c>
      <c r="F788" s="26" t="n">
        <v>282</v>
      </c>
      <c r="G788" s="26" t="n">
        <v>0</v>
      </c>
      <c r="H788" s="26" t="n">
        <v>3</v>
      </c>
      <c r="I788" s="26" t="n">
        <v>1888</v>
      </c>
      <c r="J788" s="26" t="n">
        <v>0</v>
      </c>
      <c r="K788" s="26" t="n">
        <v>13</v>
      </c>
      <c r="L788" s="26" t="n">
        <v>0</v>
      </c>
      <c r="M788" s="26" t="n">
        <v>0</v>
      </c>
      <c r="N788" s="26" t="n">
        <v>0</v>
      </c>
      <c r="O788" s="26" t="n">
        <v>3</v>
      </c>
      <c r="P788" s="26" t="n">
        <v>-6</v>
      </c>
      <c r="Q788" s="26" t="n">
        <v>1665</v>
      </c>
      <c r="R788" s="26" t="n">
        <v>213</v>
      </c>
      <c r="S788" s="26" t="n">
        <v>0</v>
      </c>
      <c r="T788" s="26" t="n">
        <v>0</v>
      </c>
      <c r="U788" s="26" t="n">
        <v>0</v>
      </c>
    </row>
    <row r="789" customFormat="false" ht="15" hidden="false" customHeight="true" outlineLevel="0" collapsed="false">
      <c r="A789" s="8" t="s">
        <v>944</v>
      </c>
      <c r="B789" s="8" t="s">
        <v>100</v>
      </c>
      <c r="C789" s="8" t="s">
        <v>600</v>
      </c>
      <c r="D789" s="26" t="n">
        <v>0</v>
      </c>
      <c r="E789" s="26" t="n">
        <v>0</v>
      </c>
      <c r="F789" s="26" t="n">
        <v>116</v>
      </c>
      <c r="G789" s="26" t="n">
        <v>0</v>
      </c>
      <c r="H789" s="26" t="n">
        <v>0</v>
      </c>
      <c r="I789" s="26" t="n">
        <v>1073</v>
      </c>
      <c r="J789" s="26" t="n">
        <v>0</v>
      </c>
      <c r="K789" s="26" t="n">
        <v>7</v>
      </c>
      <c r="L789" s="26" t="n">
        <v>0</v>
      </c>
      <c r="M789" s="26" t="n">
        <v>0</v>
      </c>
      <c r="N789" s="26" t="n">
        <v>3</v>
      </c>
      <c r="O789" s="26" t="n">
        <v>0</v>
      </c>
      <c r="P789" s="26" t="n">
        <v>-10</v>
      </c>
      <c r="Q789" s="26" t="n">
        <v>956</v>
      </c>
      <c r="R789" s="26" t="n">
        <v>117</v>
      </c>
      <c r="S789" s="26" t="n">
        <v>1</v>
      </c>
      <c r="T789" s="26" t="n">
        <v>0</v>
      </c>
      <c r="U789" s="26" t="n">
        <v>0</v>
      </c>
    </row>
    <row r="790" customFormat="false" ht="15" hidden="false" customHeight="true" outlineLevel="0" collapsed="false">
      <c r="A790" s="8" t="s">
        <v>944</v>
      </c>
      <c r="B790" s="8" t="s">
        <v>100</v>
      </c>
      <c r="C790" s="8" t="s">
        <v>601</v>
      </c>
      <c r="D790" s="26" t="n">
        <v>0</v>
      </c>
      <c r="E790" s="26" t="n">
        <v>0</v>
      </c>
      <c r="F790" s="26" t="n">
        <v>241</v>
      </c>
      <c r="G790" s="26" t="n">
        <v>0</v>
      </c>
      <c r="H790" s="26" t="n">
        <v>0</v>
      </c>
      <c r="I790" s="26" t="n">
        <v>1148</v>
      </c>
      <c r="J790" s="26" t="n">
        <v>0</v>
      </c>
      <c r="K790" s="26" t="n">
        <v>5</v>
      </c>
      <c r="L790" s="26" t="n">
        <v>0</v>
      </c>
      <c r="M790" s="26" t="n">
        <v>0</v>
      </c>
      <c r="N790" s="26" t="n">
        <v>0</v>
      </c>
      <c r="O790" s="26" t="n">
        <v>8</v>
      </c>
      <c r="P790" s="26" t="n">
        <v>-7</v>
      </c>
      <c r="Q790" s="26" t="n">
        <v>1001</v>
      </c>
      <c r="R790" s="26" t="n">
        <v>141</v>
      </c>
      <c r="S790" s="26" t="n">
        <v>0</v>
      </c>
      <c r="T790" s="26" t="n">
        <v>0</v>
      </c>
      <c r="U790" s="26" t="n">
        <v>0</v>
      </c>
    </row>
    <row r="791" customFormat="false" ht="15" hidden="false" customHeight="true" outlineLevel="0" collapsed="false">
      <c r="A791" s="8" t="s">
        <v>944</v>
      </c>
      <c r="B791" s="8" t="s">
        <v>100</v>
      </c>
      <c r="C791" s="8" t="s">
        <v>602</v>
      </c>
      <c r="D791" s="26" t="n">
        <v>0</v>
      </c>
      <c r="E791" s="26" t="n">
        <v>0</v>
      </c>
      <c r="F791" s="26" t="n">
        <v>118</v>
      </c>
      <c r="G791" s="26" t="n">
        <v>0</v>
      </c>
      <c r="H791" s="26" t="n">
        <v>3</v>
      </c>
      <c r="I791" s="26" t="n">
        <v>382</v>
      </c>
      <c r="J791" s="26" t="n">
        <v>0</v>
      </c>
      <c r="K791" s="26" t="n">
        <v>11</v>
      </c>
      <c r="L791" s="26" t="n">
        <v>0</v>
      </c>
      <c r="M791" s="26" t="n">
        <v>0</v>
      </c>
      <c r="N791" s="26" t="n">
        <v>0</v>
      </c>
      <c r="O791" s="26" t="n">
        <v>0</v>
      </c>
      <c r="P791" s="26" t="n">
        <v>-5</v>
      </c>
      <c r="Q791" s="26" t="n">
        <v>288</v>
      </c>
      <c r="R791" s="26" t="n">
        <v>88</v>
      </c>
      <c r="S791" s="26" t="n">
        <v>0</v>
      </c>
      <c r="T791" s="26" t="n">
        <v>0</v>
      </c>
      <c r="U791" s="26" t="n">
        <v>0</v>
      </c>
    </row>
    <row r="792" customFormat="false" ht="15" hidden="false" customHeight="true" outlineLevel="0" collapsed="false">
      <c r="A792" s="8" t="s">
        <v>944</v>
      </c>
      <c r="B792" s="8" t="s">
        <v>87</v>
      </c>
      <c r="C792" s="8" t="s">
        <v>603</v>
      </c>
      <c r="D792" s="26" t="n">
        <v>0</v>
      </c>
      <c r="E792" s="26" t="n">
        <v>0</v>
      </c>
      <c r="F792" s="26" t="n">
        <v>155</v>
      </c>
      <c r="G792" s="26" t="n">
        <v>0</v>
      </c>
      <c r="H792" s="26" t="n">
        <v>0</v>
      </c>
      <c r="I792" s="26" t="n">
        <v>1946</v>
      </c>
      <c r="J792" s="26" t="n">
        <v>0</v>
      </c>
      <c r="K792" s="26" t="n">
        <v>13</v>
      </c>
      <c r="L792" s="26" t="n">
        <v>0</v>
      </c>
      <c r="M792" s="26" t="n">
        <v>0</v>
      </c>
      <c r="N792" s="26" t="n">
        <v>3</v>
      </c>
      <c r="O792" s="26" t="n">
        <v>2</v>
      </c>
      <c r="P792" s="26" t="n">
        <v>-7</v>
      </c>
      <c r="Q792" s="26" t="n">
        <v>1789</v>
      </c>
      <c r="R792" s="26" t="n">
        <v>146</v>
      </c>
      <c r="S792" s="26" t="n">
        <v>0</v>
      </c>
      <c r="T792" s="26" t="n">
        <v>0</v>
      </c>
      <c r="U792" s="26" t="n">
        <v>0</v>
      </c>
    </row>
    <row r="793" customFormat="false" ht="15" hidden="false" customHeight="true" outlineLevel="0" collapsed="false">
      <c r="A793" s="8" t="s">
        <v>944</v>
      </c>
      <c r="B793" s="8" t="s">
        <v>87</v>
      </c>
      <c r="C793" s="8" t="s">
        <v>604</v>
      </c>
      <c r="D793" s="26" t="n">
        <v>0</v>
      </c>
      <c r="E793" s="26" t="n">
        <v>0</v>
      </c>
      <c r="F793" s="26" t="n">
        <v>463</v>
      </c>
      <c r="G793" s="26" t="n">
        <v>0</v>
      </c>
      <c r="H793" s="26" t="n">
        <v>0</v>
      </c>
      <c r="I793" s="26" t="n">
        <v>3362</v>
      </c>
      <c r="J793" s="26" t="n">
        <v>0</v>
      </c>
      <c r="K793" s="26" t="n">
        <v>28</v>
      </c>
      <c r="L793" s="26" t="n">
        <v>0</v>
      </c>
      <c r="M793" s="26" t="n">
        <v>0</v>
      </c>
      <c r="N793" s="26" t="n">
        <v>0</v>
      </c>
      <c r="O793" s="26" t="n">
        <v>10</v>
      </c>
      <c r="P793" s="26" t="n">
        <v>-10</v>
      </c>
      <c r="Q793" s="26" t="n">
        <v>3042</v>
      </c>
      <c r="R793" s="26" t="n">
        <v>292</v>
      </c>
      <c r="S793" s="26" t="n">
        <v>2</v>
      </c>
      <c r="T793" s="26" t="n">
        <v>0</v>
      </c>
      <c r="U793" s="26" t="n">
        <v>0</v>
      </c>
    </row>
    <row r="794" customFormat="false" ht="15" hidden="false" customHeight="true" outlineLevel="0" collapsed="false">
      <c r="A794" s="8" t="s">
        <v>944</v>
      </c>
      <c r="B794" s="8" t="s">
        <v>87</v>
      </c>
      <c r="C794" s="8" t="s">
        <v>605</v>
      </c>
      <c r="D794" s="26" t="n">
        <v>0</v>
      </c>
      <c r="E794" s="26" t="n">
        <v>0</v>
      </c>
      <c r="F794" s="26" t="n">
        <v>371</v>
      </c>
      <c r="G794" s="26" t="n">
        <v>0</v>
      </c>
      <c r="H794" s="26" t="n">
        <v>0</v>
      </c>
      <c r="I794" s="26" t="n">
        <v>3296</v>
      </c>
      <c r="J794" s="26" t="n">
        <v>0</v>
      </c>
      <c r="K794" s="26" t="n">
        <v>26</v>
      </c>
      <c r="L794" s="26" t="n">
        <v>0</v>
      </c>
      <c r="M794" s="26" t="n">
        <v>0</v>
      </c>
      <c r="N794" s="26" t="n">
        <v>0</v>
      </c>
      <c r="O794" s="26" t="n">
        <v>5</v>
      </c>
      <c r="P794" s="26" t="n">
        <v>-5</v>
      </c>
      <c r="Q794" s="26" t="n">
        <v>3009</v>
      </c>
      <c r="R794" s="26" t="n">
        <v>261</v>
      </c>
      <c r="S794" s="26" t="n">
        <v>0</v>
      </c>
      <c r="T794" s="26" t="n">
        <v>0</v>
      </c>
      <c r="U794" s="26" t="n">
        <v>0</v>
      </c>
    </row>
    <row r="795" customFormat="false" ht="15" hidden="false" customHeight="true" outlineLevel="0" collapsed="false">
      <c r="A795" s="8" t="s">
        <v>944</v>
      </c>
      <c r="B795" s="8" t="s">
        <v>87</v>
      </c>
      <c r="C795" s="8" t="s">
        <v>606</v>
      </c>
      <c r="D795" s="26" t="n">
        <v>0</v>
      </c>
      <c r="E795" s="26" t="n">
        <v>0</v>
      </c>
      <c r="F795" s="26" t="n">
        <v>331</v>
      </c>
      <c r="G795" s="26" t="n">
        <v>0</v>
      </c>
      <c r="H795" s="26" t="n">
        <v>0</v>
      </c>
      <c r="I795" s="26" t="n">
        <v>2501</v>
      </c>
      <c r="J795" s="26" t="n">
        <v>0</v>
      </c>
      <c r="K795" s="26" t="n">
        <v>31</v>
      </c>
      <c r="L795" s="26" t="n">
        <v>0</v>
      </c>
      <c r="M795" s="26" t="n">
        <v>0</v>
      </c>
      <c r="N795" s="26" t="n">
        <v>0</v>
      </c>
      <c r="O795" s="26" t="n">
        <v>7</v>
      </c>
      <c r="P795" s="26" t="n">
        <v>-9</v>
      </c>
      <c r="Q795" s="26" t="n">
        <v>2229</v>
      </c>
      <c r="R795" s="26" t="n">
        <v>243</v>
      </c>
      <c r="S795" s="26" t="n">
        <v>0</v>
      </c>
      <c r="T795" s="26" t="n">
        <v>0</v>
      </c>
      <c r="U795" s="26" t="n">
        <v>0</v>
      </c>
    </row>
    <row r="796" customFormat="false" ht="15" hidden="false" customHeight="true" outlineLevel="0" collapsed="false">
      <c r="A796" s="8" t="s">
        <v>944</v>
      </c>
      <c r="B796" s="8" t="s">
        <v>114</v>
      </c>
      <c r="C796" s="8" t="s">
        <v>607</v>
      </c>
      <c r="D796" s="26" t="n">
        <v>0</v>
      </c>
      <c r="E796" s="26" t="n">
        <v>0</v>
      </c>
      <c r="F796" s="26" t="n">
        <v>33</v>
      </c>
      <c r="G796" s="26" t="n">
        <v>0</v>
      </c>
      <c r="H796" s="26" t="n">
        <v>0</v>
      </c>
      <c r="I796" s="26" t="n">
        <v>622</v>
      </c>
      <c r="J796" s="26" t="n">
        <v>0</v>
      </c>
      <c r="K796" s="26" t="n">
        <v>3</v>
      </c>
      <c r="L796" s="26" t="n">
        <v>0</v>
      </c>
      <c r="M796" s="26" t="n">
        <v>0</v>
      </c>
      <c r="N796" s="26" t="n">
        <v>3</v>
      </c>
      <c r="O796" s="26" t="n">
        <v>0</v>
      </c>
      <c r="P796" s="26" t="n">
        <v>-6</v>
      </c>
      <c r="Q796" s="26" t="n">
        <v>533</v>
      </c>
      <c r="R796" s="26" t="n">
        <v>89</v>
      </c>
      <c r="S796" s="26" t="n">
        <v>0</v>
      </c>
      <c r="T796" s="26" t="n">
        <v>0</v>
      </c>
      <c r="U796" s="26" t="n">
        <v>0</v>
      </c>
    </row>
    <row r="797" customFormat="false" ht="15" hidden="false" customHeight="true" outlineLevel="0" collapsed="false">
      <c r="A797" s="8" t="s">
        <v>944</v>
      </c>
      <c r="B797" s="8" t="s">
        <v>114</v>
      </c>
      <c r="C797" s="8" t="s">
        <v>608</v>
      </c>
      <c r="D797" s="26" t="n">
        <v>0</v>
      </c>
      <c r="E797" s="26" t="n">
        <v>0</v>
      </c>
      <c r="F797" s="26" t="n">
        <v>137</v>
      </c>
      <c r="G797" s="26" t="n">
        <v>0</v>
      </c>
      <c r="H797" s="26" t="n">
        <v>5</v>
      </c>
      <c r="I797" s="26" t="n">
        <v>1780</v>
      </c>
      <c r="J797" s="26" t="n">
        <v>0</v>
      </c>
      <c r="K797" s="26" t="n">
        <v>14</v>
      </c>
      <c r="L797" s="26" t="n">
        <v>0</v>
      </c>
      <c r="M797" s="26" t="n">
        <v>0</v>
      </c>
      <c r="N797" s="26" t="n">
        <v>0</v>
      </c>
      <c r="O797" s="26" t="n">
        <v>5</v>
      </c>
      <c r="P797" s="26" t="n">
        <v>-9</v>
      </c>
      <c r="Q797" s="26" t="n">
        <v>1537</v>
      </c>
      <c r="R797" s="26" t="n">
        <v>233</v>
      </c>
      <c r="S797" s="26" t="n">
        <v>0</v>
      </c>
      <c r="T797" s="26" t="n">
        <v>0</v>
      </c>
      <c r="U797" s="26" t="n">
        <v>0</v>
      </c>
    </row>
    <row r="798" customFormat="false" ht="15" hidden="false" customHeight="true" outlineLevel="0" collapsed="false">
      <c r="A798" s="8" t="s">
        <v>944</v>
      </c>
      <c r="B798" s="8" t="s">
        <v>114</v>
      </c>
      <c r="C798" s="8" t="s">
        <v>609</v>
      </c>
      <c r="D798" s="26" t="n">
        <v>0</v>
      </c>
      <c r="E798" s="26" t="n">
        <v>0</v>
      </c>
      <c r="F798" s="26" t="n">
        <v>127</v>
      </c>
      <c r="G798" s="26" t="n">
        <v>0</v>
      </c>
      <c r="H798" s="26" t="n">
        <v>12</v>
      </c>
      <c r="I798" s="26" t="n">
        <v>1543</v>
      </c>
      <c r="J798" s="26" t="n">
        <v>0</v>
      </c>
      <c r="K798" s="26" t="n">
        <v>13</v>
      </c>
      <c r="L798" s="26" t="n">
        <v>0</v>
      </c>
      <c r="M798" s="26" t="n">
        <v>0</v>
      </c>
      <c r="N798" s="26" t="n">
        <v>0</v>
      </c>
      <c r="O798" s="26" t="n">
        <v>2</v>
      </c>
      <c r="P798" s="26" t="n">
        <v>-4</v>
      </c>
      <c r="Q798" s="26" t="n">
        <v>1338</v>
      </c>
      <c r="R798" s="26" t="n">
        <v>194</v>
      </c>
      <c r="S798" s="26" t="n">
        <v>0</v>
      </c>
      <c r="T798" s="26" t="n">
        <v>0</v>
      </c>
      <c r="U798" s="26" t="n">
        <v>0</v>
      </c>
    </row>
    <row r="799" customFormat="false" ht="15" hidden="false" customHeight="true" outlineLevel="0" collapsed="false">
      <c r="A799" s="8" t="s">
        <v>944</v>
      </c>
      <c r="B799" s="8" t="s">
        <v>114</v>
      </c>
      <c r="C799" s="8" t="s">
        <v>610</v>
      </c>
      <c r="D799" s="26" t="n">
        <v>0</v>
      </c>
      <c r="E799" s="26" t="n">
        <v>0</v>
      </c>
      <c r="F799" s="26" t="n">
        <v>120</v>
      </c>
      <c r="G799" s="26" t="n">
        <v>0</v>
      </c>
      <c r="H799" s="26" t="n">
        <v>4</v>
      </c>
      <c r="I799" s="26" t="n">
        <v>1283</v>
      </c>
      <c r="J799" s="26" t="n">
        <v>0</v>
      </c>
      <c r="K799" s="26" t="n">
        <v>5</v>
      </c>
      <c r="L799" s="26" t="n">
        <v>0</v>
      </c>
      <c r="M799" s="26" t="n">
        <v>0</v>
      </c>
      <c r="N799" s="26" t="n">
        <v>0</v>
      </c>
      <c r="O799" s="26" t="n">
        <v>7</v>
      </c>
      <c r="P799" s="26" t="n">
        <v>-8</v>
      </c>
      <c r="Q799" s="26" t="n">
        <v>1095</v>
      </c>
      <c r="R799" s="26" t="n">
        <v>184</v>
      </c>
      <c r="S799" s="26" t="n">
        <v>0</v>
      </c>
      <c r="T799" s="26" t="n">
        <v>0</v>
      </c>
      <c r="U799" s="26" t="n">
        <v>0</v>
      </c>
    </row>
    <row r="800" customFormat="false" ht="15" hidden="false" customHeight="true" outlineLevel="0" collapsed="false">
      <c r="A800" s="8" t="s">
        <v>944</v>
      </c>
      <c r="B800" s="8" t="s">
        <v>114</v>
      </c>
      <c r="C800" s="8" t="s">
        <v>611</v>
      </c>
      <c r="D800" s="26" t="n">
        <v>0</v>
      </c>
      <c r="E800" s="26" t="n">
        <v>0</v>
      </c>
      <c r="F800" s="26" t="n">
        <v>40</v>
      </c>
      <c r="G800" s="26" t="n">
        <v>0</v>
      </c>
      <c r="H800" s="26" t="n">
        <v>1</v>
      </c>
      <c r="I800" s="26" t="n">
        <v>285</v>
      </c>
      <c r="J800" s="26" t="n">
        <v>0</v>
      </c>
      <c r="K800" s="26" t="n">
        <v>7</v>
      </c>
      <c r="L800" s="26" t="n">
        <v>0</v>
      </c>
      <c r="M800" s="26" t="n">
        <v>0</v>
      </c>
      <c r="N800" s="26" t="n">
        <v>0</v>
      </c>
      <c r="O800" s="26" t="n">
        <v>1</v>
      </c>
      <c r="P800" s="26" t="n">
        <v>-5</v>
      </c>
      <c r="Q800" s="26" t="n">
        <v>154</v>
      </c>
      <c r="R800" s="26" t="n">
        <v>128</v>
      </c>
      <c r="S800" s="26" t="n">
        <v>0</v>
      </c>
      <c r="T800" s="26" t="n">
        <v>0</v>
      </c>
      <c r="U800" s="26" t="n">
        <v>0</v>
      </c>
    </row>
    <row r="801" customFormat="false" ht="15" hidden="false" customHeight="true" outlineLevel="0" collapsed="false">
      <c r="A801" s="8" t="s">
        <v>944</v>
      </c>
      <c r="B801" s="8" t="s">
        <v>187</v>
      </c>
      <c r="C801" s="8" t="s">
        <v>612</v>
      </c>
      <c r="D801" s="26" t="n">
        <v>0</v>
      </c>
      <c r="E801" s="26" t="n">
        <v>0</v>
      </c>
      <c r="F801" s="26" t="n">
        <v>3</v>
      </c>
      <c r="G801" s="26" t="n">
        <v>0</v>
      </c>
      <c r="H801" s="26" t="n">
        <v>0</v>
      </c>
      <c r="I801" s="26" t="n">
        <v>5</v>
      </c>
      <c r="J801" s="26" t="n">
        <v>0</v>
      </c>
      <c r="K801" s="26" t="n">
        <v>0</v>
      </c>
      <c r="L801" s="26" t="n">
        <v>0</v>
      </c>
      <c r="M801" s="26" t="n">
        <v>0</v>
      </c>
      <c r="N801" s="26" t="n">
        <v>0</v>
      </c>
      <c r="O801" s="26" t="n">
        <v>0</v>
      </c>
      <c r="P801" s="26" t="n">
        <v>-1</v>
      </c>
      <c r="Q801" s="26" t="n">
        <v>2</v>
      </c>
      <c r="R801" s="26" t="n">
        <v>4</v>
      </c>
      <c r="S801" s="26" t="n">
        <v>0</v>
      </c>
      <c r="T801" s="26" t="n">
        <v>0</v>
      </c>
      <c r="U801" s="26" t="n">
        <v>0</v>
      </c>
    </row>
    <row r="802" customFormat="false" ht="15" hidden="false" customHeight="true" outlineLevel="0" collapsed="false">
      <c r="A802" s="8" t="s">
        <v>944</v>
      </c>
      <c r="B802" s="8" t="s">
        <v>187</v>
      </c>
      <c r="C802" s="8" t="s">
        <v>613</v>
      </c>
      <c r="D802" s="26" t="n">
        <v>0</v>
      </c>
      <c r="E802" s="26" t="n">
        <v>0</v>
      </c>
      <c r="F802" s="26" t="n">
        <v>14</v>
      </c>
      <c r="G802" s="26" t="n">
        <v>0</v>
      </c>
      <c r="H802" s="26" t="n">
        <v>1</v>
      </c>
      <c r="I802" s="26" t="n">
        <v>23</v>
      </c>
      <c r="J802" s="26" t="n">
        <v>0</v>
      </c>
      <c r="K802" s="26" t="n">
        <v>0</v>
      </c>
      <c r="L802" s="26" t="n">
        <v>0</v>
      </c>
      <c r="M802" s="26" t="n">
        <v>0</v>
      </c>
      <c r="N802" s="26" t="n">
        <v>0</v>
      </c>
      <c r="O802" s="26" t="n">
        <v>0</v>
      </c>
      <c r="P802" s="26" t="n">
        <v>-1</v>
      </c>
      <c r="Q802" s="26" t="n">
        <v>13</v>
      </c>
      <c r="R802" s="26" t="n">
        <v>11</v>
      </c>
      <c r="S802" s="26" t="n">
        <v>0</v>
      </c>
      <c r="T802" s="26" t="n">
        <v>0</v>
      </c>
      <c r="U802" s="26" t="n">
        <v>0</v>
      </c>
    </row>
    <row r="803" customFormat="false" ht="15" hidden="false" customHeight="true" outlineLevel="0" collapsed="false">
      <c r="A803" s="8" t="s">
        <v>944</v>
      </c>
      <c r="B803" s="8" t="s">
        <v>187</v>
      </c>
      <c r="C803" s="8" t="s">
        <v>614</v>
      </c>
      <c r="D803" s="26" t="n">
        <v>0</v>
      </c>
      <c r="E803" s="26" t="n">
        <v>0</v>
      </c>
      <c r="F803" s="26" t="n">
        <v>13</v>
      </c>
      <c r="G803" s="26" t="n">
        <v>0</v>
      </c>
      <c r="H803" s="26" t="n">
        <v>0</v>
      </c>
      <c r="I803" s="26" t="n">
        <v>22</v>
      </c>
      <c r="J803" s="26" t="n">
        <v>0</v>
      </c>
      <c r="K803" s="26" t="n">
        <v>0</v>
      </c>
      <c r="L803" s="26" t="n">
        <v>0</v>
      </c>
      <c r="M803" s="26" t="n">
        <v>0</v>
      </c>
      <c r="N803" s="26" t="n">
        <v>0</v>
      </c>
      <c r="O803" s="26" t="n">
        <v>0</v>
      </c>
      <c r="P803" s="26" t="n">
        <v>0</v>
      </c>
      <c r="Q803" s="26" t="n">
        <v>5</v>
      </c>
      <c r="R803" s="26" t="n">
        <v>17</v>
      </c>
      <c r="S803" s="26" t="n">
        <v>0</v>
      </c>
      <c r="T803" s="26" t="n">
        <v>0</v>
      </c>
      <c r="U803" s="26" t="n">
        <v>0</v>
      </c>
    </row>
    <row r="804" customFormat="false" ht="15" hidden="false" customHeight="true" outlineLevel="0" collapsed="false">
      <c r="A804" s="8" t="s">
        <v>944</v>
      </c>
      <c r="B804" s="8" t="s">
        <v>187</v>
      </c>
      <c r="C804" s="8" t="s">
        <v>615</v>
      </c>
      <c r="D804" s="26" t="n">
        <v>0</v>
      </c>
      <c r="E804" s="26" t="n">
        <v>0</v>
      </c>
      <c r="F804" s="26" t="n">
        <v>3</v>
      </c>
      <c r="G804" s="26" t="n">
        <v>0</v>
      </c>
      <c r="H804" s="26" t="n">
        <v>0</v>
      </c>
      <c r="I804" s="26" t="n">
        <v>12</v>
      </c>
      <c r="J804" s="26" t="n">
        <v>0</v>
      </c>
      <c r="K804" s="26" t="n">
        <v>0</v>
      </c>
      <c r="L804" s="26" t="n">
        <v>0</v>
      </c>
      <c r="M804" s="26" t="n">
        <v>0</v>
      </c>
      <c r="N804" s="26" t="n">
        <v>0</v>
      </c>
      <c r="O804" s="26" t="n">
        <v>0</v>
      </c>
      <c r="P804" s="26" t="n">
        <v>0</v>
      </c>
      <c r="Q804" s="26" t="n">
        <v>8</v>
      </c>
      <c r="R804" s="26" t="n">
        <v>4</v>
      </c>
      <c r="S804" s="26" t="n">
        <v>0</v>
      </c>
      <c r="T804" s="26" t="n">
        <v>0</v>
      </c>
      <c r="U804" s="26" t="n">
        <v>0</v>
      </c>
    </row>
    <row r="805" customFormat="false" ht="15" hidden="false" customHeight="true" outlineLevel="0" collapsed="false">
      <c r="A805" s="8" t="s">
        <v>944</v>
      </c>
      <c r="B805" s="8" t="s">
        <v>187</v>
      </c>
      <c r="C805" s="8" t="s">
        <v>616</v>
      </c>
      <c r="D805" s="26" t="n">
        <v>0</v>
      </c>
      <c r="E805" s="26" t="n">
        <v>0</v>
      </c>
      <c r="F805" s="26" t="n">
        <v>1</v>
      </c>
      <c r="G805" s="26" t="n">
        <v>0</v>
      </c>
      <c r="H805" s="26" t="n">
        <v>1</v>
      </c>
      <c r="I805" s="26" t="n">
        <v>11</v>
      </c>
      <c r="J805" s="26" t="n">
        <v>0</v>
      </c>
      <c r="K805" s="26" t="n">
        <v>4</v>
      </c>
      <c r="L805" s="26" t="n">
        <v>0</v>
      </c>
      <c r="M805" s="26" t="n">
        <v>0</v>
      </c>
      <c r="N805" s="26" t="n">
        <v>0</v>
      </c>
      <c r="O805" s="26" t="n">
        <v>0</v>
      </c>
      <c r="P805" s="26" t="n">
        <v>-1</v>
      </c>
      <c r="Q805" s="26" t="n">
        <v>2</v>
      </c>
      <c r="R805" s="26" t="n">
        <v>6</v>
      </c>
      <c r="S805" s="26" t="n">
        <v>0</v>
      </c>
      <c r="T805" s="26" t="n">
        <v>0</v>
      </c>
      <c r="U805" s="26" t="n">
        <v>0</v>
      </c>
    </row>
    <row r="806" customFormat="false" ht="15" hidden="false" customHeight="true" outlineLevel="0" collapsed="false">
      <c r="A806" s="8" t="s">
        <v>944</v>
      </c>
      <c r="B806" s="8" t="s">
        <v>168</v>
      </c>
      <c r="C806" s="8" t="s">
        <v>617</v>
      </c>
      <c r="D806" s="26" t="n">
        <v>0</v>
      </c>
      <c r="E806" s="26" t="n">
        <v>0</v>
      </c>
      <c r="F806" s="26" t="n">
        <v>19</v>
      </c>
      <c r="G806" s="26" t="n">
        <v>0</v>
      </c>
      <c r="H806" s="26" t="n">
        <v>0</v>
      </c>
      <c r="I806" s="26" t="n">
        <v>31</v>
      </c>
      <c r="J806" s="26" t="n">
        <v>0</v>
      </c>
      <c r="K806" s="26" t="n">
        <v>0</v>
      </c>
      <c r="L806" s="26" t="n">
        <v>0</v>
      </c>
      <c r="M806" s="26" t="n">
        <v>0</v>
      </c>
      <c r="N806" s="26" t="n">
        <v>3</v>
      </c>
      <c r="O806" s="26" t="n">
        <v>0</v>
      </c>
      <c r="P806" s="26" t="n">
        <v>0</v>
      </c>
      <c r="Q806" s="26" t="n">
        <v>28</v>
      </c>
      <c r="R806" s="26" t="n">
        <v>0</v>
      </c>
      <c r="S806" s="26" t="n">
        <v>0</v>
      </c>
      <c r="T806" s="26" t="n">
        <v>0</v>
      </c>
      <c r="U806" s="26" t="n">
        <v>0</v>
      </c>
    </row>
    <row r="807" customFormat="false" ht="15" hidden="false" customHeight="true" outlineLevel="0" collapsed="false">
      <c r="A807" s="8" t="s">
        <v>944</v>
      </c>
      <c r="B807" s="8" t="s">
        <v>168</v>
      </c>
      <c r="C807" s="8" t="s">
        <v>618</v>
      </c>
      <c r="D807" s="26" t="n">
        <v>0</v>
      </c>
      <c r="E807" s="26" t="n">
        <v>0</v>
      </c>
      <c r="F807" s="26" t="n">
        <v>33</v>
      </c>
      <c r="G807" s="26" t="n">
        <v>0</v>
      </c>
      <c r="H807" s="26" t="n">
        <v>2</v>
      </c>
      <c r="I807" s="26" t="n">
        <v>107</v>
      </c>
      <c r="J807" s="26" t="n">
        <v>0</v>
      </c>
      <c r="K807" s="26" t="n">
        <v>0</v>
      </c>
      <c r="L807" s="26" t="n">
        <v>0</v>
      </c>
      <c r="M807" s="26" t="n">
        <v>0</v>
      </c>
      <c r="N807" s="26" t="n">
        <v>0</v>
      </c>
      <c r="O807" s="26" t="n">
        <v>0</v>
      </c>
      <c r="P807" s="26" t="n">
        <v>-2</v>
      </c>
      <c r="Q807" s="26" t="n">
        <v>82</v>
      </c>
      <c r="R807" s="26" t="n">
        <v>27</v>
      </c>
      <c r="S807" s="26" t="n">
        <v>0</v>
      </c>
      <c r="T807" s="26" t="n">
        <v>0</v>
      </c>
      <c r="U807" s="26" t="n">
        <v>0</v>
      </c>
    </row>
    <row r="808" customFormat="false" ht="15" hidden="false" customHeight="true" outlineLevel="0" collapsed="false">
      <c r="A808" s="8" t="s">
        <v>944</v>
      </c>
      <c r="B808" s="8" t="s">
        <v>168</v>
      </c>
      <c r="C808" s="8" t="s">
        <v>619</v>
      </c>
      <c r="D808" s="26" t="n">
        <v>0</v>
      </c>
      <c r="E808" s="26" t="n">
        <v>0</v>
      </c>
      <c r="F808" s="26" t="n">
        <v>25</v>
      </c>
      <c r="G808" s="26" t="n">
        <v>0</v>
      </c>
      <c r="H808" s="26" t="n">
        <v>0</v>
      </c>
      <c r="I808" s="26" t="n">
        <v>74</v>
      </c>
      <c r="J808" s="26" t="n">
        <v>0</v>
      </c>
      <c r="K808" s="26" t="n">
        <v>0</v>
      </c>
      <c r="L808" s="26" t="n">
        <v>0</v>
      </c>
      <c r="M808" s="26" t="n">
        <v>0</v>
      </c>
      <c r="N808" s="26" t="n">
        <v>0</v>
      </c>
      <c r="O808" s="26" t="n">
        <v>0</v>
      </c>
      <c r="P808" s="26" t="n">
        <v>-2</v>
      </c>
      <c r="Q808" s="26" t="n">
        <v>54</v>
      </c>
      <c r="R808" s="26" t="n">
        <v>22</v>
      </c>
      <c r="S808" s="26" t="n">
        <v>0</v>
      </c>
      <c r="T808" s="26" t="n">
        <v>0</v>
      </c>
      <c r="U808" s="26" t="n">
        <v>0</v>
      </c>
    </row>
    <row r="809" customFormat="false" ht="15" hidden="false" customHeight="true" outlineLevel="0" collapsed="false">
      <c r="A809" s="8" t="s">
        <v>944</v>
      </c>
      <c r="B809" s="8" t="s">
        <v>168</v>
      </c>
      <c r="C809" s="8" t="s">
        <v>620</v>
      </c>
      <c r="D809" s="26" t="n">
        <v>0</v>
      </c>
      <c r="E809" s="26" t="n">
        <v>0</v>
      </c>
      <c r="F809" s="26" t="n">
        <v>32</v>
      </c>
      <c r="G809" s="26" t="n">
        <v>0</v>
      </c>
      <c r="H809" s="26" t="n">
        <v>4</v>
      </c>
      <c r="I809" s="26" t="n">
        <v>70</v>
      </c>
      <c r="J809" s="26" t="n">
        <v>0</v>
      </c>
      <c r="K809" s="26" t="n">
        <v>0</v>
      </c>
      <c r="L809" s="26" t="n">
        <v>0</v>
      </c>
      <c r="M809" s="26" t="n">
        <v>0</v>
      </c>
      <c r="N809" s="26" t="n">
        <v>0</v>
      </c>
      <c r="O809" s="26" t="n">
        <v>1</v>
      </c>
      <c r="P809" s="26" t="n">
        <v>-3</v>
      </c>
      <c r="Q809" s="26" t="n">
        <v>53</v>
      </c>
      <c r="R809" s="26" t="n">
        <v>19</v>
      </c>
      <c r="S809" s="26" t="n">
        <v>0</v>
      </c>
      <c r="T809" s="26" t="n">
        <v>0</v>
      </c>
      <c r="U809" s="26" t="n">
        <v>0</v>
      </c>
    </row>
    <row r="810" customFormat="false" ht="15" hidden="false" customHeight="true" outlineLevel="0" collapsed="false">
      <c r="A810" s="8" t="s">
        <v>944</v>
      </c>
      <c r="B810" s="8" t="s">
        <v>168</v>
      </c>
      <c r="C810" s="8" t="s">
        <v>621</v>
      </c>
      <c r="D810" s="26" t="n">
        <v>0</v>
      </c>
      <c r="E810" s="26" t="n">
        <v>0</v>
      </c>
      <c r="F810" s="26" t="n">
        <v>4</v>
      </c>
      <c r="G810" s="26" t="n">
        <v>0</v>
      </c>
      <c r="H810" s="26" t="n">
        <v>0</v>
      </c>
      <c r="I810" s="26" t="n">
        <v>1</v>
      </c>
      <c r="J810" s="26" t="n">
        <v>0</v>
      </c>
      <c r="K810" s="26" t="n">
        <v>0</v>
      </c>
      <c r="L810" s="26" t="n">
        <v>0</v>
      </c>
      <c r="M810" s="26" t="n">
        <v>0</v>
      </c>
      <c r="N810" s="26" t="n">
        <v>0</v>
      </c>
      <c r="O810" s="26" t="n">
        <v>0</v>
      </c>
      <c r="P810" s="26" t="n">
        <v>0</v>
      </c>
      <c r="Q810" s="26" t="n">
        <v>1</v>
      </c>
      <c r="R810" s="26" t="n">
        <v>0</v>
      </c>
      <c r="S810" s="26" t="n">
        <v>0</v>
      </c>
      <c r="T810" s="26" t="n">
        <v>0</v>
      </c>
      <c r="U810" s="26" t="n">
        <v>0</v>
      </c>
    </row>
    <row r="811" customFormat="false" ht="15" hidden="false" customHeight="true" outlineLevel="0" collapsed="false">
      <c r="A811" s="8" t="s">
        <v>944</v>
      </c>
      <c r="B811" s="8" t="s">
        <v>203</v>
      </c>
      <c r="C811" s="8" t="s">
        <v>622</v>
      </c>
      <c r="D811" s="26" t="n">
        <v>0</v>
      </c>
      <c r="E811" s="26" t="n">
        <v>0</v>
      </c>
      <c r="F811" s="26" t="n">
        <v>4</v>
      </c>
      <c r="G811" s="26" t="n">
        <v>0</v>
      </c>
      <c r="H811" s="26" t="n">
        <v>0</v>
      </c>
      <c r="I811" s="26" t="n">
        <v>0</v>
      </c>
      <c r="J811" s="26" t="n">
        <v>0</v>
      </c>
      <c r="K811" s="26" t="n">
        <v>0</v>
      </c>
      <c r="L811" s="26" t="n">
        <v>0</v>
      </c>
      <c r="M811" s="26" t="n">
        <v>0</v>
      </c>
      <c r="N811" s="26" t="n">
        <v>0</v>
      </c>
      <c r="O811" s="26" t="n">
        <v>0</v>
      </c>
      <c r="P811" s="26" t="n">
        <v>0</v>
      </c>
      <c r="Q811" s="26" t="n">
        <v>0</v>
      </c>
      <c r="R811" s="26" t="n">
        <v>0</v>
      </c>
      <c r="S811" s="26" t="n">
        <v>0</v>
      </c>
      <c r="T811" s="26" t="n">
        <v>0</v>
      </c>
      <c r="U811" s="26" t="n">
        <v>0</v>
      </c>
    </row>
    <row r="812" customFormat="false" ht="15" hidden="false" customHeight="true" outlineLevel="0" collapsed="false">
      <c r="A812" s="8" t="s">
        <v>944</v>
      </c>
      <c r="B812" s="8" t="s">
        <v>203</v>
      </c>
      <c r="C812" s="8" t="s">
        <v>623</v>
      </c>
      <c r="D812" s="26" t="n">
        <v>0</v>
      </c>
      <c r="E812" s="26" t="n">
        <v>0</v>
      </c>
      <c r="F812" s="26" t="n">
        <v>1</v>
      </c>
      <c r="G812" s="26" t="n">
        <v>0</v>
      </c>
      <c r="H812" s="26" t="n">
        <v>1</v>
      </c>
      <c r="I812" s="26" t="n">
        <v>0</v>
      </c>
      <c r="J812" s="26" t="n">
        <v>0</v>
      </c>
      <c r="K812" s="26" t="n">
        <v>0</v>
      </c>
      <c r="L812" s="26" t="n">
        <v>0</v>
      </c>
      <c r="M812" s="26" t="n">
        <v>0</v>
      </c>
      <c r="N812" s="26" t="n">
        <v>0</v>
      </c>
      <c r="O812" s="26" t="n">
        <v>0</v>
      </c>
      <c r="P812" s="26" t="n">
        <v>0</v>
      </c>
      <c r="Q812" s="26" t="n">
        <v>0</v>
      </c>
      <c r="R812" s="26" t="n">
        <v>0</v>
      </c>
      <c r="S812" s="26" t="n">
        <v>0</v>
      </c>
      <c r="T812" s="26" t="n">
        <v>0</v>
      </c>
      <c r="U812" s="26" t="n">
        <v>0</v>
      </c>
    </row>
    <row r="813" customFormat="false" ht="15" hidden="false" customHeight="true" outlineLevel="0" collapsed="false">
      <c r="A813" s="8" t="s">
        <v>944</v>
      </c>
      <c r="B813" s="8" t="s">
        <v>203</v>
      </c>
      <c r="C813" s="8" t="s">
        <v>624</v>
      </c>
      <c r="D813" s="26" t="n">
        <v>0</v>
      </c>
      <c r="E813" s="26" t="n">
        <v>0</v>
      </c>
      <c r="F813" s="26" t="n">
        <v>6</v>
      </c>
      <c r="G813" s="26" t="n">
        <v>0</v>
      </c>
      <c r="H813" s="26" t="n">
        <v>0</v>
      </c>
      <c r="I813" s="26" t="n">
        <v>0</v>
      </c>
      <c r="J813" s="26" t="n">
        <v>0</v>
      </c>
      <c r="K813" s="26" t="n">
        <v>0</v>
      </c>
      <c r="L813" s="26" t="n">
        <v>0</v>
      </c>
      <c r="M813" s="26" t="n">
        <v>0</v>
      </c>
      <c r="N813" s="26" t="n">
        <v>0</v>
      </c>
      <c r="O813" s="26" t="n">
        <v>0</v>
      </c>
      <c r="P813" s="26" t="n">
        <v>0</v>
      </c>
      <c r="Q813" s="26" t="n">
        <v>0</v>
      </c>
      <c r="R813" s="26" t="n">
        <v>0</v>
      </c>
      <c r="S813" s="26" t="n">
        <v>0</v>
      </c>
      <c r="T813" s="26" t="n">
        <v>0</v>
      </c>
      <c r="U813" s="26" t="n">
        <v>0</v>
      </c>
    </row>
    <row r="814" customFormat="false" ht="15" hidden="false" customHeight="true" outlineLevel="0" collapsed="false">
      <c r="A814" s="8" t="s">
        <v>944</v>
      </c>
      <c r="B814" s="8" t="s">
        <v>203</v>
      </c>
      <c r="C814" s="8" t="s">
        <v>625</v>
      </c>
      <c r="D814" s="26" t="n">
        <v>0</v>
      </c>
      <c r="E814" s="26" t="n">
        <v>0</v>
      </c>
      <c r="F814" s="26" t="n">
        <v>5</v>
      </c>
      <c r="G814" s="26" t="n">
        <v>0</v>
      </c>
      <c r="H814" s="26" t="n">
        <v>0</v>
      </c>
      <c r="I814" s="26" t="n">
        <v>0</v>
      </c>
      <c r="J814" s="26" t="n">
        <v>0</v>
      </c>
      <c r="K814" s="26" t="n">
        <v>0</v>
      </c>
      <c r="L814" s="26" t="n">
        <v>0</v>
      </c>
      <c r="M814" s="26" t="n">
        <v>0</v>
      </c>
      <c r="N814" s="26" t="n">
        <v>0</v>
      </c>
      <c r="O814" s="26" t="n">
        <v>0</v>
      </c>
      <c r="P814" s="26" t="n">
        <v>0</v>
      </c>
      <c r="Q814" s="26" t="n">
        <v>0</v>
      </c>
      <c r="R814" s="26" t="n">
        <v>0</v>
      </c>
      <c r="S814" s="26" t="n">
        <v>0</v>
      </c>
      <c r="T814" s="26" t="n">
        <v>0</v>
      </c>
      <c r="U814" s="26" t="n">
        <v>0</v>
      </c>
    </row>
    <row r="815" customFormat="false" ht="15" hidden="false" customHeight="true" outlineLevel="0" collapsed="false">
      <c r="A815" s="8" t="s">
        <v>944</v>
      </c>
      <c r="B815" s="8" t="s">
        <v>313</v>
      </c>
      <c r="C815" s="8" t="s">
        <v>626</v>
      </c>
      <c r="D815" s="26" t="n">
        <v>0</v>
      </c>
      <c r="E815" s="26" t="n">
        <v>0</v>
      </c>
      <c r="F815" s="26" t="n">
        <v>3</v>
      </c>
      <c r="G815" s="26" t="n">
        <v>0</v>
      </c>
      <c r="H815" s="26" t="n">
        <v>0</v>
      </c>
      <c r="I815" s="26" t="n">
        <v>-1</v>
      </c>
      <c r="J815" s="26" t="n">
        <v>0</v>
      </c>
      <c r="K815" s="26" t="n">
        <v>0</v>
      </c>
      <c r="L815" s="26" t="n">
        <v>0</v>
      </c>
      <c r="M815" s="26" t="n">
        <v>0</v>
      </c>
      <c r="N815" s="26" t="n">
        <v>0</v>
      </c>
      <c r="O815" s="26" t="n">
        <v>0</v>
      </c>
      <c r="P815" s="26" t="n">
        <v>0</v>
      </c>
      <c r="Q815" s="26" t="n">
        <v>-1</v>
      </c>
      <c r="R815" s="26" t="n">
        <v>0</v>
      </c>
      <c r="S815" s="26" t="n">
        <v>0</v>
      </c>
      <c r="T815" s="26" t="n">
        <v>0</v>
      </c>
      <c r="U815" s="26" t="n">
        <v>0</v>
      </c>
    </row>
    <row r="816" customFormat="false" ht="15" hidden="false" customHeight="true" outlineLevel="0" collapsed="false">
      <c r="A816" s="8" t="s">
        <v>944</v>
      </c>
      <c r="B816" s="8" t="s">
        <v>313</v>
      </c>
      <c r="C816" s="8" t="s">
        <v>627</v>
      </c>
      <c r="D816" s="26" t="n">
        <v>0</v>
      </c>
      <c r="E816" s="26" t="n">
        <v>0</v>
      </c>
      <c r="F816" s="26" t="n">
        <v>2</v>
      </c>
      <c r="G816" s="26" t="n">
        <v>0</v>
      </c>
      <c r="H816" s="26" t="n">
        <v>0</v>
      </c>
      <c r="I816" s="26" t="n">
        <v>0</v>
      </c>
      <c r="J816" s="26" t="n">
        <v>0</v>
      </c>
      <c r="K816" s="26" t="n">
        <v>0</v>
      </c>
      <c r="L816" s="26" t="n">
        <v>0</v>
      </c>
      <c r="M816" s="26" t="n">
        <v>0</v>
      </c>
      <c r="N816" s="26" t="n">
        <v>0</v>
      </c>
      <c r="O816" s="26" t="n">
        <v>0</v>
      </c>
      <c r="P816" s="26" t="n">
        <v>0</v>
      </c>
      <c r="Q816" s="26" t="n">
        <v>0</v>
      </c>
      <c r="R816" s="26" t="n">
        <v>0</v>
      </c>
      <c r="S816" s="26" t="n">
        <v>0</v>
      </c>
      <c r="T816" s="26" t="n">
        <v>0</v>
      </c>
      <c r="U816" s="26" t="n">
        <v>0</v>
      </c>
    </row>
    <row r="817" customFormat="false" ht="15" hidden="false" customHeight="true" outlineLevel="0" collapsed="false">
      <c r="A817" s="8" t="s">
        <v>944</v>
      </c>
      <c r="B817" s="8" t="s">
        <v>122</v>
      </c>
      <c r="C817" s="8" t="s">
        <v>628</v>
      </c>
      <c r="D817" s="26" t="n">
        <v>0</v>
      </c>
      <c r="E817" s="26" t="n">
        <v>0</v>
      </c>
      <c r="F817" s="26" t="n">
        <v>4</v>
      </c>
      <c r="G817" s="26" t="n">
        <v>0</v>
      </c>
      <c r="H817" s="26" t="n">
        <v>0</v>
      </c>
      <c r="I817" s="26" t="n">
        <v>35</v>
      </c>
      <c r="J817" s="26" t="n">
        <v>0</v>
      </c>
      <c r="K817" s="26" t="n">
        <v>1</v>
      </c>
      <c r="L817" s="26" t="n">
        <v>0</v>
      </c>
      <c r="M817" s="26" t="n">
        <v>0</v>
      </c>
      <c r="N817" s="26" t="n">
        <v>0</v>
      </c>
      <c r="O817" s="26" t="n">
        <v>0</v>
      </c>
      <c r="P817" s="26" t="n">
        <v>-7</v>
      </c>
      <c r="Q817" s="26" t="n">
        <v>18</v>
      </c>
      <c r="R817" s="26" t="n">
        <v>23</v>
      </c>
      <c r="S817" s="26" t="n">
        <v>0</v>
      </c>
      <c r="T817" s="26" t="n">
        <v>0</v>
      </c>
      <c r="U817" s="26" t="n">
        <v>0</v>
      </c>
    </row>
    <row r="818" customFormat="false" ht="15" hidden="false" customHeight="true" outlineLevel="0" collapsed="false">
      <c r="A818" s="8" t="s">
        <v>944</v>
      </c>
      <c r="B818" s="8" t="s">
        <v>122</v>
      </c>
      <c r="C818" s="8" t="s">
        <v>629</v>
      </c>
      <c r="D818" s="26" t="n">
        <v>0</v>
      </c>
      <c r="E818" s="26" t="n">
        <v>0</v>
      </c>
      <c r="F818" s="26" t="n">
        <v>19</v>
      </c>
      <c r="G818" s="26" t="n">
        <v>0</v>
      </c>
      <c r="H818" s="26" t="n">
        <v>0</v>
      </c>
      <c r="I818" s="26" t="n">
        <v>102</v>
      </c>
      <c r="J818" s="26" t="n">
        <v>0</v>
      </c>
      <c r="K818" s="26" t="n">
        <v>3</v>
      </c>
      <c r="L818" s="26" t="n">
        <v>0</v>
      </c>
      <c r="M818" s="26" t="n">
        <v>0</v>
      </c>
      <c r="N818" s="26" t="n">
        <v>0</v>
      </c>
      <c r="O818" s="26" t="n">
        <v>0</v>
      </c>
      <c r="P818" s="26" t="n">
        <v>-6</v>
      </c>
      <c r="Q818" s="26" t="n">
        <v>69</v>
      </c>
      <c r="R818" s="26" t="n">
        <v>36</v>
      </c>
      <c r="S818" s="26" t="n">
        <v>0</v>
      </c>
      <c r="T818" s="26" t="n">
        <v>0</v>
      </c>
      <c r="U818" s="26" t="n">
        <v>0</v>
      </c>
    </row>
    <row r="819" customFormat="false" ht="15" hidden="false" customHeight="true" outlineLevel="0" collapsed="false">
      <c r="A819" s="8" t="s">
        <v>944</v>
      </c>
      <c r="B819" s="8" t="s">
        <v>122</v>
      </c>
      <c r="C819" s="8" t="s">
        <v>630</v>
      </c>
      <c r="D819" s="26" t="n">
        <v>0</v>
      </c>
      <c r="E819" s="26" t="n">
        <v>0</v>
      </c>
      <c r="F819" s="26" t="n">
        <v>22</v>
      </c>
      <c r="G819" s="26" t="n">
        <v>0</v>
      </c>
      <c r="H819" s="26" t="n">
        <v>0</v>
      </c>
      <c r="I819" s="26" t="n">
        <v>69</v>
      </c>
      <c r="J819" s="26" t="n">
        <v>0</v>
      </c>
      <c r="K819" s="26" t="n">
        <v>2</v>
      </c>
      <c r="L819" s="26" t="n">
        <v>0</v>
      </c>
      <c r="M819" s="26" t="n">
        <v>0</v>
      </c>
      <c r="N819" s="26" t="n">
        <v>0</v>
      </c>
      <c r="O819" s="26" t="n">
        <v>0</v>
      </c>
      <c r="P819" s="26" t="n">
        <v>-8</v>
      </c>
      <c r="Q819" s="26" t="n">
        <v>37</v>
      </c>
      <c r="R819" s="26" t="n">
        <v>38</v>
      </c>
      <c r="S819" s="26" t="n">
        <v>0</v>
      </c>
      <c r="T819" s="26" t="n">
        <v>0</v>
      </c>
      <c r="U819" s="26" t="n">
        <v>-1</v>
      </c>
    </row>
    <row r="820" customFormat="false" ht="15" hidden="false" customHeight="true" outlineLevel="0" collapsed="false">
      <c r="A820" s="8" t="s">
        <v>944</v>
      </c>
      <c r="B820" s="8" t="s">
        <v>122</v>
      </c>
      <c r="C820" s="8" t="s">
        <v>631</v>
      </c>
      <c r="D820" s="26" t="n">
        <v>0</v>
      </c>
      <c r="E820" s="26" t="n">
        <v>0</v>
      </c>
      <c r="F820" s="26" t="n">
        <v>14</v>
      </c>
      <c r="G820" s="26" t="n">
        <v>0</v>
      </c>
      <c r="H820" s="26" t="n">
        <v>1</v>
      </c>
      <c r="I820" s="26" t="n">
        <v>55</v>
      </c>
      <c r="J820" s="26" t="n">
        <v>0</v>
      </c>
      <c r="K820" s="26" t="n">
        <v>2</v>
      </c>
      <c r="L820" s="26" t="n">
        <v>-1</v>
      </c>
      <c r="M820" s="26" t="n">
        <v>0</v>
      </c>
      <c r="N820" s="26" t="n">
        <v>0</v>
      </c>
      <c r="O820" s="26" t="n">
        <v>0</v>
      </c>
      <c r="P820" s="26" t="n">
        <v>-8</v>
      </c>
      <c r="Q820" s="26" t="n">
        <v>33</v>
      </c>
      <c r="R820" s="26" t="n">
        <v>29</v>
      </c>
      <c r="S820" s="26" t="n">
        <v>0</v>
      </c>
      <c r="T820" s="26" t="n">
        <v>0</v>
      </c>
      <c r="U820" s="26" t="n">
        <v>0</v>
      </c>
    </row>
    <row r="821" customFormat="false" ht="15" hidden="false" customHeight="true" outlineLevel="0" collapsed="false">
      <c r="A821" s="8" t="s">
        <v>944</v>
      </c>
      <c r="B821" s="8" t="s">
        <v>122</v>
      </c>
      <c r="C821" s="8" t="s">
        <v>632</v>
      </c>
      <c r="D821" s="26" t="n">
        <v>0</v>
      </c>
      <c r="E821" s="26" t="n">
        <v>0</v>
      </c>
      <c r="F821" s="26" t="n">
        <v>9</v>
      </c>
      <c r="G821" s="26" t="n">
        <v>0</v>
      </c>
      <c r="H821" s="26" t="n">
        <v>0</v>
      </c>
      <c r="I821" s="26" t="n">
        <v>6</v>
      </c>
      <c r="J821" s="26" t="n">
        <v>0</v>
      </c>
      <c r="K821" s="26" t="n">
        <v>2</v>
      </c>
      <c r="L821" s="26" t="n">
        <v>0</v>
      </c>
      <c r="M821" s="26" t="n">
        <v>0</v>
      </c>
      <c r="N821" s="26" t="n">
        <v>0</v>
      </c>
      <c r="O821" s="26" t="n">
        <v>0</v>
      </c>
      <c r="P821" s="26" t="n">
        <v>-9</v>
      </c>
      <c r="Q821" s="26" t="n">
        <v>-2</v>
      </c>
      <c r="R821" s="26" t="n">
        <v>15</v>
      </c>
      <c r="S821" s="26" t="n">
        <v>0</v>
      </c>
      <c r="T821" s="26" t="n">
        <v>0</v>
      </c>
      <c r="U821" s="26" t="n">
        <v>0</v>
      </c>
    </row>
    <row r="822" customFormat="false" ht="15" hidden="false" customHeight="true" outlineLevel="0" collapsed="false">
      <c r="A822" s="8" t="s">
        <v>944</v>
      </c>
      <c r="B822" s="8" t="s">
        <v>124</v>
      </c>
      <c r="C822" s="8" t="s">
        <v>633</v>
      </c>
      <c r="D822" s="26" t="n">
        <v>0</v>
      </c>
      <c r="E822" s="26" t="n">
        <v>0</v>
      </c>
      <c r="F822" s="26" t="n">
        <v>9</v>
      </c>
      <c r="G822" s="26" t="n">
        <v>0</v>
      </c>
      <c r="H822" s="26" t="n">
        <v>0</v>
      </c>
      <c r="I822" s="26" t="n">
        <v>4</v>
      </c>
      <c r="J822" s="26" t="n">
        <v>0</v>
      </c>
      <c r="K822" s="26" t="n">
        <v>0</v>
      </c>
      <c r="L822" s="26" t="n">
        <v>0</v>
      </c>
      <c r="M822" s="26" t="n">
        <v>0</v>
      </c>
      <c r="N822" s="26" t="n">
        <v>0</v>
      </c>
      <c r="O822" s="26" t="n">
        <v>0</v>
      </c>
      <c r="P822" s="26" t="n">
        <v>0</v>
      </c>
      <c r="Q822" s="26" t="n">
        <v>4</v>
      </c>
      <c r="R822" s="26" t="n">
        <v>0</v>
      </c>
      <c r="S822" s="26" t="n">
        <v>0</v>
      </c>
      <c r="T822" s="26" t="n">
        <v>0</v>
      </c>
      <c r="U822" s="26" t="n">
        <v>0</v>
      </c>
    </row>
    <row r="823" customFormat="false" ht="15" hidden="false" customHeight="true" outlineLevel="0" collapsed="false">
      <c r="A823" s="8" t="s">
        <v>944</v>
      </c>
      <c r="B823" s="8" t="s">
        <v>124</v>
      </c>
      <c r="C823" s="8" t="s">
        <v>634</v>
      </c>
      <c r="D823" s="26" t="n">
        <v>0</v>
      </c>
      <c r="E823" s="26" t="n">
        <v>0</v>
      </c>
      <c r="F823" s="26" t="n">
        <v>27</v>
      </c>
      <c r="G823" s="26" t="n">
        <v>0</v>
      </c>
      <c r="H823" s="26" t="n">
        <v>0</v>
      </c>
      <c r="I823" s="26" t="n">
        <v>9</v>
      </c>
      <c r="J823" s="26" t="n">
        <v>0</v>
      </c>
      <c r="K823" s="26" t="n">
        <v>0</v>
      </c>
      <c r="L823" s="26" t="n">
        <v>0</v>
      </c>
      <c r="M823" s="26" t="n">
        <v>0</v>
      </c>
      <c r="N823" s="26" t="n">
        <v>0</v>
      </c>
      <c r="O823" s="26" t="n">
        <v>0</v>
      </c>
      <c r="P823" s="26" t="n">
        <v>0</v>
      </c>
      <c r="Q823" s="26" t="n">
        <v>6</v>
      </c>
      <c r="R823" s="26" t="n">
        <v>3</v>
      </c>
      <c r="S823" s="26" t="n">
        <v>0</v>
      </c>
      <c r="T823" s="26" t="n">
        <v>0</v>
      </c>
      <c r="U823" s="26" t="n">
        <v>0</v>
      </c>
    </row>
    <row r="824" customFormat="false" ht="15" hidden="false" customHeight="true" outlineLevel="0" collapsed="false">
      <c r="A824" s="8" t="s">
        <v>944</v>
      </c>
      <c r="B824" s="8" t="s">
        <v>124</v>
      </c>
      <c r="C824" s="8" t="s">
        <v>635</v>
      </c>
      <c r="D824" s="26" t="n">
        <v>0</v>
      </c>
      <c r="E824" s="26" t="n">
        <v>0</v>
      </c>
      <c r="F824" s="26" t="n">
        <v>30</v>
      </c>
      <c r="G824" s="26" t="n">
        <v>0</v>
      </c>
      <c r="H824" s="26" t="n">
        <v>0</v>
      </c>
      <c r="I824" s="26" t="n">
        <v>15</v>
      </c>
      <c r="J824" s="26" t="n">
        <v>0</v>
      </c>
      <c r="K824" s="26" t="n">
        <v>0</v>
      </c>
      <c r="L824" s="26" t="n">
        <v>0</v>
      </c>
      <c r="M824" s="26" t="n">
        <v>0</v>
      </c>
      <c r="N824" s="26" t="n">
        <v>0</v>
      </c>
      <c r="O824" s="26" t="n">
        <v>0</v>
      </c>
      <c r="P824" s="26" t="n">
        <v>-1</v>
      </c>
      <c r="Q824" s="26" t="n">
        <v>10</v>
      </c>
      <c r="R824" s="26" t="n">
        <v>6</v>
      </c>
      <c r="S824" s="26" t="n">
        <v>0</v>
      </c>
      <c r="T824" s="26" t="n">
        <v>0</v>
      </c>
      <c r="U824" s="26" t="n">
        <v>0</v>
      </c>
    </row>
    <row r="825" customFormat="false" ht="15" hidden="false" customHeight="true" outlineLevel="0" collapsed="false">
      <c r="A825" s="8" t="s">
        <v>944</v>
      </c>
      <c r="B825" s="8" t="s">
        <v>124</v>
      </c>
      <c r="C825" s="8" t="s">
        <v>636</v>
      </c>
      <c r="D825" s="26" t="n">
        <v>0</v>
      </c>
      <c r="E825" s="26" t="n">
        <v>0</v>
      </c>
      <c r="F825" s="26" t="n">
        <v>22</v>
      </c>
      <c r="G825" s="26" t="n">
        <v>0</v>
      </c>
      <c r="H825" s="26" t="n">
        <v>0</v>
      </c>
      <c r="I825" s="26" t="n">
        <v>2</v>
      </c>
      <c r="J825" s="26" t="n">
        <v>0</v>
      </c>
      <c r="K825" s="26" t="n">
        <v>0</v>
      </c>
      <c r="L825" s="26" t="n">
        <v>0</v>
      </c>
      <c r="M825" s="26" t="n">
        <v>0</v>
      </c>
      <c r="N825" s="26" t="n">
        <v>0</v>
      </c>
      <c r="O825" s="26" t="n">
        <v>0</v>
      </c>
      <c r="P825" s="26" t="n">
        <v>0</v>
      </c>
      <c r="Q825" s="26" t="n">
        <v>2</v>
      </c>
      <c r="R825" s="26" t="n">
        <v>0</v>
      </c>
      <c r="S825" s="26" t="n">
        <v>0</v>
      </c>
      <c r="T825" s="26" t="n">
        <v>0</v>
      </c>
      <c r="U825" s="26" t="n">
        <v>0</v>
      </c>
    </row>
    <row r="826" customFormat="false" ht="15" hidden="false" customHeight="true" outlineLevel="0" collapsed="false">
      <c r="A826" s="8" t="s">
        <v>944</v>
      </c>
      <c r="B826" s="8" t="s">
        <v>91</v>
      </c>
      <c r="C826" s="8" t="s">
        <v>637</v>
      </c>
      <c r="D826" s="26" t="n">
        <v>0</v>
      </c>
      <c r="E826" s="26" t="n">
        <v>0</v>
      </c>
      <c r="F826" s="26" t="n">
        <v>196</v>
      </c>
      <c r="G826" s="26" t="n">
        <v>0</v>
      </c>
      <c r="H826" s="26" t="n">
        <v>0</v>
      </c>
      <c r="I826" s="26" t="n">
        <v>1042</v>
      </c>
      <c r="J826" s="26" t="n">
        <v>0</v>
      </c>
      <c r="K826" s="26" t="n">
        <v>9</v>
      </c>
      <c r="L826" s="26" t="n">
        <v>0</v>
      </c>
      <c r="M826" s="26" t="n">
        <v>0</v>
      </c>
      <c r="N826" s="26" t="n">
        <v>2</v>
      </c>
      <c r="O826" s="26" t="n">
        <v>3</v>
      </c>
      <c r="P826" s="26" t="n">
        <v>-10</v>
      </c>
      <c r="Q826" s="26" t="n">
        <v>721</v>
      </c>
      <c r="R826" s="26" t="n">
        <v>317</v>
      </c>
      <c r="S826" s="26" t="n">
        <v>2</v>
      </c>
      <c r="T826" s="26" t="n">
        <v>0</v>
      </c>
      <c r="U826" s="26" t="n">
        <v>0</v>
      </c>
    </row>
    <row r="827" customFormat="false" ht="15" hidden="false" customHeight="true" outlineLevel="0" collapsed="false">
      <c r="A827" s="8" t="s">
        <v>944</v>
      </c>
      <c r="B827" s="8" t="s">
        <v>91</v>
      </c>
      <c r="C827" s="8" t="s">
        <v>638</v>
      </c>
      <c r="D827" s="26" t="n">
        <v>0</v>
      </c>
      <c r="E827" s="26" t="n">
        <v>0</v>
      </c>
      <c r="F827" s="26" t="n">
        <v>186</v>
      </c>
      <c r="G827" s="26" t="n">
        <v>0</v>
      </c>
      <c r="H827" s="26" t="n">
        <v>1</v>
      </c>
      <c r="I827" s="26" t="n">
        <v>847</v>
      </c>
      <c r="J827" s="26" t="n">
        <v>0</v>
      </c>
      <c r="K827" s="26" t="n">
        <v>4</v>
      </c>
      <c r="L827" s="26" t="n">
        <v>0</v>
      </c>
      <c r="M827" s="26" t="n">
        <v>3</v>
      </c>
      <c r="N827" s="26" t="n">
        <v>1</v>
      </c>
      <c r="O827" s="26" t="n">
        <v>0</v>
      </c>
      <c r="P827" s="26" t="n">
        <v>-5</v>
      </c>
      <c r="Q827" s="26" t="n">
        <v>650</v>
      </c>
      <c r="R827" s="26" t="n">
        <v>194</v>
      </c>
      <c r="S827" s="26" t="n">
        <v>1</v>
      </c>
      <c r="T827" s="26" t="n">
        <v>0</v>
      </c>
      <c r="U827" s="26" t="n">
        <v>0</v>
      </c>
    </row>
    <row r="828" customFormat="false" ht="15" hidden="false" customHeight="true" outlineLevel="0" collapsed="false">
      <c r="A828" s="8" t="s">
        <v>944</v>
      </c>
      <c r="B828" s="8" t="s">
        <v>91</v>
      </c>
      <c r="C828" s="8" t="s">
        <v>639</v>
      </c>
      <c r="D828" s="26" t="n">
        <v>0</v>
      </c>
      <c r="E828" s="26" t="n">
        <v>0</v>
      </c>
      <c r="F828" s="26" t="n">
        <v>78</v>
      </c>
      <c r="G828" s="26" t="n">
        <v>0</v>
      </c>
      <c r="H828" s="26" t="n">
        <v>0</v>
      </c>
      <c r="I828" s="26" t="n">
        <v>448</v>
      </c>
      <c r="J828" s="26" t="n">
        <v>0</v>
      </c>
      <c r="K828" s="26" t="n">
        <v>6</v>
      </c>
      <c r="L828" s="26" t="n">
        <v>0</v>
      </c>
      <c r="M828" s="26" t="n">
        <v>0</v>
      </c>
      <c r="N828" s="26" t="n">
        <v>0</v>
      </c>
      <c r="O828" s="26" t="n">
        <v>0</v>
      </c>
      <c r="P828" s="26" t="n">
        <v>-8</v>
      </c>
      <c r="Q828" s="26" t="n">
        <v>329</v>
      </c>
      <c r="R828" s="26" t="n">
        <v>121</v>
      </c>
      <c r="S828" s="26" t="n">
        <v>0</v>
      </c>
      <c r="T828" s="26" t="n">
        <v>0</v>
      </c>
      <c r="U828" s="26" t="n">
        <v>0</v>
      </c>
    </row>
    <row r="829" customFormat="false" ht="15" hidden="false" customHeight="true" outlineLevel="0" collapsed="false">
      <c r="A829" s="8" t="s">
        <v>944</v>
      </c>
      <c r="B829" s="8" t="s">
        <v>91</v>
      </c>
      <c r="C829" s="8" t="s">
        <v>640</v>
      </c>
      <c r="D829" s="26" t="n">
        <v>0</v>
      </c>
      <c r="E829" s="26" t="n">
        <v>0</v>
      </c>
      <c r="F829" s="26" t="n">
        <v>90</v>
      </c>
      <c r="G829" s="26" t="n">
        <v>0</v>
      </c>
      <c r="H829" s="26" t="n">
        <v>0</v>
      </c>
      <c r="I829" s="26" t="n">
        <v>532</v>
      </c>
      <c r="J829" s="26" t="n">
        <v>0</v>
      </c>
      <c r="K829" s="26" t="n">
        <v>6</v>
      </c>
      <c r="L829" s="26" t="n">
        <v>0</v>
      </c>
      <c r="M829" s="26" t="n">
        <v>3</v>
      </c>
      <c r="N829" s="26" t="n">
        <v>1</v>
      </c>
      <c r="O829" s="26" t="n">
        <v>0</v>
      </c>
      <c r="P829" s="26" t="n">
        <v>-8</v>
      </c>
      <c r="Q829" s="26" t="n">
        <v>370</v>
      </c>
      <c r="R829" s="26" t="n">
        <v>160</v>
      </c>
      <c r="S829" s="26" t="n">
        <v>0</v>
      </c>
      <c r="T829" s="26" t="n">
        <v>0</v>
      </c>
      <c r="U829" s="26" t="n">
        <v>-1</v>
      </c>
    </row>
    <row r="830" customFormat="false" ht="15" hidden="false" customHeight="true" outlineLevel="0" collapsed="false">
      <c r="A830" s="8" t="s">
        <v>944</v>
      </c>
      <c r="B830" s="8" t="s">
        <v>136</v>
      </c>
      <c r="C830" s="8" t="s">
        <v>641</v>
      </c>
      <c r="D830" s="26" t="n">
        <v>0</v>
      </c>
      <c r="E830" s="26" t="n">
        <v>0</v>
      </c>
      <c r="F830" s="26" t="n">
        <v>105</v>
      </c>
      <c r="G830" s="26" t="n">
        <v>0</v>
      </c>
      <c r="H830" s="26" t="n">
        <v>0</v>
      </c>
      <c r="I830" s="26" t="n">
        <v>493</v>
      </c>
      <c r="J830" s="26" t="n">
        <v>0</v>
      </c>
      <c r="K830" s="26" t="n">
        <v>8</v>
      </c>
      <c r="L830" s="26" t="n">
        <v>0</v>
      </c>
      <c r="M830" s="26" t="n">
        <v>0</v>
      </c>
      <c r="N830" s="26" t="n">
        <v>0</v>
      </c>
      <c r="O830" s="26" t="n">
        <v>6</v>
      </c>
      <c r="P830" s="26" t="n">
        <v>-9</v>
      </c>
      <c r="Q830" s="26" t="n">
        <v>410</v>
      </c>
      <c r="R830" s="26" t="n">
        <v>78</v>
      </c>
      <c r="S830" s="26" t="n">
        <v>0</v>
      </c>
      <c r="T830" s="26" t="n">
        <v>0</v>
      </c>
      <c r="U830" s="26" t="n">
        <v>0</v>
      </c>
    </row>
    <row r="831" customFormat="false" ht="15" hidden="false" customHeight="true" outlineLevel="0" collapsed="false">
      <c r="A831" s="8" t="s">
        <v>944</v>
      </c>
      <c r="B831" s="8" t="s">
        <v>136</v>
      </c>
      <c r="C831" s="8" t="s">
        <v>642</v>
      </c>
      <c r="D831" s="26" t="n">
        <v>0</v>
      </c>
      <c r="E831" s="26" t="n">
        <v>0</v>
      </c>
      <c r="F831" s="26" t="n">
        <v>153</v>
      </c>
      <c r="G831" s="26" t="n">
        <v>0</v>
      </c>
      <c r="H831" s="26" t="n">
        <v>1</v>
      </c>
      <c r="I831" s="26" t="n">
        <v>703</v>
      </c>
      <c r="J831" s="26" t="n">
        <v>0</v>
      </c>
      <c r="K831" s="26" t="n">
        <v>5</v>
      </c>
      <c r="L831" s="26" t="n">
        <v>0</v>
      </c>
      <c r="M831" s="26" t="n">
        <v>0</v>
      </c>
      <c r="N831" s="26" t="n">
        <v>3</v>
      </c>
      <c r="O831" s="26" t="n">
        <v>2</v>
      </c>
      <c r="P831" s="26" t="n">
        <v>-7</v>
      </c>
      <c r="Q831" s="26" t="n">
        <v>555</v>
      </c>
      <c r="R831" s="26" t="n">
        <v>145</v>
      </c>
      <c r="S831" s="26" t="n">
        <v>0</v>
      </c>
      <c r="T831" s="26" t="n">
        <v>0</v>
      </c>
      <c r="U831" s="26" t="n">
        <v>0</v>
      </c>
    </row>
    <row r="832" customFormat="false" ht="15" hidden="false" customHeight="true" outlineLevel="0" collapsed="false">
      <c r="A832" s="8" t="s">
        <v>944</v>
      </c>
      <c r="B832" s="8" t="s">
        <v>136</v>
      </c>
      <c r="C832" s="8" t="s">
        <v>643</v>
      </c>
      <c r="D832" s="26" t="n">
        <v>0</v>
      </c>
      <c r="E832" s="26" t="n">
        <v>0</v>
      </c>
      <c r="F832" s="26" t="n">
        <v>130</v>
      </c>
      <c r="G832" s="26" t="n">
        <v>0</v>
      </c>
      <c r="H832" s="26" t="n">
        <v>0</v>
      </c>
      <c r="I832" s="26" t="n">
        <v>467</v>
      </c>
      <c r="J832" s="26" t="n">
        <v>0</v>
      </c>
      <c r="K832" s="26" t="n">
        <v>5</v>
      </c>
      <c r="L832" s="26" t="n">
        <v>0</v>
      </c>
      <c r="M832" s="26" t="n">
        <v>0</v>
      </c>
      <c r="N832" s="26" t="n">
        <v>4</v>
      </c>
      <c r="O832" s="26" t="n">
        <v>0</v>
      </c>
      <c r="P832" s="26" t="n">
        <v>-5</v>
      </c>
      <c r="Q832" s="26" t="n">
        <v>391</v>
      </c>
      <c r="R832" s="26" t="n">
        <v>72</v>
      </c>
      <c r="S832" s="26" t="n">
        <v>0</v>
      </c>
      <c r="T832" s="26" t="n">
        <v>0</v>
      </c>
      <c r="U832" s="26" t="n">
        <v>0</v>
      </c>
    </row>
    <row r="833" customFormat="false" ht="15" hidden="false" customHeight="true" outlineLevel="0" collapsed="false">
      <c r="A833" s="8" t="s">
        <v>944</v>
      </c>
      <c r="B833" s="8" t="s">
        <v>136</v>
      </c>
      <c r="C833" s="8" t="s">
        <v>644</v>
      </c>
      <c r="D833" s="26" t="n">
        <v>0</v>
      </c>
      <c r="E833" s="26" t="n">
        <v>0</v>
      </c>
      <c r="F833" s="26" t="n">
        <v>49</v>
      </c>
      <c r="G833" s="26" t="n">
        <v>0</v>
      </c>
      <c r="H833" s="26" t="n">
        <v>0</v>
      </c>
      <c r="I833" s="26" t="n">
        <v>239</v>
      </c>
      <c r="J833" s="26" t="n">
        <v>0</v>
      </c>
      <c r="K833" s="26" t="n">
        <v>3</v>
      </c>
      <c r="L833" s="26" t="n">
        <v>0</v>
      </c>
      <c r="M833" s="26" t="n">
        <v>0</v>
      </c>
      <c r="N833" s="26" t="n">
        <v>0</v>
      </c>
      <c r="O833" s="26" t="n">
        <v>3</v>
      </c>
      <c r="P833" s="26" t="n">
        <v>-12</v>
      </c>
      <c r="Q833" s="26" t="n">
        <v>205</v>
      </c>
      <c r="R833" s="26" t="n">
        <v>40</v>
      </c>
      <c r="S833" s="26" t="n">
        <v>0</v>
      </c>
      <c r="T833" s="26" t="n">
        <v>0</v>
      </c>
      <c r="U833" s="26" t="n">
        <v>0</v>
      </c>
    </row>
    <row r="834" customFormat="false" ht="15" hidden="false" customHeight="true" outlineLevel="0" collapsed="false">
      <c r="A834" s="8" t="s">
        <v>944</v>
      </c>
      <c r="B834" s="8" t="s">
        <v>136</v>
      </c>
      <c r="C834" s="8" t="s">
        <v>645</v>
      </c>
      <c r="D834" s="26" t="n">
        <v>0</v>
      </c>
      <c r="E834" s="26" t="n">
        <v>0</v>
      </c>
      <c r="F834" s="26" t="n">
        <v>25</v>
      </c>
      <c r="G834" s="26" t="n">
        <v>0</v>
      </c>
      <c r="H834" s="26" t="n">
        <v>0</v>
      </c>
      <c r="I834" s="26" t="n">
        <v>37</v>
      </c>
      <c r="J834" s="26" t="n">
        <v>0</v>
      </c>
      <c r="K834" s="26" t="n">
        <v>0</v>
      </c>
      <c r="L834" s="26" t="n">
        <v>0</v>
      </c>
      <c r="M834" s="26" t="n">
        <v>0</v>
      </c>
      <c r="N834" s="26" t="n">
        <v>0</v>
      </c>
      <c r="O834" s="26" t="n">
        <v>0</v>
      </c>
      <c r="P834" s="26" t="n">
        <v>0</v>
      </c>
      <c r="Q834" s="26" t="n">
        <v>37</v>
      </c>
      <c r="R834" s="26" t="n">
        <v>0</v>
      </c>
      <c r="S834" s="26" t="n">
        <v>0</v>
      </c>
      <c r="T834" s="26" t="n">
        <v>0</v>
      </c>
      <c r="U834" s="26" t="n">
        <v>0</v>
      </c>
    </row>
    <row r="835" customFormat="false" ht="15" hidden="false" customHeight="true" outlineLevel="0" collapsed="false">
      <c r="A835" s="8" t="s">
        <v>944</v>
      </c>
      <c r="B835" s="8" t="s">
        <v>136</v>
      </c>
      <c r="C835" s="8" t="s">
        <v>646</v>
      </c>
      <c r="D835" s="26" t="n">
        <v>0</v>
      </c>
      <c r="E835" s="26" t="n">
        <v>0</v>
      </c>
      <c r="F835" s="26" t="n">
        <v>2</v>
      </c>
      <c r="G835" s="26" t="n">
        <v>0</v>
      </c>
      <c r="H835" s="26" t="n">
        <v>0</v>
      </c>
      <c r="I835" s="26" t="n">
        <v>5</v>
      </c>
      <c r="J835" s="26" t="n">
        <v>0</v>
      </c>
      <c r="K835" s="26" t="n">
        <v>0</v>
      </c>
      <c r="L835" s="26" t="n">
        <v>0</v>
      </c>
      <c r="M835" s="26" t="n">
        <v>0</v>
      </c>
      <c r="N835" s="26" t="n">
        <v>0</v>
      </c>
      <c r="O835" s="26" t="n">
        <v>0</v>
      </c>
      <c r="P835" s="26" t="n">
        <v>0</v>
      </c>
      <c r="Q835" s="26" t="n">
        <v>5</v>
      </c>
      <c r="R835" s="26" t="n">
        <v>0</v>
      </c>
      <c r="S835" s="26" t="n">
        <v>0</v>
      </c>
      <c r="T835" s="26" t="n">
        <v>0</v>
      </c>
      <c r="U835" s="26" t="n">
        <v>0</v>
      </c>
    </row>
    <row r="836" customFormat="false" ht="15" hidden="false" customHeight="true" outlineLevel="0" collapsed="false">
      <c r="A836" s="8" t="s">
        <v>944</v>
      </c>
      <c r="B836" s="8" t="s">
        <v>389</v>
      </c>
      <c r="C836" s="8" t="s">
        <v>945</v>
      </c>
      <c r="D836" s="26" t="n">
        <v>0</v>
      </c>
      <c r="E836" s="26" t="n">
        <v>0</v>
      </c>
      <c r="F836" s="26" t="n">
        <v>0</v>
      </c>
      <c r="G836" s="26" t="n">
        <v>0</v>
      </c>
      <c r="H836" s="26" t="n">
        <v>0</v>
      </c>
      <c r="I836" s="26" t="n">
        <v>-1</v>
      </c>
      <c r="J836" s="26" t="n">
        <v>0</v>
      </c>
      <c r="K836" s="26" t="n">
        <v>0</v>
      </c>
      <c r="L836" s="26" t="n">
        <v>0</v>
      </c>
      <c r="M836" s="26" t="n">
        <v>0</v>
      </c>
      <c r="N836" s="26" t="n">
        <v>0</v>
      </c>
      <c r="O836" s="26" t="n">
        <v>0</v>
      </c>
      <c r="P836" s="26" t="n">
        <v>0</v>
      </c>
      <c r="Q836" s="26" t="n">
        <v>-1</v>
      </c>
      <c r="R836" s="26" t="n">
        <v>0</v>
      </c>
      <c r="S836" s="26" t="n">
        <v>0</v>
      </c>
      <c r="T836" s="26" t="n">
        <v>0</v>
      </c>
      <c r="U836" s="26" t="n">
        <v>0</v>
      </c>
    </row>
    <row r="837" customFormat="false" ht="15" hidden="false" customHeight="true" outlineLevel="0" collapsed="false">
      <c r="A837" s="8" t="s">
        <v>944</v>
      </c>
      <c r="B837" s="8" t="s">
        <v>143</v>
      </c>
      <c r="C837" s="8" t="s">
        <v>647</v>
      </c>
      <c r="D837" s="26" t="n">
        <v>0</v>
      </c>
      <c r="E837" s="26" t="n">
        <v>0</v>
      </c>
      <c r="F837" s="26" t="n">
        <v>377</v>
      </c>
      <c r="G837" s="26" t="n">
        <v>0</v>
      </c>
      <c r="H837" s="26" t="n">
        <v>0</v>
      </c>
      <c r="I837" s="26" t="n">
        <v>1085</v>
      </c>
      <c r="J837" s="26" t="n">
        <v>0</v>
      </c>
      <c r="K837" s="26" t="n">
        <v>4</v>
      </c>
      <c r="L837" s="26" t="n">
        <v>-2</v>
      </c>
      <c r="M837" s="26" t="n">
        <v>0</v>
      </c>
      <c r="N837" s="26" t="n">
        <v>13</v>
      </c>
      <c r="O837" s="26" t="n">
        <v>6</v>
      </c>
      <c r="P837" s="26" t="n">
        <v>-2</v>
      </c>
      <c r="Q837" s="26" t="n">
        <v>871</v>
      </c>
      <c r="R837" s="26" t="n">
        <v>195</v>
      </c>
      <c r="S837" s="26" t="n">
        <v>0</v>
      </c>
      <c r="T837" s="26" t="n">
        <v>0</v>
      </c>
      <c r="U837" s="26" t="n">
        <v>0</v>
      </c>
    </row>
    <row r="838" customFormat="false" ht="15" hidden="false" customHeight="true" outlineLevel="0" collapsed="false">
      <c r="A838" s="8" t="s">
        <v>944</v>
      </c>
      <c r="B838" s="8" t="s">
        <v>227</v>
      </c>
      <c r="C838" s="8" t="s">
        <v>648</v>
      </c>
      <c r="D838" s="26" t="n">
        <v>0</v>
      </c>
      <c r="E838" s="26" t="n">
        <v>0</v>
      </c>
      <c r="F838" s="26" t="n">
        <v>49</v>
      </c>
      <c r="G838" s="26" t="n">
        <v>0</v>
      </c>
      <c r="H838" s="26" t="n">
        <v>0</v>
      </c>
      <c r="I838" s="26" t="n">
        <v>179</v>
      </c>
      <c r="J838" s="26" t="n">
        <v>0</v>
      </c>
      <c r="K838" s="26" t="n">
        <v>11</v>
      </c>
      <c r="L838" s="26" t="n">
        <v>0</v>
      </c>
      <c r="M838" s="26" t="n">
        <v>0</v>
      </c>
      <c r="N838" s="26" t="n">
        <v>0</v>
      </c>
      <c r="O838" s="26" t="n">
        <v>0</v>
      </c>
      <c r="P838" s="26" t="n">
        <v>0</v>
      </c>
      <c r="Q838" s="26" t="n">
        <v>68</v>
      </c>
      <c r="R838" s="26" t="n">
        <v>100</v>
      </c>
      <c r="S838" s="26" t="n">
        <v>0</v>
      </c>
      <c r="T838" s="26" t="n">
        <v>0</v>
      </c>
      <c r="U838" s="26" t="n">
        <v>0</v>
      </c>
    </row>
    <row r="839" customFormat="false" ht="15" hidden="false" customHeight="true" outlineLevel="0" collapsed="false">
      <c r="A839" s="8" t="s">
        <v>944</v>
      </c>
      <c r="B839" s="8" t="s">
        <v>111</v>
      </c>
      <c r="C839" s="8" t="s">
        <v>649</v>
      </c>
      <c r="D839" s="26" t="n">
        <v>0</v>
      </c>
      <c r="E839" s="26" t="n">
        <v>0</v>
      </c>
      <c r="F839" s="26" t="n">
        <v>6</v>
      </c>
      <c r="G839" s="26" t="n">
        <v>0</v>
      </c>
      <c r="H839" s="26" t="n">
        <v>0</v>
      </c>
      <c r="I839" s="26" t="n">
        <v>-93</v>
      </c>
      <c r="J839" s="26" t="n">
        <v>0</v>
      </c>
      <c r="K839" s="26" t="n">
        <v>0</v>
      </c>
      <c r="L839" s="26" t="n">
        <v>0</v>
      </c>
      <c r="M839" s="26" t="n">
        <v>0</v>
      </c>
      <c r="N839" s="26" t="n">
        <v>0</v>
      </c>
      <c r="O839" s="26" t="n">
        <v>0</v>
      </c>
      <c r="P839" s="26" t="n">
        <v>-1</v>
      </c>
      <c r="Q839" s="26" t="n">
        <v>-96</v>
      </c>
      <c r="R839" s="26" t="n">
        <v>4</v>
      </c>
      <c r="S839" s="26" t="n">
        <v>0</v>
      </c>
      <c r="T839" s="26" t="n">
        <v>0</v>
      </c>
      <c r="U839" s="26" t="n">
        <v>0</v>
      </c>
    </row>
    <row r="840" customFormat="false" ht="15" hidden="false" customHeight="true" outlineLevel="0" collapsed="false">
      <c r="A840" s="8" t="s">
        <v>944</v>
      </c>
      <c r="B840" s="8" t="s">
        <v>111</v>
      </c>
      <c r="C840" s="8" t="s">
        <v>650</v>
      </c>
      <c r="D840" s="26" t="n">
        <v>0</v>
      </c>
      <c r="E840" s="26" t="n">
        <v>0</v>
      </c>
      <c r="F840" s="26" t="n">
        <v>6</v>
      </c>
      <c r="G840" s="26" t="n">
        <v>0</v>
      </c>
      <c r="H840" s="26" t="n">
        <v>0</v>
      </c>
      <c r="I840" s="26" t="n">
        <v>14</v>
      </c>
      <c r="J840" s="26" t="n">
        <v>0</v>
      </c>
      <c r="K840" s="26" t="n">
        <v>0</v>
      </c>
      <c r="L840" s="26" t="n">
        <v>-1</v>
      </c>
      <c r="M840" s="26" t="n">
        <v>0</v>
      </c>
      <c r="N840" s="26" t="n">
        <v>0</v>
      </c>
      <c r="O840" s="26" t="n">
        <v>0</v>
      </c>
      <c r="P840" s="26" t="n">
        <v>0</v>
      </c>
      <c r="Q840" s="26" t="n">
        <v>9</v>
      </c>
      <c r="R840" s="26" t="n">
        <v>6</v>
      </c>
      <c r="S840" s="26" t="n">
        <v>0</v>
      </c>
      <c r="T840" s="26" t="n">
        <v>0</v>
      </c>
      <c r="U840" s="26" t="n">
        <v>0</v>
      </c>
    </row>
    <row r="841" customFormat="false" ht="15" hidden="false" customHeight="true" outlineLevel="0" collapsed="false">
      <c r="A841" s="8" t="s">
        <v>944</v>
      </c>
      <c r="B841" s="8" t="s">
        <v>111</v>
      </c>
      <c r="C841" s="8" t="s">
        <v>651</v>
      </c>
      <c r="D841" s="26" t="n">
        <v>0</v>
      </c>
      <c r="E841" s="26" t="n">
        <v>0</v>
      </c>
      <c r="F841" s="26" t="n">
        <v>21</v>
      </c>
      <c r="G841" s="26" t="n">
        <v>0</v>
      </c>
      <c r="H841" s="26" t="n">
        <v>0</v>
      </c>
      <c r="I841" s="26" t="n">
        <v>51</v>
      </c>
      <c r="J841" s="26" t="n">
        <v>0</v>
      </c>
      <c r="K841" s="26" t="n">
        <v>0</v>
      </c>
      <c r="L841" s="26" t="n">
        <v>-1</v>
      </c>
      <c r="M841" s="26" t="n">
        <v>0</v>
      </c>
      <c r="N841" s="26" t="n">
        <v>-1</v>
      </c>
      <c r="O841" s="26" t="n">
        <v>0</v>
      </c>
      <c r="P841" s="26" t="n">
        <v>0</v>
      </c>
      <c r="Q841" s="26" t="n">
        <v>39</v>
      </c>
      <c r="R841" s="26" t="n">
        <v>14</v>
      </c>
      <c r="S841" s="26" t="n">
        <v>0</v>
      </c>
      <c r="T841" s="26" t="n">
        <v>0</v>
      </c>
      <c r="U841" s="26" t="n">
        <v>-1</v>
      </c>
    </row>
    <row r="842" customFormat="false" ht="15" hidden="false" customHeight="true" outlineLevel="0" collapsed="false">
      <c r="A842" s="8" t="s">
        <v>944</v>
      </c>
      <c r="B842" s="8" t="s">
        <v>111</v>
      </c>
      <c r="C842" s="8" t="s">
        <v>652</v>
      </c>
      <c r="D842" s="26" t="n">
        <v>0</v>
      </c>
      <c r="E842" s="26" t="n">
        <v>0</v>
      </c>
      <c r="F842" s="26" t="n">
        <v>36</v>
      </c>
      <c r="G842" s="26" t="n">
        <v>0</v>
      </c>
      <c r="H842" s="26" t="n">
        <v>0</v>
      </c>
      <c r="I842" s="26" t="n">
        <v>199</v>
      </c>
      <c r="J842" s="26" t="n">
        <v>0</v>
      </c>
      <c r="K842" s="26" t="n">
        <v>0</v>
      </c>
      <c r="L842" s="26" t="n">
        <v>0</v>
      </c>
      <c r="M842" s="26" t="n">
        <v>0</v>
      </c>
      <c r="N842" s="26" t="n">
        <v>0</v>
      </c>
      <c r="O842" s="26" t="n">
        <v>0</v>
      </c>
      <c r="P842" s="26" t="n">
        <v>0</v>
      </c>
      <c r="Q842" s="26" t="n">
        <v>173</v>
      </c>
      <c r="R842" s="26" t="n">
        <v>26</v>
      </c>
      <c r="S842" s="26" t="n">
        <v>0</v>
      </c>
      <c r="T842" s="26" t="n">
        <v>0</v>
      </c>
      <c r="U842" s="26" t="n">
        <v>0</v>
      </c>
    </row>
    <row r="843" customFormat="false" ht="15" hidden="false" customHeight="true" outlineLevel="0" collapsed="false">
      <c r="A843" s="8" t="s">
        <v>944</v>
      </c>
      <c r="B843" s="8" t="s">
        <v>111</v>
      </c>
      <c r="C843" s="8" t="s">
        <v>653</v>
      </c>
      <c r="D843" s="26" t="n">
        <v>0</v>
      </c>
      <c r="E843" s="26" t="n">
        <v>0</v>
      </c>
      <c r="F843" s="26" t="n">
        <v>55</v>
      </c>
      <c r="G843" s="26" t="n">
        <v>0</v>
      </c>
      <c r="H843" s="26" t="n">
        <v>0</v>
      </c>
      <c r="I843" s="26" t="n">
        <v>246</v>
      </c>
      <c r="J843" s="26" t="n">
        <v>0</v>
      </c>
      <c r="K843" s="26" t="n">
        <v>0</v>
      </c>
      <c r="L843" s="26" t="n">
        <v>0</v>
      </c>
      <c r="M843" s="26" t="n">
        <v>0</v>
      </c>
      <c r="N843" s="26" t="n">
        <v>-1</v>
      </c>
      <c r="O843" s="26" t="n">
        <v>0</v>
      </c>
      <c r="P843" s="26" t="n">
        <v>0</v>
      </c>
      <c r="Q843" s="26" t="n">
        <v>226</v>
      </c>
      <c r="R843" s="26" t="n">
        <v>21</v>
      </c>
      <c r="S843" s="26" t="n">
        <v>0</v>
      </c>
      <c r="T843" s="26" t="n">
        <v>0</v>
      </c>
      <c r="U843" s="26" t="n">
        <v>0</v>
      </c>
    </row>
    <row r="844" customFormat="false" ht="15" hidden="false" customHeight="true" outlineLevel="0" collapsed="false">
      <c r="A844" s="8" t="s">
        <v>944</v>
      </c>
      <c r="B844" s="8" t="s">
        <v>111</v>
      </c>
      <c r="C844" s="8" t="s">
        <v>654</v>
      </c>
      <c r="D844" s="26" t="n">
        <v>0</v>
      </c>
      <c r="E844" s="26" t="n">
        <v>0</v>
      </c>
      <c r="F844" s="26" t="n">
        <v>33</v>
      </c>
      <c r="G844" s="26" t="n">
        <v>0</v>
      </c>
      <c r="H844" s="26" t="n">
        <v>0</v>
      </c>
      <c r="I844" s="26" t="n">
        <v>159</v>
      </c>
      <c r="J844" s="26" t="n">
        <v>0</v>
      </c>
      <c r="K844" s="26" t="n">
        <v>2</v>
      </c>
      <c r="L844" s="26" t="n">
        <v>-1</v>
      </c>
      <c r="M844" s="26" t="n">
        <v>0</v>
      </c>
      <c r="N844" s="26" t="n">
        <v>0</v>
      </c>
      <c r="O844" s="26" t="n">
        <v>0</v>
      </c>
      <c r="P844" s="26" t="n">
        <v>0</v>
      </c>
      <c r="Q844" s="26" t="n">
        <v>144</v>
      </c>
      <c r="R844" s="26" t="n">
        <v>14</v>
      </c>
      <c r="S844" s="26" t="n">
        <v>0</v>
      </c>
      <c r="T844" s="26" t="n">
        <v>0</v>
      </c>
      <c r="U844" s="26" t="n">
        <v>0</v>
      </c>
    </row>
    <row r="845" customFormat="false" ht="15" hidden="false" customHeight="true" outlineLevel="0" collapsed="false">
      <c r="A845" s="8" t="s">
        <v>944</v>
      </c>
      <c r="B845" s="8" t="s">
        <v>139</v>
      </c>
      <c r="C845" s="8" t="s">
        <v>655</v>
      </c>
      <c r="D845" s="26" t="n">
        <v>0</v>
      </c>
      <c r="E845" s="26" t="n">
        <v>0</v>
      </c>
      <c r="F845" s="26" t="n">
        <v>26</v>
      </c>
      <c r="G845" s="26" t="n">
        <v>0</v>
      </c>
      <c r="H845" s="26" t="n">
        <v>0</v>
      </c>
      <c r="I845" s="26" t="n">
        <v>56</v>
      </c>
      <c r="J845" s="26" t="n">
        <v>0</v>
      </c>
      <c r="K845" s="26" t="n">
        <v>0</v>
      </c>
      <c r="L845" s="26" t="n">
        <v>0</v>
      </c>
      <c r="M845" s="26" t="n">
        <v>0</v>
      </c>
      <c r="N845" s="26" t="n">
        <v>3</v>
      </c>
      <c r="O845" s="26" t="n">
        <v>0</v>
      </c>
      <c r="P845" s="26" t="n">
        <v>0</v>
      </c>
      <c r="Q845" s="26" t="n">
        <v>53</v>
      </c>
      <c r="R845" s="26" t="n">
        <v>0</v>
      </c>
      <c r="S845" s="26" t="n">
        <v>0</v>
      </c>
      <c r="T845" s="26" t="n">
        <v>0</v>
      </c>
      <c r="U845" s="26" t="n">
        <v>0</v>
      </c>
    </row>
    <row r="846" customFormat="false" ht="15" hidden="false" customHeight="true" outlineLevel="0" collapsed="false">
      <c r="A846" s="8" t="s">
        <v>944</v>
      </c>
      <c r="B846" s="8" t="s">
        <v>139</v>
      </c>
      <c r="C846" s="8" t="s">
        <v>656</v>
      </c>
      <c r="D846" s="26" t="n">
        <v>0</v>
      </c>
      <c r="E846" s="26" t="n">
        <v>0</v>
      </c>
      <c r="F846" s="26" t="n">
        <v>62</v>
      </c>
      <c r="G846" s="26" t="n">
        <v>0</v>
      </c>
      <c r="H846" s="26" t="n">
        <v>0</v>
      </c>
      <c r="I846" s="26" t="n">
        <v>274</v>
      </c>
      <c r="J846" s="26" t="n">
        <v>0</v>
      </c>
      <c r="K846" s="26" t="n">
        <v>11</v>
      </c>
      <c r="L846" s="26" t="n">
        <v>0</v>
      </c>
      <c r="M846" s="26" t="n">
        <v>0</v>
      </c>
      <c r="N846" s="26" t="n">
        <v>0</v>
      </c>
      <c r="O846" s="26" t="n">
        <v>0</v>
      </c>
      <c r="P846" s="26" t="n">
        <v>-3</v>
      </c>
      <c r="Q846" s="26" t="n">
        <v>123</v>
      </c>
      <c r="R846" s="26" t="n">
        <v>143</v>
      </c>
      <c r="S846" s="26" t="n">
        <v>0</v>
      </c>
      <c r="T846" s="26" t="n">
        <v>0</v>
      </c>
      <c r="U846" s="26" t="n">
        <v>0</v>
      </c>
    </row>
    <row r="847" customFormat="false" ht="15" hidden="false" customHeight="true" outlineLevel="0" collapsed="false">
      <c r="A847" s="8" t="s">
        <v>944</v>
      </c>
      <c r="B847" s="8" t="s">
        <v>139</v>
      </c>
      <c r="C847" s="8" t="s">
        <v>657</v>
      </c>
      <c r="D847" s="26" t="n">
        <v>0</v>
      </c>
      <c r="E847" s="26" t="n">
        <v>0</v>
      </c>
      <c r="F847" s="26" t="n">
        <v>73</v>
      </c>
      <c r="G847" s="26" t="n">
        <v>0</v>
      </c>
      <c r="H847" s="26" t="n">
        <v>0</v>
      </c>
      <c r="I847" s="26" t="n">
        <v>264</v>
      </c>
      <c r="J847" s="26" t="n">
        <v>0</v>
      </c>
      <c r="K847" s="26" t="n">
        <v>10</v>
      </c>
      <c r="L847" s="26" t="n">
        <v>0</v>
      </c>
      <c r="M847" s="26" t="n">
        <v>0</v>
      </c>
      <c r="N847" s="26" t="n">
        <v>0</v>
      </c>
      <c r="O847" s="26" t="n">
        <v>0</v>
      </c>
      <c r="P847" s="26" t="n">
        <v>-6</v>
      </c>
      <c r="Q847" s="26" t="n">
        <v>112</v>
      </c>
      <c r="R847" s="26" t="n">
        <v>148</v>
      </c>
      <c r="S847" s="26" t="n">
        <v>0</v>
      </c>
      <c r="T847" s="26" t="n">
        <v>0</v>
      </c>
      <c r="U847" s="26" t="n">
        <v>0</v>
      </c>
    </row>
    <row r="848" customFormat="false" ht="15" hidden="false" customHeight="true" outlineLevel="0" collapsed="false">
      <c r="A848" s="8" t="s">
        <v>944</v>
      </c>
      <c r="B848" s="8" t="s">
        <v>188</v>
      </c>
      <c r="C848" s="8" t="s">
        <v>658</v>
      </c>
      <c r="D848" s="26" t="n">
        <v>0</v>
      </c>
      <c r="E848" s="26" t="n">
        <v>0</v>
      </c>
      <c r="F848" s="26" t="n">
        <v>45</v>
      </c>
      <c r="G848" s="26" t="n">
        <v>0</v>
      </c>
      <c r="H848" s="26" t="n">
        <v>0</v>
      </c>
      <c r="I848" s="26" t="n">
        <v>199</v>
      </c>
      <c r="J848" s="26" t="n">
        <v>0</v>
      </c>
      <c r="K848" s="26" t="n">
        <v>4</v>
      </c>
      <c r="L848" s="26" t="n">
        <v>0</v>
      </c>
      <c r="M848" s="26" t="n">
        <v>0</v>
      </c>
      <c r="N848" s="26" t="n">
        <v>0</v>
      </c>
      <c r="O848" s="26" t="n">
        <v>0</v>
      </c>
      <c r="P848" s="26" t="n">
        <v>-6</v>
      </c>
      <c r="Q848" s="26" t="n">
        <v>83</v>
      </c>
      <c r="R848" s="26" t="n">
        <v>118</v>
      </c>
      <c r="S848" s="26" t="n">
        <v>1</v>
      </c>
      <c r="T848" s="26" t="n">
        <v>0</v>
      </c>
      <c r="U848" s="26" t="n">
        <v>0</v>
      </c>
    </row>
    <row r="849" customFormat="false" ht="15" hidden="false" customHeight="true" outlineLevel="0" collapsed="false">
      <c r="A849" s="8" t="s">
        <v>944</v>
      </c>
      <c r="B849" s="8" t="s">
        <v>345</v>
      </c>
      <c r="C849" s="8" t="s">
        <v>659</v>
      </c>
      <c r="D849" s="26" t="n">
        <v>0</v>
      </c>
      <c r="E849" s="26" t="n">
        <v>0</v>
      </c>
      <c r="F849" s="26" t="n">
        <v>-1</v>
      </c>
      <c r="G849" s="26" t="n">
        <v>0</v>
      </c>
      <c r="H849" s="26" t="n">
        <v>0</v>
      </c>
      <c r="I849" s="26" t="n">
        <v>0</v>
      </c>
      <c r="J849" s="26" t="n">
        <v>0</v>
      </c>
      <c r="K849" s="26" t="n">
        <v>0</v>
      </c>
      <c r="L849" s="26" t="n">
        <v>0</v>
      </c>
      <c r="M849" s="26" t="n">
        <v>0</v>
      </c>
      <c r="N849" s="26" t="n">
        <v>0</v>
      </c>
      <c r="O849" s="26" t="n">
        <v>0</v>
      </c>
      <c r="P849" s="26" t="n">
        <v>0</v>
      </c>
      <c r="Q849" s="26" t="n">
        <v>0</v>
      </c>
      <c r="R849" s="26" t="n">
        <v>0</v>
      </c>
      <c r="S849" s="26" t="n">
        <v>0</v>
      </c>
      <c r="T849" s="26" t="n">
        <v>0</v>
      </c>
      <c r="U849" s="26" t="n">
        <v>0</v>
      </c>
    </row>
    <row r="850" customFormat="false" ht="15" hidden="false" customHeight="true" outlineLevel="0" collapsed="false">
      <c r="A850" s="8" t="s">
        <v>944</v>
      </c>
      <c r="B850" s="8" t="s">
        <v>345</v>
      </c>
      <c r="C850" s="8" t="s">
        <v>660</v>
      </c>
      <c r="D850" s="26" t="n">
        <v>0</v>
      </c>
      <c r="E850" s="26" t="n">
        <v>0</v>
      </c>
      <c r="F850" s="26" t="n">
        <v>0</v>
      </c>
      <c r="G850" s="26" t="n">
        <v>0</v>
      </c>
      <c r="H850" s="26" t="n">
        <v>0</v>
      </c>
      <c r="I850" s="26" t="n">
        <v>-1</v>
      </c>
      <c r="J850" s="26" t="n">
        <v>0</v>
      </c>
      <c r="K850" s="26" t="n">
        <v>0</v>
      </c>
      <c r="L850" s="26" t="n">
        <v>0</v>
      </c>
      <c r="M850" s="26" t="n">
        <v>0</v>
      </c>
      <c r="N850" s="26" t="n">
        <v>0</v>
      </c>
      <c r="O850" s="26" t="n">
        <v>0</v>
      </c>
      <c r="P850" s="26" t="n">
        <v>0</v>
      </c>
      <c r="Q850" s="26" t="n">
        <v>-1</v>
      </c>
      <c r="R850" s="26" t="n">
        <v>0</v>
      </c>
      <c r="S850" s="26" t="n">
        <v>0</v>
      </c>
      <c r="T850" s="26" t="n">
        <v>0</v>
      </c>
      <c r="U850" s="26" t="n">
        <v>0</v>
      </c>
    </row>
    <row r="851" customFormat="false" ht="15" hidden="false" customHeight="true" outlineLevel="0" collapsed="false">
      <c r="A851" s="8" t="s">
        <v>944</v>
      </c>
      <c r="B851" s="8" t="s">
        <v>222</v>
      </c>
      <c r="C851" s="8" t="s">
        <v>661</v>
      </c>
      <c r="D851" s="26" t="n">
        <v>0</v>
      </c>
      <c r="E851" s="26" t="n">
        <v>0</v>
      </c>
      <c r="F851" s="26" t="n">
        <v>1</v>
      </c>
      <c r="G851" s="26" t="n">
        <v>0</v>
      </c>
      <c r="H851" s="26" t="n">
        <v>0</v>
      </c>
      <c r="I851" s="26" t="n">
        <v>-1</v>
      </c>
      <c r="J851" s="26" t="n">
        <v>0</v>
      </c>
      <c r="K851" s="26" t="n">
        <v>0</v>
      </c>
      <c r="L851" s="26" t="n">
        <v>0</v>
      </c>
      <c r="M851" s="26" t="n">
        <v>0</v>
      </c>
      <c r="N851" s="26" t="n">
        <v>0</v>
      </c>
      <c r="O851" s="26" t="n">
        <v>0</v>
      </c>
      <c r="P851" s="26" t="n">
        <v>-1</v>
      </c>
      <c r="Q851" s="26" t="n">
        <v>-1</v>
      </c>
      <c r="R851" s="26" t="n">
        <v>1</v>
      </c>
      <c r="S851" s="26" t="n">
        <v>0</v>
      </c>
      <c r="T851" s="26" t="n">
        <v>0</v>
      </c>
      <c r="U851" s="26" t="n">
        <v>0</v>
      </c>
    </row>
    <row r="852" customFormat="false" ht="15" hidden="false" customHeight="true" outlineLevel="0" collapsed="false">
      <c r="A852" s="8" t="s">
        <v>944</v>
      </c>
      <c r="B852" s="8" t="s">
        <v>222</v>
      </c>
      <c r="C852" s="8" t="s">
        <v>662</v>
      </c>
      <c r="D852" s="26" t="n">
        <v>0</v>
      </c>
      <c r="E852" s="26" t="n">
        <v>0</v>
      </c>
      <c r="F852" s="26" t="n">
        <v>1</v>
      </c>
      <c r="G852" s="26" t="n">
        <v>0</v>
      </c>
      <c r="H852" s="26" t="n">
        <v>0</v>
      </c>
      <c r="I852" s="26" t="n">
        <v>3</v>
      </c>
      <c r="J852" s="26" t="n">
        <v>0</v>
      </c>
      <c r="K852" s="26" t="n">
        <v>0</v>
      </c>
      <c r="L852" s="26" t="n">
        <v>0</v>
      </c>
      <c r="M852" s="26" t="n">
        <v>0</v>
      </c>
      <c r="N852" s="26" t="n">
        <v>0</v>
      </c>
      <c r="O852" s="26" t="n">
        <v>0</v>
      </c>
      <c r="P852" s="26" t="n">
        <v>-1</v>
      </c>
      <c r="Q852" s="26" t="n">
        <v>0</v>
      </c>
      <c r="R852" s="26" t="n">
        <v>4</v>
      </c>
      <c r="S852" s="26" t="n">
        <v>0</v>
      </c>
      <c r="T852" s="26" t="n">
        <v>0</v>
      </c>
      <c r="U852" s="26" t="n">
        <v>0</v>
      </c>
    </row>
    <row r="853" customFormat="false" ht="15" hidden="false" customHeight="true" outlineLevel="0" collapsed="false">
      <c r="A853" s="8" t="s">
        <v>944</v>
      </c>
      <c r="B853" s="8" t="s">
        <v>222</v>
      </c>
      <c r="C853" s="8" t="s">
        <v>663</v>
      </c>
      <c r="D853" s="26" t="n">
        <v>0</v>
      </c>
      <c r="E853" s="26" t="n">
        <v>0</v>
      </c>
      <c r="F853" s="26" t="n">
        <v>3</v>
      </c>
      <c r="G853" s="26" t="n">
        <v>0</v>
      </c>
      <c r="H853" s="26" t="n">
        <v>0</v>
      </c>
      <c r="I853" s="26" t="n">
        <v>-1</v>
      </c>
      <c r="J853" s="26" t="n">
        <v>0</v>
      </c>
      <c r="K853" s="26" t="n">
        <v>0</v>
      </c>
      <c r="L853" s="26" t="n">
        <v>0</v>
      </c>
      <c r="M853" s="26" t="n">
        <v>0</v>
      </c>
      <c r="N853" s="26" t="n">
        <v>0</v>
      </c>
      <c r="O853" s="26" t="n">
        <v>0</v>
      </c>
      <c r="P853" s="26" t="n">
        <v>-1</v>
      </c>
      <c r="Q853" s="26" t="n">
        <v>0</v>
      </c>
      <c r="R853" s="26" t="n">
        <v>0</v>
      </c>
      <c r="S853" s="26" t="n">
        <v>0</v>
      </c>
      <c r="T853" s="26" t="n">
        <v>0</v>
      </c>
      <c r="U853" s="26" t="n">
        <v>0</v>
      </c>
    </row>
    <row r="854" customFormat="false" ht="15" hidden="false" customHeight="true" outlineLevel="0" collapsed="false">
      <c r="A854" s="8" t="s">
        <v>944</v>
      </c>
      <c r="B854" s="8" t="s">
        <v>222</v>
      </c>
      <c r="C854" s="8" t="s">
        <v>664</v>
      </c>
      <c r="D854" s="26" t="n">
        <v>0</v>
      </c>
      <c r="E854" s="26" t="n">
        <v>0</v>
      </c>
      <c r="F854" s="26" t="n">
        <v>4</v>
      </c>
      <c r="G854" s="26" t="n">
        <v>0</v>
      </c>
      <c r="H854" s="26" t="n">
        <v>0</v>
      </c>
      <c r="I854" s="26" t="n">
        <v>0</v>
      </c>
      <c r="J854" s="26" t="n">
        <v>0</v>
      </c>
      <c r="K854" s="26" t="n">
        <v>0</v>
      </c>
      <c r="L854" s="26" t="n">
        <v>0</v>
      </c>
      <c r="M854" s="26" t="n">
        <v>0</v>
      </c>
      <c r="N854" s="26" t="n">
        <v>0</v>
      </c>
      <c r="O854" s="26" t="n">
        <v>0</v>
      </c>
      <c r="P854" s="26" t="n">
        <v>-1</v>
      </c>
      <c r="Q854" s="26" t="n">
        <v>0</v>
      </c>
      <c r="R854" s="26" t="n">
        <v>1</v>
      </c>
      <c r="S854" s="26" t="n">
        <v>0</v>
      </c>
      <c r="T854" s="26" t="n">
        <v>0</v>
      </c>
      <c r="U854" s="26" t="n">
        <v>0</v>
      </c>
    </row>
    <row r="855" customFormat="false" ht="15" hidden="false" customHeight="true" outlineLevel="0" collapsed="false">
      <c r="A855" s="8" t="s">
        <v>944</v>
      </c>
      <c r="B855" s="8" t="s">
        <v>222</v>
      </c>
      <c r="C855" s="8" t="s">
        <v>665</v>
      </c>
      <c r="D855" s="26" t="n">
        <v>0</v>
      </c>
      <c r="E855" s="26" t="n">
        <v>0</v>
      </c>
      <c r="F855" s="26" t="n">
        <v>0</v>
      </c>
      <c r="G855" s="26" t="n">
        <v>0</v>
      </c>
      <c r="H855" s="26" t="n">
        <v>1</v>
      </c>
      <c r="I855" s="26" t="n">
        <v>0</v>
      </c>
      <c r="J855" s="26" t="n">
        <v>0</v>
      </c>
      <c r="K855" s="26" t="n">
        <v>0</v>
      </c>
      <c r="L855" s="26" t="n">
        <v>0</v>
      </c>
      <c r="M855" s="26" t="n">
        <v>0</v>
      </c>
      <c r="N855" s="26" t="n">
        <v>0</v>
      </c>
      <c r="O855" s="26" t="n">
        <v>0</v>
      </c>
      <c r="P855" s="26" t="n">
        <v>0</v>
      </c>
      <c r="Q855" s="26" t="n">
        <v>0</v>
      </c>
      <c r="R855" s="26" t="n">
        <v>0</v>
      </c>
      <c r="S855" s="26" t="n">
        <v>0</v>
      </c>
      <c r="T855" s="26" t="n">
        <v>0</v>
      </c>
      <c r="U855" s="26" t="n">
        <v>0</v>
      </c>
    </row>
    <row r="856" customFormat="false" ht="15" hidden="false" customHeight="true" outlineLevel="0" collapsed="false">
      <c r="A856" s="8" t="s">
        <v>944</v>
      </c>
      <c r="B856" s="8" t="s">
        <v>277</v>
      </c>
      <c r="C856" s="8" t="s">
        <v>666</v>
      </c>
      <c r="D856" s="26" t="n">
        <v>0</v>
      </c>
      <c r="E856" s="26" t="n">
        <v>0</v>
      </c>
      <c r="F856" s="26" t="n">
        <v>1</v>
      </c>
      <c r="G856" s="26" t="n">
        <v>0</v>
      </c>
      <c r="H856" s="26" t="n">
        <v>0</v>
      </c>
      <c r="I856" s="26" t="n">
        <v>0</v>
      </c>
      <c r="J856" s="26" t="n">
        <v>0</v>
      </c>
      <c r="K856" s="26" t="n">
        <v>0</v>
      </c>
      <c r="L856" s="26" t="n">
        <v>0</v>
      </c>
      <c r="M856" s="26" t="n">
        <v>0</v>
      </c>
      <c r="N856" s="26" t="n">
        <v>0</v>
      </c>
      <c r="O856" s="26" t="n">
        <v>0</v>
      </c>
      <c r="P856" s="26" t="n">
        <v>0</v>
      </c>
      <c r="Q856" s="26" t="n">
        <v>0</v>
      </c>
      <c r="R856" s="26" t="n">
        <v>0</v>
      </c>
      <c r="S856" s="26" t="n">
        <v>0</v>
      </c>
      <c r="T856" s="26" t="n">
        <v>0</v>
      </c>
      <c r="U856" s="26" t="n">
        <v>0</v>
      </c>
    </row>
    <row r="857" customFormat="false" ht="15" hidden="false" customHeight="true" outlineLevel="0" collapsed="false">
      <c r="A857" s="8" t="s">
        <v>944</v>
      </c>
      <c r="B857" s="8" t="s">
        <v>277</v>
      </c>
      <c r="C857" s="8" t="s">
        <v>667</v>
      </c>
      <c r="D857" s="26" t="n">
        <v>0</v>
      </c>
      <c r="E857" s="26" t="n">
        <v>0</v>
      </c>
      <c r="F857" s="26" t="n">
        <v>2</v>
      </c>
      <c r="G857" s="26" t="n">
        <v>0</v>
      </c>
      <c r="H857" s="26" t="n">
        <v>0</v>
      </c>
      <c r="I857" s="26" t="n">
        <v>1</v>
      </c>
      <c r="J857" s="26" t="n">
        <v>0</v>
      </c>
      <c r="K857" s="26" t="n">
        <v>0</v>
      </c>
      <c r="L857" s="26" t="n">
        <v>0</v>
      </c>
      <c r="M857" s="26" t="n">
        <v>0</v>
      </c>
      <c r="N857" s="26" t="n">
        <v>0</v>
      </c>
      <c r="O857" s="26" t="n">
        <v>0</v>
      </c>
      <c r="P857" s="26" t="n">
        <v>0</v>
      </c>
      <c r="Q857" s="26" t="n">
        <v>1</v>
      </c>
      <c r="R857" s="26" t="n">
        <v>0</v>
      </c>
      <c r="S857" s="26" t="n">
        <v>0</v>
      </c>
      <c r="T857" s="26" t="n">
        <v>0</v>
      </c>
      <c r="U857" s="26" t="n">
        <v>0</v>
      </c>
    </row>
    <row r="858" customFormat="false" ht="15" hidden="false" customHeight="true" outlineLevel="0" collapsed="false">
      <c r="A858" s="8" t="s">
        <v>944</v>
      </c>
      <c r="B858" s="8" t="s">
        <v>277</v>
      </c>
      <c r="C858" s="8" t="s">
        <v>668</v>
      </c>
      <c r="D858" s="26" t="n">
        <v>0</v>
      </c>
      <c r="E858" s="26" t="n">
        <v>0</v>
      </c>
      <c r="F858" s="26" t="n">
        <v>3</v>
      </c>
      <c r="G858" s="26" t="n">
        <v>0</v>
      </c>
      <c r="H858" s="26" t="n">
        <v>0</v>
      </c>
      <c r="I858" s="26" t="n">
        <v>1</v>
      </c>
      <c r="J858" s="26" t="n">
        <v>0</v>
      </c>
      <c r="K858" s="26" t="n">
        <v>0</v>
      </c>
      <c r="L858" s="26" t="n">
        <v>0</v>
      </c>
      <c r="M858" s="26" t="n">
        <v>0</v>
      </c>
      <c r="N858" s="26" t="n">
        <v>0</v>
      </c>
      <c r="O858" s="26" t="n">
        <v>0</v>
      </c>
      <c r="P858" s="26" t="n">
        <v>0</v>
      </c>
      <c r="Q858" s="26" t="n">
        <v>1</v>
      </c>
      <c r="R858" s="26" t="n">
        <v>0</v>
      </c>
      <c r="S858" s="26" t="n">
        <v>0</v>
      </c>
      <c r="T858" s="26" t="n">
        <v>0</v>
      </c>
      <c r="U858" s="26" t="n">
        <v>0</v>
      </c>
    </row>
    <row r="859" customFormat="false" ht="15" hidden="false" customHeight="true" outlineLevel="0" collapsed="false">
      <c r="A859" s="8" t="s">
        <v>944</v>
      </c>
      <c r="B859" s="8" t="s">
        <v>277</v>
      </c>
      <c r="C859" s="8" t="s">
        <v>669</v>
      </c>
      <c r="D859" s="26" t="n">
        <v>0</v>
      </c>
      <c r="E859" s="26" t="n">
        <v>0</v>
      </c>
      <c r="F859" s="26" t="n">
        <v>1</v>
      </c>
      <c r="G859" s="26" t="n">
        <v>0</v>
      </c>
      <c r="H859" s="26" t="n">
        <v>0</v>
      </c>
      <c r="I859" s="26" t="n">
        <v>1</v>
      </c>
      <c r="J859" s="26" t="n">
        <v>0</v>
      </c>
      <c r="K859" s="26" t="n">
        <v>0</v>
      </c>
      <c r="L859" s="26" t="n">
        <v>0</v>
      </c>
      <c r="M859" s="26" t="n">
        <v>0</v>
      </c>
      <c r="N859" s="26" t="n">
        <v>0</v>
      </c>
      <c r="O859" s="26" t="n">
        <v>0</v>
      </c>
      <c r="P859" s="26" t="n">
        <v>0</v>
      </c>
      <c r="Q859" s="26" t="n">
        <v>1</v>
      </c>
      <c r="R859" s="26" t="n">
        <v>0</v>
      </c>
      <c r="S859" s="26" t="n">
        <v>0</v>
      </c>
      <c r="T859" s="26" t="n">
        <v>0</v>
      </c>
      <c r="U859" s="26" t="n">
        <v>0</v>
      </c>
    </row>
    <row r="860" customFormat="false" ht="15" hidden="false" customHeight="true" outlineLevel="0" collapsed="false">
      <c r="A860" s="8" t="s">
        <v>944</v>
      </c>
      <c r="B860" s="8" t="s">
        <v>224</v>
      </c>
      <c r="C860" s="8" t="s">
        <v>670</v>
      </c>
      <c r="D860" s="26" t="n">
        <v>0</v>
      </c>
      <c r="E860" s="26" t="n">
        <v>0</v>
      </c>
      <c r="F860" s="26" t="n">
        <v>1</v>
      </c>
      <c r="G860" s="26" t="n">
        <v>0</v>
      </c>
      <c r="H860" s="26" t="n">
        <v>0</v>
      </c>
      <c r="I860" s="26" t="n">
        <v>-2</v>
      </c>
      <c r="J860" s="26" t="n">
        <v>0</v>
      </c>
      <c r="K860" s="26" t="n">
        <v>0</v>
      </c>
      <c r="L860" s="26" t="n">
        <v>0</v>
      </c>
      <c r="M860" s="26" t="n">
        <v>0</v>
      </c>
      <c r="N860" s="26" t="n">
        <v>0</v>
      </c>
      <c r="O860" s="26" t="n">
        <v>0</v>
      </c>
      <c r="P860" s="26" t="n">
        <v>-2</v>
      </c>
      <c r="Q860" s="26" t="n">
        <v>0</v>
      </c>
      <c r="R860" s="26" t="n">
        <v>0</v>
      </c>
      <c r="S860" s="26" t="n">
        <v>0</v>
      </c>
      <c r="T860" s="26" t="n">
        <v>0</v>
      </c>
      <c r="U860" s="26" t="n">
        <v>0</v>
      </c>
    </row>
    <row r="861" customFormat="false" ht="15" hidden="false" customHeight="true" outlineLevel="0" collapsed="false">
      <c r="A861" s="8" t="s">
        <v>944</v>
      </c>
      <c r="B861" s="8" t="s">
        <v>224</v>
      </c>
      <c r="C861" s="8" t="s">
        <v>671</v>
      </c>
      <c r="D861" s="26" t="n">
        <v>0</v>
      </c>
      <c r="E861" s="26" t="n">
        <v>0</v>
      </c>
      <c r="F861" s="26" t="n">
        <v>4</v>
      </c>
      <c r="G861" s="26" t="n">
        <v>0</v>
      </c>
      <c r="H861" s="26" t="n">
        <v>0</v>
      </c>
      <c r="I861" s="26" t="n">
        <v>-4</v>
      </c>
      <c r="J861" s="26" t="n">
        <v>0</v>
      </c>
      <c r="K861" s="26" t="n">
        <v>0</v>
      </c>
      <c r="L861" s="26" t="n">
        <v>0</v>
      </c>
      <c r="M861" s="26" t="n">
        <v>0</v>
      </c>
      <c r="N861" s="26" t="n">
        <v>0</v>
      </c>
      <c r="O861" s="26" t="n">
        <v>0</v>
      </c>
      <c r="P861" s="26" t="n">
        <v>0</v>
      </c>
      <c r="Q861" s="26" t="n">
        <v>-4</v>
      </c>
      <c r="R861" s="26" t="n">
        <v>0</v>
      </c>
      <c r="S861" s="26" t="n">
        <v>0</v>
      </c>
      <c r="T861" s="26" t="n">
        <v>0</v>
      </c>
      <c r="U861" s="26" t="n">
        <v>0</v>
      </c>
    </row>
    <row r="862" customFormat="false" ht="15" hidden="false" customHeight="true" outlineLevel="0" collapsed="false">
      <c r="A862" s="8" t="s">
        <v>944</v>
      </c>
      <c r="B862" s="8" t="s">
        <v>224</v>
      </c>
      <c r="C862" s="8" t="s">
        <v>672</v>
      </c>
      <c r="D862" s="26" t="n">
        <v>0</v>
      </c>
      <c r="E862" s="26" t="n">
        <v>0</v>
      </c>
      <c r="F862" s="26" t="n">
        <v>0</v>
      </c>
      <c r="G862" s="26" t="n">
        <v>0</v>
      </c>
      <c r="H862" s="26" t="n">
        <v>0</v>
      </c>
      <c r="I862" s="26" t="n">
        <v>2</v>
      </c>
      <c r="J862" s="26" t="n">
        <v>0</v>
      </c>
      <c r="K862" s="26" t="n">
        <v>0</v>
      </c>
      <c r="L862" s="26" t="n">
        <v>0</v>
      </c>
      <c r="M862" s="26" t="n">
        <v>0</v>
      </c>
      <c r="N862" s="26" t="n">
        <v>0</v>
      </c>
      <c r="O862" s="26" t="n">
        <v>0</v>
      </c>
      <c r="P862" s="26" t="n">
        <v>-1</v>
      </c>
      <c r="Q862" s="26" t="n">
        <v>0</v>
      </c>
      <c r="R862" s="26" t="n">
        <v>3</v>
      </c>
      <c r="S862" s="26" t="n">
        <v>0</v>
      </c>
      <c r="T862" s="26" t="n">
        <v>0</v>
      </c>
      <c r="U862" s="26" t="n">
        <v>0</v>
      </c>
    </row>
    <row r="863" customFormat="false" ht="15" hidden="false" customHeight="true" outlineLevel="0" collapsed="false">
      <c r="A863" s="8" t="s">
        <v>944</v>
      </c>
      <c r="B863" s="8" t="s">
        <v>224</v>
      </c>
      <c r="C863" s="8" t="s">
        <v>673</v>
      </c>
      <c r="D863" s="26" t="n">
        <v>0</v>
      </c>
      <c r="E863" s="26" t="n">
        <v>0</v>
      </c>
      <c r="F863" s="26" t="n">
        <v>3</v>
      </c>
      <c r="G863" s="26" t="n">
        <v>0</v>
      </c>
      <c r="H863" s="26" t="n">
        <v>0</v>
      </c>
      <c r="I863" s="26" t="n">
        <v>-1</v>
      </c>
      <c r="J863" s="26" t="n">
        <v>0</v>
      </c>
      <c r="K863" s="26" t="n">
        <v>0</v>
      </c>
      <c r="L863" s="26" t="n">
        <v>0</v>
      </c>
      <c r="M863" s="26" t="n">
        <v>0</v>
      </c>
      <c r="N863" s="26" t="n">
        <v>0</v>
      </c>
      <c r="O863" s="26" t="n">
        <v>0</v>
      </c>
      <c r="P863" s="26" t="n">
        <v>0</v>
      </c>
      <c r="Q863" s="26" t="n">
        <v>-1</v>
      </c>
      <c r="R863" s="26" t="n">
        <v>0</v>
      </c>
      <c r="S863" s="26" t="n">
        <v>0</v>
      </c>
      <c r="T863" s="26" t="n">
        <v>0</v>
      </c>
      <c r="U863" s="26" t="n">
        <v>0</v>
      </c>
    </row>
    <row r="864" customFormat="false" ht="15" hidden="false" customHeight="true" outlineLevel="0" collapsed="false">
      <c r="A864" s="8" t="s">
        <v>944</v>
      </c>
      <c r="B864" s="8" t="s">
        <v>272</v>
      </c>
      <c r="C864" s="8" t="s">
        <v>674</v>
      </c>
      <c r="D864" s="26" t="n">
        <v>0</v>
      </c>
      <c r="E864" s="26" t="n">
        <v>0</v>
      </c>
      <c r="F864" s="26" t="n">
        <v>0</v>
      </c>
      <c r="G864" s="26" t="n">
        <v>0</v>
      </c>
      <c r="H864" s="26" t="n">
        <v>0</v>
      </c>
      <c r="I864" s="26" t="n">
        <v>-2</v>
      </c>
      <c r="J864" s="26" t="n">
        <v>0</v>
      </c>
      <c r="K864" s="26" t="n">
        <v>0</v>
      </c>
      <c r="L864" s="26" t="n">
        <v>0</v>
      </c>
      <c r="M864" s="26" t="n">
        <v>0</v>
      </c>
      <c r="N864" s="26" t="n">
        <v>0</v>
      </c>
      <c r="O864" s="26" t="n">
        <v>0</v>
      </c>
      <c r="P864" s="26" t="n">
        <v>0</v>
      </c>
      <c r="Q864" s="26" t="n">
        <v>-2</v>
      </c>
      <c r="R864" s="26" t="n">
        <v>0</v>
      </c>
      <c r="S864" s="26" t="n">
        <v>0</v>
      </c>
      <c r="T864" s="26" t="n">
        <v>0</v>
      </c>
      <c r="U864" s="26" t="n">
        <v>0</v>
      </c>
    </row>
    <row r="865" customFormat="false" ht="15" hidden="false" customHeight="true" outlineLevel="0" collapsed="false">
      <c r="A865" s="8" t="s">
        <v>944</v>
      </c>
      <c r="B865" s="8" t="s">
        <v>251</v>
      </c>
      <c r="C865" s="8" t="s">
        <v>675</v>
      </c>
      <c r="D865" s="26" t="n">
        <v>0</v>
      </c>
      <c r="E865" s="26" t="n">
        <v>0</v>
      </c>
      <c r="F865" s="26" t="n">
        <v>1</v>
      </c>
      <c r="G865" s="26" t="n">
        <v>0</v>
      </c>
      <c r="H865" s="26" t="n">
        <v>0</v>
      </c>
      <c r="I865" s="26" t="n">
        <v>87</v>
      </c>
      <c r="J865" s="26" t="n">
        <v>0</v>
      </c>
      <c r="K865" s="26" t="n">
        <v>1</v>
      </c>
      <c r="L865" s="26" t="n">
        <v>0</v>
      </c>
      <c r="M865" s="26" t="n">
        <v>0</v>
      </c>
      <c r="N865" s="26" t="n">
        <v>0</v>
      </c>
      <c r="O865" s="26" t="n">
        <v>0</v>
      </c>
      <c r="P865" s="26" t="n">
        <v>-1</v>
      </c>
      <c r="Q865" s="26" t="n">
        <v>78</v>
      </c>
      <c r="R865" s="26" t="n">
        <v>9</v>
      </c>
      <c r="S865" s="26" t="n">
        <v>0</v>
      </c>
      <c r="T865" s="26" t="n">
        <v>0</v>
      </c>
      <c r="U865" s="26" t="n">
        <v>0</v>
      </c>
    </row>
    <row r="866" customFormat="false" ht="15" hidden="false" customHeight="true" outlineLevel="0" collapsed="false">
      <c r="A866" s="8" t="s">
        <v>944</v>
      </c>
      <c r="B866" s="8" t="s">
        <v>251</v>
      </c>
      <c r="C866" s="8" t="s">
        <v>676</v>
      </c>
      <c r="D866" s="26" t="n">
        <v>0</v>
      </c>
      <c r="E866" s="26" t="n">
        <v>0</v>
      </c>
      <c r="F866" s="26" t="n">
        <v>4</v>
      </c>
      <c r="G866" s="26" t="n">
        <v>0</v>
      </c>
      <c r="H866" s="26" t="n">
        <v>0</v>
      </c>
      <c r="I866" s="26" t="n">
        <v>101</v>
      </c>
      <c r="J866" s="26" t="n">
        <v>0</v>
      </c>
      <c r="K866" s="26" t="n">
        <v>2</v>
      </c>
      <c r="L866" s="26" t="n">
        <v>0</v>
      </c>
      <c r="M866" s="26" t="n">
        <v>0</v>
      </c>
      <c r="N866" s="26" t="n">
        <v>0</v>
      </c>
      <c r="O866" s="26" t="n">
        <v>0</v>
      </c>
      <c r="P866" s="26" t="n">
        <v>0</v>
      </c>
      <c r="Q866" s="26" t="n">
        <v>87</v>
      </c>
      <c r="R866" s="26" t="n">
        <v>12</v>
      </c>
      <c r="S866" s="26" t="n">
        <v>0</v>
      </c>
      <c r="T866" s="26" t="n">
        <v>0</v>
      </c>
      <c r="U866" s="26" t="n">
        <v>0</v>
      </c>
    </row>
    <row r="867" customFormat="false" ht="15" hidden="false" customHeight="true" outlineLevel="0" collapsed="false">
      <c r="A867" s="8" t="s">
        <v>944</v>
      </c>
      <c r="B867" s="8" t="s">
        <v>251</v>
      </c>
      <c r="C867" s="8" t="s">
        <v>677</v>
      </c>
      <c r="D867" s="26" t="n">
        <v>0</v>
      </c>
      <c r="E867" s="26" t="n">
        <v>0</v>
      </c>
      <c r="F867" s="26" t="n">
        <v>5</v>
      </c>
      <c r="G867" s="26" t="n">
        <v>0</v>
      </c>
      <c r="H867" s="26" t="n">
        <v>0</v>
      </c>
      <c r="I867" s="26" t="n">
        <v>114</v>
      </c>
      <c r="J867" s="26" t="n">
        <v>0</v>
      </c>
      <c r="K867" s="26" t="n">
        <v>1</v>
      </c>
      <c r="L867" s="26" t="n">
        <v>0</v>
      </c>
      <c r="M867" s="26" t="n">
        <v>0</v>
      </c>
      <c r="N867" s="26" t="n">
        <v>0</v>
      </c>
      <c r="O867" s="26" t="n">
        <v>0</v>
      </c>
      <c r="P867" s="26" t="n">
        <v>0</v>
      </c>
      <c r="Q867" s="26" t="n">
        <v>95</v>
      </c>
      <c r="R867" s="26" t="n">
        <v>18</v>
      </c>
      <c r="S867" s="26" t="n">
        <v>0</v>
      </c>
      <c r="T867" s="26" t="n">
        <v>0</v>
      </c>
      <c r="U867" s="26" t="n">
        <v>0</v>
      </c>
    </row>
    <row r="868" customFormat="false" ht="15" hidden="false" customHeight="true" outlineLevel="0" collapsed="false">
      <c r="A868" s="8" t="s">
        <v>944</v>
      </c>
      <c r="B868" s="8" t="s">
        <v>270</v>
      </c>
      <c r="C868" s="8" t="s">
        <v>678</v>
      </c>
      <c r="D868" s="26" t="n">
        <v>0</v>
      </c>
      <c r="E868" s="26" t="n">
        <v>0</v>
      </c>
      <c r="F868" s="26" t="n">
        <v>5</v>
      </c>
      <c r="G868" s="26" t="n">
        <v>0</v>
      </c>
      <c r="H868" s="26" t="n">
        <v>0</v>
      </c>
      <c r="I868" s="26" t="n">
        <v>23</v>
      </c>
      <c r="J868" s="26" t="n">
        <v>0</v>
      </c>
      <c r="K868" s="26" t="n">
        <v>0</v>
      </c>
      <c r="L868" s="26" t="n">
        <v>0</v>
      </c>
      <c r="M868" s="26" t="n">
        <v>0</v>
      </c>
      <c r="N868" s="26" t="n">
        <v>0</v>
      </c>
      <c r="O868" s="26" t="n">
        <v>0</v>
      </c>
      <c r="P868" s="26" t="n">
        <v>0</v>
      </c>
      <c r="Q868" s="26" t="n">
        <v>21</v>
      </c>
      <c r="R868" s="26" t="n">
        <v>2</v>
      </c>
      <c r="S868" s="26" t="n">
        <v>0</v>
      </c>
      <c r="T868" s="26" t="n">
        <v>0</v>
      </c>
      <c r="U868" s="26" t="n">
        <v>0</v>
      </c>
    </row>
    <row r="869" customFormat="false" ht="15" hidden="false" customHeight="true" outlineLevel="0" collapsed="false">
      <c r="A869" s="8" t="s">
        <v>944</v>
      </c>
      <c r="B869" s="8" t="s">
        <v>270</v>
      </c>
      <c r="C869" s="8" t="s">
        <v>679</v>
      </c>
      <c r="D869" s="26" t="n">
        <v>0</v>
      </c>
      <c r="E869" s="26" t="n">
        <v>0</v>
      </c>
      <c r="F869" s="26" t="n">
        <v>14</v>
      </c>
      <c r="G869" s="26" t="n">
        <v>0</v>
      </c>
      <c r="H869" s="26" t="n">
        <v>0</v>
      </c>
      <c r="I869" s="26" t="n">
        <v>136</v>
      </c>
      <c r="J869" s="26" t="n">
        <v>0</v>
      </c>
      <c r="K869" s="26" t="n">
        <v>0</v>
      </c>
      <c r="L869" s="26" t="n">
        <v>0</v>
      </c>
      <c r="M869" s="26" t="n">
        <v>0</v>
      </c>
      <c r="N869" s="26" t="n">
        <v>0</v>
      </c>
      <c r="O869" s="26" t="n">
        <v>0</v>
      </c>
      <c r="P869" s="26" t="n">
        <v>-1</v>
      </c>
      <c r="Q869" s="26" t="n">
        <v>130</v>
      </c>
      <c r="R869" s="26" t="n">
        <v>7</v>
      </c>
      <c r="S869" s="26" t="n">
        <v>0</v>
      </c>
      <c r="T869" s="26" t="n">
        <v>0</v>
      </c>
      <c r="U869" s="26" t="n">
        <v>0</v>
      </c>
    </row>
    <row r="870" customFormat="false" ht="15" hidden="false" customHeight="true" outlineLevel="0" collapsed="false">
      <c r="A870" s="8" t="s">
        <v>944</v>
      </c>
      <c r="B870" s="8" t="s">
        <v>270</v>
      </c>
      <c r="C870" s="8" t="s">
        <v>680</v>
      </c>
      <c r="D870" s="26" t="n">
        <v>0</v>
      </c>
      <c r="E870" s="26" t="n">
        <v>0</v>
      </c>
      <c r="F870" s="26" t="n">
        <v>27</v>
      </c>
      <c r="G870" s="26" t="n">
        <v>0</v>
      </c>
      <c r="H870" s="26" t="n">
        <v>0</v>
      </c>
      <c r="I870" s="26" t="n">
        <v>226</v>
      </c>
      <c r="J870" s="26" t="n">
        <v>0</v>
      </c>
      <c r="K870" s="26" t="n">
        <v>0</v>
      </c>
      <c r="L870" s="26" t="n">
        <v>0</v>
      </c>
      <c r="M870" s="26" t="n">
        <v>0</v>
      </c>
      <c r="N870" s="26" t="n">
        <v>0</v>
      </c>
      <c r="O870" s="26" t="n">
        <v>0</v>
      </c>
      <c r="P870" s="26" t="n">
        <v>-1</v>
      </c>
      <c r="Q870" s="26" t="n">
        <v>213</v>
      </c>
      <c r="R870" s="26" t="n">
        <v>14</v>
      </c>
      <c r="S870" s="26" t="n">
        <v>0</v>
      </c>
      <c r="T870" s="26" t="n">
        <v>0</v>
      </c>
      <c r="U870" s="26" t="n">
        <v>0</v>
      </c>
    </row>
    <row r="871" customFormat="false" ht="15" hidden="false" customHeight="true" outlineLevel="0" collapsed="false">
      <c r="A871" s="8" t="s">
        <v>944</v>
      </c>
      <c r="B871" s="8" t="s">
        <v>270</v>
      </c>
      <c r="C871" s="8" t="s">
        <v>681</v>
      </c>
      <c r="D871" s="26" t="n">
        <v>0</v>
      </c>
      <c r="E871" s="26" t="n">
        <v>0</v>
      </c>
      <c r="F871" s="26" t="n">
        <v>18</v>
      </c>
      <c r="G871" s="26" t="n">
        <v>0</v>
      </c>
      <c r="H871" s="26" t="n">
        <v>0</v>
      </c>
      <c r="I871" s="26" t="n">
        <v>136</v>
      </c>
      <c r="J871" s="26" t="n">
        <v>0</v>
      </c>
      <c r="K871" s="26" t="n">
        <v>0</v>
      </c>
      <c r="L871" s="26" t="n">
        <v>0</v>
      </c>
      <c r="M871" s="26" t="n">
        <v>0</v>
      </c>
      <c r="N871" s="26" t="n">
        <v>0</v>
      </c>
      <c r="O871" s="26" t="n">
        <v>0</v>
      </c>
      <c r="P871" s="26" t="n">
        <v>0</v>
      </c>
      <c r="Q871" s="26" t="n">
        <v>128</v>
      </c>
      <c r="R871" s="26" t="n">
        <v>8</v>
      </c>
      <c r="S871" s="26" t="n">
        <v>0</v>
      </c>
      <c r="T871" s="26" t="n">
        <v>0</v>
      </c>
      <c r="U871" s="26" t="n">
        <v>0</v>
      </c>
    </row>
    <row r="872" customFormat="false" ht="15" hidden="false" customHeight="true" outlineLevel="0" collapsed="false">
      <c r="A872" s="8" t="s">
        <v>944</v>
      </c>
      <c r="B872" s="8" t="s">
        <v>270</v>
      </c>
      <c r="C872" s="8" t="s">
        <v>682</v>
      </c>
      <c r="D872" s="26" t="n">
        <v>0</v>
      </c>
      <c r="E872" s="26" t="n">
        <v>0</v>
      </c>
      <c r="F872" s="26" t="n">
        <v>2</v>
      </c>
      <c r="G872" s="26" t="n">
        <v>0</v>
      </c>
      <c r="H872" s="26" t="n">
        <v>0</v>
      </c>
      <c r="I872" s="26" t="n">
        <v>53</v>
      </c>
      <c r="J872" s="26" t="n">
        <v>0</v>
      </c>
      <c r="K872" s="26" t="n">
        <v>0</v>
      </c>
      <c r="L872" s="26" t="n">
        <v>0</v>
      </c>
      <c r="M872" s="26" t="n">
        <v>0</v>
      </c>
      <c r="N872" s="26" t="n">
        <v>0</v>
      </c>
      <c r="O872" s="26" t="n">
        <v>0</v>
      </c>
      <c r="P872" s="26" t="n">
        <v>0</v>
      </c>
      <c r="Q872" s="26" t="n">
        <v>49</v>
      </c>
      <c r="R872" s="26" t="n">
        <v>4</v>
      </c>
      <c r="S872" s="26" t="n">
        <v>0</v>
      </c>
      <c r="T872" s="26" t="n">
        <v>0</v>
      </c>
      <c r="U872" s="26" t="n">
        <v>0</v>
      </c>
    </row>
    <row r="873" customFormat="false" ht="15" hidden="false" customHeight="true" outlineLevel="0" collapsed="false">
      <c r="A873" s="8" t="s">
        <v>944</v>
      </c>
      <c r="B873" s="8" t="s">
        <v>332</v>
      </c>
      <c r="C873" s="8" t="s">
        <v>683</v>
      </c>
      <c r="D873" s="26" t="n">
        <v>0</v>
      </c>
      <c r="E873" s="26" t="n">
        <v>0</v>
      </c>
      <c r="F873" s="26" t="n">
        <v>0</v>
      </c>
      <c r="G873" s="26" t="n">
        <v>0</v>
      </c>
      <c r="H873" s="26" t="n">
        <v>0</v>
      </c>
      <c r="I873" s="26" t="n">
        <v>-1</v>
      </c>
      <c r="J873" s="26" t="n">
        <v>0</v>
      </c>
      <c r="K873" s="26" t="n">
        <v>0</v>
      </c>
      <c r="L873" s="26" t="n">
        <v>0</v>
      </c>
      <c r="M873" s="26" t="n">
        <v>0</v>
      </c>
      <c r="N873" s="26" t="n">
        <v>0</v>
      </c>
      <c r="O873" s="26" t="n">
        <v>0</v>
      </c>
      <c r="P873" s="26" t="n">
        <v>-1</v>
      </c>
      <c r="Q873" s="26" t="n">
        <v>0</v>
      </c>
      <c r="R873" s="26" t="n">
        <v>0</v>
      </c>
      <c r="S873" s="26" t="n">
        <v>0</v>
      </c>
      <c r="T873" s="26" t="n">
        <v>0</v>
      </c>
      <c r="U873" s="26" t="n">
        <v>0</v>
      </c>
    </row>
    <row r="874" customFormat="false" ht="15" hidden="false" customHeight="true" outlineLevel="0" collapsed="false">
      <c r="A874" s="8" t="s">
        <v>944</v>
      </c>
      <c r="B874" s="8" t="s">
        <v>332</v>
      </c>
      <c r="C874" s="8" t="s">
        <v>684</v>
      </c>
      <c r="D874" s="26" t="n">
        <v>0</v>
      </c>
      <c r="E874" s="26" t="n">
        <v>0</v>
      </c>
      <c r="F874" s="26" t="n">
        <v>0</v>
      </c>
      <c r="G874" s="26" t="n">
        <v>0</v>
      </c>
      <c r="H874" s="26" t="n">
        <v>0</v>
      </c>
      <c r="I874" s="26" t="n">
        <v>-3</v>
      </c>
      <c r="J874" s="26" t="n">
        <v>0</v>
      </c>
      <c r="K874" s="26" t="n">
        <v>0</v>
      </c>
      <c r="L874" s="26" t="n">
        <v>0</v>
      </c>
      <c r="M874" s="26" t="n">
        <v>0</v>
      </c>
      <c r="N874" s="26" t="n">
        <v>0</v>
      </c>
      <c r="O874" s="26" t="n">
        <v>0</v>
      </c>
      <c r="P874" s="26" t="n">
        <v>-3</v>
      </c>
      <c r="Q874" s="26" t="n">
        <v>0</v>
      </c>
      <c r="R874" s="26" t="n">
        <v>0</v>
      </c>
      <c r="S874" s="26" t="n">
        <v>0</v>
      </c>
      <c r="T874" s="26" t="n">
        <v>0</v>
      </c>
      <c r="U874" s="26" t="n">
        <v>0</v>
      </c>
    </row>
    <row r="875" customFormat="false" ht="15" hidden="false" customHeight="true" outlineLevel="0" collapsed="false">
      <c r="A875" s="8" t="s">
        <v>944</v>
      </c>
      <c r="B875" s="8" t="s">
        <v>364</v>
      </c>
      <c r="C875" s="8" t="s">
        <v>685</v>
      </c>
      <c r="D875" s="26" t="n">
        <v>0</v>
      </c>
      <c r="E875" s="26" t="n">
        <v>0</v>
      </c>
      <c r="F875" s="26" t="n">
        <v>0</v>
      </c>
      <c r="G875" s="26" t="n">
        <v>0</v>
      </c>
      <c r="H875" s="26" t="n">
        <v>0</v>
      </c>
      <c r="I875" s="26" t="n">
        <v>-1</v>
      </c>
      <c r="J875" s="26" t="n">
        <v>0</v>
      </c>
      <c r="K875" s="26" t="n">
        <v>1</v>
      </c>
      <c r="L875" s="26" t="n">
        <v>0</v>
      </c>
      <c r="M875" s="26" t="n">
        <v>0</v>
      </c>
      <c r="N875" s="26" t="n">
        <v>0</v>
      </c>
      <c r="O875" s="26" t="n">
        <v>0</v>
      </c>
      <c r="P875" s="26" t="n">
        <v>-2</v>
      </c>
      <c r="Q875" s="26" t="n">
        <v>0</v>
      </c>
      <c r="R875" s="26" t="n">
        <v>0</v>
      </c>
      <c r="S875" s="26" t="n">
        <v>0</v>
      </c>
      <c r="T875" s="26" t="n">
        <v>0</v>
      </c>
      <c r="U875" s="26" t="n">
        <v>0</v>
      </c>
    </row>
    <row r="876" customFormat="false" ht="15" hidden="false" customHeight="true" outlineLevel="0" collapsed="false">
      <c r="A876" s="8" t="s">
        <v>944</v>
      </c>
      <c r="B876" s="8" t="s">
        <v>364</v>
      </c>
      <c r="C876" s="8" t="s">
        <v>686</v>
      </c>
      <c r="D876" s="26" t="n">
        <v>0</v>
      </c>
      <c r="E876" s="26" t="n">
        <v>0</v>
      </c>
      <c r="F876" s="26" t="n">
        <v>0</v>
      </c>
      <c r="G876" s="26" t="n">
        <v>0</v>
      </c>
      <c r="H876" s="26" t="n">
        <v>0</v>
      </c>
      <c r="I876" s="26" t="n">
        <v>-4</v>
      </c>
      <c r="J876" s="26" t="n">
        <v>0</v>
      </c>
      <c r="K876" s="26" t="n">
        <v>0</v>
      </c>
      <c r="L876" s="26" t="n">
        <v>0</v>
      </c>
      <c r="M876" s="26" t="n">
        <v>0</v>
      </c>
      <c r="N876" s="26" t="n">
        <v>0</v>
      </c>
      <c r="O876" s="26" t="n">
        <v>0</v>
      </c>
      <c r="P876" s="26" t="n">
        <v>-4</v>
      </c>
      <c r="Q876" s="26" t="n">
        <v>0</v>
      </c>
      <c r="R876" s="26" t="n">
        <v>0</v>
      </c>
      <c r="S876" s="26" t="n">
        <v>0</v>
      </c>
      <c r="T876" s="26" t="n">
        <v>0</v>
      </c>
      <c r="U876" s="26" t="n">
        <v>0</v>
      </c>
    </row>
    <row r="877" customFormat="false" ht="15" hidden="false" customHeight="true" outlineLevel="0" collapsed="false">
      <c r="A877" s="8" t="s">
        <v>944</v>
      </c>
      <c r="B877" s="8" t="s">
        <v>364</v>
      </c>
      <c r="C877" s="8" t="s">
        <v>687</v>
      </c>
      <c r="D877" s="26" t="n">
        <v>0</v>
      </c>
      <c r="E877" s="26" t="n">
        <v>0</v>
      </c>
      <c r="F877" s="26" t="n">
        <v>0</v>
      </c>
      <c r="G877" s="26" t="n">
        <v>0</v>
      </c>
      <c r="H877" s="26" t="n">
        <v>0</v>
      </c>
      <c r="I877" s="26" t="n">
        <v>-2</v>
      </c>
      <c r="J877" s="26" t="n">
        <v>0</v>
      </c>
      <c r="K877" s="26" t="n">
        <v>0</v>
      </c>
      <c r="L877" s="26" t="n">
        <v>0</v>
      </c>
      <c r="M877" s="26" t="n">
        <v>0</v>
      </c>
      <c r="N877" s="26" t="n">
        <v>0</v>
      </c>
      <c r="O877" s="26" t="n">
        <v>0</v>
      </c>
      <c r="P877" s="26" t="n">
        <v>-2</v>
      </c>
      <c r="Q877" s="26" t="n">
        <v>0</v>
      </c>
      <c r="R877" s="26" t="n">
        <v>0</v>
      </c>
      <c r="S877" s="26" t="n">
        <v>0</v>
      </c>
      <c r="T877" s="26" t="n">
        <v>0</v>
      </c>
      <c r="U877" s="26" t="n">
        <v>0</v>
      </c>
    </row>
    <row r="878" customFormat="false" ht="15" hidden="false" customHeight="true" outlineLevel="0" collapsed="false">
      <c r="A878" s="8" t="s">
        <v>944</v>
      </c>
      <c r="B878" s="8" t="s">
        <v>255</v>
      </c>
      <c r="C878" s="8" t="s">
        <v>688</v>
      </c>
      <c r="D878" s="26" t="n">
        <v>0</v>
      </c>
      <c r="E878" s="26" t="n">
        <v>0</v>
      </c>
      <c r="F878" s="26" t="n">
        <v>2</v>
      </c>
      <c r="G878" s="26" t="n">
        <v>0</v>
      </c>
      <c r="H878" s="26" t="n">
        <v>0</v>
      </c>
      <c r="I878" s="26" t="n">
        <v>0</v>
      </c>
      <c r="J878" s="26" t="n">
        <v>0</v>
      </c>
      <c r="K878" s="26" t="n">
        <v>0</v>
      </c>
      <c r="L878" s="26" t="n">
        <v>0</v>
      </c>
      <c r="M878" s="26" t="n">
        <v>0</v>
      </c>
      <c r="N878" s="26" t="n">
        <v>0</v>
      </c>
      <c r="O878" s="26" t="n">
        <v>0</v>
      </c>
      <c r="P878" s="26" t="n">
        <v>0</v>
      </c>
      <c r="Q878" s="26" t="n">
        <v>0</v>
      </c>
      <c r="R878" s="26" t="n">
        <v>0</v>
      </c>
      <c r="S878" s="26" t="n">
        <v>0</v>
      </c>
      <c r="T878" s="26" t="n">
        <v>0</v>
      </c>
      <c r="U878" s="26" t="n">
        <v>0</v>
      </c>
    </row>
    <row r="879" customFormat="false" ht="15" hidden="false" customHeight="true" outlineLevel="0" collapsed="false">
      <c r="A879" s="8" t="s">
        <v>944</v>
      </c>
      <c r="B879" s="8" t="s">
        <v>255</v>
      </c>
      <c r="C879" s="8" t="s">
        <v>689</v>
      </c>
      <c r="D879" s="26" t="n">
        <v>0</v>
      </c>
      <c r="E879" s="26" t="n">
        <v>0</v>
      </c>
      <c r="F879" s="26" t="n">
        <v>1</v>
      </c>
      <c r="G879" s="26" t="n">
        <v>0</v>
      </c>
      <c r="H879" s="26" t="n">
        <v>0</v>
      </c>
      <c r="I879" s="26" t="n">
        <v>0</v>
      </c>
      <c r="J879" s="26" t="n">
        <v>0</v>
      </c>
      <c r="K879" s="26" t="n">
        <v>0</v>
      </c>
      <c r="L879" s="26" t="n">
        <v>0</v>
      </c>
      <c r="M879" s="26" t="n">
        <v>0</v>
      </c>
      <c r="N879" s="26" t="n">
        <v>0</v>
      </c>
      <c r="O879" s="26" t="n">
        <v>0</v>
      </c>
      <c r="P879" s="26" t="n">
        <v>0</v>
      </c>
      <c r="Q879" s="26" t="n">
        <v>0</v>
      </c>
      <c r="R879" s="26" t="n">
        <v>0</v>
      </c>
      <c r="S879" s="26" t="n">
        <v>0</v>
      </c>
      <c r="T879" s="26" t="n">
        <v>0</v>
      </c>
      <c r="U879" s="26" t="n">
        <v>0</v>
      </c>
    </row>
    <row r="880" customFormat="false" ht="15" hidden="false" customHeight="true" outlineLevel="0" collapsed="false">
      <c r="A880" s="8" t="s">
        <v>944</v>
      </c>
      <c r="B880" s="8" t="s">
        <v>255</v>
      </c>
      <c r="C880" s="8" t="s">
        <v>690</v>
      </c>
      <c r="D880" s="26" t="n">
        <v>0</v>
      </c>
      <c r="E880" s="26" t="n">
        <v>0</v>
      </c>
      <c r="F880" s="26" t="n">
        <v>2</v>
      </c>
      <c r="G880" s="26" t="n">
        <v>0</v>
      </c>
      <c r="H880" s="26" t="n">
        <v>0</v>
      </c>
      <c r="I880" s="26" t="n">
        <v>0</v>
      </c>
      <c r="J880" s="26" t="n">
        <v>0</v>
      </c>
      <c r="K880" s="26" t="n">
        <v>0</v>
      </c>
      <c r="L880" s="26" t="n">
        <v>0</v>
      </c>
      <c r="M880" s="26" t="n">
        <v>0</v>
      </c>
      <c r="N880" s="26" t="n">
        <v>0</v>
      </c>
      <c r="O880" s="26" t="n">
        <v>0</v>
      </c>
      <c r="P880" s="26" t="n">
        <v>0</v>
      </c>
      <c r="Q880" s="26" t="n">
        <v>0</v>
      </c>
      <c r="R880" s="26" t="n">
        <v>0</v>
      </c>
      <c r="S880" s="26" t="n">
        <v>0</v>
      </c>
      <c r="T880" s="26" t="n">
        <v>0</v>
      </c>
      <c r="U880" s="26" t="n">
        <v>0</v>
      </c>
    </row>
    <row r="881" customFormat="false" ht="15" hidden="false" customHeight="true" outlineLevel="0" collapsed="false">
      <c r="A881" s="8" t="s">
        <v>944</v>
      </c>
      <c r="B881" s="8" t="s">
        <v>124</v>
      </c>
      <c r="C881" s="8" t="s">
        <v>691</v>
      </c>
      <c r="D881" s="26" t="n">
        <v>0</v>
      </c>
      <c r="E881" s="26" t="n">
        <v>0</v>
      </c>
      <c r="F881" s="26" t="n">
        <v>2</v>
      </c>
      <c r="G881" s="26" t="n">
        <v>0</v>
      </c>
      <c r="H881" s="26" t="n">
        <v>0</v>
      </c>
      <c r="I881" s="26" t="n">
        <v>0</v>
      </c>
      <c r="J881" s="26" t="n">
        <v>0</v>
      </c>
      <c r="K881" s="26" t="n">
        <v>0</v>
      </c>
      <c r="L881" s="26" t="n">
        <v>0</v>
      </c>
      <c r="M881" s="26" t="n">
        <v>0</v>
      </c>
      <c r="N881" s="26" t="n">
        <v>0</v>
      </c>
      <c r="O881" s="26" t="n">
        <v>0</v>
      </c>
      <c r="P881" s="26" t="n">
        <v>0</v>
      </c>
      <c r="Q881" s="26" t="n">
        <v>0</v>
      </c>
      <c r="R881" s="26" t="n">
        <v>0</v>
      </c>
      <c r="S881" s="26" t="n">
        <v>0</v>
      </c>
      <c r="T881" s="26" t="n">
        <v>0</v>
      </c>
      <c r="U881" s="26" t="n">
        <v>0</v>
      </c>
    </row>
    <row r="882" customFormat="false" ht="15" hidden="false" customHeight="true" outlineLevel="0" collapsed="false">
      <c r="A882" s="8" t="s">
        <v>944</v>
      </c>
      <c r="B882" s="8" t="s">
        <v>312</v>
      </c>
      <c r="C882" s="8" t="s">
        <v>692</v>
      </c>
      <c r="D882" s="26" t="n">
        <v>0</v>
      </c>
      <c r="E882" s="26" t="n">
        <v>0</v>
      </c>
      <c r="F882" s="26" t="n">
        <v>2</v>
      </c>
      <c r="G882" s="26" t="n">
        <v>0</v>
      </c>
      <c r="H882" s="26" t="n">
        <v>0</v>
      </c>
      <c r="I882" s="26" t="n">
        <v>1</v>
      </c>
      <c r="J882" s="26" t="n">
        <v>0</v>
      </c>
      <c r="K882" s="26" t="n">
        <v>0</v>
      </c>
      <c r="L882" s="26" t="n">
        <v>0</v>
      </c>
      <c r="M882" s="26" t="n">
        <v>0</v>
      </c>
      <c r="N882" s="26" t="n">
        <v>0</v>
      </c>
      <c r="O882" s="26" t="n">
        <v>0</v>
      </c>
      <c r="P882" s="26" t="n">
        <v>-1</v>
      </c>
      <c r="Q882" s="26" t="n">
        <v>1</v>
      </c>
      <c r="R882" s="26" t="n">
        <v>1</v>
      </c>
      <c r="S882" s="26" t="n">
        <v>0</v>
      </c>
      <c r="T882" s="26" t="n">
        <v>0</v>
      </c>
      <c r="U882" s="26" t="n">
        <v>0</v>
      </c>
    </row>
    <row r="883" customFormat="false" ht="15" hidden="false" customHeight="true" outlineLevel="0" collapsed="false">
      <c r="A883" s="8" t="s">
        <v>944</v>
      </c>
      <c r="B883" s="8" t="s">
        <v>312</v>
      </c>
      <c r="C883" s="8" t="s">
        <v>693</v>
      </c>
      <c r="D883" s="26" t="n">
        <v>0</v>
      </c>
      <c r="E883" s="26" t="n">
        <v>0</v>
      </c>
      <c r="F883" s="26" t="n">
        <v>4</v>
      </c>
      <c r="G883" s="26" t="n">
        <v>0</v>
      </c>
      <c r="H883" s="26" t="n">
        <v>0</v>
      </c>
      <c r="I883" s="26" t="n">
        <v>3</v>
      </c>
      <c r="J883" s="26" t="n">
        <v>0</v>
      </c>
      <c r="K883" s="26" t="n">
        <v>0</v>
      </c>
      <c r="L883" s="26" t="n">
        <v>0</v>
      </c>
      <c r="M883" s="26" t="n">
        <v>0</v>
      </c>
      <c r="N883" s="26" t="n">
        <v>0</v>
      </c>
      <c r="O883" s="26" t="n">
        <v>0</v>
      </c>
      <c r="P883" s="26" t="n">
        <v>-3</v>
      </c>
      <c r="Q883" s="26" t="n">
        <v>-2</v>
      </c>
      <c r="R883" s="26" t="n">
        <v>8</v>
      </c>
      <c r="S883" s="26" t="n">
        <v>0</v>
      </c>
      <c r="T883" s="26" t="n">
        <v>0</v>
      </c>
      <c r="U883" s="26" t="n">
        <v>0</v>
      </c>
    </row>
    <row r="884" customFormat="false" ht="15" hidden="false" customHeight="true" outlineLevel="0" collapsed="false">
      <c r="A884" s="8" t="s">
        <v>944</v>
      </c>
      <c r="B884" s="8" t="s">
        <v>312</v>
      </c>
      <c r="C884" s="8" t="s">
        <v>694</v>
      </c>
      <c r="D884" s="26" t="n">
        <v>0</v>
      </c>
      <c r="E884" s="26" t="n">
        <v>0</v>
      </c>
      <c r="F884" s="26" t="n">
        <v>5</v>
      </c>
      <c r="G884" s="26" t="n">
        <v>0</v>
      </c>
      <c r="H884" s="26" t="n">
        <v>0</v>
      </c>
      <c r="I884" s="26" t="n">
        <v>-5</v>
      </c>
      <c r="J884" s="26" t="n">
        <v>0</v>
      </c>
      <c r="K884" s="26" t="n">
        <v>0</v>
      </c>
      <c r="L884" s="26" t="n">
        <v>0</v>
      </c>
      <c r="M884" s="26" t="n">
        <v>0</v>
      </c>
      <c r="N884" s="26" t="n">
        <v>0</v>
      </c>
      <c r="O884" s="26" t="n">
        <v>0</v>
      </c>
      <c r="P884" s="26" t="n">
        <v>-4</v>
      </c>
      <c r="Q884" s="26" t="n">
        <v>-1</v>
      </c>
      <c r="R884" s="26" t="n">
        <v>0</v>
      </c>
      <c r="S884" s="26" t="n">
        <v>0</v>
      </c>
      <c r="T884" s="26" t="n">
        <v>0</v>
      </c>
      <c r="U884" s="26" t="n">
        <v>0</v>
      </c>
    </row>
    <row r="885" customFormat="false" ht="15" hidden="false" customHeight="true" outlineLevel="0" collapsed="false">
      <c r="A885" s="8" t="s">
        <v>944</v>
      </c>
      <c r="B885" s="8" t="s">
        <v>352</v>
      </c>
      <c r="C885" s="8" t="s">
        <v>695</v>
      </c>
      <c r="D885" s="26" t="n">
        <v>0</v>
      </c>
      <c r="E885" s="26" t="n">
        <v>0</v>
      </c>
      <c r="F885" s="26" t="n">
        <v>0</v>
      </c>
      <c r="G885" s="26" t="n">
        <v>0</v>
      </c>
      <c r="H885" s="26" t="n">
        <v>0</v>
      </c>
      <c r="I885" s="26" t="n">
        <v>-1</v>
      </c>
      <c r="J885" s="26" t="n">
        <v>0</v>
      </c>
      <c r="K885" s="26" t="n">
        <v>0</v>
      </c>
      <c r="L885" s="26" t="n">
        <v>0</v>
      </c>
      <c r="M885" s="26" t="n">
        <v>0</v>
      </c>
      <c r="N885" s="26" t="n">
        <v>0</v>
      </c>
      <c r="O885" s="26" t="n">
        <v>0</v>
      </c>
      <c r="P885" s="26" t="n">
        <v>-2</v>
      </c>
      <c r="Q885" s="26" t="n">
        <v>0</v>
      </c>
      <c r="R885" s="26" t="n">
        <v>1</v>
      </c>
      <c r="S885" s="26" t="n">
        <v>0</v>
      </c>
      <c r="T885" s="26" t="n">
        <v>0</v>
      </c>
      <c r="U885" s="26" t="n">
        <v>0</v>
      </c>
    </row>
    <row r="886" customFormat="false" ht="15" hidden="false" customHeight="true" outlineLevel="0" collapsed="false">
      <c r="A886" s="8" t="s">
        <v>944</v>
      </c>
      <c r="B886" s="8" t="s">
        <v>352</v>
      </c>
      <c r="C886" s="8" t="s">
        <v>696</v>
      </c>
      <c r="D886" s="26" t="n">
        <v>0</v>
      </c>
      <c r="E886" s="26" t="n">
        <v>0</v>
      </c>
      <c r="F886" s="26" t="n">
        <v>0</v>
      </c>
      <c r="G886" s="26" t="n">
        <v>0</v>
      </c>
      <c r="H886" s="26" t="n">
        <v>0</v>
      </c>
      <c r="I886" s="26" t="n">
        <v>-4</v>
      </c>
      <c r="J886" s="26" t="n">
        <v>0</v>
      </c>
      <c r="K886" s="26" t="n">
        <v>0</v>
      </c>
      <c r="L886" s="26" t="n">
        <v>0</v>
      </c>
      <c r="M886" s="26" t="n">
        <v>0</v>
      </c>
      <c r="N886" s="26" t="n">
        <v>0</v>
      </c>
      <c r="O886" s="26" t="n">
        <v>0</v>
      </c>
      <c r="P886" s="26" t="n">
        <v>-2</v>
      </c>
      <c r="Q886" s="26" t="n">
        <v>-2</v>
      </c>
      <c r="R886" s="26" t="n">
        <v>0</v>
      </c>
      <c r="S886" s="26" t="n">
        <v>0</v>
      </c>
      <c r="T886" s="26" t="n">
        <v>0</v>
      </c>
      <c r="U886" s="26" t="n">
        <v>0</v>
      </c>
    </row>
    <row r="887" customFormat="false" ht="15" hidden="false" customHeight="true" outlineLevel="0" collapsed="false">
      <c r="A887" s="8" t="s">
        <v>944</v>
      </c>
      <c r="B887" s="8" t="s">
        <v>352</v>
      </c>
      <c r="C887" s="8" t="s">
        <v>697</v>
      </c>
      <c r="D887" s="26" t="n">
        <v>0</v>
      </c>
      <c r="E887" s="26" t="n">
        <v>0</v>
      </c>
      <c r="F887" s="26" t="n">
        <v>0</v>
      </c>
      <c r="G887" s="26" t="n">
        <v>0</v>
      </c>
      <c r="H887" s="26" t="n">
        <v>0</v>
      </c>
      <c r="I887" s="26" t="n">
        <v>-2</v>
      </c>
      <c r="J887" s="26" t="n">
        <v>0</v>
      </c>
      <c r="K887" s="26" t="n">
        <v>0</v>
      </c>
      <c r="L887" s="26" t="n">
        <v>0</v>
      </c>
      <c r="M887" s="26" t="n">
        <v>0</v>
      </c>
      <c r="N887" s="26" t="n">
        <v>0</v>
      </c>
      <c r="O887" s="26" t="n">
        <v>0</v>
      </c>
      <c r="P887" s="26" t="n">
        <v>0</v>
      </c>
      <c r="Q887" s="26" t="n">
        <v>-2</v>
      </c>
      <c r="R887" s="26" t="n">
        <v>0</v>
      </c>
      <c r="S887" s="26" t="n">
        <v>0</v>
      </c>
      <c r="T887" s="26" t="n">
        <v>0</v>
      </c>
      <c r="U887" s="26" t="n">
        <v>0</v>
      </c>
    </row>
    <row r="888" customFormat="false" ht="15" hidden="false" customHeight="true" outlineLevel="0" collapsed="false">
      <c r="A888" s="8" t="s">
        <v>944</v>
      </c>
      <c r="B888" s="8" t="s">
        <v>352</v>
      </c>
      <c r="C888" s="8" t="s">
        <v>698</v>
      </c>
      <c r="D888" s="26" t="n">
        <v>0</v>
      </c>
      <c r="E888" s="26" t="n">
        <v>0</v>
      </c>
      <c r="F888" s="26" t="n">
        <v>1</v>
      </c>
      <c r="G888" s="26" t="n">
        <v>0</v>
      </c>
      <c r="H888" s="26" t="n">
        <v>0</v>
      </c>
      <c r="I888" s="26" t="n">
        <v>4</v>
      </c>
      <c r="J888" s="26" t="n">
        <v>0</v>
      </c>
      <c r="K888" s="26" t="n">
        <v>0</v>
      </c>
      <c r="L888" s="26" t="n">
        <v>0</v>
      </c>
      <c r="M888" s="26" t="n">
        <v>0</v>
      </c>
      <c r="N888" s="26" t="n">
        <v>0</v>
      </c>
      <c r="O888" s="26" t="n">
        <v>0</v>
      </c>
      <c r="P888" s="26" t="n">
        <v>0</v>
      </c>
      <c r="Q888" s="26" t="n">
        <v>0</v>
      </c>
      <c r="R888" s="26" t="n">
        <v>4</v>
      </c>
      <c r="S888" s="26" t="n">
        <v>0</v>
      </c>
      <c r="T888" s="26" t="n">
        <v>0</v>
      </c>
      <c r="U888" s="26" t="n">
        <v>0</v>
      </c>
    </row>
    <row r="889" customFormat="false" ht="15" hidden="false" customHeight="true" outlineLevel="0" collapsed="false">
      <c r="A889" s="8" t="s">
        <v>944</v>
      </c>
      <c r="B889" s="8" t="s">
        <v>352</v>
      </c>
      <c r="C889" s="8" t="s">
        <v>699</v>
      </c>
      <c r="D889" s="26" t="n">
        <v>0</v>
      </c>
      <c r="E889" s="26" t="n">
        <v>0</v>
      </c>
      <c r="F889" s="26" t="n">
        <v>1</v>
      </c>
      <c r="G889" s="26" t="n">
        <v>0</v>
      </c>
      <c r="H889" s="26" t="n">
        <v>0</v>
      </c>
      <c r="I889" s="26" t="n">
        <v>0</v>
      </c>
      <c r="J889" s="26" t="n">
        <v>0</v>
      </c>
      <c r="K889" s="26" t="n">
        <v>0</v>
      </c>
      <c r="L889" s="26" t="n">
        <v>0</v>
      </c>
      <c r="M889" s="26" t="n">
        <v>0</v>
      </c>
      <c r="N889" s="26" t="n">
        <v>0</v>
      </c>
      <c r="O889" s="26" t="n">
        <v>0</v>
      </c>
      <c r="P889" s="26" t="n">
        <v>0</v>
      </c>
      <c r="Q889" s="26" t="n">
        <v>0</v>
      </c>
      <c r="R889" s="26" t="n">
        <v>0</v>
      </c>
      <c r="S889" s="26" t="n">
        <v>0</v>
      </c>
      <c r="T889" s="26" t="n">
        <v>0</v>
      </c>
      <c r="U889" s="26" t="n">
        <v>0</v>
      </c>
    </row>
    <row r="890" customFormat="false" ht="15" hidden="false" customHeight="true" outlineLevel="0" collapsed="false">
      <c r="A890" s="8" t="s">
        <v>944</v>
      </c>
      <c r="B890" s="8" t="s">
        <v>111</v>
      </c>
      <c r="C890" s="8" t="s">
        <v>700</v>
      </c>
      <c r="D890" s="26" t="n">
        <v>0</v>
      </c>
      <c r="E890" s="26" t="n">
        <v>0</v>
      </c>
      <c r="F890" s="26" t="n">
        <v>0</v>
      </c>
      <c r="G890" s="26" t="n">
        <v>0</v>
      </c>
      <c r="H890" s="26" t="n">
        <v>0</v>
      </c>
      <c r="I890" s="26" t="n">
        <v>-3</v>
      </c>
      <c r="J890" s="26" t="n">
        <v>0</v>
      </c>
      <c r="K890" s="26" t="n">
        <v>0</v>
      </c>
      <c r="L890" s="26" t="n">
        <v>0</v>
      </c>
      <c r="M890" s="26" t="n">
        <v>0</v>
      </c>
      <c r="N890" s="26" t="n">
        <v>0</v>
      </c>
      <c r="O890" s="26" t="n">
        <v>0</v>
      </c>
      <c r="P890" s="26" t="n">
        <v>0</v>
      </c>
      <c r="Q890" s="26" t="n">
        <v>-3</v>
      </c>
      <c r="R890" s="26" t="n">
        <v>0</v>
      </c>
      <c r="S890" s="26" t="n">
        <v>0</v>
      </c>
      <c r="T890" s="26" t="n">
        <v>0</v>
      </c>
      <c r="U890" s="26" t="n">
        <v>0</v>
      </c>
    </row>
    <row r="891" customFormat="false" ht="15" hidden="false" customHeight="true" outlineLevel="0" collapsed="false">
      <c r="A891" s="8" t="s">
        <v>944</v>
      </c>
      <c r="B891" s="8" t="s">
        <v>272</v>
      </c>
      <c r="C891" s="8" t="s">
        <v>701</v>
      </c>
      <c r="D891" s="26" t="n">
        <v>0</v>
      </c>
      <c r="E891" s="26" t="n">
        <v>0</v>
      </c>
      <c r="F891" s="26" t="n">
        <v>0</v>
      </c>
      <c r="G891" s="26" t="n">
        <v>0</v>
      </c>
      <c r="H891" s="26" t="n">
        <v>0</v>
      </c>
      <c r="I891" s="26" t="n">
        <v>27</v>
      </c>
      <c r="J891" s="26" t="n">
        <v>0</v>
      </c>
      <c r="K891" s="26" t="n">
        <v>0</v>
      </c>
      <c r="L891" s="26" t="n">
        <v>0</v>
      </c>
      <c r="M891" s="26" t="n">
        <v>0</v>
      </c>
      <c r="N891" s="26" t="n">
        <v>0</v>
      </c>
      <c r="O891" s="26" t="n">
        <v>0</v>
      </c>
      <c r="P891" s="26" t="n">
        <v>0</v>
      </c>
      <c r="Q891" s="26" t="n">
        <v>27</v>
      </c>
      <c r="R891" s="26" t="n">
        <v>0</v>
      </c>
      <c r="S891" s="26" t="n">
        <v>0</v>
      </c>
      <c r="T891" s="26" t="n">
        <v>0</v>
      </c>
      <c r="U891" s="26" t="n">
        <v>0</v>
      </c>
    </row>
    <row r="892" customFormat="false" ht="15" hidden="false" customHeight="true" outlineLevel="0" collapsed="false">
      <c r="A892" s="8" t="s">
        <v>944</v>
      </c>
      <c r="B892" s="8" t="s">
        <v>268</v>
      </c>
      <c r="C892" s="8" t="s">
        <v>702</v>
      </c>
      <c r="D892" s="26" t="n">
        <v>0</v>
      </c>
      <c r="E892" s="26" t="n">
        <v>0</v>
      </c>
      <c r="F892" s="26" t="n">
        <v>5</v>
      </c>
      <c r="G892" s="26" t="n">
        <v>0</v>
      </c>
      <c r="H892" s="26" t="n">
        <v>0</v>
      </c>
      <c r="I892" s="26" t="n">
        <v>0</v>
      </c>
      <c r="J892" s="26" t="n">
        <v>0</v>
      </c>
      <c r="K892" s="26" t="n">
        <v>0</v>
      </c>
      <c r="L892" s="26" t="n">
        <v>0</v>
      </c>
      <c r="M892" s="26" t="n">
        <v>0</v>
      </c>
      <c r="N892" s="26" t="n">
        <v>0</v>
      </c>
      <c r="O892" s="26" t="n">
        <v>0</v>
      </c>
      <c r="P892" s="26" t="n">
        <v>0</v>
      </c>
      <c r="Q892" s="26" t="n">
        <v>0</v>
      </c>
      <c r="R892" s="26" t="n">
        <v>0</v>
      </c>
      <c r="S892" s="26" t="n">
        <v>0</v>
      </c>
      <c r="T892" s="26" t="n">
        <v>0</v>
      </c>
      <c r="U892" s="26" t="n">
        <v>0</v>
      </c>
    </row>
    <row r="893" customFormat="false" ht="15" hidden="false" customHeight="true" outlineLevel="0" collapsed="false">
      <c r="A893" s="8" t="s">
        <v>944</v>
      </c>
      <c r="B893" s="8" t="s">
        <v>182</v>
      </c>
      <c r="C893" s="8" t="s">
        <v>703</v>
      </c>
      <c r="D893" s="26" t="n">
        <v>0</v>
      </c>
      <c r="E893" s="26" t="n">
        <v>0</v>
      </c>
      <c r="F893" s="26" t="n">
        <v>139</v>
      </c>
      <c r="G893" s="26" t="n">
        <v>0</v>
      </c>
      <c r="H893" s="26" t="n">
        <v>0</v>
      </c>
      <c r="I893" s="26" t="n">
        <v>1043</v>
      </c>
      <c r="J893" s="26" t="n">
        <v>0</v>
      </c>
      <c r="K893" s="26" t="n">
        <v>12</v>
      </c>
      <c r="L893" s="26" t="n">
        <v>-1</v>
      </c>
      <c r="M893" s="26" t="n">
        <v>0</v>
      </c>
      <c r="N893" s="26" t="n">
        <v>2</v>
      </c>
      <c r="O893" s="26" t="n">
        <v>2</v>
      </c>
      <c r="P893" s="26" t="n">
        <v>-7</v>
      </c>
      <c r="Q893" s="26" t="n">
        <v>962</v>
      </c>
      <c r="R893" s="26" t="n">
        <v>73</v>
      </c>
      <c r="S893" s="26" t="n">
        <v>0</v>
      </c>
      <c r="T893" s="26" t="n">
        <v>0</v>
      </c>
      <c r="U893" s="26" t="n">
        <v>0</v>
      </c>
    </row>
    <row r="894" customFormat="false" ht="15" hidden="false" customHeight="true" outlineLevel="0" collapsed="false">
      <c r="A894" s="8" t="s">
        <v>944</v>
      </c>
      <c r="B894" s="8" t="s">
        <v>99</v>
      </c>
      <c r="C894" s="8" t="s">
        <v>704</v>
      </c>
      <c r="D894" s="26" t="n">
        <v>0</v>
      </c>
      <c r="E894" s="26" t="n">
        <v>0</v>
      </c>
      <c r="F894" s="26" t="n">
        <v>8</v>
      </c>
      <c r="G894" s="26" t="n">
        <v>0</v>
      </c>
      <c r="H894" s="26" t="n">
        <v>0</v>
      </c>
      <c r="I894" s="26" t="n">
        <v>0</v>
      </c>
      <c r="J894" s="26" t="n">
        <v>0</v>
      </c>
      <c r="K894" s="26" t="n">
        <v>0</v>
      </c>
      <c r="L894" s="26" t="n">
        <v>0</v>
      </c>
      <c r="M894" s="26" t="n">
        <v>0</v>
      </c>
      <c r="N894" s="26" t="n">
        <v>0</v>
      </c>
      <c r="O894" s="26" t="n">
        <v>0</v>
      </c>
      <c r="P894" s="26" t="n">
        <v>0</v>
      </c>
      <c r="Q894" s="26" t="n">
        <v>0</v>
      </c>
      <c r="R894" s="26" t="n">
        <v>0</v>
      </c>
      <c r="S894" s="26" t="n">
        <v>0</v>
      </c>
      <c r="T894" s="26" t="n">
        <v>0</v>
      </c>
      <c r="U894" s="26" t="n">
        <v>0</v>
      </c>
    </row>
    <row r="895" customFormat="false" ht="15" hidden="false" customHeight="true" outlineLevel="0" collapsed="false">
      <c r="A895" s="8" t="s">
        <v>944</v>
      </c>
      <c r="B895" s="8" t="s">
        <v>229</v>
      </c>
      <c r="C895" s="8" t="s">
        <v>705</v>
      </c>
      <c r="D895" s="26" t="n">
        <v>0</v>
      </c>
      <c r="E895" s="26" t="n">
        <v>0</v>
      </c>
      <c r="F895" s="26" t="n">
        <v>363</v>
      </c>
      <c r="G895" s="26" t="n">
        <v>0</v>
      </c>
      <c r="H895" s="26" t="n">
        <v>0</v>
      </c>
      <c r="I895" s="26" t="n">
        <v>11</v>
      </c>
      <c r="J895" s="26" t="n">
        <v>0</v>
      </c>
      <c r="K895" s="26" t="n">
        <v>0</v>
      </c>
      <c r="L895" s="26" t="n">
        <v>0</v>
      </c>
      <c r="M895" s="26" t="n">
        <v>9</v>
      </c>
      <c r="N895" s="26" t="n">
        <v>2</v>
      </c>
      <c r="O895" s="26" t="n">
        <v>0</v>
      </c>
      <c r="P895" s="26" t="n">
        <v>0</v>
      </c>
      <c r="Q895" s="26" t="n">
        <v>0</v>
      </c>
      <c r="R895" s="26" t="n">
        <v>0</v>
      </c>
      <c r="S895" s="26" t="n">
        <v>0</v>
      </c>
      <c r="T895" s="26" t="n">
        <v>0</v>
      </c>
      <c r="U895" s="26" t="n">
        <v>0</v>
      </c>
    </row>
    <row r="896" customFormat="false" ht="15" hidden="false" customHeight="true" outlineLevel="0" collapsed="false">
      <c r="A896" s="8" t="s">
        <v>944</v>
      </c>
      <c r="B896" s="8" t="s">
        <v>154</v>
      </c>
      <c r="C896" s="8" t="s">
        <v>706</v>
      </c>
      <c r="D896" s="26" t="n">
        <v>0</v>
      </c>
      <c r="E896" s="26" t="n">
        <v>0</v>
      </c>
      <c r="F896" s="26" t="n">
        <v>103</v>
      </c>
      <c r="G896" s="26" t="n">
        <v>0</v>
      </c>
      <c r="H896" s="26" t="n">
        <v>0</v>
      </c>
      <c r="I896" s="26" t="n">
        <v>3</v>
      </c>
      <c r="J896" s="26" t="n">
        <v>0</v>
      </c>
      <c r="K896" s="26" t="n">
        <v>1</v>
      </c>
      <c r="L896" s="26" t="n">
        <v>0</v>
      </c>
      <c r="M896" s="26" t="n">
        <v>0</v>
      </c>
      <c r="N896" s="26" t="n">
        <v>0</v>
      </c>
      <c r="O896" s="26" t="n">
        <v>0</v>
      </c>
      <c r="P896" s="26" t="n">
        <v>0</v>
      </c>
      <c r="Q896" s="26" t="n">
        <v>0</v>
      </c>
      <c r="R896" s="26" t="n">
        <v>2</v>
      </c>
      <c r="S896" s="26" t="n">
        <v>0</v>
      </c>
      <c r="T896" s="26" t="n">
        <v>0</v>
      </c>
      <c r="U896" s="26" t="n">
        <v>0</v>
      </c>
    </row>
    <row r="897" customFormat="false" ht="15" hidden="false" customHeight="true" outlineLevel="0" collapsed="false">
      <c r="A897" s="8" t="s">
        <v>944</v>
      </c>
      <c r="B897" s="8" t="s">
        <v>146</v>
      </c>
      <c r="C897" s="8" t="s">
        <v>707</v>
      </c>
      <c r="D897" s="26" t="n">
        <v>0</v>
      </c>
      <c r="E897" s="26" t="n">
        <v>0</v>
      </c>
      <c r="F897" s="26" t="n">
        <v>541</v>
      </c>
      <c r="G897" s="26" t="n">
        <v>0</v>
      </c>
      <c r="H897" s="26" t="n">
        <v>0</v>
      </c>
      <c r="I897" s="26" t="n">
        <v>100</v>
      </c>
      <c r="J897" s="26" t="n">
        <v>0</v>
      </c>
      <c r="K897" s="26" t="n">
        <v>0</v>
      </c>
      <c r="L897" s="26" t="n">
        <v>0</v>
      </c>
      <c r="M897" s="26" t="n">
        <v>11</v>
      </c>
      <c r="N897" s="26" t="n">
        <v>2</v>
      </c>
      <c r="O897" s="26" t="n">
        <v>0</v>
      </c>
      <c r="P897" s="26" t="n">
        <v>0</v>
      </c>
      <c r="Q897" s="26" t="n">
        <v>87</v>
      </c>
      <c r="R897" s="26" t="n">
        <v>0</v>
      </c>
      <c r="S897" s="26" t="n">
        <v>1</v>
      </c>
      <c r="T897" s="26" t="n">
        <v>0</v>
      </c>
      <c r="U897" s="26" t="n">
        <v>0</v>
      </c>
    </row>
    <row r="898" customFormat="false" ht="15" hidden="false" customHeight="true" outlineLevel="0" collapsed="false">
      <c r="A898" s="8" t="s">
        <v>944</v>
      </c>
      <c r="B898" s="8" t="s">
        <v>321</v>
      </c>
      <c r="C898" s="8" t="s">
        <v>708</v>
      </c>
      <c r="D898" s="26" t="n">
        <v>0</v>
      </c>
      <c r="E898" s="26" t="n">
        <v>0</v>
      </c>
      <c r="F898" s="26" t="n">
        <v>16</v>
      </c>
      <c r="G898" s="26" t="n">
        <v>0</v>
      </c>
      <c r="H898" s="26" t="n">
        <v>0</v>
      </c>
      <c r="I898" s="26" t="n">
        <v>5</v>
      </c>
      <c r="J898" s="26" t="n">
        <v>0</v>
      </c>
      <c r="K898" s="26" t="n">
        <v>0</v>
      </c>
      <c r="L898" s="26" t="n">
        <v>0</v>
      </c>
      <c r="M898" s="26" t="n">
        <v>0</v>
      </c>
      <c r="N898" s="26" t="n">
        <v>5</v>
      </c>
      <c r="O898" s="26" t="n">
        <v>0</v>
      </c>
      <c r="P898" s="26" t="n">
        <v>0</v>
      </c>
      <c r="Q898" s="26" t="n">
        <v>0</v>
      </c>
      <c r="R898" s="26" t="n">
        <v>0</v>
      </c>
      <c r="S898" s="26" t="n">
        <v>0</v>
      </c>
      <c r="T898" s="26" t="n">
        <v>0</v>
      </c>
      <c r="U898" s="26" t="n">
        <v>0</v>
      </c>
    </row>
    <row r="899" customFormat="false" ht="15" hidden="false" customHeight="true" outlineLevel="0" collapsed="false">
      <c r="A899" s="8" t="s">
        <v>944</v>
      </c>
      <c r="B899" s="8" t="s">
        <v>160</v>
      </c>
      <c r="C899" s="8" t="s">
        <v>709</v>
      </c>
      <c r="D899" s="26" t="n">
        <v>0</v>
      </c>
      <c r="E899" s="26" t="n">
        <v>0</v>
      </c>
      <c r="F899" s="26" t="n">
        <v>228</v>
      </c>
      <c r="G899" s="26" t="n">
        <v>0</v>
      </c>
      <c r="H899" s="26" t="n">
        <v>0</v>
      </c>
      <c r="I899" s="26" t="n">
        <v>3</v>
      </c>
      <c r="J899" s="26" t="n">
        <v>0</v>
      </c>
      <c r="K899" s="26" t="n">
        <v>0</v>
      </c>
      <c r="L899" s="26" t="n">
        <v>0</v>
      </c>
      <c r="M899" s="26" t="n">
        <v>3</v>
      </c>
      <c r="N899" s="26" t="n">
        <v>0</v>
      </c>
      <c r="O899" s="26" t="n">
        <v>0</v>
      </c>
      <c r="P899" s="26" t="n">
        <v>0</v>
      </c>
      <c r="Q899" s="26" t="n">
        <v>0</v>
      </c>
      <c r="R899" s="26" t="n">
        <v>0</v>
      </c>
      <c r="S899" s="26" t="n">
        <v>0</v>
      </c>
      <c r="T899" s="26" t="n">
        <v>0</v>
      </c>
      <c r="U899" s="26" t="n">
        <v>0</v>
      </c>
    </row>
    <row r="900" customFormat="false" ht="15" hidden="false" customHeight="true" outlineLevel="0" collapsed="false">
      <c r="A900" s="8" t="s">
        <v>944</v>
      </c>
      <c r="B900" s="8" t="s">
        <v>100</v>
      </c>
      <c r="C900" s="8" t="s">
        <v>710</v>
      </c>
      <c r="D900" s="26" t="n">
        <v>0</v>
      </c>
      <c r="E900" s="26" t="n">
        <v>0</v>
      </c>
      <c r="F900" s="26" t="n">
        <v>5</v>
      </c>
      <c r="G900" s="26" t="n">
        <v>0</v>
      </c>
      <c r="H900" s="26" t="n">
        <v>0</v>
      </c>
      <c r="I900" s="26" t="n">
        <v>0</v>
      </c>
      <c r="J900" s="26" t="n">
        <v>0</v>
      </c>
      <c r="K900" s="26" t="n">
        <v>0</v>
      </c>
      <c r="L900" s="26" t="n">
        <v>0</v>
      </c>
      <c r="M900" s="26" t="n">
        <v>0</v>
      </c>
      <c r="N900" s="26" t="n">
        <v>0</v>
      </c>
      <c r="O900" s="26" t="n">
        <v>0</v>
      </c>
      <c r="P900" s="26" t="n">
        <v>0</v>
      </c>
      <c r="Q900" s="26" t="n">
        <v>0</v>
      </c>
      <c r="R900" s="26" t="n">
        <v>0</v>
      </c>
      <c r="S900" s="26" t="n">
        <v>0</v>
      </c>
      <c r="T900" s="26" t="n">
        <v>0</v>
      </c>
      <c r="U900" s="26" t="n">
        <v>0</v>
      </c>
    </row>
    <row r="901" customFormat="false" ht="15" hidden="false" customHeight="true" outlineLevel="0" collapsed="false">
      <c r="A901" s="8" t="s">
        <v>944</v>
      </c>
      <c r="B901" s="8" t="s">
        <v>249</v>
      </c>
      <c r="C901" s="8" t="s">
        <v>711</v>
      </c>
      <c r="D901" s="26" t="n">
        <v>0</v>
      </c>
      <c r="E901" s="26" t="n">
        <v>0</v>
      </c>
      <c r="F901" s="26" t="n">
        <v>11</v>
      </c>
      <c r="G901" s="26" t="n">
        <v>0</v>
      </c>
      <c r="H901" s="26" t="n">
        <v>0</v>
      </c>
      <c r="I901" s="26" t="n">
        <v>137</v>
      </c>
      <c r="J901" s="26" t="n">
        <v>0</v>
      </c>
      <c r="K901" s="26" t="n">
        <v>15</v>
      </c>
      <c r="L901" s="26" t="n">
        <v>0</v>
      </c>
      <c r="M901" s="26" t="n">
        <v>0</v>
      </c>
      <c r="N901" s="26" t="n">
        <v>3</v>
      </c>
      <c r="O901" s="26" t="n">
        <v>0</v>
      </c>
      <c r="P901" s="26" t="n">
        <v>-4</v>
      </c>
      <c r="Q901" s="26" t="n">
        <v>106</v>
      </c>
      <c r="R901" s="26" t="n">
        <v>17</v>
      </c>
      <c r="S901" s="26" t="n">
        <v>0</v>
      </c>
      <c r="T901" s="26" t="n">
        <v>0</v>
      </c>
      <c r="U901" s="26" t="n">
        <v>0</v>
      </c>
    </row>
    <row r="902" customFormat="false" ht="15" hidden="false" customHeight="true" outlineLevel="0" collapsed="false">
      <c r="A902" s="8" t="s">
        <v>944</v>
      </c>
      <c r="B902" s="8" t="s">
        <v>178</v>
      </c>
      <c r="C902" s="8" t="s">
        <v>712</v>
      </c>
      <c r="D902" s="26" t="n">
        <v>0</v>
      </c>
      <c r="E902" s="26" t="n">
        <v>0</v>
      </c>
      <c r="F902" s="26" t="n">
        <v>3</v>
      </c>
      <c r="G902" s="26" t="n">
        <v>0</v>
      </c>
      <c r="H902" s="26" t="n">
        <v>0</v>
      </c>
      <c r="I902" s="26" t="n">
        <v>0</v>
      </c>
      <c r="J902" s="26" t="n">
        <v>0</v>
      </c>
      <c r="K902" s="26" t="n">
        <v>0</v>
      </c>
      <c r="L902" s="26" t="n">
        <v>0</v>
      </c>
      <c r="M902" s="26" t="n">
        <v>0</v>
      </c>
      <c r="N902" s="26" t="n">
        <v>0</v>
      </c>
      <c r="O902" s="26" t="n">
        <v>0</v>
      </c>
      <c r="P902" s="26" t="n">
        <v>0</v>
      </c>
      <c r="Q902" s="26" t="n">
        <v>0</v>
      </c>
      <c r="R902" s="26" t="n">
        <v>0</v>
      </c>
      <c r="S902" s="26" t="n">
        <v>0</v>
      </c>
      <c r="T902" s="26" t="n">
        <v>0</v>
      </c>
      <c r="U902" s="26" t="n">
        <v>0</v>
      </c>
    </row>
    <row r="903" customFormat="false" ht="15" hidden="false" customHeight="true" outlineLevel="0" collapsed="false">
      <c r="A903" s="8" t="s">
        <v>944</v>
      </c>
      <c r="B903" s="8" t="s">
        <v>178</v>
      </c>
      <c r="C903" s="8" t="s">
        <v>713</v>
      </c>
      <c r="D903" s="26" t="n">
        <v>0</v>
      </c>
      <c r="E903" s="26" t="n">
        <v>0</v>
      </c>
      <c r="F903" s="26" t="n">
        <v>4</v>
      </c>
      <c r="G903" s="26" t="n">
        <v>0</v>
      </c>
      <c r="H903" s="26" t="n">
        <v>0</v>
      </c>
      <c r="I903" s="26" t="n">
        <v>0</v>
      </c>
      <c r="J903" s="26" t="n">
        <v>0</v>
      </c>
      <c r="K903" s="26" t="n">
        <v>0</v>
      </c>
      <c r="L903" s="26" t="n">
        <v>0</v>
      </c>
      <c r="M903" s="26" t="n">
        <v>0</v>
      </c>
      <c r="N903" s="26" t="n">
        <v>0</v>
      </c>
      <c r="O903" s="26" t="n">
        <v>0</v>
      </c>
      <c r="P903" s="26" t="n">
        <v>0</v>
      </c>
      <c r="Q903" s="26" t="n">
        <v>0</v>
      </c>
      <c r="R903" s="26" t="n">
        <v>0</v>
      </c>
      <c r="S903" s="26" t="n">
        <v>0</v>
      </c>
      <c r="T903" s="26" t="n">
        <v>0</v>
      </c>
      <c r="U903" s="26" t="n">
        <v>0</v>
      </c>
    </row>
    <row r="904" customFormat="false" ht="15" hidden="false" customHeight="true" outlineLevel="0" collapsed="false">
      <c r="A904" s="8" t="s">
        <v>944</v>
      </c>
      <c r="B904" s="8" t="s">
        <v>178</v>
      </c>
      <c r="C904" s="8" t="s">
        <v>714</v>
      </c>
      <c r="D904" s="26" t="n">
        <v>0</v>
      </c>
      <c r="E904" s="26" t="n">
        <v>0</v>
      </c>
      <c r="F904" s="26" t="n">
        <v>1</v>
      </c>
      <c r="G904" s="26" t="n">
        <v>0</v>
      </c>
      <c r="H904" s="26" t="n">
        <v>0</v>
      </c>
      <c r="I904" s="26" t="n">
        <v>0</v>
      </c>
      <c r="J904" s="26" t="n">
        <v>0</v>
      </c>
      <c r="K904" s="26" t="n">
        <v>0</v>
      </c>
      <c r="L904" s="26" t="n">
        <v>0</v>
      </c>
      <c r="M904" s="26" t="n">
        <v>0</v>
      </c>
      <c r="N904" s="26" t="n">
        <v>0</v>
      </c>
      <c r="O904" s="26" t="n">
        <v>0</v>
      </c>
      <c r="P904" s="26" t="n">
        <v>0</v>
      </c>
      <c r="Q904" s="26" t="n">
        <v>0</v>
      </c>
      <c r="R904" s="26" t="n">
        <v>0</v>
      </c>
      <c r="S904" s="26" t="n">
        <v>0</v>
      </c>
      <c r="T904" s="26" t="n">
        <v>0</v>
      </c>
      <c r="U904" s="26" t="n">
        <v>0</v>
      </c>
    </row>
    <row r="905" customFormat="false" ht="15" hidden="false" customHeight="true" outlineLevel="0" collapsed="false">
      <c r="A905" s="8" t="s">
        <v>944</v>
      </c>
      <c r="B905" s="8" t="s">
        <v>178</v>
      </c>
      <c r="C905" s="8" t="s">
        <v>715</v>
      </c>
      <c r="D905" s="26" t="n">
        <v>0</v>
      </c>
      <c r="E905" s="26" t="n">
        <v>0</v>
      </c>
      <c r="F905" s="26" t="n">
        <v>3</v>
      </c>
      <c r="G905" s="26" t="n">
        <v>0</v>
      </c>
      <c r="H905" s="26" t="n">
        <v>0</v>
      </c>
      <c r="I905" s="26" t="n">
        <v>0</v>
      </c>
      <c r="J905" s="26" t="n">
        <v>0</v>
      </c>
      <c r="K905" s="26" t="n">
        <v>0</v>
      </c>
      <c r="L905" s="26" t="n">
        <v>0</v>
      </c>
      <c r="M905" s="26" t="n">
        <v>0</v>
      </c>
      <c r="N905" s="26" t="n">
        <v>0</v>
      </c>
      <c r="O905" s="26" t="n">
        <v>0</v>
      </c>
      <c r="P905" s="26" t="n">
        <v>0</v>
      </c>
      <c r="Q905" s="26" t="n">
        <v>0</v>
      </c>
      <c r="R905" s="26" t="n">
        <v>0</v>
      </c>
      <c r="S905" s="26" t="n">
        <v>0</v>
      </c>
      <c r="T905" s="26" t="n">
        <v>0</v>
      </c>
      <c r="U905" s="26" t="n">
        <v>0</v>
      </c>
    </row>
    <row r="906" customFormat="false" ht="15" hidden="false" customHeight="true" outlineLevel="0" collapsed="false">
      <c r="A906" s="8" t="s">
        <v>944</v>
      </c>
      <c r="B906" s="8" t="s">
        <v>109</v>
      </c>
      <c r="C906" s="8" t="s">
        <v>716</v>
      </c>
      <c r="D906" s="26" t="n">
        <v>0</v>
      </c>
      <c r="E906" s="26" t="n">
        <v>0</v>
      </c>
      <c r="F906" s="26" t="n">
        <v>699</v>
      </c>
      <c r="G906" s="26" t="n">
        <v>0</v>
      </c>
      <c r="H906" s="26" t="n">
        <v>0</v>
      </c>
      <c r="I906" s="26" t="n">
        <v>2328</v>
      </c>
      <c r="J906" s="26" t="n">
        <v>0</v>
      </c>
      <c r="K906" s="26" t="n">
        <v>6</v>
      </c>
      <c r="L906" s="26" t="n">
        <v>0</v>
      </c>
      <c r="M906" s="26" t="n">
        <v>2</v>
      </c>
      <c r="N906" s="26" t="n">
        <v>9</v>
      </c>
      <c r="O906" s="26" t="n">
        <v>4</v>
      </c>
      <c r="P906" s="26" t="n">
        <v>-16</v>
      </c>
      <c r="Q906" s="26" t="n">
        <v>2132</v>
      </c>
      <c r="R906" s="26" t="n">
        <v>191</v>
      </c>
      <c r="S906" s="26" t="n">
        <v>0</v>
      </c>
      <c r="T906" s="26" t="n">
        <v>0</v>
      </c>
      <c r="U906" s="26" t="n">
        <v>0</v>
      </c>
    </row>
    <row r="907" customFormat="false" ht="15" hidden="false" customHeight="true" outlineLevel="0" collapsed="false">
      <c r="A907" s="8" t="s">
        <v>944</v>
      </c>
      <c r="B907" s="8" t="s">
        <v>85</v>
      </c>
      <c r="C907" s="8" t="s">
        <v>717</v>
      </c>
      <c r="D907" s="26" t="n">
        <v>0</v>
      </c>
      <c r="E907" s="26" t="n">
        <v>0</v>
      </c>
      <c r="F907" s="26" t="n">
        <v>106</v>
      </c>
      <c r="G907" s="26" t="n">
        <v>0</v>
      </c>
      <c r="H907" s="26" t="n">
        <v>0</v>
      </c>
      <c r="I907" s="26" t="n">
        <v>704</v>
      </c>
      <c r="J907" s="26" t="n">
        <v>0</v>
      </c>
      <c r="K907" s="26" t="n">
        <v>5</v>
      </c>
      <c r="L907" s="26" t="n">
        <v>0</v>
      </c>
      <c r="M907" s="26" t="n">
        <v>0</v>
      </c>
      <c r="N907" s="26" t="n">
        <v>0</v>
      </c>
      <c r="O907" s="26" t="n">
        <v>1</v>
      </c>
      <c r="P907" s="26" t="n">
        <v>-13</v>
      </c>
      <c r="Q907" s="26" t="n">
        <v>648</v>
      </c>
      <c r="R907" s="26" t="n">
        <v>63</v>
      </c>
      <c r="S907" s="26" t="n">
        <v>0</v>
      </c>
      <c r="T907" s="26" t="n">
        <v>0</v>
      </c>
      <c r="U907" s="26" t="n">
        <v>0</v>
      </c>
    </row>
    <row r="908" customFormat="false" ht="15" hidden="false" customHeight="true" outlineLevel="0" collapsed="false">
      <c r="A908" s="8" t="s">
        <v>944</v>
      </c>
      <c r="B908" s="8" t="s">
        <v>85</v>
      </c>
      <c r="C908" s="8" t="s">
        <v>718</v>
      </c>
      <c r="D908" s="26" t="n">
        <v>0</v>
      </c>
      <c r="E908" s="26" t="n">
        <v>0</v>
      </c>
      <c r="F908" s="26" t="n">
        <v>90</v>
      </c>
      <c r="G908" s="26" t="n">
        <v>0</v>
      </c>
      <c r="H908" s="26" t="n">
        <v>0</v>
      </c>
      <c r="I908" s="26" t="n">
        <v>851</v>
      </c>
      <c r="J908" s="26" t="n">
        <v>0</v>
      </c>
      <c r="K908" s="26" t="n">
        <v>0</v>
      </c>
      <c r="L908" s="26" t="n">
        <v>0</v>
      </c>
      <c r="M908" s="26" t="n">
        <v>0</v>
      </c>
      <c r="N908" s="26" t="n">
        <v>1</v>
      </c>
      <c r="O908" s="26" t="n">
        <v>1</v>
      </c>
      <c r="P908" s="26" t="n">
        <v>-10</v>
      </c>
      <c r="Q908" s="26" t="n">
        <v>797</v>
      </c>
      <c r="R908" s="26" t="n">
        <v>62</v>
      </c>
      <c r="S908" s="26" t="n">
        <v>0</v>
      </c>
      <c r="T908" s="26" t="n">
        <v>0</v>
      </c>
      <c r="U908" s="26" t="n">
        <v>0</v>
      </c>
    </row>
    <row r="909" customFormat="false" ht="15" hidden="false" customHeight="true" outlineLevel="0" collapsed="false">
      <c r="A909" s="8" t="s">
        <v>944</v>
      </c>
      <c r="B909" s="8" t="s">
        <v>85</v>
      </c>
      <c r="C909" s="8" t="s">
        <v>719</v>
      </c>
      <c r="D909" s="26" t="n">
        <v>0</v>
      </c>
      <c r="E909" s="26" t="n">
        <v>0</v>
      </c>
      <c r="F909" s="26" t="n">
        <v>53</v>
      </c>
      <c r="G909" s="26" t="n">
        <v>0</v>
      </c>
      <c r="H909" s="26" t="n">
        <v>0</v>
      </c>
      <c r="I909" s="26" t="n">
        <v>638</v>
      </c>
      <c r="J909" s="26" t="n">
        <v>0</v>
      </c>
      <c r="K909" s="26" t="n">
        <v>2</v>
      </c>
      <c r="L909" s="26" t="n">
        <v>0</v>
      </c>
      <c r="M909" s="26" t="n">
        <v>0</v>
      </c>
      <c r="N909" s="26" t="n">
        <v>0</v>
      </c>
      <c r="O909" s="26" t="n">
        <v>0</v>
      </c>
      <c r="P909" s="26" t="n">
        <v>-8</v>
      </c>
      <c r="Q909" s="26" t="n">
        <v>589</v>
      </c>
      <c r="R909" s="26" t="n">
        <v>55</v>
      </c>
      <c r="S909" s="26" t="n">
        <v>0</v>
      </c>
      <c r="T909" s="26" t="n">
        <v>0</v>
      </c>
      <c r="U909" s="26" t="n">
        <v>0</v>
      </c>
    </row>
    <row r="910" customFormat="false" ht="15" hidden="false" customHeight="true" outlineLevel="0" collapsed="false">
      <c r="A910" s="8" t="s">
        <v>944</v>
      </c>
      <c r="B910" s="8" t="s">
        <v>85</v>
      </c>
      <c r="C910" s="8" t="s">
        <v>720</v>
      </c>
      <c r="D910" s="26" t="n">
        <v>0</v>
      </c>
      <c r="E910" s="26" t="n">
        <v>0</v>
      </c>
      <c r="F910" s="26" t="n">
        <v>70</v>
      </c>
      <c r="G910" s="26" t="n">
        <v>0</v>
      </c>
      <c r="H910" s="26" t="n">
        <v>0</v>
      </c>
      <c r="I910" s="26" t="n">
        <v>541</v>
      </c>
      <c r="J910" s="26" t="n">
        <v>0</v>
      </c>
      <c r="K910" s="26" t="n">
        <v>1</v>
      </c>
      <c r="L910" s="26" t="n">
        <v>0</v>
      </c>
      <c r="M910" s="26" t="n">
        <v>0</v>
      </c>
      <c r="N910" s="26" t="n">
        <v>0</v>
      </c>
      <c r="O910" s="26" t="n">
        <v>0</v>
      </c>
      <c r="P910" s="26" t="n">
        <v>-7</v>
      </c>
      <c r="Q910" s="26" t="n">
        <v>514</v>
      </c>
      <c r="R910" s="26" t="n">
        <v>33</v>
      </c>
      <c r="S910" s="26" t="n">
        <v>0</v>
      </c>
      <c r="T910" s="26" t="n">
        <v>0</v>
      </c>
      <c r="U910" s="26" t="n">
        <v>0</v>
      </c>
    </row>
    <row r="911" customFormat="false" ht="15" hidden="false" customHeight="true" outlineLevel="0" collapsed="false">
      <c r="A911" s="8" t="s">
        <v>944</v>
      </c>
      <c r="B911" s="8" t="s">
        <v>85</v>
      </c>
      <c r="C911" s="8" t="s">
        <v>721</v>
      </c>
      <c r="D911" s="26" t="n">
        <v>0</v>
      </c>
      <c r="E911" s="26" t="n">
        <v>0</v>
      </c>
      <c r="F911" s="26" t="n">
        <v>3</v>
      </c>
      <c r="G911" s="26" t="n">
        <v>0</v>
      </c>
      <c r="H911" s="26" t="n">
        <v>0</v>
      </c>
      <c r="I911" s="26" t="n">
        <v>1</v>
      </c>
      <c r="J911" s="26" t="n">
        <v>0</v>
      </c>
      <c r="K911" s="26" t="n">
        <v>1</v>
      </c>
      <c r="L911" s="26" t="n">
        <v>0</v>
      </c>
      <c r="M911" s="26" t="n">
        <v>0</v>
      </c>
      <c r="N911" s="26" t="n">
        <v>0</v>
      </c>
      <c r="O911" s="26" t="n">
        <v>0</v>
      </c>
      <c r="P911" s="26" t="n">
        <v>-2</v>
      </c>
      <c r="Q911" s="26" t="n">
        <v>2</v>
      </c>
      <c r="R911" s="26" t="n">
        <v>0</v>
      </c>
      <c r="S911" s="26" t="n">
        <v>0</v>
      </c>
      <c r="T911" s="26" t="n">
        <v>0</v>
      </c>
      <c r="U911" s="26" t="n">
        <v>0</v>
      </c>
    </row>
    <row r="912" customFormat="false" ht="15" hidden="false" customHeight="true" outlineLevel="0" collapsed="false">
      <c r="A912" s="8" t="s">
        <v>944</v>
      </c>
      <c r="B912" s="8" t="s">
        <v>89</v>
      </c>
      <c r="C912" s="8" t="s">
        <v>722</v>
      </c>
      <c r="D912" s="26" t="n">
        <v>0</v>
      </c>
      <c r="E912" s="26" t="n">
        <v>0</v>
      </c>
      <c r="F912" s="26" t="n">
        <v>62</v>
      </c>
      <c r="G912" s="26" t="n">
        <v>0</v>
      </c>
      <c r="H912" s="26" t="n">
        <v>0</v>
      </c>
      <c r="I912" s="26" t="n">
        <v>591</v>
      </c>
      <c r="J912" s="26" t="n">
        <v>0</v>
      </c>
      <c r="K912" s="26" t="n">
        <v>1</v>
      </c>
      <c r="L912" s="26" t="n">
        <v>0</v>
      </c>
      <c r="M912" s="26" t="n">
        <v>0</v>
      </c>
      <c r="N912" s="26" t="n">
        <v>0</v>
      </c>
      <c r="O912" s="26" t="n">
        <v>0</v>
      </c>
      <c r="P912" s="26" t="n">
        <v>-7</v>
      </c>
      <c r="Q912" s="26" t="n">
        <v>545</v>
      </c>
      <c r="R912" s="26" t="n">
        <v>52</v>
      </c>
      <c r="S912" s="26" t="n">
        <v>0</v>
      </c>
      <c r="T912" s="26" t="n">
        <v>0</v>
      </c>
      <c r="U912" s="26" t="n">
        <v>0</v>
      </c>
    </row>
    <row r="913" customFormat="false" ht="15" hidden="false" customHeight="true" outlineLevel="0" collapsed="false">
      <c r="A913" s="8" t="s">
        <v>944</v>
      </c>
      <c r="B913" s="8" t="s">
        <v>89</v>
      </c>
      <c r="C913" s="8" t="s">
        <v>723</v>
      </c>
      <c r="D913" s="26" t="n">
        <v>0</v>
      </c>
      <c r="E913" s="26" t="n">
        <v>0</v>
      </c>
      <c r="F913" s="26" t="n">
        <v>80</v>
      </c>
      <c r="G913" s="26" t="n">
        <v>0</v>
      </c>
      <c r="H913" s="26" t="n">
        <v>0</v>
      </c>
      <c r="I913" s="26" t="n">
        <v>684</v>
      </c>
      <c r="J913" s="26" t="n">
        <v>0</v>
      </c>
      <c r="K913" s="26" t="n">
        <v>2</v>
      </c>
      <c r="L913" s="26" t="n">
        <v>0</v>
      </c>
      <c r="M913" s="26" t="n">
        <v>0</v>
      </c>
      <c r="N913" s="26" t="n">
        <v>0</v>
      </c>
      <c r="O913" s="26" t="n">
        <v>0</v>
      </c>
      <c r="P913" s="26" t="n">
        <v>-12</v>
      </c>
      <c r="Q913" s="26" t="n">
        <v>621</v>
      </c>
      <c r="R913" s="26" t="n">
        <v>73</v>
      </c>
      <c r="S913" s="26" t="n">
        <v>0</v>
      </c>
      <c r="T913" s="26" t="n">
        <v>0</v>
      </c>
      <c r="U913" s="26" t="n">
        <v>0</v>
      </c>
    </row>
    <row r="914" customFormat="false" ht="15" hidden="false" customHeight="true" outlineLevel="0" collapsed="false">
      <c r="A914" s="8" t="s">
        <v>944</v>
      </c>
      <c r="B914" s="8" t="s">
        <v>89</v>
      </c>
      <c r="C914" s="8" t="s">
        <v>724</v>
      </c>
      <c r="D914" s="26" t="n">
        <v>0</v>
      </c>
      <c r="E914" s="26" t="n">
        <v>0</v>
      </c>
      <c r="F914" s="26" t="n">
        <v>62</v>
      </c>
      <c r="G914" s="26" t="n">
        <v>0</v>
      </c>
      <c r="H914" s="26" t="n">
        <v>0</v>
      </c>
      <c r="I914" s="26" t="n">
        <v>681</v>
      </c>
      <c r="J914" s="26" t="n">
        <v>0</v>
      </c>
      <c r="K914" s="26" t="n">
        <v>5</v>
      </c>
      <c r="L914" s="26" t="n">
        <v>-1</v>
      </c>
      <c r="M914" s="26" t="n">
        <v>0</v>
      </c>
      <c r="N914" s="26" t="n">
        <v>0</v>
      </c>
      <c r="O914" s="26" t="n">
        <v>0</v>
      </c>
      <c r="P914" s="26" t="n">
        <v>-5</v>
      </c>
      <c r="Q914" s="26" t="n">
        <v>601</v>
      </c>
      <c r="R914" s="26" t="n">
        <v>81</v>
      </c>
      <c r="S914" s="26" t="n">
        <v>0</v>
      </c>
      <c r="T914" s="26" t="n">
        <v>0</v>
      </c>
      <c r="U914" s="26" t="n">
        <v>0</v>
      </c>
    </row>
    <row r="915" customFormat="false" ht="15" hidden="false" customHeight="true" outlineLevel="0" collapsed="false">
      <c r="A915" s="8" t="s">
        <v>944</v>
      </c>
      <c r="B915" s="8" t="s">
        <v>89</v>
      </c>
      <c r="C915" s="8" t="s">
        <v>725</v>
      </c>
      <c r="D915" s="26" t="n">
        <v>0</v>
      </c>
      <c r="E915" s="26" t="n">
        <v>0</v>
      </c>
      <c r="F915" s="26" t="n">
        <v>33</v>
      </c>
      <c r="G915" s="26" t="n">
        <v>0</v>
      </c>
      <c r="H915" s="26" t="n">
        <v>0</v>
      </c>
      <c r="I915" s="26" t="n">
        <v>242</v>
      </c>
      <c r="J915" s="26" t="n">
        <v>0</v>
      </c>
      <c r="K915" s="26" t="n">
        <v>2</v>
      </c>
      <c r="L915" s="26" t="n">
        <v>0</v>
      </c>
      <c r="M915" s="26" t="n">
        <v>0</v>
      </c>
      <c r="N915" s="26" t="n">
        <v>0</v>
      </c>
      <c r="O915" s="26" t="n">
        <v>0</v>
      </c>
      <c r="P915" s="26" t="n">
        <v>-7</v>
      </c>
      <c r="Q915" s="26" t="n">
        <v>224</v>
      </c>
      <c r="R915" s="26" t="n">
        <v>23</v>
      </c>
      <c r="S915" s="26" t="n">
        <v>0</v>
      </c>
      <c r="T915" s="26" t="n">
        <v>0</v>
      </c>
      <c r="U915" s="26" t="n">
        <v>0</v>
      </c>
    </row>
    <row r="916" customFormat="false" ht="15" hidden="false" customHeight="true" outlineLevel="0" collapsed="false">
      <c r="A916" s="8" t="s">
        <v>944</v>
      </c>
      <c r="B916" s="8" t="s">
        <v>290</v>
      </c>
      <c r="C916" s="8" t="s">
        <v>726</v>
      </c>
      <c r="D916" s="26" t="n">
        <v>0</v>
      </c>
      <c r="E916" s="26" t="n">
        <v>0</v>
      </c>
      <c r="F916" s="26" t="n">
        <v>1</v>
      </c>
      <c r="G916" s="26" t="n">
        <v>0</v>
      </c>
      <c r="H916" s="26" t="n">
        <v>0</v>
      </c>
      <c r="I916" s="26" t="n">
        <v>0</v>
      </c>
      <c r="J916" s="26" t="n">
        <v>0</v>
      </c>
      <c r="K916" s="26" t="n">
        <v>0</v>
      </c>
      <c r="L916" s="26" t="n">
        <v>0</v>
      </c>
      <c r="M916" s="26" t="n">
        <v>0</v>
      </c>
      <c r="N916" s="26" t="n">
        <v>0</v>
      </c>
      <c r="O916" s="26" t="n">
        <v>0</v>
      </c>
      <c r="P916" s="26" t="n">
        <v>0</v>
      </c>
      <c r="Q916" s="26" t="n">
        <v>0</v>
      </c>
      <c r="R916" s="26" t="n">
        <v>0</v>
      </c>
      <c r="S916" s="26" t="n">
        <v>0</v>
      </c>
      <c r="T916" s="26" t="n">
        <v>0</v>
      </c>
      <c r="U916" s="26" t="n">
        <v>0</v>
      </c>
    </row>
    <row r="917" customFormat="false" ht="15" hidden="false" customHeight="true" outlineLevel="0" collapsed="false">
      <c r="A917" s="8" t="s">
        <v>944</v>
      </c>
      <c r="B917" s="8" t="s">
        <v>281</v>
      </c>
      <c r="C917" s="8" t="s">
        <v>727</v>
      </c>
      <c r="D917" s="26" t="n">
        <v>0</v>
      </c>
      <c r="E917" s="26" t="n">
        <v>0</v>
      </c>
      <c r="F917" s="26" t="n">
        <v>10</v>
      </c>
      <c r="G917" s="26" t="n">
        <v>0</v>
      </c>
      <c r="H917" s="26" t="n">
        <v>0</v>
      </c>
      <c r="I917" s="26" t="n">
        <v>1</v>
      </c>
      <c r="J917" s="26" t="n">
        <v>0</v>
      </c>
      <c r="K917" s="26" t="n">
        <v>0</v>
      </c>
      <c r="L917" s="26" t="n">
        <v>0</v>
      </c>
      <c r="M917" s="26" t="n">
        <v>0</v>
      </c>
      <c r="N917" s="26" t="n">
        <v>0</v>
      </c>
      <c r="O917" s="26" t="n">
        <v>0</v>
      </c>
      <c r="P917" s="26" t="n">
        <v>0</v>
      </c>
      <c r="Q917" s="26" t="n">
        <v>1</v>
      </c>
      <c r="R917" s="26" t="n">
        <v>0</v>
      </c>
      <c r="S917" s="26" t="n">
        <v>0</v>
      </c>
      <c r="T917" s="26" t="n">
        <v>0</v>
      </c>
      <c r="U917" s="26" t="n">
        <v>0</v>
      </c>
    </row>
    <row r="918" customFormat="false" ht="15" hidden="false" customHeight="true" outlineLevel="0" collapsed="false">
      <c r="A918" s="8" t="s">
        <v>944</v>
      </c>
      <c r="B918" s="8" t="s">
        <v>301</v>
      </c>
      <c r="C918" s="8" t="s">
        <v>728</v>
      </c>
      <c r="D918" s="26" t="n">
        <v>0</v>
      </c>
      <c r="E918" s="26" t="n">
        <v>0</v>
      </c>
      <c r="F918" s="26" t="n">
        <v>2</v>
      </c>
      <c r="G918" s="26" t="n">
        <v>0</v>
      </c>
      <c r="H918" s="26" t="n">
        <v>0</v>
      </c>
      <c r="I918" s="26" t="n">
        <v>0</v>
      </c>
      <c r="J918" s="26" t="n">
        <v>0</v>
      </c>
      <c r="K918" s="26" t="n">
        <v>0</v>
      </c>
      <c r="L918" s="26" t="n">
        <v>0</v>
      </c>
      <c r="M918" s="26" t="n">
        <v>0</v>
      </c>
      <c r="N918" s="26" t="n">
        <v>0</v>
      </c>
      <c r="O918" s="26" t="n">
        <v>0</v>
      </c>
      <c r="P918" s="26" t="n">
        <v>-5</v>
      </c>
      <c r="Q918" s="26" t="n">
        <v>0</v>
      </c>
      <c r="R918" s="26" t="n">
        <v>5</v>
      </c>
      <c r="S918" s="26" t="n">
        <v>0</v>
      </c>
      <c r="T918" s="26" t="n">
        <v>0</v>
      </c>
      <c r="U918" s="26" t="n">
        <v>0</v>
      </c>
    </row>
    <row r="919" customFormat="false" ht="15" hidden="false" customHeight="true" outlineLevel="0" collapsed="false">
      <c r="A919" s="8" t="s">
        <v>944</v>
      </c>
      <c r="B919" s="8" t="s">
        <v>116</v>
      </c>
      <c r="C919" s="8" t="s">
        <v>729</v>
      </c>
      <c r="D919" s="26" t="n">
        <v>0</v>
      </c>
      <c r="E919" s="26" t="n">
        <v>0</v>
      </c>
      <c r="F919" s="26" t="n">
        <v>362</v>
      </c>
      <c r="G919" s="26" t="n">
        <v>0</v>
      </c>
      <c r="H919" s="26" t="n">
        <v>0</v>
      </c>
      <c r="I919" s="26" t="n">
        <v>25</v>
      </c>
      <c r="J919" s="26" t="n">
        <v>0</v>
      </c>
      <c r="K919" s="26" t="n">
        <v>13</v>
      </c>
      <c r="L919" s="26" t="n">
        <v>0</v>
      </c>
      <c r="M919" s="26" t="n">
        <v>0</v>
      </c>
      <c r="N919" s="26" t="n">
        <v>2</v>
      </c>
      <c r="O919" s="26" t="n">
        <v>0</v>
      </c>
      <c r="P919" s="26" t="n">
        <v>-1</v>
      </c>
      <c r="Q919" s="26" t="n">
        <v>0</v>
      </c>
      <c r="R919" s="26" t="n">
        <v>11</v>
      </c>
      <c r="S919" s="26" t="n">
        <v>0</v>
      </c>
      <c r="T919" s="26" t="n">
        <v>0</v>
      </c>
      <c r="U919" s="26" t="n">
        <v>0</v>
      </c>
    </row>
    <row r="920" customFormat="false" ht="15" hidden="false" customHeight="true" outlineLevel="0" collapsed="false">
      <c r="A920" s="8" t="s">
        <v>944</v>
      </c>
      <c r="B920" s="8" t="s">
        <v>135</v>
      </c>
      <c r="C920" s="8" t="s">
        <v>730</v>
      </c>
      <c r="D920" s="26" t="n">
        <v>0</v>
      </c>
      <c r="E920" s="26" t="n">
        <v>0</v>
      </c>
      <c r="F920" s="26" t="n">
        <v>408</v>
      </c>
      <c r="G920" s="26" t="n">
        <v>0</v>
      </c>
      <c r="H920" s="26" t="n">
        <v>0</v>
      </c>
      <c r="I920" s="26" t="n">
        <v>29</v>
      </c>
      <c r="J920" s="26" t="n">
        <v>0</v>
      </c>
      <c r="K920" s="26" t="n">
        <v>4</v>
      </c>
      <c r="L920" s="26" t="n">
        <v>0</v>
      </c>
      <c r="M920" s="26" t="n">
        <v>2</v>
      </c>
      <c r="N920" s="26" t="n">
        <v>3</v>
      </c>
      <c r="O920" s="26" t="n">
        <v>0</v>
      </c>
      <c r="P920" s="26" t="n">
        <v>-1</v>
      </c>
      <c r="Q920" s="26" t="n">
        <v>0</v>
      </c>
      <c r="R920" s="26" t="n">
        <v>21</v>
      </c>
      <c r="S920" s="26" t="n">
        <v>0</v>
      </c>
      <c r="T920" s="26" t="n">
        <v>0</v>
      </c>
      <c r="U920" s="26" t="n">
        <v>0</v>
      </c>
    </row>
    <row r="921" customFormat="false" ht="15" hidden="false" customHeight="true" outlineLevel="0" collapsed="false">
      <c r="A921" s="8" t="s">
        <v>944</v>
      </c>
      <c r="B921" s="8" t="s">
        <v>119</v>
      </c>
      <c r="C921" s="8" t="s">
        <v>731</v>
      </c>
      <c r="D921" s="26" t="n">
        <v>0</v>
      </c>
      <c r="E921" s="26" t="n">
        <v>0</v>
      </c>
      <c r="F921" s="26" t="n">
        <v>637</v>
      </c>
      <c r="G921" s="26" t="n">
        <v>0</v>
      </c>
      <c r="H921" s="26" t="n">
        <v>0</v>
      </c>
      <c r="I921" s="26" t="n">
        <v>256</v>
      </c>
      <c r="J921" s="26" t="n">
        <v>0</v>
      </c>
      <c r="K921" s="26" t="n">
        <v>0</v>
      </c>
      <c r="L921" s="26" t="n">
        <v>0</v>
      </c>
      <c r="M921" s="26" t="n">
        <v>9</v>
      </c>
      <c r="N921" s="26" t="n">
        <v>6</v>
      </c>
      <c r="O921" s="26" t="n">
        <v>0</v>
      </c>
      <c r="P921" s="26" t="n">
        <v>-1</v>
      </c>
      <c r="Q921" s="26" t="n">
        <v>194</v>
      </c>
      <c r="R921" s="26" t="n">
        <v>48</v>
      </c>
      <c r="S921" s="26" t="n">
        <v>0</v>
      </c>
      <c r="T921" s="26" t="n">
        <v>0</v>
      </c>
      <c r="U921" s="26" t="n">
        <v>0</v>
      </c>
    </row>
    <row r="922" customFormat="false" ht="15" hidden="false" customHeight="true" outlineLevel="0" collapsed="false">
      <c r="A922" s="8" t="s">
        <v>944</v>
      </c>
      <c r="B922" s="8" t="s">
        <v>291</v>
      </c>
      <c r="C922" s="8" t="s">
        <v>732</v>
      </c>
      <c r="D922" s="26" t="n">
        <v>0</v>
      </c>
      <c r="E922" s="26" t="n">
        <v>0</v>
      </c>
      <c r="F922" s="26" t="n">
        <v>0</v>
      </c>
      <c r="G922" s="26" t="n">
        <v>0</v>
      </c>
      <c r="H922" s="26" t="n">
        <v>0</v>
      </c>
      <c r="I922" s="26" t="n">
        <v>2</v>
      </c>
      <c r="J922" s="26" t="n">
        <v>0</v>
      </c>
      <c r="K922" s="26" t="n">
        <v>0</v>
      </c>
      <c r="L922" s="26" t="n">
        <v>0</v>
      </c>
      <c r="M922" s="26" t="n">
        <v>0</v>
      </c>
      <c r="N922" s="26" t="n">
        <v>0</v>
      </c>
      <c r="O922" s="26" t="n">
        <v>0</v>
      </c>
      <c r="P922" s="26" t="n">
        <v>-1</v>
      </c>
      <c r="Q922" s="26" t="n">
        <v>2</v>
      </c>
      <c r="R922" s="26" t="n">
        <v>1</v>
      </c>
      <c r="S922" s="26" t="n">
        <v>0</v>
      </c>
      <c r="T922" s="26" t="n">
        <v>0</v>
      </c>
      <c r="U922" s="26" t="n">
        <v>0</v>
      </c>
    </row>
    <row r="923" customFormat="false" ht="15" hidden="false" customHeight="true" outlineLevel="0" collapsed="false">
      <c r="A923" s="8" t="s">
        <v>944</v>
      </c>
      <c r="B923" s="8" t="s">
        <v>291</v>
      </c>
      <c r="C923" s="8" t="s">
        <v>733</v>
      </c>
      <c r="D923" s="26" t="n">
        <v>0</v>
      </c>
      <c r="E923" s="26" t="n">
        <v>0</v>
      </c>
      <c r="F923" s="26" t="n">
        <v>0</v>
      </c>
      <c r="G923" s="26" t="n">
        <v>0</v>
      </c>
      <c r="H923" s="26" t="n">
        <v>0</v>
      </c>
      <c r="I923" s="26" t="n">
        <v>-2</v>
      </c>
      <c r="J923" s="26" t="n">
        <v>0</v>
      </c>
      <c r="K923" s="26" t="n">
        <v>0</v>
      </c>
      <c r="L923" s="26" t="n">
        <v>0</v>
      </c>
      <c r="M923" s="26" t="n">
        <v>0</v>
      </c>
      <c r="N923" s="26" t="n">
        <v>0</v>
      </c>
      <c r="O923" s="26" t="n">
        <v>0</v>
      </c>
      <c r="P923" s="26" t="n">
        <v>-2</v>
      </c>
      <c r="Q923" s="26" t="n">
        <v>0</v>
      </c>
      <c r="R923" s="26" t="n">
        <v>0</v>
      </c>
      <c r="S923" s="26" t="n">
        <v>0</v>
      </c>
      <c r="T923" s="26" t="n">
        <v>0</v>
      </c>
      <c r="U923" s="26" t="n">
        <v>0</v>
      </c>
    </row>
    <row r="924" customFormat="false" ht="15" hidden="false" customHeight="true" outlineLevel="0" collapsed="false">
      <c r="A924" s="8" t="s">
        <v>944</v>
      </c>
      <c r="B924" s="8" t="s">
        <v>262</v>
      </c>
      <c r="C924" s="8" t="s">
        <v>734</v>
      </c>
      <c r="D924" s="26" t="n">
        <v>0</v>
      </c>
      <c r="E924" s="26" t="n">
        <v>0</v>
      </c>
      <c r="F924" s="26" t="n">
        <v>7</v>
      </c>
      <c r="G924" s="26" t="n">
        <v>0</v>
      </c>
      <c r="H924" s="26" t="n">
        <v>0</v>
      </c>
      <c r="I924" s="26" t="n">
        <v>0</v>
      </c>
      <c r="J924" s="26" t="n">
        <v>0</v>
      </c>
      <c r="K924" s="26" t="n">
        <v>0</v>
      </c>
      <c r="L924" s="26" t="n">
        <v>0</v>
      </c>
      <c r="M924" s="26" t="n">
        <v>0</v>
      </c>
      <c r="N924" s="26" t="n">
        <v>0</v>
      </c>
      <c r="O924" s="26" t="n">
        <v>0</v>
      </c>
      <c r="P924" s="26" t="n">
        <v>0</v>
      </c>
      <c r="Q924" s="26" t="n">
        <v>0</v>
      </c>
      <c r="R924" s="26" t="n">
        <v>0</v>
      </c>
      <c r="S924" s="26" t="n">
        <v>0</v>
      </c>
      <c r="T924" s="26" t="n">
        <v>0</v>
      </c>
      <c r="U924" s="26" t="n">
        <v>0</v>
      </c>
    </row>
    <row r="925" customFormat="false" ht="15" hidden="false" customHeight="true" outlineLevel="0" collapsed="false">
      <c r="A925" s="8" t="s">
        <v>944</v>
      </c>
      <c r="B925" s="8" t="s">
        <v>262</v>
      </c>
      <c r="C925" s="8" t="s">
        <v>735</v>
      </c>
      <c r="D925" s="26" t="n">
        <v>0</v>
      </c>
      <c r="E925" s="26" t="n">
        <v>0</v>
      </c>
      <c r="F925" s="26" t="n">
        <v>1</v>
      </c>
      <c r="G925" s="26" t="n">
        <v>0</v>
      </c>
      <c r="H925" s="26" t="n">
        <v>0</v>
      </c>
      <c r="I925" s="26" t="n">
        <v>0</v>
      </c>
      <c r="J925" s="26" t="n">
        <v>0</v>
      </c>
      <c r="K925" s="26" t="n">
        <v>0</v>
      </c>
      <c r="L925" s="26" t="n">
        <v>0</v>
      </c>
      <c r="M925" s="26" t="n">
        <v>0</v>
      </c>
      <c r="N925" s="26" t="n">
        <v>0</v>
      </c>
      <c r="O925" s="26" t="n">
        <v>0</v>
      </c>
      <c r="P925" s="26" t="n">
        <v>0</v>
      </c>
      <c r="Q925" s="26" t="n">
        <v>0</v>
      </c>
      <c r="R925" s="26" t="n">
        <v>0</v>
      </c>
      <c r="S925" s="26" t="n">
        <v>0</v>
      </c>
      <c r="T925" s="26" t="n">
        <v>0</v>
      </c>
      <c r="U925" s="26" t="n">
        <v>0</v>
      </c>
    </row>
    <row r="926" customFormat="false" ht="15" hidden="false" customHeight="true" outlineLevel="0" collapsed="false">
      <c r="A926" s="8" t="s">
        <v>944</v>
      </c>
      <c r="B926" s="8" t="s">
        <v>262</v>
      </c>
      <c r="C926" s="8" t="s">
        <v>733</v>
      </c>
      <c r="D926" s="26" t="n">
        <v>0</v>
      </c>
      <c r="E926" s="26" t="n">
        <v>0</v>
      </c>
      <c r="F926" s="26" t="n">
        <v>4</v>
      </c>
      <c r="G926" s="26" t="n">
        <v>0</v>
      </c>
      <c r="H926" s="26" t="n">
        <v>0</v>
      </c>
      <c r="I926" s="26" t="n">
        <v>0</v>
      </c>
      <c r="J926" s="26" t="n">
        <v>0</v>
      </c>
      <c r="K926" s="26" t="n">
        <v>0</v>
      </c>
      <c r="L926" s="26" t="n">
        <v>0</v>
      </c>
      <c r="M926" s="26" t="n">
        <v>0</v>
      </c>
      <c r="N926" s="26" t="n">
        <v>0</v>
      </c>
      <c r="O926" s="26" t="n">
        <v>0</v>
      </c>
      <c r="P926" s="26" t="n">
        <v>0</v>
      </c>
      <c r="Q926" s="26" t="n">
        <v>0</v>
      </c>
      <c r="R926" s="26" t="n">
        <v>0</v>
      </c>
      <c r="S926" s="26" t="n">
        <v>0</v>
      </c>
      <c r="T926" s="26" t="n">
        <v>0</v>
      </c>
      <c r="U926" s="26" t="n">
        <v>0</v>
      </c>
    </row>
    <row r="927" customFormat="false" ht="15" hidden="false" customHeight="true" outlineLevel="0" collapsed="false">
      <c r="A927" s="8" t="s">
        <v>944</v>
      </c>
      <c r="B927" s="8" t="s">
        <v>195</v>
      </c>
      <c r="C927" s="8" t="s">
        <v>736</v>
      </c>
      <c r="D927" s="26" t="n">
        <v>0</v>
      </c>
      <c r="E927" s="26" t="n">
        <v>0</v>
      </c>
      <c r="F927" s="26" t="n">
        <v>47</v>
      </c>
      <c r="G927" s="26" t="n">
        <v>0</v>
      </c>
      <c r="H927" s="26" t="n">
        <v>0</v>
      </c>
      <c r="I927" s="26" t="n">
        <v>1437</v>
      </c>
      <c r="J927" s="26" t="n">
        <v>0</v>
      </c>
      <c r="K927" s="26" t="n">
        <v>5</v>
      </c>
      <c r="L927" s="26" t="n">
        <v>0</v>
      </c>
      <c r="M927" s="26" t="n">
        <v>0</v>
      </c>
      <c r="N927" s="26" t="n">
        <v>0</v>
      </c>
      <c r="O927" s="26" t="n">
        <v>1</v>
      </c>
      <c r="P927" s="26" t="n">
        <v>-7</v>
      </c>
      <c r="Q927" s="26" t="n">
        <v>1278</v>
      </c>
      <c r="R927" s="26" t="n">
        <v>160</v>
      </c>
      <c r="S927" s="26" t="n">
        <v>0</v>
      </c>
      <c r="T927" s="26" t="n">
        <v>0</v>
      </c>
      <c r="U927" s="26" t="n">
        <v>0</v>
      </c>
    </row>
    <row r="928" customFormat="false" ht="15" hidden="false" customHeight="true" outlineLevel="0" collapsed="false">
      <c r="A928" s="8" t="s">
        <v>944</v>
      </c>
      <c r="B928" s="8" t="s">
        <v>195</v>
      </c>
      <c r="C928" s="8" t="s">
        <v>737</v>
      </c>
      <c r="D928" s="26" t="n">
        <v>0</v>
      </c>
      <c r="E928" s="26" t="n">
        <v>0</v>
      </c>
      <c r="F928" s="26" t="n">
        <v>42</v>
      </c>
      <c r="G928" s="26" t="n">
        <v>0</v>
      </c>
      <c r="H928" s="26" t="n">
        <v>0</v>
      </c>
      <c r="I928" s="26" t="n">
        <v>967</v>
      </c>
      <c r="J928" s="26" t="n">
        <v>0</v>
      </c>
      <c r="K928" s="26" t="n">
        <v>1</v>
      </c>
      <c r="L928" s="26" t="n">
        <v>-2</v>
      </c>
      <c r="M928" s="26" t="n">
        <v>0</v>
      </c>
      <c r="N928" s="26" t="n">
        <v>1</v>
      </c>
      <c r="O928" s="26" t="n">
        <v>1</v>
      </c>
      <c r="P928" s="26" t="n">
        <v>-6</v>
      </c>
      <c r="Q928" s="26" t="n">
        <v>935</v>
      </c>
      <c r="R928" s="26" t="n">
        <v>37</v>
      </c>
      <c r="S928" s="26" t="n">
        <v>0</v>
      </c>
      <c r="T928" s="26" t="n">
        <v>0</v>
      </c>
      <c r="U928" s="26" t="n">
        <v>0</v>
      </c>
    </row>
    <row r="929" customFormat="false" ht="15" hidden="false" customHeight="true" outlineLevel="0" collapsed="false">
      <c r="A929" s="8" t="s">
        <v>944</v>
      </c>
      <c r="B929" s="8" t="s">
        <v>166</v>
      </c>
      <c r="C929" s="8" t="s">
        <v>736</v>
      </c>
      <c r="D929" s="26" t="n">
        <v>0</v>
      </c>
      <c r="E929" s="26" t="n">
        <v>0</v>
      </c>
      <c r="F929" s="26" t="n">
        <v>87</v>
      </c>
      <c r="G929" s="26" t="n">
        <v>0</v>
      </c>
      <c r="H929" s="26" t="n">
        <v>0</v>
      </c>
      <c r="I929" s="26" t="n">
        <v>298</v>
      </c>
      <c r="J929" s="26" t="n">
        <v>0</v>
      </c>
      <c r="K929" s="26" t="n">
        <v>0</v>
      </c>
      <c r="L929" s="26" t="n">
        <v>0</v>
      </c>
      <c r="M929" s="26" t="n">
        <v>0</v>
      </c>
      <c r="N929" s="26" t="n">
        <v>1</v>
      </c>
      <c r="O929" s="26" t="n">
        <v>0</v>
      </c>
      <c r="P929" s="26" t="n">
        <v>0</v>
      </c>
      <c r="Q929" s="26" t="n">
        <v>297</v>
      </c>
      <c r="R929" s="26" t="n">
        <v>0</v>
      </c>
      <c r="S929" s="26" t="n">
        <v>0</v>
      </c>
      <c r="T929" s="26" t="n">
        <v>0</v>
      </c>
      <c r="U929" s="26" t="n">
        <v>0</v>
      </c>
    </row>
    <row r="930" customFormat="false" ht="15" hidden="false" customHeight="true" outlineLevel="0" collapsed="false">
      <c r="A930" s="8" t="s">
        <v>944</v>
      </c>
      <c r="B930" s="8" t="s">
        <v>166</v>
      </c>
      <c r="C930" s="8" t="s">
        <v>737</v>
      </c>
      <c r="D930" s="26" t="n">
        <v>0</v>
      </c>
      <c r="E930" s="26" t="n">
        <v>0</v>
      </c>
      <c r="F930" s="26" t="n">
        <v>47</v>
      </c>
      <c r="G930" s="26" t="n">
        <v>0</v>
      </c>
      <c r="H930" s="26" t="n">
        <v>0</v>
      </c>
      <c r="I930" s="26" t="n">
        <v>187</v>
      </c>
      <c r="J930" s="26" t="n">
        <v>0</v>
      </c>
      <c r="K930" s="26" t="n">
        <v>0</v>
      </c>
      <c r="L930" s="26" t="n">
        <v>0</v>
      </c>
      <c r="M930" s="26" t="n">
        <v>0</v>
      </c>
      <c r="N930" s="26" t="n">
        <v>0</v>
      </c>
      <c r="O930" s="26" t="n">
        <v>0</v>
      </c>
      <c r="P930" s="26" t="n">
        <v>0</v>
      </c>
      <c r="Q930" s="26" t="n">
        <v>187</v>
      </c>
      <c r="R930" s="26" t="n">
        <v>0</v>
      </c>
      <c r="S930" s="26" t="n">
        <v>0</v>
      </c>
      <c r="T930" s="26" t="n">
        <v>0</v>
      </c>
      <c r="U930" s="26" t="n">
        <v>0</v>
      </c>
    </row>
    <row r="931" customFormat="false" ht="15" hidden="false" customHeight="true" outlineLevel="0" collapsed="false">
      <c r="A931" s="8" t="s">
        <v>944</v>
      </c>
      <c r="B931" s="8" t="s">
        <v>228</v>
      </c>
      <c r="C931" s="8" t="s">
        <v>738</v>
      </c>
      <c r="D931" s="26" t="n">
        <v>0</v>
      </c>
      <c r="E931" s="26" t="n">
        <v>0</v>
      </c>
      <c r="F931" s="26" t="n">
        <v>44</v>
      </c>
      <c r="G931" s="26" t="n">
        <v>0</v>
      </c>
      <c r="H931" s="26" t="n">
        <v>0</v>
      </c>
      <c r="I931" s="26" t="n">
        <v>166</v>
      </c>
      <c r="J931" s="26" t="n">
        <v>0</v>
      </c>
      <c r="K931" s="26" t="n">
        <v>3</v>
      </c>
      <c r="L931" s="26" t="n">
        <v>0</v>
      </c>
      <c r="M931" s="26" t="n">
        <v>0</v>
      </c>
      <c r="N931" s="26" t="n">
        <v>0</v>
      </c>
      <c r="O931" s="26" t="n">
        <v>0</v>
      </c>
      <c r="P931" s="26" t="n">
        <v>0</v>
      </c>
      <c r="Q931" s="26" t="n">
        <v>97</v>
      </c>
      <c r="R931" s="26" t="n">
        <v>66</v>
      </c>
      <c r="S931" s="26" t="n">
        <v>0</v>
      </c>
      <c r="T931" s="26" t="n">
        <v>0</v>
      </c>
      <c r="U931" s="26" t="n">
        <v>0</v>
      </c>
    </row>
    <row r="932" customFormat="false" ht="15" hidden="false" customHeight="true" outlineLevel="0" collapsed="false">
      <c r="A932" s="8" t="s">
        <v>944</v>
      </c>
      <c r="B932" s="8" t="s">
        <v>212</v>
      </c>
      <c r="C932" s="8" t="s">
        <v>739</v>
      </c>
      <c r="D932" s="26" t="n">
        <v>0</v>
      </c>
      <c r="E932" s="26" t="n">
        <v>0</v>
      </c>
      <c r="F932" s="26" t="n">
        <v>4</v>
      </c>
      <c r="G932" s="26" t="n">
        <v>0</v>
      </c>
      <c r="H932" s="26" t="n">
        <v>0</v>
      </c>
      <c r="I932" s="26" t="n">
        <v>0</v>
      </c>
      <c r="J932" s="26" t="n">
        <v>0</v>
      </c>
      <c r="K932" s="26" t="n">
        <v>0</v>
      </c>
      <c r="L932" s="26" t="n">
        <v>0</v>
      </c>
      <c r="M932" s="26" t="n">
        <v>0</v>
      </c>
      <c r="N932" s="26" t="n">
        <v>0</v>
      </c>
      <c r="O932" s="26" t="n">
        <v>0</v>
      </c>
      <c r="P932" s="26" t="n">
        <v>0</v>
      </c>
      <c r="Q932" s="26" t="n">
        <v>0</v>
      </c>
      <c r="R932" s="26" t="n">
        <v>0</v>
      </c>
      <c r="S932" s="26" t="n">
        <v>0</v>
      </c>
      <c r="T932" s="26" t="n">
        <v>0</v>
      </c>
      <c r="U932" s="26" t="n">
        <v>0</v>
      </c>
    </row>
    <row r="933" customFormat="false" ht="15" hidden="false" customHeight="true" outlineLevel="0" collapsed="false">
      <c r="A933" s="8" t="s">
        <v>944</v>
      </c>
      <c r="B933" s="8" t="s">
        <v>212</v>
      </c>
      <c r="C933" s="8" t="s">
        <v>740</v>
      </c>
      <c r="D933" s="26" t="n">
        <v>0</v>
      </c>
      <c r="E933" s="26" t="n">
        <v>0</v>
      </c>
      <c r="F933" s="26" t="n">
        <v>4</v>
      </c>
      <c r="G933" s="26" t="n">
        <v>0</v>
      </c>
      <c r="H933" s="26" t="n">
        <v>0</v>
      </c>
      <c r="I933" s="26" t="n">
        <v>0</v>
      </c>
      <c r="J933" s="26" t="n">
        <v>0</v>
      </c>
      <c r="K933" s="26" t="n">
        <v>0</v>
      </c>
      <c r="L933" s="26" t="n">
        <v>0</v>
      </c>
      <c r="M933" s="26" t="n">
        <v>0</v>
      </c>
      <c r="N933" s="26" t="n">
        <v>0</v>
      </c>
      <c r="O933" s="26" t="n">
        <v>0</v>
      </c>
      <c r="P933" s="26" t="n">
        <v>0</v>
      </c>
      <c r="Q933" s="26" t="n">
        <v>0</v>
      </c>
      <c r="R933" s="26" t="n">
        <v>0</v>
      </c>
      <c r="S933" s="26" t="n">
        <v>0</v>
      </c>
      <c r="T933" s="26" t="n">
        <v>0</v>
      </c>
      <c r="U933" s="26" t="n">
        <v>0</v>
      </c>
    </row>
    <row r="934" customFormat="false" ht="15" hidden="false" customHeight="true" outlineLevel="0" collapsed="false">
      <c r="A934" s="8" t="s">
        <v>944</v>
      </c>
      <c r="B934" s="8" t="s">
        <v>265</v>
      </c>
      <c r="C934" s="8" t="s">
        <v>741</v>
      </c>
      <c r="D934" s="26" t="n">
        <v>0</v>
      </c>
      <c r="E934" s="26" t="n">
        <v>0</v>
      </c>
      <c r="F934" s="26" t="n">
        <v>1</v>
      </c>
      <c r="G934" s="26" t="n">
        <v>0</v>
      </c>
      <c r="H934" s="26" t="n">
        <v>0</v>
      </c>
      <c r="I934" s="26" t="n">
        <v>-2</v>
      </c>
      <c r="J934" s="26" t="n">
        <v>0</v>
      </c>
      <c r="K934" s="26" t="n">
        <v>0</v>
      </c>
      <c r="L934" s="26" t="n">
        <v>0</v>
      </c>
      <c r="M934" s="26" t="n">
        <v>0</v>
      </c>
      <c r="N934" s="26" t="n">
        <v>0</v>
      </c>
      <c r="O934" s="26" t="n">
        <v>0</v>
      </c>
      <c r="P934" s="26" t="n">
        <v>-2</v>
      </c>
      <c r="Q934" s="26" t="n">
        <v>0</v>
      </c>
      <c r="R934" s="26" t="n">
        <v>0</v>
      </c>
      <c r="S934" s="26" t="n">
        <v>0</v>
      </c>
      <c r="T934" s="26" t="n">
        <v>0</v>
      </c>
      <c r="U934" s="26" t="n">
        <v>0</v>
      </c>
    </row>
    <row r="935" customFormat="false" ht="15" hidden="false" customHeight="true" outlineLevel="0" collapsed="false">
      <c r="A935" s="8" t="s">
        <v>944</v>
      </c>
      <c r="B935" s="8" t="s">
        <v>265</v>
      </c>
      <c r="C935" s="8" t="s">
        <v>742</v>
      </c>
      <c r="D935" s="26" t="n">
        <v>0</v>
      </c>
      <c r="E935" s="26" t="n">
        <v>0</v>
      </c>
      <c r="F935" s="26" t="n">
        <v>1</v>
      </c>
      <c r="G935" s="26" t="n">
        <v>0</v>
      </c>
      <c r="H935" s="26" t="n">
        <v>0</v>
      </c>
      <c r="I935" s="26" t="n">
        <v>0</v>
      </c>
      <c r="J935" s="26" t="n">
        <v>0</v>
      </c>
      <c r="K935" s="26" t="n">
        <v>0</v>
      </c>
      <c r="L935" s="26" t="n">
        <v>0</v>
      </c>
      <c r="M935" s="26" t="n">
        <v>0</v>
      </c>
      <c r="N935" s="26" t="n">
        <v>0</v>
      </c>
      <c r="O935" s="26" t="n">
        <v>0</v>
      </c>
      <c r="P935" s="26" t="n">
        <v>0</v>
      </c>
      <c r="Q935" s="26" t="n">
        <v>0</v>
      </c>
      <c r="R935" s="26" t="n">
        <v>0</v>
      </c>
      <c r="S935" s="26" t="n">
        <v>0</v>
      </c>
      <c r="T935" s="26" t="n">
        <v>0</v>
      </c>
      <c r="U935" s="26" t="n">
        <v>0</v>
      </c>
    </row>
    <row r="936" customFormat="false" ht="15" hidden="false" customHeight="true" outlineLevel="0" collapsed="false">
      <c r="A936" s="8" t="s">
        <v>944</v>
      </c>
      <c r="B936" s="8" t="s">
        <v>212</v>
      </c>
      <c r="C936" s="8" t="s">
        <v>743</v>
      </c>
      <c r="D936" s="26" t="n">
        <v>0</v>
      </c>
      <c r="E936" s="26" t="n">
        <v>0</v>
      </c>
      <c r="F936" s="26" t="n">
        <v>1</v>
      </c>
      <c r="G936" s="26" t="n">
        <v>0</v>
      </c>
      <c r="H936" s="26" t="n">
        <v>0</v>
      </c>
      <c r="I936" s="26" t="n">
        <v>0</v>
      </c>
      <c r="J936" s="26" t="n">
        <v>0</v>
      </c>
      <c r="K936" s="26" t="n">
        <v>0</v>
      </c>
      <c r="L936" s="26" t="n">
        <v>0</v>
      </c>
      <c r="M936" s="26" t="n">
        <v>0</v>
      </c>
      <c r="N936" s="26" t="n">
        <v>0</v>
      </c>
      <c r="O936" s="26" t="n">
        <v>0</v>
      </c>
      <c r="P936" s="26" t="n">
        <v>0</v>
      </c>
      <c r="Q936" s="26" t="n">
        <v>0</v>
      </c>
      <c r="R936" s="26" t="n">
        <v>0</v>
      </c>
      <c r="S936" s="26" t="n">
        <v>0</v>
      </c>
      <c r="T936" s="26" t="n">
        <v>0</v>
      </c>
      <c r="U936" s="26" t="n">
        <v>0</v>
      </c>
    </row>
    <row r="937" customFormat="false" ht="15" hidden="false" customHeight="true" outlineLevel="0" collapsed="false">
      <c r="A937" s="8" t="s">
        <v>944</v>
      </c>
      <c r="B937" s="8" t="s">
        <v>330</v>
      </c>
      <c r="C937" s="8" t="s">
        <v>741</v>
      </c>
      <c r="D937" s="26" t="n">
        <v>0</v>
      </c>
      <c r="E937" s="26" t="n">
        <v>0</v>
      </c>
      <c r="F937" s="26" t="n">
        <v>1</v>
      </c>
      <c r="G937" s="26" t="n">
        <v>0</v>
      </c>
      <c r="H937" s="26" t="n">
        <v>0</v>
      </c>
      <c r="I937" s="26" t="n">
        <v>0</v>
      </c>
      <c r="J937" s="26" t="n">
        <v>0</v>
      </c>
      <c r="K937" s="26" t="n">
        <v>0</v>
      </c>
      <c r="L937" s="26" t="n">
        <v>0</v>
      </c>
      <c r="M937" s="26" t="n">
        <v>0</v>
      </c>
      <c r="N937" s="26" t="n">
        <v>0</v>
      </c>
      <c r="O937" s="26" t="n">
        <v>0</v>
      </c>
      <c r="P937" s="26" t="n">
        <v>0</v>
      </c>
      <c r="Q937" s="26" t="n">
        <v>0</v>
      </c>
      <c r="R937" s="26" t="n">
        <v>0</v>
      </c>
      <c r="S937" s="26" t="n">
        <v>0</v>
      </c>
      <c r="T937" s="26" t="n">
        <v>0</v>
      </c>
      <c r="U937" s="26" t="n">
        <v>0</v>
      </c>
    </row>
    <row r="938" customFormat="false" ht="15" hidden="false" customHeight="true" outlineLevel="0" collapsed="false">
      <c r="A938" s="8" t="s">
        <v>944</v>
      </c>
      <c r="B938" s="8" t="s">
        <v>85</v>
      </c>
      <c r="C938" s="8" t="s">
        <v>744</v>
      </c>
      <c r="D938" s="26" t="n">
        <v>0</v>
      </c>
      <c r="E938" s="26" t="n">
        <v>0</v>
      </c>
      <c r="F938" s="26" t="n">
        <v>0</v>
      </c>
      <c r="G938" s="26" t="n">
        <v>0</v>
      </c>
      <c r="H938" s="26" t="n">
        <v>0</v>
      </c>
      <c r="I938" s="26" t="n">
        <v>-1</v>
      </c>
      <c r="J938" s="26" t="n">
        <v>0</v>
      </c>
      <c r="K938" s="26" t="n">
        <v>0</v>
      </c>
      <c r="L938" s="26" t="n">
        <v>0</v>
      </c>
      <c r="M938" s="26" t="n">
        <v>0</v>
      </c>
      <c r="N938" s="26" t="n">
        <v>0</v>
      </c>
      <c r="O938" s="26" t="n">
        <v>0</v>
      </c>
      <c r="P938" s="26" t="n">
        <v>-1</v>
      </c>
      <c r="Q938" s="26" t="n">
        <v>0</v>
      </c>
      <c r="R938" s="26" t="n">
        <v>0</v>
      </c>
      <c r="S938" s="26" t="n">
        <v>0</v>
      </c>
      <c r="T938" s="26" t="n">
        <v>0</v>
      </c>
      <c r="U938" s="26" t="n">
        <v>0</v>
      </c>
    </row>
    <row r="939" customFormat="false" ht="15" hidden="false" customHeight="true" outlineLevel="0" collapsed="false">
      <c r="A939" s="8" t="s">
        <v>944</v>
      </c>
      <c r="B939" s="8" t="s">
        <v>84</v>
      </c>
      <c r="C939" s="8" t="s">
        <v>745</v>
      </c>
      <c r="D939" s="26" t="n">
        <v>0</v>
      </c>
      <c r="E939" s="26" t="n">
        <v>0</v>
      </c>
      <c r="F939" s="26" t="n">
        <v>153</v>
      </c>
      <c r="G939" s="26" t="n">
        <v>0</v>
      </c>
      <c r="H939" s="26" t="n">
        <v>0</v>
      </c>
      <c r="I939" s="26" t="n">
        <v>513</v>
      </c>
      <c r="J939" s="26" t="n">
        <v>0</v>
      </c>
      <c r="K939" s="26" t="n">
        <v>6</v>
      </c>
      <c r="L939" s="26" t="n">
        <v>0</v>
      </c>
      <c r="M939" s="26" t="n">
        <v>0</v>
      </c>
      <c r="N939" s="26" t="n">
        <v>5</v>
      </c>
      <c r="O939" s="26" t="n">
        <v>1</v>
      </c>
      <c r="P939" s="26" t="n">
        <v>-3</v>
      </c>
      <c r="Q939" s="26" t="n">
        <v>423</v>
      </c>
      <c r="R939" s="26" t="n">
        <v>81</v>
      </c>
      <c r="S939" s="26" t="n">
        <v>0</v>
      </c>
      <c r="T939" s="26" t="n">
        <v>0</v>
      </c>
      <c r="U939" s="26" t="n">
        <v>0</v>
      </c>
    </row>
    <row r="940" customFormat="false" ht="15" hidden="false" customHeight="true" outlineLevel="0" collapsed="false">
      <c r="A940" s="8" t="s">
        <v>944</v>
      </c>
      <c r="B940" s="8" t="s">
        <v>84</v>
      </c>
      <c r="C940" s="8" t="s">
        <v>746</v>
      </c>
      <c r="D940" s="26" t="n">
        <v>0</v>
      </c>
      <c r="E940" s="26" t="n">
        <v>0</v>
      </c>
      <c r="F940" s="26" t="n">
        <v>147</v>
      </c>
      <c r="G940" s="26" t="n">
        <v>0</v>
      </c>
      <c r="H940" s="26" t="n">
        <v>0</v>
      </c>
      <c r="I940" s="26" t="n">
        <v>531</v>
      </c>
      <c r="J940" s="26" t="n">
        <v>0</v>
      </c>
      <c r="K940" s="26" t="n">
        <v>8</v>
      </c>
      <c r="L940" s="26" t="n">
        <v>0</v>
      </c>
      <c r="M940" s="26" t="n">
        <v>5</v>
      </c>
      <c r="N940" s="26" t="n">
        <v>5</v>
      </c>
      <c r="O940" s="26" t="n">
        <v>2</v>
      </c>
      <c r="P940" s="26" t="n">
        <v>-9</v>
      </c>
      <c r="Q940" s="26" t="n">
        <v>425</v>
      </c>
      <c r="R940" s="26" t="n">
        <v>95</v>
      </c>
      <c r="S940" s="26" t="n">
        <v>0</v>
      </c>
      <c r="T940" s="26" t="n">
        <v>0</v>
      </c>
      <c r="U940" s="26" t="n">
        <v>0</v>
      </c>
    </row>
    <row r="941" customFormat="false" ht="15" hidden="false" customHeight="true" outlineLevel="0" collapsed="false">
      <c r="A941" s="8" t="s">
        <v>944</v>
      </c>
      <c r="B941" s="8" t="s">
        <v>84</v>
      </c>
      <c r="C941" s="8" t="s">
        <v>747</v>
      </c>
      <c r="D941" s="26" t="n">
        <v>0</v>
      </c>
      <c r="E941" s="26" t="n">
        <v>0</v>
      </c>
      <c r="F941" s="26" t="n">
        <v>44</v>
      </c>
      <c r="G941" s="26" t="n">
        <v>0</v>
      </c>
      <c r="H941" s="26" t="n">
        <v>0</v>
      </c>
      <c r="I941" s="26" t="n">
        <v>190</v>
      </c>
      <c r="J941" s="26" t="n">
        <v>0</v>
      </c>
      <c r="K941" s="26" t="n">
        <v>5</v>
      </c>
      <c r="L941" s="26" t="n">
        <v>0</v>
      </c>
      <c r="M941" s="26" t="n">
        <v>0</v>
      </c>
      <c r="N941" s="26" t="n">
        <v>2</v>
      </c>
      <c r="O941" s="26" t="n">
        <v>0</v>
      </c>
      <c r="P941" s="26" t="n">
        <v>-4</v>
      </c>
      <c r="Q941" s="26" t="n">
        <v>158</v>
      </c>
      <c r="R941" s="26" t="n">
        <v>29</v>
      </c>
      <c r="S941" s="26" t="n">
        <v>0</v>
      </c>
      <c r="T941" s="26" t="n">
        <v>0</v>
      </c>
      <c r="U941" s="26" t="n">
        <v>0</v>
      </c>
    </row>
    <row r="942" customFormat="false" ht="15" hidden="false" customHeight="true" outlineLevel="0" collapsed="false">
      <c r="A942" s="8" t="s">
        <v>944</v>
      </c>
      <c r="B942" s="8" t="s">
        <v>123</v>
      </c>
      <c r="C942" s="8" t="s">
        <v>748</v>
      </c>
      <c r="D942" s="26" t="n">
        <v>0</v>
      </c>
      <c r="E942" s="26" t="n">
        <v>0</v>
      </c>
      <c r="F942" s="26" t="n">
        <v>124</v>
      </c>
      <c r="G942" s="26" t="n">
        <v>0</v>
      </c>
      <c r="H942" s="26" t="n">
        <v>0</v>
      </c>
      <c r="I942" s="26" t="n">
        <v>94</v>
      </c>
      <c r="J942" s="26" t="n">
        <v>0</v>
      </c>
      <c r="K942" s="26" t="n">
        <v>5</v>
      </c>
      <c r="L942" s="26" t="n">
        <v>-1</v>
      </c>
      <c r="M942" s="26" t="n">
        <v>0</v>
      </c>
      <c r="N942" s="26" t="n">
        <v>0</v>
      </c>
      <c r="O942" s="26" t="n">
        <v>0</v>
      </c>
      <c r="P942" s="26" t="n">
        <v>-5</v>
      </c>
      <c r="Q942" s="26" t="n">
        <v>0</v>
      </c>
      <c r="R942" s="26" t="n">
        <v>95</v>
      </c>
      <c r="S942" s="26" t="n">
        <v>0</v>
      </c>
      <c r="T942" s="26" t="n">
        <v>0</v>
      </c>
      <c r="U942" s="26" t="n">
        <v>0</v>
      </c>
    </row>
    <row r="943" customFormat="false" ht="15" hidden="false" customHeight="true" outlineLevel="0" collapsed="false">
      <c r="A943" s="8" t="s">
        <v>944</v>
      </c>
      <c r="B943" s="8" t="s">
        <v>123</v>
      </c>
      <c r="C943" s="8" t="s">
        <v>749</v>
      </c>
      <c r="D943" s="26" t="n">
        <v>0</v>
      </c>
      <c r="E943" s="26" t="n">
        <v>0</v>
      </c>
      <c r="F943" s="26" t="n">
        <v>129</v>
      </c>
      <c r="G943" s="26" t="n">
        <v>0</v>
      </c>
      <c r="H943" s="26" t="n">
        <v>0</v>
      </c>
      <c r="I943" s="26" t="n">
        <v>118</v>
      </c>
      <c r="J943" s="26" t="n">
        <v>0</v>
      </c>
      <c r="K943" s="26" t="n">
        <v>1</v>
      </c>
      <c r="L943" s="26" t="n">
        <v>0</v>
      </c>
      <c r="M943" s="26" t="n">
        <v>0</v>
      </c>
      <c r="N943" s="26" t="n">
        <v>0</v>
      </c>
      <c r="O943" s="26" t="n">
        <v>0</v>
      </c>
      <c r="P943" s="26" t="n">
        <v>-4</v>
      </c>
      <c r="Q943" s="26" t="n">
        <v>0</v>
      </c>
      <c r="R943" s="26" t="n">
        <v>121</v>
      </c>
      <c r="S943" s="26" t="n">
        <v>0</v>
      </c>
      <c r="T943" s="26" t="n">
        <v>0</v>
      </c>
      <c r="U943" s="26" t="n">
        <v>0</v>
      </c>
    </row>
    <row r="944" customFormat="false" ht="15" hidden="false" customHeight="true" outlineLevel="0" collapsed="false">
      <c r="A944" s="8" t="s">
        <v>944</v>
      </c>
      <c r="B944" s="8" t="s">
        <v>123</v>
      </c>
      <c r="C944" s="8" t="s">
        <v>750</v>
      </c>
      <c r="D944" s="26" t="n">
        <v>0</v>
      </c>
      <c r="E944" s="26" t="n">
        <v>0</v>
      </c>
      <c r="F944" s="26" t="n">
        <v>-1</v>
      </c>
      <c r="G944" s="26" t="n">
        <v>0</v>
      </c>
      <c r="H944" s="26" t="n">
        <v>0</v>
      </c>
      <c r="I944" s="26" t="n">
        <v>-5</v>
      </c>
      <c r="J944" s="26" t="n">
        <v>0</v>
      </c>
      <c r="K944" s="26" t="n">
        <v>0</v>
      </c>
      <c r="L944" s="26" t="n">
        <v>0</v>
      </c>
      <c r="M944" s="26" t="n">
        <v>0</v>
      </c>
      <c r="N944" s="26" t="n">
        <v>0</v>
      </c>
      <c r="O944" s="26" t="n">
        <v>0</v>
      </c>
      <c r="P944" s="26" t="n">
        <v>-3</v>
      </c>
      <c r="Q944" s="26" t="n">
        <v>-5</v>
      </c>
      <c r="R944" s="26" t="n">
        <v>3</v>
      </c>
      <c r="S944" s="26" t="n">
        <v>0</v>
      </c>
      <c r="T944" s="26" t="n">
        <v>0</v>
      </c>
      <c r="U944" s="26" t="n">
        <v>0</v>
      </c>
    </row>
    <row r="945" customFormat="false" ht="15" hidden="false" customHeight="true" outlineLevel="0" collapsed="false">
      <c r="A945" s="8" t="s">
        <v>944</v>
      </c>
      <c r="B945" s="8" t="s">
        <v>374</v>
      </c>
      <c r="C945" s="8" t="s">
        <v>751</v>
      </c>
      <c r="D945" s="26" t="n">
        <v>0</v>
      </c>
      <c r="E945" s="26" t="n">
        <v>0</v>
      </c>
      <c r="F945" s="26" t="n">
        <v>0</v>
      </c>
      <c r="G945" s="26" t="n">
        <v>0</v>
      </c>
      <c r="H945" s="26" t="n">
        <v>0</v>
      </c>
      <c r="I945" s="26" t="n">
        <v>-3</v>
      </c>
      <c r="J945" s="26" t="n">
        <v>0</v>
      </c>
      <c r="K945" s="26" t="n">
        <v>0</v>
      </c>
      <c r="L945" s="26" t="n">
        <v>0</v>
      </c>
      <c r="M945" s="26" t="n">
        <v>0</v>
      </c>
      <c r="N945" s="26" t="n">
        <v>0</v>
      </c>
      <c r="O945" s="26" t="n">
        <v>0</v>
      </c>
      <c r="P945" s="26" t="n">
        <v>0</v>
      </c>
      <c r="Q945" s="26" t="n">
        <v>-3</v>
      </c>
      <c r="R945" s="26" t="n">
        <v>0</v>
      </c>
      <c r="S945" s="26" t="n">
        <v>0</v>
      </c>
      <c r="T945" s="26" t="n">
        <v>0</v>
      </c>
      <c r="U945" s="26" t="n">
        <v>0</v>
      </c>
    </row>
    <row r="946" customFormat="false" ht="15" hidden="false" customHeight="true" outlineLevel="0" collapsed="false">
      <c r="A946" s="8" t="s">
        <v>944</v>
      </c>
      <c r="B946" s="8" t="s">
        <v>180</v>
      </c>
      <c r="C946" s="8" t="s">
        <v>648</v>
      </c>
      <c r="D946" s="26" t="n">
        <v>0</v>
      </c>
      <c r="E946" s="26" t="n">
        <v>0</v>
      </c>
      <c r="F946" s="26" t="n">
        <v>216</v>
      </c>
      <c r="G946" s="26" t="n">
        <v>0</v>
      </c>
      <c r="H946" s="26" t="n">
        <v>0</v>
      </c>
      <c r="I946" s="26" t="n">
        <v>200</v>
      </c>
      <c r="J946" s="26" t="n">
        <v>0</v>
      </c>
      <c r="K946" s="26" t="n">
        <v>34</v>
      </c>
      <c r="L946" s="26" t="n">
        <v>0</v>
      </c>
      <c r="M946" s="26" t="n">
        <v>0</v>
      </c>
      <c r="N946" s="26" t="n">
        <v>4</v>
      </c>
      <c r="O946" s="26" t="n">
        <v>0</v>
      </c>
      <c r="P946" s="26" t="n">
        <v>0</v>
      </c>
      <c r="Q946" s="26" t="n">
        <v>0</v>
      </c>
      <c r="R946" s="26" t="n">
        <v>162</v>
      </c>
      <c r="S946" s="26" t="n">
        <v>0</v>
      </c>
      <c r="T946" s="26" t="n">
        <v>0</v>
      </c>
      <c r="U946" s="26" t="n">
        <v>0</v>
      </c>
    </row>
    <row r="947" customFormat="false" ht="15" hidden="false" customHeight="true" outlineLevel="0" collapsed="false">
      <c r="A947" s="8" t="s">
        <v>944</v>
      </c>
      <c r="B947" s="8" t="s">
        <v>357</v>
      </c>
      <c r="C947" s="8" t="s">
        <v>752</v>
      </c>
      <c r="D947" s="26" t="n">
        <v>0</v>
      </c>
      <c r="E947" s="26" t="n">
        <v>0</v>
      </c>
      <c r="F947" s="26" t="n">
        <v>-1</v>
      </c>
      <c r="G947" s="26" t="n">
        <v>0</v>
      </c>
      <c r="H947" s="26" t="n">
        <v>0</v>
      </c>
      <c r="I947" s="26" t="n">
        <v>0</v>
      </c>
      <c r="J947" s="26" t="n">
        <v>0</v>
      </c>
      <c r="K947" s="26" t="n">
        <v>0</v>
      </c>
      <c r="L947" s="26" t="n">
        <v>0</v>
      </c>
      <c r="M947" s="26" t="n">
        <v>0</v>
      </c>
      <c r="N947" s="26" t="n">
        <v>0</v>
      </c>
      <c r="O947" s="26" t="n">
        <v>0</v>
      </c>
      <c r="P947" s="26" t="n">
        <v>0</v>
      </c>
      <c r="Q947" s="26" t="n">
        <v>0</v>
      </c>
      <c r="R947" s="26" t="n">
        <v>0</v>
      </c>
      <c r="S947" s="26" t="n">
        <v>0</v>
      </c>
      <c r="T947" s="26" t="n">
        <v>0</v>
      </c>
      <c r="U947" s="26" t="n">
        <v>0</v>
      </c>
    </row>
    <row r="948" customFormat="false" ht="15" hidden="false" customHeight="true" outlineLevel="0" collapsed="false">
      <c r="A948" s="8" t="s">
        <v>944</v>
      </c>
      <c r="B948" s="8" t="s">
        <v>86</v>
      </c>
      <c r="C948" s="8" t="s">
        <v>753</v>
      </c>
      <c r="D948" s="26" t="n">
        <v>0</v>
      </c>
      <c r="E948" s="26" t="n">
        <v>0</v>
      </c>
      <c r="F948" s="26" t="n">
        <v>188</v>
      </c>
      <c r="G948" s="26" t="n">
        <v>0</v>
      </c>
      <c r="H948" s="26" t="n">
        <v>0</v>
      </c>
      <c r="I948" s="26" t="n">
        <v>720</v>
      </c>
      <c r="J948" s="26" t="n">
        <v>0</v>
      </c>
      <c r="K948" s="26" t="n">
        <v>5</v>
      </c>
      <c r="L948" s="26" t="n">
        <v>0</v>
      </c>
      <c r="M948" s="26" t="n">
        <v>0</v>
      </c>
      <c r="N948" s="26" t="n">
        <v>4</v>
      </c>
      <c r="O948" s="26" t="n">
        <v>3</v>
      </c>
      <c r="P948" s="26" t="n">
        <v>-5</v>
      </c>
      <c r="Q948" s="26" t="n">
        <v>596</v>
      </c>
      <c r="R948" s="26" t="n">
        <v>117</v>
      </c>
      <c r="S948" s="26" t="n">
        <v>0</v>
      </c>
      <c r="T948" s="26" t="n">
        <v>0</v>
      </c>
      <c r="U948" s="26" t="n">
        <v>0</v>
      </c>
    </row>
    <row r="949" customFormat="false" ht="15" hidden="false" customHeight="true" outlineLevel="0" collapsed="false">
      <c r="A949" s="8" t="s">
        <v>944</v>
      </c>
      <c r="B949" s="8" t="s">
        <v>86</v>
      </c>
      <c r="C949" s="8" t="s">
        <v>754</v>
      </c>
      <c r="D949" s="26" t="n">
        <v>0</v>
      </c>
      <c r="E949" s="26" t="n">
        <v>0</v>
      </c>
      <c r="F949" s="26" t="n">
        <v>145</v>
      </c>
      <c r="G949" s="26" t="n">
        <v>0</v>
      </c>
      <c r="H949" s="26" t="n">
        <v>0</v>
      </c>
      <c r="I949" s="26" t="n">
        <v>763</v>
      </c>
      <c r="J949" s="26" t="n">
        <v>0</v>
      </c>
      <c r="K949" s="26" t="n">
        <v>3</v>
      </c>
      <c r="L949" s="26" t="n">
        <v>0</v>
      </c>
      <c r="M949" s="26" t="n">
        <v>0</v>
      </c>
      <c r="N949" s="26" t="n">
        <v>1</v>
      </c>
      <c r="O949" s="26" t="n">
        <v>2</v>
      </c>
      <c r="P949" s="26" t="n">
        <v>-1</v>
      </c>
      <c r="Q949" s="26" t="n">
        <v>635</v>
      </c>
      <c r="R949" s="26" t="n">
        <v>123</v>
      </c>
      <c r="S949" s="26" t="n">
        <v>0</v>
      </c>
      <c r="T949" s="26" t="n">
        <v>0</v>
      </c>
      <c r="U949" s="26" t="n">
        <v>0</v>
      </c>
    </row>
    <row r="950" customFormat="false" ht="15" hidden="false" customHeight="true" outlineLevel="0" collapsed="false">
      <c r="A950" s="8" t="s">
        <v>944</v>
      </c>
      <c r="B950" s="8" t="s">
        <v>86</v>
      </c>
      <c r="C950" s="8" t="s">
        <v>755</v>
      </c>
      <c r="D950" s="26" t="n">
        <v>0</v>
      </c>
      <c r="E950" s="26" t="n">
        <v>0</v>
      </c>
      <c r="F950" s="26" t="n">
        <v>71</v>
      </c>
      <c r="G950" s="26" t="n">
        <v>0</v>
      </c>
      <c r="H950" s="26" t="n">
        <v>0</v>
      </c>
      <c r="I950" s="26" t="n">
        <v>423</v>
      </c>
      <c r="J950" s="26" t="n">
        <v>0</v>
      </c>
      <c r="K950" s="26" t="n">
        <v>2</v>
      </c>
      <c r="L950" s="26" t="n">
        <v>0</v>
      </c>
      <c r="M950" s="26" t="n">
        <v>0</v>
      </c>
      <c r="N950" s="26" t="n">
        <v>0</v>
      </c>
      <c r="O950" s="26" t="n">
        <v>0</v>
      </c>
      <c r="P950" s="26" t="n">
        <v>-3</v>
      </c>
      <c r="Q950" s="26" t="n">
        <v>371</v>
      </c>
      <c r="R950" s="26" t="n">
        <v>53</v>
      </c>
      <c r="S950" s="26" t="n">
        <v>0</v>
      </c>
      <c r="T950" s="26" t="n">
        <v>0</v>
      </c>
      <c r="U950" s="26" t="n">
        <v>0</v>
      </c>
    </row>
    <row r="951" customFormat="false" ht="15" hidden="false" customHeight="true" outlineLevel="0" collapsed="false">
      <c r="A951" s="8" t="s">
        <v>944</v>
      </c>
      <c r="B951" s="8" t="s">
        <v>86</v>
      </c>
      <c r="C951" s="8" t="s">
        <v>756</v>
      </c>
      <c r="D951" s="26" t="n">
        <v>0</v>
      </c>
      <c r="E951" s="26" t="n">
        <v>0</v>
      </c>
      <c r="F951" s="26" t="n">
        <v>126</v>
      </c>
      <c r="G951" s="26" t="n">
        <v>0</v>
      </c>
      <c r="H951" s="26" t="n">
        <v>0</v>
      </c>
      <c r="I951" s="26" t="n">
        <v>593</v>
      </c>
      <c r="J951" s="26" t="n">
        <v>0</v>
      </c>
      <c r="K951" s="26" t="n">
        <v>2</v>
      </c>
      <c r="L951" s="26" t="n">
        <v>0</v>
      </c>
      <c r="M951" s="26" t="n">
        <v>0</v>
      </c>
      <c r="N951" s="26" t="n">
        <v>2</v>
      </c>
      <c r="O951" s="26" t="n">
        <v>3</v>
      </c>
      <c r="P951" s="26" t="n">
        <v>-3</v>
      </c>
      <c r="Q951" s="26" t="n">
        <v>503</v>
      </c>
      <c r="R951" s="26" t="n">
        <v>86</v>
      </c>
      <c r="S951" s="26" t="n">
        <v>0</v>
      </c>
      <c r="T951" s="26" t="n">
        <v>0</v>
      </c>
      <c r="U951" s="26" t="n">
        <v>0</v>
      </c>
    </row>
    <row r="952" customFormat="false" ht="15" hidden="false" customHeight="true" outlineLevel="0" collapsed="false">
      <c r="A952" s="8" t="s">
        <v>944</v>
      </c>
      <c r="B952" s="8" t="s">
        <v>86</v>
      </c>
      <c r="C952" s="8" t="s">
        <v>757</v>
      </c>
      <c r="D952" s="26" t="n">
        <v>0</v>
      </c>
      <c r="E952" s="26" t="n">
        <v>0</v>
      </c>
      <c r="F952" s="26" t="n">
        <v>2</v>
      </c>
      <c r="G952" s="26" t="n">
        <v>0</v>
      </c>
      <c r="H952" s="26" t="n">
        <v>0</v>
      </c>
      <c r="I952" s="26" t="n">
        <v>1</v>
      </c>
      <c r="J952" s="26" t="n">
        <v>0</v>
      </c>
      <c r="K952" s="26" t="n">
        <v>0</v>
      </c>
      <c r="L952" s="26" t="n">
        <v>0</v>
      </c>
      <c r="M952" s="26" t="n">
        <v>0</v>
      </c>
      <c r="N952" s="26" t="n">
        <v>0</v>
      </c>
      <c r="O952" s="26" t="n">
        <v>0</v>
      </c>
      <c r="P952" s="26" t="n">
        <v>0</v>
      </c>
      <c r="Q952" s="26" t="n">
        <v>1</v>
      </c>
      <c r="R952" s="26" t="n">
        <v>0</v>
      </c>
      <c r="S952" s="26" t="n">
        <v>0</v>
      </c>
      <c r="T952" s="26" t="n">
        <v>0</v>
      </c>
      <c r="U952" s="26" t="n">
        <v>0</v>
      </c>
    </row>
    <row r="953" customFormat="false" ht="15" hidden="false" customHeight="true" outlineLevel="0" collapsed="false">
      <c r="A953" s="8" t="s">
        <v>944</v>
      </c>
      <c r="B953" s="8" t="s">
        <v>360</v>
      </c>
      <c r="C953" s="8" t="s">
        <v>758</v>
      </c>
      <c r="D953" s="26" t="n">
        <v>0</v>
      </c>
      <c r="E953" s="26" t="n">
        <v>0</v>
      </c>
      <c r="F953" s="26" t="n">
        <v>1</v>
      </c>
      <c r="G953" s="26" t="n">
        <v>0</v>
      </c>
      <c r="H953" s="26" t="n">
        <v>0</v>
      </c>
      <c r="I953" s="26" t="n">
        <v>0</v>
      </c>
      <c r="J953" s="26" t="n">
        <v>0</v>
      </c>
      <c r="K953" s="26" t="n">
        <v>0</v>
      </c>
      <c r="L953" s="26" t="n">
        <v>0</v>
      </c>
      <c r="M953" s="26" t="n">
        <v>0</v>
      </c>
      <c r="N953" s="26" t="n">
        <v>0</v>
      </c>
      <c r="O953" s="26" t="n">
        <v>0</v>
      </c>
      <c r="P953" s="26" t="n">
        <v>0</v>
      </c>
      <c r="Q953" s="26" t="n">
        <v>0</v>
      </c>
      <c r="R953" s="26" t="n">
        <v>0</v>
      </c>
      <c r="S953" s="26" t="n">
        <v>0</v>
      </c>
      <c r="T953" s="26" t="n">
        <v>0</v>
      </c>
      <c r="U953" s="26" t="n">
        <v>0</v>
      </c>
    </row>
    <row r="954" customFormat="false" ht="15" hidden="false" customHeight="true" outlineLevel="0" collapsed="false">
      <c r="A954" s="8" t="s">
        <v>944</v>
      </c>
      <c r="B954" s="8" t="s">
        <v>382</v>
      </c>
      <c r="C954" s="8" t="s">
        <v>759</v>
      </c>
      <c r="D954" s="26" t="n">
        <v>0</v>
      </c>
      <c r="E954" s="26" t="n">
        <v>0</v>
      </c>
      <c r="F954" s="26" t="n">
        <v>0</v>
      </c>
      <c r="G954" s="26" t="n">
        <v>0</v>
      </c>
      <c r="H954" s="26" t="n">
        <v>0</v>
      </c>
      <c r="I954" s="26" t="n">
        <v>-3</v>
      </c>
      <c r="J954" s="26" t="n">
        <v>0</v>
      </c>
      <c r="K954" s="26" t="n">
        <v>0</v>
      </c>
      <c r="L954" s="26" t="n">
        <v>0</v>
      </c>
      <c r="M954" s="26" t="n">
        <v>0</v>
      </c>
      <c r="N954" s="26" t="n">
        <v>0</v>
      </c>
      <c r="O954" s="26" t="n">
        <v>0</v>
      </c>
      <c r="P954" s="26" t="n">
        <v>0</v>
      </c>
      <c r="Q954" s="26" t="n">
        <v>-3</v>
      </c>
      <c r="R954" s="26" t="n">
        <v>0</v>
      </c>
      <c r="S954" s="26" t="n">
        <v>0</v>
      </c>
      <c r="T954" s="26" t="n">
        <v>0</v>
      </c>
      <c r="U954" s="26" t="n">
        <v>0</v>
      </c>
    </row>
    <row r="955" customFormat="false" ht="15" hidden="false" customHeight="true" outlineLevel="0" collapsed="false">
      <c r="A955" s="8" t="s">
        <v>944</v>
      </c>
      <c r="B955" s="8" t="s">
        <v>351</v>
      </c>
      <c r="C955" s="8" t="s">
        <v>760</v>
      </c>
      <c r="D955" s="26" t="n">
        <v>0</v>
      </c>
      <c r="E955" s="26" t="n">
        <v>0</v>
      </c>
      <c r="F955" s="26" t="n">
        <v>0</v>
      </c>
      <c r="G955" s="26" t="n">
        <v>0</v>
      </c>
      <c r="H955" s="26" t="n">
        <v>0</v>
      </c>
      <c r="I955" s="26" t="n">
        <v>0</v>
      </c>
      <c r="J955" s="26" t="n">
        <v>0</v>
      </c>
      <c r="K955" s="26" t="n">
        <v>0</v>
      </c>
      <c r="L955" s="26" t="n">
        <v>0</v>
      </c>
      <c r="M955" s="26" t="n">
        <v>0</v>
      </c>
      <c r="N955" s="26" t="n">
        <v>0</v>
      </c>
      <c r="O955" s="26" t="n">
        <v>0</v>
      </c>
      <c r="P955" s="26" t="n">
        <v>0</v>
      </c>
      <c r="Q955" s="26" t="n">
        <v>0</v>
      </c>
      <c r="R955" s="26" t="n">
        <v>0</v>
      </c>
      <c r="S955" s="26" t="n">
        <v>0</v>
      </c>
      <c r="T955" s="26" t="n">
        <v>0</v>
      </c>
      <c r="U955" s="26" t="n">
        <v>-1</v>
      </c>
    </row>
    <row r="956" customFormat="false" ht="15" hidden="false" customHeight="true" outlineLevel="0" collapsed="false">
      <c r="A956" s="8" t="s">
        <v>944</v>
      </c>
      <c r="B956" s="8" t="s">
        <v>309</v>
      </c>
      <c r="C956" s="8" t="s">
        <v>761</v>
      </c>
      <c r="D956" s="26" t="n">
        <v>0</v>
      </c>
      <c r="E956" s="26" t="n">
        <v>0</v>
      </c>
      <c r="F956" s="26" t="n">
        <v>0</v>
      </c>
      <c r="G956" s="26" t="n">
        <v>0</v>
      </c>
      <c r="H956" s="26" t="n">
        <v>0</v>
      </c>
      <c r="I956" s="26" t="n">
        <v>0</v>
      </c>
      <c r="J956" s="26" t="n">
        <v>0</v>
      </c>
      <c r="K956" s="26" t="n">
        <v>0</v>
      </c>
      <c r="L956" s="26" t="n">
        <v>0</v>
      </c>
      <c r="M956" s="26" t="n">
        <v>0</v>
      </c>
      <c r="N956" s="26" t="n">
        <v>0</v>
      </c>
      <c r="O956" s="26" t="n">
        <v>0</v>
      </c>
      <c r="P956" s="26" t="n">
        <v>0</v>
      </c>
      <c r="Q956" s="26" t="n">
        <v>0</v>
      </c>
      <c r="R956" s="26" t="n">
        <v>0</v>
      </c>
      <c r="S956" s="26" t="n">
        <v>0</v>
      </c>
      <c r="T956" s="26" t="n">
        <v>0</v>
      </c>
      <c r="U956" s="26" t="n">
        <v>-5</v>
      </c>
    </row>
    <row r="957" customFormat="false" ht="15" hidden="false" customHeight="true" outlineLevel="0" collapsed="false">
      <c r="A957" s="8" t="s">
        <v>944</v>
      </c>
      <c r="B957" s="8" t="s">
        <v>350</v>
      </c>
      <c r="C957" s="8" t="s">
        <v>762</v>
      </c>
      <c r="D957" s="26" t="n">
        <v>0</v>
      </c>
      <c r="E957" s="26" t="n">
        <v>0</v>
      </c>
      <c r="F957" s="26" t="n">
        <v>0</v>
      </c>
      <c r="G957" s="26" t="n">
        <v>0</v>
      </c>
      <c r="H957" s="26" t="n">
        <v>0</v>
      </c>
      <c r="I957" s="26" t="n">
        <v>0</v>
      </c>
      <c r="J957" s="26" t="n">
        <v>0</v>
      </c>
      <c r="K957" s="26" t="n">
        <v>0</v>
      </c>
      <c r="L957" s="26" t="n">
        <v>0</v>
      </c>
      <c r="M957" s="26" t="n">
        <v>0</v>
      </c>
      <c r="N957" s="26" t="n">
        <v>0</v>
      </c>
      <c r="O957" s="26" t="n">
        <v>0</v>
      </c>
      <c r="P957" s="26" t="n">
        <v>0</v>
      </c>
      <c r="Q957" s="26" t="n">
        <v>0</v>
      </c>
      <c r="R957" s="26" t="n">
        <v>0</v>
      </c>
      <c r="S957" s="26" t="n">
        <v>0</v>
      </c>
      <c r="T957" s="26" t="n">
        <v>0</v>
      </c>
      <c r="U957" s="26" t="n">
        <v>-1</v>
      </c>
    </row>
    <row r="958" customFormat="false" ht="15" hidden="false" customHeight="true" outlineLevel="0" collapsed="false">
      <c r="A958" s="8" t="s">
        <v>944</v>
      </c>
      <c r="B958" s="8" t="s">
        <v>115</v>
      </c>
      <c r="C958" s="8" t="s">
        <v>763</v>
      </c>
      <c r="D958" s="26" t="n">
        <v>0</v>
      </c>
      <c r="E958" s="26" t="n">
        <v>0</v>
      </c>
      <c r="F958" s="26" t="n">
        <v>1054</v>
      </c>
      <c r="G958" s="26" t="n">
        <v>0</v>
      </c>
      <c r="H958" s="26" t="n">
        <v>0</v>
      </c>
      <c r="I958" s="26" t="n">
        <v>937</v>
      </c>
      <c r="J958" s="26" t="n">
        <v>0</v>
      </c>
      <c r="K958" s="26" t="n">
        <v>372</v>
      </c>
      <c r="L958" s="26" t="n">
        <v>-5</v>
      </c>
      <c r="M958" s="26" t="n">
        <v>0</v>
      </c>
      <c r="N958" s="26" t="n">
        <v>9</v>
      </c>
      <c r="O958" s="26" t="n">
        <v>20</v>
      </c>
      <c r="P958" s="26" t="n">
        <v>0</v>
      </c>
      <c r="Q958" s="26" t="n">
        <v>0</v>
      </c>
      <c r="R958" s="26" t="n">
        <v>541</v>
      </c>
      <c r="S958" s="26" t="n">
        <v>0</v>
      </c>
      <c r="T958" s="26" t="n">
        <v>0</v>
      </c>
      <c r="U958" s="26" t="n">
        <v>0</v>
      </c>
    </row>
    <row r="959" customFormat="false" ht="15" hidden="false" customHeight="true" outlineLevel="0" collapsed="false">
      <c r="A959" s="8" t="s">
        <v>944</v>
      </c>
      <c r="B959" s="8" t="s">
        <v>241</v>
      </c>
      <c r="C959" s="8" t="s">
        <v>764</v>
      </c>
      <c r="D959" s="26" t="n">
        <v>0</v>
      </c>
      <c r="E959" s="26" t="n">
        <v>0</v>
      </c>
      <c r="F959" s="26" t="n">
        <v>-17</v>
      </c>
      <c r="G959" s="26" t="n">
        <v>0</v>
      </c>
      <c r="H959" s="26" t="n">
        <v>0</v>
      </c>
      <c r="I959" s="26" t="n">
        <v>0</v>
      </c>
      <c r="J959" s="26" t="n">
        <v>0</v>
      </c>
      <c r="K959" s="26" t="n">
        <v>0</v>
      </c>
      <c r="L959" s="26" t="n">
        <v>0</v>
      </c>
      <c r="M959" s="26" t="n">
        <v>0</v>
      </c>
      <c r="N959" s="26" t="n">
        <v>0</v>
      </c>
      <c r="O959" s="26" t="n">
        <v>0</v>
      </c>
      <c r="P959" s="26" t="n">
        <v>0</v>
      </c>
      <c r="Q959" s="26" t="n">
        <v>0</v>
      </c>
      <c r="R959" s="26" t="n">
        <v>0</v>
      </c>
      <c r="S959" s="26" t="n">
        <v>0</v>
      </c>
      <c r="T959" s="26" t="n">
        <v>0</v>
      </c>
      <c r="U959" s="26" t="n">
        <v>0</v>
      </c>
    </row>
    <row r="960" customFormat="false" ht="15" hidden="false" customHeight="true" outlineLevel="0" collapsed="false">
      <c r="A960" s="8" t="s">
        <v>944</v>
      </c>
      <c r="B960" s="8" t="s">
        <v>207</v>
      </c>
      <c r="C960" s="8" t="s">
        <v>765</v>
      </c>
      <c r="D960" s="26" t="n">
        <v>0</v>
      </c>
      <c r="E960" s="26" t="n">
        <v>0</v>
      </c>
      <c r="F960" s="26" t="n">
        <v>410</v>
      </c>
      <c r="G960" s="26" t="n">
        <v>0</v>
      </c>
      <c r="H960" s="26" t="n">
        <v>0</v>
      </c>
      <c r="I960" s="26" t="n">
        <v>348</v>
      </c>
      <c r="J960" s="26" t="n">
        <v>0</v>
      </c>
      <c r="K960" s="26" t="n">
        <v>63</v>
      </c>
      <c r="L960" s="26" t="n">
        <v>0</v>
      </c>
      <c r="M960" s="26" t="n">
        <v>6</v>
      </c>
      <c r="N960" s="26" t="n">
        <v>12</v>
      </c>
      <c r="O960" s="26" t="n">
        <v>15</v>
      </c>
      <c r="P960" s="26" t="n">
        <v>-9</v>
      </c>
      <c r="Q960" s="26" t="n">
        <v>0</v>
      </c>
      <c r="R960" s="26" t="n">
        <v>261</v>
      </c>
      <c r="S960" s="26" t="n">
        <v>0</v>
      </c>
      <c r="T960" s="26" t="n">
        <v>0</v>
      </c>
      <c r="U960" s="26" t="n">
        <v>0</v>
      </c>
    </row>
    <row r="961" customFormat="false" ht="15" hidden="false" customHeight="true" outlineLevel="0" collapsed="false">
      <c r="A961" s="8" t="s">
        <v>944</v>
      </c>
      <c r="B961" s="8" t="s">
        <v>237</v>
      </c>
      <c r="C961" s="8" t="s">
        <v>766</v>
      </c>
      <c r="D961" s="26" t="n">
        <v>0</v>
      </c>
      <c r="E961" s="26" t="n">
        <v>0</v>
      </c>
      <c r="F961" s="26" t="n">
        <v>136</v>
      </c>
      <c r="G961" s="26" t="n">
        <v>0</v>
      </c>
      <c r="H961" s="26" t="n">
        <v>0</v>
      </c>
      <c r="I961" s="26" t="n">
        <v>100</v>
      </c>
      <c r="J961" s="26" t="n">
        <v>0</v>
      </c>
      <c r="K961" s="26" t="n">
        <v>5</v>
      </c>
      <c r="L961" s="26" t="n">
        <v>0</v>
      </c>
      <c r="M961" s="26" t="n">
        <v>0</v>
      </c>
      <c r="N961" s="26" t="n">
        <v>12</v>
      </c>
      <c r="O961" s="26" t="n">
        <v>0</v>
      </c>
      <c r="P961" s="26" t="n">
        <v>0</v>
      </c>
      <c r="Q961" s="26" t="n">
        <v>34</v>
      </c>
      <c r="R961" s="26" t="n">
        <v>49</v>
      </c>
      <c r="S961" s="26" t="n">
        <v>0</v>
      </c>
      <c r="T961" s="26" t="n">
        <v>0</v>
      </c>
      <c r="U961" s="26" t="n">
        <v>0</v>
      </c>
    </row>
    <row r="962" customFormat="false" ht="15" hidden="false" customHeight="true" outlineLevel="0" collapsed="false">
      <c r="A962" s="8" t="s">
        <v>944</v>
      </c>
      <c r="B962" s="8" t="s">
        <v>148</v>
      </c>
      <c r="C962" s="8" t="s">
        <v>767</v>
      </c>
      <c r="D962" s="26" t="n">
        <v>0</v>
      </c>
      <c r="E962" s="26" t="n">
        <v>0</v>
      </c>
      <c r="F962" s="26" t="n">
        <v>547</v>
      </c>
      <c r="G962" s="26" t="n">
        <v>0</v>
      </c>
      <c r="H962" s="26" t="n">
        <v>70</v>
      </c>
      <c r="I962" s="26" t="n">
        <v>246</v>
      </c>
      <c r="J962" s="26" t="n">
        <v>0</v>
      </c>
      <c r="K962" s="26" t="n">
        <v>16</v>
      </c>
      <c r="L962" s="26" t="n">
        <v>0</v>
      </c>
      <c r="M962" s="26" t="n">
        <v>6</v>
      </c>
      <c r="N962" s="26" t="n">
        <v>6</v>
      </c>
      <c r="O962" s="26" t="n">
        <v>6</v>
      </c>
      <c r="P962" s="26" t="n">
        <v>-10</v>
      </c>
      <c r="Q962" s="26" t="n">
        <v>0</v>
      </c>
      <c r="R962" s="26" t="n">
        <v>222</v>
      </c>
      <c r="S962" s="26" t="n">
        <v>0</v>
      </c>
      <c r="T962" s="26" t="n">
        <v>0</v>
      </c>
      <c r="U962" s="26" t="n">
        <v>0</v>
      </c>
    </row>
    <row r="963" customFormat="false" ht="15" hidden="false" customHeight="true" outlineLevel="0" collapsed="false">
      <c r="A963" s="8" t="s">
        <v>944</v>
      </c>
      <c r="B963" s="8" t="s">
        <v>202</v>
      </c>
      <c r="C963" s="8" t="s">
        <v>768</v>
      </c>
      <c r="D963" s="26" t="n">
        <v>0</v>
      </c>
      <c r="E963" s="26" t="n">
        <v>0</v>
      </c>
      <c r="F963" s="26" t="n">
        <v>286</v>
      </c>
      <c r="G963" s="26" t="n">
        <v>0</v>
      </c>
      <c r="H963" s="26" t="n">
        <v>0</v>
      </c>
      <c r="I963" s="26" t="n">
        <v>186</v>
      </c>
      <c r="J963" s="26" t="n">
        <v>0</v>
      </c>
      <c r="K963" s="26" t="n">
        <v>14</v>
      </c>
      <c r="L963" s="26" t="n">
        <v>0</v>
      </c>
      <c r="M963" s="26" t="n">
        <v>6</v>
      </c>
      <c r="N963" s="26" t="n">
        <v>12</v>
      </c>
      <c r="O963" s="26" t="n">
        <v>0</v>
      </c>
      <c r="P963" s="26" t="n">
        <v>-3</v>
      </c>
      <c r="Q963" s="26" t="n">
        <v>0</v>
      </c>
      <c r="R963" s="26" t="n">
        <v>157</v>
      </c>
      <c r="S963" s="26" t="n">
        <v>0</v>
      </c>
      <c r="T963" s="26" t="n">
        <v>0</v>
      </c>
      <c r="U963" s="26" t="n">
        <v>0</v>
      </c>
    </row>
    <row r="964" customFormat="false" ht="15" hidden="false" customHeight="true" outlineLevel="0" collapsed="false">
      <c r="A964" s="8" t="s">
        <v>944</v>
      </c>
      <c r="B964" s="8" t="s">
        <v>236</v>
      </c>
      <c r="C964" s="8" t="s">
        <v>769</v>
      </c>
      <c r="D964" s="26" t="n">
        <v>0</v>
      </c>
      <c r="E964" s="26" t="n">
        <v>0</v>
      </c>
      <c r="F964" s="26" t="n">
        <v>3</v>
      </c>
      <c r="G964" s="26" t="n">
        <v>0</v>
      </c>
      <c r="H964" s="26" t="n">
        <v>0</v>
      </c>
      <c r="I964" s="26" t="n">
        <v>4</v>
      </c>
      <c r="J964" s="26" t="n">
        <v>0</v>
      </c>
      <c r="K964" s="26" t="n">
        <v>0</v>
      </c>
      <c r="L964" s="26" t="n">
        <v>0</v>
      </c>
      <c r="M964" s="26" t="n">
        <v>0</v>
      </c>
      <c r="N964" s="26" t="n">
        <v>0</v>
      </c>
      <c r="O964" s="26" t="n">
        <v>0</v>
      </c>
      <c r="P964" s="26" t="n">
        <v>-1</v>
      </c>
      <c r="Q964" s="26" t="n">
        <v>0</v>
      </c>
      <c r="R964" s="26" t="n">
        <v>5</v>
      </c>
      <c r="S964" s="26" t="n">
        <v>0</v>
      </c>
      <c r="T964" s="26" t="n">
        <v>0</v>
      </c>
      <c r="U964" s="26" t="n">
        <v>0</v>
      </c>
    </row>
    <row r="965" customFormat="false" ht="15" hidden="false" customHeight="true" outlineLevel="0" collapsed="false">
      <c r="A965" s="8" t="s">
        <v>944</v>
      </c>
      <c r="B965" s="8" t="s">
        <v>236</v>
      </c>
      <c r="C965" s="8" t="s">
        <v>770</v>
      </c>
      <c r="D965" s="26" t="n">
        <v>0</v>
      </c>
      <c r="E965" s="26" t="n">
        <v>0</v>
      </c>
      <c r="F965" s="26" t="n">
        <v>3</v>
      </c>
      <c r="G965" s="26" t="n">
        <v>0</v>
      </c>
      <c r="H965" s="26" t="n">
        <v>0</v>
      </c>
      <c r="I965" s="26" t="n">
        <v>4</v>
      </c>
      <c r="J965" s="26" t="n">
        <v>0</v>
      </c>
      <c r="K965" s="26" t="n">
        <v>0</v>
      </c>
      <c r="L965" s="26" t="n">
        <v>0</v>
      </c>
      <c r="M965" s="26" t="n">
        <v>0</v>
      </c>
      <c r="N965" s="26" t="n">
        <v>0</v>
      </c>
      <c r="O965" s="26" t="n">
        <v>0</v>
      </c>
      <c r="P965" s="26" t="n">
        <v>0</v>
      </c>
      <c r="Q965" s="26" t="n">
        <v>0</v>
      </c>
      <c r="R965" s="26" t="n">
        <v>4</v>
      </c>
      <c r="S965" s="26" t="n">
        <v>0</v>
      </c>
      <c r="T965" s="26" t="n">
        <v>0</v>
      </c>
      <c r="U965" s="26" t="n">
        <v>0</v>
      </c>
    </row>
    <row r="966" customFormat="false" ht="15" hidden="false" customHeight="true" outlineLevel="0" collapsed="false">
      <c r="A966" s="8" t="s">
        <v>944</v>
      </c>
      <c r="B966" s="8" t="s">
        <v>236</v>
      </c>
      <c r="C966" s="8" t="s">
        <v>771</v>
      </c>
      <c r="D966" s="26" t="n">
        <v>0</v>
      </c>
      <c r="E966" s="26" t="n">
        <v>0</v>
      </c>
      <c r="F966" s="26" t="n">
        <v>0</v>
      </c>
      <c r="G966" s="26" t="n">
        <v>0</v>
      </c>
      <c r="H966" s="26" t="n">
        <v>0</v>
      </c>
      <c r="I966" s="26" t="n">
        <v>1</v>
      </c>
      <c r="J966" s="26" t="n">
        <v>0</v>
      </c>
      <c r="K966" s="26" t="n">
        <v>0</v>
      </c>
      <c r="L966" s="26" t="n">
        <v>0</v>
      </c>
      <c r="M966" s="26" t="n">
        <v>0</v>
      </c>
      <c r="N966" s="26" t="n">
        <v>0</v>
      </c>
      <c r="O966" s="26" t="n">
        <v>0</v>
      </c>
      <c r="P966" s="26" t="n">
        <v>0</v>
      </c>
      <c r="Q966" s="26" t="n">
        <v>0</v>
      </c>
      <c r="R966" s="26" t="n">
        <v>1</v>
      </c>
      <c r="S966" s="26" t="n">
        <v>0</v>
      </c>
      <c r="T966" s="26" t="n">
        <v>0</v>
      </c>
      <c r="U966" s="26" t="n">
        <v>0</v>
      </c>
    </row>
    <row r="967" customFormat="false" ht="15" hidden="false" customHeight="true" outlineLevel="0" collapsed="false">
      <c r="A967" s="8" t="s">
        <v>944</v>
      </c>
      <c r="B967" s="8" t="s">
        <v>236</v>
      </c>
      <c r="C967" s="8" t="s">
        <v>772</v>
      </c>
      <c r="D967" s="26" t="n">
        <v>0</v>
      </c>
      <c r="E967" s="26" t="n">
        <v>0</v>
      </c>
      <c r="F967" s="26" t="n">
        <v>2</v>
      </c>
      <c r="G967" s="26" t="n">
        <v>0</v>
      </c>
      <c r="H967" s="26" t="n">
        <v>0</v>
      </c>
      <c r="I967" s="26" t="n">
        <v>5</v>
      </c>
      <c r="J967" s="26" t="n">
        <v>0</v>
      </c>
      <c r="K967" s="26" t="n">
        <v>0</v>
      </c>
      <c r="L967" s="26" t="n">
        <v>0</v>
      </c>
      <c r="M967" s="26" t="n">
        <v>0</v>
      </c>
      <c r="N967" s="26" t="n">
        <v>0</v>
      </c>
      <c r="O967" s="26" t="n">
        <v>0</v>
      </c>
      <c r="P967" s="26" t="n">
        <v>-2</v>
      </c>
      <c r="Q967" s="26" t="n">
        <v>6</v>
      </c>
      <c r="R967" s="26" t="n">
        <v>1</v>
      </c>
      <c r="S967" s="26" t="n">
        <v>0</v>
      </c>
      <c r="T967" s="26" t="n">
        <v>0</v>
      </c>
      <c r="U967" s="26" t="n">
        <v>0</v>
      </c>
    </row>
    <row r="968" customFormat="false" ht="15" hidden="false" customHeight="true" outlineLevel="0" collapsed="false">
      <c r="A968" s="8" t="s">
        <v>944</v>
      </c>
      <c r="B968" s="8" t="s">
        <v>236</v>
      </c>
      <c r="C968" s="8" t="s">
        <v>773</v>
      </c>
      <c r="D968" s="26" t="n">
        <v>0</v>
      </c>
      <c r="E968" s="26" t="n">
        <v>0</v>
      </c>
      <c r="F968" s="26" t="n">
        <v>2</v>
      </c>
      <c r="G968" s="26" t="n">
        <v>0</v>
      </c>
      <c r="H968" s="26" t="n">
        <v>0</v>
      </c>
      <c r="I968" s="26" t="n">
        <v>7</v>
      </c>
      <c r="J968" s="26" t="n">
        <v>0</v>
      </c>
      <c r="K968" s="26" t="n">
        <v>0</v>
      </c>
      <c r="L968" s="26" t="n">
        <v>0</v>
      </c>
      <c r="M968" s="26" t="n">
        <v>0</v>
      </c>
      <c r="N968" s="26" t="n">
        <v>0</v>
      </c>
      <c r="O968" s="26" t="n">
        <v>0</v>
      </c>
      <c r="P968" s="26" t="n">
        <v>0</v>
      </c>
      <c r="Q968" s="26" t="n">
        <v>3</v>
      </c>
      <c r="R968" s="26" t="n">
        <v>4</v>
      </c>
      <c r="S968" s="26" t="n">
        <v>0</v>
      </c>
      <c r="T968" s="26" t="n">
        <v>0</v>
      </c>
      <c r="U968" s="26" t="n">
        <v>0</v>
      </c>
    </row>
    <row r="969" customFormat="false" ht="15" hidden="false" customHeight="true" outlineLevel="0" collapsed="false">
      <c r="A969" s="8" t="s">
        <v>944</v>
      </c>
      <c r="B969" s="8" t="s">
        <v>236</v>
      </c>
      <c r="C969" s="8" t="s">
        <v>774</v>
      </c>
      <c r="D969" s="26" t="n">
        <v>0</v>
      </c>
      <c r="E969" s="26" t="n">
        <v>0</v>
      </c>
      <c r="F969" s="26" t="n">
        <v>6</v>
      </c>
      <c r="G969" s="26" t="n">
        <v>0</v>
      </c>
      <c r="H969" s="26" t="n">
        <v>0</v>
      </c>
      <c r="I969" s="26" t="n">
        <v>3</v>
      </c>
      <c r="J969" s="26" t="n">
        <v>0</v>
      </c>
      <c r="K969" s="26" t="n">
        <v>0</v>
      </c>
      <c r="L969" s="26" t="n">
        <v>0</v>
      </c>
      <c r="M969" s="26" t="n">
        <v>0</v>
      </c>
      <c r="N969" s="26" t="n">
        <v>0</v>
      </c>
      <c r="O969" s="26" t="n">
        <v>0</v>
      </c>
      <c r="P969" s="26" t="n">
        <v>0</v>
      </c>
      <c r="Q969" s="26" t="n">
        <v>1</v>
      </c>
      <c r="R969" s="26" t="n">
        <v>2</v>
      </c>
      <c r="S969" s="26" t="n">
        <v>0</v>
      </c>
      <c r="T969" s="26" t="n">
        <v>0</v>
      </c>
      <c r="U969" s="26" t="n">
        <v>0</v>
      </c>
    </row>
    <row r="970" customFormat="false" ht="15" hidden="false" customHeight="true" outlineLevel="0" collapsed="false">
      <c r="A970" s="8" t="s">
        <v>944</v>
      </c>
      <c r="B970" s="8" t="s">
        <v>236</v>
      </c>
      <c r="C970" s="8" t="s">
        <v>775</v>
      </c>
      <c r="D970" s="26" t="n">
        <v>0</v>
      </c>
      <c r="E970" s="26" t="n">
        <v>0</v>
      </c>
      <c r="F970" s="26" t="n">
        <v>0</v>
      </c>
      <c r="G970" s="26" t="n">
        <v>0</v>
      </c>
      <c r="H970" s="26" t="n">
        <v>0</v>
      </c>
      <c r="I970" s="26" t="n">
        <v>0</v>
      </c>
      <c r="J970" s="26" t="n">
        <v>0</v>
      </c>
      <c r="K970" s="26" t="n">
        <v>0</v>
      </c>
      <c r="L970" s="26" t="n">
        <v>0</v>
      </c>
      <c r="M970" s="26" t="n">
        <v>0</v>
      </c>
      <c r="N970" s="26" t="n">
        <v>0</v>
      </c>
      <c r="O970" s="26" t="n">
        <v>0</v>
      </c>
      <c r="P970" s="26" t="n">
        <v>0</v>
      </c>
      <c r="Q970" s="26" t="n">
        <v>-2</v>
      </c>
      <c r="R970" s="26" t="n">
        <v>2</v>
      </c>
      <c r="S970" s="26" t="n">
        <v>0</v>
      </c>
      <c r="T970" s="26" t="n">
        <v>0</v>
      </c>
      <c r="U970" s="26" t="n">
        <v>0</v>
      </c>
    </row>
    <row r="971" customFormat="false" ht="15" hidden="false" customHeight="true" outlineLevel="0" collapsed="false">
      <c r="A971" s="8" t="s">
        <v>944</v>
      </c>
      <c r="B971" s="8" t="s">
        <v>236</v>
      </c>
      <c r="C971" s="8" t="s">
        <v>776</v>
      </c>
      <c r="D971" s="26" t="n">
        <v>0</v>
      </c>
      <c r="E971" s="26" t="n">
        <v>0</v>
      </c>
      <c r="F971" s="26" t="n">
        <v>0</v>
      </c>
      <c r="G971" s="26" t="n">
        <v>0</v>
      </c>
      <c r="H971" s="26" t="n">
        <v>0</v>
      </c>
      <c r="I971" s="26" t="n">
        <v>2</v>
      </c>
      <c r="J971" s="26" t="n">
        <v>0</v>
      </c>
      <c r="K971" s="26" t="n">
        <v>0</v>
      </c>
      <c r="L971" s="26" t="n">
        <v>0</v>
      </c>
      <c r="M971" s="26" t="n">
        <v>0</v>
      </c>
      <c r="N971" s="26" t="n">
        <v>0</v>
      </c>
      <c r="O971" s="26" t="n">
        <v>0</v>
      </c>
      <c r="P971" s="26" t="n">
        <v>-4</v>
      </c>
      <c r="Q971" s="26" t="n">
        <v>3</v>
      </c>
      <c r="R971" s="26" t="n">
        <v>3</v>
      </c>
      <c r="S971" s="26" t="n">
        <v>0</v>
      </c>
      <c r="T971" s="26" t="n">
        <v>0</v>
      </c>
      <c r="U971" s="26" t="n">
        <v>0</v>
      </c>
    </row>
    <row r="972" customFormat="false" ht="15" hidden="false" customHeight="true" outlineLevel="0" collapsed="false">
      <c r="A972" s="8" t="s">
        <v>944</v>
      </c>
      <c r="B972" s="8" t="s">
        <v>236</v>
      </c>
      <c r="C972" s="8" t="s">
        <v>777</v>
      </c>
      <c r="D972" s="26" t="n">
        <v>0</v>
      </c>
      <c r="E972" s="26" t="n">
        <v>0</v>
      </c>
      <c r="F972" s="26" t="n">
        <v>0</v>
      </c>
      <c r="G972" s="26" t="n">
        <v>0</v>
      </c>
      <c r="H972" s="26" t="n">
        <v>0</v>
      </c>
      <c r="I972" s="26" t="n">
        <v>1</v>
      </c>
      <c r="J972" s="26" t="n">
        <v>0</v>
      </c>
      <c r="K972" s="26" t="n">
        <v>0</v>
      </c>
      <c r="L972" s="26" t="n">
        <v>0</v>
      </c>
      <c r="M972" s="26" t="n">
        <v>0</v>
      </c>
      <c r="N972" s="26" t="n">
        <v>0</v>
      </c>
      <c r="O972" s="26" t="n">
        <v>0</v>
      </c>
      <c r="P972" s="26" t="n">
        <v>0</v>
      </c>
      <c r="Q972" s="26" t="n">
        <v>0</v>
      </c>
      <c r="R972" s="26" t="n">
        <v>1</v>
      </c>
      <c r="S972" s="26" t="n">
        <v>0</v>
      </c>
      <c r="T972" s="26" t="n">
        <v>0</v>
      </c>
      <c r="U972" s="26" t="n">
        <v>0</v>
      </c>
    </row>
    <row r="973" customFormat="false" ht="15" hidden="false" customHeight="true" outlineLevel="0" collapsed="false">
      <c r="A973" s="8" t="s">
        <v>944</v>
      </c>
      <c r="B973" s="8" t="s">
        <v>236</v>
      </c>
      <c r="C973" s="8" t="s">
        <v>778</v>
      </c>
      <c r="D973" s="26" t="n">
        <v>0</v>
      </c>
      <c r="E973" s="26" t="n">
        <v>0</v>
      </c>
      <c r="F973" s="26" t="n">
        <v>0</v>
      </c>
      <c r="G973" s="26" t="n">
        <v>0</v>
      </c>
      <c r="H973" s="26" t="n">
        <v>0</v>
      </c>
      <c r="I973" s="26" t="n">
        <v>-5</v>
      </c>
      <c r="J973" s="26" t="n">
        <v>0</v>
      </c>
      <c r="K973" s="26" t="n">
        <v>0</v>
      </c>
      <c r="L973" s="26" t="n">
        <v>0</v>
      </c>
      <c r="M973" s="26" t="n">
        <v>0</v>
      </c>
      <c r="N973" s="26" t="n">
        <v>0</v>
      </c>
      <c r="O973" s="26" t="n">
        <v>0</v>
      </c>
      <c r="P973" s="26" t="n">
        <v>0</v>
      </c>
      <c r="Q973" s="26" t="n">
        <v>-5</v>
      </c>
      <c r="R973" s="26" t="n">
        <v>0</v>
      </c>
      <c r="S973" s="26" t="n">
        <v>0</v>
      </c>
      <c r="T973" s="26" t="n">
        <v>0</v>
      </c>
      <c r="U973" s="26" t="n">
        <v>0</v>
      </c>
    </row>
    <row r="974" customFormat="false" ht="15" hidden="false" customHeight="true" outlineLevel="0" collapsed="false">
      <c r="A974" s="8" t="s">
        <v>944</v>
      </c>
      <c r="B974" s="8" t="s">
        <v>236</v>
      </c>
      <c r="C974" s="8" t="s">
        <v>779</v>
      </c>
      <c r="D974" s="26" t="n">
        <v>0</v>
      </c>
      <c r="E974" s="26" t="n">
        <v>0</v>
      </c>
      <c r="F974" s="26" t="n">
        <v>0</v>
      </c>
      <c r="G974" s="26" t="n">
        <v>0</v>
      </c>
      <c r="H974" s="26" t="n">
        <v>0</v>
      </c>
      <c r="I974" s="26" t="n">
        <v>-3</v>
      </c>
      <c r="J974" s="26" t="n">
        <v>0</v>
      </c>
      <c r="K974" s="26" t="n">
        <v>0</v>
      </c>
      <c r="L974" s="26" t="n">
        <v>0</v>
      </c>
      <c r="M974" s="26" t="n">
        <v>0</v>
      </c>
      <c r="N974" s="26" t="n">
        <v>0</v>
      </c>
      <c r="O974" s="26" t="n">
        <v>0</v>
      </c>
      <c r="P974" s="26" t="n">
        <v>0</v>
      </c>
      <c r="Q974" s="26" t="n">
        <v>-3</v>
      </c>
      <c r="R974" s="26" t="n">
        <v>0</v>
      </c>
      <c r="S974" s="26" t="n">
        <v>0</v>
      </c>
      <c r="T974" s="26" t="n">
        <v>0</v>
      </c>
      <c r="U974" s="26" t="n">
        <v>0</v>
      </c>
    </row>
    <row r="975" customFormat="false" ht="15" hidden="false" customHeight="true" outlineLevel="0" collapsed="false">
      <c r="A975" s="8" t="s">
        <v>944</v>
      </c>
      <c r="B975" s="8" t="s">
        <v>287</v>
      </c>
      <c r="C975" s="8" t="s">
        <v>780</v>
      </c>
      <c r="D975" s="26" t="n">
        <v>0</v>
      </c>
      <c r="E975" s="26" t="n">
        <v>0</v>
      </c>
      <c r="F975" s="26" t="n">
        <v>46</v>
      </c>
      <c r="G975" s="26" t="n">
        <v>0</v>
      </c>
      <c r="H975" s="26" t="n">
        <v>0</v>
      </c>
      <c r="I975" s="26" t="n">
        <v>1021</v>
      </c>
      <c r="J975" s="26" t="n">
        <v>0</v>
      </c>
      <c r="K975" s="26" t="n">
        <v>2</v>
      </c>
      <c r="L975" s="26" t="n">
        <v>0</v>
      </c>
      <c r="M975" s="26" t="n">
        <v>0</v>
      </c>
      <c r="N975" s="26" t="n">
        <v>0</v>
      </c>
      <c r="O975" s="26" t="n">
        <v>0</v>
      </c>
      <c r="P975" s="26" t="n">
        <v>0</v>
      </c>
      <c r="Q975" s="26" t="n">
        <v>965</v>
      </c>
      <c r="R975" s="26" t="n">
        <v>54</v>
      </c>
      <c r="S975" s="26" t="n">
        <v>0</v>
      </c>
      <c r="T975" s="26" t="n">
        <v>0</v>
      </c>
      <c r="U975" s="26" t="n">
        <v>0</v>
      </c>
    </row>
    <row r="976" customFormat="false" ht="15" hidden="false" customHeight="true" outlineLevel="0" collapsed="false">
      <c r="A976" s="8" t="s">
        <v>944</v>
      </c>
      <c r="B976" s="8" t="s">
        <v>209</v>
      </c>
      <c r="C976" s="8" t="s">
        <v>781</v>
      </c>
      <c r="D976" s="26" t="n">
        <v>0</v>
      </c>
      <c r="E976" s="26" t="n">
        <v>0</v>
      </c>
      <c r="F976" s="26" t="n">
        <v>35</v>
      </c>
      <c r="G976" s="26" t="n">
        <v>0</v>
      </c>
      <c r="H976" s="26" t="n">
        <v>0</v>
      </c>
      <c r="I976" s="26" t="n">
        <v>40</v>
      </c>
      <c r="J976" s="26" t="n">
        <v>0</v>
      </c>
      <c r="K976" s="26" t="n">
        <v>0</v>
      </c>
      <c r="L976" s="26" t="n">
        <v>0</v>
      </c>
      <c r="M976" s="26" t="n">
        <v>0</v>
      </c>
      <c r="N976" s="26" t="n">
        <v>0</v>
      </c>
      <c r="O976" s="26" t="n">
        <v>0</v>
      </c>
      <c r="P976" s="26" t="n">
        <v>0</v>
      </c>
      <c r="Q976" s="26" t="n">
        <v>40</v>
      </c>
      <c r="R976" s="26" t="n">
        <v>0</v>
      </c>
      <c r="S976" s="26" t="n">
        <v>0</v>
      </c>
      <c r="T976" s="26" t="n">
        <v>0</v>
      </c>
      <c r="U976" s="26" t="n">
        <v>0</v>
      </c>
    </row>
    <row r="977" customFormat="false" ht="15" hidden="false" customHeight="true" outlineLevel="0" collapsed="false">
      <c r="A977" s="8" t="s">
        <v>944</v>
      </c>
      <c r="B977" s="8" t="s">
        <v>329</v>
      </c>
      <c r="C977" s="8" t="s">
        <v>782</v>
      </c>
      <c r="D977" s="26" t="n">
        <v>0</v>
      </c>
      <c r="E977" s="26" t="n">
        <v>0</v>
      </c>
      <c r="F977" s="26" t="n">
        <v>-1</v>
      </c>
      <c r="G977" s="26" t="n">
        <v>0</v>
      </c>
      <c r="H977" s="26" t="n">
        <v>0</v>
      </c>
      <c r="I977" s="26" t="n">
        <v>1</v>
      </c>
      <c r="J977" s="26" t="n">
        <v>0</v>
      </c>
      <c r="K977" s="26" t="n">
        <v>0</v>
      </c>
      <c r="L977" s="26" t="n">
        <v>0</v>
      </c>
      <c r="M977" s="26" t="n">
        <v>0</v>
      </c>
      <c r="N977" s="26" t="n">
        <v>0</v>
      </c>
      <c r="O977" s="26" t="n">
        <v>0</v>
      </c>
      <c r="P977" s="26" t="n">
        <v>0</v>
      </c>
      <c r="Q977" s="26" t="n">
        <v>0</v>
      </c>
      <c r="R977" s="26" t="n">
        <v>1</v>
      </c>
      <c r="S977" s="26" t="n">
        <v>0</v>
      </c>
      <c r="T977" s="26" t="n">
        <v>0</v>
      </c>
      <c r="U977" s="26" t="n">
        <v>0</v>
      </c>
    </row>
    <row r="978" customFormat="false" ht="15" hidden="false" customHeight="true" outlineLevel="0" collapsed="false">
      <c r="A978" s="8" t="s">
        <v>944</v>
      </c>
      <c r="B978" s="8" t="s">
        <v>365</v>
      </c>
      <c r="C978" s="8" t="s">
        <v>783</v>
      </c>
      <c r="D978" s="26" t="n">
        <v>0</v>
      </c>
      <c r="E978" s="26" t="n">
        <v>0</v>
      </c>
      <c r="F978" s="26" t="n">
        <v>0</v>
      </c>
      <c r="G978" s="26" t="n">
        <v>0</v>
      </c>
      <c r="H978" s="26" t="n">
        <v>0</v>
      </c>
      <c r="I978" s="26" t="n">
        <v>-1</v>
      </c>
      <c r="J978" s="26" t="n">
        <v>0</v>
      </c>
      <c r="K978" s="26" t="n">
        <v>0</v>
      </c>
      <c r="L978" s="26" t="n">
        <v>0</v>
      </c>
      <c r="M978" s="26" t="n">
        <v>0</v>
      </c>
      <c r="N978" s="26" t="n">
        <v>0</v>
      </c>
      <c r="O978" s="26" t="n">
        <v>0</v>
      </c>
      <c r="P978" s="26" t="n">
        <v>-3</v>
      </c>
      <c r="Q978" s="26" t="n">
        <v>2</v>
      </c>
      <c r="R978" s="26" t="n">
        <v>0</v>
      </c>
      <c r="S978" s="26" t="n">
        <v>0</v>
      </c>
      <c r="T978" s="26" t="n">
        <v>0</v>
      </c>
      <c r="U978" s="26" t="n">
        <v>0</v>
      </c>
    </row>
    <row r="979" customFormat="false" ht="15" hidden="false" customHeight="true" outlineLevel="0" collapsed="false">
      <c r="A979" s="8" t="s">
        <v>944</v>
      </c>
      <c r="B979" s="8" t="s">
        <v>365</v>
      </c>
      <c r="C979" s="8" t="s">
        <v>784</v>
      </c>
      <c r="D979" s="26" t="n">
        <v>0</v>
      </c>
      <c r="E979" s="26" t="n">
        <v>0</v>
      </c>
      <c r="F979" s="26" t="n">
        <v>0</v>
      </c>
      <c r="G979" s="26" t="n">
        <v>0</v>
      </c>
      <c r="H979" s="26" t="n">
        <v>0</v>
      </c>
      <c r="I979" s="26" t="n">
        <v>-3</v>
      </c>
      <c r="J979" s="26" t="n">
        <v>0</v>
      </c>
      <c r="K979" s="26" t="n">
        <v>0</v>
      </c>
      <c r="L979" s="26" t="n">
        <v>0</v>
      </c>
      <c r="M979" s="26" t="n">
        <v>0</v>
      </c>
      <c r="N979" s="26" t="n">
        <v>0</v>
      </c>
      <c r="O979" s="26" t="n">
        <v>0</v>
      </c>
      <c r="P979" s="26" t="n">
        <v>-3</v>
      </c>
      <c r="Q979" s="26" t="n">
        <v>0</v>
      </c>
      <c r="R979" s="26" t="n">
        <v>0</v>
      </c>
      <c r="S979" s="26" t="n">
        <v>0</v>
      </c>
      <c r="T979" s="26" t="n">
        <v>0</v>
      </c>
      <c r="U979" s="26" t="n">
        <v>0</v>
      </c>
    </row>
    <row r="980" customFormat="false" ht="15" hidden="false" customHeight="true" outlineLevel="0" collapsed="false">
      <c r="A980" s="8" t="s">
        <v>944</v>
      </c>
      <c r="B980" s="8" t="s">
        <v>384</v>
      </c>
      <c r="C980" s="8" t="s">
        <v>785</v>
      </c>
      <c r="D980" s="26" t="n">
        <v>0</v>
      </c>
      <c r="E980" s="26" t="n">
        <v>0</v>
      </c>
      <c r="F980" s="26" t="n">
        <v>0</v>
      </c>
      <c r="G980" s="26" t="n">
        <v>0</v>
      </c>
      <c r="H980" s="26" t="n">
        <v>0</v>
      </c>
      <c r="I980" s="26" t="n">
        <v>-1</v>
      </c>
      <c r="J980" s="26" t="n">
        <v>0</v>
      </c>
      <c r="K980" s="26" t="n">
        <v>0</v>
      </c>
      <c r="L980" s="26" t="n">
        <v>0</v>
      </c>
      <c r="M980" s="26" t="n">
        <v>0</v>
      </c>
      <c r="N980" s="26" t="n">
        <v>0</v>
      </c>
      <c r="O980" s="26" t="n">
        <v>0</v>
      </c>
      <c r="P980" s="26" t="n">
        <v>0</v>
      </c>
      <c r="Q980" s="26" t="n">
        <v>-1</v>
      </c>
      <c r="R980" s="26" t="n">
        <v>0</v>
      </c>
      <c r="S980" s="26" t="n">
        <v>0</v>
      </c>
      <c r="T980" s="26" t="n">
        <v>0</v>
      </c>
      <c r="U980" s="26" t="n">
        <v>0</v>
      </c>
    </row>
    <row r="981" customFormat="false" ht="15" hidden="false" customHeight="true" outlineLevel="0" collapsed="false">
      <c r="A981" s="8" t="s">
        <v>944</v>
      </c>
      <c r="B981" s="8" t="s">
        <v>358</v>
      </c>
      <c r="C981" s="8" t="s">
        <v>786</v>
      </c>
      <c r="D981" s="26" t="n">
        <v>0</v>
      </c>
      <c r="E981" s="26" t="n">
        <v>0</v>
      </c>
      <c r="F981" s="26" t="n">
        <v>79</v>
      </c>
      <c r="G981" s="26" t="n">
        <v>0</v>
      </c>
      <c r="H981" s="26" t="n">
        <v>0</v>
      </c>
      <c r="I981" s="26" t="n">
        <v>89</v>
      </c>
      <c r="J981" s="26" t="n">
        <v>0</v>
      </c>
      <c r="K981" s="26" t="n">
        <v>8</v>
      </c>
      <c r="L981" s="26" t="n">
        <v>0</v>
      </c>
      <c r="M981" s="26" t="n">
        <v>0</v>
      </c>
      <c r="N981" s="26" t="n">
        <v>2</v>
      </c>
      <c r="O981" s="26" t="n">
        <v>0</v>
      </c>
      <c r="P981" s="26" t="n">
        <v>-8</v>
      </c>
      <c r="Q981" s="26" t="n">
        <v>0</v>
      </c>
      <c r="R981" s="26" t="n">
        <v>87</v>
      </c>
      <c r="S981" s="26" t="n">
        <v>0</v>
      </c>
      <c r="T981" s="26" t="n">
        <v>0</v>
      </c>
      <c r="U981" s="26" t="n">
        <v>0</v>
      </c>
    </row>
    <row r="982" customFormat="false" ht="15" hidden="false" customHeight="true" outlineLevel="0" collapsed="false">
      <c r="A982" s="8" t="s">
        <v>944</v>
      </c>
      <c r="B982" s="8" t="s">
        <v>300</v>
      </c>
      <c r="C982" s="8" t="s">
        <v>787</v>
      </c>
      <c r="D982" s="26" t="n">
        <v>0</v>
      </c>
      <c r="E982" s="26" t="n">
        <v>0</v>
      </c>
      <c r="F982" s="26" t="n">
        <v>7</v>
      </c>
      <c r="G982" s="26" t="n">
        <v>0</v>
      </c>
      <c r="H982" s="26" t="n">
        <v>0</v>
      </c>
      <c r="I982" s="26" t="n">
        <v>1</v>
      </c>
      <c r="J982" s="26" t="n">
        <v>0</v>
      </c>
      <c r="K982" s="26" t="n">
        <v>1</v>
      </c>
      <c r="L982" s="26" t="n">
        <v>0</v>
      </c>
      <c r="M982" s="26" t="n">
        <v>0</v>
      </c>
      <c r="N982" s="26" t="n">
        <v>0</v>
      </c>
      <c r="O982" s="26" t="n">
        <v>0</v>
      </c>
      <c r="P982" s="26" t="n">
        <v>-6</v>
      </c>
      <c r="Q982" s="26" t="n">
        <v>-3</v>
      </c>
      <c r="R982" s="26" t="n">
        <v>9</v>
      </c>
      <c r="S982" s="26" t="n">
        <v>0</v>
      </c>
      <c r="T982" s="26" t="n">
        <v>0</v>
      </c>
      <c r="U982" s="26" t="n">
        <v>0</v>
      </c>
    </row>
    <row r="983" customFormat="false" ht="15" hidden="false" customHeight="true" outlineLevel="0" collapsed="false">
      <c r="A983" s="8" t="s">
        <v>944</v>
      </c>
      <c r="B983" s="8" t="s">
        <v>259</v>
      </c>
      <c r="C983" s="8" t="s">
        <v>788</v>
      </c>
      <c r="D983" s="26" t="n">
        <v>0</v>
      </c>
      <c r="E983" s="26" t="n">
        <v>0</v>
      </c>
      <c r="F983" s="26" t="n">
        <v>52</v>
      </c>
      <c r="G983" s="26" t="n">
        <v>0</v>
      </c>
      <c r="H983" s="26" t="n">
        <v>0</v>
      </c>
      <c r="I983" s="26" t="n">
        <v>59</v>
      </c>
      <c r="J983" s="26" t="n">
        <v>0</v>
      </c>
      <c r="K983" s="26" t="n">
        <v>9</v>
      </c>
      <c r="L983" s="26" t="n">
        <v>0</v>
      </c>
      <c r="M983" s="26" t="n">
        <v>0</v>
      </c>
      <c r="N983" s="26" t="n">
        <v>2</v>
      </c>
      <c r="O983" s="26" t="n">
        <v>0</v>
      </c>
      <c r="P983" s="26" t="n">
        <v>-3</v>
      </c>
      <c r="Q983" s="26" t="n">
        <v>0</v>
      </c>
      <c r="R983" s="26" t="n">
        <v>51</v>
      </c>
      <c r="S983" s="26" t="n">
        <v>0</v>
      </c>
      <c r="T983" s="26" t="n">
        <v>0</v>
      </c>
      <c r="U983" s="26" t="n">
        <v>0</v>
      </c>
    </row>
    <row r="984" customFormat="false" ht="15" hidden="false" customHeight="true" outlineLevel="0" collapsed="false">
      <c r="A984" s="8" t="s">
        <v>944</v>
      </c>
      <c r="B984" s="8" t="s">
        <v>225</v>
      </c>
      <c r="C984" s="8" t="s">
        <v>789</v>
      </c>
      <c r="D984" s="26" t="n">
        <v>0</v>
      </c>
      <c r="E984" s="26" t="n">
        <v>0</v>
      </c>
      <c r="F984" s="26" t="n">
        <v>41</v>
      </c>
      <c r="G984" s="26" t="n">
        <v>0</v>
      </c>
      <c r="H984" s="26" t="n">
        <v>0</v>
      </c>
      <c r="I984" s="26" t="n">
        <v>43</v>
      </c>
      <c r="J984" s="26" t="n">
        <v>0</v>
      </c>
      <c r="K984" s="26" t="n">
        <v>5</v>
      </c>
      <c r="L984" s="26" t="n">
        <v>0</v>
      </c>
      <c r="M984" s="26" t="n">
        <v>0</v>
      </c>
      <c r="N984" s="26" t="n">
        <v>4</v>
      </c>
      <c r="O984" s="26" t="n">
        <v>0</v>
      </c>
      <c r="P984" s="26" t="n">
        <v>-11</v>
      </c>
      <c r="Q984" s="26" t="n">
        <v>-2</v>
      </c>
      <c r="R984" s="26" t="n">
        <v>47</v>
      </c>
      <c r="S984" s="26" t="n">
        <v>0</v>
      </c>
      <c r="T984" s="26" t="n">
        <v>0</v>
      </c>
      <c r="U984" s="26" t="n">
        <v>0</v>
      </c>
    </row>
    <row r="985" customFormat="false" ht="15" hidden="false" customHeight="true" outlineLevel="0" collapsed="false">
      <c r="A985" s="8" t="s">
        <v>944</v>
      </c>
      <c r="B985" s="8" t="s">
        <v>97</v>
      </c>
      <c r="C985" s="8" t="s">
        <v>790</v>
      </c>
      <c r="D985" s="26" t="n">
        <v>0</v>
      </c>
      <c r="E985" s="26" t="n">
        <v>0</v>
      </c>
      <c r="F985" s="26" t="n">
        <v>1647</v>
      </c>
      <c r="G985" s="26" t="n">
        <v>0</v>
      </c>
      <c r="H985" s="26" t="n">
        <v>25</v>
      </c>
      <c r="I985" s="26" t="n">
        <v>905</v>
      </c>
      <c r="J985" s="26" t="n">
        <v>0</v>
      </c>
      <c r="K985" s="26" t="n">
        <v>54</v>
      </c>
      <c r="L985" s="26" t="n">
        <v>-2</v>
      </c>
      <c r="M985" s="26" t="n">
        <v>5</v>
      </c>
      <c r="N985" s="26" t="n">
        <v>15</v>
      </c>
      <c r="O985" s="26" t="n">
        <v>18</v>
      </c>
      <c r="P985" s="26" t="n">
        <v>-1</v>
      </c>
      <c r="Q985" s="26" t="n">
        <v>0</v>
      </c>
      <c r="R985" s="26" t="n">
        <v>816</v>
      </c>
      <c r="S985" s="26" t="n">
        <v>1</v>
      </c>
      <c r="T985" s="26" t="n">
        <v>0</v>
      </c>
      <c r="U985" s="26" t="n">
        <v>0</v>
      </c>
    </row>
    <row r="986" customFormat="false" ht="15" hidden="false" customHeight="true" outlineLevel="0" collapsed="false">
      <c r="A986" s="8" t="s">
        <v>944</v>
      </c>
      <c r="B986" s="8" t="s">
        <v>144</v>
      </c>
      <c r="C986" s="8" t="s">
        <v>791</v>
      </c>
      <c r="D986" s="26" t="n">
        <v>0</v>
      </c>
      <c r="E986" s="26" t="n">
        <v>0</v>
      </c>
      <c r="F986" s="26" t="n">
        <v>160</v>
      </c>
      <c r="G986" s="26" t="n">
        <v>0</v>
      </c>
      <c r="H986" s="26" t="n">
        <v>0</v>
      </c>
      <c r="I986" s="26" t="n">
        <v>1239</v>
      </c>
      <c r="J986" s="26" t="n">
        <v>0</v>
      </c>
      <c r="K986" s="26" t="n">
        <v>11</v>
      </c>
      <c r="L986" s="26" t="n">
        <v>0</v>
      </c>
      <c r="M986" s="26" t="n">
        <v>0</v>
      </c>
      <c r="N986" s="26" t="n">
        <v>1</v>
      </c>
      <c r="O986" s="26" t="n">
        <v>1</v>
      </c>
      <c r="P986" s="26" t="n">
        <v>-2</v>
      </c>
      <c r="Q986" s="26" t="n">
        <v>1179</v>
      </c>
      <c r="R986" s="26" t="n">
        <v>49</v>
      </c>
      <c r="S986" s="26" t="n">
        <v>0</v>
      </c>
      <c r="T986" s="26" t="n">
        <v>0</v>
      </c>
      <c r="U986" s="26" t="n">
        <v>0</v>
      </c>
    </row>
    <row r="987" customFormat="false" ht="15" hidden="false" customHeight="true" outlineLevel="0" collapsed="false">
      <c r="A987" s="8" t="s">
        <v>944</v>
      </c>
      <c r="B987" s="8" t="s">
        <v>343</v>
      </c>
      <c r="C987" s="8" t="s">
        <v>792</v>
      </c>
      <c r="D987" s="26" t="n">
        <v>0</v>
      </c>
      <c r="E987" s="26" t="n">
        <v>0</v>
      </c>
      <c r="F987" s="26" t="n">
        <v>121</v>
      </c>
      <c r="G987" s="26" t="n">
        <v>0</v>
      </c>
      <c r="H987" s="26" t="n">
        <v>0</v>
      </c>
      <c r="I987" s="26" t="n">
        <v>425</v>
      </c>
      <c r="J987" s="26" t="n">
        <v>0</v>
      </c>
      <c r="K987" s="26" t="n">
        <v>39</v>
      </c>
      <c r="L987" s="26" t="n">
        <v>0</v>
      </c>
      <c r="M987" s="26" t="n">
        <v>2</v>
      </c>
      <c r="N987" s="26" t="n">
        <v>6</v>
      </c>
      <c r="O987" s="26" t="n">
        <v>8</v>
      </c>
      <c r="P987" s="26" t="n">
        <v>-3</v>
      </c>
      <c r="Q987" s="26" t="n">
        <v>283</v>
      </c>
      <c r="R987" s="26" t="n">
        <v>90</v>
      </c>
      <c r="S987" s="26" t="n">
        <v>0</v>
      </c>
      <c r="T987" s="26" t="n">
        <v>0</v>
      </c>
      <c r="U987" s="26" t="n">
        <v>0</v>
      </c>
    </row>
    <row r="988" customFormat="false" ht="15" hidden="false" customHeight="true" outlineLevel="0" collapsed="false">
      <c r="A988" s="8" t="s">
        <v>944</v>
      </c>
      <c r="B988" s="8" t="s">
        <v>347</v>
      </c>
      <c r="C988" s="8" t="s">
        <v>793</v>
      </c>
      <c r="D988" s="26" t="n">
        <v>0</v>
      </c>
      <c r="E988" s="26" t="n">
        <v>0</v>
      </c>
      <c r="F988" s="26" t="n">
        <v>0</v>
      </c>
      <c r="G988" s="26" t="n">
        <v>0</v>
      </c>
      <c r="H988" s="26" t="n">
        <v>0</v>
      </c>
      <c r="I988" s="26" t="n">
        <v>-3</v>
      </c>
      <c r="J988" s="26" t="n">
        <v>0</v>
      </c>
      <c r="K988" s="26" t="n">
        <v>0</v>
      </c>
      <c r="L988" s="26" t="n">
        <v>0</v>
      </c>
      <c r="M988" s="26" t="n">
        <v>0</v>
      </c>
      <c r="N988" s="26" t="n">
        <v>0</v>
      </c>
      <c r="O988" s="26" t="n">
        <v>0</v>
      </c>
      <c r="P988" s="26" t="n">
        <v>0</v>
      </c>
      <c r="Q988" s="26" t="n">
        <v>-3</v>
      </c>
      <c r="R988" s="26" t="n">
        <v>0</v>
      </c>
      <c r="S988" s="26" t="n">
        <v>0</v>
      </c>
      <c r="T988" s="26" t="n">
        <v>0</v>
      </c>
      <c r="U988" s="26" t="n">
        <v>-1</v>
      </c>
    </row>
    <row r="989" customFormat="false" ht="15" hidden="false" customHeight="true" outlineLevel="0" collapsed="false">
      <c r="A989" s="8" t="s">
        <v>944</v>
      </c>
      <c r="B989" s="8" t="s">
        <v>120</v>
      </c>
      <c r="C989" s="8" t="s">
        <v>794</v>
      </c>
      <c r="D989" s="26" t="n">
        <v>0</v>
      </c>
      <c r="E989" s="26" t="n">
        <v>0</v>
      </c>
      <c r="F989" s="26" t="n">
        <v>11</v>
      </c>
      <c r="G989" s="26" t="n">
        <v>0</v>
      </c>
      <c r="H989" s="26" t="n">
        <v>0</v>
      </c>
      <c r="I989" s="26" t="n">
        <v>0</v>
      </c>
      <c r="J989" s="26" t="n">
        <v>0</v>
      </c>
      <c r="K989" s="26" t="n">
        <v>0</v>
      </c>
      <c r="L989" s="26" t="n">
        <v>0</v>
      </c>
      <c r="M989" s="26" t="n">
        <v>0</v>
      </c>
      <c r="N989" s="26" t="n">
        <v>0</v>
      </c>
      <c r="O989" s="26" t="n">
        <v>0</v>
      </c>
      <c r="P989" s="26" t="n">
        <v>0</v>
      </c>
      <c r="Q989" s="26" t="n">
        <v>0</v>
      </c>
      <c r="R989" s="26" t="n">
        <v>0</v>
      </c>
      <c r="S989" s="26" t="n">
        <v>0</v>
      </c>
      <c r="T989" s="26" t="n">
        <v>0</v>
      </c>
      <c r="U989" s="26" t="n">
        <v>0</v>
      </c>
    </row>
    <row r="990" customFormat="false" ht="15" hidden="false" customHeight="true" outlineLevel="0" collapsed="false">
      <c r="A990" s="8" t="s">
        <v>944</v>
      </c>
      <c r="B990" s="8" t="s">
        <v>120</v>
      </c>
      <c r="C990" s="8" t="s">
        <v>795</v>
      </c>
      <c r="D990" s="26" t="n">
        <v>0</v>
      </c>
      <c r="E990" s="26" t="n">
        <v>0</v>
      </c>
      <c r="F990" s="26" t="n">
        <v>27</v>
      </c>
      <c r="G990" s="26" t="n">
        <v>0</v>
      </c>
      <c r="H990" s="26" t="n">
        <v>0</v>
      </c>
      <c r="I990" s="26" t="n">
        <v>10</v>
      </c>
      <c r="J990" s="26" t="n">
        <v>0</v>
      </c>
      <c r="K990" s="26" t="n">
        <v>0</v>
      </c>
      <c r="L990" s="26" t="n">
        <v>0</v>
      </c>
      <c r="M990" s="26" t="n">
        <v>0</v>
      </c>
      <c r="N990" s="26" t="n">
        <v>0</v>
      </c>
      <c r="O990" s="26" t="n">
        <v>0</v>
      </c>
      <c r="P990" s="26" t="n">
        <v>0</v>
      </c>
      <c r="Q990" s="26" t="n">
        <v>5</v>
      </c>
      <c r="R990" s="26" t="n">
        <v>5</v>
      </c>
      <c r="S990" s="26" t="n">
        <v>0</v>
      </c>
      <c r="T990" s="26" t="n">
        <v>0</v>
      </c>
      <c r="U990" s="26" t="n">
        <v>0</v>
      </c>
    </row>
    <row r="991" customFormat="false" ht="15" hidden="false" customHeight="true" outlineLevel="0" collapsed="false">
      <c r="A991" s="8" t="s">
        <v>944</v>
      </c>
      <c r="B991" s="8" t="s">
        <v>120</v>
      </c>
      <c r="C991" s="8" t="s">
        <v>796</v>
      </c>
      <c r="D991" s="26" t="n">
        <v>0</v>
      </c>
      <c r="E991" s="26" t="n">
        <v>0</v>
      </c>
      <c r="F991" s="26" t="n">
        <v>36</v>
      </c>
      <c r="G991" s="26" t="n">
        <v>0</v>
      </c>
      <c r="H991" s="26" t="n">
        <v>2</v>
      </c>
      <c r="I991" s="26" t="n">
        <v>6</v>
      </c>
      <c r="J991" s="26" t="n">
        <v>0</v>
      </c>
      <c r="K991" s="26" t="n">
        <v>0</v>
      </c>
      <c r="L991" s="26" t="n">
        <v>0</v>
      </c>
      <c r="M991" s="26" t="n">
        <v>0</v>
      </c>
      <c r="N991" s="26" t="n">
        <v>0</v>
      </c>
      <c r="O991" s="26" t="n">
        <v>0</v>
      </c>
      <c r="P991" s="26" t="n">
        <v>0</v>
      </c>
      <c r="Q991" s="26" t="n">
        <v>4</v>
      </c>
      <c r="R991" s="26" t="n">
        <v>2</v>
      </c>
      <c r="S991" s="26" t="n">
        <v>0</v>
      </c>
      <c r="T991" s="26" t="n">
        <v>0</v>
      </c>
      <c r="U991" s="26" t="n">
        <v>0</v>
      </c>
    </row>
    <row r="992" customFormat="false" ht="15" hidden="false" customHeight="true" outlineLevel="0" collapsed="false">
      <c r="A992" s="8" t="s">
        <v>944</v>
      </c>
      <c r="B992" s="8" t="s">
        <v>120</v>
      </c>
      <c r="C992" s="8" t="s">
        <v>797</v>
      </c>
      <c r="D992" s="26" t="n">
        <v>0</v>
      </c>
      <c r="E992" s="26" t="n">
        <v>0</v>
      </c>
      <c r="F992" s="26" t="n">
        <v>18</v>
      </c>
      <c r="G992" s="26" t="n">
        <v>0</v>
      </c>
      <c r="H992" s="26" t="n">
        <v>0</v>
      </c>
      <c r="I992" s="26" t="n">
        <v>4</v>
      </c>
      <c r="J992" s="26" t="n">
        <v>0</v>
      </c>
      <c r="K992" s="26" t="n">
        <v>0</v>
      </c>
      <c r="L992" s="26" t="n">
        <v>0</v>
      </c>
      <c r="M992" s="26" t="n">
        <v>0</v>
      </c>
      <c r="N992" s="26" t="n">
        <v>0</v>
      </c>
      <c r="O992" s="26" t="n">
        <v>0</v>
      </c>
      <c r="P992" s="26" t="n">
        <v>0</v>
      </c>
      <c r="Q992" s="26" t="n">
        <v>4</v>
      </c>
      <c r="R992" s="26" t="n">
        <v>0</v>
      </c>
      <c r="S992" s="26" t="n">
        <v>0</v>
      </c>
      <c r="T992" s="26" t="n">
        <v>0</v>
      </c>
      <c r="U992" s="26" t="n">
        <v>0</v>
      </c>
    </row>
    <row r="993" customFormat="false" ht="15" hidden="false" customHeight="true" outlineLevel="0" collapsed="false">
      <c r="A993" s="8" t="s">
        <v>944</v>
      </c>
      <c r="B993" s="8" t="s">
        <v>120</v>
      </c>
      <c r="C993" s="8" t="s">
        <v>798</v>
      </c>
      <c r="D993" s="26" t="n">
        <v>0</v>
      </c>
      <c r="E993" s="26" t="n">
        <v>0</v>
      </c>
      <c r="F993" s="26" t="n">
        <v>4</v>
      </c>
      <c r="G993" s="26" t="n">
        <v>0</v>
      </c>
      <c r="H993" s="26" t="n">
        <v>0</v>
      </c>
      <c r="I993" s="26" t="n">
        <v>0</v>
      </c>
      <c r="J993" s="26" t="n">
        <v>0</v>
      </c>
      <c r="K993" s="26" t="n">
        <v>0</v>
      </c>
      <c r="L993" s="26" t="n">
        <v>0</v>
      </c>
      <c r="M993" s="26" t="n">
        <v>0</v>
      </c>
      <c r="N993" s="26" t="n">
        <v>0</v>
      </c>
      <c r="O993" s="26" t="n">
        <v>0</v>
      </c>
      <c r="P993" s="26" t="n">
        <v>0</v>
      </c>
      <c r="Q993" s="26" t="n">
        <v>0</v>
      </c>
      <c r="R993" s="26" t="n">
        <v>0</v>
      </c>
      <c r="S993" s="26" t="n">
        <v>0</v>
      </c>
      <c r="T993" s="26" t="n">
        <v>0</v>
      </c>
      <c r="U993" s="26" t="n">
        <v>0</v>
      </c>
    </row>
    <row r="994" customFormat="false" ht="15" hidden="false" customHeight="true" outlineLevel="0" collapsed="false">
      <c r="A994" s="8" t="s">
        <v>944</v>
      </c>
      <c r="B994" s="8" t="s">
        <v>88</v>
      </c>
      <c r="C994" s="8" t="s">
        <v>799</v>
      </c>
      <c r="D994" s="26" t="n">
        <v>0</v>
      </c>
      <c r="E994" s="26" t="n">
        <v>0</v>
      </c>
      <c r="F994" s="26" t="n">
        <v>501</v>
      </c>
      <c r="G994" s="26" t="n">
        <v>0</v>
      </c>
      <c r="H994" s="26" t="n">
        <v>0</v>
      </c>
      <c r="I994" s="26" t="n">
        <v>4888</v>
      </c>
      <c r="J994" s="26" t="n">
        <v>0</v>
      </c>
      <c r="K994" s="26" t="n">
        <v>11</v>
      </c>
      <c r="L994" s="26" t="n">
        <v>0</v>
      </c>
      <c r="M994" s="26" t="n">
        <v>0</v>
      </c>
      <c r="N994" s="26" t="n">
        <v>0</v>
      </c>
      <c r="O994" s="26" t="n">
        <v>0</v>
      </c>
      <c r="P994" s="26" t="n">
        <v>-6</v>
      </c>
      <c r="Q994" s="26" t="n">
        <v>4521</v>
      </c>
      <c r="R994" s="26" t="n">
        <v>362</v>
      </c>
      <c r="S994" s="26" t="n">
        <v>1</v>
      </c>
      <c r="T994" s="26" t="n">
        <v>0</v>
      </c>
      <c r="U994" s="26" t="n">
        <v>0</v>
      </c>
    </row>
    <row r="995" customFormat="false" ht="15" hidden="false" customHeight="true" outlineLevel="0" collapsed="false">
      <c r="A995" s="8" t="s">
        <v>944</v>
      </c>
      <c r="B995" s="8" t="s">
        <v>185</v>
      </c>
      <c r="C995" s="8" t="s">
        <v>731</v>
      </c>
      <c r="D995" s="26" t="n">
        <v>0</v>
      </c>
      <c r="E995" s="26" t="n">
        <v>0</v>
      </c>
      <c r="F995" s="26" t="n">
        <v>120</v>
      </c>
      <c r="G995" s="26" t="n">
        <v>0</v>
      </c>
      <c r="H995" s="26" t="n">
        <v>0</v>
      </c>
      <c r="I995" s="26" t="n">
        <v>188</v>
      </c>
      <c r="J995" s="26" t="n">
        <v>0</v>
      </c>
      <c r="K995" s="26" t="n">
        <v>0</v>
      </c>
      <c r="L995" s="26" t="n">
        <v>0</v>
      </c>
      <c r="M995" s="26" t="n">
        <v>0</v>
      </c>
      <c r="N995" s="26" t="n">
        <v>0</v>
      </c>
      <c r="O995" s="26" t="n">
        <v>0</v>
      </c>
      <c r="P995" s="26" t="n">
        <v>-2</v>
      </c>
      <c r="Q995" s="26" t="n">
        <v>145</v>
      </c>
      <c r="R995" s="26" t="n">
        <v>45</v>
      </c>
      <c r="S995" s="26" t="n">
        <v>0</v>
      </c>
      <c r="T995" s="26" t="n">
        <v>0</v>
      </c>
      <c r="U995" s="26" t="n">
        <v>0</v>
      </c>
    </row>
    <row r="996" customFormat="false" ht="15" hidden="false" customHeight="true" outlineLevel="0" collapsed="false">
      <c r="A996" s="8" t="s">
        <v>944</v>
      </c>
      <c r="B996" s="8" t="s">
        <v>79</v>
      </c>
      <c r="C996" s="8" t="s">
        <v>800</v>
      </c>
      <c r="D996" s="26" t="n">
        <v>0</v>
      </c>
      <c r="E996" s="26" t="n">
        <v>0</v>
      </c>
      <c r="F996" s="26" t="n">
        <v>120</v>
      </c>
      <c r="G996" s="26" t="n">
        <v>0</v>
      </c>
      <c r="H996" s="26" t="n">
        <v>0</v>
      </c>
      <c r="I996" s="26" t="n">
        <v>580</v>
      </c>
      <c r="J996" s="26" t="n">
        <v>0</v>
      </c>
      <c r="K996" s="26" t="n">
        <v>8</v>
      </c>
      <c r="L996" s="26" t="n">
        <v>0</v>
      </c>
      <c r="M996" s="26" t="n">
        <v>0</v>
      </c>
      <c r="N996" s="26" t="n">
        <v>5</v>
      </c>
      <c r="O996" s="26" t="n">
        <v>0</v>
      </c>
      <c r="P996" s="26" t="n">
        <v>-5</v>
      </c>
      <c r="Q996" s="26" t="n">
        <v>434</v>
      </c>
      <c r="R996" s="26" t="n">
        <v>138</v>
      </c>
      <c r="S996" s="26" t="n">
        <v>0</v>
      </c>
      <c r="T996" s="26" t="n">
        <v>0</v>
      </c>
      <c r="U996" s="26" t="n">
        <v>0</v>
      </c>
    </row>
    <row r="997" customFormat="false" ht="15" hidden="false" customHeight="true" outlineLevel="0" collapsed="false">
      <c r="A997" s="8" t="s">
        <v>944</v>
      </c>
      <c r="B997" s="8" t="s">
        <v>79</v>
      </c>
      <c r="C997" s="8" t="s">
        <v>801</v>
      </c>
      <c r="D997" s="26" t="n">
        <v>0</v>
      </c>
      <c r="E997" s="26" t="n">
        <v>0</v>
      </c>
      <c r="F997" s="26" t="n">
        <v>198</v>
      </c>
      <c r="G997" s="26" t="n">
        <v>0</v>
      </c>
      <c r="H997" s="26" t="n">
        <v>3</v>
      </c>
      <c r="I997" s="26" t="n">
        <v>792</v>
      </c>
      <c r="J997" s="26" t="n">
        <v>0</v>
      </c>
      <c r="K997" s="26" t="n">
        <v>4</v>
      </c>
      <c r="L997" s="26" t="n">
        <v>0</v>
      </c>
      <c r="M997" s="26" t="n">
        <v>0</v>
      </c>
      <c r="N997" s="26" t="n">
        <v>0</v>
      </c>
      <c r="O997" s="26" t="n">
        <v>0</v>
      </c>
      <c r="P997" s="26" t="n">
        <v>-5</v>
      </c>
      <c r="Q997" s="26" t="n">
        <v>545</v>
      </c>
      <c r="R997" s="26" t="n">
        <v>248</v>
      </c>
      <c r="S997" s="26" t="n">
        <v>0</v>
      </c>
      <c r="T997" s="26" t="n">
        <v>0</v>
      </c>
      <c r="U997" s="26" t="n">
        <v>0</v>
      </c>
    </row>
    <row r="998" customFormat="false" ht="15" hidden="false" customHeight="true" outlineLevel="0" collapsed="false">
      <c r="A998" s="8" t="s">
        <v>944</v>
      </c>
      <c r="B998" s="8" t="s">
        <v>79</v>
      </c>
      <c r="C998" s="8" t="s">
        <v>802</v>
      </c>
      <c r="D998" s="26" t="n">
        <v>0</v>
      </c>
      <c r="E998" s="26" t="n">
        <v>0</v>
      </c>
      <c r="F998" s="26" t="n">
        <v>200</v>
      </c>
      <c r="G998" s="26" t="n">
        <v>0</v>
      </c>
      <c r="H998" s="26" t="n">
        <v>11</v>
      </c>
      <c r="I998" s="26" t="n">
        <v>676</v>
      </c>
      <c r="J998" s="26" t="n">
        <v>0</v>
      </c>
      <c r="K998" s="26" t="n">
        <v>3</v>
      </c>
      <c r="L998" s="26" t="n">
        <v>0</v>
      </c>
      <c r="M998" s="26" t="n">
        <v>0</v>
      </c>
      <c r="N998" s="26" t="n">
        <v>0</v>
      </c>
      <c r="O998" s="26" t="n">
        <v>0</v>
      </c>
      <c r="P998" s="26" t="n">
        <v>-3</v>
      </c>
      <c r="Q998" s="26" t="n">
        <v>527</v>
      </c>
      <c r="R998" s="26" t="n">
        <v>149</v>
      </c>
      <c r="S998" s="26" t="n">
        <v>0</v>
      </c>
      <c r="T998" s="26" t="n">
        <v>0</v>
      </c>
      <c r="U998" s="26" t="n">
        <v>0</v>
      </c>
    </row>
    <row r="999" customFormat="false" ht="15" hidden="false" customHeight="true" outlineLevel="0" collapsed="false">
      <c r="A999" s="8" t="s">
        <v>944</v>
      </c>
      <c r="B999" s="8" t="s">
        <v>337</v>
      </c>
      <c r="C999" s="8" t="s">
        <v>803</v>
      </c>
      <c r="D999" s="26" t="n">
        <v>0</v>
      </c>
      <c r="E999" s="26" t="n">
        <v>0</v>
      </c>
      <c r="F999" s="26" t="n">
        <v>4</v>
      </c>
      <c r="G999" s="26" t="n">
        <v>0</v>
      </c>
      <c r="H999" s="26" t="n">
        <v>0</v>
      </c>
      <c r="I999" s="26" t="n">
        <v>0</v>
      </c>
      <c r="J999" s="26" t="n">
        <v>0</v>
      </c>
      <c r="K999" s="26" t="n">
        <v>0</v>
      </c>
      <c r="L999" s="26" t="n">
        <v>0</v>
      </c>
      <c r="M999" s="26" t="n">
        <v>0</v>
      </c>
      <c r="N999" s="26" t="n">
        <v>0</v>
      </c>
      <c r="O999" s="26" t="n">
        <v>0</v>
      </c>
      <c r="P999" s="26" t="n">
        <v>0</v>
      </c>
      <c r="Q999" s="26" t="n">
        <v>0</v>
      </c>
      <c r="R999" s="26" t="n">
        <v>0</v>
      </c>
      <c r="S999" s="26" t="n">
        <v>0</v>
      </c>
      <c r="T999" s="26" t="n">
        <v>0</v>
      </c>
      <c r="U999" s="26" t="n">
        <v>0</v>
      </c>
    </row>
    <row r="1000" customFormat="false" ht="15" hidden="false" customHeight="true" outlineLevel="0" collapsed="false">
      <c r="A1000" s="8" t="s">
        <v>944</v>
      </c>
      <c r="B1000" s="8" t="s">
        <v>353</v>
      </c>
      <c r="C1000" s="8" t="s">
        <v>804</v>
      </c>
      <c r="D1000" s="26" t="n">
        <v>0</v>
      </c>
      <c r="E1000" s="26" t="n">
        <v>0</v>
      </c>
      <c r="F1000" s="26" t="n">
        <v>5</v>
      </c>
      <c r="G1000" s="26" t="n">
        <v>0</v>
      </c>
      <c r="H1000" s="26" t="n">
        <v>0</v>
      </c>
      <c r="I1000" s="26" t="n">
        <v>377</v>
      </c>
      <c r="J1000" s="26" t="n">
        <v>0</v>
      </c>
      <c r="K1000" s="26" t="n">
        <v>0</v>
      </c>
      <c r="L1000" s="26" t="n">
        <v>0</v>
      </c>
      <c r="M1000" s="26" t="n">
        <v>0</v>
      </c>
      <c r="N1000" s="26" t="n">
        <v>0</v>
      </c>
      <c r="O1000" s="26" t="n">
        <v>0</v>
      </c>
      <c r="P1000" s="26" t="n">
        <v>-8</v>
      </c>
      <c r="Q1000" s="26" t="n">
        <v>359</v>
      </c>
      <c r="R1000" s="26" t="n">
        <v>26</v>
      </c>
      <c r="S1000" s="26" t="n">
        <v>0</v>
      </c>
      <c r="T1000" s="26" t="n">
        <v>0</v>
      </c>
      <c r="U1000" s="26" t="n">
        <v>0</v>
      </c>
    </row>
    <row r="1001" customFormat="false" ht="15" hidden="false" customHeight="true" outlineLevel="0" collapsed="false">
      <c r="A1001" s="8" t="s">
        <v>944</v>
      </c>
      <c r="B1001" s="8" t="s">
        <v>349</v>
      </c>
      <c r="C1001" s="8" t="s">
        <v>804</v>
      </c>
      <c r="D1001" s="26" t="n">
        <v>0</v>
      </c>
      <c r="E1001" s="26" t="n">
        <v>0</v>
      </c>
      <c r="F1001" s="26" t="n">
        <v>27</v>
      </c>
      <c r="G1001" s="26" t="n">
        <v>0</v>
      </c>
      <c r="H1001" s="26" t="n">
        <v>0</v>
      </c>
      <c r="I1001" s="26" t="n">
        <v>1282</v>
      </c>
      <c r="J1001" s="26" t="n">
        <v>0</v>
      </c>
      <c r="K1001" s="26" t="n">
        <v>5</v>
      </c>
      <c r="L1001" s="26" t="n">
        <v>0</v>
      </c>
      <c r="M1001" s="26" t="n">
        <v>0</v>
      </c>
      <c r="N1001" s="26" t="n">
        <v>0</v>
      </c>
      <c r="O1001" s="26" t="n">
        <v>0</v>
      </c>
      <c r="P1001" s="26" t="n">
        <v>-10</v>
      </c>
      <c r="Q1001" s="26" t="n">
        <v>1204</v>
      </c>
      <c r="R1001" s="26" t="n">
        <v>83</v>
      </c>
      <c r="S1001" s="26" t="n">
        <v>0</v>
      </c>
      <c r="T1001" s="26" t="n">
        <v>0</v>
      </c>
      <c r="U1001" s="26" t="n">
        <v>0</v>
      </c>
    </row>
    <row r="1002" customFormat="false" ht="15" hidden="false" customHeight="true" outlineLevel="0" collapsed="false">
      <c r="A1002" s="8" t="s">
        <v>944</v>
      </c>
      <c r="B1002" s="8" t="s">
        <v>231</v>
      </c>
      <c r="C1002" s="8" t="s">
        <v>804</v>
      </c>
      <c r="D1002" s="26" t="n">
        <v>0</v>
      </c>
      <c r="E1002" s="26" t="n">
        <v>0</v>
      </c>
      <c r="F1002" s="26" t="n">
        <v>49</v>
      </c>
      <c r="G1002" s="26" t="n">
        <v>0</v>
      </c>
      <c r="H1002" s="26" t="n">
        <v>1</v>
      </c>
      <c r="I1002" s="26" t="n">
        <v>1906</v>
      </c>
      <c r="J1002" s="26" t="n">
        <v>0</v>
      </c>
      <c r="K1002" s="26" t="n">
        <v>7</v>
      </c>
      <c r="L1002" s="26" t="n">
        <v>0</v>
      </c>
      <c r="M1002" s="26" t="n">
        <v>0</v>
      </c>
      <c r="N1002" s="26" t="n">
        <v>0</v>
      </c>
      <c r="O1002" s="26" t="n">
        <v>0</v>
      </c>
      <c r="P1002" s="26" t="n">
        <v>-7</v>
      </c>
      <c r="Q1002" s="26" t="n">
        <v>1760</v>
      </c>
      <c r="R1002" s="26" t="n">
        <v>146</v>
      </c>
      <c r="S1002" s="26" t="n">
        <v>0</v>
      </c>
      <c r="T1002" s="26" t="n">
        <v>0</v>
      </c>
      <c r="U1002" s="26" t="n">
        <v>0</v>
      </c>
    </row>
    <row r="1003" customFormat="false" ht="15" hidden="false" customHeight="true" outlineLevel="0" collapsed="false">
      <c r="A1003" s="8" t="s">
        <v>944</v>
      </c>
      <c r="B1003" s="8" t="s">
        <v>173</v>
      </c>
      <c r="C1003" s="8" t="s">
        <v>805</v>
      </c>
      <c r="D1003" s="26" t="n">
        <v>0</v>
      </c>
      <c r="E1003" s="26" t="n">
        <v>0</v>
      </c>
      <c r="F1003" s="26" t="n">
        <v>53</v>
      </c>
      <c r="G1003" s="26" t="n">
        <v>0</v>
      </c>
      <c r="H1003" s="26" t="n">
        <v>0</v>
      </c>
      <c r="I1003" s="26" t="n">
        <v>1596</v>
      </c>
      <c r="J1003" s="26" t="n">
        <v>0</v>
      </c>
      <c r="K1003" s="26" t="n">
        <v>3</v>
      </c>
      <c r="L1003" s="26" t="n">
        <v>0</v>
      </c>
      <c r="M1003" s="26" t="n">
        <v>0</v>
      </c>
      <c r="N1003" s="26" t="n">
        <v>0</v>
      </c>
      <c r="O1003" s="26" t="n">
        <v>0</v>
      </c>
      <c r="P1003" s="26" t="n">
        <v>-7</v>
      </c>
      <c r="Q1003" s="26" t="n">
        <v>1499</v>
      </c>
      <c r="R1003" s="26" t="n">
        <v>101</v>
      </c>
      <c r="S1003" s="26" t="n">
        <v>0</v>
      </c>
      <c r="T1003" s="26" t="n">
        <v>0</v>
      </c>
      <c r="U1003" s="26" t="n">
        <v>0</v>
      </c>
    </row>
    <row r="1004" customFormat="false" ht="15" hidden="false" customHeight="true" outlineLevel="0" collapsed="false">
      <c r="A1004" s="8" t="s">
        <v>944</v>
      </c>
      <c r="B1004" s="8" t="s">
        <v>175</v>
      </c>
      <c r="C1004" s="8" t="s">
        <v>805</v>
      </c>
      <c r="D1004" s="26" t="n">
        <v>0</v>
      </c>
      <c r="E1004" s="26" t="n">
        <v>0</v>
      </c>
      <c r="F1004" s="26" t="n">
        <v>41</v>
      </c>
      <c r="G1004" s="26" t="n">
        <v>0</v>
      </c>
      <c r="H1004" s="26" t="n">
        <v>0</v>
      </c>
      <c r="I1004" s="26" t="n">
        <v>221</v>
      </c>
      <c r="J1004" s="26" t="n">
        <v>0</v>
      </c>
      <c r="K1004" s="26" t="n">
        <v>3</v>
      </c>
      <c r="L1004" s="26" t="n">
        <v>0</v>
      </c>
      <c r="M1004" s="26" t="n">
        <v>0</v>
      </c>
      <c r="N1004" s="26" t="n">
        <v>0</v>
      </c>
      <c r="O1004" s="26" t="n">
        <v>0</v>
      </c>
      <c r="P1004" s="26" t="n">
        <v>-9</v>
      </c>
      <c r="Q1004" s="26" t="n">
        <v>161</v>
      </c>
      <c r="R1004" s="26" t="n">
        <v>66</v>
      </c>
      <c r="S1004" s="26" t="n">
        <v>1</v>
      </c>
      <c r="T1004" s="26" t="n">
        <v>0</v>
      </c>
      <c r="U1004" s="26" t="n">
        <v>-1</v>
      </c>
    </row>
    <row r="1005" customFormat="false" ht="15" hidden="false" customHeight="true" outlineLevel="0" collapsed="false">
      <c r="A1005" s="8" t="s">
        <v>944</v>
      </c>
      <c r="B1005" s="8" t="s">
        <v>372</v>
      </c>
      <c r="C1005" s="8" t="s">
        <v>806</v>
      </c>
      <c r="D1005" s="26" t="n">
        <v>0</v>
      </c>
      <c r="E1005" s="26" t="n">
        <v>0</v>
      </c>
      <c r="F1005" s="26" t="n">
        <v>0</v>
      </c>
      <c r="G1005" s="26" t="n">
        <v>0</v>
      </c>
      <c r="H1005" s="26" t="n">
        <v>0</v>
      </c>
      <c r="I1005" s="26" t="n">
        <v>15</v>
      </c>
      <c r="J1005" s="26" t="n">
        <v>0</v>
      </c>
      <c r="K1005" s="26" t="n">
        <v>0</v>
      </c>
      <c r="L1005" s="26" t="n">
        <v>0</v>
      </c>
      <c r="M1005" s="26" t="n">
        <v>0</v>
      </c>
      <c r="N1005" s="26" t="n">
        <v>0</v>
      </c>
      <c r="O1005" s="26" t="n">
        <v>0</v>
      </c>
      <c r="P1005" s="26" t="n">
        <v>0</v>
      </c>
      <c r="Q1005" s="26" t="n">
        <v>15</v>
      </c>
      <c r="R1005" s="26" t="n">
        <v>0</v>
      </c>
      <c r="S1005" s="26" t="n">
        <v>0</v>
      </c>
      <c r="T1005" s="26" t="n">
        <v>0</v>
      </c>
      <c r="U1005" s="26" t="n">
        <v>0</v>
      </c>
    </row>
    <row r="1006" customFormat="false" ht="15" hidden="false" customHeight="true" outlineLevel="0" collapsed="false">
      <c r="A1006" s="8" t="s">
        <v>944</v>
      </c>
      <c r="B1006" s="8" t="s">
        <v>275</v>
      </c>
      <c r="C1006" s="8" t="s">
        <v>807</v>
      </c>
      <c r="D1006" s="26" t="n">
        <v>0</v>
      </c>
      <c r="E1006" s="26" t="n">
        <v>0</v>
      </c>
      <c r="F1006" s="26" t="n">
        <v>3</v>
      </c>
      <c r="G1006" s="26" t="n">
        <v>0</v>
      </c>
      <c r="H1006" s="26" t="n">
        <v>0</v>
      </c>
      <c r="I1006" s="26" t="n">
        <v>34</v>
      </c>
      <c r="J1006" s="26" t="n">
        <v>0</v>
      </c>
      <c r="K1006" s="26" t="n">
        <v>0</v>
      </c>
      <c r="L1006" s="26" t="n">
        <v>0</v>
      </c>
      <c r="M1006" s="26" t="n">
        <v>0</v>
      </c>
      <c r="N1006" s="26" t="n">
        <v>0</v>
      </c>
      <c r="O1006" s="26" t="n">
        <v>0</v>
      </c>
      <c r="P1006" s="26" t="n">
        <v>0</v>
      </c>
      <c r="Q1006" s="26" t="n">
        <v>34</v>
      </c>
      <c r="R1006" s="26" t="n">
        <v>0</v>
      </c>
      <c r="S1006" s="26" t="n">
        <v>0</v>
      </c>
      <c r="T1006" s="26" t="n">
        <v>0</v>
      </c>
      <c r="U1006" s="26" t="n">
        <v>0</v>
      </c>
    </row>
    <row r="1007" customFormat="false" ht="15" hidden="false" customHeight="true" outlineLevel="0" collapsed="false">
      <c r="A1007" s="8" t="s">
        <v>944</v>
      </c>
      <c r="B1007" s="8" t="s">
        <v>299</v>
      </c>
      <c r="C1007" s="8" t="s">
        <v>807</v>
      </c>
      <c r="D1007" s="26" t="n">
        <v>0</v>
      </c>
      <c r="E1007" s="26" t="n">
        <v>0</v>
      </c>
      <c r="F1007" s="26" t="n">
        <v>2</v>
      </c>
      <c r="G1007" s="26" t="n">
        <v>0</v>
      </c>
      <c r="H1007" s="26" t="n">
        <v>0</v>
      </c>
      <c r="I1007" s="26" t="n">
        <v>45</v>
      </c>
      <c r="J1007" s="26" t="n">
        <v>0</v>
      </c>
      <c r="K1007" s="26" t="n">
        <v>0</v>
      </c>
      <c r="L1007" s="26" t="n">
        <v>0</v>
      </c>
      <c r="M1007" s="26" t="n">
        <v>0</v>
      </c>
      <c r="N1007" s="26" t="n">
        <v>0</v>
      </c>
      <c r="O1007" s="26" t="n">
        <v>0</v>
      </c>
      <c r="P1007" s="26" t="n">
        <v>0</v>
      </c>
      <c r="Q1007" s="26" t="n">
        <v>45</v>
      </c>
      <c r="R1007" s="26" t="n">
        <v>0</v>
      </c>
      <c r="S1007" s="26" t="n">
        <v>0</v>
      </c>
      <c r="T1007" s="26" t="n">
        <v>0</v>
      </c>
      <c r="U1007" s="26" t="n">
        <v>0</v>
      </c>
    </row>
    <row r="1008" customFormat="false" ht="15" hidden="false" customHeight="true" outlineLevel="0" collapsed="false">
      <c r="A1008" s="8" t="s">
        <v>944</v>
      </c>
      <c r="B1008" s="8" t="s">
        <v>327</v>
      </c>
      <c r="C1008" s="8" t="s">
        <v>807</v>
      </c>
      <c r="D1008" s="26" t="n">
        <v>0</v>
      </c>
      <c r="E1008" s="26" t="n">
        <v>0</v>
      </c>
      <c r="F1008" s="26" t="n">
        <v>1</v>
      </c>
      <c r="G1008" s="26" t="n">
        <v>0</v>
      </c>
      <c r="H1008" s="26" t="n">
        <v>0</v>
      </c>
      <c r="I1008" s="26" t="n">
        <v>32</v>
      </c>
      <c r="J1008" s="26" t="n">
        <v>0</v>
      </c>
      <c r="K1008" s="26" t="n">
        <v>0</v>
      </c>
      <c r="L1008" s="26" t="n">
        <v>0</v>
      </c>
      <c r="M1008" s="26" t="n">
        <v>0</v>
      </c>
      <c r="N1008" s="26" t="n">
        <v>0</v>
      </c>
      <c r="O1008" s="26" t="n">
        <v>0</v>
      </c>
      <c r="P1008" s="26" t="n">
        <v>0</v>
      </c>
      <c r="Q1008" s="26" t="n">
        <v>32</v>
      </c>
      <c r="R1008" s="26" t="n">
        <v>0</v>
      </c>
      <c r="S1008" s="26" t="n">
        <v>0</v>
      </c>
      <c r="T1008" s="26" t="n">
        <v>0</v>
      </c>
      <c r="U1008" s="26" t="n">
        <v>0</v>
      </c>
    </row>
    <row r="1009" customFormat="false" ht="15" hidden="false" customHeight="true" outlineLevel="0" collapsed="false">
      <c r="A1009" s="8" t="s">
        <v>944</v>
      </c>
      <c r="B1009" s="8" t="s">
        <v>303</v>
      </c>
      <c r="C1009" s="8" t="s">
        <v>808</v>
      </c>
      <c r="D1009" s="26" t="n">
        <v>0</v>
      </c>
      <c r="E1009" s="26" t="n">
        <v>0</v>
      </c>
      <c r="F1009" s="26" t="n">
        <v>1</v>
      </c>
      <c r="G1009" s="26" t="n">
        <v>0</v>
      </c>
      <c r="H1009" s="26" t="n">
        <v>0</v>
      </c>
      <c r="I1009" s="26" t="n">
        <v>8</v>
      </c>
      <c r="J1009" s="26" t="n">
        <v>0</v>
      </c>
      <c r="K1009" s="26" t="n">
        <v>0</v>
      </c>
      <c r="L1009" s="26" t="n">
        <v>0</v>
      </c>
      <c r="M1009" s="26" t="n">
        <v>0</v>
      </c>
      <c r="N1009" s="26" t="n">
        <v>0</v>
      </c>
      <c r="O1009" s="26" t="n">
        <v>0</v>
      </c>
      <c r="P1009" s="26" t="n">
        <v>0</v>
      </c>
      <c r="Q1009" s="26" t="n">
        <v>8</v>
      </c>
      <c r="R1009" s="26" t="n">
        <v>0</v>
      </c>
      <c r="S1009" s="26" t="n">
        <v>0</v>
      </c>
      <c r="T1009" s="26" t="n">
        <v>0</v>
      </c>
      <c r="U1009" s="26" t="n">
        <v>0</v>
      </c>
    </row>
    <row r="1010" customFormat="false" ht="15" hidden="false" customHeight="true" outlineLevel="0" collapsed="false">
      <c r="A1010" s="8" t="s">
        <v>944</v>
      </c>
      <c r="B1010" s="8" t="s">
        <v>283</v>
      </c>
      <c r="C1010" s="8" t="s">
        <v>809</v>
      </c>
      <c r="D1010" s="26" t="n">
        <v>0</v>
      </c>
      <c r="E1010" s="26" t="n">
        <v>0</v>
      </c>
      <c r="F1010" s="26" t="n">
        <v>2</v>
      </c>
      <c r="G1010" s="26" t="n">
        <v>0</v>
      </c>
      <c r="H1010" s="26" t="n">
        <v>0</v>
      </c>
      <c r="I1010" s="26" t="n">
        <v>0</v>
      </c>
      <c r="J1010" s="26" t="n">
        <v>0</v>
      </c>
      <c r="K1010" s="26" t="n">
        <v>0</v>
      </c>
      <c r="L1010" s="26" t="n">
        <v>0</v>
      </c>
      <c r="M1010" s="26" t="n">
        <v>0</v>
      </c>
      <c r="N1010" s="26" t="n">
        <v>0</v>
      </c>
      <c r="O1010" s="26" t="n">
        <v>0</v>
      </c>
      <c r="P1010" s="26" t="n">
        <v>0</v>
      </c>
      <c r="Q1010" s="26" t="n">
        <v>0</v>
      </c>
      <c r="R1010" s="26" t="n">
        <v>0</v>
      </c>
      <c r="S1010" s="26" t="n">
        <v>0</v>
      </c>
      <c r="T1010" s="26" t="n">
        <v>0</v>
      </c>
      <c r="U1010" s="26" t="n">
        <v>0</v>
      </c>
    </row>
    <row r="1011" customFormat="false" ht="15" hidden="false" customHeight="true" outlineLevel="0" collapsed="false">
      <c r="A1011" s="8" t="s">
        <v>944</v>
      </c>
      <c r="B1011" s="8" t="s">
        <v>322</v>
      </c>
      <c r="C1011" s="8" t="s">
        <v>809</v>
      </c>
      <c r="D1011" s="26" t="n">
        <v>0</v>
      </c>
      <c r="E1011" s="26" t="n">
        <v>0</v>
      </c>
      <c r="F1011" s="26" t="n">
        <v>1</v>
      </c>
      <c r="G1011" s="26" t="n">
        <v>0</v>
      </c>
      <c r="H1011" s="26" t="n">
        <v>0</v>
      </c>
      <c r="I1011" s="26" t="n">
        <v>0</v>
      </c>
      <c r="J1011" s="26" t="n">
        <v>0</v>
      </c>
      <c r="K1011" s="26" t="n">
        <v>0</v>
      </c>
      <c r="L1011" s="26" t="n">
        <v>0</v>
      </c>
      <c r="M1011" s="26" t="n">
        <v>0</v>
      </c>
      <c r="N1011" s="26" t="n">
        <v>0</v>
      </c>
      <c r="O1011" s="26" t="n">
        <v>0</v>
      </c>
      <c r="P1011" s="26" t="n">
        <v>0</v>
      </c>
      <c r="Q1011" s="26" t="n">
        <v>0</v>
      </c>
      <c r="R1011" s="26" t="n">
        <v>0</v>
      </c>
      <c r="S1011" s="26" t="n">
        <v>0</v>
      </c>
      <c r="T1011" s="26" t="n">
        <v>0</v>
      </c>
      <c r="U1011" s="26" t="n">
        <v>0</v>
      </c>
    </row>
    <row r="1012" customFormat="false" ht="15" hidden="false" customHeight="true" outlineLevel="0" collapsed="false">
      <c r="A1012" s="8" t="s">
        <v>944</v>
      </c>
      <c r="B1012" s="8" t="s">
        <v>240</v>
      </c>
      <c r="C1012" s="8" t="s">
        <v>809</v>
      </c>
      <c r="D1012" s="26" t="n">
        <v>0</v>
      </c>
      <c r="E1012" s="26" t="n">
        <v>0</v>
      </c>
      <c r="F1012" s="26" t="n">
        <v>0</v>
      </c>
      <c r="G1012" s="26" t="n">
        <v>0</v>
      </c>
      <c r="H1012" s="26" t="n">
        <v>0</v>
      </c>
      <c r="I1012" s="26" t="n">
        <v>-1</v>
      </c>
      <c r="J1012" s="26" t="n">
        <v>0</v>
      </c>
      <c r="K1012" s="26" t="n">
        <v>0</v>
      </c>
      <c r="L1012" s="26" t="n">
        <v>0</v>
      </c>
      <c r="M1012" s="26" t="n">
        <v>0</v>
      </c>
      <c r="N1012" s="26" t="n">
        <v>0</v>
      </c>
      <c r="O1012" s="26" t="n">
        <v>0</v>
      </c>
      <c r="P1012" s="26" t="n">
        <v>0</v>
      </c>
      <c r="Q1012" s="26" t="n">
        <v>-1</v>
      </c>
      <c r="R1012" s="26" t="n">
        <v>0</v>
      </c>
      <c r="S1012" s="26" t="n">
        <v>0</v>
      </c>
      <c r="T1012" s="26" t="n">
        <v>0</v>
      </c>
      <c r="U1012" s="26" t="n">
        <v>0</v>
      </c>
    </row>
    <row r="1013" customFormat="false" ht="15" hidden="false" customHeight="true" outlineLevel="0" collapsed="false">
      <c r="A1013" s="8" t="s">
        <v>944</v>
      </c>
      <c r="B1013" s="8" t="s">
        <v>324</v>
      </c>
      <c r="C1013" s="8" t="s">
        <v>810</v>
      </c>
      <c r="D1013" s="26" t="n">
        <v>0</v>
      </c>
      <c r="E1013" s="26" t="n">
        <v>0</v>
      </c>
      <c r="F1013" s="26" t="n">
        <v>1</v>
      </c>
      <c r="G1013" s="26" t="n">
        <v>0</v>
      </c>
      <c r="H1013" s="26" t="n">
        <v>0</v>
      </c>
      <c r="I1013" s="26" t="n">
        <v>0</v>
      </c>
      <c r="J1013" s="26" t="n">
        <v>0</v>
      </c>
      <c r="K1013" s="26" t="n">
        <v>0</v>
      </c>
      <c r="L1013" s="26" t="n">
        <v>0</v>
      </c>
      <c r="M1013" s="26" t="n">
        <v>0</v>
      </c>
      <c r="N1013" s="26" t="n">
        <v>0</v>
      </c>
      <c r="O1013" s="26" t="n">
        <v>0</v>
      </c>
      <c r="P1013" s="26" t="n">
        <v>0</v>
      </c>
      <c r="Q1013" s="26" t="n">
        <v>0</v>
      </c>
      <c r="R1013" s="26" t="n">
        <v>0</v>
      </c>
      <c r="S1013" s="26" t="n">
        <v>0</v>
      </c>
      <c r="T1013" s="26" t="n">
        <v>0</v>
      </c>
      <c r="U1013" s="26" t="n">
        <v>0</v>
      </c>
    </row>
    <row r="1014" customFormat="false" ht="15" hidden="false" customHeight="true" outlineLevel="0" collapsed="false">
      <c r="A1014" s="8" t="s">
        <v>944</v>
      </c>
      <c r="B1014" s="8" t="s">
        <v>323</v>
      </c>
      <c r="C1014" s="8" t="s">
        <v>809</v>
      </c>
      <c r="D1014" s="26" t="n">
        <v>0</v>
      </c>
      <c r="E1014" s="26" t="n">
        <v>0</v>
      </c>
      <c r="F1014" s="26" t="n">
        <v>1</v>
      </c>
      <c r="G1014" s="26" t="n">
        <v>0</v>
      </c>
      <c r="H1014" s="26" t="n">
        <v>0</v>
      </c>
      <c r="I1014" s="26" t="n">
        <v>-1</v>
      </c>
      <c r="J1014" s="26" t="n">
        <v>0</v>
      </c>
      <c r="K1014" s="26" t="n">
        <v>0</v>
      </c>
      <c r="L1014" s="26" t="n">
        <v>0</v>
      </c>
      <c r="M1014" s="26" t="n">
        <v>0</v>
      </c>
      <c r="N1014" s="26" t="n">
        <v>0</v>
      </c>
      <c r="O1014" s="26" t="n">
        <v>0</v>
      </c>
      <c r="P1014" s="26" t="n">
        <v>0</v>
      </c>
      <c r="Q1014" s="26" t="n">
        <v>-1</v>
      </c>
      <c r="R1014" s="26" t="n">
        <v>0</v>
      </c>
      <c r="S1014" s="26" t="n">
        <v>0</v>
      </c>
      <c r="T1014" s="26" t="n">
        <v>0</v>
      </c>
      <c r="U1014" s="26" t="n">
        <v>0</v>
      </c>
    </row>
    <row r="1015" customFormat="false" ht="15" hidden="false" customHeight="true" outlineLevel="0" collapsed="false">
      <c r="A1015" s="8" t="s">
        <v>944</v>
      </c>
      <c r="B1015" s="8" t="s">
        <v>176</v>
      </c>
      <c r="C1015" s="8" t="s">
        <v>811</v>
      </c>
      <c r="D1015" s="26" t="n">
        <v>0</v>
      </c>
      <c r="E1015" s="26" t="n">
        <v>0</v>
      </c>
      <c r="F1015" s="26" t="n">
        <v>13</v>
      </c>
      <c r="G1015" s="26" t="n">
        <v>0</v>
      </c>
      <c r="H1015" s="26" t="n">
        <v>0</v>
      </c>
      <c r="I1015" s="26" t="n">
        <v>48</v>
      </c>
      <c r="J1015" s="26" t="n">
        <v>0</v>
      </c>
      <c r="K1015" s="26" t="n">
        <v>1</v>
      </c>
      <c r="L1015" s="26" t="n">
        <v>0</v>
      </c>
      <c r="M1015" s="26" t="n">
        <v>0</v>
      </c>
      <c r="N1015" s="26" t="n">
        <v>0</v>
      </c>
      <c r="O1015" s="26" t="n">
        <v>0</v>
      </c>
      <c r="P1015" s="26" t="n">
        <v>-1</v>
      </c>
      <c r="Q1015" s="26" t="n">
        <v>44</v>
      </c>
      <c r="R1015" s="26" t="n">
        <v>4</v>
      </c>
      <c r="S1015" s="26" t="n">
        <v>0</v>
      </c>
      <c r="T1015" s="26" t="n">
        <v>0</v>
      </c>
      <c r="U1015" s="26" t="n">
        <v>0</v>
      </c>
    </row>
    <row r="1016" customFormat="false" ht="15" hidden="false" customHeight="true" outlineLevel="0" collapsed="false">
      <c r="A1016" s="8" t="s">
        <v>944</v>
      </c>
      <c r="B1016" s="8" t="s">
        <v>176</v>
      </c>
      <c r="C1016" s="8" t="s">
        <v>812</v>
      </c>
      <c r="D1016" s="26" t="n">
        <v>0</v>
      </c>
      <c r="E1016" s="26" t="n">
        <v>0</v>
      </c>
      <c r="F1016" s="26" t="n">
        <v>3</v>
      </c>
      <c r="G1016" s="26" t="n">
        <v>0</v>
      </c>
      <c r="H1016" s="26" t="n">
        <v>0</v>
      </c>
      <c r="I1016" s="26" t="n">
        <v>22</v>
      </c>
      <c r="J1016" s="26" t="n">
        <v>0</v>
      </c>
      <c r="K1016" s="26" t="n">
        <v>0</v>
      </c>
      <c r="L1016" s="26" t="n">
        <v>0</v>
      </c>
      <c r="M1016" s="26" t="n">
        <v>0</v>
      </c>
      <c r="N1016" s="26" t="n">
        <v>0</v>
      </c>
      <c r="O1016" s="26" t="n">
        <v>0</v>
      </c>
      <c r="P1016" s="26" t="n">
        <v>0</v>
      </c>
      <c r="Q1016" s="26" t="n">
        <v>19</v>
      </c>
      <c r="R1016" s="26" t="n">
        <v>3</v>
      </c>
      <c r="S1016" s="26" t="n">
        <v>0</v>
      </c>
      <c r="T1016" s="26" t="n">
        <v>0</v>
      </c>
      <c r="U1016" s="26" t="n">
        <v>0</v>
      </c>
    </row>
    <row r="1017" customFormat="false" ht="15" hidden="false" customHeight="true" outlineLevel="0" collapsed="false">
      <c r="A1017" s="8" t="s">
        <v>944</v>
      </c>
      <c r="B1017" s="8" t="s">
        <v>176</v>
      </c>
      <c r="C1017" s="8" t="s">
        <v>813</v>
      </c>
      <c r="D1017" s="26" t="n">
        <v>0</v>
      </c>
      <c r="E1017" s="26" t="n">
        <v>0</v>
      </c>
      <c r="F1017" s="26" t="n">
        <v>2</v>
      </c>
      <c r="G1017" s="26" t="n">
        <v>0</v>
      </c>
      <c r="H1017" s="26" t="n">
        <v>0</v>
      </c>
      <c r="I1017" s="26" t="n">
        <v>-1</v>
      </c>
      <c r="J1017" s="26" t="n">
        <v>0</v>
      </c>
      <c r="K1017" s="26" t="n">
        <v>0</v>
      </c>
      <c r="L1017" s="26" t="n">
        <v>0</v>
      </c>
      <c r="M1017" s="26" t="n">
        <v>0</v>
      </c>
      <c r="N1017" s="26" t="n">
        <v>0</v>
      </c>
      <c r="O1017" s="26" t="n">
        <v>0</v>
      </c>
      <c r="P1017" s="26" t="n">
        <v>0</v>
      </c>
      <c r="Q1017" s="26" t="n">
        <v>-1</v>
      </c>
      <c r="R1017" s="26" t="n">
        <v>0</v>
      </c>
      <c r="S1017" s="26" t="n">
        <v>0</v>
      </c>
      <c r="T1017" s="26" t="n">
        <v>0</v>
      </c>
      <c r="U1017" s="26" t="n">
        <v>0</v>
      </c>
    </row>
    <row r="1018" customFormat="false" ht="15" hidden="false" customHeight="true" outlineLevel="0" collapsed="false">
      <c r="A1018" s="8" t="s">
        <v>944</v>
      </c>
      <c r="B1018" s="8" t="s">
        <v>297</v>
      </c>
      <c r="C1018" s="8" t="s">
        <v>814</v>
      </c>
      <c r="D1018" s="26" t="n">
        <v>0</v>
      </c>
      <c r="E1018" s="26" t="n">
        <v>0</v>
      </c>
      <c r="F1018" s="26" t="n">
        <v>0</v>
      </c>
      <c r="G1018" s="26" t="n">
        <v>0</v>
      </c>
      <c r="H1018" s="26" t="n">
        <v>0</v>
      </c>
      <c r="I1018" s="26" t="n">
        <v>-1</v>
      </c>
      <c r="J1018" s="26" t="n">
        <v>0</v>
      </c>
      <c r="K1018" s="26" t="n">
        <v>0</v>
      </c>
      <c r="L1018" s="26" t="n">
        <v>0</v>
      </c>
      <c r="M1018" s="26" t="n">
        <v>0</v>
      </c>
      <c r="N1018" s="26" t="n">
        <v>0</v>
      </c>
      <c r="O1018" s="26" t="n">
        <v>0</v>
      </c>
      <c r="P1018" s="26" t="n">
        <v>0</v>
      </c>
      <c r="Q1018" s="26" t="n">
        <v>-1</v>
      </c>
      <c r="R1018" s="26" t="n">
        <v>0</v>
      </c>
      <c r="S1018" s="26" t="n">
        <v>0</v>
      </c>
      <c r="T1018" s="26" t="n">
        <v>0</v>
      </c>
      <c r="U1018" s="26" t="n">
        <v>0</v>
      </c>
    </row>
    <row r="1019" customFormat="false" ht="15" hidden="false" customHeight="true" outlineLevel="0" collapsed="false">
      <c r="A1019" s="8" t="s">
        <v>944</v>
      </c>
      <c r="B1019" s="8" t="s">
        <v>297</v>
      </c>
      <c r="C1019" s="8" t="s">
        <v>815</v>
      </c>
      <c r="D1019" s="26" t="n">
        <v>0</v>
      </c>
      <c r="E1019" s="26" t="n">
        <v>0</v>
      </c>
      <c r="F1019" s="26" t="n">
        <v>0</v>
      </c>
      <c r="G1019" s="26" t="n">
        <v>0</v>
      </c>
      <c r="H1019" s="26" t="n">
        <v>0</v>
      </c>
      <c r="I1019" s="26" t="n">
        <v>-4</v>
      </c>
      <c r="J1019" s="26" t="n">
        <v>0</v>
      </c>
      <c r="K1019" s="26" t="n">
        <v>0</v>
      </c>
      <c r="L1019" s="26" t="n">
        <v>0</v>
      </c>
      <c r="M1019" s="26" t="n">
        <v>0</v>
      </c>
      <c r="N1019" s="26" t="n">
        <v>0</v>
      </c>
      <c r="O1019" s="26" t="n">
        <v>0</v>
      </c>
      <c r="P1019" s="26" t="n">
        <v>-3</v>
      </c>
      <c r="Q1019" s="26" t="n">
        <v>-1</v>
      </c>
      <c r="R1019" s="26" t="n">
        <v>0</v>
      </c>
      <c r="S1019" s="26" t="n">
        <v>0</v>
      </c>
      <c r="T1019" s="26" t="n">
        <v>0</v>
      </c>
      <c r="U1019" s="26" t="n">
        <v>-1</v>
      </c>
    </row>
    <row r="1020" customFormat="false" ht="15" hidden="false" customHeight="true" outlineLevel="0" collapsed="false">
      <c r="A1020" s="8" t="s">
        <v>944</v>
      </c>
      <c r="B1020" s="8" t="s">
        <v>297</v>
      </c>
      <c r="C1020" s="8" t="s">
        <v>816</v>
      </c>
      <c r="D1020" s="26" t="n">
        <v>0</v>
      </c>
      <c r="E1020" s="26" t="n">
        <v>0</v>
      </c>
      <c r="F1020" s="26" t="n">
        <v>0</v>
      </c>
      <c r="G1020" s="26" t="n">
        <v>0</v>
      </c>
      <c r="H1020" s="26" t="n">
        <v>0</v>
      </c>
      <c r="I1020" s="26" t="n">
        <v>-11</v>
      </c>
      <c r="J1020" s="26" t="n">
        <v>0</v>
      </c>
      <c r="K1020" s="26" t="n">
        <v>0</v>
      </c>
      <c r="L1020" s="26" t="n">
        <v>0</v>
      </c>
      <c r="M1020" s="26" t="n">
        <v>0</v>
      </c>
      <c r="N1020" s="26" t="n">
        <v>0</v>
      </c>
      <c r="O1020" s="26" t="n">
        <v>0</v>
      </c>
      <c r="P1020" s="26" t="n">
        <v>-3</v>
      </c>
      <c r="Q1020" s="26" t="n">
        <v>-10</v>
      </c>
      <c r="R1020" s="26" t="n">
        <v>2</v>
      </c>
      <c r="S1020" s="26" t="n">
        <v>0</v>
      </c>
      <c r="T1020" s="26" t="n">
        <v>0</v>
      </c>
      <c r="U1020" s="26" t="n">
        <v>0</v>
      </c>
    </row>
    <row r="1021" customFormat="false" ht="15" hidden="false" customHeight="true" outlineLevel="0" collapsed="false">
      <c r="A1021" s="8" t="s">
        <v>944</v>
      </c>
      <c r="B1021" s="8" t="s">
        <v>297</v>
      </c>
      <c r="C1021" s="8" t="s">
        <v>817</v>
      </c>
      <c r="D1021" s="26" t="n">
        <v>0</v>
      </c>
      <c r="E1021" s="26" t="n">
        <v>0</v>
      </c>
      <c r="F1021" s="26" t="n">
        <v>0</v>
      </c>
      <c r="G1021" s="26" t="n">
        <v>0</v>
      </c>
      <c r="H1021" s="26" t="n">
        <v>0</v>
      </c>
      <c r="I1021" s="26" t="n">
        <v>-1</v>
      </c>
      <c r="J1021" s="26" t="n">
        <v>0</v>
      </c>
      <c r="K1021" s="26" t="n">
        <v>0</v>
      </c>
      <c r="L1021" s="26" t="n">
        <v>0</v>
      </c>
      <c r="M1021" s="26" t="n">
        <v>0</v>
      </c>
      <c r="N1021" s="26" t="n">
        <v>0</v>
      </c>
      <c r="O1021" s="26" t="n">
        <v>0</v>
      </c>
      <c r="P1021" s="26" t="n">
        <v>-1</v>
      </c>
      <c r="Q1021" s="26" t="n">
        <v>0</v>
      </c>
      <c r="R1021" s="26" t="n">
        <v>0</v>
      </c>
      <c r="S1021" s="26" t="n">
        <v>0</v>
      </c>
      <c r="T1021" s="26" t="n">
        <v>0</v>
      </c>
      <c r="U1021" s="26" t="n">
        <v>0</v>
      </c>
    </row>
    <row r="1022" customFormat="false" ht="15" hidden="false" customHeight="true" outlineLevel="0" collapsed="false">
      <c r="A1022" s="8" t="s">
        <v>944</v>
      </c>
      <c r="B1022" s="8" t="s">
        <v>172</v>
      </c>
      <c r="C1022" s="8" t="s">
        <v>818</v>
      </c>
      <c r="D1022" s="26" t="n">
        <v>0</v>
      </c>
      <c r="E1022" s="26" t="n">
        <v>0</v>
      </c>
      <c r="F1022" s="26" t="n">
        <v>7</v>
      </c>
      <c r="G1022" s="26" t="n">
        <v>0</v>
      </c>
      <c r="H1022" s="26" t="n">
        <v>0</v>
      </c>
      <c r="I1022" s="26" t="n">
        <v>0</v>
      </c>
      <c r="J1022" s="26" t="n">
        <v>0</v>
      </c>
      <c r="K1022" s="26" t="n">
        <v>0</v>
      </c>
      <c r="L1022" s="26" t="n">
        <v>0</v>
      </c>
      <c r="M1022" s="26" t="n">
        <v>0</v>
      </c>
      <c r="N1022" s="26" t="n">
        <v>0</v>
      </c>
      <c r="O1022" s="26" t="n">
        <v>0</v>
      </c>
      <c r="P1022" s="26" t="n">
        <v>0</v>
      </c>
      <c r="Q1022" s="26" t="n">
        <v>0</v>
      </c>
      <c r="R1022" s="26" t="n">
        <v>0</v>
      </c>
      <c r="S1022" s="26" t="n">
        <v>0</v>
      </c>
      <c r="T1022" s="26" t="n">
        <v>0</v>
      </c>
      <c r="U1022" s="26" t="n">
        <v>0</v>
      </c>
    </row>
    <row r="1023" customFormat="false" ht="15" hidden="false" customHeight="true" outlineLevel="0" collapsed="false">
      <c r="A1023" s="8" t="s">
        <v>944</v>
      </c>
      <c r="B1023" s="8" t="s">
        <v>354</v>
      </c>
      <c r="C1023" s="8" t="s">
        <v>819</v>
      </c>
      <c r="D1023" s="26" t="n">
        <v>0</v>
      </c>
      <c r="E1023" s="26" t="n">
        <v>0</v>
      </c>
      <c r="F1023" s="26" t="n">
        <v>10</v>
      </c>
      <c r="G1023" s="26" t="n">
        <v>0</v>
      </c>
      <c r="H1023" s="26" t="n">
        <v>0</v>
      </c>
      <c r="I1023" s="26" t="n">
        <v>0</v>
      </c>
      <c r="J1023" s="26" t="n">
        <v>0</v>
      </c>
      <c r="K1023" s="26" t="n">
        <v>0</v>
      </c>
      <c r="L1023" s="26" t="n">
        <v>0</v>
      </c>
      <c r="M1023" s="26" t="n">
        <v>0</v>
      </c>
      <c r="N1023" s="26" t="n">
        <v>0</v>
      </c>
      <c r="O1023" s="26" t="n">
        <v>0</v>
      </c>
      <c r="P1023" s="26" t="n">
        <v>0</v>
      </c>
      <c r="Q1023" s="26" t="n">
        <v>0</v>
      </c>
      <c r="R1023" s="26" t="n">
        <v>0</v>
      </c>
      <c r="S1023" s="26" t="n">
        <v>0</v>
      </c>
      <c r="T1023" s="26" t="n">
        <v>0</v>
      </c>
      <c r="U1023" s="26" t="n">
        <v>0</v>
      </c>
    </row>
    <row r="1024" customFormat="false" ht="15" hidden="false" customHeight="true" outlineLevel="0" collapsed="false">
      <c r="A1024" s="8" t="s">
        <v>944</v>
      </c>
      <c r="B1024" s="8" t="s">
        <v>248</v>
      </c>
      <c r="C1024" s="8" t="s">
        <v>819</v>
      </c>
      <c r="D1024" s="26" t="n">
        <v>0</v>
      </c>
      <c r="E1024" s="26" t="n">
        <v>0</v>
      </c>
      <c r="F1024" s="26" t="n">
        <v>26</v>
      </c>
      <c r="G1024" s="26" t="n">
        <v>0</v>
      </c>
      <c r="H1024" s="26" t="n">
        <v>0</v>
      </c>
      <c r="I1024" s="26" t="n">
        <v>218</v>
      </c>
      <c r="J1024" s="26" t="n">
        <v>0</v>
      </c>
      <c r="K1024" s="26" t="n">
        <v>51</v>
      </c>
      <c r="L1024" s="26" t="n">
        <v>-1</v>
      </c>
      <c r="M1024" s="26" t="n">
        <v>0</v>
      </c>
      <c r="N1024" s="26" t="n">
        <v>0</v>
      </c>
      <c r="O1024" s="26" t="n">
        <v>0</v>
      </c>
      <c r="P1024" s="26" t="n">
        <v>-2</v>
      </c>
      <c r="Q1024" s="26" t="n">
        <v>0</v>
      </c>
      <c r="R1024" s="26" t="n">
        <v>170</v>
      </c>
      <c r="S1024" s="26" t="n">
        <v>0</v>
      </c>
      <c r="T1024" s="26" t="n">
        <v>0</v>
      </c>
      <c r="U1024" s="26" t="n">
        <v>0</v>
      </c>
    </row>
    <row r="1025" customFormat="false" ht="15" hidden="false" customHeight="true" outlineLevel="0" collapsed="false">
      <c r="A1025" s="8" t="s">
        <v>944</v>
      </c>
      <c r="B1025" s="8" t="s">
        <v>356</v>
      </c>
      <c r="C1025" s="8" t="s">
        <v>819</v>
      </c>
      <c r="D1025" s="26" t="n">
        <v>0</v>
      </c>
      <c r="E1025" s="26" t="n">
        <v>0</v>
      </c>
      <c r="F1025" s="26" t="n">
        <v>41</v>
      </c>
      <c r="G1025" s="26" t="n">
        <v>0</v>
      </c>
      <c r="H1025" s="26" t="n">
        <v>0</v>
      </c>
      <c r="I1025" s="26" t="n">
        <v>0</v>
      </c>
      <c r="J1025" s="26" t="n">
        <v>0</v>
      </c>
      <c r="K1025" s="26" t="n">
        <v>0</v>
      </c>
      <c r="L1025" s="26" t="n">
        <v>0</v>
      </c>
      <c r="M1025" s="26" t="n">
        <v>0</v>
      </c>
      <c r="N1025" s="26" t="n">
        <v>0</v>
      </c>
      <c r="O1025" s="26" t="n">
        <v>0</v>
      </c>
      <c r="P1025" s="26" t="n">
        <v>0</v>
      </c>
      <c r="Q1025" s="26" t="n">
        <v>0</v>
      </c>
      <c r="R1025" s="26" t="n">
        <v>0</v>
      </c>
      <c r="S1025" s="26" t="n">
        <v>0</v>
      </c>
      <c r="T1025" s="26" t="n">
        <v>0</v>
      </c>
      <c r="U1025" s="26" t="n">
        <v>0</v>
      </c>
    </row>
    <row r="1026" customFormat="false" ht="15" hidden="false" customHeight="true" outlineLevel="0" collapsed="false">
      <c r="A1026" s="8" t="s">
        <v>944</v>
      </c>
      <c r="B1026" s="8" t="s">
        <v>269</v>
      </c>
      <c r="C1026" s="8" t="s">
        <v>819</v>
      </c>
      <c r="D1026" s="26" t="n">
        <v>0</v>
      </c>
      <c r="E1026" s="26" t="n">
        <v>0</v>
      </c>
      <c r="F1026" s="26" t="n">
        <v>7</v>
      </c>
      <c r="G1026" s="26" t="n">
        <v>0</v>
      </c>
      <c r="H1026" s="26" t="n">
        <v>0</v>
      </c>
      <c r="I1026" s="26" t="n">
        <v>282</v>
      </c>
      <c r="J1026" s="26" t="n">
        <v>0</v>
      </c>
      <c r="K1026" s="26" t="n">
        <v>36</v>
      </c>
      <c r="L1026" s="26" t="n">
        <v>0</v>
      </c>
      <c r="M1026" s="26" t="n">
        <v>0</v>
      </c>
      <c r="N1026" s="26" t="n">
        <v>0</v>
      </c>
      <c r="O1026" s="26" t="n">
        <v>0</v>
      </c>
      <c r="P1026" s="26" t="n">
        <v>-2</v>
      </c>
      <c r="Q1026" s="26" t="n">
        <v>0</v>
      </c>
      <c r="R1026" s="26" t="n">
        <v>248</v>
      </c>
      <c r="S1026" s="26" t="n">
        <v>0</v>
      </c>
      <c r="T1026" s="26" t="n">
        <v>0</v>
      </c>
      <c r="U1026" s="26" t="n">
        <v>0</v>
      </c>
    </row>
    <row r="1027" customFormat="false" ht="15" hidden="false" customHeight="true" outlineLevel="0" collapsed="false">
      <c r="A1027" s="8" t="s">
        <v>944</v>
      </c>
      <c r="B1027" s="8" t="s">
        <v>117</v>
      </c>
      <c r="C1027" s="8" t="s">
        <v>820</v>
      </c>
      <c r="D1027" s="26" t="n">
        <v>0</v>
      </c>
      <c r="E1027" s="26" t="n">
        <v>0</v>
      </c>
      <c r="F1027" s="26" t="n">
        <v>295</v>
      </c>
      <c r="G1027" s="26" t="n">
        <v>0</v>
      </c>
      <c r="H1027" s="26" t="n">
        <v>0</v>
      </c>
      <c r="I1027" s="26" t="n">
        <v>1052</v>
      </c>
      <c r="J1027" s="26" t="n">
        <v>0</v>
      </c>
      <c r="K1027" s="26" t="n">
        <v>24</v>
      </c>
      <c r="L1027" s="26" t="n">
        <v>0</v>
      </c>
      <c r="M1027" s="26" t="n">
        <v>0</v>
      </c>
      <c r="N1027" s="26" t="n">
        <v>0</v>
      </c>
      <c r="O1027" s="26" t="n">
        <v>0</v>
      </c>
      <c r="P1027" s="26" t="n">
        <v>-2</v>
      </c>
      <c r="Q1027" s="26" t="n">
        <v>796</v>
      </c>
      <c r="R1027" s="26" t="n">
        <v>234</v>
      </c>
      <c r="S1027" s="26" t="n">
        <v>0</v>
      </c>
      <c r="T1027" s="26" t="n">
        <v>0</v>
      </c>
      <c r="U1027" s="26" t="n">
        <v>0</v>
      </c>
    </row>
    <row r="1028" customFormat="false" ht="15" hidden="false" customHeight="true" outlineLevel="0" collapsed="false">
      <c r="A1028" s="8" t="s">
        <v>944</v>
      </c>
      <c r="B1028" s="8" t="s">
        <v>107</v>
      </c>
      <c r="C1028" s="8" t="s">
        <v>820</v>
      </c>
      <c r="D1028" s="26" t="n">
        <v>0</v>
      </c>
      <c r="E1028" s="26" t="n">
        <v>0</v>
      </c>
      <c r="F1028" s="26" t="n">
        <v>411</v>
      </c>
      <c r="G1028" s="26" t="n">
        <v>0</v>
      </c>
      <c r="H1028" s="26" t="n">
        <v>0</v>
      </c>
      <c r="I1028" s="26" t="n">
        <v>1200</v>
      </c>
      <c r="J1028" s="26" t="n">
        <v>0</v>
      </c>
      <c r="K1028" s="26" t="n">
        <v>0</v>
      </c>
      <c r="L1028" s="26" t="n">
        <v>0</v>
      </c>
      <c r="M1028" s="26" t="n">
        <v>0</v>
      </c>
      <c r="N1028" s="26" t="n">
        <v>0</v>
      </c>
      <c r="O1028" s="26" t="n">
        <v>0</v>
      </c>
      <c r="P1028" s="26" t="n">
        <v>0</v>
      </c>
      <c r="Q1028" s="26" t="n">
        <v>1200</v>
      </c>
      <c r="R1028" s="26" t="n">
        <v>0</v>
      </c>
      <c r="S1028" s="26" t="n">
        <v>0</v>
      </c>
      <c r="T1028" s="26" t="n">
        <v>0</v>
      </c>
      <c r="U1028" s="26" t="n">
        <v>0</v>
      </c>
    </row>
    <row r="1029" customFormat="false" ht="15" hidden="false" customHeight="true" outlineLevel="0" collapsed="false">
      <c r="A1029" s="8" t="s">
        <v>944</v>
      </c>
      <c r="B1029" s="8" t="s">
        <v>118</v>
      </c>
      <c r="C1029" s="8" t="s">
        <v>820</v>
      </c>
      <c r="D1029" s="26" t="n">
        <v>0</v>
      </c>
      <c r="E1029" s="26" t="n">
        <v>0</v>
      </c>
      <c r="F1029" s="26" t="n">
        <v>517</v>
      </c>
      <c r="G1029" s="26" t="n">
        <v>0</v>
      </c>
      <c r="H1029" s="26" t="n">
        <v>0</v>
      </c>
      <c r="I1029" s="26" t="n">
        <v>1250</v>
      </c>
      <c r="J1029" s="26" t="n">
        <v>0</v>
      </c>
      <c r="K1029" s="26" t="n">
        <v>0</v>
      </c>
      <c r="L1029" s="26" t="n">
        <v>0</v>
      </c>
      <c r="M1029" s="26" t="n">
        <v>0</v>
      </c>
      <c r="N1029" s="26" t="n">
        <v>0</v>
      </c>
      <c r="O1029" s="26" t="n">
        <v>0</v>
      </c>
      <c r="P1029" s="26" t="n">
        <v>-1</v>
      </c>
      <c r="Q1029" s="26" t="n">
        <v>1251</v>
      </c>
      <c r="R1029" s="26" t="n">
        <v>0</v>
      </c>
      <c r="S1029" s="26" t="n">
        <v>0</v>
      </c>
      <c r="T1029" s="26" t="n">
        <v>0</v>
      </c>
      <c r="U1029" s="26" t="n">
        <v>0</v>
      </c>
    </row>
    <row r="1030" customFormat="false" ht="15" hidden="false" customHeight="true" outlineLevel="0" collapsed="false">
      <c r="A1030" s="8" t="s">
        <v>944</v>
      </c>
      <c r="B1030" s="8" t="s">
        <v>126</v>
      </c>
      <c r="C1030" s="8" t="s">
        <v>820</v>
      </c>
      <c r="D1030" s="26" t="n">
        <v>0</v>
      </c>
      <c r="E1030" s="26" t="n">
        <v>0</v>
      </c>
      <c r="F1030" s="26" t="n">
        <v>391</v>
      </c>
      <c r="G1030" s="26" t="n">
        <v>0</v>
      </c>
      <c r="H1030" s="26" t="n">
        <v>0</v>
      </c>
      <c r="I1030" s="26" t="n">
        <v>1150</v>
      </c>
      <c r="J1030" s="26" t="n">
        <v>0</v>
      </c>
      <c r="K1030" s="26" t="n">
        <v>0</v>
      </c>
      <c r="L1030" s="26" t="n">
        <v>0</v>
      </c>
      <c r="M1030" s="26" t="n">
        <v>0</v>
      </c>
      <c r="N1030" s="26" t="n">
        <v>0</v>
      </c>
      <c r="O1030" s="26" t="n">
        <v>0</v>
      </c>
      <c r="P1030" s="26" t="n">
        <v>0</v>
      </c>
      <c r="Q1030" s="26" t="n">
        <v>1150</v>
      </c>
      <c r="R1030" s="26" t="n">
        <v>0</v>
      </c>
      <c r="S1030" s="26" t="n">
        <v>0</v>
      </c>
      <c r="T1030" s="26" t="n">
        <v>0</v>
      </c>
      <c r="U1030" s="26" t="n">
        <v>0</v>
      </c>
    </row>
    <row r="1031" customFormat="false" ht="15" hidden="false" customHeight="true" outlineLevel="0" collapsed="false">
      <c r="A1031" s="8" t="s">
        <v>944</v>
      </c>
      <c r="B1031" s="8" t="s">
        <v>84</v>
      </c>
      <c r="C1031" s="8" t="s">
        <v>821</v>
      </c>
      <c r="D1031" s="26" t="n">
        <v>0</v>
      </c>
      <c r="E1031" s="26" t="n">
        <v>0</v>
      </c>
      <c r="F1031" s="26" t="n">
        <v>101</v>
      </c>
      <c r="G1031" s="26" t="n">
        <v>0</v>
      </c>
      <c r="H1031" s="26" t="n">
        <v>0</v>
      </c>
      <c r="I1031" s="26" t="n">
        <v>365</v>
      </c>
      <c r="J1031" s="26" t="n">
        <v>0</v>
      </c>
      <c r="K1031" s="26" t="n">
        <v>15</v>
      </c>
      <c r="L1031" s="26" t="n">
        <v>0</v>
      </c>
      <c r="M1031" s="26" t="n">
        <v>0</v>
      </c>
      <c r="N1031" s="26" t="n">
        <v>3</v>
      </c>
      <c r="O1031" s="26" t="n">
        <v>1</v>
      </c>
      <c r="P1031" s="26" t="n">
        <v>-6</v>
      </c>
      <c r="Q1031" s="26" t="n">
        <v>278</v>
      </c>
      <c r="R1031" s="26" t="n">
        <v>74</v>
      </c>
      <c r="S1031" s="26" t="n">
        <v>0</v>
      </c>
      <c r="T1031" s="26" t="n">
        <v>0</v>
      </c>
      <c r="U1031" s="26" t="n">
        <v>0</v>
      </c>
    </row>
    <row r="1032" customFormat="false" ht="15" hidden="false" customHeight="true" outlineLevel="0" collapsed="false">
      <c r="A1032" s="8" t="s">
        <v>944</v>
      </c>
      <c r="B1032" s="8" t="s">
        <v>81</v>
      </c>
      <c r="C1032" s="8" t="s">
        <v>822</v>
      </c>
      <c r="D1032" s="26" t="n">
        <v>0</v>
      </c>
      <c r="E1032" s="26" t="n">
        <v>0</v>
      </c>
      <c r="F1032" s="26" t="n">
        <v>572</v>
      </c>
      <c r="G1032" s="26" t="n">
        <v>0</v>
      </c>
      <c r="H1032" s="26" t="n">
        <v>5</v>
      </c>
      <c r="I1032" s="26" t="n">
        <v>181</v>
      </c>
      <c r="J1032" s="26" t="n">
        <v>0</v>
      </c>
      <c r="K1032" s="26" t="n">
        <v>21</v>
      </c>
      <c r="L1032" s="26" t="n">
        <v>-5</v>
      </c>
      <c r="M1032" s="26" t="n">
        <v>9</v>
      </c>
      <c r="N1032" s="26" t="n">
        <v>-15</v>
      </c>
      <c r="O1032" s="26" t="n">
        <v>3</v>
      </c>
      <c r="P1032" s="26" t="n">
        <v>-18</v>
      </c>
      <c r="Q1032" s="26" t="n">
        <v>0</v>
      </c>
      <c r="R1032" s="26" t="n">
        <v>186</v>
      </c>
      <c r="S1032" s="26" t="n">
        <v>0</v>
      </c>
      <c r="T1032" s="26" t="n">
        <v>0</v>
      </c>
      <c r="U1032" s="26" t="n">
        <v>-2</v>
      </c>
    </row>
    <row r="1033" customFormat="false" ht="15" hidden="false" customHeight="true" outlineLevel="0" collapsed="false">
      <c r="A1033" s="8" t="s">
        <v>944</v>
      </c>
      <c r="B1033" s="8" t="s">
        <v>113</v>
      </c>
      <c r="C1033" s="8" t="s">
        <v>823</v>
      </c>
      <c r="D1033" s="26" t="n">
        <v>0</v>
      </c>
      <c r="E1033" s="26" t="n">
        <v>0</v>
      </c>
      <c r="F1033" s="26" t="n">
        <v>216</v>
      </c>
      <c r="G1033" s="26" t="n">
        <v>0</v>
      </c>
      <c r="H1033" s="26" t="n">
        <v>0</v>
      </c>
      <c r="I1033" s="26" t="n">
        <v>1210</v>
      </c>
      <c r="J1033" s="26" t="n">
        <v>0</v>
      </c>
      <c r="K1033" s="26" t="n">
        <v>7</v>
      </c>
      <c r="L1033" s="26" t="n">
        <v>0</v>
      </c>
      <c r="M1033" s="26" t="n">
        <v>0</v>
      </c>
      <c r="N1033" s="26" t="n">
        <v>0</v>
      </c>
      <c r="O1033" s="26" t="n">
        <v>1</v>
      </c>
      <c r="P1033" s="26" t="n">
        <v>-10</v>
      </c>
      <c r="Q1033" s="26" t="n">
        <v>1089</v>
      </c>
      <c r="R1033" s="26" t="n">
        <v>123</v>
      </c>
      <c r="S1033" s="26" t="n">
        <v>0</v>
      </c>
      <c r="T1033" s="26" t="n">
        <v>0</v>
      </c>
      <c r="U1033" s="26" t="n">
        <v>0</v>
      </c>
    </row>
    <row r="1034" customFormat="false" ht="15" hidden="false" customHeight="true" outlineLevel="0" collapsed="false">
      <c r="A1034" s="8" t="s">
        <v>944</v>
      </c>
      <c r="B1034" s="8" t="s">
        <v>113</v>
      </c>
      <c r="C1034" s="8" t="s">
        <v>824</v>
      </c>
      <c r="D1034" s="26" t="n">
        <v>0</v>
      </c>
      <c r="E1034" s="26" t="n">
        <v>0</v>
      </c>
      <c r="F1034" s="26" t="n">
        <v>146</v>
      </c>
      <c r="G1034" s="26" t="n">
        <v>0</v>
      </c>
      <c r="H1034" s="26" t="n">
        <v>0</v>
      </c>
      <c r="I1034" s="26" t="n">
        <v>840</v>
      </c>
      <c r="J1034" s="26" t="n">
        <v>0</v>
      </c>
      <c r="K1034" s="26" t="n">
        <v>6</v>
      </c>
      <c r="L1034" s="26" t="n">
        <v>0</v>
      </c>
      <c r="M1034" s="26" t="n">
        <v>0</v>
      </c>
      <c r="N1034" s="26" t="n">
        <v>0</v>
      </c>
      <c r="O1034" s="26" t="n">
        <v>1</v>
      </c>
      <c r="P1034" s="26" t="n">
        <v>-6</v>
      </c>
      <c r="Q1034" s="26" t="n">
        <v>733</v>
      </c>
      <c r="R1034" s="26" t="n">
        <v>106</v>
      </c>
      <c r="S1034" s="26" t="n">
        <v>0</v>
      </c>
      <c r="T1034" s="26" t="n">
        <v>0</v>
      </c>
      <c r="U1034" s="26" t="n">
        <v>0</v>
      </c>
    </row>
    <row r="1035" customFormat="false" ht="15" hidden="false" customHeight="true" outlineLevel="0" collapsed="false">
      <c r="A1035" s="8" t="s">
        <v>944</v>
      </c>
      <c r="B1035" s="8" t="s">
        <v>113</v>
      </c>
      <c r="C1035" s="8" t="s">
        <v>825</v>
      </c>
      <c r="D1035" s="26" t="n">
        <v>0</v>
      </c>
      <c r="E1035" s="26" t="n">
        <v>0</v>
      </c>
      <c r="F1035" s="26" t="n">
        <v>155</v>
      </c>
      <c r="G1035" s="26" t="n">
        <v>0</v>
      </c>
      <c r="H1035" s="26" t="n">
        <v>0</v>
      </c>
      <c r="I1035" s="26" t="n">
        <v>942</v>
      </c>
      <c r="J1035" s="26" t="n">
        <v>0</v>
      </c>
      <c r="K1035" s="26" t="n">
        <v>6</v>
      </c>
      <c r="L1035" s="26" t="n">
        <v>0</v>
      </c>
      <c r="M1035" s="26" t="n">
        <v>0</v>
      </c>
      <c r="N1035" s="26" t="n">
        <v>0</v>
      </c>
      <c r="O1035" s="26" t="n">
        <v>0</v>
      </c>
      <c r="P1035" s="26" t="n">
        <v>-6</v>
      </c>
      <c r="Q1035" s="26" t="n">
        <v>833</v>
      </c>
      <c r="R1035" s="26" t="n">
        <v>109</v>
      </c>
      <c r="S1035" s="26" t="n">
        <v>0</v>
      </c>
      <c r="T1035" s="26" t="n">
        <v>0</v>
      </c>
      <c r="U1035" s="26" t="n">
        <v>0</v>
      </c>
    </row>
    <row r="1036" customFormat="false" ht="15" hidden="false" customHeight="true" outlineLevel="0" collapsed="false">
      <c r="A1036" s="8" t="s">
        <v>944</v>
      </c>
      <c r="B1036" s="8" t="s">
        <v>113</v>
      </c>
      <c r="C1036" s="8" t="s">
        <v>826</v>
      </c>
      <c r="D1036" s="26" t="n">
        <v>0</v>
      </c>
      <c r="E1036" s="26" t="n">
        <v>0</v>
      </c>
      <c r="F1036" s="26" t="n">
        <v>49</v>
      </c>
      <c r="G1036" s="26" t="n">
        <v>0</v>
      </c>
      <c r="H1036" s="26" t="n">
        <v>0</v>
      </c>
      <c r="I1036" s="26" t="n">
        <v>394</v>
      </c>
      <c r="J1036" s="26" t="n">
        <v>0</v>
      </c>
      <c r="K1036" s="26" t="n">
        <v>3</v>
      </c>
      <c r="L1036" s="26" t="n">
        <v>0</v>
      </c>
      <c r="M1036" s="26" t="n">
        <v>0</v>
      </c>
      <c r="N1036" s="26" t="n">
        <v>0</v>
      </c>
      <c r="O1036" s="26" t="n">
        <v>0</v>
      </c>
      <c r="P1036" s="26" t="n">
        <v>-8</v>
      </c>
      <c r="Q1036" s="26" t="n">
        <v>347</v>
      </c>
      <c r="R1036" s="26" t="n">
        <v>52</v>
      </c>
      <c r="S1036" s="26" t="n">
        <v>0</v>
      </c>
      <c r="T1036" s="26" t="n">
        <v>0</v>
      </c>
      <c r="U1036" s="26" t="n">
        <v>0</v>
      </c>
    </row>
    <row r="1037" customFormat="false" ht="15" hidden="false" customHeight="true" outlineLevel="0" collapsed="false">
      <c r="A1037" s="8" t="s">
        <v>944</v>
      </c>
      <c r="B1037" s="8" t="s">
        <v>113</v>
      </c>
      <c r="C1037" s="8" t="s">
        <v>827</v>
      </c>
      <c r="D1037" s="26" t="n">
        <v>0</v>
      </c>
      <c r="E1037" s="26" t="n">
        <v>0</v>
      </c>
      <c r="F1037" s="26" t="n">
        <v>12</v>
      </c>
      <c r="G1037" s="26" t="n">
        <v>0</v>
      </c>
      <c r="H1037" s="26" t="n">
        <v>0</v>
      </c>
      <c r="I1037" s="26" t="n">
        <v>44</v>
      </c>
      <c r="J1037" s="26" t="n">
        <v>0</v>
      </c>
      <c r="K1037" s="26" t="n">
        <v>4</v>
      </c>
      <c r="L1037" s="26" t="n">
        <v>0</v>
      </c>
      <c r="M1037" s="26" t="n">
        <v>0</v>
      </c>
      <c r="N1037" s="26" t="n">
        <v>0</v>
      </c>
      <c r="O1037" s="26" t="n">
        <v>0</v>
      </c>
      <c r="P1037" s="26" t="n">
        <v>-3</v>
      </c>
      <c r="Q1037" s="26" t="n">
        <v>0</v>
      </c>
      <c r="R1037" s="26" t="n">
        <v>43</v>
      </c>
      <c r="S1037" s="26" t="n">
        <v>0</v>
      </c>
      <c r="T1037" s="26" t="n">
        <v>0</v>
      </c>
      <c r="U1037" s="26" t="n">
        <v>0</v>
      </c>
    </row>
    <row r="1038" customFormat="false" ht="15" hidden="false" customHeight="true" outlineLevel="0" collapsed="false">
      <c r="A1038" s="8" t="s">
        <v>944</v>
      </c>
      <c r="B1038" s="8" t="s">
        <v>113</v>
      </c>
      <c r="C1038" s="8" t="s">
        <v>828</v>
      </c>
      <c r="D1038" s="26" t="n">
        <v>0</v>
      </c>
      <c r="E1038" s="26" t="n">
        <v>0</v>
      </c>
      <c r="F1038" s="26" t="n">
        <v>6</v>
      </c>
      <c r="G1038" s="26" t="n">
        <v>0</v>
      </c>
      <c r="H1038" s="26" t="n">
        <v>0</v>
      </c>
      <c r="I1038" s="26" t="n">
        <v>0</v>
      </c>
      <c r="J1038" s="26" t="n">
        <v>0</v>
      </c>
      <c r="K1038" s="26" t="n">
        <v>0</v>
      </c>
      <c r="L1038" s="26" t="n">
        <v>0</v>
      </c>
      <c r="M1038" s="26" t="n">
        <v>0</v>
      </c>
      <c r="N1038" s="26" t="n">
        <v>0</v>
      </c>
      <c r="O1038" s="26" t="n">
        <v>0</v>
      </c>
      <c r="P1038" s="26" t="n">
        <v>0</v>
      </c>
      <c r="Q1038" s="26" t="n">
        <v>0</v>
      </c>
      <c r="R1038" s="26" t="n">
        <v>0</v>
      </c>
      <c r="S1038" s="26" t="n">
        <v>0</v>
      </c>
      <c r="T1038" s="26" t="n">
        <v>0</v>
      </c>
      <c r="U1038" s="26" t="n">
        <v>0</v>
      </c>
    </row>
    <row r="1039" customFormat="false" ht="15" hidden="false" customHeight="true" outlineLevel="0" collapsed="false">
      <c r="A1039" s="8" t="s">
        <v>944</v>
      </c>
      <c r="B1039" s="8" t="s">
        <v>127</v>
      </c>
      <c r="C1039" s="8" t="s">
        <v>829</v>
      </c>
      <c r="D1039" s="26" t="n">
        <v>0</v>
      </c>
      <c r="E1039" s="26" t="n">
        <v>0</v>
      </c>
      <c r="F1039" s="26" t="n">
        <v>324</v>
      </c>
      <c r="G1039" s="26" t="n">
        <v>0</v>
      </c>
      <c r="H1039" s="26" t="n">
        <v>0</v>
      </c>
      <c r="I1039" s="26" t="n">
        <v>1966</v>
      </c>
      <c r="J1039" s="26" t="n">
        <v>0</v>
      </c>
      <c r="K1039" s="26" t="n">
        <v>13</v>
      </c>
      <c r="L1039" s="26" t="n">
        <v>-1</v>
      </c>
      <c r="M1039" s="26" t="n">
        <v>3</v>
      </c>
      <c r="N1039" s="26" t="n">
        <v>3</v>
      </c>
      <c r="O1039" s="26" t="n">
        <v>4</v>
      </c>
      <c r="P1039" s="26" t="n">
        <v>-3</v>
      </c>
      <c r="Q1039" s="26" t="n">
        <v>1818</v>
      </c>
      <c r="R1039" s="26" t="n">
        <v>129</v>
      </c>
      <c r="S1039" s="26" t="n">
        <v>0</v>
      </c>
      <c r="T1039" s="26" t="n">
        <v>0</v>
      </c>
      <c r="U1039" s="26" t="n">
        <v>0</v>
      </c>
    </row>
    <row r="1040" customFormat="false" ht="15" hidden="false" customHeight="true" outlineLevel="0" collapsed="false">
      <c r="A1040" s="8" t="s">
        <v>944</v>
      </c>
      <c r="B1040" s="8" t="s">
        <v>306</v>
      </c>
      <c r="C1040" s="8" t="s">
        <v>830</v>
      </c>
      <c r="D1040" s="26" t="n">
        <v>0</v>
      </c>
      <c r="E1040" s="26" t="n">
        <v>0</v>
      </c>
      <c r="F1040" s="26" t="n">
        <v>52</v>
      </c>
      <c r="G1040" s="26" t="n">
        <v>0</v>
      </c>
      <c r="H1040" s="26" t="n">
        <v>1</v>
      </c>
      <c r="I1040" s="26" t="n">
        <v>107</v>
      </c>
      <c r="J1040" s="26" t="n">
        <v>0</v>
      </c>
      <c r="K1040" s="26" t="n">
        <v>5</v>
      </c>
      <c r="L1040" s="26" t="n">
        <v>-3</v>
      </c>
      <c r="M1040" s="26" t="n">
        <v>0</v>
      </c>
      <c r="N1040" s="26" t="n">
        <v>6</v>
      </c>
      <c r="O1040" s="26" t="n">
        <v>0</v>
      </c>
      <c r="P1040" s="26" t="n">
        <v>-7</v>
      </c>
      <c r="Q1040" s="26" t="n">
        <v>84</v>
      </c>
      <c r="R1040" s="26" t="n">
        <v>22</v>
      </c>
      <c r="S1040" s="26" t="n">
        <v>0</v>
      </c>
      <c r="T1040" s="26" t="n">
        <v>0</v>
      </c>
      <c r="U1040" s="26" t="n">
        <v>0</v>
      </c>
    </row>
    <row r="1041" customFormat="false" ht="15" hidden="false" customHeight="true" outlineLevel="0" collapsed="false">
      <c r="A1041" s="8" t="s">
        <v>944</v>
      </c>
      <c r="B1041" s="8" t="s">
        <v>81</v>
      </c>
      <c r="C1041" s="8" t="s">
        <v>831</v>
      </c>
      <c r="D1041" s="26" t="n">
        <v>0</v>
      </c>
      <c r="E1041" s="26" t="n">
        <v>0</v>
      </c>
      <c r="F1041" s="26" t="n">
        <v>265</v>
      </c>
      <c r="G1041" s="26" t="n">
        <v>0</v>
      </c>
      <c r="H1041" s="26" t="n">
        <v>0</v>
      </c>
      <c r="I1041" s="26" t="n">
        <v>106</v>
      </c>
      <c r="J1041" s="26" t="n">
        <v>0</v>
      </c>
      <c r="K1041" s="26" t="n">
        <v>9</v>
      </c>
      <c r="L1041" s="26" t="n">
        <v>-4</v>
      </c>
      <c r="M1041" s="26" t="n">
        <v>3</v>
      </c>
      <c r="N1041" s="26" t="n">
        <v>4</v>
      </c>
      <c r="O1041" s="26" t="n">
        <v>0</v>
      </c>
      <c r="P1041" s="26" t="n">
        <v>-16</v>
      </c>
      <c r="Q1041" s="26" t="n">
        <v>0</v>
      </c>
      <c r="R1041" s="26" t="n">
        <v>110</v>
      </c>
      <c r="S1041" s="26" t="n">
        <v>0</v>
      </c>
      <c r="T1041" s="26" t="n">
        <v>0</v>
      </c>
      <c r="U1041" s="26" t="n">
        <v>0</v>
      </c>
    </row>
    <row r="1042" customFormat="false" ht="15" hidden="false" customHeight="true" outlineLevel="0" collapsed="false">
      <c r="A1042" s="8" t="s">
        <v>944</v>
      </c>
      <c r="B1042" s="8" t="s">
        <v>194</v>
      </c>
      <c r="C1042" s="8" t="s">
        <v>832</v>
      </c>
      <c r="D1042" s="26" t="n">
        <v>0</v>
      </c>
      <c r="E1042" s="26" t="n">
        <v>0</v>
      </c>
      <c r="F1042" s="26" t="n">
        <v>35</v>
      </c>
      <c r="G1042" s="26" t="n">
        <v>0</v>
      </c>
      <c r="H1042" s="26" t="n">
        <v>0</v>
      </c>
      <c r="I1042" s="26" t="n">
        <v>1231</v>
      </c>
      <c r="J1042" s="26" t="n">
        <v>0</v>
      </c>
      <c r="K1042" s="26" t="n">
        <v>0</v>
      </c>
      <c r="L1042" s="26" t="n">
        <v>0</v>
      </c>
      <c r="M1042" s="26" t="n">
        <v>0</v>
      </c>
      <c r="N1042" s="26" t="n">
        <v>0</v>
      </c>
      <c r="O1042" s="26" t="n">
        <v>0</v>
      </c>
      <c r="P1042" s="26" t="n">
        <v>0</v>
      </c>
      <c r="Q1042" s="26" t="n">
        <v>1231</v>
      </c>
      <c r="R1042" s="26" t="n">
        <v>0</v>
      </c>
      <c r="S1042" s="26" t="n">
        <v>0</v>
      </c>
      <c r="T1042" s="26" t="n">
        <v>0</v>
      </c>
      <c r="U1042" s="26" t="n">
        <v>0</v>
      </c>
    </row>
    <row r="1043" customFormat="false" ht="15" hidden="false" customHeight="true" outlineLevel="0" collapsed="false">
      <c r="A1043" s="8" t="s">
        <v>944</v>
      </c>
      <c r="B1043" s="8" t="s">
        <v>194</v>
      </c>
      <c r="C1043" s="8" t="s">
        <v>833</v>
      </c>
      <c r="D1043" s="26" t="n">
        <v>0</v>
      </c>
      <c r="E1043" s="26" t="n">
        <v>0</v>
      </c>
      <c r="F1043" s="26" t="n">
        <v>93</v>
      </c>
      <c r="G1043" s="26" t="n">
        <v>0</v>
      </c>
      <c r="H1043" s="26" t="n">
        <v>0</v>
      </c>
      <c r="I1043" s="26" t="n">
        <v>2788</v>
      </c>
      <c r="J1043" s="26" t="n">
        <v>0</v>
      </c>
      <c r="K1043" s="26" t="n">
        <v>0</v>
      </c>
      <c r="L1043" s="26" t="n">
        <v>0</v>
      </c>
      <c r="M1043" s="26" t="n">
        <v>0</v>
      </c>
      <c r="N1043" s="26" t="n">
        <v>0</v>
      </c>
      <c r="O1043" s="26" t="n">
        <v>0</v>
      </c>
      <c r="P1043" s="26" t="n">
        <v>0</v>
      </c>
      <c r="Q1043" s="26" t="n">
        <v>2788</v>
      </c>
      <c r="R1043" s="26" t="n">
        <v>0</v>
      </c>
      <c r="S1043" s="26" t="n">
        <v>0</v>
      </c>
      <c r="T1043" s="26" t="n">
        <v>0</v>
      </c>
      <c r="U1043" s="26" t="n">
        <v>0</v>
      </c>
    </row>
    <row r="1044" customFormat="false" ht="15" hidden="false" customHeight="true" outlineLevel="0" collapsed="false">
      <c r="A1044" s="8" t="s">
        <v>944</v>
      </c>
      <c r="B1044" s="8" t="s">
        <v>194</v>
      </c>
      <c r="C1044" s="8" t="s">
        <v>834</v>
      </c>
      <c r="D1044" s="26" t="n">
        <v>0</v>
      </c>
      <c r="E1044" s="26" t="n">
        <v>0</v>
      </c>
      <c r="F1044" s="26" t="n">
        <v>100</v>
      </c>
      <c r="G1044" s="26" t="n">
        <v>0</v>
      </c>
      <c r="H1044" s="26" t="n">
        <v>0</v>
      </c>
      <c r="I1044" s="26" t="n">
        <v>2670</v>
      </c>
      <c r="J1044" s="26" t="n">
        <v>0</v>
      </c>
      <c r="K1044" s="26" t="n">
        <v>0</v>
      </c>
      <c r="L1044" s="26" t="n">
        <v>0</v>
      </c>
      <c r="M1044" s="26" t="n">
        <v>0</v>
      </c>
      <c r="N1044" s="26" t="n">
        <v>0</v>
      </c>
      <c r="O1044" s="26" t="n">
        <v>0</v>
      </c>
      <c r="P1044" s="26" t="n">
        <v>0</v>
      </c>
      <c r="Q1044" s="26" t="n">
        <v>2670</v>
      </c>
      <c r="R1044" s="26" t="n">
        <v>0</v>
      </c>
      <c r="S1044" s="26" t="n">
        <v>0</v>
      </c>
      <c r="T1044" s="26" t="n">
        <v>0</v>
      </c>
      <c r="U1044" s="26" t="n">
        <v>0</v>
      </c>
    </row>
    <row r="1045" customFormat="false" ht="15" hidden="false" customHeight="true" outlineLevel="0" collapsed="false">
      <c r="A1045" s="8" t="s">
        <v>944</v>
      </c>
      <c r="B1045" s="8" t="s">
        <v>194</v>
      </c>
      <c r="C1045" s="8" t="s">
        <v>835</v>
      </c>
      <c r="D1045" s="26" t="n">
        <v>0</v>
      </c>
      <c r="E1045" s="26" t="n">
        <v>0</v>
      </c>
      <c r="F1045" s="26" t="n">
        <v>103</v>
      </c>
      <c r="G1045" s="26" t="n">
        <v>0</v>
      </c>
      <c r="H1045" s="26" t="n">
        <v>0</v>
      </c>
      <c r="I1045" s="26" t="n">
        <v>2302</v>
      </c>
      <c r="J1045" s="26" t="n">
        <v>0</v>
      </c>
      <c r="K1045" s="26" t="n">
        <v>0</v>
      </c>
      <c r="L1045" s="26" t="n">
        <v>0</v>
      </c>
      <c r="M1045" s="26" t="n">
        <v>0</v>
      </c>
      <c r="N1045" s="26" t="n">
        <v>0</v>
      </c>
      <c r="O1045" s="26" t="n">
        <v>0</v>
      </c>
      <c r="P1045" s="26" t="n">
        <v>0</v>
      </c>
      <c r="Q1045" s="26" t="n">
        <v>2302</v>
      </c>
      <c r="R1045" s="26" t="n">
        <v>0</v>
      </c>
      <c r="S1045" s="26" t="n">
        <v>0</v>
      </c>
      <c r="T1045" s="26" t="n">
        <v>0</v>
      </c>
      <c r="U1045" s="26" t="n">
        <v>0</v>
      </c>
    </row>
    <row r="1046" customFormat="false" ht="15" hidden="false" customHeight="true" outlineLevel="0" collapsed="false">
      <c r="A1046" s="8" t="s">
        <v>944</v>
      </c>
      <c r="B1046" s="8" t="s">
        <v>194</v>
      </c>
      <c r="C1046" s="8" t="s">
        <v>836</v>
      </c>
      <c r="D1046" s="26" t="n">
        <v>0</v>
      </c>
      <c r="E1046" s="26" t="n">
        <v>0</v>
      </c>
      <c r="F1046" s="26" t="n">
        <v>43</v>
      </c>
      <c r="G1046" s="26" t="n">
        <v>0</v>
      </c>
      <c r="H1046" s="26" t="n">
        <v>0</v>
      </c>
      <c r="I1046" s="26" t="n">
        <v>360</v>
      </c>
      <c r="J1046" s="26" t="n">
        <v>0</v>
      </c>
      <c r="K1046" s="26" t="n">
        <v>0</v>
      </c>
      <c r="L1046" s="26" t="n">
        <v>0</v>
      </c>
      <c r="M1046" s="26" t="n">
        <v>0</v>
      </c>
      <c r="N1046" s="26" t="n">
        <v>0</v>
      </c>
      <c r="O1046" s="26" t="n">
        <v>0</v>
      </c>
      <c r="P1046" s="26" t="n">
        <v>0</v>
      </c>
      <c r="Q1046" s="26" t="n">
        <v>360</v>
      </c>
      <c r="R1046" s="26" t="n">
        <v>0</v>
      </c>
      <c r="S1046" s="26" t="n">
        <v>1</v>
      </c>
      <c r="T1046" s="26" t="n">
        <v>0</v>
      </c>
      <c r="U1046" s="26" t="n">
        <v>0</v>
      </c>
    </row>
    <row r="1047" customFormat="false" ht="15" hidden="false" customHeight="true" outlineLevel="0" collapsed="false">
      <c r="A1047" s="8" t="s">
        <v>944</v>
      </c>
      <c r="B1047" s="8" t="s">
        <v>78</v>
      </c>
      <c r="C1047" s="8" t="s">
        <v>837</v>
      </c>
      <c r="D1047" s="26" t="n">
        <v>0</v>
      </c>
      <c r="E1047" s="26" t="n">
        <v>0</v>
      </c>
      <c r="F1047" s="26" t="n">
        <v>-1</v>
      </c>
      <c r="G1047" s="26" t="n">
        <v>0</v>
      </c>
      <c r="H1047" s="26" t="n">
        <v>0</v>
      </c>
      <c r="I1047" s="26" t="n">
        <v>0</v>
      </c>
      <c r="J1047" s="26" t="n">
        <v>0</v>
      </c>
      <c r="K1047" s="26" t="n">
        <v>0</v>
      </c>
      <c r="L1047" s="26" t="n">
        <v>0</v>
      </c>
      <c r="M1047" s="26" t="n">
        <v>0</v>
      </c>
      <c r="N1047" s="26" t="n">
        <v>0</v>
      </c>
      <c r="O1047" s="26" t="n">
        <v>0</v>
      </c>
      <c r="P1047" s="26" t="n">
        <v>0</v>
      </c>
      <c r="Q1047" s="26" t="n">
        <v>0</v>
      </c>
      <c r="R1047" s="26" t="n">
        <v>0</v>
      </c>
      <c r="S1047" s="26" t="n">
        <v>0</v>
      </c>
      <c r="T1047" s="26" t="n">
        <v>0</v>
      </c>
      <c r="U1047" s="26" t="n">
        <v>0</v>
      </c>
    </row>
    <row r="1048" customFormat="false" ht="15" hidden="false" customHeight="true" outlineLevel="0" collapsed="false">
      <c r="A1048" s="8" t="s">
        <v>944</v>
      </c>
      <c r="B1048" s="8" t="s">
        <v>310</v>
      </c>
      <c r="C1048" s="8" t="s">
        <v>838</v>
      </c>
      <c r="D1048" s="26" t="n">
        <v>0</v>
      </c>
      <c r="E1048" s="26" t="n">
        <v>0</v>
      </c>
      <c r="F1048" s="26" t="n">
        <v>-1</v>
      </c>
      <c r="G1048" s="26" t="n">
        <v>0</v>
      </c>
      <c r="H1048" s="26" t="n">
        <v>0</v>
      </c>
      <c r="I1048" s="26" t="n">
        <v>0</v>
      </c>
      <c r="J1048" s="26" t="n">
        <v>0</v>
      </c>
      <c r="K1048" s="26" t="n">
        <v>0</v>
      </c>
      <c r="L1048" s="26" t="n">
        <v>0</v>
      </c>
      <c r="M1048" s="26" t="n">
        <v>0</v>
      </c>
      <c r="N1048" s="26" t="n">
        <v>0</v>
      </c>
      <c r="O1048" s="26" t="n">
        <v>0</v>
      </c>
      <c r="P1048" s="26" t="n">
        <v>0</v>
      </c>
      <c r="Q1048" s="26" t="n">
        <v>0</v>
      </c>
      <c r="R1048" s="26" t="n">
        <v>0</v>
      </c>
      <c r="S1048" s="26" t="n">
        <v>0</v>
      </c>
      <c r="T1048" s="26" t="n">
        <v>0</v>
      </c>
      <c r="U1048" s="26" t="n">
        <v>0</v>
      </c>
    </row>
    <row r="1049" customFormat="false" ht="15" hidden="false" customHeight="true" outlineLevel="0" collapsed="false">
      <c r="A1049" s="8" t="s">
        <v>944</v>
      </c>
      <c r="B1049" s="8" t="s">
        <v>217</v>
      </c>
      <c r="C1049" s="8" t="s">
        <v>839</v>
      </c>
      <c r="D1049" s="26" t="n">
        <v>0</v>
      </c>
      <c r="E1049" s="26" t="n">
        <v>0</v>
      </c>
      <c r="F1049" s="26" t="n">
        <v>273</v>
      </c>
      <c r="G1049" s="26" t="n">
        <v>0</v>
      </c>
      <c r="H1049" s="26" t="n">
        <v>0</v>
      </c>
      <c r="I1049" s="26" t="n">
        <v>1778</v>
      </c>
      <c r="J1049" s="26" t="n">
        <v>0</v>
      </c>
      <c r="K1049" s="26" t="n">
        <v>28</v>
      </c>
      <c r="L1049" s="26" t="n">
        <v>0</v>
      </c>
      <c r="M1049" s="26" t="n">
        <v>2</v>
      </c>
      <c r="N1049" s="26" t="n">
        <v>3</v>
      </c>
      <c r="O1049" s="26" t="n">
        <v>0</v>
      </c>
      <c r="P1049" s="26" t="n">
        <v>-1</v>
      </c>
      <c r="Q1049" s="26" t="n">
        <v>1303</v>
      </c>
      <c r="R1049" s="26" t="n">
        <v>443</v>
      </c>
      <c r="S1049" s="26" t="n">
        <v>0</v>
      </c>
      <c r="T1049" s="26" t="n">
        <v>0</v>
      </c>
      <c r="U1049" s="26" t="n">
        <v>0</v>
      </c>
    </row>
    <row r="1050" customFormat="false" ht="15" hidden="false" customHeight="true" outlineLevel="0" collapsed="false">
      <c r="A1050" s="8" t="s">
        <v>944</v>
      </c>
      <c r="B1050" s="8" t="s">
        <v>250</v>
      </c>
      <c r="C1050" s="8" t="s">
        <v>839</v>
      </c>
      <c r="D1050" s="26" t="n">
        <v>0</v>
      </c>
      <c r="E1050" s="26" t="n">
        <v>0</v>
      </c>
      <c r="F1050" s="26" t="n">
        <v>372</v>
      </c>
      <c r="G1050" s="26" t="n">
        <v>0</v>
      </c>
      <c r="H1050" s="26" t="n">
        <v>0</v>
      </c>
      <c r="I1050" s="26" t="n">
        <v>2616</v>
      </c>
      <c r="J1050" s="26" t="n">
        <v>0</v>
      </c>
      <c r="K1050" s="26" t="n">
        <v>25</v>
      </c>
      <c r="L1050" s="26" t="n">
        <v>0</v>
      </c>
      <c r="M1050" s="26" t="n">
        <v>9</v>
      </c>
      <c r="N1050" s="26" t="n">
        <v>9</v>
      </c>
      <c r="O1050" s="26" t="n">
        <v>0</v>
      </c>
      <c r="P1050" s="26" t="n">
        <v>-2</v>
      </c>
      <c r="Q1050" s="26" t="n">
        <v>2021</v>
      </c>
      <c r="R1050" s="26" t="n">
        <v>554</v>
      </c>
      <c r="S1050" s="26" t="n">
        <v>0</v>
      </c>
      <c r="T1050" s="26" t="n">
        <v>0</v>
      </c>
      <c r="U1050" s="26" t="n">
        <v>0</v>
      </c>
    </row>
    <row r="1051" customFormat="false" ht="15" hidden="false" customHeight="true" outlineLevel="0" collapsed="false">
      <c r="A1051" s="8" t="s">
        <v>944</v>
      </c>
      <c r="B1051" s="8" t="s">
        <v>193</v>
      </c>
      <c r="C1051" s="8" t="s">
        <v>839</v>
      </c>
      <c r="D1051" s="26" t="n">
        <v>0</v>
      </c>
      <c r="E1051" s="26" t="n">
        <v>0</v>
      </c>
      <c r="F1051" s="26" t="n">
        <v>377</v>
      </c>
      <c r="G1051" s="26" t="n">
        <v>0</v>
      </c>
      <c r="H1051" s="26" t="n">
        <v>0</v>
      </c>
      <c r="I1051" s="26" t="n">
        <v>2441</v>
      </c>
      <c r="J1051" s="26" t="n">
        <v>0</v>
      </c>
      <c r="K1051" s="26" t="n">
        <v>22</v>
      </c>
      <c r="L1051" s="26" t="n">
        <v>0</v>
      </c>
      <c r="M1051" s="26" t="n">
        <v>5</v>
      </c>
      <c r="N1051" s="26" t="n">
        <v>0</v>
      </c>
      <c r="O1051" s="26" t="n">
        <v>0</v>
      </c>
      <c r="P1051" s="26" t="n">
        <v>-4</v>
      </c>
      <c r="Q1051" s="26" t="n">
        <v>1840</v>
      </c>
      <c r="R1051" s="26" t="n">
        <v>578</v>
      </c>
      <c r="S1051" s="26" t="n">
        <v>0</v>
      </c>
      <c r="T1051" s="26" t="n">
        <v>0</v>
      </c>
      <c r="U1051" s="26" t="n">
        <v>0</v>
      </c>
    </row>
    <row r="1052" customFormat="false" ht="15" hidden="false" customHeight="true" outlineLevel="0" collapsed="false">
      <c r="A1052" s="8" t="s">
        <v>944</v>
      </c>
      <c r="B1052" s="8" t="s">
        <v>199</v>
      </c>
      <c r="C1052" s="8" t="s">
        <v>839</v>
      </c>
      <c r="D1052" s="26" t="n">
        <v>0</v>
      </c>
      <c r="E1052" s="26" t="n">
        <v>0</v>
      </c>
      <c r="F1052" s="26" t="n">
        <v>210</v>
      </c>
      <c r="G1052" s="26" t="n">
        <v>0</v>
      </c>
      <c r="H1052" s="26" t="n">
        <v>0</v>
      </c>
      <c r="I1052" s="26" t="n">
        <v>1389</v>
      </c>
      <c r="J1052" s="26" t="n">
        <v>0</v>
      </c>
      <c r="K1052" s="26" t="n">
        <v>2</v>
      </c>
      <c r="L1052" s="26" t="n">
        <v>0</v>
      </c>
      <c r="M1052" s="26" t="n">
        <v>4</v>
      </c>
      <c r="N1052" s="26" t="n">
        <v>8</v>
      </c>
      <c r="O1052" s="26" t="n">
        <v>0</v>
      </c>
      <c r="P1052" s="26" t="n">
        <v>-4</v>
      </c>
      <c r="Q1052" s="26" t="n">
        <v>1128</v>
      </c>
      <c r="R1052" s="26" t="n">
        <v>251</v>
      </c>
      <c r="S1052" s="26" t="n">
        <v>0</v>
      </c>
      <c r="T1052" s="26" t="n">
        <v>0</v>
      </c>
      <c r="U1052" s="26" t="n">
        <v>0</v>
      </c>
    </row>
    <row r="1053" customFormat="false" ht="15" hidden="false" customHeight="true" outlineLevel="0" collapsed="false">
      <c r="A1053" s="8" t="s">
        <v>944</v>
      </c>
      <c r="B1053" s="8" t="s">
        <v>134</v>
      </c>
      <c r="C1053" s="8" t="s">
        <v>840</v>
      </c>
      <c r="D1053" s="26" t="n">
        <v>0</v>
      </c>
      <c r="E1053" s="26" t="n">
        <v>0</v>
      </c>
      <c r="F1053" s="26" t="n">
        <v>316</v>
      </c>
      <c r="G1053" s="26" t="n">
        <v>0</v>
      </c>
      <c r="H1053" s="26" t="n">
        <v>0</v>
      </c>
      <c r="I1053" s="26" t="n">
        <v>0</v>
      </c>
      <c r="J1053" s="26" t="n">
        <v>0</v>
      </c>
      <c r="K1053" s="26" t="n">
        <v>0</v>
      </c>
      <c r="L1053" s="26" t="n">
        <v>0</v>
      </c>
      <c r="M1053" s="26" t="n">
        <v>0</v>
      </c>
      <c r="N1053" s="26" t="n">
        <v>0</v>
      </c>
      <c r="O1053" s="26" t="n">
        <v>0</v>
      </c>
      <c r="P1053" s="26" t="n">
        <v>0</v>
      </c>
      <c r="Q1053" s="26" t="n">
        <v>0</v>
      </c>
      <c r="R1053" s="26" t="n">
        <v>0</v>
      </c>
      <c r="S1053" s="26" t="n">
        <v>0</v>
      </c>
      <c r="T1053" s="26" t="n">
        <v>0</v>
      </c>
      <c r="U1053" s="26" t="n">
        <v>0</v>
      </c>
    </row>
    <row r="1054" customFormat="false" ht="15" hidden="false" customHeight="true" outlineLevel="0" collapsed="false">
      <c r="A1054" s="8" t="s">
        <v>944</v>
      </c>
      <c r="B1054" s="8" t="s">
        <v>246</v>
      </c>
      <c r="C1054" s="8" t="s">
        <v>841</v>
      </c>
      <c r="D1054" s="26" t="n">
        <v>0</v>
      </c>
      <c r="E1054" s="26" t="n">
        <v>0</v>
      </c>
      <c r="F1054" s="26" t="n">
        <v>40</v>
      </c>
      <c r="G1054" s="26" t="n">
        <v>0</v>
      </c>
      <c r="H1054" s="26" t="n">
        <v>12</v>
      </c>
      <c r="I1054" s="26" t="n">
        <v>146</v>
      </c>
      <c r="J1054" s="26" t="n">
        <v>0</v>
      </c>
      <c r="K1054" s="26" t="n">
        <v>0</v>
      </c>
      <c r="L1054" s="26" t="n">
        <v>0</v>
      </c>
      <c r="M1054" s="26" t="n">
        <v>0</v>
      </c>
      <c r="N1054" s="26" t="n">
        <v>6</v>
      </c>
      <c r="O1054" s="26" t="n">
        <v>0</v>
      </c>
      <c r="P1054" s="26" t="n">
        <v>0</v>
      </c>
      <c r="Q1054" s="26" t="n">
        <v>140</v>
      </c>
      <c r="R1054" s="26" t="n">
        <v>0</v>
      </c>
      <c r="S1054" s="26" t="n">
        <v>0</v>
      </c>
      <c r="T1054" s="26" t="n">
        <v>0</v>
      </c>
      <c r="U1054" s="26" t="n">
        <v>0</v>
      </c>
    </row>
    <row r="1055" customFormat="false" ht="15" hidden="false" customHeight="true" outlineLevel="0" collapsed="false">
      <c r="A1055" s="8" t="s">
        <v>944</v>
      </c>
      <c r="B1055" s="8" t="s">
        <v>336</v>
      </c>
      <c r="C1055" s="8" t="s">
        <v>842</v>
      </c>
      <c r="D1055" s="26" t="n">
        <v>0</v>
      </c>
      <c r="E1055" s="26" t="n">
        <v>0</v>
      </c>
      <c r="F1055" s="26" t="n">
        <v>-1</v>
      </c>
      <c r="G1055" s="26" t="n">
        <v>0</v>
      </c>
      <c r="H1055" s="26" t="n">
        <v>0</v>
      </c>
      <c r="I1055" s="26" t="n">
        <v>0</v>
      </c>
      <c r="J1055" s="26" t="n">
        <v>0</v>
      </c>
      <c r="K1055" s="26" t="n">
        <v>0</v>
      </c>
      <c r="L1055" s="26" t="n">
        <v>0</v>
      </c>
      <c r="M1055" s="26" t="n">
        <v>0</v>
      </c>
      <c r="N1055" s="26" t="n">
        <v>0</v>
      </c>
      <c r="O1055" s="26" t="n">
        <v>0</v>
      </c>
      <c r="P1055" s="26" t="n">
        <v>0</v>
      </c>
      <c r="Q1055" s="26" t="n">
        <v>0</v>
      </c>
      <c r="R1055" s="26" t="n">
        <v>0</v>
      </c>
      <c r="S1055" s="26" t="n">
        <v>0</v>
      </c>
      <c r="T1055" s="26" t="n">
        <v>0</v>
      </c>
      <c r="U1055" s="26" t="n">
        <v>0</v>
      </c>
    </row>
    <row r="1056" customFormat="false" ht="15" hidden="false" customHeight="true" outlineLevel="0" collapsed="false">
      <c r="A1056" s="8" t="s">
        <v>944</v>
      </c>
      <c r="B1056" s="8" t="s">
        <v>359</v>
      </c>
      <c r="C1056" s="8" t="s">
        <v>842</v>
      </c>
      <c r="D1056" s="26" t="n">
        <v>0</v>
      </c>
      <c r="E1056" s="26" t="n">
        <v>0</v>
      </c>
      <c r="F1056" s="26" t="n">
        <v>1</v>
      </c>
      <c r="G1056" s="26" t="n">
        <v>0</v>
      </c>
      <c r="H1056" s="26" t="n">
        <v>0</v>
      </c>
      <c r="I1056" s="26" t="n">
        <v>0</v>
      </c>
      <c r="J1056" s="26" t="n">
        <v>0</v>
      </c>
      <c r="K1056" s="26" t="n">
        <v>0</v>
      </c>
      <c r="L1056" s="26" t="n">
        <v>0</v>
      </c>
      <c r="M1056" s="26" t="n">
        <v>0</v>
      </c>
      <c r="N1056" s="26" t="n">
        <v>0</v>
      </c>
      <c r="O1056" s="26" t="n">
        <v>0</v>
      </c>
      <c r="P1056" s="26" t="n">
        <v>0</v>
      </c>
      <c r="Q1056" s="26" t="n">
        <v>0</v>
      </c>
      <c r="R1056" s="26" t="n">
        <v>0</v>
      </c>
      <c r="S1056" s="26" t="n">
        <v>0</v>
      </c>
      <c r="T1056" s="26" t="n">
        <v>0</v>
      </c>
      <c r="U1056" s="26" t="n">
        <v>0</v>
      </c>
    </row>
    <row r="1057" customFormat="false" ht="15" hidden="false" customHeight="true" outlineLevel="0" collapsed="false">
      <c r="A1057" s="8" t="s">
        <v>944</v>
      </c>
      <c r="B1057" s="8" t="s">
        <v>328</v>
      </c>
      <c r="C1057" s="8" t="s">
        <v>842</v>
      </c>
      <c r="D1057" s="26" t="n">
        <v>0</v>
      </c>
      <c r="E1057" s="26" t="n">
        <v>0</v>
      </c>
      <c r="F1057" s="26" t="n">
        <v>4</v>
      </c>
      <c r="G1057" s="26" t="n">
        <v>0</v>
      </c>
      <c r="H1057" s="26" t="n">
        <v>0</v>
      </c>
      <c r="I1057" s="26" t="n">
        <v>0</v>
      </c>
      <c r="J1057" s="26" t="n">
        <v>0</v>
      </c>
      <c r="K1057" s="26" t="n">
        <v>0</v>
      </c>
      <c r="L1057" s="26" t="n">
        <v>0</v>
      </c>
      <c r="M1057" s="26" t="n">
        <v>0</v>
      </c>
      <c r="N1057" s="26" t="n">
        <v>0</v>
      </c>
      <c r="O1057" s="26" t="n">
        <v>0</v>
      </c>
      <c r="P1057" s="26" t="n">
        <v>0</v>
      </c>
      <c r="Q1057" s="26" t="n">
        <v>0</v>
      </c>
      <c r="R1057" s="26" t="n">
        <v>0</v>
      </c>
      <c r="S1057" s="26" t="n">
        <v>0</v>
      </c>
      <c r="T1057" s="26" t="n">
        <v>0</v>
      </c>
      <c r="U1057" s="26" t="n">
        <v>0</v>
      </c>
    </row>
    <row r="1058" customFormat="false" ht="15" hidden="false" customHeight="true" outlineLevel="0" collapsed="false">
      <c r="A1058" s="8" t="s">
        <v>944</v>
      </c>
      <c r="B1058" s="8" t="s">
        <v>186</v>
      </c>
      <c r="C1058" s="8" t="s">
        <v>843</v>
      </c>
      <c r="D1058" s="26" t="n">
        <v>0</v>
      </c>
      <c r="E1058" s="26" t="n">
        <v>0</v>
      </c>
      <c r="F1058" s="26" t="n">
        <v>124</v>
      </c>
      <c r="G1058" s="26" t="n">
        <v>0</v>
      </c>
      <c r="H1058" s="26" t="n">
        <v>0</v>
      </c>
      <c r="I1058" s="26" t="n">
        <v>1069</v>
      </c>
      <c r="J1058" s="26" t="n">
        <v>0</v>
      </c>
      <c r="K1058" s="26" t="n">
        <v>25</v>
      </c>
      <c r="L1058" s="26" t="n">
        <v>0</v>
      </c>
      <c r="M1058" s="26" t="n">
        <v>0</v>
      </c>
      <c r="N1058" s="26" t="n">
        <v>3</v>
      </c>
      <c r="O1058" s="26" t="n">
        <v>2</v>
      </c>
      <c r="P1058" s="26" t="n">
        <v>-4</v>
      </c>
      <c r="Q1058" s="26" t="n">
        <v>968</v>
      </c>
      <c r="R1058" s="26" t="n">
        <v>75</v>
      </c>
      <c r="S1058" s="26" t="n">
        <v>0</v>
      </c>
      <c r="T1058" s="26" t="n">
        <v>0</v>
      </c>
      <c r="U1058" s="26" t="n">
        <v>0</v>
      </c>
    </row>
    <row r="1059" customFormat="false" ht="15" hidden="false" customHeight="true" outlineLevel="0" collapsed="false">
      <c r="A1059" s="8" t="s">
        <v>944</v>
      </c>
      <c r="B1059" s="8" t="s">
        <v>129</v>
      </c>
      <c r="C1059" s="8" t="s">
        <v>844</v>
      </c>
      <c r="D1059" s="26" t="n">
        <v>0</v>
      </c>
      <c r="E1059" s="26" t="n">
        <v>0</v>
      </c>
      <c r="F1059" s="26" t="n">
        <v>1500</v>
      </c>
      <c r="G1059" s="26" t="n">
        <v>0</v>
      </c>
      <c r="H1059" s="26" t="n">
        <v>0</v>
      </c>
      <c r="I1059" s="26" t="n">
        <v>4000</v>
      </c>
      <c r="J1059" s="26" t="n">
        <v>0</v>
      </c>
      <c r="K1059" s="26" t="n">
        <v>7</v>
      </c>
      <c r="L1059" s="26" t="n">
        <v>0</v>
      </c>
      <c r="M1059" s="26" t="n">
        <v>0</v>
      </c>
      <c r="N1059" s="26" t="n">
        <v>0</v>
      </c>
      <c r="O1059" s="26" t="n">
        <v>10</v>
      </c>
      <c r="P1059" s="26" t="n">
        <v>-1</v>
      </c>
      <c r="Q1059" s="26" t="n">
        <v>3203</v>
      </c>
      <c r="R1059" s="26" t="n">
        <v>781</v>
      </c>
      <c r="S1059" s="26" t="n">
        <v>0</v>
      </c>
      <c r="T1059" s="26" t="n">
        <v>0</v>
      </c>
      <c r="U1059" s="26" t="n">
        <v>0</v>
      </c>
    </row>
    <row r="1060" customFormat="false" ht="15" hidden="false" customHeight="true" outlineLevel="0" collapsed="false">
      <c r="A1060" s="8" t="s">
        <v>944</v>
      </c>
      <c r="B1060" s="8" t="s">
        <v>145</v>
      </c>
      <c r="C1060" s="8" t="s">
        <v>844</v>
      </c>
      <c r="D1060" s="26" t="n">
        <v>0</v>
      </c>
      <c r="E1060" s="26" t="n">
        <v>0</v>
      </c>
      <c r="F1060" s="26" t="n">
        <v>931</v>
      </c>
      <c r="G1060" s="26" t="n">
        <v>0</v>
      </c>
      <c r="H1060" s="26" t="n">
        <v>0</v>
      </c>
      <c r="I1060" s="26" t="n">
        <v>3355</v>
      </c>
      <c r="J1060" s="26" t="n">
        <v>0</v>
      </c>
      <c r="K1060" s="26" t="n">
        <v>137</v>
      </c>
      <c r="L1060" s="26" t="n">
        <v>-1</v>
      </c>
      <c r="M1060" s="26" t="n">
        <v>0</v>
      </c>
      <c r="N1060" s="26" t="n">
        <v>-3</v>
      </c>
      <c r="O1060" s="26" t="n">
        <v>5</v>
      </c>
      <c r="P1060" s="26" t="n">
        <v>-4</v>
      </c>
      <c r="Q1060" s="26" t="n">
        <v>2756</v>
      </c>
      <c r="R1060" s="26" t="n">
        <v>465</v>
      </c>
      <c r="S1060" s="26" t="n">
        <v>0</v>
      </c>
      <c r="T1060" s="26" t="n">
        <v>0</v>
      </c>
      <c r="U1060" s="26" t="n">
        <v>0</v>
      </c>
    </row>
    <row r="1061" customFormat="false" ht="15" hidden="false" customHeight="true" outlineLevel="0" collapsed="false">
      <c r="A1061" s="8" t="s">
        <v>944</v>
      </c>
      <c r="B1061" s="8" t="s">
        <v>157</v>
      </c>
      <c r="C1061" s="8" t="s">
        <v>844</v>
      </c>
      <c r="D1061" s="26" t="n">
        <v>0</v>
      </c>
      <c r="E1061" s="26" t="n">
        <v>0</v>
      </c>
      <c r="F1061" s="26" t="n">
        <v>462</v>
      </c>
      <c r="G1061" s="26" t="n">
        <v>0</v>
      </c>
      <c r="H1061" s="26" t="n">
        <v>0</v>
      </c>
      <c r="I1061" s="26" t="n">
        <v>2036</v>
      </c>
      <c r="J1061" s="26" t="n">
        <v>0</v>
      </c>
      <c r="K1061" s="26" t="n">
        <v>3</v>
      </c>
      <c r="L1061" s="26" t="n">
        <v>0</v>
      </c>
      <c r="M1061" s="26" t="n">
        <v>0</v>
      </c>
      <c r="N1061" s="26" t="n">
        <v>14</v>
      </c>
      <c r="O1061" s="26" t="n">
        <v>0</v>
      </c>
      <c r="P1061" s="26" t="n">
        <v>-4</v>
      </c>
      <c r="Q1061" s="26" t="n">
        <v>1749</v>
      </c>
      <c r="R1061" s="26" t="n">
        <v>274</v>
      </c>
      <c r="S1061" s="26" t="n">
        <v>0</v>
      </c>
      <c r="T1061" s="26" t="n">
        <v>0</v>
      </c>
      <c r="U1061" s="26" t="n">
        <v>0</v>
      </c>
    </row>
    <row r="1062" customFormat="false" ht="15" hidden="false" customHeight="true" outlineLevel="0" collapsed="false">
      <c r="A1062" s="8" t="s">
        <v>944</v>
      </c>
      <c r="B1062" s="8" t="s">
        <v>156</v>
      </c>
      <c r="C1062" s="8" t="s">
        <v>844</v>
      </c>
      <c r="D1062" s="26" t="n">
        <v>0</v>
      </c>
      <c r="E1062" s="26" t="n">
        <v>0</v>
      </c>
      <c r="F1062" s="26" t="n">
        <v>471</v>
      </c>
      <c r="G1062" s="26" t="n">
        <v>0</v>
      </c>
      <c r="H1062" s="26" t="n">
        <v>0</v>
      </c>
      <c r="I1062" s="26" t="n">
        <v>1335</v>
      </c>
      <c r="J1062" s="26" t="n">
        <v>0</v>
      </c>
      <c r="K1062" s="26" t="n">
        <v>3</v>
      </c>
      <c r="L1062" s="26" t="n">
        <v>0</v>
      </c>
      <c r="M1062" s="26" t="n">
        <v>0</v>
      </c>
      <c r="N1062" s="26" t="n">
        <v>0</v>
      </c>
      <c r="O1062" s="26" t="n">
        <v>0</v>
      </c>
      <c r="P1062" s="26" t="n">
        <v>0</v>
      </c>
      <c r="Q1062" s="26" t="n">
        <v>980</v>
      </c>
      <c r="R1062" s="26" t="n">
        <v>352</v>
      </c>
      <c r="S1062" s="26" t="n">
        <v>0</v>
      </c>
      <c r="T1062" s="26" t="n">
        <v>0</v>
      </c>
      <c r="U1062" s="26" t="n">
        <v>0</v>
      </c>
    </row>
    <row r="1063" customFormat="false" ht="15" hidden="false" customHeight="true" outlineLevel="0" collapsed="false">
      <c r="A1063" s="8" t="s">
        <v>944</v>
      </c>
      <c r="B1063" s="8" t="s">
        <v>165</v>
      </c>
      <c r="C1063" s="8" t="s">
        <v>845</v>
      </c>
      <c r="D1063" s="26" t="n">
        <v>0</v>
      </c>
      <c r="E1063" s="26" t="n">
        <v>0</v>
      </c>
      <c r="F1063" s="26" t="n">
        <v>3</v>
      </c>
      <c r="G1063" s="26" t="n">
        <v>0</v>
      </c>
      <c r="H1063" s="26" t="n">
        <v>0</v>
      </c>
      <c r="I1063" s="26" t="n">
        <v>1</v>
      </c>
      <c r="J1063" s="26" t="n">
        <v>0</v>
      </c>
      <c r="K1063" s="26" t="n">
        <v>0</v>
      </c>
      <c r="L1063" s="26" t="n">
        <v>0</v>
      </c>
      <c r="M1063" s="26" t="n">
        <v>0</v>
      </c>
      <c r="N1063" s="26" t="n">
        <v>0</v>
      </c>
      <c r="O1063" s="26" t="n">
        <v>0</v>
      </c>
      <c r="P1063" s="26" t="n">
        <v>-1</v>
      </c>
      <c r="Q1063" s="26" t="n">
        <v>0</v>
      </c>
      <c r="R1063" s="26" t="n">
        <v>2</v>
      </c>
      <c r="S1063" s="26" t="n">
        <v>0</v>
      </c>
      <c r="T1063" s="26" t="n">
        <v>0</v>
      </c>
      <c r="U1063" s="26" t="n">
        <v>0</v>
      </c>
    </row>
    <row r="1064" customFormat="false" ht="15" hidden="false" customHeight="true" outlineLevel="0" collapsed="false">
      <c r="A1064" s="8" t="s">
        <v>944</v>
      </c>
      <c r="B1064" s="8" t="s">
        <v>165</v>
      </c>
      <c r="C1064" s="8" t="s">
        <v>846</v>
      </c>
      <c r="D1064" s="26" t="n">
        <v>0</v>
      </c>
      <c r="E1064" s="26" t="n">
        <v>0</v>
      </c>
      <c r="F1064" s="26" t="n">
        <v>13</v>
      </c>
      <c r="G1064" s="26" t="n">
        <v>0</v>
      </c>
      <c r="H1064" s="26" t="n">
        <v>0</v>
      </c>
      <c r="I1064" s="26" t="n">
        <v>16</v>
      </c>
      <c r="J1064" s="26" t="n">
        <v>0</v>
      </c>
      <c r="K1064" s="26" t="n">
        <v>0</v>
      </c>
      <c r="L1064" s="26" t="n">
        <v>0</v>
      </c>
      <c r="M1064" s="26" t="n">
        <v>0</v>
      </c>
      <c r="N1064" s="26" t="n">
        <v>0</v>
      </c>
      <c r="O1064" s="26" t="n">
        <v>0</v>
      </c>
      <c r="P1064" s="26" t="n">
        <v>-4</v>
      </c>
      <c r="Q1064" s="26" t="n">
        <v>13</v>
      </c>
      <c r="R1064" s="26" t="n">
        <v>7</v>
      </c>
      <c r="S1064" s="26" t="n">
        <v>0</v>
      </c>
      <c r="T1064" s="26" t="n">
        <v>0</v>
      </c>
      <c r="U1064" s="26" t="n">
        <v>0</v>
      </c>
    </row>
    <row r="1065" customFormat="false" ht="15" hidden="false" customHeight="true" outlineLevel="0" collapsed="false">
      <c r="A1065" s="8" t="s">
        <v>944</v>
      </c>
      <c r="B1065" s="8" t="s">
        <v>165</v>
      </c>
      <c r="C1065" s="8" t="s">
        <v>847</v>
      </c>
      <c r="D1065" s="26" t="n">
        <v>0</v>
      </c>
      <c r="E1065" s="26" t="n">
        <v>0</v>
      </c>
      <c r="F1065" s="26" t="n">
        <v>10</v>
      </c>
      <c r="G1065" s="26" t="n">
        <v>0</v>
      </c>
      <c r="H1065" s="26" t="n">
        <v>0</v>
      </c>
      <c r="I1065" s="26" t="n">
        <v>7</v>
      </c>
      <c r="J1065" s="26" t="n">
        <v>0</v>
      </c>
      <c r="K1065" s="26" t="n">
        <v>0</v>
      </c>
      <c r="L1065" s="26" t="n">
        <v>0</v>
      </c>
      <c r="M1065" s="26" t="n">
        <v>0</v>
      </c>
      <c r="N1065" s="26" t="n">
        <v>0</v>
      </c>
      <c r="O1065" s="26" t="n">
        <v>0</v>
      </c>
      <c r="P1065" s="26" t="n">
        <v>-5</v>
      </c>
      <c r="Q1065" s="26" t="n">
        <v>6</v>
      </c>
      <c r="R1065" s="26" t="n">
        <v>6</v>
      </c>
      <c r="S1065" s="26" t="n">
        <v>0</v>
      </c>
      <c r="T1065" s="26" t="n">
        <v>0</v>
      </c>
      <c r="U1065" s="26" t="n">
        <v>0</v>
      </c>
    </row>
    <row r="1066" customFormat="false" ht="15" hidden="false" customHeight="true" outlineLevel="0" collapsed="false">
      <c r="A1066" s="8" t="s">
        <v>944</v>
      </c>
      <c r="B1066" s="8" t="s">
        <v>165</v>
      </c>
      <c r="C1066" s="8" t="s">
        <v>848</v>
      </c>
      <c r="D1066" s="26" t="n">
        <v>0</v>
      </c>
      <c r="E1066" s="26" t="n">
        <v>0</v>
      </c>
      <c r="F1066" s="26" t="n">
        <v>9</v>
      </c>
      <c r="G1066" s="26" t="n">
        <v>0</v>
      </c>
      <c r="H1066" s="26" t="n">
        <v>0</v>
      </c>
      <c r="I1066" s="26" t="n">
        <v>15</v>
      </c>
      <c r="J1066" s="26" t="n">
        <v>0</v>
      </c>
      <c r="K1066" s="26" t="n">
        <v>0</v>
      </c>
      <c r="L1066" s="26" t="n">
        <v>0</v>
      </c>
      <c r="M1066" s="26" t="n">
        <v>0</v>
      </c>
      <c r="N1066" s="26" t="n">
        <v>0</v>
      </c>
      <c r="O1066" s="26" t="n">
        <v>0</v>
      </c>
      <c r="P1066" s="26" t="n">
        <v>-4</v>
      </c>
      <c r="Q1066" s="26" t="n">
        <v>15</v>
      </c>
      <c r="R1066" s="26" t="n">
        <v>4</v>
      </c>
      <c r="S1066" s="26" t="n">
        <v>0</v>
      </c>
      <c r="T1066" s="26" t="n">
        <v>0</v>
      </c>
      <c r="U1066" s="26" t="n">
        <v>0</v>
      </c>
    </row>
    <row r="1067" customFormat="false" ht="15" hidden="false" customHeight="true" outlineLevel="0" collapsed="false">
      <c r="A1067" s="8" t="s">
        <v>944</v>
      </c>
      <c r="B1067" s="8" t="s">
        <v>258</v>
      </c>
      <c r="C1067" s="8" t="s">
        <v>849</v>
      </c>
      <c r="D1067" s="26" t="n">
        <v>0</v>
      </c>
      <c r="E1067" s="26" t="n">
        <v>0</v>
      </c>
      <c r="F1067" s="26" t="n">
        <v>0</v>
      </c>
      <c r="G1067" s="26" t="n">
        <v>0</v>
      </c>
      <c r="H1067" s="26" t="n">
        <v>0</v>
      </c>
      <c r="I1067" s="26" t="n">
        <v>5</v>
      </c>
      <c r="J1067" s="26" t="n">
        <v>0</v>
      </c>
      <c r="K1067" s="26" t="n">
        <v>0</v>
      </c>
      <c r="L1067" s="26" t="n">
        <v>0</v>
      </c>
      <c r="M1067" s="26" t="n">
        <v>0</v>
      </c>
      <c r="N1067" s="26" t="n">
        <v>0</v>
      </c>
      <c r="O1067" s="26" t="n">
        <v>0</v>
      </c>
      <c r="P1067" s="26" t="n">
        <v>-3</v>
      </c>
      <c r="Q1067" s="26" t="n">
        <v>7</v>
      </c>
      <c r="R1067" s="26" t="n">
        <v>1</v>
      </c>
      <c r="S1067" s="26" t="n">
        <v>0</v>
      </c>
      <c r="T1067" s="26" t="n">
        <v>0</v>
      </c>
      <c r="U1067" s="26" t="n">
        <v>0</v>
      </c>
    </row>
    <row r="1068" customFormat="false" ht="15" hidden="false" customHeight="true" outlineLevel="0" collapsed="false">
      <c r="A1068" s="8" t="s">
        <v>944</v>
      </c>
      <c r="B1068" s="8" t="s">
        <v>258</v>
      </c>
      <c r="C1068" s="8" t="s">
        <v>850</v>
      </c>
      <c r="D1068" s="26" t="n">
        <v>0</v>
      </c>
      <c r="E1068" s="26" t="n">
        <v>0</v>
      </c>
      <c r="F1068" s="26" t="n">
        <v>6</v>
      </c>
      <c r="G1068" s="26" t="n">
        <v>0</v>
      </c>
      <c r="H1068" s="26" t="n">
        <v>0</v>
      </c>
      <c r="I1068" s="26" t="n">
        <v>10</v>
      </c>
      <c r="J1068" s="26" t="n">
        <v>0</v>
      </c>
      <c r="K1068" s="26" t="n">
        <v>0</v>
      </c>
      <c r="L1068" s="26" t="n">
        <v>0</v>
      </c>
      <c r="M1068" s="26" t="n">
        <v>0</v>
      </c>
      <c r="N1068" s="26" t="n">
        <v>0</v>
      </c>
      <c r="O1068" s="26" t="n">
        <v>0</v>
      </c>
      <c r="P1068" s="26" t="n">
        <v>-3</v>
      </c>
      <c r="Q1068" s="26" t="n">
        <v>8</v>
      </c>
      <c r="R1068" s="26" t="n">
        <v>5</v>
      </c>
      <c r="S1068" s="26" t="n">
        <v>0</v>
      </c>
      <c r="T1068" s="26" t="n">
        <v>0</v>
      </c>
      <c r="U1068" s="26" t="n">
        <v>0</v>
      </c>
    </row>
    <row r="1069" customFormat="false" ht="15" hidden="false" customHeight="true" outlineLevel="0" collapsed="false">
      <c r="A1069" s="8" t="s">
        <v>944</v>
      </c>
      <c r="B1069" s="8" t="s">
        <v>258</v>
      </c>
      <c r="C1069" s="8" t="s">
        <v>851</v>
      </c>
      <c r="D1069" s="26" t="n">
        <v>0</v>
      </c>
      <c r="E1069" s="26" t="n">
        <v>0</v>
      </c>
      <c r="F1069" s="26" t="n">
        <v>7</v>
      </c>
      <c r="G1069" s="26" t="n">
        <v>0</v>
      </c>
      <c r="H1069" s="26" t="n">
        <v>0</v>
      </c>
      <c r="I1069" s="26" t="n">
        <v>30</v>
      </c>
      <c r="J1069" s="26" t="n">
        <v>0</v>
      </c>
      <c r="K1069" s="26" t="n">
        <v>2</v>
      </c>
      <c r="L1069" s="26" t="n">
        <v>0</v>
      </c>
      <c r="M1069" s="26" t="n">
        <v>0</v>
      </c>
      <c r="N1069" s="26" t="n">
        <v>0</v>
      </c>
      <c r="O1069" s="26" t="n">
        <v>0</v>
      </c>
      <c r="P1069" s="26" t="n">
        <v>-5</v>
      </c>
      <c r="Q1069" s="26" t="n">
        <v>26</v>
      </c>
      <c r="R1069" s="26" t="n">
        <v>7</v>
      </c>
      <c r="S1069" s="26" t="n">
        <v>0</v>
      </c>
      <c r="T1069" s="26" t="n">
        <v>0</v>
      </c>
      <c r="U1069" s="26" t="n">
        <v>0</v>
      </c>
    </row>
    <row r="1070" customFormat="false" ht="15" hidden="false" customHeight="true" outlineLevel="0" collapsed="false">
      <c r="A1070" s="8" t="s">
        <v>944</v>
      </c>
      <c r="B1070" s="8" t="s">
        <v>258</v>
      </c>
      <c r="C1070" s="8" t="s">
        <v>852</v>
      </c>
      <c r="D1070" s="26" t="n">
        <v>0</v>
      </c>
      <c r="E1070" s="26" t="n">
        <v>0</v>
      </c>
      <c r="F1070" s="26" t="n">
        <v>5</v>
      </c>
      <c r="G1070" s="26" t="n">
        <v>0</v>
      </c>
      <c r="H1070" s="26" t="n">
        <v>0</v>
      </c>
      <c r="I1070" s="26" t="n">
        <v>19</v>
      </c>
      <c r="J1070" s="26" t="n">
        <v>0</v>
      </c>
      <c r="K1070" s="26" t="n">
        <v>3</v>
      </c>
      <c r="L1070" s="26" t="n">
        <v>0</v>
      </c>
      <c r="M1070" s="26" t="n">
        <v>0</v>
      </c>
      <c r="N1070" s="26" t="n">
        <v>0</v>
      </c>
      <c r="O1070" s="26" t="n">
        <v>0</v>
      </c>
      <c r="P1070" s="26" t="n">
        <v>-3</v>
      </c>
      <c r="Q1070" s="26" t="n">
        <v>13</v>
      </c>
      <c r="R1070" s="26" t="n">
        <v>6</v>
      </c>
      <c r="S1070" s="26" t="n">
        <v>0</v>
      </c>
      <c r="T1070" s="26" t="n">
        <v>0</v>
      </c>
      <c r="U1070" s="26" t="n">
        <v>0</v>
      </c>
    </row>
    <row r="1071" customFormat="false" ht="15" hidden="false" customHeight="true" outlineLevel="0" collapsed="false">
      <c r="A1071" s="8" t="s">
        <v>944</v>
      </c>
      <c r="B1071" s="8" t="s">
        <v>183</v>
      </c>
      <c r="C1071" s="8" t="s">
        <v>672</v>
      </c>
      <c r="D1071" s="26" t="n">
        <v>0</v>
      </c>
      <c r="E1071" s="26" t="n">
        <v>0</v>
      </c>
      <c r="F1071" s="26" t="n">
        <v>3</v>
      </c>
      <c r="G1071" s="26" t="n">
        <v>0</v>
      </c>
      <c r="H1071" s="26" t="n">
        <v>0</v>
      </c>
      <c r="I1071" s="26" t="n">
        <v>2</v>
      </c>
      <c r="J1071" s="26" t="n">
        <v>0</v>
      </c>
      <c r="K1071" s="26" t="n">
        <v>0</v>
      </c>
      <c r="L1071" s="26" t="n">
        <v>0</v>
      </c>
      <c r="M1071" s="26" t="n">
        <v>0</v>
      </c>
      <c r="N1071" s="26" t="n">
        <v>0</v>
      </c>
      <c r="O1071" s="26" t="n">
        <v>0</v>
      </c>
      <c r="P1071" s="26" t="n">
        <v>-2</v>
      </c>
      <c r="Q1071" s="26" t="n">
        <v>0</v>
      </c>
      <c r="R1071" s="26" t="n">
        <v>4</v>
      </c>
      <c r="S1071" s="26" t="n">
        <v>0</v>
      </c>
      <c r="T1071" s="26" t="n">
        <v>0</v>
      </c>
      <c r="U1071" s="26" t="n">
        <v>0</v>
      </c>
    </row>
    <row r="1072" customFormat="false" ht="15" hidden="false" customHeight="true" outlineLevel="0" collapsed="false">
      <c r="A1072" s="8" t="s">
        <v>944</v>
      </c>
      <c r="B1072" s="8" t="s">
        <v>183</v>
      </c>
      <c r="C1072" s="8" t="s">
        <v>671</v>
      </c>
      <c r="D1072" s="26" t="n">
        <v>0</v>
      </c>
      <c r="E1072" s="26" t="n">
        <v>0</v>
      </c>
      <c r="F1072" s="26" t="n">
        <v>1</v>
      </c>
      <c r="G1072" s="26" t="n">
        <v>0</v>
      </c>
      <c r="H1072" s="26" t="n">
        <v>0</v>
      </c>
      <c r="I1072" s="26" t="n">
        <v>18</v>
      </c>
      <c r="J1072" s="26" t="n">
        <v>0</v>
      </c>
      <c r="K1072" s="26" t="n">
        <v>0</v>
      </c>
      <c r="L1072" s="26" t="n">
        <v>0</v>
      </c>
      <c r="M1072" s="26" t="n">
        <v>0</v>
      </c>
      <c r="N1072" s="26" t="n">
        <v>0</v>
      </c>
      <c r="O1072" s="26" t="n">
        <v>0</v>
      </c>
      <c r="P1072" s="26" t="n">
        <v>-4</v>
      </c>
      <c r="Q1072" s="26" t="n">
        <v>11</v>
      </c>
      <c r="R1072" s="26" t="n">
        <v>11</v>
      </c>
      <c r="S1072" s="26" t="n">
        <v>0</v>
      </c>
      <c r="T1072" s="26" t="n">
        <v>0</v>
      </c>
      <c r="U1072" s="26" t="n">
        <v>0</v>
      </c>
    </row>
    <row r="1073" customFormat="false" ht="15" hidden="false" customHeight="true" outlineLevel="0" collapsed="false">
      <c r="A1073" s="8" t="s">
        <v>944</v>
      </c>
      <c r="B1073" s="8" t="s">
        <v>183</v>
      </c>
      <c r="C1073" s="8" t="s">
        <v>673</v>
      </c>
      <c r="D1073" s="26" t="n">
        <v>0</v>
      </c>
      <c r="E1073" s="26" t="n">
        <v>0</v>
      </c>
      <c r="F1073" s="26" t="n">
        <v>2</v>
      </c>
      <c r="G1073" s="26" t="n">
        <v>0</v>
      </c>
      <c r="H1073" s="26" t="n">
        <v>0</v>
      </c>
      <c r="I1073" s="26" t="n">
        <v>12</v>
      </c>
      <c r="J1073" s="26" t="n">
        <v>0</v>
      </c>
      <c r="K1073" s="26" t="n">
        <v>0</v>
      </c>
      <c r="L1073" s="26" t="n">
        <v>0</v>
      </c>
      <c r="M1073" s="26" t="n">
        <v>0</v>
      </c>
      <c r="N1073" s="26" t="n">
        <v>0</v>
      </c>
      <c r="O1073" s="26" t="n">
        <v>0</v>
      </c>
      <c r="P1073" s="26" t="n">
        <v>-4</v>
      </c>
      <c r="Q1073" s="26" t="n">
        <v>3</v>
      </c>
      <c r="R1073" s="26" t="n">
        <v>13</v>
      </c>
      <c r="S1073" s="26" t="n">
        <v>0</v>
      </c>
      <c r="T1073" s="26" t="n">
        <v>0</v>
      </c>
      <c r="U1073" s="26" t="n">
        <v>0</v>
      </c>
    </row>
    <row r="1074" customFormat="false" ht="15" hidden="false" customHeight="true" outlineLevel="0" collapsed="false">
      <c r="A1074" s="8" t="s">
        <v>944</v>
      </c>
      <c r="B1074" s="8" t="s">
        <v>183</v>
      </c>
      <c r="C1074" s="8" t="s">
        <v>670</v>
      </c>
      <c r="D1074" s="26" t="n">
        <v>0</v>
      </c>
      <c r="E1074" s="26" t="n">
        <v>0</v>
      </c>
      <c r="F1074" s="26" t="n">
        <v>1</v>
      </c>
      <c r="G1074" s="26" t="n">
        <v>0</v>
      </c>
      <c r="H1074" s="26" t="n">
        <v>0</v>
      </c>
      <c r="I1074" s="26" t="n">
        <v>1</v>
      </c>
      <c r="J1074" s="26" t="n">
        <v>0</v>
      </c>
      <c r="K1074" s="26" t="n">
        <v>0</v>
      </c>
      <c r="L1074" s="26" t="n">
        <v>0</v>
      </c>
      <c r="M1074" s="26" t="n">
        <v>0</v>
      </c>
      <c r="N1074" s="26" t="n">
        <v>0</v>
      </c>
      <c r="O1074" s="26" t="n">
        <v>0</v>
      </c>
      <c r="P1074" s="26" t="n">
        <v>-1</v>
      </c>
      <c r="Q1074" s="26" t="n">
        <v>2</v>
      </c>
      <c r="R1074" s="26" t="n">
        <v>0</v>
      </c>
      <c r="S1074" s="26" t="n">
        <v>0</v>
      </c>
      <c r="T1074" s="26" t="n">
        <v>0</v>
      </c>
      <c r="U1074" s="26" t="n">
        <v>0</v>
      </c>
    </row>
    <row r="1075" customFormat="false" ht="15" hidden="false" customHeight="true" outlineLevel="0" collapsed="false">
      <c r="A1075" s="8" t="s">
        <v>944</v>
      </c>
      <c r="B1075" s="8" t="s">
        <v>183</v>
      </c>
      <c r="C1075" s="8" t="s">
        <v>853</v>
      </c>
      <c r="D1075" s="26" t="n">
        <v>0</v>
      </c>
      <c r="E1075" s="26" t="n">
        <v>0</v>
      </c>
      <c r="F1075" s="26" t="n">
        <v>0</v>
      </c>
      <c r="G1075" s="26" t="n">
        <v>0</v>
      </c>
      <c r="H1075" s="26" t="n">
        <v>0</v>
      </c>
      <c r="I1075" s="26" t="n">
        <v>-4</v>
      </c>
      <c r="J1075" s="26" t="n">
        <v>0</v>
      </c>
      <c r="K1075" s="26" t="n">
        <v>0</v>
      </c>
      <c r="L1075" s="26" t="n">
        <v>0</v>
      </c>
      <c r="M1075" s="26" t="n">
        <v>0</v>
      </c>
      <c r="N1075" s="26" t="n">
        <v>0</v>
      </c>
      <c r="O1075" s="26" t="n">
        <v>0</v>
      </c>
      <c r="P1075" s="26" t="n">
        <v>-4</v>
      </c>
      <c r="Q1075" s="26" t="n">
        <v>0</v>
      </c>
      <c r="R1075" s="26" t="n">
        <v>0</v>
      </c>
      <c r="S1075" s="26" t="n">
        <v>0</v>
      </c>
      <c r="T1075" s="26" t="n">
        <v>0</v>
      </c>
      <c r="U1075" s="26" t="n">
        <v>0</v>
      </c>
    </row>
    <row r="1076" customFormat="false" ht="15" hidden="false" customHeight="true" outlineLevel="0" collapsed="false">
      <c r="A1076" s="8" t="s">
        <v>944</v>
      </c>
      <c r="B1076" s="8" t="s">
        <v>311</v>
      </c>
      <c r="C1076" s="8" t="s">
        <v>854</v>
      </c>
      <c r="D1076" s="26" t="n">
        <v>0</v>
      </c>
      <c r="E1076" s="26" t="n">
        <v>0</v>
      </c>
      <c r="F1076" s="26" t="n">
        <v>2</v>
      </c>
      <c r="G1076" s="26" t="n">
        <v>0</v>
      </c>
      <c r="H1076" s="26" t="n">
        <v>0</v>
      </c>
      <c r="I1076" s="26" t="n">
        <v>0</v>
      </c>
      <c r="J1076" s="26" t="n">
        <v>0</v>
      </c>
      <c r="K1076" s="26" t="n">
        <v>0</v>
      </c>
      <c r="L1076" s="26" t="n">
        <v>0</v>
      </c>
      <c r="M1076" s="26" t="n">
        <v>0</v>
      </c>
      <c r="N1076" s="26" t="n">
        <v>0</v>
      </c>
      <c r="O1076" s="26" t="n">
        <v>0</v>
      </c>
      <c r="P1076" s="26" t="n">
        <v>0</v>
      </c>
      <c r="Q1076" s="26" t="n">
        <v>0</v>
      </c>
      <c r="R1076" s="26" t="n">
        <v>0</v>
      </c>
      <c r="S1076" s="26" t="n">
        <v>0</v>
      </c>
      <c r="T1076" s="26" t="n">
        <v>0</v>
      </c>
      <c r="U1076" s="26" t="n">
        <v>0</v>
      </c>
    </row>
    <row r="1077" customFormat="false" ht="15" hidden="false" customHeight="true" outlineLevel="0" collapsed="false">
      <c r="A1077" s="8" t="s">
        <v>944</v>
      </c>
      <c r="B1077" s="8" t="s">
        <v>311</v>
      </c>
      <c r="C1077" s="8" t="s">
        <v>855</v>
      </c>
      <c r="D1077" s="26" t="n">
        <v>0</v>
      </c>
      <c r="E1077" s="26" t="n">
        <v>0</v>
      </c>
      <c r="F1077" s="26" t="n">
        <v>6</v>
      </c>
      <c r="G1077" s="26" t="n">
        <v>0</v>
      </c>
      <c r="H1077" s="26" t="n">
        <v>0</v>
      </c>
      <c r="I1077" s="26" t="n">
        <v>33</v>
      </c>
      <c r="J1077" s="26" t="n">
        <v>0</v>
      </c>
      <c r="K1077" s="26" t="n">
        <v>0</v>
      </c>
      <c r="L1077" s="26" t="n">
        <v>0</v>
      </c>
      <c r="M1077" s="26" t="n">
        <v>0</v>
      </c>
      <c r="N1077" s="26" t="n">
        <v>0</v>
      </c>
      <c r="O1077" s="26" t="n">
        <v>0</v>
      </c>
      <c r="P1077" s="26" t="n">
        <v>-4</v>
      </c>
      <c r="Q1077" s="26" t="n">
        <v>26</v>
      </c>
      <c r="R1077" s="26" t="n">
        <v>11</v>
      </c>
      <c r="S1077" s="26" t="n">
        <v>0</v>
      </c>
      <c r="T1077" s="26" t="n">
        <v>0</v>
      </c>
      <c r="U1077" s="26" t="n">
        <v>0</v>
      </c>
    </row>
    <row r="1078" customFormat="false" ht="15" hidden="false" customHeight="true" outlineLevel="0" collapsed="false">
      <c r="A1078" s="8" t="s">
        <v>944</v>
      </c>
      <c r="B1078" s="8" t="s">
        <v>311</v>
      </c>
      <c r="C1078" s="8" t="s">
        <v>856</v>
      </c>
      <c r="D1078" s="26" t="n">
        <v>0</v>
      </c>
      <c r="E1078" s="26" t="n">
        <v>0</v>
      </c>
      <c r="F1078" s="26" t="n">
        <v>3</v>
      </c>
      <c r="G1078" s="26" t="n">
        <v>0</v>
      </c>
      <c r="H1078" s="26" t="n">
        <v>0</v>
      </c>
      <c r="I1078" s="26" t="n">
        <v>31</v>
      </c>
      <c r="J1078" s="26" t="n">
        <v>0</v>
      </c>
      <c r="K1078" s="26" t="n">
        <v>0</v>
      </c>
      <c r="L1078" s="26" t="n">
        <v>0</v>
      </c>
      <c r="M1078" s="26" t="n">
        <v>0</v>
      </c>
      <c r="N1078" s="26" t="n">
        <v>0</v>
      </c>
      <c r="O1078" s="26" t="n">
        <v>0</v>
      </c>
      <c r="P1078" s="26" t="n">
        <v>-6</v>
      </c>
      <c r="Q1078" s="26" t="n">
        <v>22</v>
      </c>
      <c r="R1078" s="26" t="n">
        <v>15</v>
      </c>
      <c r="S1078" s="26" t="n">
        <v>0</v>
      </c>
      <c r="T1078" s="26" t="n">
        <v>0</v>
      </c>
      <c r="U1078" s="26" t="n">
        <v>0</v>
      </c>
    </row>
    <row r="1079" customFormat="false" ht="15" hidden="false" customHeight="true" outlineLevel="0" collapsed="false">
      <c r="A1079" s="8" t="s">
        <v>944</v>
      </c>
      <c r="B1079" s="8" t="s">
        <v>311</v>
      </c>
      <c r="C1079" s="8" t="s">
        <v>857</v>
      </c>
      <c r="D1079" s="26" t="n">
        <v>0</v>
      </c>
      <c r="E1079" s="26" t="n">
        <v>0</v>
      </c>
      <c r="F1079" s="26" t="n">
        <v>1</v>
      </c>
      <c r="G1079" s="26" t="n">
        <v>0</v>
      </c>
      <c r="H1079" s="26" t="n">
        <v>0</v>
      </c>
      <c r="I1079" s="26" t="n">
        <v>4</v>
      </c>
      <c r="J1079" s="26" t="n">
        <v>0</v>
      </c>
      <c r="K1079" s="26" t="n">
        <v>4</v>
      </c>
      <c r="L1079" s="26" t="n">
        <v>0</v>
      </c>
      <c r="M1079" s="26" t="n">
        <v>0</v>
      </c>
      <c r="N1079" s="26" t="n">
        <v>0</v>
      </c>
      <c r="O1079" s="26" t="n">
        <v>0</v>
      </c>
      <c r="P1079" s="26" t="n">
        <v>-5</v>
      </c>
      <c r="Q1079" s="26" t="n">
        <v>0</v>
      </c>
      <c r="R1079" s="26" t="n">
        <v>5</v>
      </c>
      <c r="S1079" s="26" t="n">
        <v>0</v>
      </c>
      <c r="T1079" s="26" t="n">
        <v>0</v>
      </c>
      <c r="U1079" s="26" t="n">
        <v>0</v>
      </c>
    </row>
    <row r="1080" customFormat="false" ht="15" hidden="false" customHeight="true" outlineLevel="0" collapsed="false">
      <c r="A1080" s="8" t="s">
        <v>944</v>
      </c>
      <c r="B1080" s="8" t="s">
        <v>239</v>
      </c>
      <c r="C1080" s="8" t="s">
        <v>858</v>
      </c>
      <c r="D1080" s="26" t="n">
        <v>0</v>
      </c>
      <c r="E1080" s="26" t="n">
        <v>0</v>
      </c>
      <c r="F1080" s="26" t="n">
        <v>3</v>
      </c>
      <c r="G1080" s="26" t="n">
        <v>0</v>
      </c>
      <c r="H1080" s="26" t="n">
        <v>0</v>
      </c>
      <c r="I1080" s="26" t="n">
        <v>0</v>
      </c>
      <c r="J1080" s="26" t="n">
        <v>0</v>
      </c>
      <c r="K1080" s="26" t="n">
        <v>0</v>
      </c>
      <c r="L1080" s="26" t="n">
        <v>0</v>
      </c>
      <c r="M1080" s="26" t="n">
        <v>0</v>
      </c>
      <c r="N1080" s="26" t="n">
        <v>0</v>
      </c>
      <c r="O1080" s="26" t="n">
        <v>0</v>
      </c>
      <c r="P1080" s="26" t="n">
        <v>0</v>
      </c>
      <c r="Q1080" s="26" t="n">
        <v>0</v>
      </c>
      <c r="R1080" s="26" t="n">
        <v>0</v>
      </c>
      <c r="S1080" s="26" t="n">
        <v>0</v>
      </c>
      <c r="T1080" s="26" t="n">
        <v>0</v>
      </c>
      <c r="U1080" s="26" t="n">
        <v>0</v>
      </c>
    </row>
    <row r="1081" customFormat="false" ht="15" hidden="false" customHeight="true" outlineLevel="0" collapsed="false">
      <c r="A1081" s="8" t="s">
        <v>944</v>
      </c>
      <c r="B1081" s="8" t="s">
        <v>239</v>
      </c>
      <c r="C1081" s="8" t="s">
        <v>859</v>
      </c>
      <c r="D1081" s="26" t="n">
        <v>0</v>
      </c>
      <c r="E1081" s="26" t="n">
        <v>0</v>
      </c>
      <c r="F1081" s="26" t="n">
        <v>9</v>
      </c>
      <c r="G1081" s="26" t="n">
        <v>0</v>
      </c>
      <c r="H1081" s="26" t="n">
        <v>0</v>
      </c>
      <c r="I1081" s="26" t="n">
        <v>24</v>
      </c>
      <c r="J1081" s="26" t="n">
        <v>0</v>
      </c>
      <c r="K1081" s="26" t="n">
        <v>0</v>
      </c>
      <c r="L1081" s="26" t="n">
        <v>0</v>
      </c>
      <c r="M1081" s="26" t="n">
        <v>0</v>
      </c>
      <c r="N1081" s="26" t="n">
        <v>0</v>
      </c>
      <c r="O1081" s="26" t="n">
        <v>0</v>
      </c>
      <c r="P1081" s="26" t="n">
        <v>-3</v>
      </c>
      <c r="Q1081" s="26" t="n">
        <v>24</v>
      </c>
      <c r="R1081" s="26" t="n">
        <v>3</v>
      </c>
      <c r="S1081" s="26" t="n">
        <v>0</v>
      </c>
      <c r="T1081" s="26" t="n">
        <v>0</v>
      </c>
      <c r="U1081" s="26" t="n">
        <v>0</v>
      </c>
    </row>
    <row r="1082" customFormat="false" ht="15" hidden="false" customHeight="true" outlineLevel="0" collapsed="false">
      <c r="A1082" s="8" t="s">
        <v>944</v>
      </c>
      <c r="B1082" s="8" t="s">
        <v>239</v>
      </c>
      <c r="C1082" s="8" t="s">
        <v>860</v>
      </c>
      <c r="D1082" s="26" t="n">
        <v>0</v>
      </c>
      <c r="E1082" s="26" t="n">
        <v>0</v>
      </c>
      <c r="F1082" s="26" t="n">
        <v>4</v>
      </c>
      <c r="G1082" s="26" t="n">
        <v>0</v>
      </c>
      <c r="H1082" s="26" t="n">
        <v>0</v>
      </c>
      <c r="I1082" s="26" t="n">
        <v>18</v>
      </c>
      <c r="J1082" s="26" t="n">
        <v>0</v>
      </c>
      <c r="K1082" s="26" t="n">
        <v>0</v>
      </c>
      <c r="L1082" s="26" t="n">
        <v>0</v>
      </c>
      <c r="M1082" s="26" t="n">
        <v>0</v>
      </c>
      <c r="N1082" s="26" t="n">
        <v>0</v>
      </c>
      <c r="O1082" s="26" t="n">
        <v>0</v>
      </c>
      <c r="P1082" s="26" t="n">
        <v>-5</v>
      </c>
      <c r="Q1082" s="26" t="n">
        <v>21</v>
      </c>
      <c r="R1082" s="26" t="n">
        <v>2</v>
      </c>
      <c r="S1082" s="26" t="n">
        <v>0</v>
      </c>
      <c r="T1082" s="26" t="n">
        <v>0</v>
      </c>
      <c r="U1082" s="26" t="n">
        <v>0</v>
      </c>
    </row>
    <row r="1083" customFormat="false" ht="15" hidden="false" customHeight="true" outlineLevel="0" collapsed="false">
      <c r="A1083" s="8" t="s">
        <v>944</v>
      </c>
      <c r="B1083" s="8" t="s">
        <v>239</v>
      </c>
      <c r="C1083" s="8" t="s">
        <v>861</v>
      </c>
      <c r="D1083" s="26" t="n">
        <v>0</v>
      </c>
      <c r="E1083" s="26" t="n">
        <v>0</v>
      </c>
      <c r="F1083" s="26" t="n">
        <v>1</v>
      </c>
      <c r="G1083" s="26" t="n">
        <v>0</v>
      </c>
      <c r="H1083" s="26" t="n">
        <v>0</v>
      </c>
      <c r="I1083" s="26" t="n">
        <v>10</v>
      </c>
      <c r="J1083" s="26" t="n">
        <v>0</v>
      </c>
      <c r="K1083" s="26" t="n">
        <v>0</v>
      </c>
      <c r="L1083" s="26" t="n">
        <v>0</v>
      </c>
      <c r="M1083" s="26" t="n">
        <v>0</v>
      </c>
      <c r="N1083" s="26" t="n">
        <v>0</v>
      </c>
      <c r="O1083" s="26" t="n">
        <v>0</v>
      </c>
      <c r="P1083" s="26" t="n">
        <v>-5</v>
      </c>
      <c r="Q1083" s="26" t="n">
        <v>11</v>
      </c>
      <c r="R1083" s="26" t="n">
        <v>4</v>
      </c>
      <c r="S1083" s="26" t="n">
        <v>0</v>
      </c>
      <c r="T1083" s="26" t="n">
        <v>0</v>
      </c>
      <c r="U1083" s="26" t="n">
        <v>0</v>
      </c>
    </row>
    <row r="1084" customFormat="false" ht="15" hidden="false" customHeight="true" outlineLevel="0" collapsed="false">
      <c r="A1084" s="8" t="s">
        <v>944</v>
      </c>
      <c r="B1084" s="8" t="s">
        <v>375</v>
      </c>
      <c r="C1084" s="8" t="s">
        <v>862</v>
      </c>
      <c r="D1084" s="26" t="n">
        <v>0</v>
      </c>
      <c r="E1084" s="26" t="n">
        <v>0</v>
      </c>
      <c r="F1084" s="26" t="n">
        <v>0</v>
      </c>
      <c r="G1084" s="26" t="n">
        <v>0</v>
      </c>
      <c r="H1084" s="26" t="n">
        <v>0</v>
      </c>
      <c r="I1084" s="26" t="n">
        <v>-2</v>
      </c>
      <c r="J1084" s="26" t="n">
        <v>0</v>
      </c>
      <c r="K1084" s="26" t="n">
        <v>0</v>
      </c>
      <c r="L1084" s="26" t="n">
        <v>0</v>
      </c>
      <c r="M1084" s="26" t="n">
        <v>0</v>
      </c>
      <c r="N1084" s="26" t="n">
        <v>0</v>
      </c>
      <c r="O1084" s="26" t="n">
        <v>0</v>
      </c>
      <c r="P1084" s="26" t="n">
        <v>0</v>
      </c>
      <c r="Q1084" s="26" t="n">
        <v>-2</v>
      </c>
      <c r="R1084" s="26" t="n">
        <v>0</v>
      </c>
      <c r="S1084" s="26" t="n">
        <v>0</v>
      </c>
      <c r="T1084" s="26" t="n">
        <v>0</v>
      </c>
      <c r="U1084" s="26" t="n">
        <v>0</v>
      </c>
    </row>
    <row r="1085" customFormat="false" ht="15" hidden="false" customHeight="true" outlineLevel="0" collapsed="false">
      <c r="A1085" s="8" t="s">
        <v>944</v>
      </c>
      <c r="B1085" s="8" t="s">
        <v>378</v>
      </c>
      <c r="C1085" s="8" t="s">
        <v>862</v>
      </c>
      <c r="D1085" s="26" t="n">
        <v>0</v>
      </c>
      <c r="E1085" s="26" t="n">
        <v>0</v>
      </c>
      <c r="F1085" s="26" t="n">
        <v>0</v>
      </c>
      <c r="G1085" s="26" t="n">
        <v>0</v>
      </c>
      <c r="H1085" s="26" t="n">
        <v>0</v>
      </c>
      <c r="I1085" s="26" t="n">
        <v>-1</v>
      </c>
      <c r="J1085" s="26" t="n">
        <v>0</v>
      </c>
      <c r="K1085" s="26" t="n">
        <v>0</v>
      </c>
      <c r="L1085" s="26" t="n">
        <v>0</v>
      </c>
      <c r="M1085" s="26" t="n">
        <v>0</v>
      </c>
      <c r="N1085" s="26" t="n">
        <v>0</v>
      </c>
      <c r="O1085" s="26" t="n">
        <v>0</v>
      </c>
      <c r="P1085" s="26" t="n">
        <v>0</v>
      </c>
      <c r="Q1085" s="26" t="n">
        <v>-1</v>
      </c>
      <c r="R1085" s="26" t="n">
        <v>0</v>
      </c>
      <c r="S1085" s="26" t="n">
        <v>0</v>
      </c>
      <c r="T1085" s="26" t="n">
        <v>0</v>
      </c>
      <c r="U1085" s="26" t="n">
        <v>0</v>
      </c>
    </row>
    <row r="1086" customFormat="false" ht="15" hidden="false" customHeight="true" outlineLevel="0" collapsed="false">
      <c r="A1086" s="8" t="s">
        <v>944</v>
      </c>
      <c r="B1086" s="8" t="s">
        <v>379</v>
      </c>
      <c r="C1086" s="8" t="s">
        <v>862</v>
      </c>
      <c r="D1086" s="26" t="n">
        <v>0</v>
      </c>
      <c r="E1086" s="26" t="n">
        <v>0</v>
      </c>
      <c r="F1086" s="26" t="n">
        <v>0</v>
      </c>
      <c r="G1086" s="26" t="n">
        <v>0</v>
      </c>
      <c r="H1086" s="26" t="n">
        <v>0</v>
      </c>
      <c r="I1086" s="26" t="n">
        <v>-1</v>
      </c>
      <c r="J1086" s="26" t="n">
        <v>0</v>
      </c>
      <c r="K1086" s="26" t="n">
        <v>0</v>
      </c>
      <c r="L1086" s="26" t="n">
        <v>0</v>
      </c>
      <c r="M1086" s="26" t="n">
        <v>0</v>
      </c>
      <c r="N1086" s="26" t="n">
        <v>0</v>
      </c>
      <c r="O1086" s="26" t="n">
        <v>0</v>
      </c>
      <c r="P1086" s="26" t="n">
        <v>0</v>
      </c>
      <c r="Q1086" s="26" t="n">
        <v>-1</v>
      </c>
      <c r="R1086" s="26" t="n">
        <v>0</v>
      </c>
      <c r="S1086" s="26" t="n">
        <v>0</v>
      </c>
      <c r="T1086" s="26" t="n">
        <v>0</v>
      </c>
      <c r="U1086" s="26" t="n">
        <v>0</v>
      </c>
    </row>
    <row r="1087" customFormat="false" ht="15" hidden="false" customHeight="true" outlineLevel="0" collapsed="false">
      <c r="A1087" s="8" t="s">
        <v>944</v>
      </c>
      <c r="B1087" s="8" t="s">
        <v>380</v>
      </c>
      <c r="C1087" s="8" t="s">
        <v>862</v>
      </c>
      <c r="D1087" s="26" t="n">
        <v>0</v>
      </c>
      <c r="E1087" s="26" t="n">
        <v>0</v>
      </c>
      <c r="F1087" s="26" t="n">
        <v>0</v>
      </c>
      <c r="G1087" s="26" t="n">
        <v>0</v>
      </c>
      <c r="H1087" s="26" t="n">
        <v>0</v>
      </c>
      <c r="I1087" s="26" t="n">
        <v>-1</v>
      </c>
      <c r="J1087" s="26" t="n">
        <v>0</v>
      </c>
      <c r="K1087" s="26" t="n">
        <v>0</v>
      </c>
      <c r="L1087" s="26" t="n">
        <v>0</v>
      </c>
      <c r="M1087" s="26" t="n">
        <v>0</v>
      </c>
      <c r="N1087" s="26" t="n">
        <v>0</v>
      </c>
      <c r="O1087" s="26" t="n">
        <v>0</v>
      </c>
      <c r="P1087" s="26" t="n">
        <v>0</v>
      </c>
      <c r="Q1087" s="26" t="n">
        <v>-1</v>
      </c>
      <c r="R1087" s="26" t="n">
        <v>0</v>
      </c>
      <c r="S1087" s="26" t="n">
        <v>0</v>
      </c>
      <c r="T1087" s="26" t="n">
        <v>0</v>
      </c>
      <c r="U1087" s="26" t="n">
        <v>0</v>
      </c>
    </row>
    <row r="1088" customFormat="false" ht="15" hidden="false" customHeight="true" outlineLevel="0" collapsed="false">
      <c r="A1088" s="8" t="s">
        <v>944</v>
      </c>
      <c r="B1088" s="8" t="s">
        <v>150</v>
      </c>
      <c r="C1088" s="8" t="s">
        <v>863</v>
      </c>
      <c r="D1088" s="26" t="n">
        <v>0</v>
      </c>
      <c r="E1088" s="26" t="n">
        <v>0</v>
      </c>
      <c r="F1088" s="26" t="n">
        <v>6</v>
      </c>
      <c r="G1088" s="26" t="n">
        <v>0</v>
      </c>
      <c r="H1088" s="26" t="n">
        <v>0</v>
      </c>
      <c r="I1088" s="26" t="n">
        <v>14</v>
      </c>
      <c r="J1088" s="26" t="n">
        <v>0</v>
      </c>
      <c r="K1088" s="26" t="n">
        <v>0</v>
      </c>
      <c r="L1088" s="26" t="n">
        <v>0</v>
      </c>
      <c r="M1088" s="26" t="n">
        <v>0</v>
      </c>
      <c r="N1088" s="26" t="n">
        <v>0</v>
      </c>
      <c r="O1088" s="26" t="n">
        <v>0</v>
      </c>
      <c r="P1088" s="26" t="n">
        <v>0</v>
      </c>
      <c r="Q1088" s="26" t="n">
        <v>14</v>
      </c>
      <c r="R1088" s="26" t="n">
        <v>0</v>
      </c>
      <c r="S1088" s="26" t="n">
        <v>0</v>
      </c>
      <c r="T1088" s="26" t="n">
        <v>0</v>
      </c>
      <c r="U1088" s="26" t="n">
        <v>0</v>
      </c>
    </row>
    <row r="1089" customFormat="false" ht="15" hidden="false" customHeight="true" outlineLevel="0" collapsed="false">
      <c r="A1089" s="8" t="s">
        <v>944</v>
      </c>
      <c r="B1089" s="8" t="s">
        <v>150</v>
      </c>
      <c r="C1089" s="8" t="s">
        <v>864</v>
      </c>
      <c r="D1089" s="26" t="n">
        <v>0</v>
      </c>
      <c r="E1089" s="26" t="n">
        <v>0</v>
      </c>
      <c r="F1089" s="26" t="n">
        <v>11</v>
      </c>
      <c r="G1089" s="26" t="n">
        <v>0</v>
      </c>
      <c r="H1089" s="26" t="n">
        <v>0</v>
      </c>
      <c r="I1089" s="26" t="n">
        <v>25</v>
      </c>
      <c r="J1089" s="26" t="n">
        <v>0</v>
      </c>
      <c r="K1089" s="26" t="n">
        <v>8</v>
      </c>
      <c r="L1089" s="26" t="n">
        <v>-2</v>
      </c>
      <c r="M1089" s="26" t="n">
        <v>0</v>
      </c>
      <c r="N1089" s="26" t="n">
        <v>0</v>
      </c>
      <c r="O1089" s="26" t="n">
        <v>0</v>
      </c>
      <c r="P1089" s="26" t="n">
        <v>-6</v>
      </c>
      <c r="Q1089" s="26" t="n">
        <v>20</v>
      </c>
      <c r="R1089" s="26" t="n">
        <v>5</v>
      </c>
      <c r="S1089" s="26" t="n">
        <v>0</v>
      </c>
      <c r="T1089" s="26" t="n">
        <v>0</v>
      </c>
      <c r="U1089" s="26" t="n">
        <v>0</v>
      </c>
    </row>
    <row r="1090" customFormat="false" ht="15" hidden="false" customHeight="true" outlineLevel="0" collapsed="false">
      <c r="A1090" s="8" t="s">
        <v>944</v>
      </c>
      <c r="B1090" s="8" t="s">
        <v>150</v>
      </c>
      <c r="C1090" s="8" t="s">
        <v>865</v>
      </c>
      <c r="D1090" s="26" t="n">
        <v>0</v>
      </c>
      <c r="E1090" s="26" t="n">
        <v>0</v>
      </c>
      <c r="F1090" s="26" t="n">
        <v>19</v>
      </c>
      <c r="G1090" s="26" t="n">
        <v>0</v>
      </c>
      <c r="H1090" s="26" t="n">
        <v>0</v>
      </c>
      <c r="I1090" s="26" t="n">
        <v>39</v>
      </c>
      <c r="J1090" s="26" t="n">
        <v>0</v>
      </c>
      <c r="K1090" s="26" t="n">
        <v>1</v>
      </c>
      <c r="L1090" s="26" t="n">
        <v>0</v>
      </c>
      <c r="M1090" s="26" t="n">
        <v>0</v>
      </c>
      <c r="N1090" s="26" t="n">
        <v>0</v>
      </c>
      <c r="O1090" s="26" t="n">
        <v>0</v>
      </c>
      <c r="P1090" s="26" t="n">
        <v>-7</v>
      </c>
      <c r="Q1090" s="26" t="n">
        <v>31</v>
      </c>
      <c r="R1090" s="26" t="n">
        <v>14</v>
      </c>
      <c r="S1090" s="26" t="n">
        <v>0</v>
      </c>
      <c r="T1090" s="26" t="n">
        <v>0</v>
      </c>
      <c r="U1090" s="26" t="n">
        <v>0</v>
      </c>
    </row>
    <row r="1091" customFormat="false" ht="15" hidden="false" customHeight="true" outlineLevel="0" collapsed="false">
      <c r="A1091" s="8" t="s">
        <v>944</v>
      </c>
      <c r="B1091" s="8" t="s">
        <v>150</v>
      </c>
      <c r="C1091" s="8" t="s">
        <v>866</v>
      </c>
      <c r="D1091" s="26" t="n">
        <v>0</v>
      </c>
      <c r="E1091" s="26" t="n">
        <v>0</v>
      </c>
      <c r="F1091" s="26" t="n">
        <v>11</v>
      </c>
      <c r="G1091" s="26" t="n">
        <v>0</v>
      </c>
      <c r="H1091" s="26" t="n">
        <v>0</v>
      </c>
      <c r="I1091" s="26" t="n">
        <v>14</v>
      </c>
      <c r="J1091" s="26" t="n">
        <v>0</v>
      </c>
      <c r="K1091" s="26" t="n">
        <v>2</v>
      </c>
      <c r="L1091" s="26" t="n">
        <v>0</v>
      </c>
      <c r="M1091" s="26" t="n">
        <v>0</v>
      </c>
      <c r="N1091" s="26" t="n">
        <v>0</v>
      </c>
      <c r="O1091" s="26" t="n">
        <v>0</v>
      </c>
      <c r="P1091" s="26" t="n">
        <v>-3</v>
      </c>
      <c r="Q1091" s="26" t="n">
        <v>13</v>
      </c>
      <c r="R1091" s="26" t="n">
        <v>2</v>
      </c>
      <c r="S1091" s="26" t="n">
        <v>0</v>
      </c>
      <c r="T1091" s="26" t="n">
        <v>0</v>
      </c>
      <c r="U1091" s="26" t="n">
        <v>0</v>
      </c>
    </row>
    <row r="1092" customFormat="false" ht="15" hidden="false" customHeight="true" outlineLevel="0" collapsed="false">
      <c r="A1092" s="8" t="s">
        <v>944</v>
      </c>
      <c r="B1092" s="8" t="s">
        <v>150</v>
      </c>
      <c r="C1092" s="8" t="s">
        <v>867</v>
      </c>
      <c r="D1092" s="26" t="n">
        <v>0</v>
      </c>
      <c r="E1092" s="26" t="n">
        <v>0</v>
      </c>
      <c r="F1092" s="26" t="n">
        <v>1</v>
      </c>
      <c r="G1092" s="26" t="n">
        <v>0</v>
      </c>
      <c r="H1092" s="26" t="n">
        <v>0</v>
      </c>
      <c r="I1092" s="26" t="n">
        <v>4</v>
      </c>
      <c r="J1092" s="26" t="n">
        <v>0</v>
      </c>
      <c r="K1092" s="26" t="n">
        <v>2</v>
      </c>
      <c r="L1092" s="26" t="n">
        <v>0</v>
      </c>
      <c r="M1092" s="26" t="n">
        <v>0</v>
      </c>
      <c r="N1092" s="26" t="n">
        <v>0</v>
      </c>
      <c r="O1092" s="26" t="n">
        <v>0</v>
      </c>
      <c r="P1092" s="26" t="n">
        <v>-7</v>
      </c>
      <c r="Q1092" s="26" t="n">
        <v>4</v>
      </c>
      <c r="R1092" s="26" t="n">
        <v>5</v>
      </c>
      <c r="S1092" s="26" t="n">
        <v>0</v>
      </c>
      <c r="T1092" s="26" t="n">
        <v>0</v>
      </c>
      <c r="U1092" s="26" t="n">
        <v>0</v>
      </c>
    </row>
    <row r="1093" customFormat="false" ht="15" hidden="false" customHeight="true" outlineLevel="0" collapsed="false">
      <c r="A1093" s="8" t="s">
        <v>944</v>
      </c>
      <c r="B1093" s="8" t="s">
        <v>310</v>
      </c>
      <c r="C1093" s="8" t="s">
        <v>868</v>
      </c>
      <c r="D1093" s="26" t="n">
        <v>0</v>
      </c>
      <c r="E1093" s="26" t="n">
        <v>0</v>
      </c>
      <c r="F1093" s="26" t="n">
        <v>0</v>
      </c>
      <c r="G1093" s="26" t="n">
        <v>0</v>
      </c>
      <c r="H1093" s="26" t="n">
        <v>0</v>
      </c>
      <c r="I1093" s="26" t="n">
        <v>-2</v>
      </c>
      <c r="J1093" s="26" t="n">
        <v>0</v>
      </c>
      <c r="K1093" s="26" t="n">
        <v>0</v>
      </c>
      <c r="L1093" s="26" t="n">
        <v>0</v>
      </c>
      <c r="M1093" s="26" t="n">
        <v>0</v>
      </c>
      <c r="N1093" s="26" t="n">
        <v>0</v>
      </c>
      <c r="O1093" s="26" t="n">
        <v>0</v>
      </c>
      <c r="P1093" s="26" t="n">
        <v>0</v>
      </c>
      <c r="Q1093" s="26" t="n">
        <v>-2</v>
      </c>
      <c r="R1093" s="26" t="n">
        <v>0</v>
      </c>
      <c r="S1093" s="26" t="n">
        <v>0</v>
      </c>
      <c r="T1093" s="26" t="n">
        <v>0</v>
      </c>
      <c r="U1093" s="26" t="n">
        <v>0</v>
      </c>
    </row>
    <row r="1094" customFormat="false" ht="15" hidden="false" customHeight="true" outlineLevel="0" collapsed="false">
      <c r="A1094" s="8" t="s">
        <v>944</v>
      </c>
      <c r="B1094" s="8" t="s">
        <v>294</v>
      </c>
      <c r="C1094" s="8" t="s">
        <v>869</v>
      </c>
      <c r="D1094" s="26" t="n">
        <v>0</v>
      </c>
      <c r="E1094" s="26" t="n">
        <v>0</v>
      </c>
      <c r="F1094" s="26" t="n">
        <v>1</v>
      </c>
      <c r="G1094" s="26" t="n">
        <v>0</v>
      </c>
      <c r="H1094" s="26" t="n">
        <v>0</v>
      </c>
      <c r="I1094" s="26" t="n">
        <v>0</v>
      </c>
      <c r="J1094" s="26" t="n">
        <v>0</v>
      </c>
      <c r="K1094" s="26" t="n">
        <v>0</v>
      </c>
      <c r="L1094" s="26" t="n">
        <v>0</v>
      </c>
      <c r="M1094" s="26" t="n">
        <v>0</v>
      </c>
      <c r="N1094" s="26" t="n">
        <v>0</v>
      </c>
      <c r="O1094" s="26" t="n">
        <v>0</v>
      </c>
      <c r="P1094" s="26" t="n">
        <v>0</v>
      </c>
      <c r="Q1094" s="26" t="n">
        <v>0</v>
      </c>
      <c r="R1094" s="26" t="n">
        <v>0</v>
      </c>
      <c r="S1094" s="26" t="n">
        <v>0</v>
      </c>
      <c r="T1094" s="26" t="n">
        <v>0</v>
      </c>
      <c r="U1094" s="26" t="n">
        <v>0</v>
      </c>
    </row>
    <row r="1095" customFormat="false" ht="15" hidden="false" customHeight="true" outlineLevel="0" collapsed="false">
      <c r="A1095" s="8" t="s">
        <v>944</v>
      </c>
      <c r="B1095" s="8" t="s">
        <v>294</v>
      </c>
      <c r="C1095" s="8" t="s">
        <v>870</v>
      </c>
      <c r="D1095" s="26" t="n">
        <v>0</v>
      </c>
      <c r="E1095" s="26" t="n">
        <v>0</v>
      </c>
      <c r="F1095" s="26" t="n">
        <v>1</v>
      </c>
      <c r="G1095" s="26" t="n">
        <v>0</v>
      </c>
      <c r="H1095" s="26" t="n">
        <v>0</v>
      </c>
      <c r="I1095" s="26" t="n">
        <v>-2</v>
      </c>
      <c r="J1095" s="26" t="n">
        <v>0</v>
      </c>
      <c r="K1095" s="26" t="n">
        <v>0</v>
      </c>
      <c r="L1095" s="26" t="n">
        <v>0</v>
      </c>
      <c r="M1095" s="26" t="n">
        <v>0</v>
      </c>
      <c r="N1095" s="26" t="n">
        <v>0</v>
      </c>
      <c r="O1095" s="26" t="n">
        <v>0</v>
      </c>
      <c r="P1095" s="26" t="n">
        <v>0</v>
      </c>
      <c r="Q1095" s="26" t="n">
        <v>-2</v>
      </c>
      <c r="R1095" s="26" t="n">
        <v>0</v>
      </c>
      <c r="S1095" s="26" t="n">
        <v>0</v>
      </c>
      <c r="T1095" s="26" t="n">
        <v>0</v>
      </c>
      <c r="U1095" s="26" t="n">
        <v>0</v>
      </c>
    </row>
    <row r="1096" customFormat="false" ht="15" hidden="false" customHeight="true" outlineLevel="0" collapsed="false">
      <c r="A1096" s="8" t="s">
        <v>944</v>
      </c>
      <c r="B1096" s="8" t="s">
        <v>293</v>
      </c>
      <c r="C1096" s="8" t="s">
        <v>871</v>
      </c>
      <c r="D1096" s="26" t="n">
        <v>0</v>
      </c>
      <c r="E1096" s="26" t="n">
        <v>0</v>
      </c>
      <c r="F1096" s="26" t="n">
        <v>1</v>
      </c>
      <c r="G1096" s="26" t="n">
        <v>0</v>
      </c>
      <c r="H1096" s="26" t="n">
        <v>0</v>
      </c>
      <c r="I1096" s="26" t="n">
        <v>0</v>
      </c>
      <c r="J1096" s="26" t="n">
        <v>0</v>
      </c>
      <c r="K1096" s="26" t="n">
        <v>0</v>
      </c>
      <c r="L1096" s="26" t="n">
        <v>0</v>
      </c>
      <c r="M1096" s="26" t="n">
        <v>0</v>
      </c>
      <c r="N1096" s="26" t="n">
        <v>0</v>
      </c>
      <c r="O1096" s="26" t="n">
        <v>0</v>
      </c>
      <c r="P1096" s="26" t="n">
        <v>0</v>
      </c>
      <c r="Q1096" s="26" t="n">
        <v>0</v>
      </c>
      <c r="R1096" s="26" t="n">
        <v>0</v>
      </c>
      <c r="S1096" s="26" t="n">
        <v>0</v>
      </c>
      <c r="T1096" s="26" t="n">
        <v>0</v>
      </c>
      <c r="U1096" s="26" t="n">
        <v>0</v>
      </c>
    </row>
    <row r="1097" customFormat="false" ht="15" hidden="false" customHeight="true" outlineLevel="0" collapsed="false">
      <c r="A1097" s="8" t="s">
        <v>944</v>
      </c>
      <c r="B1097" s="8" t="s">
        <v>293</v>
      </c>
      <c r="C1097" s="8" t="s">
        <v>872</v>
      </c>
      <c r="D1097" s="26" t="n">
        <v>0</v>
      </c>
      <c r="E1097" s="26" t="n">
        <v>0</v>
      </c>
      <c r="F1097" s="26" t="n">
        <v>1</v>
      </c>
      <c r="G1097" s="26" t="n">
        <v>0</v>
      </c>
      <c r="H1097" s="26" t="n">
        <v>0</v>
      </c>
      <c r="I1097" s="26" t="n">
        <v>0</v>
      </c>
      <c r="J1097" s="26" t="n">
        <v>0</v>
      </c>
      <c r="K1097" s="26" t="n">
        <v>0</v>
      </c>
      <c r="L1097" s="26" t="n">
        <v>0</v>
      </c>
      <c r="M1097" s="26" t="n">
        <v>0</v>
      </c>
      <c r="N1097" s="26" t="n">
        <v>0</v>
      </c>
      <c r="O1097" s="26" t="n">
        <v>0</v>
      </c>
      <c r="P1097" s="26" t="n">
        <v>0</v>
      </c>
      <c r="Q1097" s="26" t="n">
        <v>0</v>
      </c>
      <c r="R1097" s="26" t="n">
        <v>0</v>
      </c>
      <c r="S1097" s="26" t="n">
        <v>0</v>
      </c>
      <c r="T1097" s="26" t="n">
        <v>0</v>
      </c>
      <c r="U1097" s="26" t="n">
        <v>0</v>
      </c>
    </row>
    <row r="1098" customFormat="false" ht="15" hidden="false" customHeight="true" outlineLevel="0" collapsed="false">
      <c r="A1098" s="8" t="s">
        <v>944</v>
      </c>
      <c r="B1098" s="8" t="s">
        <v>295</v>
      </c>
      <c r="C1098" s="8" t="s">
        <v>873</v>
      </c>
      <c r="D1098" s="26" t="n">
        <v>0</v>
      </c>
      <c r="E1098" s="26" t="n">
        <v>0</v>
      </c>
      <c r="F1098" s="26" t="n">
        <v>1</v>
      </c>
      <c r="G1098" s="26" t="n">
        <v>0</v>
      </c>
      <c r="H1098" s="26" t="n">
        <v>0</v>
      </c>
      <c r="I1098" s="26" t="n">
        <v>0</v>
      </c>
      <c r="J1098" s="26" t="n">
        <v>0</v>
      </c>
      <c r="K1098" s="26" t="n">
        <v>0</v>
      </c>
      <c r="L1098" s="26" t="n">
        <v>0</v>
      </c>
      <c r="M1098" s="26" t="n">
        <v>0</v>
      </c>
      <c r="N1098" s="26" t="n">
        <v>0</v>
      </c>
      <c r="O1098" s="26" t="n">
        <v>0</v>
      </c>
      <c r="P1098" s="26" t="n">
        <v>0</v>
      </c>
      <c r="Q1098" s="26" t="n">
        <v>0</v>
      </c>
      <c r="R1098" s="26" t="n">
        <v>0</v>
      </c>
      <c r="S1098" s="26" t="n">
        <v>0</v>
      </c>
      <c r="T1098" s="26" t="n">
        <v>0</v>
      </c>
      <c r="U1098" s="26" t="n">
        <v>0</v>
      </c>
    </row>
    <row r="1099" customFormat="false" ht="15" hidden="false" customHeight="true" outlineLevel="0" collapsed="false">
      <c r="A1099" s="8" t="s">
        <v>944</v>
      </c>
      <c r="B1099" s="8" t="s">
        <v>295</v>
      </c>
      <c r="C1099" s="8" t="s">
        <v>874</v>
      </c>
      <c r="D1099" s="26" t="n">
        <v>0</v>
      </c>
      <c r="E1099" s="26" t="n">
        <v>0</v>
      </c>
      <c r="F1099" s="26" t="n">
        <v>1</v>
      </c>
      <c r="G1099" s="26" t="n">
        <v>0</v>
      </c>
      <c r="H1099" s="26" t="n">
        <v>0</v>
      </c>
      <c r="I1099" s="26" t="n">
        <v>0</v>
      </c>
      <c r="J1099" s="26" t="n">
        <v>0</v>
      </c>
      <c r="K1099" s="26" t="n">
        <v>0</v>
      </c>
      <c r="L1099" s="26" t="n">
        <v>0</v>
      </c>
      <c r="M1099" s="26" t="n">
        <v>0</v>
      </c>
      <c r="N1099" s="26" t="n">
        <v>0</v>
      </c>
      <c r="O1099" s="26" t="n">
        <v>0</v>
      </c>
      <c r="P1099" s="26" t="n">
        <v>0</v>
      </c>
      <c r="Q1099" s="26" t="n">
        <v>0</v>
      </c>
      <c r="R1099" s="26" t="n">
        <v>0</v>
      </c>
      <c r="S1099" s="26" t="n">
        <v>0</v>
      </c>
      <c r="T1099" s="26" t="n">
        <v>0</v>
      </c>
      <c r="U1099" s="26" t="n">
        <v>0</v>
      </c>
    </row>
    <row r="1100" customFormat="false" ht="15" hidden="false" customHeight="true" outlineLevel="0" collapsed="false">
      <c r="A1100" s="8" t="s">
        <v>944</v>
      </c>
      <c r="B1100" s="8" t="s">
        <v>292</v>
      </c>
      <c r="C1100" s="8" t="s">
        <v>875</v>
      </c>
      <c r="D1100" s="26" t="n">
        <v>0</v>
      </c>
      <c r="E1100" s="26" t="n">
        <v>0</v>
      </c>
      <c r="F1100" s="26" t="n">
        <v>1</v>
      </c>
      <c r="G1100" s="26" t="n">
        <v>0</v>
      </c>
      <c r="H1100" s="26" t="n">
        <v>0</v>
      </c>
      <c r="I1100" s="26" t="n">
        <v>0</v>
      </c>
      <c r="J1100" s="26" t="n">
        <v>0</v>
      </c>
      <c r="K1100" s="26" t="n">
        <v>0</v>
      </c>
      <c r="L1100" s="26" t="n">
        <v>0</v>
      </c>
      <c r="M1100" s="26" t="n">
        <v>0</v>
      </c>
      <c r="N1100" s="26" t="n">
        <v>0</v>
      </c>
      <c r="O1100" s="26" t="n">
        <v>0</v>
      </c>
      <c r="P1100" s="26" t="n">
        <v>0</v>
      </c>
      <c r="Q1100" s="26" t="n">
        <v>0</v>
      </c>
      <c r="R1100" s="26" t="n">
        <v>0</v>
      </c>
      <c r="S1100" s="26" t="n">
        <v>0</v>
      </c>
      <c r="T1100" s="26" t="n">
        <v>0</v>
      </c>
      <c r="U1100" s="26" t="n">
        <v>0</v>
      </c>
    </row>
    <row r="1101" customFormat="false" ht="15" hidden="false" customHeight="true" outlineLevel="0" collapsed="false">
      <c r="A1101" s="8" t="s">
        <v>944</v>
      </c>
      <c r="B1101" s="8" t="s">
        <v>292</v>
      </c>
      <c r="C1101" s="8" t="s">
        <v>876</v>
      </c>
      <c r="D1101" s="26" t="n">
        <v>0</v>
      </c>
      <c r="E1101" s="26" t="n">
        <v>0</v>
      </c>
      <c r="F1101" s="26" t="n">
        <v>1</v>
      </c>
      <c r="G1101" s="26" t="n">
        <v>0</v>
      </c>
      <c r="H1101" s="26" t="n">
        <v>0</v>
      </c>
      <c r="I1101" s="26" t="n">
        <v>0</v>
      </c>
      <c r="J1101" s="26" t="n">
        <v>0</v>
      </c>
      <c r="K1101" s="26" t="n">
        <v>0</v>
      </c>
      <c r="L1101" s="26" t="n">
        <v>0</v>
      </c>
      <c r="M1101" s="26" t="n">
        <v>0</v>
      </c>
      <c r="N1101" s="26" t="n">
        <v>0</v>
      </c>
      <c r="O1101" s="26" t="n">
        <v>0</v>
      </c>
      <c r="P1101" s="26" t="n">
        <v>0</v>
      </c>
      <c r="Q1101" s="26" t="n">
        <v>0</v>
      </c>
      <c r="R1101" s="26" t="n">
        <v>0</v>
      </c>
      <c r="S1101" s="26" t="n">
        <v>0</v>
      </c>
      <c r="T1101" s="26" t="n">
        <v>0</v>
      </c>
      <c r="U1101" s="26" t="n">
        <v>0</v>
      </c>
    </row>
    <row r="1102" customFormat="false" ht="15" hidden="false" customHeight="true" outlineLevel="0" collapsed="false">
      <c r="A1102" s="8" t="s">
        <v>944</v>
      </c>
      <c r="B1102" s="8" t="s">
        <v>24</v>
      </c>
      <c r="C1102" s="8" t="s">
        <v>877</v>
      </c>
      <c r="D1102" s="26" t="n">
        <v>0</v>
      </c>
      <c r="E1102" s="26" t="n">
        <v>0</v>
      </c>
      <c r="F1102" s="26" t="n">
        <v>0</v>
      </c>
      <c r="G1102" s="26" t="n">
        <v>0</v>
      </c>
      <c r="H1102" s="26" t="n">
        <v>0</v>
      </c>
      <c r="I1102" s="26" t="n">
        <v>-8</v>
      </c>
      <c r="J1102" s="26" t="n">
        <v>0</v>
      </c>
      <c r="K1102" s="26" t="n">
        <v>0</v>
      </c>
      <c r="L1102" s="26" t="n">
        <v>0</v>
      </c>
      <c r="M1102" s="26" t="n">
        <v>0</v>
      </c>
      <c r="N1102" s="26" t="n">
        <v>0</v>
      </c>
      <c r="O1102" s="26" t="n">
        <v>0</v>
      </c>
      <c r="P1102" s="26" t="n">
        <v>-8</v>
      </c>
      <c r="Q1102" s="26" t="n">
        <v>0</v>
      </c>
      <c r="R1102" s="26" t="n">
        <v>0</v>
      </c>
      <c r="S1102" s="26" t="n">
        <v>0</v>
      </c>
      <c r="T1102" s="26" t="n">
        <v>0</v>
      </c>
      <c r="U1102" s="26" t="n">
        <v>0</v>
      </c>
    </row>
    <row r="1103" customFormat="false" ht="15" hidden="false" customHeight="true" outlineLevel="0" collapsed="false">
      <c r="A1103" s="8" t="s">
        <v>944</v>
      </c>
      <c r="B1103" s="8" t="s">
        <v>24</v>
      </c>
      <c r="C1103" s="8" t="s">
        <v>878</v>
      </c>
      <c r="D1103" s="26" t="n">
        <v>0</v>
      </c>
      <c r="E1103" s="26" t="n">
        <v>0</v>
      </c>
      <c r="F1103" s="26" t="n">
        <v>0</v>
      </c>
      <c r="G1103" s="26" t="n">
        <v>0</v>
      </c>
      <c r="H1103" s="26" t="n">
        <v>0</v>
      </c>
      <c r="I1103" s="26" t="n">
        <v>-2</v>
      </c>
      <c r="J1103" s="26" t="n">
        <v>0</v>
      </c>
      <c r="K1103" s="26" t="n">
        <v>0</v>
      </c>
      <c r="L1103" s="26" t="n">
        <v>0</v>
      </c>
      <c r="M1103" s="26" t="n">
        <v>0</v>
      </c>
      <c r="N1103" s="26" t="n">
        <v>0</v>
      </c>
      <c r="O1103" s="26" t="n">
        <v>-2</v>
      </c>
      <c r="P1103" s="26" t="n">
        <v>0</v>
      </c>
      <c r="Q1103" s="26" t="n">
        <v>0</v>
      </c>
      <c r="R1103" s="26" t="n">
        <v>0</v>
      </c>
      <c r="S1103" s="26" t="n">
        <v>0</v>
      </c>
      <c r="T1103" s="26" t="n">
        <v>0</v>
      </c>
      <c r="U1103" s="26" t="n">
        <v>0</v>
      </c>
    </row>
    <row r="1104" customFormat="false" ht="15" hidden="false" customHeight="true" outlineLevel="0" collapsed="false">
      <c r="A1104" s="8" t="s">
        <v>944</v>
      </c>
      <c r="B1104" s="8" t="s">
        <v>24</v>
      </c>
      <c r="C1104" s="8" t="s">
        <v>879</v>
      </c>
      <c r="D1104" s="26" t="n">
        <v>0</v>
      </c>
      <c r="E1104" s="26" t="n">
        <v>0</v>
      </c>
      <c r="F1104" s="26" t="n">
        <v>0</v>
      </c>
      <c r="G1104" s="26" t="n">
        <v>0</v>
      </c>
      <c r="H1104" s="26" t="n">
        <v>0</v>
      </c>
      <c r="I1104" s="26" t="n">
        <v>-1</v>
      </c>
      <c r="J1104" s="26" t="n">
        <v>0</v>
      </c>
      <c r="K1104" s="26" t="n">
        <v>0</v>
      </c>
      <c r="L1104" s="26" t="n">
        <v>0</v>
      </c>
      <c r="M1104" s="26" t="n">
        <v>0</v>
      </c>
      <c r="N1104" s="26" t="n">
        <v>0</v>
      </c>
      <c r="O1104" s="26" t="n">
        <v>0</v>
      </c>
      <c r="P1104" s="26" t="n">
        <v>-1</v>
      </c>
      <c r="Q1104" s="26" t="n">
        <v>0</v>
      </c>
      <c r="R1104" s="26" t="n">
        <v>0</v>
      </c>
      <c r="S1104" s="26" t="n">
        <v>0</v>
      </c>
      <c r="T1104" s="26" t="n">
        <v>0</v>
      </c>
      <c r="U1104" s="26" t="n">
        <v>0</v>
      </c>
    </row>
    <row r="1105" customFormat="false" ht="15" hidden="false" customHeight="true" outlineLevel="0" collapsed="false">
      <c r="A1105" s="8" t="s">
        <v>944</v>
      </c>
      <c r="B1105" s="8" t="s">
        <v>252</v>
      </c>
      <c r="C1105" s="8" t="s">
        <v>880</v>
      </c>
      <c r="D1105" s="26" t="n">
        <v>0</v>
      </c>
      <c r="E1105" s="26" t="n">
        <v>0</v>
      </c>
      <c r="F1105" s="26" t="n">
        <v>26</v>
      </c>
      <c r="G1105" s="26" t="n">
        <v>0</v>
      </c>
      <c r="H1105" s="26" t="n">
        <v>0</v>
      </c>
      <c r="I1105" s="26" t="n">
        <v>180</v>
      </c>
      <c r="J1105" s="26" t="n">
        <v>0</v>
      </c>
      <c r="K1105" s="26" t="n">
        <v>0</v>
      </c>
      <c r="L1105" s="26" t="n">
        <v>0</v>
      </c>
      <c r="M1105" s="26" t="n">
        <v>0</v>
      </c>
      <c r="N1105" s="26" t="n">
        <v>0</v>
      </c>
      <c r="O1105" s="26" t="n">
        <v>0</v>
      </c>
      <c r="P1105" s="26" t="n">
        <v>0</v>
      </c>
      <c r="Q1105" s="26" t="n">
        <v>180</v>
      </c>
      <c r="R1105" s="26" t="n">
        <v>0</v>
      </c>
      <c r="S1105" s="26" t="n">
        <v>0</v>
      </c>
      <c r="T1105" s="26" t="n">
        <v>0</v>
      </c>
      <c r="U1105" s="26" t="n">
        <v>0</v>
      </c>
    </row>
    <row r="1106" customFormat="false" ht="15" hidden="false" customHeight="true" outlineLevel="0" collapsed="false">
      <c r="A1106" s="8" t="s">
        <v>944</v>
      </c>
      <c r="B1106" s="8" t="s">
        <v>245</v>
      </c>
      <c r="C1106" s="8" t="s">
        <v>880</v>
      </c>
      <c r="D1106" s="26" t="n">
        <v>0</v>
      </c>
      <c r="E1106" s="26" t="n">
        <v>0</v>
      </c>
      <c r="F1106" s="26" t="n">
        <v>32</v>
      </c>
      <c r="G1106" s="26" t="n">
        <v>0</v>
      </c>
      <c r="H1106" s="26" t="n">
        <v>0</v>
      </c>
      <c r="I1106" s="26" t="n">
        <v>258</v>
      </c>
      <c r="J1106" s="26" t="n">
        <v>0</v>
      </c>
      <c r="K1106" s="26" t="n">
        <v>0</v>
      </c>
      <c r="L1106" s="26" t="n">
        <v>0</v>
      </c>
      <c r="M1106" s="26" t="n">
        <v>0</v>
      </c>
      <c r="N1106" s="26" t="n">
        <v>0</v>
      </c>
      <c r="O1106" s="26" t="n">
        <v>0</v>
      </c>
      <c r="P1106" s="26" t="n">
        <v>0</v>
      </c>
      <c r="Q1106" s="26" t="n">
        <v>258</v>
      </c>
      <c r="R1106" s="26" t="n">
        <v>0</v>
      </c>
      <c r="S1106" s="26" t="n">
        <v>0</v>
      </c>
      <c r="T1106" s="26" t="n">
        <v>0</v>
      </c>
      <c r="U1106" s="26" t="n">
        <v>0</v>
      </c>
    </row>
    <row r="1107" customFormat="false" ht="15" hidden="false" customHeight="true" outlineLevel="0" collapsed="false">
      <c r="A1107" s="8" t="s">
        <v>944</v>
      </c>
      <c r="B1107" s="8" t="s">
        <v>253</v>
      </c>
      <c r="C1107" s="8" t="s">
        <v>880</v>
      </c>
      <c r="D1107" s="26" t="n">
        <v>0</v>
      </c>
      <c r="E1107" s="26" t="n">
        <v>0</v>
      </c>
      <c r="F1107" s="26" t="n">
        <v>24</v>
      </c>
      <c r="G1107" s="26" t="n">
        <v>0</v>
      </c>
      <c r="H1107" s="26" t="n">
        <v>0</v>
      </c>
      <c r="I1107" s="26" t="n">
        <v>246</v>
      </c>
      <c r="J1107" s="26" t="n">
        <v>0</v>
      </c>
      <c r="K1107" s="26" t="n">
        <v>0</v>
      </c>
      <c r="L1107" s="26" t="n">
        <v>0</v>
      </c>
      <c r="M1107" s="26" t="n">
        <v>0</v>
      </c>
      <c r="N1107" s="26" t="n">
        <v>0</v>
      </c>
      <c r="O1107" s="26" t="n">
        <v>0</v>
      </c>
      <c r="P1107" s="26" t="n">
        <v>0</v>
      </c>
      <c r="Q1107" s="26" t="n">
        <v>246</v>
      </c>
      <c r="R1107" s="26" t="n">
        <v>0</v>
      </c>
      <c r="S1107" s="26" t="n">
        <v>0</v>
      </c>
      <c r="T1107" s="26" t="n">
        <v>0</v>
      </c>
      <c r="U1107" s="26" t="n">
        <v>0</v>
      </c>
    </row>
    <row r="1108" customFormat="false" ht="15" hidden="false" customHeight="true" outlineLevel="0" collapsed="false">
      <c r="A1108" s="8" t="s">
        <v>944</v>
      </c>
      <c r="B1108" s="8" t="s">
        <v>276</v>
      </c>
      <c r="C1108" s="8" t="s">
        <v>880</v>
      </c>
      <c r="D1108" s="26" t="n">
        <v>0</v>
      </c>
      <c r="E1108" s="26" t="n">
        <v>0</v>
      </c>
      <c r="F1108" s="26" t="n">
        <v>13</v>
      </c>
      <c r="G1108" s="26" t="n">
        <v>0</v>
      </c>
      <c r="H1108" s="26" t="n">
        <v>0</v>
      </c>
      <c r="I1108" s="26" t="n">
        <v>76</v>
      </c>
      <c r="J1108" s="26" t="n">
        <v>0</v>
      </c>
      <c r="K1108" s="26" t="n">
        <v>0</v>
      </c>
      <c r="L1108" s="26" t="n">
        <v>0</v>
      </c>
      <c r="M1108" s="26" t="n">
        <v>0</v>
      </c>
      <c r="N1108" s="26" t="n">
        <v>0</v>
      </c>
      <c r="O1108" s="26" t="n">
        <v>0</v>
      </c>
      <c r="P1108" s="26" t="n">
        <v>0</v>
      </c>
      <c r="Q1108" s="26" t="n">
        <v>76</v>
      </c>
      <c r="R1108" s="26" t="n">
        <v>0</v>
      </c>
      <c r="S1108" s="26" t="n">
        <v>0</v>
      </c>
      <c r="T1108" s="26" t="n">
        <v>0</v>
      </c>
      <c r="U1108" s="26" t="n">
        <v>0</v>
      </c>
    </row>
    <row r="1109" customFormat="false" ht="15" hidden="false" customHeight="true" outlineLevel="0" collapsed="false">
      <c r="A1109" s="8" t="s">
        <v>944</v>
      </c>
      <c r="B1109" s="8" t="s">
        <v>247</v>
      </c>
      <c r="C1109" s="8" t="s">
        <v>881</v>
      </c>
      <c r="D1109" s="26" t="n">
        <v>0</v>
      </c>
      <c r="E1109" s="26" t="n">
        <v>0</v>
      </c>
      <c r="F1109" s="26" t="n">
        <v>28</v>
      </c>
      <c r="G1109" s="26" t="n">
        <v>0</v>
      </c>
      <c r="H1109" s="26" t="n">
        <v>0</v>
      </c>
      <c r="I1109" s="26" t="n">
        <v>244</v>
      </c>
      <c r="J1109" s="26" t="n">
        <v>0</v>
      </c>
      <c r="K1109" s="26" t="n">
        <v>0</v>
      </c>
      <c r="L1109" s="26" t="n">
        <v>0</v>
      </c>
      <c r="M1109" s="26" t="n">
        <v>0</v>
      </c>
      <c r="N1109" s="26" t="n">
        <v>0</v>
      </c>
      <c r="O1109" s="26" t="n">
        <v>0</v>
      </c>
      <c r="P1109" s="26" t="n">
        <v>0</v>
      </c>
      <c r="Q1109" s="26" t="n">
        <v>244</v>
      </c>
      <c r="R1109" s="26" t="n">
        <v>0</v>
      </c>
      <c r="S1109" s="26" t="n">
        <v>0</v>
      </c>
      <c r="T1109" s="26" t="n">
        <v>0</v>
      </c>
      <c r="U1109" s="26" t="n">
        <v>0</v>
      </c>
    </row>
    <row r="1110" customFormat="false" ht="15" hidden="false" customHeight="true" outlineLevel="0" collapsed="false">
      <c r="A1110" s="8" t="s">
        <v>944</v>
      </c>
      <c r="B1110" s="8" t="s">
        <v>243</v>
      </c>
      <c r="C1110" s="8" t="s">
        <v>881</v>
      </c>
      <c r="D1110" s="26" t="n">
        <v>0</v>
      </c>
      <c r="E1110" s="26" t="n">
        <v>0</v>
      </c>
      <c r="F1110" s="26" t="n">
        <v>44</v>
      </c>
      <c r="G1110" s="26" t="n">
        <v>0</v>
      </c>
      <c r="H1110" s="26" t="n">
        <v>0</v>
      </c>
      <c r="I1110" s="26" t="n">
        <v>419</v>
      </c>
      <c r="J1110" s="26" t="n">
        <v>0</v>
      </c>
      <c r="K1110" s="26" t="n">
        <v>0</v>
      </c>
      <c r="L1110" s="26" t="n">
        <v>0</v>
      </c>
      <c r="M1110" s="26" t="n">
        <v>0</v>
      </c>
      <c r="N1110" s="26" t="n">
        <v>0</v>
      </c>
      <c r="O1110" s="26" t="n">
        <v>0</v>
      </c>
      <c r="P1110" s="26" t="n">
        <v>0</v>
      </c>
      <c r="Q1110" s="26" t="n">
        <v>419</v>
      </c>
      <c r="R1110" s="26" t="n">
        <v>0</v>
      </c>
      <c r="S1110" s="26" t="n">
        <v>0</v>
      </c>
      <c r="T1110" s="26" t="n">
        <v>0</v>
      </c>
      <c r="U1110" s="26" t="n">
        <v>0</v>
      </c>
    </row>
    <row r="1111" customFormat="false" ht="15" hidden="false" customHeight="true" outlineLevel="0" collapsed="false">
      <c r="A1111" s="8" t="s">
        <v>944</v>
      </c>
      <c r="B1111" s="8" t="s">
        <v>271</v>
      </c>
      <c r="C1111" s="8" t="s">
        <v>881</v>
      </c>
      <c r="D1111" s="26" t="n">
        <v>0</v>
      </c>
      <c r="E1111" s="26" t="n">
        <v>0</v>
      </c>
      <c r="F1111" s="26" t="n">
        <v>35</v>
      </c>
      <c r="G1111" s="26" t="n">
        <v>0</v>
      </c>
      <c r="H1111" s="26" t="n">
        <v>0</v>
      </c>
      <c r="I1111" s="26" t="n">
        <v>395</v>
      </c>
      <c r="J1111" s="26" t="n">
        <v>0</v>
      </c>
      <c r="K1111" s="26" t="n">
        <v>0</v>
      </c>
      <c r="L1111" s="26" t="n">
        <v>0</v>
      </c>
      <c r="M1111" s="26" t="n">
        <v>0</v>
      </c>
      <c r="N1111" s="26" t="n">
        <v>0</v>
      </c>
      <c r="O1111" s="26" t="n">
        <v>0</v>
      </c>
      <c r="P1111" s="26" t="n">
        <v>0</v>
      </c>
      <c r="Q1111" s="26" t="n">
        <v>395</v>
      </c>
      <c r="R1111" s="26" t="n">
        <v>0</v>
      </c>
      <c r="S1111" s="26" t="n">
        <v>0</v>
      </c>
      <c r="T1111" s="26" t="n">
        <v>0</v>
      </c>
      <c r="U1111" s="26" t="n">
        <v>0</v>
      </c>
    </row>
    <row r="1112" customFormat="false" ht="15" hidden="false" customHeight="true" outlineLevel="0" collapsed="false">
      <c r="A1112" s="8" t="s">
        <v>944</v>
      </c>
      <c r="B1112" s="8" t="s">
        <v>261</v>
      </c>
      <c r="C1112" s="8" t="s">
        <v>881</v>
      </c>
      <c r="D1112" s="26" t="n">
        <v>0</v>
      </c>
      <c r="E1112" s="26" t="n">
        <v>0</v>
      </c>
      <c r="F1112" s="26" t="n">
        <v>16</v>
      </c>
      <c r="G1112" s="26" t="n">
        <v>0</v>
      </c>
      <c r="H1112" s="26" t="n">
        <v>0</v>
      </c>
      <c r="I1112" s="26" t="n">
        <v>62</v>
      </c>
      <c r="J1112" s="26" t="n">
        <v>0</v>
      </c>
      <c r="K1112" s="26" t="n">
        <v>0</v>
      </c>
      <c r="L1112" s="26" t="n">
        <v>0</v>
      </c>
      <c r="M1112" s="26" t="n">
        <v>0</v>
      </c>
      <c r="N1112" s="26" t="n">
        <v>0</v>
      </c>
      <c r="O1112" s="26" t="n">
        <v>0</v>
      </c>
      <c r="P1112" s="26" t="n">
        <v>0</v>
      </c>
      <c r="Q1112" s="26" t="n">
        <v>62</v>
      </c>
      <c r="R1112" s="26" t="n">
        <v>0</v>
      </c>
      <c r="S1112" s="26" t="n">
        <v>0</v>
      </c>
      <c r="T1112" s="26" t="n">
        <v>0</v>
      </c>
      <c r="U1112" s="26" t="n">
        <v>0</v>
      </c>
    </row>
    <row r="1113" customFormat="false" ht="15" hidden="false" customHeight="true" outlineLevel="0" collapsed="false">
      <c r="A1113" s="8" t="s">
        <v>944</v>
      </c>
      <c r="B1113" s="8" t="s">
        <v>164</v>
      </c>
      <c r="C1113" s="8" t="s">
        <v>882</v>
      </c>
      <c r="D1113" s="26" t="n">
        <v>0</v>
      </c>
      <c r="E1113" s="26" t="n">
        <v>0</v>
      </c>
      <c r="F1113" s="26" t="n">
        <v>-1</v>
      </c>
      <c r="G1113" s="26" t="n">
        <v>0</v>
      </c>
      <c r="H1113" s="26" t="n">
        <v>0</v>
      </c>
      <c r="I1113" s="26" t="n">
        <v>-1</v>
      </c>
      <c r="J1113" s="26" t="n">
        <v>0</v>
      </c>
      <c r="K1113" s="26" t="n">
        <v>0</v>
      </c>
      <c r="L1113" s="26" t="n">
        <v>0</v>
      </c>
      <c r="M1113" s="26" t="n">
        <v>0</v>
      </c>
      <c r="N1113" s="26" t="n">
        <v>0</v>
      </c>
      <c r="O1113" s="26" t="n">
        <v>0</v>
      </c>
      <c r="P1113" s="26" t="n">
        <v>-1</v>
      </c>
      <c r="Q1113" s="26" t="n">
        <v>0</v>
      </c>
      <c r="R1113" s="26" t="n">
        <v>0</v>
      </c>
      <c r="S1113" s="26" t="n">
        <v>0</v>
      </c>
      <c r="T1113" s="26" t="n">
        <v>0</v>
      </c>
      <c r="U1113" s="26" t="n">
        <v>-1</v>
      </c>
    </row>
    <row r="1114" customFormat="false" ht="15" hidden="false" customHeight="true" outlineLevel="0" collapsed="false">
      <c r="A1114" s="8" t="s">
        <v>944</v>
      </c>
      <c r="B1114" s="8" t="s">
        <v>164</v>
      </c>
      <c r="C1114" s="8" t="s">
        <v>883</v>
      </c>
      <c r="D1114" s="26" t="n">
        <v>0</v>
      </c>
      <c r="E1114" s="26" t="n">
        <v>0</v>
      </c>
      <c r="F1114" s="26" t="n">
        <v>2</v>
      </c>
      <c r="G1114" s="26" t="n">
        <v>0</v>
      </c>
      <c r="H1114" s="26" t="n">
        <v>0</v>
      </c>
      <c r="I1114" s="26" t="n">
        <v>3</v>
      </c>
      <c r="J1114" s="26" t="n">
        <v>0</v>
      </c>
      <c r="K1114" s="26" t="n">
        <v>0</v>
      </c>
      <c r="L1114" s="26" t="n">
        <v>-1</v>
      </c>
      <c r="M1114" s="26" t="n">
        <v>0</v>
      </c>
      <c r="N1114" s="26" t="n">
        <v>0</v>
      </c>
      <c r="O1114" s="26" t="n">
        <v>0</v>
      </c>
      <c r="P1114" s="26" t="n">
        <v>-1</v>
      </c>
      <c r="Q1114" s="26" t="n">
        <v>0</v>
      </c>
      <c r="R1114" s="26" t="n">
        <v>5</v>
      </c>
      <c r="S1114" s="26" t="n">
        <v>0</v>
      </c>
      <c r="T1114" s="26" t="n">
        <v>0</v>
      </c>
      <c r="U1114" s="26" t="n">
        <v>-1</v>
      </c>
    </row>
    <row r="1115" customFormat="false" ht="15" hidden="false" customHeight="true" outlineLevel="0" collapsed="false">
      <c r="A1115" s="8" t="s">
        <v>944</v>
      </c>
      <c r="B1115" s="8" t="s">
        <v>282</v>
      </c>
      <c r="C1115" s="8" t="s">
        <v>884</v>
      </c>
      <c r="D1115" s="26" t="n">
        <v>0</v>
      </c>
      <c r="E1115" s="26" t="n">
        <v>0</v>
      </c>
      <c r="F1115" s="26" t="n">
        <v>57</v>
      </c>
      <c r="G1115" s="26" t="n">
        <v>0</v>
      </c>
      <c r="H1115" s="26" t="n">
        <v>0</v>
      </c>
      <c r="I1115" s="26" t="n">
        <v>864</v>
      </c>
      <c r="J1115" s="26" t="n">
        <v>0</v>
      </c>
      <c r="K1115" s="26" t="n">
        <v>3</v>
      </c>
      <c r="L1115" s="26" t="n">
        <v>0</v>
      </c>
      <c r="M1115" s="26" t="n">
        <v>4</v>
      </c>
      <c r="N1115" s="26" t="n">
        <v>2</v>
      </c>
      <c r="O1115" s="26" t="n">
        <v>0</v>
      </c>
      <c r="P1115" s="26" t="n">
        <v>0</v>
      </c>
      <c r="Q1115" s="26" t="n">
        <v>830</v>
      </c>
      <c r="R1115" s="26" t="n">
        <v>25</v>
      </c>
      <c r="S1115" s="26" t="n">
        <v>0</v>
      </c>
      <c r="T1115" s="26" t="n">
        <v>0</v>
      </c>
      <c r="U1115" s="26" t="n">
        <v>0</v>
      </c>
    </row>
    <row r="1116" customFormat="false" ht="15" hidden="false" customHeight="true" outlineLevel="0" collapsed="false">
      <c r="A1116" s="8" t="s">
        <v>944</v>
      </c>
      <c r="B1116" s="8" t="s">
        <v>95</v>
      </c>
      <c r="C1116" s="8" t="s">
        <v>885</v>
      </c>
      <c r="D1116" s="26" t="n">
        <v>0</v>
      </c>
      <c r="E1116" s="26" t="n">
        <v>0</v>
      </c>
      <c r="F1116" s="26" t="n">
        <v>926</v>
      </c>
      <c r="G1116" s="26" t="n">
        <v>0</v>
      </c>
      <c r="H1116" s="26" t="n">
        <v>0</v>
      </c>
      <c r="I1116" s="26" t="n">
        <v>641</v>
      </c>
      <c r="J1116" s="26" t="n">
        <v>0</v>
      </c>
      <c r="K1116" s="26" t="n">
        <v>17</v>
      </c>
      <c r="L1116" s="26" t="n">
        <v>0</v>
      </c>
      <c r="M1116" s="26" t="n">
        <v>0</v>
      </c>
      <c r="N1116" s="26" t="n">
        <v>14</v>
      </c>
      <c r="O1116" s="26" t="n">
        <v>0</v>
      </c>
      <c r="P1116" s="26" t="n">
        <v>-2</v>
      </c>
      <c r="Q1116" s="26" t="n">
        <v>561</v>
      </c>
      <c r="R1116" s="26" t="n">
        <v>51</v>
      </c>
      <c r="S1116" s="26" t="n">
        <v>3</v>
      </c>
      <c r="T1116" s="26" t="n">
        <v>0</v>
      </c>
      <c r="U1116" s="26" t="n">
        <v>0</v>
      </c>
    </row>
    <row r="1117" customFormat="false" ht="15" hidden="false" customHeight="true" outlineLevel="0" collapsed="false">
      <c r="A1117" s="8" t="s">
        <v>944</v>
      </c>
      <c r="B1117" s="8" t="s">
        <v>177</v>
      </c>
      <c r="C1117" s="8" t="s">
        <v>886</v>
      </c>
      <c r="D1117" s="26" t="n">
        <v>0</v>
      </c>
      <c r="E1117" s="26" t="n">
        <v>0</v>
      </c>
      <c r="F1117" s="26" t="n">
        <v>147</v>
      </c>
      <c r="G1117" s="26" t="n">
        <v>0</v>
      </c>
      <c r="H1117" s="26" t="n">
        <v>0</v>
      </c>
      <c r="I1117" s="26" t="n">
        <v>320</v>
      </c>
      <c r="J1117" s="26" t="n">
        <v>0</v>
      </c>
      <c r="K1117" s="26" t="n">
        <v>2</v>
      </c>
      <c r="L1117" s="26" t="n">
        <v>0</v>
      </c>
      <c r="M1117" s="26" t="n">
        <v>5</v>
      </c>
      <c r="N1117" s="26" t="n">
        <v>1</v>
      </c>
      <c r="O1117" s="26" t="n">
        <v>0</v>
      </c>
      <c r="P1117" s="26" t="n">
        <v>0</v>
      </c>
      <c r="Q1117" s="26" t="n">
        <v>299</v>
      </c>
      <c r="R1117" s="26" t="n">
        <v>13</v>
      </c>
      <c r="S1117" s="26" t="n">
        <v>0</v>
      </c>
      <c r="T1117" s="26" t="n">
        <v>0</v>
      </c>
      <c r="U1117" s="26" t="n">
        <v>0</v>
      </c>
    </row>
    <row r="1118" customFormat="false" ht="15" hidden="false" customHeight="true" outlineLevel="0" collapsed="false">
      <c r="A1118" s="8" t="s">
        <v>944</v>
      </c>
      <c r="B1118" s="8" t="s">
        <v>95</v>
      </c>
      <c r="C1118" s="8" t="s">
        <v>887</v>
      </c>
      <c r="D1118" s="26" t="n">
        <v>0</v>
      </c>
      <c r="E1118" s="26" t="n">
        <v>0</v>
      </c>
      <c r="F1118" s="26" t="n">
        <v>107</v>
      </c>
      <c r="G1118" s="26" t="n">
        <v>0</v>
      </c>
      <c r="H1118" s="26" t="n">
        <v>0</v>
      </c>
      <c r="I1118" s="26" t="n">
        <v>97</v>
      </c>
      <c r="J1118" s="26" t="n">
        <v>0</v>
      </c>
      <c r="K1118" s="26" t="n">
        <v>0</v>
      </c>
      <c r="L1118" s="26" t="n">
        <v>0</v>
      </c>
      <c r="M1118" s="26" t="n">
        <v>0</v>
      </c>
      <c r="N1118" s="26" t="n">
        <v>-1</v>
      </c>
      <c r="O1118" s="26" t="n">
        <v>0</v>
      </c>
      <c r="P1118" s="26" t="n">
        <v>0</v>
      </c>
      <c r="Q1118" s="26" t="n">
        <v>98</v>
      </c>
      <c r="R1118" s="26" t="n">
        <v>0</v>
      </c>
      <c r="S1118" s="26" t="n">
        <v>0</v>
      </c>
      <c r="T1118" s="26" t="n">
        <v>0</v>
      </c>
      <c r="U1118" s="26" t="n">
        <v>0</v>
      </c>
    </row>
    <row r="1119" customFormat="false" ht="15" hidden="false" customHeight="true" outlineLevel="0" collapsed="false">
      <c r="A1119" s="8" t="s">
        <v>944</v>
      </c>
      <c r="B1119" s="8" t="s">
        <v>348</v>
      </c>
      <c r="C1119" s="8" t="s">
        <v>888</v>
      </c>
      <c r="D1119" s="26" t="n">
        <v>0</v>
      </c>
      <c r="E1119" s="26" t="n">
        <v>0</v>
      </c>
      <c r="F1119" s="26" t="n">
        <v>-4</v>
      </c>
      <c r="G1119" s="26" t="n">
        <v>0</v>
      </c>
      <c r="H1119" s="26" t="n">
        <v>0</v>
      </c>
      <c r="I1119" s="26" t="n">
        <v>0</v>
      </c>
      <c r="J1119" s="26" t="n">
        <v>0</v>
      </c>
      <c r="K1119" s="26" t="n">
        <v>0</v>
      </c>
      <c r="L1119" s="26" t="n">
        <v>0</v>
      </c>
      <c r="M1119" s="26" t="n">
        <v>0</v>
      </c>
      <c r="N1119" s="26" t="n">
        <v>0</v>
      </c>
      <c r="O1119" s="26" t="n">
        <v>0</v>
      </c>
      <c r="P1119" s="26" t="n">
        <v>0</v>
      </c>
      <c r="Q1119" s="26" t="n">
        <v>0</v>
      </c>
      <c r="R1119" s="26" t="n">
        <v>0</v>
      </c>
      <c r="S1119" s="26" t="n">
        <v>0</v>
      </c>
      <c r="T1119" s="26" t="n">
        <v>0</v>
      </c>
      <c r="U1119" s="26" t="n">
        <v>0</v>
      </c>
    </row>
    <row r="1120" customFormat="false" ht="15" hidden="false" customHeight="true" outlineLevel="0" collapsed="false">
      <c r="A1120" s="8" t="s">
        <v>944</v>
      </c>
      <c r="B1120" s="8" t="s">
        <v>98</v>
      </c>
      <c r="C1120" s="8" t="s">
        <v>889</v>
      </c>
      <c r="D1120" s="26" t="n">
        <v>0</v>
      </c>
      <c r="E1120" s="26" t="n">
        <v>0</v>
      </c>
      <c r="F1120" s="26" t="n">
        <v>291</v>
      </c>
      <c r="G1120" s="26" t="n">
        <v>0</v>
      </c>
      <c r="H1120" s="26" t="n">
        <v>0</v>
      </c>
      <c r="I1120" s="26" t="n">
        <v>2</v>
      </c>
      <c r="J1120" s="26" t="n">
        <v>0</v>
      </c>
      <c r="K1120" s="26" t="n">
        <v>0</v>
      </c>
      <c r="L1120" s="26" t="n">
        <v>0</v>
      </c>
      <c r="M1120" s="26" t="n">
        <v>0</v>
      </c>
      <c r="N1120" s="26" t="n">
        <v>2</v>
      </c>
      <c r="O1120" s="26" t="n">
        <v>0</v>
      </c>
      <c r="P1120" s="26" t="n">
        <v>0</v>
      </c>
      <c r="Q1120" s="26" t="n">
        <v>0</v>
      </c>
      <c r="R1120" s="26" t="n">
        <v>0</v>
      </c>
      <c r="S1120" s="26" t="n">
        <v>0</v>
      </c>
      <c r="T1120" s="26" t="n">
        <v>0</v>
      </c>
      <c r="U1120" s="26" t="n">
        <v>0</v>
      </c>
    </row>
    <row r="1121" customFormat="false" ht="15" hidden="false" customHeight="true" outlineLevel="0" collapsed="false">
      <c r="A1121" s="8" t="s">
        <v>944</v>
      </c>
      <c r="B1121" s="8" t="s">
        <v>98</v>
      </c>
      <c r="C1121" s="8" t="s">
        <v>890</v>
      </c>
      <c r="D1121" s="26" t="n">
        <v>0</v>
      </c>
      <c r="E1121" s="26" t="n">
        <v>0</v>
      </c>
      <c r="F1121" s="26" t="n">
        <v>183</v>
      </c>
      <c r="G1121" s="26" t="n">
        <v>0</v>
      </c>
      <c r="H1121" s="26" t="n">
        <v>0</v>
      </c>
      <c r="I1121" s="26" t="n">
        <v>2</v>
      </c>
      <c r="J1121" s="26" t="n">
        <v>0</v>
      </c>
      <c r="K1121" s="26" t="n">
        <v>0</v>
      </c>
      <c r="L1121" s="26" t="n">
        <v>0</v>
      </c>
      <c r="M1121" s="26" t="n">
        <v>0</v>
      </c>
      <c r="N1121" s="26" t="n">
        <v>2</v>
      </c>
      <c r="O1121" s="26" t="n">
        <v>0</v>
      </c>
      <c r="P1121" s="26" t="n">
        <v>0</v>
      </c>
      <c r="Q1121" s="26" t="n">
        <v>0</v>
      </c>
      <c r="R1121" s="26" t="n">
        <v>0</v>
      </c>
      <c r="S1121" s="26" t="n">
        <v>0</v>
      </c>
      <c r="T1121" s="26" t="n">
        <v>0</v>
      </c>
      <c r="U1121" s="26" t="n">
        <v>0</v>
      </c>
    </row>
    <row r="1122" customFormat="false" ht="15" hidden="false" customHeight="true" outlineLevel="0" collapsed="false">
      <c r="A1122" s="8" t="s">
        <v>944</v>
      </c>
      <c r="B1122" s="8" t="s">
        <v>98</v>
      </c>
      <c r="C1122" s="8" t="s">
        <v>891</v>
      </c>
      <c r="D1122" s="26" t="n">
        <v>0</v>
      </c>
      <c r="E1122" s="26" t="n">
        <v>0</v>
      </c>
      <c r="F1122" s="26" t="n">
        <v>264</v>
      </c>
      <c r="G1122" s="26" t="n">
        <v>0</v>
      </c>
      <c r="H1122" s="26" t="n">
        <v>0</v>
      </c>
      <c r="I1122" s="26" t="n">
        <v>1</v>
      </c>
      <c r="J1122" s="26" t="n">
        <v>0</v>
      </c>
      <c r="K1122" s="26" t="n">
        <v>0</v>
      </c>
      <c r="L1122" s="26" t="n">
        <v>0</v>
      </c>
      <c r="M1122" s="26" t="n">
        <v>0</v>
      </c>
      <c r="N1122" s="26" t="n">
        <v>1</v>
      </c>
      <c r="O1122" s="26" t="n">
        <v>0</v>
      </c>
      <c r="P1122" s="26" t="n">
        <v>0</v>
      </c>
      <c r="Q1122" s="26" t="n">
        <v>0</v>
      </c>
      <c r="R1122" s="26" t="n">
        <v>0</v>
      </c>
      <c r="S1122" s="26" t="n">
        <v>0</v>
      </c>
      <c r="T1122" s="26" t="n">
        <v>0</v>
      </c>
      <c r="U1122" s="26" t="n">
        <v>0</v>
      </c>
    </row>
    <row r="1123" customFormat="false" ht="15" hidden="false" customHeight="true" outlineLevel="0" collapsed="false">
      <c r="A1123" s="8" t="s">
        <v>944</v>
      </c>
      <c r="B1123" s="8" t="s">
        <v>98</v>
      </c>
      <c r="C1123" s="8" t="s">
        <v>892</v>
      </c>
      <c r="D1123" s="26" t="n">
        <v>0</v>
      </c>
      <c r="E1123" s="26" t="n">
        <v>0</v>
      </c>
      <c r="F1123" s="26" t="n">
        <v>135</v>
      </c>
      <c r="G1123" s="26" t="n">
        <v>0</v>
      </c>
      <c r="H1123" s="26" t="n">
        <v>0</v>
      </c>
      <c r="I1123" s="26" t="n">
        <v>1</v>
      </c>
      <c r="J1123" s="26" t="n">
        <v>0</v>
      </c>
      <c r="K1123" s="26" t="n">
        <v>0</v>
      </c>
      <c r="L1123" s="26" t="n">
        <v>0</v>
      </c>
      <c r="M1123" s="26" t="n">
        <v>0</v>
      </c>
      <c r="N1123" s="26" t="n">
        <v>1</v>
      </c>
      <c r="O1123" s="26" t="n">
        <v>0</v>
      </c>
      <c r="P1123" s="26" t="n">
        <v>0</v>
      </c>
      <c r="Q1123" s="26" t="n">
        <v>0</v>
      </c>
      <c r="R1123" s="26" t="n">
        <v>0</v>
      </c>
      <c r="S1123" s="26" t="n">
        <v>0</v>
      </c>
      <c r="T1123" s="26" t="n">
        <v>0</v>
      </c>
      <c r="U1123" s="26" t="n">
        <v>0</v>
      </c>
    </row>
    <row r="1124" customFormat="false" ht="15" hidden="false" customHeight="true" outlineLevel="0" collapsed="false">
      <c r="A1124" s="8" t="s">
        <v>944</v>
      </c>
      <c r="B1124" s="8" t="s">
        <v>98</v>
      </c>
      <c r="C1124" s="8" t="s">
        <v>893</v>
      </c>
      <c r="D1124" s="26" t="n">
        <v>0</v>
      </c>
      <c r="E1124" s="26" t="n">
        <v>0</v>
      </c>
      <c r="F1124" s="26" t="n">
        <v>47</v>
      </c>
      <c r="G1124" s="26" t="n">
        <v>0</v>
      </c>
      <c r="H1124" s="26" t="n">
        <v>0</v>
      </c>
      <c r="I1124" s="26" t="n">
        <v>0</v>
      </c>
      <c r="J1124" s="26" t="n">
        <v>0</v>
      </c>
      <c r="K1124" s="26" t="n">
        <v>0</v>
      </c>
      <c r="L1124" s="26" t="n">
        <v>0</v>
      </c>
      <c r="M1124" s="26" t="n">
        <v>0</v>
      </c>
      <c r="N1124" s="26" t="n">
        <v>0</v>
      </c>
      <c r="O1124" s="26" t="n">
        <v>0</v>
      </c>
      <c r="P1124" s="26" t="n">
        <v>0</v>
      </c>
      <c r="Q1124" s="26" t="n">
        <v>0</v>
      </c>
      <c r="R1124" s="26" t="n">
        <v>0</v>
      </c>
      <c r="S1124" s="26" t="n">
        <v>0</v>
      </c>
      <c r="T1124" s="26" t="n">
        <v>0</v>
      </c>
      <c r="U1124" s="26" t="n">
        <v>0</v>
      </c>
    </row>
    <row r="1125" customFormat="false" ht="15" hidden="false" customHeight="true" outlineLevel="0" collapsed="false">
      <c r="A1125" s="8" t="s">
        <v>944</v>
      </c>
      <c r="B1125" s="8" t="s">
        <v>90</v>
      </c>
      <c r="C1125" s="8" t="s">
        <v>894</v>
      </c>
      <c r="D1125" s="26" t="n">
        <v>0</v>
      </c>
      <c r="E1125" s="26" t="n">
        <v>0</v>
      </c>
      <c r="F1125" s="26" t="n">
        <v>385</v>
      </c>
      <c r="G1125" s="26" t="n">
        <v>0</v>
      </c>
      <c r="H1125" s="26" t="n">
        <v>0</v>
      </c>
      <c r="I1125" s="26" t="n">
        <v>47</v>
      </c>
      <c r="J1125" s="26" t="n">
        <v>0</v>
      </c>
      <c r="K1125" s="26" t="n">
        <v>27</v>
      </c>
      <c r="L1125" s="26" t="n">
        <v>0</v>
      </c>
      <c r="M1125" s="26" t="n">
        <v>0</v>
      </c>
      <c r="N1125" s="26" t="n">
        <v>3</v>
      </c>
      <c r="O1125" s="26" t="n">
        <v>0</v>
      </c>
      <c r="P1125" s="26" t="n">
        <v>-1</v>
      </c>
      <c r="Q1125" s="26" t="n">
        <v>0</v>
      </c>
      <c r="R1125" s="26" t="n">
        <v>18</v>
      </c>
      <c r="S1125" s="26" t="n">
        <v>0</v>
      </c>
      <c r="T1125" s="26" t="n">
        <v>0</v>
      </c>
      <c r="U1125" s="26" t="n">
        <v>0</v>
      </c>
    </row>
    <row r="1126" customFormat="false" ht="15" hidden="false" customHeight="true" outlineLevel="0" collapsed="false">
      <c r="A1126" s="8" t="s">
        <v>944</v>
      </c>
      <c r="B1126" s="8" t="s">
        <v>90</v>
      </c>
      <c r="C1126" s="8" t="s">
        <v>895</v>
      </c>
      <c r="D1126" s="26" t="n">
        <v>0</v>
      </c>
      <c r="E1126" s="26" t="n">
        <v>0</v>
      </c>
      <c r="F1126" s="26" t="n">
        <v>279</v>
      </c>
      <c r="G1126" s="26" t="n">
        <v>0</v>
      </c>
      <c r="H1126" s="26" t="n">
        <v>0</v>
      </c>
      <c r="I1126" s="26" t="n">
        <v>15</v>
      </c>
      <c r="J1126" s="26" t="n">
        <v>0</v>
      </c>
      <c r="K1126" s="26" t="n">
        <v>9</v>
      </c>
      <c r="L1126" s="26" t="n">
        <v>0</v>
      </c>
      <c r="M1126" s="26" t="n">
        <v>0</v>
      </c>
      <c r="N1126" s="26" t="n">
        <v>2</v>
      </c>
      <c r="O1126" s="26" t="n">
        <v>0</v>
      </c>
      <c r="P1126" s="26" t="n">
        <v>0</v>
      </c>
      <c r="Q1126" s="26" t="n">
        <v>0</v>
      </c>
      <c r="R1126" s="26" t="n">
        <v>4</v>
      </c>
      <c r="S1126" s="26" t="n">
        <v>0</v>
      </c>
      <c r="T1126" s="26" t="n">
        <v>0</v>
      </c>
      <c r="U1126" s="26" t="n">
        <v>0</v>
      </c>
    </row>
    <row r="1127" customFormat="false" ht="15" hidden="false" customHeight="true" outlineLevel="0" collapsed="false">
      <c r="A1127" s="8" t="s">
        <v>944</v>
      </c>
      <c r="B1127" s="8" t="s">
        <v>90</v>
      </c>
      <c r="C1127" s="8" t="s">
        <v>896</v>
      </c>
      <c r="D1127" s="26" t="n">
        <v>0</v>
      </c>
      <c r="E1127" s="26" t="n">
        <v>0</v>
      </c>
      <c r="F1127" s="26" t="n">
        <v>276</v>
      </c>
      <c r="G1127" s="26" t="n">
        <v>0</v>
      </c>
      <c r="H1127" s="26" t="n">
        <v>0</v>
      </c>
      <c r="I1127" s="26" t="n">
        <v>40</v>
      </c>
      <c r="J1127" s="26" t="n">
        <v>0</v>
      </c>
      <c r="K1127" s="26" t="n">
        <v>17</v>
      </c>
      <c r="L1127" s="26" t="n">
        <v>0</v>
      </c>
      <c r="M1127" s="26" t="n">
        <v>0</v>
      </c>
      <c r="N1127" s="26" t="n">
        <v>0</v>
      </c>
      <c r="O1127" s="26" t="n">
        <v>0</v>
      </c>
      <c r="P1127" s="26" t="n">
        <v>0</v>
      </c>
      <c r="Q1127" s="26" t="n">
        <v>0</v>
      </c>
      <c r="R1127" s="26" t="n">
        <v>23</v>
      </c>
      <c r="S1127" s="26" t="n">
        <v>0</v>
      </c>
      <c r="T1127" s="26" t="n">
        <v>0</v>
      </c>
      <c r="U1127" s="26" t="n">
        <v>0</v>
      </c>
    </row>
    <row r="1128" customFormat="false" ht="15" hidden="false" customHeight="true" outlineLevel="0" collapsed="false">
      <c r="A1128" s="8" t="s">
        <v>944</v>
      </c>
      <c r="B1128" s="8" t="s">
        <v>90</v>
      </c>
      <c r="C1128" s="8" t="s">
        <v>897</v>
      </c>
      <c r="D1128" s="26" t="n">
        <v>0</v>
      </c>
      <c r="E1128" s="26" t="n">
        <v>0</v>
      </c>
      <c r="F1128" s="26" t="n">
        <v>121</v>
      </c>
      <c r="G1128" s="26" t="n">
        <v>0</v>
      </c>
      <c r="H1128" s="26" t="n">
        <v>0</v>
      </c>
      <c r="I1128" s="26" t="n">
        <v>13</v>
      </c>
      <c r="J1128" s="26" t="n">
        <v>0</v>
      </c>
      <c r="K1128" s="26" t="n">
        <v>11</v>
      </c>
      <c r="L1128" s="26" t="n">
        <v>0</v>
      </c>
      <c r="M1128" s="26" t="n">
        <v>0</v>
      </c>
      <c r="N1128" s="26" t="n">
        <v>1</v>
      </c>
      <c r="O1128" s="26" t="n">
        <v>0</v>
      </c>
      <c r="P1128" s="26" t="n">
        <v>-1</v>
      </c>
      <c r="Q1128" s="26" t="n">
        <v>0</v>
      </c>
      <c r="R1128" s="26" t="n">
        <v>2</v>
      </c>
      <c r="S1128" s="26" t="n">
        <v>0</v>
      </c>
      <c r="T1128" s="26" t="n">
        <v>0</v>
      </c>
      <c r="U1128" s="26" t="n">
        <v>0</v>
      </c>
    </row>
    <row r="1129" customFormat="false" ht="15" hidden="false" customHeight="true" outlineLevel="0" collapsed="false">
      <c r="A1129" s="8" t="s">
        <v>944</v>
      </c>
      <c r="B1129" s="8" t="s">
        <v>90</v>
      </c>
      <c r="C1129" s="8" t="s">
        <v>898</v>
      </c>
      <c r="D1129" s="26" t="n">
        <v>0</v>
      </c>
      <c r="E1129" s="26" t="n">
        <v>0</v>
      </c>
      <c r="F1129" s="26" t="n">
        <v>83</v>
      </c>
      <c r="G1129" s="26" t="n">
        <v>0</v>
      </c>
      <c r="H1129" s="26" t="n">
        <v>0</v>
      </c>
      <c r="I1129" s="26" t="n">
        <v>20</v>
      </c>
      <c r="J1129" s="26" t="n">
        <v>0</v>
      </c>
      <c r="K1129" s="26" t="n">
        <v>12</v>
      </c>
      <c r="L1129" s="26" t="n">
        <v>0</v>
      </c>
      <c r="M1129" s="26" t="n">
        <v>0</v>
      </c>
      <c r="N1129" s="26" t="n">
        <v>0</v>
      </c>
      <c r="O1129" s="26" t="n">
        <v>0</v>
      </c>
      <c r="P1129" s="26" t="n">
        <v>-2</v>
      </c>
      <c r="Q1129" s="26" t="n">
        <v>0</v>
      </c>
      <c r="R1129" s="26" t="n">
        <v>10</v>
      </c>
      <c r="S1129" s="26" t="n">
        <v>0</v>
      </c>
      <c r="T1129" s="26" t="n">
        <v>0</v>
      </c>
      <c r="U1129" s="26" t="n">
        <v>0</v>
      </c>
    </row>
    <row r="1130" customFormat="false" ht="15" hidden="false" customHeight="true" outlineLevel="0" collapsed="false">
      <c r="A1130" s="8" t="s">
        <v>944</v>
      </c>
      <c r="B1130" s="8" t="s">
        <v>142</v>
      </c>
      <c r="C1130" s="8" t="s">
        <v>899</v>
      </c>
      <c r="D1130" s="26" t="n">
        <v>0</v>
      </c>
      <c r="E1130" s="26" t="n">
        <v>0</v>
      </c>
      <c r="F1130" s="26" t="n">
        <v>92</v>
      </c>
      <c r="G1130" s="26" t="n">
        <v>0</v>
      </c>
      <c r="H1130" s="26" t="n">
        <v>0</v>
      </c>
      <c r="I1130" s="26" t="n">
        <v>2</v>
      </c>
      <c r="J1130" s="26" t="n">
        <v>0</v>
      </c>
      <c r="K1130" s="26" t="n">
        <v>0</v>
      </c>
      <c r="L1130" s="26" t="n">
        <v>0</v>
      </c>
      <c r="M1130" s="26" t="n">
        <v>0</v>
      </c>
      <c r="N1130" s="26" t="n">
        <v>2</v>
      </c>
      <c r="O1130" s="26" t="n">
        <v>0</v>
      </c>
      <c r="P1130" s="26" t="n">
        <v>0</v>
      </c>
      <c r="Q1130" s="26" t="n">
        <v>0</v>
      </c>
      <c r="R1130" s="26" t="n">
        <v>0</v>
      </c>
      <c r="S1130" s="26" t="n">
        <v>0</v>
      </c>
      <c r="T1130" s="26" t="n">
        <v>0</v>
      </c>
      <c r="U1130" s="26" t="n">
        <v>0</v>
      </c>
    </row>
    <row r="1131" customFormat="false" ht="15" hidden="false" customHeight="true" outlineLevel="0" collapsed="false">
      <c r="A1131" s="8" t="s">
        <v>944</v>
      </c>
      <c r="B1131" s="8" t="s">
        <v>142</v>
      </c>
      <c r="C1131" s="8" t="s">
        <v>900</v>
      </c>
      <c r="D1131" s="26" t="n">
        <v>0</v>
      </c>
      <c r="E1131" s="26" t="n">
        <v>0</v>
      </c>
      <c r="F1131" s="26" t="n">
        <v>169</v>
      </c>
      <c r="G1131" s="26" t="n">
        <v>0</v>
      </c>
      <c r="H1131" s="26" t="n">
        <v>0</v>
      </c>
      <c r="I1131" s="26" t="n">
        <v>0</v>
      </c>
      <c r="J1131" s="26" t="n">
        <v>0</v>
      </c>
      <c r="K1131" s="26" t="n">
        <v>0</v>
      </c>
      <c r="L1131" s="26" t="n">
        <v>0</v>
      </c>
      <c r="M1131" s="26" t="n">
        <v>0</v>
      </c>
      <c r="N1131" s="26" t="n">
        <v>0</v>
      </c>
      <c r="O1131" s="26" t="n">
        <v>0</v>
      </c>
      <c r="P1131" s="26" t="n">
        <v>0</v>
      </c>
      <c r="Q1131" s="26" t="n">
        <v>0</v>
      </c>
      <c r="R1131" s="26" t="n">
        <v>0</v>
      </c>
      <c r="S1131" s="26" t="n">
        <v>0</v>
      </c>
      <c r="T1131" s="26" t="n">
        <v>0</v>
      </c>
      <c r="U1131" s="26" t="n">
        <v>0</v>
      </c>
    </row>
    <row r="1132" customFormat="false" ht="15" hidden="false" customHeight="true" outlineLevel="0" collapsed="false">
      <c r="A1132" s="8" t="s">
        <v>944</v>
      </c>
      <c r="B1132" s="8" t="s">
        <v>142</v>
      </c>
      <c r="C1132" s="8" t="s">
        <v>901</v>
      </c>
      <c r="D1132" s="26" t="n">
        <v>0</v>
      </c>
      <c r="E1132" s="26" t="n">
        <v>0</v>
      </c>
      <c r="F1132" s="26" t="n">
        <v>117</v>
      </c>
      <c r="G1132" s="26" t="n">
        <v>0</v>
      </c>
      <c r="H1132" s="26" t="n">
        <v>0</v>
      </c>
      <c r="I1132" s="26" t="n">
        <v>2</v>
      </c>
      <c r="J1132" s="26" t="n">
        <v>0</v>
      </c>
      <c r="K1132" s="26" t="n">
        <v>0</v>
      </c>
      <c r="L1132" s="26" t="n">
        <v>0</v>
      </c>
      <c r="M1132" s="26" t="n">
        <v>0</v>
      </c>
      <c r="N1132" s="26" t="n">
        <v>2</v>
      </c>
      <c r="O1132" s="26" t="n">
        <v>0</v>
      </c>
      <c r="P1132" s="26" t="n">
        <v>0</v>
      </c>
      <c r="Q1132" s="26" t="n">
        <v>0</v>
      </c>
      <c r="R1132" s="26" t="n">
        <v>0</v>
      </c>
      <c r="S1132" s="26" t="n">
        <v>0</v>
      </c>
      <c r="T1132" s="26" t="n">
        <v>0</v>
      </c>
      <c r="U1132" s="26" t="n">
        <v>0</v>
      </c>
    </row>
    <row r="1133" customFormat="false" ht="15" hidden="false" customHeight="true" outlineLevel="0" collapsed="false">
      <c r="A1133" s="8" t="s">
        <v>944</v>
      </c>
      <c r="B1133" s="8" t="s">
        <v>142</v>
      </c>
      <c r="C1133" s="8" t="s">
        <v>902</v>
      </c>
      <c r="D1133" s="26" t="n">
        <v>0</v>
      </c>
      <c r="E1133" s="26" t="n">
        <v>0</v>
      </c>
      <c r="F1133" s="26" t="n">
        <v>89</v>
      </c>
      <c r="G1133" s="26" t="n">
        <v>0</v>
      </c>
      <c r="H1133" s="26" t="n">
        <v>0</v>
      </c>
      <c r="I1133" s="26" t="n">
        <v>2</v>
      </c>
      <c r="J1133" s="26" t="n">
        <v>0</v>
      </c>
      <c r="K1133" s="26" t="n">
        <v>0</v>
      </c>
      <c r="L1133" s="26" t="n">
        <v>0</v>
      </c>
      <c r="M1133" s="26" t="n">
        <v>0</v>
      </c>
      <c r="N1133" s="26" t="n">
        <v>2</v>
      </c>
      <c r="O1133" s="26" t="n">
        <v>0</v>
      </c>
      <c r="P1133" s="26" t="n">
        <v>0</v>
      </c>
      <c r="Q1133" s="26" t="n">
        <v>0</v>
      </c>
      <c r="R1133" s="26" t="n">
        <v>0</v>
      </c>
      <c r="S1133" s="26" t="n">
        <v>1</v>
      </c>
      <c r="T1133" s="26" t="n">
        <v>0</v>
      </c>
      <c r="U1133" s="26" t="n">
        <v>0</v>
      </c>
    </row>
    <row r="1134" customFormat="false" ht="15" hidden="false" customHeight="true" outlineLevel="0" collapsed="false">
      <c r="A1134" s="8" t="s">
        <v>944</v>
      </c>
      <c r="B1134" s="8" t="s">
        <v>142</v>
      </c>
      <c r="C1134" s="8" t="s">
        <v>903</v>
      </c>
      <c r="D1134" s="26" t="n">
        <v>0</v>
      </c>
      <c r="E1134" s="26" t="n">
        <v>0</v>
      </c>
      <c r="F1134" s="26" t="n">
        <v>4</v>
      </c>
      <c r="G1134" s="26" t="n">
        <v>0</v>
      </c>
      <c r="H1134" s="26" t="n">
        <v>0</v>
      </c>
      <c r="I1134" s="26" t="n">
        <v>0</v>
      </c>
      <c r="J1134" s="26" t="n">
        <v>0</v>
      </c>
      <c r="K1134" s="26" t="n">
        <v>0</v>
      </c>
      <c r="L1134" s="26" t="n">
        <v>0</v>
      </c>
      <c r="M1134" s="26" t="n">
        <v>0</v>
      </c>
      <c r="N1134" s="26" t="n">
        <v>0</v>
      </c>
      <c r="O1134" s="26" t="n">
        <v>0</v>
      </c>
      <c r="P1134" s="26" t="n">
        <v>0</v>
      </c>
      <c r="Q1134" s="26" t="n">
        <v>0</v>
      </c>
      <c r="R1134" s="26" t="n">
        <v>0</v>
      </c>
      <c r="S1134" s="26" t="n">
        <v>1</v>
      </c>
      <c r="T1134" s="26" t="n">
        <v>0</v>
      </c>
      <c r="U1134" s="26" t="n">
        <v>0</v>
      </c>
    </row>
    <row r="1135" customFormat="false" ht="15" hidden="false" customHeight="true" outlineLevel="0" collapsed="false">
      <c r="A1135" s="8" t="s">
        <v>944</v>
      </c>
      <c r="B1135" s="8" t="s">
        <v>314</v>
      </c>
      <c r="C1135" s="8" t="s">
        <v>904</v>
      </c>
      <c r="D1135" s="26" t="n">
        <v>0</v>
      </c>
      <c r="E1135" s="26" t="n">
        <v>0</v>
      </c>
      <c r="F1135" s="26" t="n">
        <v>44</v>
      </c>
      <c r="G1135" s="26" t="n">
        <v>0</v>
      </c>
      <c r="H1135" s="26" t="n">
        <v>0</v>
      </c>
      <c r="I1135" s="26" t="n">
        <v>230</v>
      </c>
      <c r="J1135" s="26" t="n">
        <v>0</v>
      </c>
      <c r="K1135" s="26" t="n">
        <v>0</v>
      </c>
      <c r="L1135" s="26" t="n">
        <v>0</v>
      </c>
      <c r="M1135" s="26" t="n">
        <v>0</v>
      </c>
      <c r="N1135" s="26" t="n">
        <v>0</v>
      </c>
      <c r="O1135" s="26" t="n">
        <v>0</v>
      </c>
      <c r="P1135" s="26" t="n">
        <v>-1</v>
      </c>
      <c r="Q1135" s="26" t="n">
        <v>217</v>
      </c>
      <c r="R1135" s="26" t="n">
        <v>14</v>
      </c>
      <c r="S1135" s="26" t="n">
        <v>0</v>
      </c>
      <c r="T1135" s="26" t="n">
        <v>0</v>
      </c>
      <c r="U1135" s="26" t="n">
        <v>0</v>
      </c>
    </row>
    <row r="1136" customFormat="false" ht="15" hidden="false" customHeight="true" outlineLevel="0" collapsed="false">
      <c r="A1136" s="8" t="s">
        <v>944</v>
      </c>
      <c r="B1136" s="8" t="s">
        <v>346</v>
      </c>
      <c r="C1136" s="8" t="s">
        <v>905</v>
      </c>
      <c r="D1136" s="26" t="n">
        <v>0</v>
      </c>
      <c r="E1136" s="26" t="n">
        <v>0</v>
      </c>
      <c r="F1136" s="26" t="n">
        <v>2</v>
      </c>
      <c r="G1136" s="26" t="n">
        <v>0</v>
      </c>
      <c r="H1136" s="26" t="n">
        <v>0</v>
      </c>
      <c r="I1136" s="26" t="n">
        <v>0</v>
      </c>
      <c r="J1136" s="26" t="n">
        <v>0</v>
      </c>
      <c r="K1136" s="26" t="n">
        <v>0</v>
      </c>
      <c r="L1136" s="26" t="n">
        <v>0</v>
      </c>
      <c r="M1136" s="26" t="n">
        <v>0</v>
      </c>
      <c r="N1136" s="26" t="n">
        <v>0</v>
      </c>
      <c r="O1136" s="26" t="n">
        <v>0</v>
      </c>
      <c r="P1136" s="26" t="n">
        <v>0</v>
      </c>
      <c r="Q1136" s="26" t="n">
        <v>0</v>
      </c>
      <c r="R1136" s="26" t="n">
        <v>0</v>
      </c>
      <c r="S1136" s="26" t="n">
        <v>0</v>
      </c>
      <c r="T1136" s="26" t="n">
        <v>0</v>
      </c>
      <c r="U1136" s="26" t="n">
        <v>0</v>
      </c>
    </row>
    <row r="1137" customFormat="false" ht="15" hidden="false" customHeight="true" outlineLevel="0" collapsed="false">
      <c r="A1137" s="8" t="s">
        <v>944</v>
      </c>
      <c r="B1137" s="8" t="s">
        <v>298</v>
      </c>
      <c r="C1137" s="8" t="s">
        <v>906</v>
      </c>
      <c r="D1137" s="26" t="n">
        <v>0</v>
      </c>
      <c r="E1137" s="26" t="n">
        <v>0</v>
      </c>
      <c r="F1137" s="26" t="n">
        <v>8</v>
      </c>
      <c r="G1137" s="26" t="n">
        <v>0</v>
      </c>
      <c r="H1137" s="26" t="n">
        <v>0</v>
      </c>
      <c r="I1137" s="26" t="n">
        <v>0</v>
      </c>
      <c r="J1137" s="26" t="n">
        <v>0</v>
      </c>
      <c r="K1137" s="26" t="n">
        <v>0</v>
      </c>
      <c r="L1137" s="26" t="n">
        <v>0</v>
      </c>
      <c r="M1137" s="26" t="n">
        <v>0</v>
      </c>
      <c r="N1137" s="26" t="n">
        <v>0</v>
      </c>
      <c r="O1137" s="26" t="n">
        <v>0</v>
      </c>
      <c r="P1137" s="26" t="n">
        <v>0</v>
      </c>
      <c r="Q1137" s="26" t="n">
        <v>0</v>
      </c>
      <c r="R1137" s="26" t="n">
        <v>0</v>
      </c>
      <c r="S1137" s="26" t="n">
        <v>0</v>
      </c>
      <c r="T1137" s="26" t="n">
        <v>0</v>
      </c>
      <c r="U1137" s="26" t="n">
        <v>0</v>
      </c>
    </row>
    <row r="1138" customFormat="false" ht="15" hidden="false" customHeight="true" outlineLevel="0" collapsed="false">
      <c r="A1138" s="8" t="s">
        <v>944</v>
      </c>
      <c r="B1138" s="8" t="s">
        <v>200</v>
      </c>
      <c r="C1138" s="8" t="s">
        <v>907</v>
      </c>
      <c r="D1138" s="26" t="n">
        <v>0</v>
      </c>
      <c r="E1138" s="26" t="n">
        <v>0</v>
      </c>
      <c r="F1138" s="26" t="n">
        <v>28</v>
      </c>
      <c r="G1138" s="26" t="n">
        <v>0</v>
      </c>
      <c r="H1138" s="26" t="n">
        <v>0</v>
      </c>
      <c r="I1138" s="26" t="n">
        <v>0</v>
      </c>
      <c r="J1138" s="26" t="n">
        <v>0</v>
      </c>
      <c r="K1138" s="26" t="n">
        <v>0</v>
      </c>
      <c r="L1138" s="26" t="n">
        <v>0</v>
      </c>
      <c r="M1138" s="26" t="n">
        <v>0</v>
      </c>
      <c r="N1138" s="26" t="n">
        <v>0</v>
      </c>
      <c r="O1138" s="26" t="n">
        <v>0</v>
      </c>
      <c r="P1138" s="26" t="n">
        <v>0</v>
      </c>
      <c r="Q1138" s="26" t="n">
        <v>0</v>
      </c>
      <c r="R1138" s="26" t="n">
        <v>0</v>
      </c>
      <c r="S1138" s="26" t="n">
        <v>0</v>
      </c>
      <c r="T1138" s="26" t="n">
        <v>0</v>
      </c>
      <c r="U1138" s="26" t="n">
        <v>0</v>
      </c>
    </row>
    <row r="1139" customFormat="false" ht="15" hidden="false" customHeight="true" outlineLevel="0" collapsed="false">
      <c r="A1139" s="8" t="s">
        <v>944</v>
      </c>
      <c r="B1139" s="8" t="s">
        <v>284</v>
      </c>
      <c r="C1139" s="8" t="s">
        <v>908</v>
      </c>
      <c r="D1139" s="26" t="n">
        <v>0</v>
      </c>
      <c r="E1139" s="26" t="n">
        <v>0</v>
      </c>
      <c r="F1139" s="26" t="n">
        <v>-2</v>
      </c>
      <c r="G1139" s="26" t="n">
        <v>0</v>
      </c>
      <c r="H1139" s="26" t="n">
        <v>0</v>
      </c>
      <c r="I1139" s="26" t="n">
        <v>0</v>
      </c>
      <c r="J1139" s="26" t="n">
        <v>0</v>
      </c>
      <c r="K1139" s="26" t="n">
        <v>0</v>
      </c>
      <c r="L1139" s="26" t="n">
        <v>0</v>
      </c>
      <c r="M1139" s="26" t="n">
        <v>0</v>
      </c>
      <c r="N1139" s="26" t="n">
        <v>0</v>
      </c>
      <c r="O1139" s="26" t="n">
        <v>0</v>
      </c>
      <c r="P1139" s="26" t="n">
        <v>0</v>
      </c>
      <c r="Q1139" s="26" t="n">
        <v>0</v>
      </c>
      <c r="R1139" s="26" t="n">
        <v>0</v>
      </c>
      <c r="S1139" s="26" t="n">
        <v>0</v>
      </c>
      <c r="T1139" s="26" t="n">
        <v>0</v>
      </c>
      <c r="U1139" s="26" t="n">
        <v>0</v>
      </c>
    </row>
    <row r="1140" customFormat="false" ht="15" hidden="false" customHeight="true" outlineLevel="0" collapsed="false">
      <c r="A1140" s="8" t="s">
        <v>944</v>
      </c>
      <c r="B1140" s="8" t="s">
        <v>213</v>
      </c>
      <c r="C1140" s="8" t="s">
        <v>909</v>
      </c>
      <c r="D1140" s="26" t="n">
        <v>0</v>
      </c>
      <c r="E1140" s="26" t="n">
        <v>0</v>
      </c>
      <c r="F1140" s="26" t="n">
        <v>72</v>
      </c>
      <c r="G1140" s="26" t="n">
        <v>0</v>
      </c>
      <c r="H1140" s="26" t="n">
        <v>0</v>
      </c>
      <c r="I1140" s="26" t="n">
        <v>382</v>
      </c>
      <c r="J1140" s="26" t="n">
        <v>0</v>
      </c>
      <c r="K1140" s="26" t="n">
        <v>0</v>
      </c>
      <c r="L1140" s="26" t="n">
        <v>0</v>
      </c>
      <c r="M1140" s="26" t="n">
        <v>0</v>
      </c>
      <c r="N1140" s="26" t="n">
        <v>0</v>
      </c>
      <c r="O1140" s="26" t="n">
        <v>0</v>
      </c>
      <c r="P1140" s="26" t="n">
        <v>0</v>
      </c>
      <c r="Q1140" s="26" t="n">
        <v>382</v>
      </c>
      <c r="R1140" s="26" t="n">
        <v>0</v>
      </c>
      <c r="S1140" s="26" t="n">
        <v>0</v>
      </c>
      <c r="T1140" s="26" t="n">
        <v>0</v>
      </c>
      <c r="U1140" s="26" t="n">
        <v>0</v>
      </c>
    </row>
    <row r="1141" customFormat="false" ht="15" hidden="false" customHeight="true" outlineLevel="0" collapsed="false">
      <c r="A1141" s="8" t="s">
        <v>944</v>
      </c>
      <c r="B1141" s="8" t="s">
        <v>213</v>
      </c>
      <c r="C1141" s="8" t="s">
        <v>910</v>
      </c>
      <c r="D1141" s="26" t="n">
        <v>0</v>
      </c>
      <c r="E1141" s="26" t="n">
        <v>0</v>
      </c>
      <c r="F1141" s="26" t="n">
        <v>117</v>
      </c>
      <c r="G1141" s="26" t="n">
        <v>0</v>
      </c>
      <c r="H1141" s="26" t="n">
        <v>0</v>
      </c>
      <c r="I1141" s="26" t="n">
        <v>532</v>
      </c>
      <c r="J1141" s="26" t="n">
        <v>0</v>
      </c>
      <c r="K1141" s="26" t="n">
        <v>0</v>
      </c>
      <c r="L1141" s="26" t="n">
        <v>0</v>
      </c>
      <c r="M1141" s="26" t="n">
        <v>0</v>
      </c>
      <c r="N1141" s="26" t="n">
        <v>0</v>
      </c>
      <c r="O1141" s="26" t="n">
        <v>0</v>
      </c>
      <c r="P1141" s="26" t="n">
        <v>0</v>
      </c>
      <c r="Q1141" s="26" t="n">
        <v>532</v>
      </c>
      <c r="R1141" s="26" t="n">
        <v>0</v>
      </c>
      <c r="S1141" s="26" t="n">
        <v>0</v>
      </c>
      <c r="T1141" s="26" t="n">
        <v>0</v>
      </c>
      <c r="U1141" s="26" t="n">
        <v>0</v>
      </c>
    </row>
    <row r="1142" customFormat="false" ht="15" hidden="false" customHeight="true" outlineLevel="0" collapsed="false">
      <c r="A1142" s="8" t="s">
        <v>944</v>
      </c>
      <c r="B1142" s="8" t="s">
        <v>213</v>
      </c>
      <c r="C1142" s="8" t="s">
        <v>911</v>
      </c>
      <c r="D1142" s="26" t="n">
        <v>0</v>
      </c>
      <c r="E1142" s="26" t="n">
        <v>0</v>
      </c>
      <c r="F1142" s="26" t="n">
        <v>80</v>
      </c>
      <c r="G1142" s="26" t="n">
        <v>0</v>
      </c>
      <c r="H1142" s="26" t="n">
        <v>0</v>
      </c>
      <c r="I1142" s="26" t="n">
        <v>262</v>
      </c>
      <c r="J1142" s="26" t="n">
        <v>0</v>
      </c>
      <c r="K1142" s="26" t="n">
        <v>0</v>
      </c>
      <c r="L1142" s="26" t="n">
        <v>0</v>
      </c>
      <c r="M1142" s="26" t="n">
        <v>0</v>
      </c>
      <c r="N1142" s="26" t="n">
        <v>0</v>
      </c>
      <c r="O1142" s="26" t="n">
        <v>0</v>
      </c>
      <c r="P1142" s="26" t="n">
        <v>0</v>
      </c>
      <c r="Q1142" s="26" t="n">
        <v>262</v>
      </c>
      <c r="R1142" s="26" t="n">
        <v>0</v>
      </c>
      <c r="S1142" s="26" t="n">
        <v>0</v>
      </c>
      <c r="T1142" s="26" t="n">
        <v>0</v>
      </c>
      <c r="U1142" s="26" t="n">
        <v>0</v>
      </c>
    </row>
    <row r="1143" customFormat="false" ht="15" hidden="false" customHeight="true" outlineLevel="0" collapsed="false">
      <c r="A1143" s="8" t="s">
        <v>944</v>
      </c>
      <c r="B1143" s="8" t="s">
        <v>213</v>
      </c>
      <c r="C1143" s="8" t="s">
        <v>912</v>
      </c>
      <c r="D1143" s="26" t="n">
        <v>0</v>
      </c>
      <c r="E1143" s="26" t="n">
        <v>0</v>
      </c>
      <c r="F1143" s="26" t="n">
        <v>89</v>
      </c>
      <c r="G1143" s="26" t="n">
        <v>0</v>
      </c>
      <c r="H1143" s="26" t="n">
        <v>0</v>
      </c>
      <c r="I1143" s="26" t="n">
        <v>350</v>
      </c>
      <c r="J1143" s="26" t="n">
        <v>0</v>
      </c>
      <c r="K1143" s="26" t="n">
        <v>0</v>
      </c>
      <c r="L1143" s="26" t="n">
        <v>0</v>
      </c>
      <c r="M1143" s="26" t="n">
        <v>0</v>
      </c>
      <c r="N1143" s="26" t="n">
        <v>0</v>
      </c>
      <c r="O1143" s="26" t="n">
        <v>0</v>
      </c>
      <c r="P1143" s="26" t="n">
        <v>0</v>
      </c>
      <c r="Q1143" s="26" t="n">
        <v>350</v>
      </c>
      <c r="R1143" s="26" t="n">
        <v>0</v>
      </c>
      <c r="S1143" s="26" t="n">
        <v>0</v>
      </c>
      <c r="T1143" s="26" t="n">
        <v>0</v>
      </c>
      <c r="U1143" s="26" t="n">
        <v>0</v>
      </c>
    </row>
    <row r="1144" customFormat="false" ht="15" hidden="false" customHeight="true" outlineLevel="0" collapsed="false">
      <c r="A1144" s="8" t="s">
        <v>944</v>
      </c>
      <c r="B1144" s="8" t="s">
        <v>197</v>
      </c>
      <c r="C1144" s="8" t="s">
        <v>913</v>
      </c>
      <c r="D1144" s="26" t="n">
        <v>0</v>
      </c>
      <c r="E1144" s="26" t="n">
        <v>0</v>
      </c>
      <c r="F1144" s="26" t="n">
        <v>702</v>
      </c>
      <c r="G1144" s="26" t="n">
        <v>0</v>
      </c>
      <c r="H1144" s="26" t="n">
        <v>0</v>
      </c>
      <c r="I1144" s="26" t="n">
        <v>1235</v>
      </c>
      <c r="J1144" s="26" t="n">
        <v>0</v>
      </c>
      <c r="K1144" s="26" t="n">
        <v>0</v>
      </c>
      <c r="L1144" s="26" t="n">
        <v>0</v>
      </c>
      <c r="M1144" s="26" t="n">
        <v>0</v>
      </c>
      <c r="N1144" s="26" t="n">
        <v>0</v>
      </c>
      <c r="O1144" s="26" t="n">
        <v>0</v>
      </c>
      <c r="P1144" s="26" t="n">
        <v>0</v>
      </c>
      <c r="Q1144" s="26" t="n">
        <v>1235</v>
      </c>
      <c r="R1144" s="26" t="n">
        <v>0</v>
      </c>
      <c r="S1144" s="26" t="n">
        <v>0</v>
      </c>
      <c r="T1144" s="26" t="n">
        <v>0</v>
      </c>
      <c r="U1144" s="26" t="n">
        <v>0</v>
      </c>
    </row>
    <row r="1145" customFormat="false" ht="15" hidden="false" customHeight="true" outlineLevel="0" collapsed="false">
      <c r="A1145" s="8" t="s">
        <v>944</v>
      </c>
      <c r="B1145" s="8" t="s">
        <v>174</v>
      </c>
      <c r="C1145" s="8" t="s">
        <v>914</v>
      </c>
      <c r="D1145" s="26" t="n">
        <v>0</v>
      </c>
      <c r="E1145" s="26" t="n">
        <v>0</v>
      </c>
      <c r="F1145" s="26" t="n">
        <v>482</v>
      </c>
      <c r="G1145" s="26" t="n">
        <v>0</v>
      </c>
      <c r="H1145" s="26" t="n">
        <v>0</v>
      </c>
      <c r="I1145" s="26" t="n">
        <v>1790</v>
      </c>
      <c r="J1145" s="26" t="n">
        <v>0</v>
      </c>
      <c r="K1145" s="26" t="n">
        <v>0</v>
      </c>
      <c r="L1145" s="26" t="n">
        <v>0</v>
      </c>
      <c r="M1145" s="26" t="n">
        <v>0</v>
      </c>
      <c r="N1145" s="26" t="n">
        <v>0</v>
      </c>
      <c r="O1145" s="26" t="n">
        <v>0</v>
      </c>
      <c r="P1145" s="26" t="n">
        <v>0</v>
      </c>
      <c r="Q1145" s="26" t="n">
        <v>1790</v>
      </c>
      <c r="R1145" s="26" t="n">
        <v>0</v>
      </c>
      <c r="S1145" s="26" t="n">
        <v>0</v>
      </c>
      <c r="T1145" s="26" t="n">
        <v>0</v>
      </c>
      <c r="U1145" s="26" t="n">
        <v>0</v>
      </c>
    </row>
    <row r="1146" customFormat="false" ht="15" hidden="false" customHeight="true" outlineLevel="0" collapsed="false">
      <c r="A1146" s="8" t="s">
        <v>944</v>
      </c>
      <c r="B1146" s="8" t="s">
        <v>163</v>
      </c>
      <c r="C1146" s="8" t="s">
        <v>915</v>
      </c>
      <c r="D1146" s="26" t="n">
        <v>0</v>
      </c>
      <c r="E1146" s="26" t="n">
        <v>0</v>
      </c>
      <c r="F1146" s="26" t="n">
        <v>400</v>
      </c>
      <c r="G1146" s="26" t="n">
        <v>0</v>
      </c>
      <c r="H1146" s="26" t="n">
        <v>0</v>
      </c>
      <c r="I1146" s="26" t="n">
        <v>1556</v>
      </c>
      <c r="J1146" s="26" t="n">
        <v>0</v>
      </c>
      <c r="K1146" s="26" t="n">
        <v>0</v>
      </c>
      <c r="L1146" s="26" t="n">
        <v>0</v>
      </c>
      <c r="M1146" s="26" t="n">
        <v>0</v>
      </c>
      <c r="N1146" s="26" t="n">
        <v>0</v>
      </c>
      <c r="O1146" s="26" t="n">
        <v>0</v>
      </c>
      <c r="P1146" s="26" t="n">
        <v>0</v>
      </c>
      <c r="Q1146" s="26" t="n">
        <v>1556</v>
      </c>
      <c r="R1146" s="26" t="n">
        <v>0</v>
      </c>
      <c r="S1146" s="26" t="n">
        <v>0</v>
      </c>
      <c r="T1146" s="26" t="n">
        <v>0</v>
      </c>
      <c r="U1146" s="26" t="n">
        <v>0</v>
      </c>
    </row>
    <row r="1147" customFormat="false" ht="15" hidden="false" customHeight="true" outlineLevel="0" collapsed="false">
      <c r="A1147" s="8" t="s">
        <v>944</v>
      </c>
      <c r="B1147" s="8" t="s">
        <v>204</v>
      </c>
      <c r="C1147" s="8" t="s">
        <v>916</v>
      </c>
      <c r="D1147" s="26" t="n">
        <v>0</v>
      </c>
      <c r="E1147" s="26" t="n">
        <v>0</v>
      </c>
      <c r="F1147" s="26" t="n">
        <v>201</v>
      </c>
      <c r="G1147" s="26" t="n">
        <v>0</v>
      </c>
      <c r="H1147" s="26" t="n">
        <v>0</v>
      </c>
      <c r="I1147" s="26" t="n">
        <v>1134</v>
      </c>
      <c r="J1147" s="26" t="n">
        <v>0</v>
      </c>
      <c r="K1147" s="26" t="n">
        <v>0</v>
      </c>
      <c r="L1147" s="26" t="n">
        <v>0</v>
      </c>
      <c r="M1147" s="26" t="n">
        <v>0</v>
      </c>
      <c r="N1147" s="26" t="n">
        <v>0</v>
      </c>
      <c r="O1147" s="26" t="n">
        <v>0</v>
      </c>
      <c r="P1147" s="26" t="n">
        <v>0</v>
      </c>
      <c r="Q1147" s="26" t="n">
        <v>1134</v>
      </c>
      <c r="R1147" s="26" t="n">
        <v>0</v>
      </c>
      <c r="S1147" s="26" t="n">
        <v>0</v>
      </c>
      <c r="T1147" s="26" t="n">
        <v>0</v>
      </c>
      <c r="U1147" s="26" t="n">
        <v>0</v>
      </c>
    </row>
    <row r="1148" customFormat="false" ht="15" hidden="false" customHeight="true" outlineLevel="0" collapsed="false">
      <c r="A1148" s="8" t="s">
        <v>944</v>
      </c>
      <c r="B1148" s="8" t="s">
        <v>333</v>
      </c>
      <c r="C1148" s="8" t="s">
        <v>917</v>
      </c>
      <c r="D1148" s="26" t="n">
        <v>0</v>
      </c>
      <c r="E1148" s="26" t="n">
        <v>0</v>
      </c>
      <c r="F1148" s="26" t="n">
        <v>1</v>
      </c>
      <c r="G1148" s="26" t="n">
        <v>0</v>
      </c>
      <c r="H1148" s="26" t="n">
        <v>0</v>
      </c>
      <c r="I1148" s="26" t="n">
        <v>0</v>
      </c>
      <c r="J1148" s="26" t="n">
        <v>0</v>
      </c>
      <c r="K1148" s="26" t="n">
        <v>0</v>
      </c>
      <c r="L1148" s="26" t="n">
        <v>0</v>
      </c>
      <c r="M1148" s="26" t="n">
        <v>0</v>
      </c>
      <c r="N1148" s="26" t="n">
        <v>0</v>
      </c>
      <c r="O1148" s="26" t="n">
        <v>0</v>
      </c>
      <c r="P1148" s="26" t="n">
        <v>0</v>
      </c>
      <c r="Q1148" s="26" t="n">
        <v>0</v>
      </c>
      <c r="R1148" s="26" t="n">
        <v>0</v>
      </c>
      <c r="S1148" s="26" t="n">
        <v>0</v>
      </c>
      <c r="T1148" s="26" t="n">
        <v>0</v>
      </c>
      <c r="U1148" s="26" t="n">
        <v>0</v>
      </c>
    </row>
    <row r="1149" customFormat="false" ht="15" hidden="false" customHeight="true" outlineLevel="0" collapsed="false">
      <c r="A1149" s="8" t="s">
        <v>944</v>
      </c>
      <c r="B1149" s="8" t="s">
        <v>267</v>
      </c>
      <c r="C1149" s="8" t="s">
        <v>918</v>
      </c>
      <c r="D1149" s="26" t="n">
        <v>0</v>
      </c>
      <c r="E1149" s="26" t="n">
        <v>0</v>
      </c>
      <c r="F1149" s="26" t="n">
        <v>2</v>
      </c>
      <c r="G1149" s="26" t="n">
        <v>0</v>
      </c>
      <c r="H1149" s="26" t="n">
        <v>0</v>
      </c>
      <c r="I1149" s="26" t="n">
        <v>0</v>
      </c>
      <c r="J1149" s="26" t="n">
        <v>0</v>
      </c>
      <c r="K1149" s="26" t="n">
        <v>0</v>
      </c>
      <c r="L1149" s="26" t="n">
        <v>0</v>
      </c>
      <c r="M1149" s="26" t="n">
        <v>0</v>
      </c>
      <c r="N1149" s="26" t="n">
        <v>0</v>
      </c>
      <c r="O1149" s="26" t="n">
        <v>0</v>
      </c>
      <c r="P1149" s="26" t="n">
        <v>0</v>
      </c>
      <c r="Q1149" s="26" t="n">
        <v>0</v>
      </c>
      <c r="R1149" s="26" t="n">
        <v>0</v>
      </c>
      <c r="S1149" s="26" t="n">
        <v>0</v>
      </c>
      <c r="T1149" s="26" t="n">
        <v>0</v>
      </c>
      <c r="U1149" s="26" t="n">
        <v>0</v>
      </c>
    </row>
    <row r="1150" customFormat="false" ht="15" hidden="false" customHeight="true" outlineLevel="0" collapsed="false">
      <c r="A1150" s="8" t="s">
        <v>944</v>
      </c>
      <c r="B1150" s="8" t="s">
        <v>338</v>
      </c>
      <c r="C1150" s="8" t="s">
        <v>919</v>
      </c>
      <c r="D1150" s="26" t="n">
        <v>0</v>
      </c>
      <c r="E1150" s="26" t="n">
        <v>0</v>
      </c>
      <c r="F1150" s="26" t="n">
        <v>-1</v>
      </c>
      <c r="G1150" s="26" t="n">
        <v>0</v>
      </c>
      <c r="H1150" s="26" t="n">
        <v>0</v>
      </c>
      <c r="I1150" s="26" t="n">
        <v>0</v>
      </c>
      <c r="J1150" s="26" t="n">
        <v>0</v>
      </c>
      <c r="K1150" s="26" t="n">
        <v>0</v>
      </c>
      <c r="L1150" s="26" t="n">
        <v>0</v>
      </c>
      <c r="M1150" s="26" t="n">
        <v>0</v>
      </c>
      <c r="N1150" s="26" t="n">
        <v>0</v>
      </c>
      <c r="O1150" s="26" t="n">
        <v>0</v>
      </c>
      <c r="P1150" s="26" t="n">
        <v>0</v>
      </c>
      <c r="Q1150" s="26" t="n">
        <v>0</v>
      </c>
      <c r="R1150" s="26" t="n">
        <v>0</v>
      </c>
      <c r="S1150" s="26" t="n">
        <v>0</v>
      </c>
      <c r="T1150" s="26" t="n">
        <v>0</v>
      </c>
      <c r="U1150" s="26" t="n">
        <v>0</v>
      </c>
    </row>
    <row r="1151" customFormat="false" ht="15" hidden="false" customHeight="true" outlineLevel="0" collapsed="false">
      <c r="A1151" s="8" t="s">
        <v>944</v>
      </c>
      <c r="B1151" s="8" t="s">
        <v>103</v>
      </c>
      <c r="C1151" s="8" t="s">
        <v>920</v>
      </c>
      <c r="D1151" s="26" t="n">
        <v>0</v>
      </c>
      <c r="E1151" s="26" t="n">
        <v>0</v>
      </c>
      <c r="F1151" s="26" t="n">
        <v>241</v>
      </c>
      <c r="G1151" s="26" t="n">
        <v>0</v>
      </c>
      <c r="H1151" s="26" t="n">
        <v>0</v>
      </c>
      <c r="I1151" s="26" t="n">
        <v>935</v>
      </c>
      <c r="J1151" s="26" t="n">
        <v>0</v>
      </c>
      <c r="K1151" s="26" t="n">
        <v>0</v>
      </c>
      <c r="L1151" s="26" t="n">
        <v>0</v>
      </c>
      <c r="M1151" s="26" t="n">
        <v>0</v>
      </c>
      <c r="N1151" s="26" t="n">
        <v>0</v>
      </c>
      <c r="O1151" s="26" t="n">
        <v>0</v>
      </c>
      <c r="P1151" s="26" t="n">
        <v>0</v>
      </c>
      <c r="Q1151" s="26" t="n">
        <v>935</v>
      </c>
      <c r="R1151" s="26" t="n">
        <v>0</v>
      </c>
      <c r="S1151" s="26" t="n">
        <v>0</v>
      </c>
      <c r="T1151" s="26" t="n">
        <v>0</v>
      </c>
      <c r="U1151" s="26" t="n">
        <v>0</v>
      </c>
    </row>
    <row r="1152" customFormat="false" ht="15" hidden="false" customHeight="true" outlineLevel="0" collapsed="false">
      <c r="A1152" s="8" t="s">
        <v>944</v>
      </c>
      <c r="B1152" s="8" t="s">
        <v>103</v>
      </c>
      <c r="C1152" s="8" t="s">
        <v>921</v>
      </c>
      <c r="D1152" s="26" t="n">
        <v>0</v>
      </c>
      <c r="E1152" s="26" t="n">
        <v>0</v>
      </c>
      <c r="F1152" s="26" t="n">
        <v>160</v>
      </c>
      <c r="G1152" s="26" t="n">
        <v>0</v>
      </c>
      <c r="H1152" s="26" t="n">
        <v>0</v>
      </c>
      <c r="I1152" s="26" t="n">
        <v>802</v>
      </c>
      <c r="J1152" s="26" t="n">
        <v>0</v>
      </c>
      <c r="K1152" s="26" t="n">
        <v>0</v>
      </c>
      <c r="L1152" s="26" t="n">
        <v>0</v>
      </c>
      <c r="M1152" s="26" t="n">
        <v>0</v>
      </c>
      <c r="N1152" s="26" t="n">
        <v>0</v>
      </c>
      <c r="O1152" s="26" t="n">
        <v>0</v>
      </c>
      <c r="P1152" s="26" t="n">
        <v>0</v>
      </c>
      <c r="Q1152" s="26" t="n">
        <v>802</v>
      </c>
      <c r="R1152" s="26" t="n">
        <v>0</v>
      </c>
      <c r="S1152" s="26" t="n">
        <v>0</v>
      </c>
      <c r="T1152" s="26" t="n">
        <v>0</v>
      </c>
      <c r="U1152" s="26" t="n">
        <v>0</v>
      </c>
    </row>
    <row r="1153" customFormat="false" ht="15" hidden="false" customHeight="true" outlineLevel="0" collapsed="false">
      <c r="A1153" s="8" t="s">
        <v>944</v>
      </c>
      <c r="B1153" s="8" t="s">
        <v>103</v>
      </c>
      <c r="C1153" s="8" t="s">
        <v>922</v>
      </c>
      <c r="D1153" s="26" t="n">
        <v>0</v>
      </c>
      <c r="E1153" s="26" t="n">
        <v>0</v>
      </c>
      <c r="F1153" s="26" t="n">
        <v>113</v>
      </c>
      <c r="G1153" s="26" t="n">
        <v>0</v>
      </c>
      <c r="H1153" s="26" t="n">
        <v>0</v>
      </c>
      <c r="I1153" s="26" t="n">
        <v>588</v>
      </c>
      <c r="J1153" s="26" t="n">
        <v>0</v>
      </c>
      <c r="K1153" s="26" t="n">
        <v>0</v>
      </c>
      <c r="L1153" s="26" t="n">
        <v>0</v>
      </c>
      <c r="M1153" s="26" t="n">
        <v>0</v>
      </c>
      <c r="N1153" s="26" t="n">
        <v>0</v>
      </c>
      <c r="O1153" s="26" t="n">
        <v>0</v>
      </c>
      <c r="P1153" s="26" t="n">
        <v>0</v>
      </c>
      <c r="Q1153" s="26" t="n">
        <v>588</v>
      </c>
      <c r="R1153" s="26" t="n">
        <v>0</v>
      </c>
      <c r="S1153" s="26" t="n">
        <v>0</v>
      </c>
      <c r="T1153" s="26" t="n">
        <v>0</v>
      </c>
      <c r="U1153" s="26" t="n">
        <v>0</v>
      </c>
    </row>
    <row r="1154" customFormat="false" ht="15" hidden="false" customHeight="true" outlineLevel="0" collapsed="false">
      <c r="A1154" s="8" t="s">
        <v>944</v>
      </c>
      <c r="B1154" s="8" t="s">
        <v>103</v>
      </c>
      <c r="C1154" s="8" t="s">
        <v>923</v>
      </c>
      <c r="D1154" s="26" t="n">
        <v>0</v>
      </c>
      <c r="E1154" s="26" t="n">
        <v>0</v>
      </c>
      <c r="F1154" s="26" t="n">
        <v>86</v>
      </c>
      <c r="G1154" s="26" t="n">
        <v>0</v>
      </c>
      <c r="H1154" s="26" t="n">
        <v>0</v>
      </c>
      <c r="I1154" s="26" t="n">
        <v>464</v>
      </c>
      <c r="J1154" s="26" t="n">
        <v>0</v>
      </c>
      <c r="K1154" s="26" t="n">
        <v>0</v>
      </c>
      <c r="L1154" s="26" t="n">
        <v>0</v>
      </c>
      <c r="M1154" s="26" t="n">
        <v>0</v>
      </c>
      <c r="N1154" s="26" t="n">
        <v>0</v>
      </c>
      <c r="O1154" s="26" t="n">
        <v>0</v>
      </c>
      <c r="P1154" s="26" t="n">
        <v>0</v>
      </c>
      <c r="Q1154" s="26" t="n">
        <v>464</v>
      </c>
      <c r="R1154" s="26" t="n">
        <v>0</v>
      </c>
      <c r="S1154" s="26" t="n">
        <v>0</v>
      </c>
      <c r="T1154" s="26" t="n">
        <v>0</v>
      </c>
      <c r="U1154" s="26" t="n">
        <v>0</v>
      </c>
    </row>
    <row r="1155" customFormat="false" ht="15" hidden="false" customHeight="true" outlineLevel="0" collapsed="false">
      <c r="A1155" s="8" t="s">
        <v>944</v>
      </c>
      <c r="B1155" s="8" t="s">
        <v>254</v>
      </c>
      <c r="C1155" s="8" t="s">
        <v>924</v>
      </c>
      <c r="D1155" s="26" t="n">
        <v>0</v>
      </c>
      <c r="E1155" s="26" t="n">
        <v>0</v>
      </c>
      <c r="F1155" s="26" t="n">
        <v>-4</v>
      </c>
      <c r="G1155" s="26" t="n">
        <v>0</v>
      </c>
      <c r="H1155" s="26" t="n">
        <v>0</v>
      </c>
      <c r="I1155" s="26" t="n">
        <v>257</v>
      </c>
      <c r="J1155" s="26" t="n">
        <v>0</v>
      </c>
      <c r="K1155" s="26" t="n">
        <v>0</v>
      </c>
      <c r="L1155" s="26" t="n">
        <v>0</v>
      </c>
      <c r="M1155" s="26" t="n">
        <v>0</v>
      </c>
      <c r="N1155" s="26" t="n">
        <v>0</v>
      </c>
      <c r="O1155" s="26" t="n">
        <v>0</v>
      </c>
      <c r="P1155" s="26" t="n">
        <v>0</v>
      </c>
      <c r="Q1155" s="26" t="n">
        <v>257</v>
      </c>
      <c r="R1155" s="26" t="n">
        <v>0</v>
      </c>
      <c r="S1155" s="26" t="n">
        <v>0</v>
      </c>
      <c r="T1155" s="26" t="n">
        <v>0</v>
      </c>
      <c r="U1155" s="26" t="n">
        <v>0</v>
      </c>
    </row>
    <row r="1156" customFormat="false" ht="15" hidden="false" customHeight="true" outlineLevel="0" collapsed="false">
      <c r="A1156" s="8" t="s">
        <v>944</v>
      </c>
      <c r="B1156" s="8" t="s">
        <v>342</v>
      </c>
      <c r="C1156" s="8" t="s">
        <v>924</v>
      </c>
      <c r="D1156" s="26" t="n">
        <v>0</v>
      </c>
      <c r="E1156" s="26" t="n">
        <v>0</v>
      </c>
      <c r="F1156" s="26" t="n">
        <v>-4</v>
      </c>
      <c r="G1156" s="26" t="n">
        <v>0</v>
      </c>
      <c r="H1156" s="26" t="n">
        <v>0</v>
      </c>
      <c r="I1156" s="26" t="n">
        <v>95</v>
      </c>
      <c r="J1156" s="26" t="n">
        <v>0</v>
      </c>
      <c r="K1156" s="26" t="n">
        <v>0</v>
      </c>
      <c r="L1156" s="26" t="n">
        <v>0</v>
      </c>
      <c r="M1156" s="26" t="n">
        <v>0</v>
      </c>
      <c r="N1156" s="26" t="n">
        <v>0</v>
      </c>
      <c r="O1156" s="26" t="n">
        <v>0</v>
      </c>
      <c r="P1156" s="26" t="n">
        <v>0</v>
      </c>
      <c r="Q1156" s="26" t="n">
        <v>95</v>
      </c>
      <c r="R1156" s="26" t="n">
        <v>0</v>
      </c>
      <c r="S1156" s="26" t="n">
        <v>0</v>
      </c>
      <c r="T1156" s="26" t="n">
        <v>0</v>
      </c>
      <c r="U1156" s="26" t="n">
        <v>0</v>
      </c>
    </row>
    <row r="1157" customFormat="false" ht="15" hidden="false" customHeight="true" outlineLevel="0" collapsed="false">
      <c r="A1157" s="8" t="s">
        <v>944</v>
      </c>
      <c r="B1157" s="8" t="s">
        <v>254</v>
      </c>
      <c r="C1157" s="8" t="s">
        <v>925</v>
      </c>
      <c r="D1157" s="26" t="n">
        <v>0</v>
      </c>
      <c r="E1157" s="26" t="n">
        <v>0</v>
      </c>
      <c r="F1157" s="26" t="n">
        <v>-6</v>
      </c>
      <c r="G1157" s="26" t="n">
        <v>0</v>
      </c>
      <c r="H1157" s="26" t="n">
        <v>0</v>
      </c>
      <c r="I1157" s="26" t="n">
        <v>239</v>
      </c>
      <c r="J1157" s="26" t="n">
        <v>0</v>
      </c>
      <c r="K1157" s="26" t="n">
        <v>0</v>
      </c>
      <c r="L1157" s="26" t="n">
        <v>0</v>
      </c>
      <c r="M1157" s="26" t="n">
        <v>0</v>
      </c>
      <c r="N1157" s="26" t="n">
        <v>0</v>
      </c>
      <c r="O1157" s="26" t="n">
        <v>0</v>
      </c>
      <c r="P1157" s="26" t="n">
        <v>0</v>
      </c>
      <c r="Q1157" s="26" t="n">
        <v>239</v>
      </c>
      <c r="R1157" s="26" t="n">
        <v>0</v>
      </c>
      <c r="S1157" s="26" t="n">
        <v>0</v>
      </c>
      <c r="T1157" s="26" t="n">
        <v>0</v>
      </c>
      <c r="U1157" s="26" t="n">
        <v>0</v>
      </c>
    </row>
    <row r="1158" customFormat="false" ht="15" hidden="false" customHeight="true" outlineLevel="0" collapsed="false">
      <c r="A1158" s="8" t="s">
        <v>944</v>
      </c>
      <c r="B1158" s="8" t="s">
        <v>340</v>
      </c>
      <c r="C1158" s="8" t="s">
        <v>925</v>
      </c>
      <c r="D1158" s="26" t="n">
        <v>0</v>
      </c>
      <c r="E1158" s="26" t="n">
        <v>0</v>
      </c>
      <c r="F1158" s="26" t="n">
        <v>-4</v>
      </c>
      <c r="G1158" s="26" t="n">
        <v>0</v>
      </c>
      <c r="H1158" s="26" t="n">
        <v>0</v>
      </c>
      <c r="I1158" s="26" t="n">
        <v>328</v>
      </c>
      <c r="J1158" s="26" t="n">
        <v>0</v>
      </c>
      <c r="K1158" s="26" t="n">
        <v>0</v>
      </c>
      <c r="L1158" s="26" t="n">
        <v>0</v>
      </c>
      <c r="M1158" s="26" t="n">
        <v>0</v>
      </c>
      <c r="N1158" s="26" t="n">
        <v>0</v>
      </c>
      <c r="O1158" s="26" t="n">
        <v>0</v>
      </c>
      <c r="P1158" s="26" t="n">
        <v>0</v>
      </c>
      <c r="Q1158" s="26" t="n">
        <v>328</v>
      </c>
      <c r="R1158" s="26" t="n">
        <v>0</v>
      </c>
      <c r="S1158" s="26" t="n">
        <v>0</v>
      </c>
      <c r="T1158" s="26" t="n">
        <v>0</v>
      </c>
      <c r="U1158" s="26" t="n">
        <v>0</v>
      </c>
    </row>
    <row r="1159" customFormat="false" ht="15" hidden="false" customHeight="true" outlineLevel="0" collapsed="false">
      <c r="A1159" s="8" t="s">
        <v>944</v>
      </c>
      <c r="B1159" s="8" t="s">
        <v>92</v>
      </c>
      <c r="C1159" s="8" t="s">
        <v>926</v>
      </c>
      <c r="D1159" s="26" t="n">
        <v>0</v>
      </c>
      <c r="E1159" s="26" t="n">
        <v>0</v>
      </c>
      <c r="F1159" s="26" t="n">
        <v>938</v>
      </c>
      <c r="G1159" s="26" t="n">
        <v>0</v>
      </c>
      <c r="H1159" s="26" t="n">
        <v>0</v>
      </c>
      <c r="I1159" s="26" t="n">
        <v>1681</v>
      </c>
      <c r="J1159" s="26" t="n">
        <v>0</v>
      </c>
      <c r="K1159" s="26" t="n">
        <v>0</v>
      </c>
      <c r="L1159" s="26" t="n">
        <v>0</v>
      </c>
      <c r="M1159" s="26" t="n">
        <v>12</v>
      </c>
      <c r="N1159" s="26" t="n">
        <v>6</v>
      </c>
      <c r="O1159" s="26" t="n">
        <v>0</v>
      </c>
      <c r="P1159" s="26" t="n">
        <v>0</v>
      </c>
      <c r="Q1159" s="26" t="n">
        <v>1663</v>
      </c>
      <c r="R1159" s="26" t="n">
        <v>0</v>
      </c>
      <c r="S1159" s="26" t="n">
        <v>0</v>
      </c>
      <c r="T1159" s="26" t="n">
        <v>0</v>
      </c>
      <c r="U1159" s="26" t="n">
        <v>0</v>
      </c>
    </row>
    <row r="1160" customFormat="false" ht="15" hidden="false" customHeight="true" outlineLevel="0" collapsed="false">
      <c r="A1160" s="8" t="s">
        <v>944</v>
      </c>
      <c r="B1160" s="8" t="s">
        <v>149</v>
      </c>
      <c r="C1160" s="8" t="s">
        <v>927</v>
      </c>
      <c r="D1160" s="26" t="n">
        <v>0</v>
      </c>
      <c r="E1160" s="26" t="n">
        <v>0</v>
      </c>
      <c r="F1160" s="26" t="n">
        <v>110</v>
      </c>
      <c r="G1160" s="26" t="n">
        <v>0</v>
      </c>
      <c r="H1160" s="26" t="n">
        <v>0</v>
      </c>
      <c r="I1160" s="26" t="n">
        <v>111</v>
      </c>
      <c r="J1160" s="26" t="n">
        <v>0</v>
      </c>
      <c r="K1160" s="26" t="n">
        <v>0</v>
      </c>
      <c r="L1160" s="26" t="n">
        <v>0</v>
      </c>
      <c r="M1160" s="26" t="n">
        <v>0</v>
      </c>
      <c r="N1160" s="26" t="n">
        <v>0</v>
      </c>
      <c r="O1160" s="26" t="n">
        <v>0</v>
      </c>
      <c r="P1160" s="26" t="n">
        <v>0</v>
      </c>
      <c r="Q1160" s="26" t="n">
        <v>111</v>
      </c>
      <c r="R1160" s="26" t="n">
        <v>0</v>
      </c>
      <c r="S1160" s="26" t="n">
        <v>0</v>
      </c>
      <c r="T1160" s="26" t="n">
        <v>0</v>
      </c>
      <c r="U1160" s="26" t="n">
        <v>0</v>
      </c>
    </row>
    <row r="1161" customFormat="false" ht="15" hidden="false" customHeight="true" outlineLevel="0" collapsed="false">
      <c r="A1161" s="8" t="s">
        <v>944</v>
      </c>
      <c r="B1161" s="8" t="s">
        <v>110</v>
      </c>
      <c r="C1161" s="8" t="s">
        <v>928</v>
      </c>
      <c r="D1161" s="26" t="n">
        <v>0</v>
      </c>
      <c r="E1161" s="26" t="n">
        <v>0</v>
      </c>
      <c r="F1161" s="26" t="n">
        <v>382</v>
      </c>
      <c r="G1161" s="26" t="n">
        <v>0</v>
      </c>
      <c r="H1161" s="26" t="n">
        <v>0</v>
      </c>
      <c r="I1161" s="26" t="n">
        <v>0</v>
      </c>
      <c r="J1161" s="26" t="n">
        <v>0</v>
      </c>
      <c r="K1161" s="26" t="n">
        <v>0</v>
      </c>
      <c r="L1161" s="26" t="n">
        <v>0</v>
      </c>
      <c r="M1161" s="26" t="n">
        <v>0</v>
      </c>
      <c r="N1161" s="26" t="n">
        <v>0</v>
      </c>
      <c r="O1161" s="26" t="n">
        <v>0</v>
      </c>
      <c r="P1161" s="26" t="n">
        <v>0</v>
      </c>
      <c r="Q1161" s="26" t="n">
        <v>0</v>
      </c>
      <c r="R1161" s="26" t="n">
        <v>0</v>
      </c>
      <c r="S1161" s="26" t="n">
        <v>0</v>
      </c>
      <c r="T1161" s="26" t="n">
        <v>0</v>
      </c>
      <c r="U1161" s="26" t="n">
        <v>0</v>
      </c>
    </row>
    <row r="1162" customFormat="false" ht="15" hidden="false" customHeight="true" outlineLevel="0" collapsed="false">
      <c r="A1162" s="8" t="s">
        <v>944</v>
      </c>
      <c r="B1162" s="8" t="s">
        <v>147</v>
      </c>
      <c r="C1162" s="8" t="s">
        <v>533</v>
      </c>
      <c r="D1162" s="26" t="n">
        <v>0</v>
      </c>
      <c r="E1162" s="26" t="n">
        <v>0</v>
      </c>
      <c r="F1162" s="26" t="n">
        <v>64</v>
      </c>
      <c r="G1162" s="26" t="n">
        <v>0</v>
      </c>
      <c r="H1162" s="26" t="n">
        <v>0</v>
      </c>
      <c r="I1162" s="26" t="n">
        <v>28</v>
      </c>
      <c r="J1162" s="26" t="n">
        <v>0</v>
      </c>
      <c r="K1162" s="26" t="n">
        <v>0</v>
      </c>
      <c r="L1162" s="26" t="n">
        <v>0</v>
      </c>
      <c r="M1162" s="26" t="n">
        <v>0</v>
      </c>
      <c r="N1162" s="26" t="n">
        <v>0</v>
      </c>
      <c r="O1162" s="26" t="n">
        <v>0</v>
      </c>
      <c r="P1162" s="26" t="n">
        <v>0</v>
      </c>
      <c r="Q1162" s="26" t="n">
        <v>28</v>
      </c>
      <c r="R1162" s="26" t="n">
        <v>0</v>
      </c>
      <c r="S1162" s="26" t="n">
        <v>0</v>
      </c>
      <c r="T1162" s="26" t="n">
        <v>0</v>
      </c>
      <c r="U1162" s="26" t="n">
        <v>0</v>
      </c>
    </row>
    <row r="1163" customFormat="false" ht="15" hidden="false" customHeight="true" outlineLevel="0" collapsed="false">
      <c r="A1163" s="8" t="s">
        <v>944</v>
      </c>
      <c r="B1163" s="8" t="s">
        <v>216</v>
      </c>
      <c r="C1163" s="8" t="s">
        <v>929</v>
      </c>
      <c r="D1163" s="26" t="n">
        <v>0</v>
      </c>
      <c r="E1163" s="26" t="n">
        <v>0</v>
      </c>
      <c r="F1163" s="26" t="n">
        <v>79</v>
      </c>
      <c r="G1163" s="26" t="n">
        <v>0</v>
      </c>
      <c r="H1163" s="26" t="n">
        <v>0</v>
      </c>
      <c r="I1163" s="26" t="n">
        <v>922</v>
      </c>
      <c r="J1163" s="26" t="n">
        <v>0</v>
      </c>
      <c r="K1163" s="26" t="n">
        <v>0</v>
      </c>
      <c r="L1163" s="26" t="n">
        <v>0</v>
      </c>
      <c r="M1163" s="26" t="n">
        <v>0</v>
      </c>
      <c r="N1163" s="26" t="n">
        <v>0</v>
      </c>
      <c r="O1163" s="26" t="n">
        <v>0</v>
      </c>
      <c r="P1163" s="26" t="n">
        <v>0</v>
      </c>
      <c r="Q1163" s="26" t="n">
        <v>922</v>
      </c>
      <c r="R1163" s="26" t="n">
        <v>0</v>
      </c>
      <c r="S1163" s="26" t="n">
        <v>0</v>
      </c>
      <c r="T1163" s="26" t="n">
        <v>0</v>
      </c>
      <c r="U1163" s="26" t="n">
        <v>0</v>
      </c>
    </row>
    <row r="1164" customFormat="false" ht="15" hidden="false" customHeight="true" outlineLevel="0" collapsed="false">
      <c r="A1164" s="8" t="s">
        <v>944</v>
      </c>
      <c r="B1164" s="8" t="s">
        <v>151</v>
      </c>
      <c r="C1164" s="8" t="s">
        <v>930</v>
      </c>
      <c r="D1164" s="26" t="n">
        <v>0</v>
      </c>
      <c r="E1164" s="26" t="n">
        <v>0</v>
      </c>
      <c r="F1164" s="26" t="n">
        <v>7</v>
      </c>
      <c r="G1164" s="26" t="n">
        <v>0</v>
      </c>
      <c r="H1164" s="26" t="n">
        <v>0</v>
      </c>
      <c r="I1164" s="26" t="n">
        <v>869</v>
      </c>
      <c r="J1164" s="26" t="n">
        <v>0</v>
      </c>
      <c r="K1164" s="26" t="n">
        <v>0</v>
      </c>
      <c r="L1164" s="26" t="n">
        <v>0</v>
      </c>
      <c r="M1164" s="26" t="n">
        <v>0</v>
      </c>
      <c r="N1164" s="26" t="n">
        <v>0</v>
      </c>
      <c r="O1164" s="26" t="n">
        <v>0</v>
      </c>
      <c r="P1164" s="26" t="n">
        <v>0</v>
      </c>
      <c r="Q1164" s="26" t="n">
        <v>869</v>
      </c>
      <c r="R1164" s="26" t="n">
        <v>0</v>
      </c>
      <c r="S1164" s="26" t="n">
        <v>0</v>
      </c>
      <c r="T1164" s="26" t="n">
        <v>0</v>
      </c>
      <c r="U1164" s="26" t="n">
        <v>0</v>
      </c>
    </row>
    <row r="1165" customFormat="false" ht="15" hidden="false" customHeight="true" outlineLevel="0" collapsed="false">
      <c r="A1165" s="8" t="s">
        <v>944</v>
      </c>
      <c r="B1165" s="8" t="s">
        <v>151</v>
      </c>
      <c r="C1165" s="8" t="s">
        <v>931</v>
      </c>
      <c r="D1165" s="26" t="n">
        <v>0</v>
      </c>
      <c r="E1165" s="26" t="n">
        <v>0</v>
      </c>
      <c r="F1165" s="26" t="n">
        <v>21</v>
      </c>
      <c r="G1165" s="26" t="n">
        <v>0</v>
      </c>
      <c r="H1165" s="26" t="n">
        <v>0</v>
      </c>
      <c r="I1165" s="26" t="n">
        <v>941</v>
      </c>
      <c r="J1165" s="26" t="n">
        <v>0</v>
      </c>
      <c r="K1165" s="26" t="n">
        <v>0</v>
      </c>
      <c r="L1165" s="26" t="n">
        <v>0</v>
      </c>
      <c r="M1165" s="26" t="n">
        <v>0</v>
      </c>
      <c r="N1165" s="26" t="n">
        <v>0</v>
      </c>
      <c r="O1165" s="26" t="n">
        <v>0</v>
      </c>
      <c r="P1165" s="26" t="n">
        <v>0</v>
      </c>
      <c r="Q1165" s="26" t="n">
        <v>941</v>
      </c>
      <c r="R1165" s="26" t="n">
        <v>0</v>
      </c>
      <c r="S1165" s="26" t="n">
        <v>0</v>
      </c>
      <c r="T1165" s="26" t="n">
        <v>0</v>
      </c>
      <c r="U1165" s="26" t="n">
        <v>0</v>
      </c>
    </row>
    <row r="1166" customFormat="false" ht="15" hidden="false" customHeight="true" outlineLevel="0" collapsed="false">
      <c r="A1166" s="8" t="s">
        <v>944</v>
      </c>
      <c r="B1166" s="8" t="s">
        <v>151</v>
      </c>
      <c r="C1166" s="8" t="s">
        <v>932</v>
      </c>
      <c r="D1166" s="26" t="n">
        <v>0</v>
      </c>
      <c r="E1166" s="26" t="n">
        <v>0</v>
      </c>
      <c r="F1166" s="26" t="n">
        <v>27</v>
      </c>
      <c r="G1166" s="26" t="n">
        <v>0</v>
      </c>
      <c r="H1166" s="26" t="n">
        <v>0</v>
      </c>
      <c r="I1166" s="26" t="n">
        <v>1045</v>
      </c>
      <c r="J1166" s="26" t="n">
        <v>0</v>
      </c>
      <c r="K1166" s="26" t="n">
        <v>0</v>
      </c>
      <c r="L1166" s="26" t="n">
        <v>0</v>
      </c>
      <c r="M1166" s="26" t="n">
        <v>0</v>
      </c>
      <c r="N1166" s="26" t="n">
        <v>0</v>
      </c>
      <c r="O1166" s="26" t="n">
        <v>0</v>
      </c>
      <c r="P1166" s="26" t="n">
        <v>0</v>
      </c>
      <c r="Q1166" s="26" t="n">
        <v>1045</v>
      </c>
      <c r="R1166" s="26" t="n">
        <v>0</v>
      </c>
      <c r="S1166" s="26" t="n">
        <v>0</v>
      </c>
      <c r="T1166" s="26" t="n">
        <v>0</v>
      </c>
      <c r="U1166" s="26" t="n">
        <v>0</v>
      </c>
    </row>
    <row r="1167" customFormat="false" ht="15" hidden="false" customHeight="true" outlineLevel="0" collapsed="false">
      <c r="A1167" s="8" t="s">
        <v>944</v>
      </c>
      <c r="B1167" s="8" t="s">
        <v>288</v>
      </c>
      <c r="C1167" s="8" t="s">
        <v>933</v>
      </c>
      <c r="D1167" s="26" t="n">
        <v>0</v>
      </c>
      <c r="E1167" s="26" t="n">
        <v>0</v>
      </c>
      <c r="F1167" s="26" t="n">
        <v>7</v>
      </c>
      <c r="G1167" s="26" t="n">
        <v>0</v>
      </c>
      <c r="H1167" s="26" t="n">
        <v>0</v>
      </c>
      <c r="I1167" s="26" t="n">
        <v>890</v>
      </c>
      <c r="J1167" s="26" t="n">
        <v>0</v>
      </c>
      <c r="K1167" s="26" t="n">
        <v>0</v>
      </c>
      <c r="L1167" s="26" t="n">
        <v>0</v>
      </c>
      <c r="M1167" s="26" t="n">
        <v>0</v>
      </c>
      <c r="N1167" s="26" t="n">
        <v>0</v>
      </c>
      <c r="O1167" s="26" t="n">
        <v>0</v>
      </c>
      <c r="P1167" s="26" t="n">
        <v>0</v>
      </c>
      <c r="Q1167" s="26" t="n">
        <v>890</v>
      </c>
      <c r="R1167" s="26" t="n">
        <v>0</v>
      </c>
      <c r="S1167" s="26" t="n">
        <v>0</v>
      </c>
      <c r="T1167" s="26" t="n">
        <v>0</v>
      </c>
      <c r="U1167" s="26" t="n">
        <v>0</v>
      </c>
    </row>
    <row r="1168" customFormat="false" ht="15" hidden="false" customHeight="true" outlineLevel="0" collapsed="false">
      <c r="A1168" s="8" t="s">
        <v>944</v>
      </c>
      <c r="B1168" s="8" t="s">
        <v>171</v>
      </c>
      <c r="C1168" s="8" t="s">
        <v>933</v>
      </c>
      <c r="D1168" s="26" t="n">
        <v>0</v>
      </c>
      <c r="E1168" s="26" t="n">
        <v>0</v>
      </c>
      <c r="F1168" s="26" t="n">
        <v>23</v>
      </c>
      <c r="G1168" s="26" t="n">
        <v>0</v>
      </c>
      <c r="H1168" s="26" t="n">
        <v>0</v>
      </c>
      <c r="I1168" s="26" t="n">
        <v>969</v>
      </c>
      <c r="J1168" s="26" t="n">
        <v>0</v>
      </c>
      <c r="K1168" s="26" t="n">
        <v>0</v>
      </c>
      <c r="L1168" s="26" t="n">
        <v>0</v>
      </c>
      <c r="M1168" s="26" t="n">
        <v>0</v>
      </c>
      <c r="N1168" s="26" t="n">
        <v>0</v>
      </c>
      <c r="O1168" s="26" t="n">
        <v>0</v>
      </c>
      <c r="P1168" s="26" t="n">
        <v>0</v>
      </c>
      <c r="Q1168" s="26" t="n">
        <v>969</v>
      </c>
      <c r="R1168" s="26" t="n">
        <v>0</v>
      </c>
      <c r="S1168" s="26" t="n">
        <v>0</v>
      </c>
      <c r="T1168" s="26" t="n">
        <v>0</v>
      </c>
      <c r="U1168" s="26" t="n">
        <v>0</v>
      </c>
    </row>
    <row r="1169" customFormat="false" ht="15" hidden="false" customHeight="true" outlineLevel="0" collapsed="false">
      <c r="A1169" s="8" t="s">
        <v>944</v>
      </c>
      <c r="B1169" s="8" t="s">
        <v>179</v>
      </c>
      <c r="C1169" s="8" t="s">
        <v>933</v>
      </c>
      <c r="D1169" s="26" t="n">
        <v>0</v>
      </c>
      <c r="E1169" s="26" t="n">
        <v>0</v>
      </c>
      <c r="F1169" s="26" t="n">
        <v>20</v>
      </c>
      <c r="G1169" s="26" t="n">
        <v>0</v>
      </c>
      <c r="H1169" s="26" t="n">
        <v>0</v>
      </c>
      <c r="I1169" s="26" t="n">
        <v>990</v>
      </c>
      <c r="J1169" s="26" t="n">
        <v>0</v>
      </c>
      <c r="K1169" s="26" t="n">
        <v>0</v>
      </c>
      <c r="L1169" s="26" t="n">
        <v>0</v>
      </c>
      <c r="M1169" s="26" t="n">
        <v>0</v>
      </c>
      <c r="N1169" s="26" t="n">
        <v>0</v>
      </c>
      <c r="O1169" s="26" t="n">
        <v>0</v>
      </c>
      <c r="P1169" s="26" t="n">
        <v>0</v>
      </c>
      <c r="Q1169" s="26" t="n">
        <v>990</v>
      </c>
      <c r="R1169" s="26" t="n">
        <v>0</v>
      </c>
      <c r="S1169" s="26" t="n">
        <v>0</v>
      </c>
      <c r="T1169" s="26" t="n">
        <v>0</v>
      </c>
      <c r="U1169" s="26" t="n">
        <v>0</v>
      </c>
    </row>
    <row r="1170" customFormat="false" ht="15" hidden="false" customHeight="true" outlineLevel="0" collapsed="false">
      <c r="A1170" s="8" t="s">
        <v>944</v>
      </c>
      <c r="B1170" s="8" t="s">
        <v>288</v>
      </c>
      <c r="C1170" s="8" t="s">
        <v>934</v>
      </c>
      <c r="D1170" s="26" t="n">
        <v>0</v>
      </c>
      <c r="E1170" s="26" t="n">
        <v>0</v>
      </c>
      <c r="F1170" s="26" t="n">
        <v>10</v>
      </c>
      <c r="G1170" s="26" t="n">
        <v>0</v>
      </c>
      <c r="H1170" s="26" t="n">
        <v>0</v>
      </c>
      <c r="I1170" s="26" t="n">
        <v>886</v>
      </c>
      <c r="J1170" s="26" t="n">
        <v>0</v>
      </c>
      <c r="K1170" s="26" t="n">
        <v>0</v>
      </c>
      <c r="L1170" s="26" t="n">
        <v>0</v>
      </c>
      <c r="M1170" s="26" t="n">
        <v>0</v>
      </c>
      <c r="N1170" s="26" t="n">
        <v>0</v>
      </c>
      <c r="O1170" s="26" t="n">
        <v>0</v>
      </c>
      <c r="P1170" s="26" t="n">
        <v>0</v>
      </c>
      <c r="Q1170" s="26" t="n">
        <v>886</v>
      </c>
      <c r="R1170" s="26" t="n">
        <v>0</v>
      </c>
      <c r="S1170" s="26" t="n">
        <v>0</v>
      </c>
      <c r="T1170" s="26" t="n">
        <v>0</v>
      </c>
      <c r="U1170" s="26" t="n">
        <v>0</v>
      </c>
    </row>
    <row r="1171" customFormat="false" ht="15" hidden="false" customHeight="true" outlineLevel="0" collapsed="false">
      <c r="A1171" s="8" t="s">
        <v>944</v>
      </c>
      <c r="B1171" s="8" t="s">
        <v>171</v>
      </c>
      <c r="C1171" s="8" t="s">
        <v>934</v>
      </c>
      <c r="D1171" s="26" t="n">
        <v>0</v>
      </c>
      <c r="E1171" s="26" t="n">
        <v>0</v>
      </c>
      <c r="F1171" s="26" t="n">
        <v>23</v>
      </c>
      <c r="G1171" s="26" t="n">
        <v>0</v>
      </c>
      <c r="H1171" s="26" t="n">
        <v>0</v>
      </c>
      <c r="I1171" s="26" t="n">
        <v>1056</v>
      </c>
      <c r="J1171" s="26" t="n">
        <v>0</v>
      </c>
      <c r="K1171" s="26" t="n">
        <v>0</v>
      </c>
      <c r="L1171" s="26" t="n">
        <v>0</v>
      </c>
      <c r="M1171" s="26" t="n">
        <v>0</v>
      </c>
      <c r="N1171" s="26" t="n">
        <v>0</v>
      </c>
      <c r="O1171" s="26" t="n">
        <v>0</v>
      </c>
      <c r="P1171" s="26" t="n">
        <v>0</v>
      </c>
      <c r="Q1171" s="26" t="n">
        <v>1056</v>
      </c>
      <c r="R1171" s="26" t="n">
        <v>0</v>
      </c>
      <c r="S1171" s="26" t="n">
        <v>0</v>
      </c>
      <c r="T1171" s="26" t="n">
        <v>0</v>
      </c>
      <c r="U1171" s="26" t="n">
        <v>0</v>
      </c>
    </row>
    <row r="1172" customFormat="false" ht="15" hidden="false" customHeight="true" outlineLevel="0" collapsed="false">
      <c r="A1172" s="8" t="s">
        <v>944</v>
      </c>
      <c r="B1172" s="8" t="s">
        <v>179</v>
      </c>
      <c r="C1172" s="8" t="s">
        <v>934</v>
      </c>
      <c r="D1172" s="26" t="n">
        <v>0</v>
      </c>
      <c r="E1172" s="26" t="n">
        <v>0</v>
      </c>
      <c r="F1172" s="26" t="n">
        <v>22</v>
      </c>
      <c r="G1172" s="26" t="n">
        <v>0</v>
      </c>
      <c r="H1172" s="26" t="n">
        <v>0</v>
      </c>
      <c r="I1172" s="26" t="n">
        <v>1132</v>
      </c>
      <c r="J1172" s="26" t="n">
        <v>0</v>
      </c>
      <c r="K1172" s="26" t="n">
        <v>0</v>
      </c>
      <c r="L1172" s="26" t="n">
        <v>0</v>
      </c>
      <c r="M1172" s="26" t="n">
        <v>0</v>
      </c>
      <c r="N1172" s="26" t="n">
        <v>0</v>
      </c>
      <c r="O1172" s="26" t="n">
        <v>0</v>
      </c>
      <c r="P1172" s="26" t="n">
        <v>0</v>
      </c>
      <c r="Q1172" s="26" t="n">
        <v>1132</v>
      </c>
      <c r="R1172" s="26" t="n">
        <v>0</v>
      </c>
      <c r="S1172" s="26" t="n">
        <v>0</v>
      </c>
      <c r="T1172" s="26" t="n">
        <v>0</v>
      </c>
      <c r="U1172" s="26" t="n">
        <v>0</v>
      </c>
    </row>
    <row r="1173" customFormat="false" ht="15" hidden="false" customHeight="true" outlineLevel="0" collapsed="false">
      <c r="A1173" s="8" t="s">
        <v>944</v>
      </c>
      <c r="B1173" s="8" t="s">
        <v>94</v>
      </c>
      <c r="C1173" s="8" t="s">
        <v>935</v>
      </c>
      <c r="D1173" s="26" t="n">
        <v>0</v>
      </c>
      <c r="E1173" s="26" t="n">
        <v>0</v>
      </c>
      <c r="F1173" s="26" t="n">
        <v>1</v>
      </c>
      <c r="G1173" s="26" t="n">
        <v>0</v>
      </c>
      <c r="H1173" s="26" t="n">
        <v>0</v>
      </c>
      <c r="I1173" s="26" t="n">
        <v>0</v>
      </c>
      <c r="J1173" s="26" t="n">
        <v>0</v>
      </c>
      <c r="K1173" s="26" t="n">
        <v>0</v>
      </c>
      <c r="L1173" s="26" t="n">
        <v>0</v>
      </c>
      <c r="M1173" s="26" t="n">
        <v>0</v>
      </c>
      <c r="N1173" s="26" t="n">
        <v>0</v>
      </c>
      <c r="O1173" s="26" t="n">
        <v>0</v>
      </c>
      <c r="P1173" s="26" t="n">
        <v>0</v>
      </c>
      <c r="Q1173" s="26" t="n">
        <v>0</v>
      </c>
      <c r="R1173" s="26" t="n">
        <v>0</v>
      </c>
      <c r="S1173" s="26" t="n">
        <v>0</v>
      </c>
      <c r="T1173" s="26" t="n">
        <v>0</v>
      </c>
      <c r="U1173" s="26" t="n">
        <v>0</v>
      </c>
    </row>
    <row r="1174" customFormat="false" ht="15" hidden="false" customHeight="true" outlineLevel="0" collapsed="false">
      <c r="A1174" s="8" t="s">
        <v>944</v>
      </c>
      <c r="B1174" s="8" t="s">
        <v>133</v>
      </c>
      <c r="C1174" s="8" t="s">
        <v>936</v>
      </c>
      <c r="D1174" s="26" t="n">
        <v>0</v>
      </c>
      <c r="E1174" s="26" t="n">
        <v>0</v>
      </c>
      <c r="F1174" s="26" t="n">
        <v>43</v>
      </c>
      <c r="G1174" s="26" t="n">
        <v>0</v>
      </c>
      <c r="H1174" s="26" t="n">
        <v>0</v>
      </c>
      <c r="I1174" s="26" t="n">
        <v>40</v>
      </c>
      <c r="J1174" s="26" t="n">
        <v>0</v>
      </c>
      <c r="K1174" s="26" t="n">
        <v>0</v>
      </c>
      <c r="L1174" s="26" t="n">
        <v>0</v>
      </c>
      <c r="M1174" s="26" t="n">
        <v>0</v>
      </c>
      <c r="N1174" s="26" t="n">
        <v>0</v>
      </c>
      <c r="O1174" s="26" t="n">
        <v>0</v>
      </c>
      <c r="P1174" s="26" t="n">
        <v>0</v>
      </c>
      <c r="Q1174" s="26" t="n">
        <v>40</v>
      </c>
      <c r="R1174" s="26" t="n">
        <v>0</v>
      </c>
      <c r="S1174" s="26" t="n">
        <v>0</v>
      </c>
      <c r="T1174" s="26" t="n">
        <v>0</v>
      </c>
      <c r="U1174" s="26" t="n">
        <v>0</v>
      </c>
    </row>
    <row r="1175" customFormat="false" ht="15" hidden="false" customHeight="true" outlineLevel="0" collapsed="false">
      <c r="A1175" s="8" t="s">
        <v>944</v>
      </c>
      <c r="B1175" s="8" t="s">
        <v>133</v>
      </c>
      <c r="C1175" s="8" t="s">
        <v>937</v>
      </c>
      <c r="D1175" s="26" t="n">
        <v>0</v>
      </c>
      <c r="E1175" s="26" t="n">
        <v>0</v>
      </c>
      <c r="F1175" s="26" t="n">
        <v>55</v>
      </c>
      <c r="G1175" s="26" t="n">
        <v>0</v>
      </c>
      <c r="H1175" s="26" t="n">
        <v>4</v>
      </c>
      <c r="I1175" s="26" t="n">
        <v>47</v>
      </c>
      <c r="J1175" s="26" t="n">
        <v>0</v>
      </c>
      <c r="K1175" s="26" t="n">
        <v>0</v>
      </c>
      <c r="L1175" s="26" t="n">
        <v>0</v>
      </c>
      <c r="M1175" s="26" t="n">
        <v>0</v>
      </c>
      <c r="N1175" s="26" t="n">
        <v>0</v>
      </c>
      <c r="O1175" s="26" t="n">
        <v>0</v>
      </c>
      <c r="P1175" s="26" t="n">
        <v>0</v>
      </c>
      <c r="Q1175" s="26" t="n">
        <v>47</v>
      </c>
      <c r="R1175" s="26" t="n">
        <v>0</v>
      </c>
      <c r="S1175" s="26" t="n">
        <v>0</v>
      </c>
      <c r="T1175" s="26" t="n">
        <v>0</v>
      </c>
      <c r="U1175" s="26" t="n">
        <v>0</v>
      </c>
    </row>
    <row r="1176" customFormat="false" ht="15" hidden="false" customHeight="true" outlineLevel="0" collapsed="false">
      <c r="A1176" s="8" t="s">
        <v>944</v>
      </c>
      <c r="B1176" s="8" t="s">
        <v>101</v>
      </c>
      <c r="C1176" s="8" t="s">
        <v>938</v>
      </c>
      <c r="D1176" s="26" t="n">
        <v>0</v>
      </c>
      <c r="E1176" s="26" t="n">
        <v>0</v>
      </c>
      <c r="F1176" s="26" t="n">
        <v>1000</v>
      </c>
      <c r="G1176" s="26" t="n">
        <v>0</v>
      </c>
      <c r="H1176" s="26" t="n">
        <v>0</v>
      </c>
      <c r="I1176" s="26" t="n">
        <v>583</v>
      </c>
      <c r="J1176" s="26" t="n">
        <v>0</v>
      </c>
      <c r="K1176" s="26" t="n">
        <v>0</v>
      </c>
      <c r="L1176" s="26" t="n">
        <v>0</v>
      </c>
      <c r="M1176" s="26" t="n">
        <v>0</v>
      </c>
      <c r="N1176" s="26" t="n">
        <v>0</v>
      </c>
      <c r="O1176" s="26" t="n">
        <v>0</v>
      </c>
      <c r="P1176" s="26" t="n">
        <v>0</v>
      </c>
      <c r="Q1176" s="26" t="n">
        <v>583</v>
      </c>
      <c r="R1176" s="26" t="n">
        <v>0</v>
      </c>
      <c r="S1176" s="26" t="n">
        <v>0</v>
      </c>
      <c r="T1176" s="26" t="n">
        <v>0</v>
      </c>
      <c r="U1176" s="26" t="n">
        <v>0</v>
      </c>
    </row>
    <row r="1177" customFormat="false" ht="15" hidden="false" customHeight="true" outlineLevel="0" collapsed="false">
      <c r="A1177" s="8" t="s">
        <v>944</v>
      </c>
      <c r="B1177" s="8" t="s">
        <v>83</v>
      </c>
      <c r="C1177" s="8" t="s">
        <v>939</v>
      </c>
      <c r="D1177" s="26" t="n">
        <v>0</v>
      </c>
      <c r="E1177" s="26" t="n">
        <v>0</v>
      </c>
      <c r="F1177" s="26" t="n">
        <v>1</v>
      </c>
      <c r="G1177" s="26" t="n">
        <v>0</v>
      </c>
      <c r="H1177" s="26" t="n">
        <v>0</v>
      </c>
      <c r="I1177" s="26" t="n">
        <v>0</v>
      </c>
      <c r="J1177" s="26" t="n">
        <v>0</v>
      </c>
      <c r="K1177" s="26" t="n">
        <v>0</v>
      </c>
      <c r="L1177" s="26" t="n">
        <v>0</v>
      </c>
      <c r="M1177" s="26" t="n">
        <v>0</v>
      </c>
      <c r="N1177" s="26" t="n">
        <v>0</v>
      </c>
      <c r="O1177" s="26" t="n">
        <v>0</v>
      </c>
      <c r="P1177" s="26" t="n">
        <v>0</v>
      </c>
      <c r="Q1177" s="26" t="n">
        <v>0</v>
      </c>
      <c r="R1177" s="26" t="n">
        <v>0</v>
      </c>
      <c r="S1177" s="26" t="n">
        <v>0</v>
      </c>
      <c r="T1177" s="26" t="n">
        <v>0</v>
      </c>
      <c r="U1177" s="26" t="n">
        <v>0</v>
      </c>
    </row>
    <row r="1178" customFormat="false" ht="15" hidden="false" customHeight="true" outlineLevel="0" collapsed="false">
      <c r="A1178" s="8" t="s">
        <v>944</v>
      </c>
      <c r="B1178" s="8" t="s">
        <v>83</v>
      </c>
      <c r="C1178" s="8" t="s">
        <v>940</v>
      </c>
      <c r="D1178" s="26" t="n">
        <v>0</v>
      </c>
      <c r="E1178" s="26" t="n">
        <v>0</v>
      </c>
      <c r="F1178" s="26" t="n">
        <v>3</v>
      </c>
      <c r="G1178" s="26" t="n">
        <v>0</v>
      </c>
      <c r="H1178" s="26" t="n">
        <v>0</v>
      </c>
      <c r="I1178" s="26" t="n">
        <v>0</v>
      </c>
      <c r="J1178" s="26" t="n">
        <v>0</v>
      </c>
      <c r="K1178" s="26" t="n">
        <v>0</v>
      </c>
      <c r="L1178" s="26" t="n">
        <v>0</v>
      </c>
      <c r="M1178" s="26" t="n">
        <v>0</v>
      </c>
      <c r="N1178" s="26" t="n">
        <v>0</v>
      </c>
      <c r="O1178" s="26" t="n">
        <v>0</v>
      </c>
      <c r="P1178" s="26" t="n">
        <v>0</v>
      </c>
      <c r="Q1178" s="26" t="n">
        <v>0</v>
      </c>
      <c r="R1178" s="26" t="n">
        <v>0</v>
      </c>
      <c r="S1178" s="26" t="n">
        <v>0</v>
      </c>
      <c r="T1178" s="26" t="n">
        <v>0</v>
      </c>
      <c r="U1178" s="26" t="n">
        <v>0</v>
      </c>
    </row>
    <row r="1179" customFormat="false" ht="15" hidden="false" customHeight="true" outlineLevel="0" collapsed="false">
      <c r="A1179" s="8" t="s">
        <v>944</v>
      </c>
      <c r="B1179" s="8" t="s">
        <v>83</v>
      </c>
      <c r="C1179" s="8" t="s">
        <v>941</v>
      </c>
      <c r="D1179" s="26" t="n">
        <v>0</v>
      </c>
      <c r="E1179" s="26" t="n">
        <v>0</v>
      </c>
      <c r="F1179" s="26" t="n">
        <v>3</v>
      </c>
      <c r="G1179" s="26" t="n">
        <v>0</v>
      </c>
      <c r="H1179" s="26" t="n">
        <v>0</v>
      </c>
      <c r="I1179" s="26" t="n">
        <v>0</v>
      </c>
      <c r="J1179" s="26" t="n">
        <v>0</v>
      </c>
      <c r="K1179" s="26" t="n">
        <v>0</v>
      </c>
      <c r="L1179" s="26" t="n">
        <v>0</v>
      </c>
      <c r="M1179" s="26" t="n">
        <v>0</v>
      </c>
      <c r="N1179" s="26" t="n">
        <v>0</v>
      </c>
      <c r="O1179" s="26" t="n">
        <v>0</v>
      </c>
      <c r="P1179" s="26" t="n">
        <v>0</v>
      </c>
      <c r="Q1179" s="26" t="n">
        <v>0</v>
      </c>
      <c r="R1179" s="26" t="n">
        <v>0</v>
      </c>
      <c r="S1179" s="26" t="n">
        <v>0</v>
      </c>
      <c r="T1179" s="26" t="n">
        <v>0</v>
      </c>
      <c r="U1179" s="26" t="n">
        <v>0</v>
      </c>
    </row>
    <row r="1180" customFormat="false" ht="15" hidden="false" customHeight="true" outlineLevel="0" collapsed="false">
      <c r="A1180" s="8" t="s">
        <v>944</v>
      </c>
      <c r="B1180" s="8" t="s">
        <v>83</v>
      </c>
      <c r="C1180" s="8" t="s">
        <v>942</v>
      </c>
      <c r="D1180" s="26" t="n">
        <v>0</v>
      </c>
      <c r="E1180" s="26" t="n">
        <v>0</v>
      </c>
      <c r="F1180" s="26" t="n">
        <v>6</v>
      </c>
      <c r="G1180" s="26" t="n">
        <v>0</v>
      </c>
      <c r="H1180" s="26" t="n">
        <v>0</v>
      </c>
      <c r="I1180" s="26" t="n">
        <v>0</v>
      </c>
      <c r="J1180" s="26" t="n">
        <v>0</v>
      </c>
      <c r="K1180" s="26" t="n">
        <v>0</v>
      </c>
      <c r="L1180" s="26" t="n">
        <v>0</v>
      </c>
      <c r="M1180" s="26" t="n">
        <v>0</v>
      </c>
      <c r="N1180" s="26" t="n">
        <v>0</v>
      </c>
      <c r="O1180" s="26" t="n">
        <v>0</v>
      </c>
      <c r="P1180" s="26" t="n">
        <v>0</v>
      </c>
      <c r="Q1180" s="26" t="n">
        <v>0</v>
      </c>
      <c r="R1180" s="26" t="n">
        <v>0</v>
      </c>
      <c r="S1180" s="26" t="n">
        <v>0</v>
      </c>
      <c r="T1180" s="26" t="n">
        <v>0</v>
      </c>
      <c r="U1180" s="26" t="n">
        <v>0</v>
      </c>
    </row>
    <row r="1181" customFormat="false" ht="15" hidden="false" customHeight="true" outlineLevel="0" collapsed="false">
      <c r="A1181" s="8" t="s">
        <v>944</v>
      </c>
      <c r="B1181" s="8" t="s">
        <v>83</v>
      </c>
      <c r="C1181" s="8" t="s">
        <v>943</v>
      </c>
      <c r="D1181" s="26" t="n">
        <v>0</v>
      </c>
      <c r="E1181" s="26" t="n">
        <v>0</v>
      </c>
      <c r="F1181" s="26" t="n">
        <v>6</v>
      </c>
      <c r="G1181" s="26" t="n">
        <v>0</v>
      </c>
      <c r="H1181" s="26" t="n">
        <v>0</v>
      </c>
      <c r="I1181" s="26" t="n">
        <v>0</v>
      </c>
      <c r="J1181" s="26" t="n">
        <v>0</v>
      </c>
      <c r="K1181" s="26" t="n">
        <v>0</v>
      </c>
      <c r="L1181" s="26" t="n">
        <v>0</v>
      </c>
      <c r="M1181" s="26" t="n">
        <v>0</v>
      </c>
      <c r="N1181" s="26" t="n">
        <v>0</v>
      </c>
      <c r="O1181" s="26" t="n">
        <v>0</v>
      </c>
      <c r="P1181" s="26" t="n">
        <v>0</v>
      </c>
      <c r="Q1181" s="26" t="n">
        <v>0</v>
      </c>
      <c r="R1181" s="26" t="n">
        <v>0</v>
      </c>
      <c r="S1181" s="26" t="n">
        <v>0</v>
      </c>
      <c r="T1181" s="26" t="n">
        <v>0</v>
      </c>
      <c r="U1181" s="26" t="n">
        <v>0</v>
      </c>
    </row>
  </sheetData>
  <mergeCells count="1">
    <mergeCell ref="A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40"/>
    <col collapsed="false" customWidth="true" hidden="false" outlineLevel="0" max="21" min="4" style="1" width="13"/>
  </cols>
  <sheetData>
    <row r="1" customFormat="false" ht="13.5" hidden="false" customHeight="true" outlineLevel="0" collapsed="false">
      <c r="A1" s="12" t="s">
        <v>946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customFormat="false" ht="26.25" hidden="false" customHeight="true" outlineLevel="0" collapsed="false">
      <c r="A2" s="25" t="s">
        <v>404</v>
      </c>
      <c r="B2" s="25" t="s">
        <v>405</v>
      </c>
      <c r="C2" s="25" t="s">
        <v>406</v>
      </c>
      <c r="D2" s="25" t="s">
        <v>33</v>
      </c>
      <c r="E2" s="25" t="s">
        <v>36</v>
      </c>
      <c r="F2" s="25" t="s">
        <v>37</v>
      </c>
      <c r="G2" s="25" t="s">
        <v>39</v>
      </c>
      <c r="H2" s="25" t="s">
        <v>40</v>
      </c>
      <c r="I2" s="25" t="s">
        <v>27</v>
      </c>
      <c r="J2" s="25" t="s">
        <v>24</v>
      </c>
      <c r="K2" s="25" t="s">
        <v>46</v>
      </c>
      <c r="L2" s="25" t="s">
        <v>47</v>
      </c>
      <c r="M2" s="25" t="s">
        <v>43</v>
      </c>
      <c r="N2" s="25" t="s">
        <v>44</v>
      </c>
      <c r="O2" s="25" t="s">
        <v>48</v>
      </c>
      <c r="P2" s="25" t="s">
        <v>49</v>
      </c>
      <c r="Q2" s="25" t="s">
        <v>51</v>
      </c>
      <c r="R2" s="25" t="s">
        <v>50</v>
      </c>
      <c r="S2" s="25" t="s">
        <v>41</v>
      </c>
      <c r="T2" s="25" t="s">
        <v>53</v>
      </c>
      <c r="U2" s="25" t="s">
        <v>42</v>
      </c>
    </row>
    <row r="3" customFormat="false" ht="15" hidden="false" customHeight="true" outlineLevel="0" collapsed="false">
      <c r="A3" s="8" t="s">
        <v>407</v>
      </c>
      <c r="B3" s="8" t="s">
        <v>131</v>
      </c>
      <c r="C3" s="8" t="s">
        <v>408</v>
      </c>
      <c r="D3" s="26" t="n">
        <v>0</v>
      </c>
      <c r="E3" s="26" t="n">
        <v>0</v>
      </c>
      <c r="F3" s="26" t="n">
        <v>5489.3</v>
      </c>
      <c r="G3" s="26" t="n">
        <v>0</v>
      </c>
      <c r="H3" s="26" t="n">
        <v>20.7</v>
      </c>
      <c r="I3" s="26" t="n">
        <v>18346.8</v>
      </c>
      <c r="J3" s="26" t="n">
        <v>0</v>
      </c>
      <c r="K3" s="26" t="n">
        <v>162.6</v>
      </c>
      <c r="L3" s="26" t="n">
        <v>0</v>
      </c>
      <c r="M3" s="26" t="n">
        <v>0</v>
      </c>
      <c r="N3" s="26" t="n">
        <v>143.1</v>
      </c>
      <c r="O3" s="26" t="n">
        <v>0</v>
      </c>
      <c r="P3" s="26" t="n">
        <v>-20.3</v>
      </c>
      <c r="Q3" s="26" t="n">
        <v>16354.5</v>
      </c>
      <c r="R3" s="26" t="n">
        <v>1706.9</v>
      </c>
      <c r="S3" s="26" t="n">
        <v>0</v>
      </c>
      <c r="T3" s="26" t="n">
        <v>870.8</v>
      </c>
      <c r="U3" s="26" t="n">
        <v>0</v>
      </c>
    </row>
    <row r="4" customFormat="false" ht="15" hidden="false" customHeight="true" outlineLevel="0" collapsed="false">
      <c r="A4" s="8" t="s">
        <v>407</v>
      </c>
      <c r="B4" s="8" t="s">
        <v>131</v>
      </c>
      <c r="C4" s="8" t="s">
        <v>409</v>
      </c>
      <c r="D4" s="26" t="n">
        <v>0</v>
      </c>
      <c r="E4" s="26" t="n">
        <v>0</v>
      </c>
      <c r="F4" s="26" t="n">
        <v>6889.9</v>
      </c>
      <c r="G4" s="26" t="n">
        <v>0</v>
      </c>
      <c r="H4" s="26" t="n">
        <v>0</v>
      </c>
      <c r="I4" s="26" t="n">
        <v>20591.7</v>
      </c>
      <c r="J4" s="26" t="n">
        <v>0</v>
      </c>
      <c r="K4" s="26" t="n">
        <v>327.5</v>
      </c>
      <c r="L4" s="26" t="n">
        <v>0</v>
      </c>
      <c r="M4" s="26" t="n">
        <v>0</v>
      </c>
      <c r="N4" s="26" t="n">
        <v>288.2</v>
      </c>
      <c r="O4" s="26" t="n">
        <v>0</v>
      </c>
      <c r="P4" s="26" t="n">
        <v>-43.7</v>
      </c>
      <c r="Q4" s="26" t="n">
        <v>18338.8</v>
      </c>
      <c r="R4" s="26" t="n">
        <v>1680.9</v>
      </c>
      <c r="S4" s="26" t="n">
        <v>0</v>
      </c>
      <c r="T4" s="26" t="n">
        <v>1492.4</v>
      </c>
      <c r="U4" s="26" t="n">
        <v>0</v>
      </c>
    </row>
    <row r="5" customFormat="false" ht="15" hidden="false" customHeight="true" outlineLevel="0" collapsed="false">
      <c r="A5" s="8" t="s">
        <v>407</v>
      </c>
      <c r="B5" s="8" t="s">
        <v>235</v>
      </c>
      <c r="C5" s="8" t="s">
        <v>410</v>
      </c>
      <c r="D5" s="26" t="n">
        <v>0</v>
      </c>
      <c r="E5" s="26" t="n">
        <v>0</v>
      </c>
      <c r="F5" s="26" t="n">
        <v>1552</v>
      </c>
      <c r="G5" s="26" t="n">
        <v>0</v>
      </c>
      <c r="H5" s="26" t="n">
        <v>0</v>
      </c>
      <c r="I5" s="26" t="n">
        <v>1181.8</v>
      </c>
      <c r="J5" s="26" t="n">
        <v>0</v>
      </c>
      <c r="K5" s="26" t="n">
        <v>36.1</v>
      </c>
      <c r="L5" s="26" t="n">
        <v>0</v>
      </c>
      <c r="M5" s="26" t="n">
        <v>0</v>
      </c>
      <c r="N5" s="26" t="n">
        <v>26.6</v>
      </c>
      <c r="O5" s="26" t="n">
        <v>43.3</v>
      </c>
      <c r="P5" s="26" t="n">
        <v>-14.4</v>
      </c>
      <c r="Q5" s="26" t="n">
        <v>0</v>
      </c>
      <c r="R5" s="26" t="n">
        <v>1090.2</v>
      </c>
      <c r="S5" s="26" t="n">
        <v>0</v>
      </c>
      <c r="T5" s="26" t="n">
        <v>771.2</v>
      </c>
      <c r="U5" s="26" t="n">
        <v>0</v>
      </c>
    </row>
    <row r="6" customFormat="false" ht="15" hidden="false" customHeight="true" outlineLevel="0" collapsed="false">
      <c r="A6" s="8" t="s">
        <v>407</v>
      </c>
      <c r="B6" s="8" t="s">
        <v>274</v>
      </c>
      <c r="C6" s="8" t="s">
        <v>411</v>
      </c>
      <c r="D6" s="26" t="n">
        <v>0</v>
      </c>
      <c r="E6" s="26" t="n">
        <v>0</v>
      </c>
      <c r="F6" s="26" t="n">
        <v>788.6</v>
      </c>
      <c r="G6" s="26" t="n">
        <v>0</v>
      </c>
      <c r="H6" s="26" t="n">
        <v>0</v>
      </c>
      <c r="I6" s="26" t="n">
        <v>0</v>
      </c>
      <c r="J6" s="26" t="n">
        <v>0</v>
      </c>
      <c r="K6" s="26" t="n">
        <v>0</v>
      </c>
      <c r="L6" s="26" t="n">
        <v>0</v>
      </c>
      <c r="M6" s="26" t="n">
        <v>0</v>
      </c>
      <c r="N6" s="26" t="n">
        <v>0</v>
      </c>
      <c r="O6" s="26" t="n">
        <v>0</v>
      </c>
      <c r="P6" s="26" t="n">
        <v>0</v>
      </c>
      <c r="Q6" s="26" t="n">
        <v>0</v>
      </c>
      <c r="R6" s="26" t="n">
        <v>0</v>
      </c>
      <c r="S6" s="26" t="n">
        <v>0</v>
      </c>
      <c r="T6" s="26" t="n">
        <v>0</v>
      </c>
      <c r="U6" s="26" t="n">
        <v>0</v>
      </c>
    </row>
    <row r="7" customFormat="false" ht="15" hidden="false" customHeight="true" outlineLevel="0" collapsed="false">
      <c r="A7" s="8" t="s">
        <v>407</v>
      </c>
      <c r="B7" s="8" t="s">
        <v>344</v>
      </c>
      <c r="C7" s="8" t="s">
        <v>412</v>
      </c>
      <c r="D7" s="26" t="n">
        <v>0</v>
      </c>
      <c r="E7" s="26" t="n">
        <v>0</v>
      </c>
      <c r="F7" s="26" t="n">
        <v>358.6</v>
      </c>
      <c r="G7" s="26" t="n">
        <v>0</v>
      </c>
      <c r="H7" s="26" t="n">
        <v>0</v>
      </c>
      <c r="I7" s="26" t="n">
        <v>0</v>
      </c>
      <c r="J7" s="26" t="n">
        <v>0</v>
      </c>
      <c r="K7" s="26" t="n">
        <v>0</v>
      </c>
      <c r="L7" s="26" t="n">
        <v>0</v>
      </c>
      <c r="M7" s="26" t="n">
        <v>0</v>
      </c>
      <c r="N7" s="26" t="n">
        <v>0</v>
      </c>
      <c r="O7" s="26" t="n">
        <v>0</v>
      </c>
      <c r="P7" s="26" t="n">
        <v>0</v>
      </c>
      <c r="Q7" s="26" t="n">
        <v>0</v>
      </c>
      <c r="R7" s="26" t="n">
        <v>0</v>
      </c>
      <c r="S7" s="26" t="n">
        <v>0</v>
      </c>
      <c r="T7" s="26" t="n">
        <v>0</v>
      </c>
      <c r="U7" s="26" t="n">
        <v>0</v>
      </c>
    </row>
    <row r="8" customFormat="false" ht="15" hidden="false" customHeight="true" outlineLevel="0" collapsed="false">
      <c r="A8" s="8" t="s">
        <v>407</v>
      </c>
      <c r="B8" s="8" t="s">
        <v>355</v>
      </c>
      <c r="C8" s="8" t="s">
        <v>413</v>
      </c>
      <c r="D8" s="26" t="n">
        <v>0</v>
      </c>
      <c r="E8" s="26" t="n">
        <v>0</v>
      </c>
      <c r="F8" s="26" t="n">
        <v>319.4</v>
      </c>
      <c r="G8" s="26" t="n">
        <v>0</v>
      </c>
      <c r="H8" s="26" t="n">
        <v>0</v>
      </c>
      <c r="I8" s="26" t="n">
        <v>0</v>
      </c>
      <c r="J8" s="26" t="n">
        <v>0</v>
      </c>
      <c r="K8" s="26" t="n">
        <v>0</v>
      </c>
      <c r="L8" s="26" t="n">
        <v>0</v>
      </c>
      <c r="M8" s="26" t="n">
        <v>0</v>
      </c>
      <c r="N8" s="26" t="n">
        <v>0</v>
      </c>
      <c r="O8" s="26" t="n">
        <v>0</v>
      </c>
      <c r="P8" s="26" t="n">
        <v>0</v>
      </c>
      <c r="Q8" s="26" t="n">
        <v>0</v>
      </c>
      <c r="R8" s="26" t="n">
        <v>0</v>
      </c>
      <c r="S8" s="26" t="n">
        <v>0</v>
      </c>
      <c r="T8" s="26" t="n">
        <v>0</v>
      </c>
      <c r="U8" s="26" t="n">
        <v>0</v>
      </c>
    </row>
    <row r="9" customFormat="false" ht="15" hidden="false" customHeight="true" outlineLevel="0" collapsed="false">
      <c r="A9" s="8" t="s">
        <v>407</v>
      </c>
      <c r="B9" s="8" t="s">
        <v>341</v>
      </c>
      <c r="C9" s="8" t="s">
        <v>414</v>
      </c>
      <c r="D9" s="26" t="n">
        <v>0</v>
      </c>
      <c r="E9" s="26" t="n">
        <v>0</v>
      </c>
      <c r="F9" s="26" t="n">
        <v>665.2</v>
      </c>
      <c r="G9" s="26" t="n">
        <v>0</v>
      </c>
      <c r="H9" s="26" t="n">
        <v>0</v>
      </c>
      <c r="I9" s="26" t="n">
        <v>0</v>
      </c>
      <c r="J9" s="26" t="n">
        <v>0</v>
      </c>
      <c r="K9" s="26" t="n">
        <v>0</v>
      </c>
      <c r="L9" s="26" t="n">
        <v>0</v>
      </c>
      <c r="M9" s="26" t="n">
        <v>0</v>
      </c>
      <c r="N9" s="26" t="n">
        <v>0</v>
      </c>
      <c r="O9" s="26" t="n">
        <v>0</v>
      </c>
      <c r="P9" s="26" t="n">
        <v>0</v>
      </c>
      <c r="Q9" s="26" t="n">
        <v>0</v>
      </c>
      <c r="R9" s="26" t="n">
        <v>0</v>
      </c>
      <c r="S9" s="26" t="n">
        <v>0</v>
      </c>
      <c r="T9" s="26" t="n">
        <v>0</v>
      </c>
      <c r="U9" s="26" t="n">
        <v>0</v>
      </c>
    </row>
    <row r="10" customFormat="false" ht="15" hidden="false" customHeight="true" outlineLevel="0" collapsed="false">
      <c r="A10" s="8" t="s">
        <v>407</v>
      </c>
      <c r="B10" s="8" t="s">
        <v>256</v>
      </c>
      <c r="C10" s="8" t="s">
        <v>415</v>
      </c>
      <c r="D10" s="26" t="n">
        <v>0</v>
      </c>
      <c r="E10" s="26" t="n">
        <v>0</v>
      </c>
      <c r="F10" s="26" t="n">
        <v>2749.1</v>
      </c>
      <c r="G10" s="26" t="n">
        <v>0</v>
      </c>
      <c r="H10" s="26" t="n">
        <v>0</v>
      </c>
      <c r="I10" s="26" t="n">
        <v>2790.2</v>
      </c>
      <c r="J10" s="26" t="n">
        <v>0</v>
      </c>
      <c r="K10" s="26" t="n">
        <v>47.2</v>
      </c>
      <c r="L10" s="26" t="n">
        <v>0</v>
      </c>
      <c r="M10" s="26" t="n">
        <v>0</v>
      </c>
      <c r="N10" s="26" t="n">
        <v>0</v>
      </c>
      <c r="O10" s="26" t="n">
        <v>0</v>
      </c>
      <c r="P10" s="26" t="n">
        <v>-47.2</v>
      </c>
      <c r="Q10" s="26" t="n">
        <v>2224.3</v>
      </c>
      <c r="R10" s="26" t="n">
        <v>565.9</v>
      </c>
      <c r="S10" s="26" t="n">
        <v>0</v>
      </c>
      <c r="T10" s="26" t="n">
        <v>668</v>
      </c>
      <c r="U10" s="26" t="n">
        <v>0</v>
      </c>
    </row>
    <row r="11" customFormat="false" ht="15" hidden="false" customHeight="true" outlineLevel="0" collapsed="false">
      <c r="A11" s="8" t="s">
        <v>407</v>
      </c>
      <c r="B11" s="8" t="s">
        <v>167</v>
      </c>
      <c r="C11" s="8" t="s">
        <v>416</v>
      </c>
      <c r="D11" s="26" t="n">
        <v>0</v>
      </c>
      <c r="E11" s="26" t="n">
        <v>0</v>
      </c>
      <c r="F11" s="26" t="n">
        <v>3827.3</v>
      </c>
      <c r="G11" s="26" t="n">
        <v>0</v>
      </c>
      <c r="H11" s="26" t="n">
        <v>51.1</v>
      </c>
      <c r="I11" s="26" t="n">
        <v>24943.6</v>
      </c>
      <c r="J11" s="26" t="n">
        <v>0</v>
      </c>
      <c r="K11" s="26" t="n">
        <v>191.7</v>
      </c>
      <c r="L11" s="26" t="n">
        <v>0</v>
      </c>
      <c r="M11" s="26" t="n">
        <v>157.1</v>
      </c>
      <c r="N11" s="26" t="n">
        <v>117.8</v>
      </c>
      <c r="O11" s="26" t="n">
        <v>0</v>
      </c>
      <c r="P11" s="26" t="n">
        <v>-57.5</v>
      </c>
      <c r="Q11" s="26" t="n">
        <v>23901.8</v>
      </c>
      <c r="R11" s="26" t="n">
        <v>632.6</v>
      </c>
      <c r="S11" s="26" t="n">
        <v>0</v>
      </c>
      <c r="T11" s="26" t="n">
        <v>939.1</v>
      </c>
      <c r="U11" s="26" t="n">
        <v>-78.6</v>
      </c>
    </row>
    <row r="12" customFormat="false" ht="15" hidden="false" customHeight="true" outlineLevel="0" collapsed="false">
      <c r="A12" s="8" t="s">
        <v>407</v>
      </c>
      <c r="B12" s="8" t="s">
        <v>393</v>
      </c>
      <c r="C12" s="8" t="s">
        <v>947</v>
      </c>
      <c r="D12" s="26" t="n">
        <v>0</v>
      </c>
      <c r="E12" s="26" t="n">
        <v>0</v>
      </c>
      <c r="F12" s="26" t="n">
        <v>0</v>
      </c>
      <c r="G12" s="26" t="n">
        <v>0</v>
      </c>
      <c r="H12" s="26" t="n">
        <v>0</v>
      </c>
      <c r="I12" s="26" t="n">
        <v>0</v>
      </c>
      <c r="J12" s="26" t="n">
        <v>0</v>
      </c>
      <c r="K12" s="26" t="n">
        <v>0</v>
      </c>
      <c r="L12" s="26" t="n">
        <v>0</v>
      </c>
      <c r="M12" s="26" t="n">
        <v>0</v>
      </c>
      <c r="N12" s="26" t="n">
        <v>0</v>
      </c>
      <c r="O12" s="26" t="n">
        <v>0</v>
      </c>
      <c r="P12" s="26" t="n">
        <v>0</v>
      </c>
      <c r="Q12" s="26" t="n">
        <v>0</v>
      </c>
      <c r="R12" s="26" t="n">
        <v>0</v>
      </c>
      <c r="S12" s="26" t="n">
        <v>0</v>
      </c>
      <c r="T12" s="26" t="n">
        <v>2875.6</v>
      </c>
      <c r="U12" s="26" t="n">
        <v>0</v>
      </c>
    </row>
    <row r="13" customFormat="false" ht="15" hidden="false" customHeight="true" outlineLevel="0" collapsed="false">
      <c r="A13" s="8" t="s">
        <v>407</v>
      </c>
      <c r="B13" s="8" t="s">
        <v>155</v>
      </c>
      <c r="C13" s="8" t="s">
        <v>417</v>
      </c>
      <c r="D13" s="26" t="n">
        <v>0</v>
      </c>
      <c r="E13" s="26" t="n">
        <v>0</v>
      </c>
      <c r="F13" s="26" t="n">
        <v>360.4</v>
      </c>
      <c r="G13" s="26" t="n">
        <v>0</v>
      </c>
      <c r="H13" s="26" t="n">
        <v>0</v>
      </c>
      <c r="I13" s="26" t="n">
        <v>337.1</v>
      </c>
      <c r="J13" s="26" t="n">
        <v>0</v>
      </c>
      <c r="K13" s="26" t="n">
        <v>0</v>
      </c>
      <c r="L13" s="26" t="n">
        <v>0</v>
      </c>
      <c r="M13" s="26" t="n">
        <v>0</v>
      </c>
      <c r="N13" s="26" t="n">
        <v>0</v>
      </c>
      <c r="O13" s="26" t="n">
        <v>0</v>
      </c>
      <c r="P13" s="26" t="n">
        <v>-31.5</v>
      </c>
      <c r="Q13" s="26" t="n">
        <v>211.3</v>
      </c>
      <c r="R13" s="26" t="n">
        <v>157.3</v>
      </c>
      <c r="S13" s="26" t="n">
        <v>0</v>
      </c>
      <c r="T13" s="26" t="n">
        <v>41.3</v>
      </c>
      <c r="U13" s="26" t="n">
        <v>0</v>
      </c>
    </row>
    <row r="14" customFormat="false" ht="15" hidden="false" customHeight="true" outlineLevel="0" collapsed="false">
      <c r="A14" s="8" t="s">
        <v>407</v>
      </c>
      <c r="B14" s="8" t="s">
        <v>155</v>
      </c>
      <c r="C14" s="8" t="s">
        <v>418</v>
      </c>
      <c r="D14" s="26" t="n">
        <v>0</v>
      </c>
      <c r="E14" s="26" t="n">
        <v>0</v>
      </c>
      <c r="F14" s="26" t="n">
        <v>507.9</v>
      </c>
      <c r="G14" s="26" t="n">
        <v>0</v>
      </c>
      <c r="H14" s="26" t="n">
        <v>0</v>
      </c>
      <c r="I14" s="26" t="n">
        <v>891.5</v>
      </c>
      <c r="J14" s="26" t="n">
        <v>0</v>
      </c>
      <c r="K14" s="26" t="n">
        <v>0</v>
      </c>
      <c r="L14" s="26" t="n">
        <v>0</v>
      </c>
      <c r="M14" s="26" t="n">
        <v>0</v>
      </c>
      <c r="N14" s="26" t="n">
        <v>0</v>
      </c>
      <c r="O14" s="26" t="n">
        <v>0</v>
      </c>
      <c r="P14" s="26" t="n">
        <v>-62.9</v>
      </c>
      <c r="Q14" s="26" t="n">
        <v>828.6</v>
      </c>
      <c r="R14" s="26" t="n">
        <v>125.8</v>
      </c>
      <c r="S14" s="26" t="n">
        <v>0</v>
      </c>
      <c r="T14" s="26" t="n">
        <v>112.1</v>
      </c>
      <c r="U14" s="26" t="n">
        <v>0</v>
      </c>
    </row>
    <row r="15" customFormat="false" ht="15" hidden="false" customHeight="true" outlineLevel="0" collapsed="false">
      <c r="A15" s="8" t="s">
        <v>407</v>
      </c>
      <c r="B15" s="8" t="s">
        <v>155</v>
      </c>
      <c r="C15" s="8" t="s">
        <v>419</v>
      </c>
      <c r="D15" s="26" t="n">
        <v>0</v>
      </c>
      <c r="E15" s="26" t="n">
        <v>0</v>
      </c>
      <c r="F15" s="26" t="n">
        <v>763</v>
      </c>
      <c r="G15" s="26" t="n">
        <v>0</v>
      </c>
      <c r="H15" s="26" t="n">
        <v>0</v>
      </c>
      <c r="I15" s="26" t="n">
        <v>941.7</v>
      </c>
      <c r="J15" s="26" t="n">
        <v>0</v>
      </c>
      <c r="K15" s="26" t="n">
        <v>0</v>
      </c>
      <c r="L15" s="26" t="n">
        <v>0</v>
      </c>
      <c r="M15" s="26" t="n">
        <v>0</v>
      </c>
      <c r="N15" s="26" t="n">
        <v>0</v>
      </c>
      <c r="O15" s="26" t="n">
        <v>0</v>
      </c>
      <c r="P15" s="26" t="n">
        <v>-31.5</v>
      </c>
      <c r="Q15" s="26" t="n">
        <v>878.7</v>
      </c>
      <c r="R15" s="26" t="n">
        <v>94.4</v>
      </c>
      <c r="S15" s="26" t="n">
        <v>0</v>
      </c>
      <c r="T15" s="26" t="n">
        <v>424.8</v>
      </c>
      <c r="U15" s="26" t="n">
        <v>0</v>
      </c>
    </row>
    <row r="16" customFormat="false" ht="15" hidden="false" customHeight="true" outlineLevel="0" collapsed="false">
      <c r="A16" s="8" t="s">
        <v>407</v>
      </c>
      <c r="B16" s="8" t="s">
        <v>335</v>
      </c>
      <c r="C16" s="8" t="s">
        <v>420</v>
      </c>
      <c r="D16" s="26" t="n">
        <v>0</v>
      </c>
      <c r="E16" s="26" t="n">
        <v>0</v>
      </c>
      <c r="F16" s="26" t="n">
        <v>376.8</v>
      </c>
      <c r="G16" s="26" t="n">
        <v>0</v>
      </c>
      <c r="H16" s="26" t="n">
        <v>0</v>
      </c>
      <c r="I16" s="26" t="n">
        <v>229.3</v>
      </c>
      <c r="J16" s="26" t="n">
        <v>0</v>
      </c>
      <c r="K16" s="26" t="n">
        <v>0</v>
      </c>
      <c r="L16" s="26" t="n">
        <v>0</v>
      </c>
      <c r="M16" s="26" t="n">
        <v>0</v>
      </c>
      <c r="N16" s="26" t="n">
        <v>0</v>
      </c>
      <c r="O16" s="26" t="n">
        <v>0</v>
      </c>
      <c r="P16" s="26" t="n">
        <v>0</v>
      </c>
      <c r="Q16" s="26" t="n">
        <v>229.3</v>
      </c>
      <c r="R16" s="26" t="n">
        <v>0</v>
      </c>
      <c r="S16" s="26" t="n">
        <v>0</v>
      </c>
      <c r="T16" s="26" t="n">
        <v>118</v>
      </c>
      <c r="U16" s="26" t="n">
        <v>0</v>
      </c>
    </row>
    <row r="17" customFormat="false" ht="15" hidden="false" customHeight="true" outlineLevel="0" collapsed="false">
      <c r="A17" s="8" t="s">
        <v>407</v>
      </c>
      <c r="B17" s="8" t="s">
        <v>335</v>
      </c>
      <c r="C17" s="8" t="s">
        <v>421</v>
      </c>
      <c r="D17" s="26" t="n">
        <v>0</v>
      </c>
      <c r="E17" s="26" t="n">
        <v>0</v>
      </c>
      <c r="F17" s="26" t="n">
        <v>140.4</v>
      </c>
      <c r="G17" s="26" t="n">
        <v>0</v>
      </c>
      <c r="H17" s="26" t="n">
        <v>0</v>
      </c>
      <c r="I17" s="26" t="n">
        <v>-194.3</v>
      </c>
      <c r="J17" s="26" t="n">
        <v>0</v>
      </c>
      <c r="K17" s="26" t="n">
        <v>0</v>
      </c>
      <c r="L17" s="26" t="n">
        <v>0</v>
      </c>
      <c r="M17" s="26" t="n">
        <v>0</v>
      </c>
      <c r="N17" s="26" t="n">
        <v>0</v>
      </c>
      <c r="O17" s="26" t="n">
        <v>0</v>
      </c>
      <c r="P17" s="26" t="n">
        <v>0</v>
      </c>
      <c r="Q17" s="26" t="n">
        <v>-194.3</v>
      </c>
      <c r="R17" s="26" t="n">
        <v>0</v>
      </c>
      <c r="S17" s="26" t="n">
        <v>0</v>
      </c>
      <c r="T17" s="26" t="n">
        <v>0</v>
      </c>
      <c r="U17" s="26" t="n">
        <v>0</v>
      </c>
    </row>
    <row r="18" customFormat="false" ht="15" hidden="false" customHeight="true" outlineLevel="0" collapsed="false">
      <c r="A18" s="8" t="s">
        <v>407</v>
      </c>
      <c r="B18" s="8" t="s">
        <v>263</v>
      </c>
      <c r="C18" s="8" t="s">
        <v>422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530.1</v>
      </c>
      <c r="J18" s="26" t="n">
        <v>0</v>
      </c>
      <c r="K18" s="26" t="n">
        <v>0</v>
      </c>
      <c r="L18" s="26" t="n">
        <v>0</v>
      </c>
      <c r="M18" s="26" t="n">
        <v>0</v>
      </c>
      <c r="N18" s="26" t="n">
        <v>0</v>
      </c>
      <c r="O18" s="26" t="n">
        <v>0</v>
      </c>
      <c r="P18" s="26" t="n">
        <v>0</v>
      </c>
      <c r="Q18" s="26" t="n">
        <v>530.1</v>
      </c>
      <c r="R18" s="26" t="n">
        <v>0</v>
      </c>
      <c r="S18" s="26" t="n">
        <v>0</v>
      </c>
      <c r="T18" s="26" t="n">
        <v>53.1</v>
      </c>
      <c r="U18" s="26" t="n">
        <v>0</v>
      </c>
    </row>
    <row r="19" customFormat="false" ht="15" hidden="false" customHeight="true" outlineLevel="0" collapsed="false">
      <c r="A19" s="8" t="s">
        <v>407</v>
      </c>
      <c r="B19" s="8" t="s">
        <v>304</v>
      </c>
      <c r="C19" s="8" t="s">
        <v>423</v>
      </c>
      <c r="D19" s="26" t="n">
        <v>0</v>
      </c>
      <c r="E19" s="26" t="n">
        <v>0</v>
      </c>
      <c r="F19" s="26" t="n">
        <v>421.3</v>
      </c>
      <c r="G19" s="26" t="n">
        <v>0</v>
      </c>
      <c r="H19" s="26" t="n">
        <v>0</v>
      </c>
      <c r="I19" s="26" t="n">
        <v>482.5</v>
      </c>
      <c r="J19" s="26" t="n">
        <v>0</v>
      </c>
      <c r="K19" s="26" t="n">
        <v>0</v>
      </c>
      <c r="L19" s="26" t="n">
        <v>0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262.3</v>
      </c>
      <c r="R19" s="26" t="n">
        <v>220.2</v>
      </c>
      <c r="S19" s="26" t="n">
        <v>0</v>
      </c>
      <c r="T19" s="26" t="n">
        <v>0</v>
      </c>
      <c r="U19" s="26" t="n">
        <v>0</v>
      </c>
    </row>
    <row r="20" customFormat="false" ht="15" hidden="false" customHeight="true" outlineLevel="0" collapsed="false">
      <c r="A20" s="8" t="s">
        <v>407</v>
      </c>
      <c r="B20" s="8" t="s">
        <v>304</v>
      </c>
      <c r="C20" s="8" t="s">
        <v>424</v>
      </c>
      <c r="D20" s="26" t="n">
        <v>0</v>
      </c>
      <c r="E20" s="26" t="n">
        <v>0</v>
      </c>
      <c r="F20" s="26" t="n">
        <v>433</v>
      </c>
      <c r="G20" s="26" t="n">
        <v>0</v>
      </c>
      <c r="H20" s="26" t="n">
        <v>0</v>
      </c>
      <c r="I20" s="26" t="n">
        <v>687.1</v>
      </c>
      <c r="J20" s="26" t="n">
        <v>0</v>
      </c>
      <c r="K20" s="26" t="n">
        <v>0</v>
      </c>
      <c r="L20" s="26" t="n">
        <v>0</v>
      </c>
      <c r="M20" s="26" t="n">
        <v>0</v>
      </c>
      <c r="N20" s="26" t="n">
        <v>0</v>
      </c>
      <c r="O20" s="26" t="n">
        <v>0</v>
      </c>
      <c r="P20" s="26" t="n">
        <v>-62.9</v>
      </c>
      <c r="Q20" s="26" t="n">
        <v>498.4</v>
      </c>
      <c r="R20" s="26" t="n">
        <v>251.7</v>
      </c>
      <c r="S20" s="26" t="n">
        <v>0</v>
      </c>
      <c r="T20" s="26" t="n">
        <v>0</v>
      </c>
      <c r="U20" s="26" t="n">
        <v>0</v>
      </c>
    </row>
    <row r="21" customFormat="false" ht="15" hidden="false" customHeight="true" outlineLevel="0" collapsed="false">
      <c r="A21" s="8" t="s">
        <v>407</v>
      </c>
      <c r="B21" s="8" t="s">
        <v>304</v>
      </c>
      <c r="C21" s="8" t="s">
        <v>425</v>
      </c>
      <c r="D21" s="26" t="n">
        <v>0</v>
      </c>
      <c r="E21" s="26" t="n">
        <v>0</v>
      </c>
      <c r="F21" s="26" t="n">
        <v>456.4</v>
      </c>
      <c r="G21" s="26" t="n">
        <v>0</v>
      </c>
      <c r="H21" s="26" t="n">
        <v>0</v>
      </c>
      <c r="I21" s="26" t="n">
        <v>814.5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814.5</v>
      </c>
      <c r="R21" s="26" t="n">
        <v>0</v>
      </c>
      <c r="S21" s="26" t="n">
        <v>0</v>
      </c>
      <c r="T21" s="26" t="n">
        <v>0</v>
      </c>
      <c r="U21" s="26" t="n">
        <v>0</v>
      </c>
    </row>
    <row r="22" customFormat="false" ht="15" hidden="false" customHeight="true" outlineLevel="0" collapsed="false">
      <c r="A22" s="8" t="s">
        <v>407</v>
      </c>
      <c r="B22" s="8" t="s">
        <v>385</v>
      </c>
      <c r="C22" s="8" t="s">
        <v>426</v>
      </c>
      <c r="D22" s="26" t="n">
        <v>0</v>
      </c>
      <c r="E22" s="26" t="n">
        <v>0</v>
      </c>
      <c r="F22" s="26" t="n">
        <v>0</v>
      </c>
      <c r="G22" s="26" t="n">
        <v>0</v>
      </c>
      <c r="H22" s="26" t="n">
        <v>0</v>
      </c>
      <c r="I22" s="26" t="n">
        <v>-31.9</v>
      </c>
      <c r="J22" s="26" t="n">
        <v>0</v>
      </c>
      <c r="K22" s="26" t="n">
        <v>0</v>
      </c>
      <c r="L22" s="26" t="n">
        <v>0</v>
      </c>
      <c r="M22" s="26" t="n">
        <v>0</v>
      </c>
      <c r="N22" s="26" t="n">
        <v>0</v>
      </c>
      <c r="O22" s="26" t="n">
        <v>0</v>
      </c>
      <c r="P22" s="26" t="n">
        <v>0</v>
      </c>
      <c r="Q22" s="26" t="n">
        <v>-31.9</v>
      </c>
      <c r="R22" s="26" t="n">
        <v>0</v>
      </c>
      <c r="S22" s="26" t="n">
        <v>0</v>
      </c>
      <c r="T22" s="26" t="n">
        <v>0</v>
      </c>
      <c r="U22" s="26" t="n">
        <v>0</v>
      </c>
    </row>
    <row r="23" customFormat="false" ht="15" hidden="false" customHeight="true" outlineLevel="0" collapsed="false">
      <c r="A23" s="8" t="s">
        <v>407</v>
      </c>
      <c r="B23" s="8" t="s">
        <v>128</v>
      </c>
      <c r="C23" s="8" t="s">
        <v>417</v>
      </c>
      <c r="D23" s="26" t="n">
        <v>0</v>
      </c>
      <c r="E23" s="26" t="n">
        <v>0</v>
      </c>
      <c r="F23" s="26" t="n">
        <v>741.3</v>
      </c>
      <c r="G23" s="26" t="n">
        <v>0</v>
      </c>
      <c r="H23" s="26" t="n">
        <v>0</v>
      </c>
      <c r="I23" s="26" t="n">
        <v>769.7</v>
      </c>
      <c r="J23" s="26" t="n">
        <v>0</v>
      </c>
      <c r="K23" s="26" t="n">
        <v>0</v>
      </c>
      <c r="L23" s="26" t="n">
        <v>0</v>
      </c>
      <c r="M23" s="26" t="n">
        <v>0</v>
      </c>
      <c r="N23" s="26" t="n">
        <v>0</v>
      </c>
      <c r="O23" s="26" t="n">
        <v>0</v>
      </c>
      <c r="P23" s="26" t="n">
        <v>-74.9</v>
      </c>
      <c r="Q23" s="26" t="n">
        <v>844.6</v>
      </c>
      <c r="R23" s="26" t="n">
        <v>0</v>
      </c>
      <c r="S23" s="26" t="n">
        <v>0</v>
      </c>
      <c r="T23" s="26" t="n">
        <v>128.8</v>
      </c>
      <c r="U23" s="26" t="n">
        <v>0</v>
      </c>
    </row>
    <row r="24" customFormat="false" ht="15" hidden="false" customHeight="true" outlineLevel="0" collapsed="false">
      <c r="A24" s="8" t="s">
        <v>407</v>
      </c>
      <c r="B24" s="8" t="s">
        <v>128</v>
      </c>
      <c r="C24" s="8" t="s">
        <v>427</v>
      </c>
      <c r="D24" s="26" t="n">
        <v>0</v>
      </c>
      <c r="E24" s="26" t="n">
        <v>0</v>
      </c>
      <c r="F24" s="26" t="n">
        <v>823.7</v>
      </c>
      <c r="G24" s="26" t="n">
        <v>0</v>
      </c>
      <c r="H24" s="26" t="n">
        <v>754.4</v>
      </c>
      <c r="I24" s="26" t="n">
        <v>1355.9</v>
      </c>
      <c r="J24" s="26" t="n">
        <v>0</v>
      </c>
      <c r="K24" s="26" t="n">
        <v>0</v>
      </c>
      <c r="L24" s="26" t="n">
        <v>0</v>
      </c>
      <c r="M24" s="26" t="n">
        <v>0</v>
      </c>
      <c r="N24" s="26" t="n">
        <v>0</v>
      </c>
      <c r="O24" s="26" t="n">
        <v>0</v>
      </c>
      <c r="P24" s="26" t="n">
        <v>-72.1</v>
      </c>
      <c r="Q24" s="26" t="n">
        <v>1259.8</v>
      </c>
      <c r="R24" s="26" t="n">
        <v>168.1</v>
      </c>
      <c r="S24" s="26" t="n">
        <v>0</v>
      </c>
      <c r="T24" s="26" t="n">
        <v>0</v>
      </c>
      <c r="U24" s="26" t="n">
        <v>0</v>
      </c>
    </row>
    <row r="25" customFormat="false" ht="15" hidden="false" customHeight="true" outlineLevel="0" collapsed="false">
      <c r="A25" s="8" t="s">
        <v>407</v>
      </c>
      <c r="B25" s="8" t="s">
        <v>128</v>
      </c>
      <c r="C25" s="8" t="s">
        <v>428</v>
      </c>
      <c r="D25" s="26" t="n">
        <v>0</v>
      </c>
      <c r="E25" s="26" t="n">
        <v>0</v>
      </c>
      <c r="F25" s="26" t="n">
        <v>1293.5</v>
      </c>
      <c r="G25" s="26" t="n">
        <v>0</v>
      </c>
      <c r="H25" s="26" t="n">
        <v>438</v>
      </c>
      <c r="I25" s="26" t="n">
        <v>1815.3</v>
      </c>
      <c r="J25" s="26" t="n">
        <v>0</v>
      </c>
      <c r="K25" s="26" t="n">
        <v>0</v>
      </c>
      <c r="L25" s="26" t="n">
        <v>0</v>
      </c>
      <c r="M25" s="26" t="n">
        <v>0</v>
      </c>
      <c r="N25" s="26" t="n">
        <v>0</v>
      </c>
      <c r="O25" s="26" t="n">
        <v>0</v>
      </c>
      <c r="P25" s="26" t="n">
        <v>0</v>
      </c>
      <c r="Q25" s="26" t="n">
        <v>1815.3</v>
      </c>
      <c r="R25" s="26" t="n">
        <v>0</v>
      </c>
      <c r="S25" s="26" t="n">
        <v>0</v>
      </c>
      <c r="T25" s="26" t="n">
        <v>331.2</v>
      </c>
      <c r="U25" s="26" t="n">
        <v>0</v>
      </c>
    </row>
    <row r="26" customFormat="false" ht="15" hidden="false" customHeight="true" outlineLevel="0" collapsed="false">
      <c r="A26" s="8" t="s">
        <v>407</v>
      </c>
      <c r="B26" s="8" t="s">
        <v>170</v>
      </c>
      <c r="C26" s="8" t="s">
        <v>429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-107.1</v>
      </c>
      <c r="J26" s="26" t="n">
        <v>0</v>
      </c>
      <c r="K26" s="26" t="n">
        <v>0</v>
      </c>
      <c r="L26" s="26" t="n">
        <v>0</v>
      </c>
      <c r="M26" s="26" t="n">
        <v>0</v>
      </c>
      <c r="N26" s="26" t="n">
        <v>0</v>
      </c>
      <c r="O26" s="26" t="n">
        <v>0</v>
      </c>
      <c r="P26" s="26" t="n">
        <v>0</v>
      </c>
      <c r="Q26" s="26" t="n">
        <v>-107.1</v>
      </c>
      <c r="R26" s="26" t="n">
        <v>0</v>
      </c>
      <c r="S26" s="26" t="n">
        <v>0</v>
      </c>
      <c r="T26" s="26" t="n">
        <v>0</v>
      </c>
      <c r="U26" s="26" t="n">
        <v>0</v>
      </c>
    </row>
    <row r="27" customFormat="false" ht="15" hidden="false" customHeight="true" outlineLevel="0" collapsed="false">
      <c r="A27" s="8" t="s">
        <v>407</v>
      </c>
      <c r="B27" s="8" t="s">
        <v>170</v>
      </c>
      <c r="C27" s="8" t="s">
        <v>430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-197.1</v>
      </c>
      <c r="J27" s="26" t="n">
        <v>0</v>
      </c>
      <c r="K27" s="26" t="n">
        <v>0</v>
      </c>
      <c r="L27" s="26" t="n">
        <v>0</v>
      </c>
      <c r="M27" s="26" t="n">
        <v>0</v>
      </c>
      <c r="N27" s="26" t="n">
        <v>0</v>
      </c>
      <c r="O27" s="26" t="n">
        <v>0</v>
      </c>
      <c r="P27" s="26" t="n">
        <v>-112.3</v>
      </c>
      <c r="Q27" s="26" t="n">
        <v>-84.8</v>
      </c>
      <c r="R27" s="26" t="n">
        <v>0</v>
      </c>
      <c r="S27" s="26" t="n">
        <v>0</v>
      </c>
      <c r="T27" s="26" t="n">
        <v>0</v>
      </c>
      <c r="U27" s="26" t="n">
        <v>0</v>
      </c>
    </row>
    <row r="28" customFormat="false" ht="15" hidden="false" customHeight="true" outlineLevel="0" collapsed="false">
      <c r="A28" s="8" t="s">
        <v>407</v>
      </c>
      <c r="B28" s="8" t="s">
        <v>170</v>
      </c>
      <c r="C28" s="8" t="s">
        <v>431</v>
      </c>
      <c r="D28" s="26" t="n">
        <v>0</v>
      </c>
      <c r="E28" s="26" t="n">
        <v>0</v>
      </c>
      <c r="F28" s="26" t="n">
        <v>0</v>
      </c>
      <c r="G28" s="26" t="n">
        <v>0</v>
      </c>
      <c r="H28" s="26" t="n">
        <v>0</v>
      </c>
      <c r="I28" s="26" t="n">
        <v>-24</v>
      </c>
      <c r="J28" s="26" t="n">
        <v>0</v>
      </c>
      <c r="K28" s="26" t="n">
        <v>0</v>
      </c>
      <c r="L28" s="26" t="n">
        <v>0</v>
      </c>
      <c r="M28" s="26" t="n">
        <v>0</v>
      </c>
      <c r="N28" s="26" t="n">
        <v>0</v>
      </c>
      <c r="O28" s="26" t="n">
        <v>0</v>
      </c>
      <c r="P28" s="26" t="n">
        <v>-24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</row>
    <row r="29" customFormat="false" ht="15" hidden="false" customHeight="true" outlineLevel="0" collapsed="false">
      <c r="A29" s="8" t="s">
        <v>407</v>
      </c>
      <c r="B29" s="8" t="s">
        <v>191</v>
      </c>
      <c r="C29" s="8" t="s">
        <v>432</v>
      </c>
      <c r="D29" s="26" t="n">
        <v>0</v>
      </c>
      <c r="E29" s="26" t="n">
        <v>0</v>
      </c>
      <c r="F29" s="26" t="n">
        <v>585.9</v>
      </c>
      <c r="G29" s="26" t="n">
        <v>0</v>
      </c>
      <c r="H29" s="26" t="n">
        <v>0</v>
      </c>
      <c r="I29" s="26" t="n">
        <v>620.5</v>
      </c>
      <c r="J29" s="26" t="n">
        <v>0</v>
      </c>
      <c r="K29" s="26" t="n">
        <v>0</v>
      </c>
      <c r="L29" s="26" t="n">
        <v>0</v>
      </c>
      <c r="M29" s="26" t="n">
        <v>0</v>
      </c>
      <c r="N29" s="26" t="n">
        <v>0</v>
      </c>
      <c r="O29" s="26" t="n">
        <v>0</v>
      </c>
      <c r="P29" s="26" t="n">
        <v>0</v>
      </c>
      <c r="Q29" s="26" t="n">
        <v>452.4</v>
      </c>
      <c r="R29" s="26" t="n">
        <v>168.1</v>
      </c>
      <c r="S29" s="26" t="n">
        <v>0</v>
      </c>
      <c r="T29" s="26" t="n">
        <v>128.8</v>
      </c>
      <c r="U29" s="26" t="n">
        <v>0</v>
      </c>
    </row>
    <row r="30" customFormat="false" ht="15" hidden="false" customHeight="true" outlineLevel="0" collapsed="false">
      <c r="A30" s="8" t="s">
        <v>407</v>
      </c>
      <c r="B30" s="8" t="s">
        <v>191</v>
      </c>
      <c r="C30" s="8" t="s">
        <v>433</v>
      </c>
      <c r="D30" s="26" t="n">
        <v>0</v>
      </c>
      <c r="E30" s="26" t="n">
        <v>0</v>
      </c>
      <c r="F30" s="26" t="n">
        <v>1170.1</v>
      </c>
      <c r="G30" s="26" t="n">
        <v>0</v>
      </c>
      <c r="H30" s="26" t="n">
        <v>0</v>
      </c>
      <c r="I30" s="26" t="n">
        <v>1602.7</v>
      </c>
      <c r="J30" s="26" t="n">
        <v>0</v>
      </c>
      <c r="K30" s="26" t="n">
        <v>0</v>
      </c>
      <c r="L30" s="26" t="n">
        <v>0</v>
      </c>
      <c r="M30" s="26" t="n">
        <v>0</v>
      </c>
      <c r="N30" s="26" t="n">
        <v>0</v>
      </c>
      <c r="O30" s="26" t="n">
        <v>0</v>
      </c>
      <c r="P30" s="26" t="n">
        <v>-85.5</v>
      </c>
      <c r="Q30" s="26" t="n">
        <v>1447.9</v>
      </c>
      <c r="R30" s="26" t="n">
        <v>240.2</v>
      </c>
      <c r="S30" s="26" t="n">
        <v>0</v>
      </c>
      <c r="T30" s="26" t="n">
        <v>276</v>
      </c>
      <c r="U30" s="26" t="n">
        <v>0</v>
      </c>
    </row>
    <row r="31" customFormat="false" ht="15" hidden="false" customHeight="true" outlineLevel="0" collapsed="false">
      <c r="A31" s="8" t="s">
        <v>407</v>
      </c>
      <c r="B31" s="8" t="s">
        <v>191</v>
      </c>
      <c r="C31" s="8" t="s">
        <v>434</v>
      </c>
      <c r="D31" s="26" t="n">
        <v>0</v>
      </c>
      <c r="E31" s="26" t="n">
        <v>0</v>
      </c>
      <c r="F31" s="26" t="n">
        <v>937.9</v>
      </c>
      <c r="G31" s="26" t="n">
        <v>0</v>
      </c>
      <c r="H31" s="26" t="n">
        <v>267.7</v>
      </c>
      <c r="I31" s="26" t="n">
        <v>1714.6</v>
      </c>
      <c r="J31" s="26" t="n">
        <v>0</v>
      </c>
      <c r="K31" s="26" t="n">
        <v>0</v>
      </c>
      <c r="L31" s="26" t="n">
        <v>0</v>
      </c>
      <c r="M31" s="26" t="n">
        <v>0</v>
      </c>
      <c r="N31" s="26" t="n">
        <v>0</v>
      </c>
      <c r="O31" s="26" t="n">
        <v>0</v>
      </c>
      <c r="P31" s="26" t="n">
        <v>0</v>
      </c>
      <c r="Q31" s="26" t="n">
        <v>1546.5</v>
      </c>
      <c r="R31" s="26" t="n">
        <v>168.1</v>
      </c>
      <c r="S31" s="26" t="n">
        <v>0</v>
      </c>
      <c r="T31" s="26" t="n">
        <v>349.6</v>
      </c>
      <c r="U31" s="26" t="n">
        <v>0</v>
      </c>
    </row>
    <row r="32" customFormat="false" ht="15" hidden="false" customHeight="true" outlineLevel="0" collapsed="false">
      <c r="A32" s="8" t="s">
        <v>407</v>
      </c>
      <c r="B32" s="8" t="s">
        <v>184</v>
      </c>
      <c r="C32" s="8" t="s">
        <v>440</v>
      </c>
      <c r="D32" s="26" t="n">
        <v>0</v>
      </c>
      <c r="E32" s="26" t="n">
        <v>0</v>
      </c>
      <c r="F32" s="26" t="n">
        <v>7.2</v>
      </c>
      <c r="G32" s="26" t="n">
        <v>0</v>
      </c>
      <c r="H32" s="26" t="n">
        <v>0</v>
      </c>
      <c r="I32" s="26" t="n">
        <v>-737.5</v>
      </c>
      <c r="J32" s="26" t="n">
        <v>0</v>
      </c>
      <c r="K32" s="26" t="n">
        <v>0</v>
      </c>
      <c r="L32" s="26" t="n">
        <v>0</v>
      </c>
      <c r="M32" s="26" t="n">
        <v>0</v>
      </c>
      <c r="N32" s="26" t="n">
        <v>0</v>
      </c>
      <c r="O32" s="26" t="n">
        <v>0</v>
      </c>
      <c r="P32" s="26" t="n">
        <v>-198.5</v>
      </c>
      <c r="Q32" s="26" t="n">
        <v>-539</v>
      </c>
      <c r="R32" s="26" t="n">
        <v>0</v>
      </c>
      <c r="S32" s="26" t="n">
        <v>0</v>
      </c>
      <c r="T32" s="26" t="n">
        <v>0</v>
      </c>
      <c r="U32" s="26" t="n">
        <v>0</v>
      </c>
    </row>
    <row r="33" customFormat="false" ht="15" hidden="false" customHeight="true" outlineLevel="0" collapsed="false">
      <c r="A33" s="8" t="s">
        <v>407</v>
      </c>
      <c r="B33" s="8" t="s">
        <v>184</v>
      </c>
      <c r="C33" s="8" t="s">
        <v>441</v>
      </c>
      <c r="D33" s="26" t="n">
        <v>0</v>
      </c>
      <c r="E33" s="26" t="n">
        <v>0</v>
      </c>
      <c r="F33" s="26" t="n">
        <v>101.5</v>
      </c>
      <c r="G33" s="26" t="n">
        <v>0</v>
      </c>
      <c r="H33" s="26" t="n">
        <v>0</v>
      </c>
      <c r="I33" s="26" t="n">
        <v>-375.7</v>
      </c>
      <c r="J33" s="26" t="n">
        <v>0</v>
      </c>
      <c r="K33" s="26" t="n">
        <v>0</v>
      </c>
      <c r="L33" s="26" t="n">
        <v>0</v>
      </c>
      <c r="M33" s="26" t="n">
        <v>0</v>
      </c>
      <c r="N33" s="26" t="n">
        <v>0</v>
      </c>
      <c r="O33" s="26" t="n">
        <v>0</v>
      </c>
      <c r="P33" s="26" t="n">
        <v>-99.2</v>
      </c>
      <c r="Q33" s="26" t="n">
        <v>-276.4</v>
      </c>
      <c r="R33" s="26" t="n">
        <v>0</v>
      </c>
      <c r="S33" s="26" t="n">
        <v>0</v>
      </c>
      <c r="T33" s="26" t="n">
        <v>0</v>
      </c>
      <c r="U33" s="26" t="n">
        <v>0</v>
      </c>
    </row>
    <row r="34" customFormat="false" ht="15" hidden="false" customHeight="true" outlineLevel="0" collapsed="false">
      <c r="A34" s="8" t="s">
        <v>407</v>
      </c>
      <c r="B34" s="8" t="s">
        <v>184</v>
      </c>
      <c r="C34" s="8" t="s">
        <v>442</v>
      </c>
      <c r="D34" s="26" t="n">
        <v>0</v>
      </c>
      <c r="E34" s="26" t="n">
        <v>0</v>
      </c>
      <c r="F34" s="26" t="n">
        <v>0</v>
      </c>
      <c r="G34" s="26" t="n">
        <v>0</v>
      </c>
      <c r="H34" s="26" t="n">
        <v>0</v>
      </c>
      <c r="I34" s="26" t="n">
        <v>-272.5</v>
      </c>
      <c r="J34" s="26" t="n">
        <v>0</v>
      </c>
      <c r="K34" s="26" t="n">
        <v>0</v>
      </c>
      <c r="L34" s="26" t="n">
        <v>0</v>
      </c>
      <c r="M34" s="26" t="n">
        <v>0</v>
      </c>
      <c r="N34" s="26" t="n">
        <v>0</v>
      </c>
      <c r="O34" s="26" t="n">
        <v>0</v>
      </c>
      <c r="P34" s="26" t="n">
        <v>-99.2</v>
      </c>
      <c r="Q34" s="26" t="n">
        <v>-173.2</v>
      </c>
      <c r="R34" s="26" t="n">
        <v>0</v>
      </c>
      <c r="S34" s="26" t="n">
        <v>0</v>
      </c>
      <c r="T34" s="26" t="n">
        <v>0</v>
      </c>
      <c r="U34" s="26" t="n">
        <v>0</v>
      </c>
    </row>
    <row r="35" customFormat="false" ht="15" hidden="false" customHeight="true" outlineLevel="0" collapsed="false">
      <c r="A35" s="8" t="s">
        <v>407</v>
      </c>
      <c r="B35" s="8" t="s">
        <v>184</v>
      </c>
      <c r="C35" s="8" t="s">
        <v>443</v>
      </c>
      <c r="D35" s="26" t="n">
        <v>0</v>
      </c>
      <c r="E35" s="26" t="n">
        <v>0</v>
      </c>
      <c r="F35" s="26" t="n">
        <v>108.7</v>
      </c>
      <c r="G35" s="26" t="n">
        <v>0</v>
      </c>
      <c r="H35" s="26" t="n">
        <v>0</v>
      </c>
      <c r="I35" s="26" t="n">
        <v>-270</v>
      </c>
      <c r="J35" s="26" t="n">
        <v>0</v>
      </c>
      <c r="K35" s="26" t="n">
        <v>0</v>
      </c>
      <c r="L35" s="26" t="n">
        <v>0</v>
      </c>
      <c r="M35" s="26" t="n">
        <v>0</v>
      </c>
      <c r="N35" s="26" t="n">
        <v>0</v>
      </c>
      <c r="O35" s="26" t="n">
        <v>0</v>
      </c>
      <c r="P35" s="26" t="n">
        <v>0</v>
      </c>
      <c r="Q35" s="26" t="n">
        <v>-270</v>
      </c>
      <c r="R35" s="26" t="n">
        <v>0</v>
      </c>
      <c r="S35" s="26" t="n">
        <v>0</v>
      </c>
      <c r="T35" s="26" t="n">
        <v>0</v>
      </c>
      <c r="U35" s="26" t="n">
        <v>0</v>
      </c>
    </row>
    <row r="36" customFormat="false" ht="15" hidden="false" customHeight="true" outlineLevel="0" collapsed="false">
      <c r="A36" s="8" t="s">
        <v>407</v>
      </c>
      <c r="B36" s="8" t="s">
        <v>153</v>
      </c>
      <c r="C36" s="8" t="s">
        <v>445</v>
      </c>
      <c r="D36" s="26" t="n">
        <v>0</v>
      </c>
      <c r="E36" s="26" t="n">
        <v>0</v>
      </c>
      <c r="F36" s="26" t="n">
        <v>262.4</v>
      </c>
      <c r="G36" s="26" t="n">
        <v>0</v>
      </c>
      <c r="H36" s="26" t="n">
        <v>0</v>
      </c>
      <c r="I36" s="26" t="n">
        <v>0</v>
      </c>
      <c r="J36" s="26" t="n">
        <v>0</v>
      </c>
      <c r="K36" s="26" t="n">
        <v>0</v>
      </c>
      <c r="L36" s="26" t="n">
        <v>0</v>
      </c>
      <c r="M36" s="26" t="n">
        <v>0</v>
      </c>
      <c r="N36" s="26" t="n">
        <v>0</v>
      </c>
      <c r="O36" s="26" t="n">
        <v>0</v>
      </c>
      <c r="P36" s="26" t="n">
        <v>0</v>
      </c>
      <c r="Q36" s="26" t="n">
        <v>0</v>
      </c>
      <c r="R36" s="26" t="n">
        <v>0</v>
      </c>
      <c r="S36" s="26" t="n">
        <v>0</v>
      </c>
      <c r="T36" s="26" t="n">
        <v>0</v>
      </c>
      <c r="U36" s="26" t="n">
        <v>0</v>
      </c>
    </row>
    <row r="37" customFormat="false" ht="15" hidden="false" customHeight="true" outlineLevel="0" collapsed="false">
      <c r="A37" s="8" t="s">
        <v>407</v>
      </c>
      <c r="B37" s="8" t="s">
        <v>153</v>
      </c>
      <c r="C37" s="8" t="s">
        <v>446</v>
      </c>
      <c r="D37" s="26" t="n">
        <v>0</v>
      </c>
      <c r="E37" s="26" t="n">
        <v>0</v>
      </c>
      <c r="F37" s="26" t="n">
        <v>-710.5</v>
      </c>
      <c r="G37" s="26" t="n">
        <v>0</v>
      </c>
      <c r="H37" s="26" t="n">
        <v>0</v>
      </c>
      <c r="I37" s="26" t="n">
        <v>0</v>
      </c>
      <c r="J37" s="26" t="n">
        <v>0</v>
      </c>
      <c r="K37" s="26" t="n">
        <v>0</v>
      </c>
      <c r="L37" s="26" t="n">
        <v>0</v>
      </c>
      <c r="M37" s="26" t="n">
        <v>0</v>
      </c>
      <c r="N37" s="26" t="n">
        <v>0</v>
      </c>
      <c r="O37" s="26" t="n">
        <v>0</v>
      </c>
      <c r="P37" s="26" t="n">
        <v>0</v>
      </c>
      <c r="Q37" s="26" t="n">
        <v>0</v>
      </c>
      <c r="R37" s="26" t="n">
        <v>0</v>
      </c>
      <c r="S37" s="26" t="n">
        <v>0</v>
      </c>
      <c r="T37" s="26" t="n">
        <v>1096.9</v>
      </c>
      <c r="U37" s="26" t="n">
        <v>0</v>
      </c>
    </row>
    <row r="38" customFormat="false" ht="15" hidden="false" customHeight="true" outlineLevel="0" collapsed="false">
      <c r="A38" s="8" t="s">
        <v>407</v>
      </c>
      <c r="B38" s="8" t="s">
        <v>153</v>
      </c>
      <c r="C38" s="8" t="s">
        <v>447</v>
      </c>
      <c r="D38" s="26" t="n">
        <v>0</v>
      </c>
      <c r="E38" s="26" t="n">
        <v>0</v>
      </c>
      <c r="F38" s="26" t="n">
        <v>-485.2</v>
      </c>
      <c r="G38" s="26" t="n">
        <v>0</v>
      </c>
      <c r="H38" s="26" t="n">
        <v>0</v>
      </c>
      <c r="I38" s="26" t="n">
        <v>0</v>
      </c>
      <c r="J38" s="26" t="n">
        <v>0</v>
      </c>
      <c r="K38" s="26" t="n">
        <v>0</v>
      </c>
      <c r="L38" s="26" t="n">
        <v>0</v>
      </c>
      <c r="M38" s="26" t="n">
        <v>0</v>
      </c>
      <c r="N38" s="26" t="n">
        <v>0</v>
      </c>
      <c r="O38" s="26" t="n">
        <v>0</v>
      </c>
      <c r="P38" s="26" t="n">
        <v>0</v>
      </c>
      <c r="Q38" s="26" t="n">
        <v>0</v>
      </c>
      <c r="R38" s="26" t="n">
        <v>0</v>
      </c>
      <c r="S38" s="26" t="n">
        <v>0</v>
      </c>
      <c r="T38" s="26" t="n">
        <v>351</v>
      </c>
      <c r="U38" s="26" t="n">
        <v>0</v>
      </c>
    </row>
    <row r="39" customFormat="false" ht="15" hidden="false" customHeight="true" outlineLevel="0" collapsed="false">
      <c r="A39" s="8" t="s">
        <v>407</v>
      </c>
      <c r="B39" s="8" t="s">
        <v>153</v>
      </c>
      <c r="C39" s="8" t="s">
        <v>448</v>
      </c>
      <c r="D39" s="26" t="n">
        <v>0</v>
      </c>
      <c r="E39" s="26" t="n">
        <v>0</v>
      </c>
      <c r="F39" s="26" t="n">
        <v>454.9</v>
      </c>
      <c r="G39" s="26" t="n">
        <v>0</v>
      </c>
      <c r="H39" s="26" t="n">
        <v>0</v>
      </c>
      <c r="I39" s="26" t="n">
        <v>-215.4</v>
      </c>
      <c r="J39" s="26" t="n">
        <v>0</v>
      </c>
      <c r="K39" s="26" t="n">
        <v>0</v>
      </c>
      <c r="L39" s="26" t="n">
        <v>0</v>
      </c>
      <c r="M39" s="26" t="n">
        <v>0</v>
      </c>
      <c r="N39" s="26" t="n">
        <v>0</v>
      </c>
      <c r="O39" s="26" t="n">
        <v>0</v>
      </c>
      <c r="P39" s="26" t="n">
        <v>0</v>
      </c>
      <c r="Q39" s="26" t="n">
        <v>-215.4</v>
      </c>
      <c r="R39" s="26" t="n">
        <v>0</v>
      </c>
      <c r="S39" s="26" t="n">
        <v>0</v>
      </c>
      <c r="T39" s="26" t="n">
        <v>745.9</v>
      </c>
      <c r="U39" s="26" t="n">
        <v>0</v>
      </c>
    </row>
    <row r="40" customFormat="false" ht="15" hidden="false" customHeight="true" outlineLevel="0" collapsed="false">
      <c r="A40" s="8" t="s">
        <v>407</v>
      </c>
      <c r="B40" s="8" t="s">
        <v>153</v>
      </c>
      <c r="C40" s="8" t="s">
        <v>449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  <c r="L40" s="26" t="n">
        <v>0</v>
      </c>
      <c r="M40" s="26" t="n">
        <v>0</v>
      </c>
      <c r="N40" s="26" t="n">
        <v>0</v>
      </c>
      <c r="O40" s="26" t="n">
        <v>0</v>
      </c>
      <c r="P40" s="26" t="n">
        <v>0</v>
      </c>
      <c r="Q40" s="26" t="n">
        <v>0</v>
      </c>
      <c r="R40" s="26" t="n">
        <v>0</v>
      </c>
      <c r="S40" s="26" t="n">
        <v>0</v>
      </c>
      <c r="T40" s="26" t="n">
        <v>1009.1</v>
      </c>
      <c r="U40" s="26" t="n">
        <v>0</v>
      </c>
    </row>
    <row r="41" customFormat="false" ht="15" hidden="false" customHeight="true" outlineLevel="0" collapsed="false">
      <c r="A41" s="8" t="s">
        <v>407</v>
      </c>
      <c r="B41" s="8" t="s">
        <v>242</v>
      </c>
      <c r="C41" s="8" t="s">
        <v>451</v>
      </c>
      <c r="D41" s="26" t="n">
        <v>0</v>
      </c>
      <c r="E41" s="26" t="n">
        <v>0</v>
      </c>
      <c r="F41" s="26" t="n">
        <v>13.7</v>
      </c>
      <c r="G41" s="26" t="n">
        <v>0</v>
      </c>
      <c r="H41" s="26" t="n">
        <v>0</v>
      </c>
      <c r="I41" s="26" t="n">
        <v>-524.2</v>
      </c>
      <c r="J41" s="26" t="n">
        <v>0</v>
      </c>
      <c r="K41" s="26" t="n">
        <v>0</v>
      </c>
      <c r="L41" s="26" t="n">
        <v>0</v>
      </c>
      <c r="M41" s="26" t="n">
        <v>0</v>
      </c>
      <c r="N41" s="26" t="n">
        <v>0</v>
      </c>
      <c r="O41" s="26" t="n">
        <v>0</v>
      </c>
      <c r="P41" s="26" t="n">
        <v>0</v>
      </c>
      <c r="Q41" s="26" t="n">
        <v>-524.2</v>
      </c>
      <c r="R41" s="26" t="n">
        <v>0</v>
      </c>
      <c r="S41" s="26" t="n">
        <v>0</v>
      </c>
      <c r="T41" s="26" t="n">
        <v>0</v>
      </c>
      <c r="U41" s="26" t="n">
        <v>0</v>
      </c>
    </row>
    <row r="42" customFormat="false" ht="15" hidden="false" customHeight="true" outlineLevel="0" collapsed="false">
      <c r="A42" s="8" t="s">
        <v>407</v>
      </c>
      <c r="B42" s="8" t="s">
        <v>242</v>
      </c>
      <c r="C42" s="8" t="s">
        <v>452</v>
      </c>
      <c r="D42" s="26" t="n">
        <v>0</v>
      </c>
      <c r="E42" s="26" t="n">
        <v>0</v>
      </c>
      <c r="F42" s="26" t="n">
        <v>2395.7</v>
      </c>
      <c r="G42" s="26" t="n">
        <v>0</v>
      </c>
      <c r="H42" s="26" t="n">
        <v>134</v>
      </c>
      <c r="I42" s="26" t="n">
        <v>2300.7</v>
      </c>
      <c r="J42" s="26" t="n">
        <v>0</v>
      </c>
      <c r="K42" s="26" t="n">
        <v>0</v>
      </c>
      <c r="L42" s="26" t="n">
        <v>0</v>
      </c>
      <c r="M42" s="26" t="n">
        <v>0</v>
      </c>
      <c r="N42" s="26" t="n">
        <v>0</v>
      </c>
      <c r="O42" s="26" t="n">
        <v>0</v>
      </c>
      <c r="P42" s="26" t="n">
        <v>0</v>
      </c>
      <c r="Q42" s="26" t="n">
        <v>1877.2</v>
      </c>
      <c r="R42" s="26" t="n">
        <v>423.5</v>
      </c>
      <c r="S42" s="26" t="n">
        <v>0</v>
      </c>
      <c r="T42" s="26" t="n">
        <v>0</v>
      </c>
      <c r="U42" s="26" t="n">
        <v>0</v>
      </c>
    </row>
    <row r="43" customFormat="false" ht="15" hidden="false" customHeight="true" outlineLevel="0" collapsed="false">
      <c r="A43" s="8" t="s">
        <v>407</v>
      </c>
      <c r="B43" s="8" t="s">
        <v>242</v>
      </c>
      <c r="C43" s="8" t="s">
        <v>453</v>
      </c>
      <c r="D43" s="26" t="n">
        <v>0</v>
      </c>
      <c r="E43" s="26" t="n">
        <v>0</v>
      </c>
      <c r="F43" s="26" t="n">
        <v>1024</v>
      </c>
      <c r="G43" s="26" t="n">
        <v>0</v>
      </c>
      <c r="H43" s="26" t="n">
        <v>134</v>
      </c>
      <c r="I43" s="26" t="n">
        <v>1517.2</v>
      </c>
      <c r="J43" s="26" t="n">
        <v>0</v>
      </c>
      <c r="K43" s="26" t="n">
        <v>0</v>
      </c>
      <c r="L43" s="26" t="n">
        <v>0</v>
      </c>
      <c r="M43" s="26" t="n">
        <v>0</v>
      </c>
      <c r="N43" s="26" t="n">
        <v>0</v>
      </c>
      <c r="O43" s="26" t="n">
        <v>0</v>
      </c>
      <c r="P43" s="26" t="n">
        <v>-141.2</v>
      </c>
      <c r="Q43" s="26" t="n">
        <v>1093.8</v>
      </c>
      <c r="R43" s="26" t="n">
        <v>564.6</v>
      </c>
      <c r="S43" s="26" t="n">
        <v>0</v>
      </c>
      <c r="T43" s="26" t="n">
        <v>0</v>
      </c>
      <c r="U43" s="26" t="n">
        <v>0</v>
      </c>
    </row>
    <row r="44" customFormat="false" ht="15" hidden="false" customHeight="true" outlineLevel="0" collapsed="false">
      <c r="A44" s="8" t="s">
        <v>407</v>
      </c>
      <c r="B44" s="8" t="s">
        <v>242</v>
      </c>
      <c r="C44" s="8" t="s">
        <v>454</v>
      </c>
      <c r="D44" s="26" t="n">
        <v>0</v>
      </c>
      <c r="E44" s="26" t="n">
        <v>0</v>
      </c>
      <c r="F44" s="26" t="n">
        <v>1762.8</v>
      </c>
      <c r="G44" s="26" t="n">
        <v>0</v>
      </c>
      <c r="H44" s="26" t="n">
        <v>134</v>
      </c>
      <c r="I44" s="26" t="n">
        <v>4431.8</v>
      </c>
      <c r="J44" s="26" t="n">
        <v>0</v>
      </c>
      <c r="K44" s="26" t="n">
        <v>0</v>
      </c>
      <c r="L44" s="26" t="n">
        <v>0</v>
      </c>
      <c r="M44" s="26" t="n">
        <v>0</v>
      </c>
      <c r="N44" s="26" t="n">
        <v>0</v>
      </c>
      <c r="O44" s="26" t="n">
        <v>0</v>
      </c>
      <c r="P44" s="26" t="n">
        <v>0</v>
      </c>
      <c r="Q44" s="26" t="n">
        <v>3584.9</v>
      </c>
      <c r="R44" s="26" t="n">
        <v>846.9</v>
      </c>
      <c r="S44" s="26" t="n">
        <v>0</v>
      </c>
      <c r="T44" s="26" t="n">
        <v>0</v>
      </c>
      <c r="U44" s="26" t="n">
        <v>0</v>
      </c>
    </row>
    <row r="45" customFormat="false" ht="15" hidden="false" customHeight="true" outlineLevel="0" collapsed="false">
      <c r="A45" s="8" t="s">
        <v>407</v>
      </c>
      <c r="B45" s="8" t="s">
        <v>242</v>
      </c>
      <c r="C45" s="8" t="s">
        <v>455</v>
      </c>
      <c r="D45" s="26" t="n">
        <v>0</v>
      </c>
      <c r="E45" s="26" t="n">
        <v>0</v>
      </c>
      <c r="F45" s="26" t="n">
        <v>148.4</v>
      </c>
      <c r="G45" s="26" t="n">
        <v>0</v>
      </c>
      <c r="H45" s="26" t="n">
        <v>0</v>
      </c>
      <c r="I45" s="26" t="n">
        <v>0</v>
      </c>
      <c r="J45" s="26" t="n">
        <v>0</v>
      </c>
      <c r="K45" s="26" t="n">
        <v>0</v>
      </c>
      <c r="L45" s="26" t="n">
        <v>0</v>
      </c>
      <c r="M45" s="26" t="n">
        <v>0</v>
      </c>
      <c r="N45" s="26" t="n">
        <v>0</v>
      </c>
      <c r="O45" s="26" t="n">
        <v>0</v>
      </c>
      <c r="P45" s="26" t="n">
        <v>0</v>
      </c>
      <c r="Q45" s="26" t="n">
        <v>0</v>
      </c>
      <c r="R45" s="26" t="n">
        <v>0</v>
      </c>
      <c r="S45" s="26" t="n">
        <v>0</v>
      </c>
      <c r="T45" s="26" t="n">
        <v>0</v>
      </c>
      <c r="U45" s="26" t="n">
        <v>0</v>
      </c>
    </row>
    <row r="46" customFormat="false" ht="15" hidden="false" customHeight="true" outlineLevel="0" collapsed="false">
      <c r="A46" s="8" t="s">
        <v>407</v>
      </c>
      <c r="B46" s="8" t="s">
        <v>108</v>
      </c>
      <c r="C46" s="8" t="s">
        <v>456</v>
      </c>
      <c r="D46" s="26" t="n">
        <v>0</v>
      </c>
      <c r="E46" s="26" t="n">
        <v>0</v>
      </c>
      <c r="F46" s="26" t="n">
        <v>534.5</v>
      </c>
      <c r="G46" s="26" t="n">
        <v>0</v>
      </c>
      <c r="H46" s="26" t="n">
        <v>0</v>
      </c>
      <c r="I46" s="26" t="n">
        <v>10355.1</v>
      </c>
      <c r="J46" s="26" t="n">
        <v>0</v>
      </c>
      <c r="K46" s="26" t="n">
        <v>194.1</v>
      </c>
      <c r="L46" s="26" t="n">
        <v>0</v>
      </c>
      <c r="M46" s="26" t="n">
        <v>0</v>
      </c>
      <c r="N46" s="26" t="n">
        <v>0</v>
      </c>
      <c r="O46" s="26" t="n">
        <v>0</v>
      </c>
      <c r="P46" s="26" t="n">
        <v>-194.1</v>
      </c>
      <c r="Q46" s="26" t="n">
        <v>8511.5</v>
      </c>
      <c r="R46" s="26" t="n">
        <v>1843.6</v>
      </c>
      <c r="S46" s="26" t="n">
        <v>0</v>
      </c>
      <c r="T46" s="26" t="n">
        <v>144.7</v>
      </c>
      <c r="U46" s="26" t="n">
        <v>0</v>
      </c>
    </row>
    <row r="47" customFormat="false" ht="15" hidden="false" customHeight="true" outlineLevel="0" collapsed="false">
      <c r="A47" s="8" t="s">
        <v>407</v>
      </c>
      <c r="B47" s="8" t="s">
        <v>108</v>
      </c>
      <c r="C47" s="8" t="s">
        <v>457</v>
      </c>
      <c r="D47" s="26" t="n">
        <v>0</v>
      </c>
      <c r="E47" s="26" t="n">
        <v>0</v>
      </c>
      <c r="F47" s="26" t="n">
        <v>2773</v>
      </c>
      <c r="G47" s="26" t="n">
        <v>0</v>
      </c>
      <c r="H47" s="26" t="n">
        <v>0</v>
      </c>
      <c r="I47" s="26" t="n">
        <v>27323.8</v>
      </c>
      <c r="J47" s="26" t="n">
        <v>0</v>
      </c>
      <c r="K47" s="26" t="n">
        <v>194.1</v>
      </c>
      <c r="L47" s="26" t="n">
        <v>0</v>
      </c>
      <c r="M47" s="26" t="n">
        <v>0</v>
      </c>
      <c r="N47" s="26" t="n">
        <v>0</v>
      </c>
      <c r="O47" s="26" t="n">
        <v>0</v>
      </c>
      <c r="P47" s="26" t="n">
        <v>-582.2</v>
      </c>
      <c r="Q47" s="26" t="n">
        <v>22569.3</v>
      </c>
      <c r="R47" s="26" t="n">
        <v>5142.6</v>
      </c>
      <c r="S47" s="26" t="n">
        <v>0</v>
      </c>
      <c r="T47" s="26" t="n">
        <v>2043.6</v>
      </c>
      <c r="U47" s="26" t="n">
        <v>-143.7</v>
      </c>
    </row>
    <row r="48" customFormat="false" ht="15" hidden="false" customHeight="true" outlineLevel="0" collapsed="false">
      <c r="A48" s="8" t="s">
        <v>407</v>
      </c>
      <c r="B48" s="8" t="s">
        <v>108</v>
      </c>
      <c r="C48" s="8" t="s">
        <v>458</v>
      </c>
      <c r="D48" s="26" t="n">
        <v>0</v>
      </c>
      <c r="E48" s="26" t="n">
        <v>0</v>
      </c>
      <c r="F48" s="26" t="n">
        <v>2754.3</v>
      </c>
      <c r="G48" s="26" t="n">
        <v>0</v>
      </c>
      <c r="H48" s="26" t="n">
        <v>0</v>
      </c>
      <c r="I48" s="26" t="n">
        <v>19218.5</v>
      </c>
      <c r="J48" s="26" t="n">
        <v>0</v>
      </c>
      <c r="K48" s="26" t="n">
        <v>194.1</v>
      </c>
      <c r="L48" s="26" t="n">
        <v>0</v>
      </c>
      <c r="M48" s="26" t="n">
        <v>0</v>
      </c>
      <c r="N48" s="26" t="n">
        <v>0</v>
      </c>
      <c r="O48" s="26" t="n">
        <v>0</v>
      </c>
      <c r="P48" s="26" t="n">
        <v>-388.1</v>
      </c>
      <c r="Q48" s="26" t="n">
        <v>16016.5</v>
      </c>
      <c r="R48" s="26" t="n">
        <v>3396.1</v>
      </c>
      <c r="S48" s="26" t="n">
        <v>0</v>
      </c>
      <c r="T48" s="26" t="n">
        <v>1446.8</v>
      </c>
      <c r="U48" s="26" t="n">
        <v>-287.4</v>
      </c>
    </row>
    <row r="49" customFormat="false" ht="15" hidden="false" customHeight="true" outlineLevel="0" collapsed="false">
      <c r="A49" s="8" t="s">
        <v>407</v>
      </c>
      <c r="B49" s="8" t="s">
        <v>108</v>
      </c>
      <c r="C49" s="8" t="s">
        <v>459</v>
      </c>
      <c r="D49" s="26" t="n">
        <v>0</v>
      </c>
      <c r="E49" s="26" t="n">
        <v>0</v>
      </c>
      <c r="F49" s="26" t="n">
        <v>2646.6</v>
      </c>
      <c r="G49" s="26" t="n">
        <v>0</v>
      </c>
      <c r="H49" s="26" t="n">
        <v>0</v>
      </c>
      <c r="I49" s="26" t="n">
        <v>27252.8</v>
      </c>
      <c r="J49" s="26" t="n">
        <v>0</v>
      </c>
      <c r="K49" s="26" t="n">
        <v>97</v>
      </c>
      <c r="L49" s="26" t="n">
        <v>0</v>
      </c>
      <c r="M49" s="26" t="n">
        <v>0</v>
      </c>
      <c r="N49" s="26" t="n">
        <v>0</v>
      </c>
      <c r="O49" s="26" t="n">
        <v>0</v>
      </c>
      <c r="P49" s="26" t="n">
        <v>-485.2</v>
      </c>
      <c r="Q49" s="26" t="n">
        <v>21722.1</v>
      </c>
      <c r="R49" s="26" t="n">
        <v>5918.8</v>
      </c>
      <c r="S49" s="26" t="n">
        <v>0</v>
      </c>
      <c r="T49" s="26" t="n">
        <v>2531.9</v>
      </c>
      <c r="U49" s="26" t="n">
        <v>-143.7</v>
      </c>
    </row>
    <row r="50" customFormat="false" ht="15" hidden="false" customHeight="true" outlineLevel="0" collapsed="false">
      <c r="A50" s="8" t="s">
        <v>407</v>
      </c>
      <c r="B50" s="8" t="s">
        <v>108</v>
      </c>
      <c r="C50" s="8" t="s">
        <v>460</v>
      </c>
      <c r="D50" s="26" t="n">
        <v>0</v>
      </c>
      <c r="E50" s="26" t="n">
        <v>0</v>
      </c>
      <c r="F50" s="26" t="n">
        <v>1077.6</v>
      </c>
      <c r="G50" s="26" t="n">
        <v>0</v>
      </c>
      <c r="H50" s="26" t="n">
        <v>0</v>
      </c>
      <c r="I50" s="26" t="n">
        <v>7727.8</v>
      </c>
      <c r="J50" s="26" t="n">
        <v>0</v>
      </c>
      <c r="K50" s="26" t="n">
        <v>97</v>
      </c>
      <c r="L50" s="26" t="n">
        <v>0</v>
      </c>
      <c r="M50" s="26" t="n">
        <v>0</v>
      </c>
      <c r="N50" s="26" t="n">
        <v>0</v>
      </c>
      <c r="O50" s="26" t="n">
        <v>0</v>
      </c>
      <c r="P50" s="26" t="n">
        <v>-291.1</v>
      </c>
      <c r="Q50" s="26" t="n">
        <v>4137.7</v>
      </c>
      <c r="R50" s="26" t="n">
        <v>3784.2</v>
      </c>
      <c r="S50" s="26" t="n">
        <v>0</v>
      </c>
      <c r="T50" s="26" t="n">
        <v>1410.6</v>
      </c>
      <c r="U50" s="26" t="n">
        <v>0</v>
      </c>
    </row>
    <row r="51" customFormat="false" ht="15" hidden="false" customHeight="true" outlineLevel="0" collapsed="false">
      <c r="A51" s="8" t="s">
        <v>407</v>
      </c>
      <c r="B51" s="8" t="s">
        <v>386</v>
      </c>
      <c r="C51" s="8" t="s">
        <v>948</v>
      </c>
      <c r="D51" s="26" t="n">
        <v>0</v>
      </c>
      <c r="E51" s="26" t="n">
        <v>0</v>
      </c>
      <c r="F51" s="26" t="n">
        <v>0</v>
      </c>
      <c r="G51" s="26" t="n">
        <v>0</v>
      </c>
      <c r="H51" s="26" t="n">
        <v>0</v>
      </c>
      <c r="I51" s="26" t="n">
        <v>-178.6</v>
      </c>
      <c r="J51" s="26" t="n">
        <v>0</v>
      </c>
      <c r="K51" s="26" t="n">
        <v>0</v>
      </c>
      <c r="L51" s="26" t="n">
        <v>0</v>
      </c>
      <c r="M51" s="26" t="n">
        <v>0</v>
      </c>
      <c r="N51" s="26" t="n">
        <v>0</v>
      </c>
      <c r="O51" s="26" t="n">
        <v>0</v>
      </c>
      <c r="P51" s="26" t="n">
        <v>0</v>
      </c>
      <c r="Q51" s="26" t="n">
        <v>-178.6</v>
      </c>
      <c r="R51" s="26" t="n">
        <v>0</v>
      </c>
      <c r="S51" s="26" t="n">
        <v>0</v>
      </c>
      <c r="T51" s="26" t="n">
        <v>0</v>
      </c>
      <c r="U51" s="26" t="n">
        <v>0</v>
      </c>
    </row>
    <row r="52" customFormat="false" ht="15" hidden="false" customHeight="true" outlineLevel="0" collapsed="false">
      <c r="A52" s="8" t="s">
        <v>407</v>
      </c>
      <c r="B52" s="8" t="s">
        <v>233</v>
      </c>
      <c r="C52" s="8" t="s">
        <v>949</v>
      </c>
      <c r="D52" s="26" t="n">
        <v>0</v>
      </c>
      <c r="E52" s="26" t="n">
        <v>0</v>
      </c>
      <c r="F52" s="26" t="n">
        <v>-247.5</v>
      </c>
      <c r="G52" s="26" t="n">
        <v>0</v>
      </c>
      <c r="H52" s="26" t="n">
        <v>0</v>
      </c>
      <c r="I52" s="26" t="n">
        <v>0</v>
      </c>
      <c r="J52" s="26" t="n">
        <v>0</v>
      </c>
      <c r="K52" s="26" t="n">
        <v>0</v>
      </c>
      <c r="L52" s="26" t="n">
        <v>0</v>
      </c>
      <c r="M52" s="26" t="n">
        <v>0</v>
      </c>
      <c r="N52" s="26" t="n">
        <v>0</v>
      </c>
      <c r="O52" s="26" t="n">
        <v>0</v>
      </c>
      <c r="P52" s="26" t="n">
        <v>0</v>
      </c>
      <c r="Q52" s="26" t="n">
        <v>0</v>
      </c>
      <c r="R52" s="26" t="n">
        <v>0</v>
      </c>
      <c r="S52" s="26" t="n">
        <v>0</v>
      </c>
      <c r="T52" s="26" t="n">
        <v>0</v>
      </c>
      <c r="U52" s="26" t="n">
        <v>0</v>
      </c>
    </row>
    <row r="53" customFormat="false" ht="15" hidden="false" customHeight="true" outlineLevel="0" collapsed="false">
      <c r="A53" s="8" t="s">
        <v>407</v>
      </c>
      <c r="B53" s="8" t="s">
        <v>233</v>
      </c>
      <c r="C53" s="8" t="s">
        <v>462</v>
      </c>
      <c r="D53" s="26" t="n">
        <v>0</v>
      </c>
      <c r="E53" s="26" t="n">
        <v>0</v>
      </c>
      <c r="F53" s="26" t="n">
        <v>-247.5</v>
      </c>
      <c r="G53" s="26" t="n">
        <v>0</v>
      </c>
      <c r="H53" s="26" t="n">
        <v>0</v>
      </c>
      <c r="I53" s="26" t="n">
        <v>-266.2</v>
      </c>
      <c r="J53" s="26" t="n">
        <v>0</v>
      </c>
      <c r="K53" s="26" t="n">
        <v>0</v>
      </c>
      <c r="L53" s="26" t="n">
        <v>0</v>
      </c>
      <c r="M53" s="26" t="n">
        <v>0</v>
      </c>
      <c r="N53" s="26" t="n">
        <v>0</v>
      </c>
      <c r="O53" s="26" t="n">
        <v>0</v>
      </c>
      <c r="P53" s="26" t="n">
        <v>0</v>
      </c>
      <c r="Q53" s="26" t="n">
        <v>-266.2</v>
      </c>
      <c r="R53" s="26" t="n">
        <v>0</v>
      </c>
      <c r="S53" s="26" t="n">
        <v>0</v>
      </c>
      <c r="T53" s="26" t="n">
        <v>0</v>
      </c>
      <c r="U53" s="26" t="n">
        <v>0</v>
      </c>
    </row>
    <row r="54" customFormat="false" ht="15" hidden="false" customHeight="true" outlineLevel="0" collapsed="false">
      <c r="A54" s="8" t="s">
        <v>407</v>
      </c>
      <c r="B54" s="8" t="s">
        <v>233</v>
      </c>
      <c r="C54" s="8" t="s">
        <v>950</v>
      </c>
      <c r="D54" s="26" t="n">
        <v>0</v>
      </c>
      <c r="E54" s="26" t="n">
        <v>0</v>
      </c>
      <c r="F54" s="26" t="n">
        <v>-247.5</v>
      </c>
      <c r="G54" s="26" t="n">
        <v>0</v>
      </c>
      <c r="H54" s="26" t="n">
        <v>0</v>
      </c>
      <c r="I54" s="26" t="n">
        <v>0</v>
      </c>
      <c r="J54" s="26" t="n">
        <v>0</v>
      </c>
      <c r="K54" s="26" t="n">
        <v>0</v>
      </c>
      <c r="L54" s="26" t="n">
        <v>0</v>
      </c>
      <c r="M54" s="26" t="n">
        <v>0</v>
      </c>
      <c r="N54" s="26" t="n">
        <v>0</v>
      </c>
      <c r="O54" s="26" t="n">
        <v>0</v>
      </c>
      <c r="P54" s="26" t="n">
        <v>0</v>
      </c>
      <c r="Q54" s="26" t="n">
        <v>0</v>
      </c>
      <c r="R54" s="26" t="n">
        <v>0</v>
      </c>
      <c r="S54" s="26" t="n">
        <v>0</v>
      </c>
      <c r="T54" s="26" t="n">
        <v>0</v>
      </c>
      <c r="U54" s="26" t="n">
        <v>0</v>
      </c>
    </row>
    <row r="55" customFormat="false" ht="15" hidden="false" customHeight="true" outlineLevel="0" collapsed="false">
      <c r="A55" s="8" t="s">
        <v>407</v>
      </c>
      <c r="B55" s="8" t="s">
        <v>233</v>
      </c>
      <c r="C55" s="8" t="s">
        <v>463</v>
      </c>
      <c r="D55" s="26" t="n">
        <v>0</v>
      </c>
      <c r="E55" s="26" t="n">
        <v>0</v>
      </c>
      <c r="F55" s="26" t="n">
        <v>-247.5</v>
      </c>
      <c r="G55" s="26" t="n">
        <v>0</v>
      </c>
      <c r="H55" s="26" t="n">
        <v>0</v>
      </c>
      <c r="I55" s="26" t="n">
        <v>-286.8</v>
      </c>
      <c r="J55" s="26" t="n">
        <v>0</v>
      </c>
      <c r="K55" s="26" t="n">
        <v>0</v>
      </c>
      <c r="L55" s="26" t="n">
        <v>0</v>
      </c>
      <c r="M55" s="26" t="n">
        <v>0</v>
      </c>
      <c r="N55" s="26" t="n">
        <v>0</v>
      </c>
      <c r="O55" s="26" t="n">
        <v>0</v>
      </c>
      <c r="P55" s="26" t="n">
        <v>-286.8</v>
      </c>
      <c r="Q55" s="26" t="n">
        <v>0</v>
      </c>
      <c r="R55" s="26" t="n">
        <v>0</v>
      </c>
      <c r="S55" s="26" t="n">
        <v>0</v>
      </c>
      <c r="T55" s="26" t="n">
        <v>0</v>
      </c>
      <c r="U55" s="26" t="n">
        <v>0</v>
      </c>
    </row>
    <row r="56" customFormat="false" ht="15" hidden="false" customHeight="true" outlineLevel="0" collapsed="false">
      <c r="A56" s="8" t="s">
        <v>407</v>
      </c>
      <c r="B56" s="8" t="s">
        <v>104</v>
      </c>
      <c r="C56" s="8" t="s">
        <v>464</v>
      </c>
      <c r="D56" s="26" t="n">
        <v>0</v>
      </c>
      <c r="E56" s="26" t="n">
        <v>0</v>
      </c>
      <c r="F56" s="26" t="n">
        <v>3046.1</v>
      </c>
      <c r="G56" s="26" t="n">
        <v>0</v>
      </c>
      <c r="H56" s="26" t="n">
        <v>0</v>
      </c>
      <c r="I56" s="26" t="n">
        <v>5501.5</v>
      </c>
      <c r="J56" s="26" t="n">
        <v>0</v>
      </c>
      <c r="K56" s="26" t="n">
        <v>81.4</v>
      </c>
      <c r="L56" s="26" t="n">
        <v>0</v>
      </c>
      <c r="M56" s="26" t="n">
        <v>66.5</v>
      </c>
      <c r="N56" s="26" t="n">
        <v>0</v>
      </c>
      <c r="O56" s="26" t="n">
        <v>58.1</v>
      </c>
      <c r="P56" s="26" t="n">
        <v>-54.3</v>
      </c>
      <c r="Q56" s="26" t="n">
        <v>3204.5</v>
      </c>
      <c r="R56" s="26" t="n">
        <v>2145.2</v>
      </c>
      <c r="S56" s="26" t="n">
        <v>0</v>
      </c>
      <c r="T56" s="26" t="n">
        <v>0</v>
      </c>
      <c r="U56" s="26" t="n">
        <v>-44.3</v>
      </c>
    </row>
    <row r="57" customFormat="false" ht="15" hidden="false" customHeight="true" outlineLevel="0" collapsed="false">
      <c r="A57" s="8" t="s">
        <v>407</v>
      </c>
      <c r="B57" s="8" t="s">
        <v>104</v>
      </c>
      <c r="C57" s="8" t="s">
        <v>465</v>
      </c>
      <c r="D57" s="26" t="n">
        <v>0</v>
      </c>
      <c r="E57" s="26" t="n">
        <v>0</v>
      </c>
      <c r="F57" s="26" t="n">
        <v>3374.4</v>
      </c>
      <c r="G57" s="26" t="n">
        <v>0</v>
      </c>
      <c r="H57" s="26" t="n">
        <v>0</v>
      </c>
      <c r="I57" s="26" t="n">
        <v>6310.7</v>
      </c>
      <c r="J57" s="26" t="n">
        <v>0</v>
      </c>
      <c r="K57" s="26" t="n">
        <v>135.7</v>
      </c>
      <c r="L57" s="26" t="n">
        <v>0</v>
      </c>
      <c r="M57" s="26" t="n">
        <v>0</v>
      </c>
      <c r="N57" s="26" t="n">
        <v>66.5</v>
      </c>
      <c r="O57" s="26" t="n">
        <v>29.1</v>
      </c>
      <c r="P57" s="26" t="n">
        <v>-162.8</v>
      </c>
      <c r="Q57" s="26" t="n">
        <v>3527.4</v>
      </c>
      <c r="R57" s="26" t="n">
        <v>2714.9</v>
      </c>
      <c r="S57" s="26" t="n">
        <v>0</v>
      </c>
      <c r="T57" s="26" t="n">
        <v>0</v>
      </c>
      <c r="U57" s="26" t="n">
        <v>-88.6</v>
      </c>
    </row>
    <row r="58" customFormat="false" ht="15" hidden="false" customHeight="true" outlineLevel="0" collapsed="false">
      <c r="A58" s="8" t="s">
        <v>407</v>
      </c>
      <c r="B58" s="8" t="s">
        <v>104</v>
      </c>
      <c r="C58" s="8" t="s">
        <v>466</v>
      </c>
      <c r="D58" s="26" t="n">
        <v>0</v>
      </c>
      <c r="E58" s="26" t="n">
        <v>0</v>
      </c>
      <c r="F58" s="26" t="n">
        <v>1693.8</v>
      </c>
      <c r="G58" s="26" t="n">
        <v>0</v>
      </c>
      <c r="H58" s="26" t="n">
        <v>0</v>
      </c>
      <c r="I58" s="26" t="n">
        <v>4489.2</v>
      </c>
      <c r="J58" s="26" t="n">
        <v>0</v>
      </c>
      <c r="K58" s="26" t="n">
        <v>54.3</v>
      </c>
      <c r="L58" s="26" t="n">
        <v>0</v>
      </c>
      <c r="M58" s="26" t="n">
        <v>66.5</v>
      </c>
      <c r="N58" s="26" t="n">
        <v>99.7</v>
      </c>
      <c r="O58" s="26" t="n">
        <v>29.1</v>
      </c>
      <c r="P58" s="26" t="n">
        <v>-81.4</v>
      </c>
      <c r="Q58" s="26" t="n">
        <v>2639.1</v>
      </c>
      <c r="R58" s="26" t="n">
        <v>1682.1</v>
      </c>
      <c r="S58" s="26" t="n">
        <v>0</v>
      </c>
      <c r="T58" s="26" t="n">
        <v>0</v>
      </c>
      <c r="U58" s="26" t="n">
        <v>0</v>
      </c>
    </row>
    <row r="59" customFormat="false" ht="15" hidden="false" customHeight="true" outlineLevel="0" collapsed="false">
      <c r="A59" s="8" t="s">
        <v>407</v>
      </c>
      <c r="B59" s="8" t="s">
        <v>104</v>
      </c>
      <c r="C59" s="8" t="s">
        <v>467</v>
      </c>
      <c r="D59" s="26" t="n">
        <v>0</v>
      </c>
      <c r="E59" s="26" t="n">
        <v>0</v>
      </c>
      <c r="F59" s="26" t="n">
        <v>838.3</v>
      </c>
      <c r="G59" s="26" t="n">
        <v>0</v>
      </c>
      <c r="H59" s="26" t="n">
        <v>0</v>
      </c>
      <c r="I59" s="26" t="n">
        <v>1969.1</v>
      </c>
      <c r="J59" s="26" t="n">
        <v>0</v>
      </c>
      <c r="K59" s="26" t="n">
        <v>27.1</v>
      </c>
      <c r="L59" s="26" t="n">
        <v>0</v>
      </c>
      <c r="M59" s="26" t="n">
        <v>66.5</v>
      </c>
      <c r="N59" s="26" t="n">
        <v>66.5</v>
      </c>
      <c r="O59" s="26" t="n">
        <v>29.1</v>
      </c>
      <c r="P59" s="26" t="n">
        <v>-27.1</v>
      </c>
      <c r="Q59" s="26" t="n">
        <v>938.9</v>
      </c>
      <c r="R59" s="26" t="n">
        <v>868.2</v>
      </c>
      <c r="S59" s="26" t="n">
        <v>0</v>
      </c>
      <c r="T59" s="26" t="n">
        <v>0</v>
      </c>
      <c r="U59" s="26" t="n">
        <v>0</v>
      </c>
    </row>
    <row r="60" customFormat="false" ht="15" hidden="false" customHeight="true" outlineLevel="0" collapsed="false">
      <c r="A60" s="8" t="s">
        <v>407</v>
      </c>
      <c r="B60" s="8" t="s">
        <v>104</v>
      </c>
      <c r="C60" s="8" t="s">
        <v>468</v>
      </c>
      <c r="D60" s="26" t="n">
        <v>0</v>
      </c>
      <c r="E60" s="26" t="n">
        <v>0</v>
      </c>
      <c r="F60" s="26" t="n">
        <v>66.5</v>
      </c>
      <c r="G60" s="26" t="n">
        <v>0</v>
      </c>
      <c r="H60" s="26" t="n">
        <v>0</v>
      </c>
      <c r="I60" s="26" t="n">
        <v>-47.9</v>
      </c>
      <c r="J60" s="26" t="n">
        <v>0</v>
      </c>
      <c r="K60" s="26" t="n">
        <v>0</v>
      </c>
      <c r="L60" s="26" t="n">
        <v>0</v>
      </c>
      <c r="M60" s="26" t="n">
        <v>0</v>
      </c>
      <c r="N60" s="26" t="n">
        <v>0</v>
      </c>
      <c r="O60" s="26" t="n">
        <v>0</v>
      </c>
      <c r="P60" s="26" t="n">
        <v>0</v>
      </c>
      <c r="Q60" s="26" t="n">
        <v>-47.9</v>
      </c>
      <c r="R60" s="26" t="n">
        <v>0</v>
      </c>
      <c r="S60" s="26" t="n">
        <v>0</v>
      </c>
      <c r="T60" s="26" t="n">
        <v>0</v>
      </c>
      <c r="U60" s="26" t="n">
        <v>0</v>
      </c>
    </row>
    <row r="61" customFormat="false" ht="15" hidden="false" customHeight="true" outlineLevel="0" collapsed="false">
      <c r="A61" s="8" t="s">
        <v>407</v>
      </c>
      <c r="B61" s="8" t="s">
        <v>78</v>
      </c>
      <c r="C61" s="8" t="s">
        <v>469</v>
      </c>
      <c r="D61" s="26" t="n">
        <v>0</v>
      </c>
      <c r="E61" s="26" t="n">
        <v>0</v>
      </c>
      <c r="F61" s="26" t="n">
        <v>6289.8</v>
      </c>
      <c r="G61" s="26" t="n">
        <v>0</v>
      </c>
      <c r="H61" s="26" t="n">
        <v>0</v>
      </c>
      <c r="I61" s="26" t="n">
        <v>52960.5</v>
      </c>
      <c r="J61" s="26" t="n">
        <v>0</v>
      </c>
      <c r="K61" s="26" t="n">
        <v>352.5</v>
      </c>
      <c r="L61" s="26" t="n">
        <v>0</v>
      </c>
      <c r="M61" s="26" t="n">
        <v>0</v>
      </c>
      <c r="N61" s="26" t="n">
        <v>119.4</v>
      </c>
      <c r="O61" s="26" t="n">
        <v>75.5</v>
      </c>
      <c r="P61" s="26" t="n">
        <v>-176.3</v>
      </c>
      <c r="Q61" s="26" t="n">
        <v>48676.6</v>
      </c>
      <c r="R61" s="26" t="n">
        <v>3912.8</v>
      </c>
      <c r="S61" s="26" t="n">
        <v>0</v>
      </c>
      <c r="T61" s="26" t="n">
        <v>1447.5</v>
      </c>
      <c r="U61" s="26" t="n">
        <v>-53.1</v>
      </c>
    </row>
    <row r="62" customFormat="false" ht="15" hidden="false" customHeight="true" outlineLevel="0" collapsed="false">
      <c r="A62" s="8" t="s">
        <v>407</v>
      </c>
      <c r="B62" s="8" t="s">
        <v>78</v>
      </c>
      <c r="C62" s="8" t="s">
        <v>470</v>
      </c>
      <c r="D62" s="26" t="n">
        <v>0</v>
      </c>
      <c r="E62" s="26" t="n">
        <v>0</v>
      </c>
      <c r="F62" s="26" t="n">
        <v>11298.4</v>
      </c>
      <c r="G62" s="26" t="n">
        <v>0</v>
      </c>
      <c r="H62" s="26" t="n">
        <v>0</v>
      </c>
      <c r="I62" s="26" t="n">
        <v>51425</v>
      </c>
      <c r="J62" s="26" t="n">
        <v>0</v>
      </c>
      <c r="K62" s="26" t="n">
        <v>317.3</v>
      </c>
      <c r="L62" s="26" t="n">
        <v>0</v>
      </c>
      <c r="M62" s="26" t="n">
        <v>0</v>
      </c>
      <c r="N62" s="26" t="n">
        <v>119.4</v>
      </c>
      <c r="O62" s="26" t="n">
        <v>37.8</v>
      </c>
      <c r="P62" s="26" t="n">
        <v>-35.3</v>
      </c>
      <c r="Q62" s="26" t="n">
        <v>47355.1</v>
      </c>
      <c r="R62" s="26" t="n">
        <v>3630.8</v>
      </c>
      <c r="S62" s="26" t="n">
        <v>0</v>
      </c>
      <c r="T62" s="26" t="n">
        <v>2766.6</v>
      </c>
      <c r="U62" s="26" t="n">
        <v>-106.1</v>
      </c>
    </row>
    <row r="63" customFormat="false" ht="15" hidden="false" customHeight="true" outlineLevel="0" collapsed="false">
      <c r="A63" s="8" t="s">
        <v>407</v>
      </c>
      <c r="B63" s="8" t="s">
        <v>78</v>
      </c>
      <c r="C63" s="8" t="s">
        <v>471</v>
      </c>
      <c r="D63" s="26" t="n">
        <v>0</v>
      </c>
      <c r="E63" s="26" t="n">
        <v>0</v>
      </c>
      <c r="F63" s="26" t="n">
        <v>14787</v>
      </c>
      <c r="G63" s="26" t="n">
        <v>0</v>
      </c>
      <c r="H63" s="26" t="n">
        <v>0</v>
      </c>
      <c r="I63" s="26" t="n">
        <v>72643.2</v>
      </c>
      <c r="J63" s="26" t="n">
        <v>0</v>
      </c>
      <c r="K63" s="26" t="n">
        <v>176.3</v>
      </c>
      <c r="L63" s="26" t="n">
        <v>0</v>
      </c>
      <c r="M63" s="26" t="n">
        <v>0</v>
      </c>
      <c r="N63" s="26" t="n">
        <v>119.4</v>
      </c>
      <c r="O63" s="26" t="n">
        <v>37.8</v>
      </c>
      <c r="P63" s="26" t="n">
        <v>-211.5</v>
      </c>
      <c r="Q63" s="26" t="n">
        <v>64731</v>
      </c>
      <c r="R63" s="26" t="n">
        <v>7790.3</v>
      </c>
      <c r="S63" s="26" t="n">
        <v>0</v>
      </c>
      <c r="T63" s="26" t="n">
        <v>3505.6</v>
      </c>
      <c r="U63" s="26" t="n">
        <v>-53.1</v>
      </c>
    </row>
    <row r="64" customFormat="false" ht="15" hidden="false" customHeight="true" outlineLevel="0" collapsed="false">
      <c r="A64" s="8" t="s">
        <v>407</v>
      </c>
      <c r="B64" s="8" t="s">
        <v>78</v>
      </c>
      <c r="C64" s="8" t="s">
        <v>472</v>
      </c>
      <c r="D64" s="26" t="n">
        <v>0</v>
      </c>
      <c r="E64" s="26" t="n">
        <v>0</v>
      </c>
      <c r="F64" s="26" t="n">
        <v>4467.3</v>
      </c>
      <c r="G64" s="26" t="n">
        <v>0</v>
      </c>
      <c r="H64" s="26" t="n">
        <v>0</v>
      </c>
      <c r="I64" s="26" t="n">
        <v>22161.4</v>
      </c>
      <c r="J64" s="26" t="n">
        <v>0</v>
      </c>
      <c r="K64" s="26" t="n">
        <v>387.8</v>
      </c>
      <c r="L64" s="26" t="n">
        <v>0</v>
      </c>
      <c r="M64" s="26" t="n">
        <v>0</v>
      </c>
      <c r="N64" s="26" t="n">
        <v>119.4</v>
      </c>
      <c r="O64" s="26" t="n">
        <v>75.5</v>
      </c>
      <c r="P64" s="26" t="n">
        <v>-141</v>
      </c>
      <c r="Q64" s="26" t="n">
        <v>19076</v>
      </c>
      <c r="R64" s="26" t="n">
        <v>2643.8</v>
      </c>
      <c r="S64" s="26" t="n">
        <v>0</v>
      </c>
      <c r="T64" s="26" t="n">
        <v>1093.2</v>
      </c>
      <c r="U64" s="26" t="n">
        <v>-265.3</v>
      </c>
    </row>
    <row r="65" customFormat="false" ht="15" hidden="false" customHeight="true" outlineLevel="0" collapsed="false">
      <c r="A65" s="8" t="s">
        <v>407</v>
      </c>
      <c r="B65" s="8" t="s">
        <v>280</v>
      </c>
      <c r="C65" s="8" t="s">
        <v>474</v>
      </c>
      <c r="D65" s="26" t="n">
        <v>0</v>
      </c>
      <c r="E65" s="26" t="n">
        <v>0</v>
      </c>
      <c r="F65" s="26" t="n">
        <v>0</v>
      </c>
      <c r="G65" s="26" t="n">
        <v>0</v>
      </c>
      <c r="H65" s="26" t="n">
        <v>0</v>
      </c>
      <c r="I65" s="26" t="n">
        <v>-63.6</v>
      </c>
      <c r="J65" s="26" t="n">
        <v>0</v>
      </c>
      <c r="K65" s="26" t="n">
        <v>0</v>
      </c>
      <c r="L65" s="26" t="n">
        <v>0</v>
      </c>
      <c r="M65" s="26" t="n">
        <v>0</v>
      </c>
      <c r="N65" s="26" t="n">
        <v>0</v>
      </c>
      <c r="O65" s="26" t="n">
        <v>0</v>
      </c>
      <c r="P65" s="26" t="n">
        <v>0</v>
      </c>
      <c r="Q65" s="26" t="n">
        <v>-63.6</v>
      </c>
      <c r="R65" s="26" t="n">
        <v>0</v>
      </c>
      <c r="S65" s="26" t="n">
        <v>0</v>
      </c>
      <c r="T65" s="26" t="n">
        <v>0</v>
      </c>
      <c r="U65" s="26" t="n">
        <v>0</v>
      </c>
    </row>
    <row r="66" customFormat="false" ht="15" hidden="false" customHeight="true" outlineLevel="0" collapsed="false">
      <c r="A66" s="8" t="s">
        <v>407</v>
      </c>
      <c r="B66" s="8" t="s">
        <v>280</v>
      </c>
      <c r="C66" s="8" t="s">
        <v>476</v>
      </c>
      <c r="D66" s="26" t="n">
        <v>0</v>
      </c>
      <c r="E66" s="26" t="n">
        <v>0</v>
      </c>
      <c r="F66" s="26" t="n">
        <v>-53.2</v>
      </c>
      <c r="G66" s="26" t="n">
        <v>0</v>
      </c>
      <c r="H66" s="26" t="n">
        <v>0</v>
      </c>
      <c r="I66" s="26" t="n">
        <v>-129</v>
      </c>
      <c r="J66" s="26" t="n">
        <v>0</v>
      </c>
      <c r="K66" s="26" t="n">
        <v>0</v>
      </c>
      <c r="L66" s="26" t="n">
        <v>0</v>
      </c>
      <c r="M66" s="26" t="n">
        <v>0</v>
      </c>
      <c r="N66" s="26" t="n">
        <v>0</v>
      </c>
      <c r="O66" s="26" t="n">
        <v>0</v>
      </c>
      <c r="P66" s="26" t="n">
        <v>-68.5</v>
      </c>
      <c r="Q66" s="26" t="n">
        <v>-60.4</v>
      </c>
      <c r="R66" s="26" t="n">
        <v>0</v>
      </c>
      <c r="S66" s="26" t="n">
        <v>0</v>
      </c>
      <c r="T66" s="26" t="n">
        <v>0</v>
      </c>
      <c r="U66" s="26" t="n">
        <v>0</v>
      </c>
    </row>
    <row r="67" customFormat="false" ht="15" hidden="false" customHeight="true" outlineLevel="0" collapsed="false">
      <c r="A67" s="8" t="s">
        <v>407</v>
      </c>
      <c r="B67" s="8" t="s">
        <v>305</v>
      </c>
      <c r="C67" s="8" t="s">
        <v>477</v>
      </c>
      <c r="D67" s="26" t="n">
        <v>0</v>
      </c>
      <c r="E67" s="26" t="n">
        <v>0</v>
      </c>
      <c r="F67" s="26" t="n">
        <v>178</v>
      </c>
      <c r="G67" s="26" t="n">
        <v>0</v>
      </c>
      <c r="H67" s="26" t="n">
        <v>0</v>
      </c>
      <c r="I67" s="26" t="n">
        <v>0</v>
      </c>
      <c r="J67" s="26" t="n">
        <v>0</v>
      </c>
      <c r="K67" s="26" t="n">
        <v>0</v>
      </c>
      <c r="L67" s="26" t="n">
        <v>0</v>
      </c>
      <c r="M67" s="26" t="n">
        <v>0</v>
      </c>
      <c r="N67" s="26" t="n">
        <v>0</v>
      </c>
      <c r="O67" s="26" t="n">
        <v>0</v>
      </c>
      <c r="P67" s="26" t="n">
        <v>0</v>
      </c>
      <c r="Q67" s="26" t="n">
        <v>0</v>
      </c>
      <c r="R67" s="26" t="n">
        <v>0</v>
      </c>
      <c r="S67" s="26" t="n">
        <v>0</v>
      </c>
      <c r="T67" s="26" t="n">
        <v>0</v>
      </c>
      <c r="U67" s="26" t="n">
        <v>0</v>
      </c>
    </row>
    <row r="68" customFormat="false" ht="15" hidden="false" customHeight="true" outlineLevel="0" collapsed="false">
      <c r="A68" s="8" t="s">
        <v>407</v>
      </c>
      <c r="B68" s="8" t="s">
        <v>264</v>
      </c>
      <c r="C68" s="8" t="s">
        <v>478</v>
      </c>
      <c r="D68" s="26" t="n">
        <v>0</v>
      </c>
      <c r="E68" s="26" t="n">
        <v>0</v>
      </c>
      <c r="F68" s="26" t="n">
        <v>0</v>
      </c>
      <c r="G68" s="26" t="n">
        <v>0</v>
      </c>
      <c r="H68" s="26" t="n">
        <v>0</v>
      </c>
      <c r="I68" s="26" t="n">
        <v>1810.3</v>
      </c>
      <c r="J68" s="26" t="n">
        <v>0</v>
      </c>
      <c r="K68" s="26" t="n">
        <v>0</v>
      </c>
      <c r="L68" s="26" t="n">
        <v>0</v>
      </c>
      <c r="M68" s="26" t="n">
        <v>0</v>
      </c>
      <c r="N68" s="26" t="n">
        <v>0</v>
      </c>
      <c r="O68" s="26" t="n">
        <v>0</v>
      </c>
      <c r="P68" s="26" t="n">
        <v>0</v>
      </c>
      <c r="Q68" s="26" t="n">
        <v>0</v>
      </c>
      <c r="R68" s="26" t="n">
        <v>1810.3</v>
      </c>
      <c r="S68" s="26" t="n">
        <v>0</v>
      </c>
      <c r="T68" s="26" t="n">
        <v>0</v>
      </c>
      <c r="U68" s="26" t="n">
        <v>0</v>
      </c>
    </row>
    <row r="69" customFormat="false" ht="15" hidden="false" customHeight="true" outlineLevel="0" collapsed="false">
      <c r="A69" s="8" t="s">
        <v>407</v>
      </c>
      <c r="B69" s="8" t="s">
        <v>264</v>
      </c>
      <c r="C69" s="8" t="s">
        <v>479</v>
      </c>
      <c r="D69" s="26" t="n">
        <v>0</v>
      </c>
      <c r="E69" s="26" t="n">
        <v>0</v>
      </c>
      <c r="F69" s="26" t="n">
        <v>879.2</v>
      </c>
      <c r="G69" s="26" t="n">
        <v>0</v>
      </c>
      <c r="H69" s="26" t="n">
        <v>0</v>
      </c>
      <c r="I69" s="26" t="n">
        <v>0</v>
      </c>
      <c r="J69" s="26" t="n">
        <v>0</v>
      </c>
      <c r="K69" s="26" t="n">
        <v>0</v>
      </c>
      <c r="L69" s="26" t="n">
        <v>0</v>
      </c>
      <c r="M69" s="26" t="n">
        <v>0</v>
      </c>
      <c r="N69" s="26" t="n">
        <v>0</v>
      </c>
      <c r="O69" s="26" t="n">
        <v>0</v>
      </c>
      <c r="P69" s="26" t="n">
        <v>0</v>
      </c>
      <c r="Q69" s="26" t="n">
        <v>0</v>
      </c>
      <c r="R69" s="26" t="n">
        <v>0</v>
      </c>
      <c r="S69" s="26" t="n">
        <v>0</v>
      </c>
      <c r="T69" s="26" t="n">
        <v>342.5</v>
      </c>
      <c r="U69" s="26" t="n">
        <v>0</v>
      </c>
    </row>
    <row r="70" customFormat="false" ht="15" hidden="false" customHeight="true" outlineLevel="0" collapsed="false">
      <c r="A70" s="8" t="s">
        <v>407</v>
      </c>
      <c r="B70" s="8" t="s">
        <v>264</v>
      </c>
      <c r="C70" s="8" t="s">
        <v>480</v>
      </c>
      <c r="D70" s="26" t="n">
        <v>0</v>
      </c>
      <c r="E70" s="26" t="n">
        <v>0</v>
      </c>
      <c r="F70" s="26" t="n">
        <v>314</v>
      </c>
      <c r="G70" s="26" t="n">
        <v>0</v>
      </c>
      <c r="H70" s="26" t="n">
        <v>0</v>
      </c>
      <c r="I70" s="26" t="n">
        <v>603.4</v>
      </c>
      <c r="J70" s="26" t="n">
        <v>0</v>
      </c>
      <c r="K70" s="26" t="n">
        <v>0</v>
      </c>
      <c r="L70" s="26" t="n">
        <v>0</v>
      </c>
      <c r="M70" s="26" t="n">
        <v>0</v>
      </c>
      <c r="N70" s="26" t="n">
        <v>0</v>
      </c>
      <c r="O70" s="26" t="n">
        <v>0</v>
      </c>
      <c r="P70" s="26" t="n">
        <v>0</v>
      </c>
      <c r="Q70" s="26" t="n">
        <v>0</v>
      </c>
      <c r="R70" s="26" t="n">
        <v>603.4</v>
      </c>
      <c r="S70" s="26" t="n">
        <v>0</v>
      </c>
      <c r="T70" s="26" t="n">
        <v>587.2</v>
      </c>
      <c r="U70" s="26" t="n">
        <v>0</v>
      </c>
    </row>
    <row r="71" customFormat="false" ht="15" hidden="false" customHeight="true" outlineLevel="0" collapsed="false">
      <c r="A71" s="8" t="s">
        <v>407</v>
      </c>
      <c r="B71" s="8" t="s">
        <v>264</v>
      </c>
      <c r="C71" s="8" t="s">
        <v>481</v>
      </c>
      <c r="D71" s="26" t="n">
        <v>0</v>
      </c>
      <c r="E71" s="26" t="n">
        <v>0</v>
      </c>
      <c r="F71" s="26" t="n">
        <v>316.1</v>
      </c>
      <c r="G71" s="26" t="n">
        <v>0</v>
      </c>
      <c r="H71" s="26" t="n">
        <v>0</v>
      </c>
      <c r="I71" s="26" t="n">
        <v>301.7</v>
      </c>
      <c r="J71" s="26" t="n">
        <v>0</v>
      </c>
      <c r="K71" s="26" t="n">
        <v>0</v>
      </c>
      <c r="L71" s="26" t="n">
        <v>0</v>
      </c>
      <c r="M71" s="26" t="n">
        <v>0</v>
      </c>
      <c r="N71" s="26" t="n">
        <v>0</v>
      </c>
      <c r="O71" s="26" t="n">
        <v>0</v>
      </c>
      <c r="P71" s="26" t="n">
        <v>0</v>
      </c>
      <c r="Q71" s="26" t="n">
        <v>0</v>
      </c>
      <c r="R71" s="26" t="n">
        <v>301.7</v>
      </c>
      <c r="S71" s="26" t="n">
        <v>0</v>
      </c>
      <c r="T71" s="26" t="n">
        <v>342.5</v>
      </c>
      <c r="U71" s="26" t="n">
        <v>0</v>
      </c>
    </row>
    <row r="72" customFormat="false" ht="15" hidden="false" customHeight="true" outlineLevel="0" collapsed="false">
      <c r="A72" s="8" t="s">
        <v>407</v>
      </c>
      <c r="B72" s="8" t="s">
        <v>302</v>
      </c>
      <c r="C72" s="8" t="s">
        <v>951</v>
      </c>
      <c r="D72" s="26" t="n">
        <v>0</v>
      </c>
      <c r="E72" s="26" t="n">
        <v>0</v>
      </c>
      <c r="F72" s="26" t="n">
        <v>187.4</v>
      </c>
      <c r="G72" s="26" t="n">
        <v>0</v>
      </c>
      <c r="H72" s="26" t="n">
        <v>0</v>
      </c>
      <c r="I72" s="26" t="n">
        <v>0</v>
      </c>
      <c r="J72" s="26" t="n">
        <v>0</v>
      </c>
      <c r="K72" s="26" t="n">
        <v>0</v>
      </c>
      <c r="L72" s="26" t="n">
        <v>0</v>
      </c>
      <c r="M72" s="26" t="n">
        <v>0</v>
      </c>
      <c r="N72" s="26" t="n">
        <v>0</v>
      </c>
      <c r="O72" s="26" t="n">
        <v>0</v>
      </c>
      <c r="P72" s="26" t="n">
        <v>0</v>
      </c>
      <c r="Q72" s="26" t="n">
        <v>0</v>
      </c>
      <c r="R72" s="26" t="n">
        <v>0</v>
      </c>
      <c r="S72" s="26" t="n">
        <v>0</v>
      </c>
      <c r="T72" s="26" t="n">
        <v>253.1</v>
      </c>
      <c r="U72" s="26" t="n">
        <v>0</v>
      </c>
    </row>
    <row r="73" customFormat="false" ht="15" hidden="false" customHeight="true" outlineLevel="0" collapsed="false">
      <c r="A73" s="8" t="s">
        <v>407</v>
      </c>
      <c r="B73" s="8" t="s">
        <v>302</v>
      </c>
      <c r="C73" s="8" t="s">
        <v>482</v>
      </c>
      <c r="D73" s="26" t="n">
        <v>0</v>
      </c>
      <c r="E73" s="26" t="n">
        <v>0</v>
      </c>
      <c r="F73" s="26" t="n">
        <v>537.3</v>
      </c>
      <c r="G73" s="26" t="n">
        <v>0</v>
      </c>
      <c r="H73" s="26" t="n">
        <v>0</v>
      </c>
      <c r="I73" s="26" t="n">
        <v>162.5</v>
      </c>
      <c r="J73" s="26" t="n">
        <v>0</v>
      </c>
      <c r="K73" s="26" t="n">
        <v>0</v>
      </c>
      <c r="L73" s="26" t="n">
        <v>0</v>
      </c>
      <c r="M73" s="26" t="n">
        <v>0</v>
      </c>
      <c r="N73" s="26" t="n">
        <v>0</v>
      </c>
      <c r="O73" s="26" t="n">
        <v>0</v>
      </c>
      <c r="P73" s="26" t="n">
        <v>0</v>
      </c>
      <c r="Q73" s="26" t="n">
        <v>162.5</v>
      </c>
      <c r="R73" s="26" t="n">
        <v>0</v>
      </c>
      <c r="S73" s="26" t="n">
        <v>0</v>
      </c>
      <c r="T73" s="26" t="n">
        <v>822.7</v>
      </c>
      <c r="U73" s="26" t="n">
        <v>0</v>
      </c>
    </row>
    <row r="74" customFormat="false" ht="15" hidden="false" customHeight="true" outlineLevel="0" collapsed="false">
      <c r="A74" s="8" t="s">
        <v>407</v>
      </c>
      <c r="B74" s="8" t="s">
        <v>302</v>
      </c>
      <c r="C74" s="8" t="s">
        <v>483</v>
      </c>
      <c r="D74" s="26" t="n">
        <v>0</v>
      </c>
      <c r="E74" s="26" t="n">
        <v>0</v>
      </c>
      <c r="F74" s="26" t="n">
        <v>374.9</v>
      </c>
      <c r="G74" s="26" t="n">
        <v>0</v>
      </c>
      <c r="H74" s="26" t="n">
        <v>0</v>
      </c>
      <c r="I74" s="26" t="n">
        <v>0</v>
      </c>
      <c r="J74" s="26" t="n">
        <v>0</v>
      </c>
      <c r="K74" s="26" t="n">
        <v>0</v>
      </c>
      <c r="L74" s="26" t="n">
        <v>0</v>
      </c>
      <c r="M74" s="26" t="n">
        <v>0</v>
      </c>
      <c r="N74" s="26" t="n">
        <v>0</v>
      </c>
      <c r="O74" s="26" t="n">
        <v>0</v>
      </c>
      <c r="P74" s="26" t="n">
        <v>0</v>
      </c>
      <c r="Q74" s="26" t="n">
        <v>0</v>
      </c>
      <c r="R74" s="26" t="n">
        <v>0</v>
      </c>
      <c r="S74" s="26" t="n">
        <v>0</v>
      </c>
      <c r="T74" s="26" t="n">
        <v>126.6</v>
      </c>
      <c r="U74" s="26" t="n">
        <v>0</v>
      </c>
    </row>
    <row r="75" customFormat="false" ht="15" hidden="false" customHeight="true" outlineLevel="0" collapsed="false">
      <c r="A75" s="8" t="s">
        <v>407</v>
      </c>
      <c r="B75" s="8" t="s">
        <v>302</v>
      </c>
      <c r="C75" s="8" t="s">
        <v>952</v>
      </c>
      <c r="D75" s="26" t="n">
        <v>0</v>
      </c>
      <c r="E75" s="26" t="n">
        <v>0</v>
      </c>
      <c r="F75" s="26" t="n">
        <v>187.4</v>
      </c>
      <c r="G75" s="26" t="n">
        <v>0</v>
      </c>
      <c r="H75" s="26" t="n">
        <v>0</v>
      </c>
      <c r="I75" s="26" t="n">
        <v>172</v>
      </c>
      <c r="J75" s="26" t="n">
        <v>0</v>
      </c>
      <c r="K75" s="26" t="n">
        <v>0</v>
      </c>
      <c r="L75" s="26" t="n">
        <v>0</v>
      </c>
      <c r="M75" s="26" t="n">
        <v>0</v>
      </c>
      <c r="N75" s="26" t="n">
        <v>0</v>
      </c>
      <c r="O75" s="26" t="n">
        <v>0</v>
      </c>
      <c r="P75" s="26" t="n">
        <v>0</v>
      </c>
      <c r="Q75" s="26" t="n">
        <v>0</v>
      </c>
      <c r="R75" s="26" t="n">
        <v>172</v>
      </c>
      <c r="S75" s="26" t="n">
        <v>0</v>
      </c>
      <c r="T75" s="26" t="n">
        <v>0</v>
      </c>
      <c r="U75" s="26" t="n">
        <v>0</v>
      </c>
    </row>
    <row r="76" customFormat="false" ht="15" hidden="false" customHeight="true" outlineLevel="0" collapsed="false">
      <c r="A76" s="8" t="s">
        <v>407</v>
      </c>
      <c r="B76" s="8" t="s">
        <v>192</v>
      </c>
      <c r="C76" s="8" t="s">
        <v>484</v>
      </c>
      <c r="D76" s="26" t="n">
        <v>0</v>
      </c>
      <c r="E76" s="26" t="n">
        <v>0</v>
      </c>
      <c r="F76" s="26" t="n">
        <v>-22.4</v>
      </c>
      <c r="G76" s="26" t="n">
        <v>0</v>
      </c>
      <c r="H76" s="26" t="n">
        <v>0</v>
      </c>
      <c r="I76" s="26" t="n">
        <v>0</v>
      </c>
      <c r="J76" s="26" t="n">
        <v>0</v>
      </c>
      <c r="K76" s="26" t="n">
        <v>0</v>
      </c>
      <c r="L76" s="26" t="n">
        <v>0</v>
      </c>
      <c r="M76" s="26" t="n">
        <v>0</v>
      </c>
      <c r="N76" s="26" t="n">
        <v>0</v>
      </c>
      <c r="O76" s="26" t="n">
        <v>0</v>
      </c>
      <c r="P76" s="26" t="n">
        <v>0</v>
      </c>
      <c r="Q76" s="26" t="n">
        <v>0</v>
      </c>
      <c r="R76" s="26" t="n">
        <v>0</v>
      </c>
      <c r="S76" s="26" t="n">
        <v>0</v>
      </c>
      <c r="T76" s="26" t="n">
        <v>0</v>
      </c>
      <c r="U76" s="26" t="n">
        <v>0</v>
      </c>
    </row>
    <row r="77" customFormat="false" ht="15" hidden="false" customHeight="true" outlineLevel="0" collapsed="false">
      <c r="A77" s="8" t="s">
        <v>407</v>
      </c>
      <c r="B77" s="8" t="s">
        <v>192</v>
      </c>
      <c r="C77" s="8" t="s">
        <v>485</v>
      </c>
      <c r="D77" s="26" t="n">
        <v>0</v>
      </c>
      <c r="E77" s="26" t="n">
        <v>0</v>
      </c>
      <c r="F77" s="26" t="n">
        <v>762.3</v>
      </c>
      <c r="G77" s="26" t="n">
        <v>0</v>
      </c>
      <c r="H77" s="26" t="n">
        <v>0</v>
      </c>
      <c r="I77" s="26" t="n">
        <v>0</v>
      </c>
      <c r="J77" s="26" t="n">
        <v>0</v>
      </c>
      <c r="K77" s="26" t="n">
        <v>0</v>
      </c>
      <c r="L77" s="26" t="n">
        <v>0</v>
      </c>
      <c r="M77" s="26" t="n">
        <v>0</v>
      </c>
      <c r="N77" s="26" t="n">
        <v>0</v>
      </c>
      <c r="O77" s="26" t="n">
        <v>0</v>
      </c>
      <c r="P77" s="26" t="n">
        <v>0</v>
      </c>
      <c r="Q77" s="26" t="n">
        <v>0</v>
      </c>
      <c r="R77" s="26" t="n">
        <v>0</v>
      </c>
      <c r="S77" s="26" t="n">
        <v>0</v>
      </c>
      <c r="T77" s="26" t="n">
        <v>348.1</v>
      </c>
      <c r="U77" s="26" t="n">
        <v>0</v>
      </c>
    </row>
    <row r="78" customFormat="false" ht="15" hidden="false" customHeight="true" outlineLevel="0" collapsed="false">
      <c r="A78" s="8" t="s">
        <v>407</v>
      </c>
      <c r="B78" s="8" t="s">
        <v>192</v>
      </c>
      <c r="C78" s="8" t="s">
        <v>486</v>
      </c>
      <c r="D78" s="26" t="n">
        <v>0</v>
      </c>
      <c r="E78" s="26" t="n">
        <v>0</v>
      </c>
      <c r="F78" s="26" t="n">
        <v>1087.2</v>
      </c>
      <c r="G78" s="26" t="n">
        <v>0</v>
      </c>
      <c r="H78" s="26" t="n">
        <v>0</v>
      </c>
      <c r="I78" s="26" t="n">
        <v>178.9</v>
      </c>
      <c r="J78" s="26" t="n">
        <v>0</v>
      </c>
      <c r="K78" s="26" t="n">
        <v>0</v>
      </c>
      <c r="L78" s="26" t="n">
        <v>0</v>
      </c>
      <c r="M78" s="26" t="n">
        <v>0</v>
      </c>
      <c r="N78" s="26" t="n">
        <v>0</v>
      </c>
      <c r="O78" s="26" t="n">
        <v>0</v>
      </c>
      <c r="P78" s="26" t="n">
        <v>0</v>
      </c>
      <c r="Q78" s="26" t="n">
        <v>0</v>
      </c>
      <c r="R78" s="26" t="n">
        <v>178.9</v>
      </c>
      <c r="S78" s="26" t="n">
        <v>0</v>
      </c>
      <c r="T78" s="26" t="n">
        <v>1139.1</v>
      </c>
      <c r="U78" s="26" t="n">
        <v>0</v>
      </c>
    </row>
    <row r="79" customFormat="false" ht="15" hidden="false" customHeight="true" outlineLevel="0" collapsed="false">
      <c r="A79" s="8" t="s">
        <v>407</v>
      </c>
      <c r="B79" s="8" t="s">
        <v>192</v>
      </c>
      <c r="C79" s="8" t="s">
        <v>487</v>
      </c>
      <c r="D79" s="26" t="n">
        <v>0</v>
      </c>
      <c r="E79" s="26" t="n">
        <v>0</v>
      </c>
      <c r="F79" s="26" t="n">
        <v>374.9</v>
      </c>
      <c r="G79" s="26" t="n">
        <v>0</v>
      </c>
      <c r="H79" s="26" t="n">
        <v>0</v>
      </c>
      <c r="I79" s="26" t="n">
        <v>0</v>
      </c>
      <c r="J79" s="26" t="n">
        <v>0</v>
      </c>
      <c r="K79" s="26" t="n">
        <v>0</v>
      </c>
      <c r="L79" s="26" t="n">
        <v>0</v>
      </c>
      <c r="M79" s="26" t="n">
        <v>0</v>
      </c>
      <c r="N79" s="26" t="n">
        <v>0</v>
      </c>
      <c r="O79" s="26" t="n">
        <v>0</v>
      </c>
      <c r="P79" s="26" t="n">
        <v>0</v>
      </c>
      <c r="Q79" s="26" t="n">
        <v>0</v>
      </c>
      <c r="R79" s="26" t="n">
        <v>0</v>
      </c>
      <c r="S79" s="26" t="n">
        <v>0</v>
      </c>
      <c r="T79" s="26" t="n">
        <v>0</v>
      </c>
      <c r="U79" s="26" t="n">
        <v>0</v>
      </c>
    </row>
    <row r="80" customFormat="false" ht="15" hidden="false" customHeight="true" outlineLevel="0" collapsed="false">
      <c r="A80" s="8" t="s">
        <v>407</v>
      </c>
      <c r="B80" s="8" t="s">
        <v>317</v>
      </c>
      <c r="C80" s="8" t="s">
        <v>488</v>
      </c>
      <c r="D80" s="26" t="n">
        <v>0</v>
      </c>
      <c r="E80" s="26" t="n">
        <v>0</v>
      </c>
      <c r="F80" s="26" t="n">
        <v>283.9</v>
      </c>
      <c r="G80" s="26" t="n">
        <v>0</v>
      </c>
      <c r="H80" s="26" t="n">
        <v>0</v>
      </c>
      <c r="I80" s="26" t="n">
        <v>0</v>
      </c>
      <c r="J80" s="26" t="n">
        <v>0</v>
      </c>
      <c r="K80" s="26" t="n">
        <v>0</v>
      </c>
      <c r="L80" s="26" t="n">
        <v>0</v>
      </c>
      <c r="M80" s="26" t="n">
        <v>0</v>
      </c>
      <c r="N80" s="26" t="n">
        <v>0</v>
      </c>
      <c r="O80" s="26" t="n">
        <v>0</v>
      </c>
      <c r="P80" s="26" t="n">
        <v>0</v>
      </c>
      <c r="Q80" s="26" t="n">
        <v>0</v>
      </c>
      <c r="R80" s="26" t="n">
        <v>0</v>
      </c>
      <c r="S80" s="26" t="n">
        <v>0</v>
      </c>
      <c r="T80" s="26" t="n">
        <v>0</v>
      </c>
      <c r="U80" s="26" t="n">
        <v>0</v>
      </c>
    </row>
    <row r="81" customFormat="false" ht="15" hidden="false" customHeight="true" outlineLevel="0" collapsed="false">
      <c r="A81" s="8" t="s">
        <v>407</v>
      </c>
      <c r="B81" s="8" t="s">
        <v>319</v>
      </c>
      <c r="C81" s="8" t="s">
        <v>488</v>
      </c>
      <c r="D81" s="26" t="n">
        <v>0</v>
      </c>
      <c r="E81" s="26" t="n">
        <v>0</v>
      </c>
      <c r="F81" s="26" t="n">
        <v>142</v>
      </c>
      <c r="G81" s="26" t="n">
        <v>0</v>
      </c>
      <c r="H81" s="26" t="n">
        <v>0</v>
      </c>
      <c r="I81" s="26" t="n">
        <v>0</v>
      </c>
      <c r="J81" s="26" t="n">
        <v>0</v>
      </c>
      <c r="K81" s="26" t="n">
        <v>0</v>
      </c>
      <c r="L81" s="26" t="n">
        <v>0</v>
      </c>
      <c r="M81" s="26" t="n">
        <v>0</v>
      </c>
      <c r="N81" s="26" t="n">
        <v>0</v>
      </c>
      <c r="O81" s="26" t="n">
        <v>0</v>
      </c>
      <c r="P81" s="26" t="n">
        <v>0</v>
      </c>
      <c r="Q81" s="26" t="n">
        <v>0</v>
      </c>
      <c r="R81" s="26" t="n">
        <v>0</v>
      </c>
      <c r="S81" s="26" t="n">
        <v>0</v>
      </c>
      <c r="T81" s="26" t="n">
        <v>0</v>
      </c>
      <c r="U81" s="26" t="n">
        <v>0</v>
      </c>
    </row>
    <row r="82" customFormat="false" ht="15" hidden="false" customHeight="true" outlineLevel="0" collapsed="false">
      <c r="A82" s="8" t="s">
        <v>407</v>
      </c>
      <c r="B82" s="8" t="s">
        <v>208</v>
      </c>
      <c r="C82" s="8" t="s">
        <v>490</v>
      </c>
      <c r="D82" s="26" t="n">
        <v>0</v>
      </c>
      <c r="E82" s="26" t="n">
        <v>0</v>
      </c>
      <c r="F82" s="26" t="n">
        <v>859.4</v>
      </c>
      <c r="G82" s="26" t="n">
        <v>0</v>
      </c>
      <c r="H82" s="26" t="n">
        <v>0</v>
      </c>
      <c r="I82" s="26" t="n">
        <v>-2165</v>
      </c>
      <c r="J82" s="26" t="n">
        <v>0</v>
      </c>
      <c r="K82" s="26" t="n">
        <v>0</v>
      </c>
      <c r="L82" s="26" t="n">
        <v>0</v>
      </c>
      <c r="M82" s="26" t="n">
        <v>0</v>
      </c>
      <c r="N82" s="26" t="n">
        <v>0</v>
      </c>
      <c r="O82" s="26" t="n">
        <v>0</v>
      </c>
      <c r="P82" s="26" t="n">
        <v>-449.8</v>
      </c>
      <c r="Q82" s="26" t="n">
        <v>-1715.2</v>
      </c>
      <c r="R82" s="26" t="n">
        <v>0</v>
      </c>
      <c r="S82" s="26" t="n">
        <v>0</v>
      </c>
      <c r="T82" s="26" t="n">
        <v>0</v>
      </c>
      <c r="U82" s="26" t="n">
        <v>0</v>
      </c>
    </row>
    <row r="83" customFormat="false" ht="15" hidden="false" customHeight="true" outlineLevel="0" collapsed="false">
      <c r="A83" s="8" t="s">
        <v>407</v>
      </c>
      <c r="B83" s="8" t="s">
        <v>234</v>
      </c>
      <c r="C83" s="8" t="s">
        <v>491</v>
      </c>
      <c r="D83" s="26" t="n">
        <v>0</v>
      </c>
      <c r="E83" s="26" t="n">
        <v>0</v>
      </c>
      <c r="F83" s="26" t="n">
        <v>107.4</v>
      </c>
      <c r="G83" s="26" t="n">
        <v>0</v>
      </c>
      <c r="H83" s="26" t="n">
        <v>0</v>
      </c>
      <c r="I83" s="26" t="n">
        <v>6.3</v>
      </c>
      <c r="J83" s="26" t="n">
        <v>0</v>
      </c>
      <c r="K83" s="26" t="n">
        <v>0</v>
      </c>
      <c r="L83" s="26" t="n">
        <v>0</v>
      </c>
      <c r="M83" s="26" t="n">
        <v>0</v>
      </c>
      <c r="N83" s="26" t="n">
        <v>0</v>
      </c>
      <c r="O83" s="26" t="n">
        <v>0</v>
      </c>
      <c r="P83" s="26" t="n">
        <v>0</v>
      </c>
      <c r="Q83" s="26" t="n">
        <v>-81.9</v>
      </c>
      <c r="R83" s="26" t="n">
        <v>88.2</v>
      </c>
      <c r="S83" s="26" t="n">
        <v>0</v>
      </c>
      <c r="T83" s="26" t="n">
        <v>0</v>
      </c>
      <c r="U83" s="26" t="n">
        <v>0</v>
      </c>
    </row>
    <row r="84" customFormat="false" ht="15" hidden="false" customHeight="true" outlineLevel="0" collapsed="false">
      <c r="A84" s="8" t="s">
        <v>407</v>
      </c>
      <c r="B84" s="8" t="s">
        <v>234</v>
      </c>
      <c r="C84" s="8" t="s">
        <v>492</v>
      </c>
      <c r="D84" s="26" t="n">
        <v>0</v>
      </c>
      <c r="E84" s="26" t="n">
        <v>0</v>
      </c>
      <c r="F84" s="26" t="n">
        <v>365.9</v>
      </c>
      <c r="G84" s="26" t="n">
        <v>0</v>
      </c>
      <c r="H84" s="26" t="n">
        <v>0</v>
      </c>
      <c r="I84" s="26" t="n">
        <v>336.2</v>
      </c>
      <c r="J84" s="26" t="n">
        <v>0</v>
      </c>
      <c r="K84" s="26" t="n">
        <v>0</v>
      </c>
      <c r="L84" s="26" t="n">
        <v>0</v>
      </c>
      <c r="M84" s="26" t="n">
        <v>0</v>
      </c>
      <c r="N84" s="26" t="n">
        <v>0</v>
      </c>
      <c r="O84" s="26" t="n">
        <v>0</v>
      </c>
      <c r="P84" s="26" t="n">
        <v>0</v>
      </c>
      <c r="Q84" s="26" t="n">
        <v>159.8</v>
      </c>
      <c r="R84" s="26" t="n">
        <v>176.4</v>
      </c>
      <c r="S84" s="26" t="n">
        <v>0</v>
      </c>
      <c r="T84" s="26" t="n">
        <v>0</v>
      </c>
      <c r="U84" s="26" t="n">
        <v>0</v>
      </c>
    </row>
    <row r="85" customFormat="false" ht="15" hidden="false" customHeight="true" outlineLevel="0" collapsed="false">
      <c r="A85" s="8" t="s">
        <v>407</v>
      </c>
      <c r="B85" s="8" t="s">
        <v>234</v>
      </c>
      <c r="C85" s="8" t="s">
        <v>493</v>
      </c>
      <c r="D85" s="26" t="n">
        <v>0</v>
      </c>
      <c r="E85" s="26" t="n">
        <v>0</v>
      </c>
      <c r="F85" s="26" t="n">
        <v>189.3</v>
      </c>
      <c r="G85" s="26" t="n">
        <v>0</v>
      </c>
      <c r="H85" s="26" t="n">
        <v>0</v>
      </c>
      <c r="I85" s="26" t="n">
        <v>577.7</v>
      </c>
      <c r="J85" s="26" t="n">
        <v>0</v>
      </c>
      <c r="K85" s="26" t="n">
        <v>0</v>
      </c>
      <c r="L85" s="26" t="n">
        <v>0</v>
      </c>
      <c r="M85" s="26" t="n">
        <v>0</v>
      </c>
      <c r="N85" s="26" t="n">
        <v>0</v>
      </c>
      <c r="O85" s="26" t="n">
        <v>0</v>
      </c>
      <c r="P85" s="26" t="n">
        <v>0</v>
      </c>
      <c r="Q85" s="26" t="n">
        <v>401.3</v>
      </c>
      <c r="R85" s="26" t="n">
        <v>176.4</v>
      </c>
      <c r="S85" s="26" t="n">
        <v>0</v>
      </c>
      <c r="T85" s="26" t="n">
        <v>0</v>
      </c>
      <c r="U85" s="26" t="n">
        <v>0</v>
      </c>
    </row>
    <row r="86" customFormat="false" ht="15" hidden="false" customHeight="true" outlineLevel="0" collapsed="false">
      <c r="A86" s="8" t="s">
        <v>407</v>
      </c>
      <c r="B86" s="8" t="s">
        <v>234</v>
      </c>
      <c r="C86" s="8" t="s">
        <v>494</v>
      </c>
      <c r="D86" s="26" t="n">
        <v>0</v>
      </c>
      <c r="E86" s="26" t="n">
        <v>0</v>
      </c>
      <c r="F86" s="26" t="n">
        <v>473.3</v>
      </c>
      <c r="G86" s="26" t="n">
        <v>0</v>
      </c>
      <c r="H86" s="26" t="n">
        <v>164</v>
      </c>
      <c r="I86" s="26" t="n">
        <v>426.2</v>
      </c>
      <c r="J86" s="26" t="n">
        <v>0</v>
      </c>
      <c r="K86" s="26" t="n">
        <v>0</v>
      </c>
      <c r="L86" s="26" t="n">
        <v>0</v>
      </c>
      <c r="M86" s="26" t="n">
        <v>0</v>
      </c>
      <c r="N86" s="26" t="n">
        <v>0</v>
      </c>
      <c r="O86" s="26" t="n">
        <v>0</v>
      </c>
      <c r="P86" s="26" t="n">
        <v>0</v>
      </c>
      <c r="Q86" s="26" t="n">
        <v>249.8</v>
      </c>
      <c r="R86" s="26" t="n">
        <v>176.4</v>
      </c>
      <c r="S86" s="26" t="n">
        <v>0</v>
      </c>
      <c r="T86" s="26" t="n">
        <v>0</v>
      </c>
      <c r="U86" s="26" t="n">
        <v>0</v>
      </c>
    </row>
    <row r="87" customFormat="false" ht="15" hidden="false" customHeight="true" outlineLevel="0" collapsed="false">
      <c r="A87" s="8" t="s">
        <v>407</v>
      </c>
      <c r="B87" s="8" t="s">
        <v>234</v>
      </c>
      <c r="C87" s="8" t="s">
        <v>495</v>
      </c>
      <c r="D87" s="26" t="n">
        <v>0</v>
      </c>
      <c r="E87" s="26" t="n">
        <v>0</v>
      </c>
      <c r="F87" s="26" t="n">
        <v>378.5</v>
      </c>
      <c r="G87" s="26" t="n">
        <v>0</v>
      </c>
      <c r="H87" s="26" t="n">
        <v>82</v>
      </c>
      <c r="I87" s="26" t="n">
        <v>6.3</v>
      </c>
      <c r="J87" s="26" t="n">
        <v>0</v>
      </c>
      <c r="K87" s="26" t="n">
        <v>0</v>
      </c>
      <c r="L87" s="26" t="n">
        <v>0</v>
      </c>
      <c r="M87" s="26" t="n">
        <v>0</v>
      </c>
      <c r="N87" s="26" t="n">
        <v>0</v>
      </c>
      <c r="O87" s="26" t="n">
        <v>0</v>
      </c>
      <c r="P87" s="26" t="n">
        <v>-88.2</v>
      </c>
      <c r="Q87" s="26" t="n">
        <v>-81.9</v>
      </c>
      <c r="R87" s="26" t="n">
        <v>176.4</v>
      </c>
      <c r="S87" s="26" t="n">
        <v>0</v>
      </c>
      <c r="T87" s="26" t="n">
        <v>0</v>
      </c>
      <c r="U87" s="26" t="n">
        <v>0</v>
      </c>
    </row>
    <row r="88" customFormat="false" ht="15" hidden="false" customHeight="true" outlineLevel="0" collapsed="false">
      <c r="A88" s="8" t="s">
        <v>407</v>
      </c>
      <c r="B88" s="8" t="s">
        <v>214</v>
      </c>
      <c r="C88" s="8" t="s">
        <v>496</v>
      </c>
      <c r="D88" s="26" t="n">
        <v>0</v>
      </c>
      <c r="E88" s="26" t="n">
        <v>0</v>
      </c>
      <c r="F88" s="26" t="n">
        <v>2098.8</v>
      </c>
      <c r="G88" s="26" t="n">
        <v>0</v>
      </c>
      <c r="H88" s="26" t="n">
        <v>0</v>
      </c>
      <c r="I88" s="26" t="n">
        <v>4362.8</v>
      </c>
      <c r="J88" s="26" t="n">
        <v>0</v>
      </c>
      <c r="K88" s="26" t="n">
        <v>343.7</v>
      </c>
      <c r="L88" s="26" t="n">
        <v>0</v>
      </c>
      <c r="M88" s="26" t="n">
        <v>0</v>
      </c>
      <c r="N88" s="26" t="n">
        <v>35.6</v>
      </c>
      <c r="O88" s="26" t="n">
        <v>0</v>
      </c>
      <c r="P88" s="26" t="n">
        <v>-34.4</v>
      </c>
      <c r="Q88" s="26" t="n">
        <v>3399.2</v>
      </c>
      <c r="R88" s="26" t="n">
        <v>618.7</v>
      </c>
      <c r="S88" s="26" t="n">
        <v>0</v>
      </c>
      <c r="T88" s="26" t="n">
        <v>0</v>
      </c>
      <c r="U88" s="26" t="n">
        <v>0</v>
      </c>
    </row>
    <row r="89" customFormat="false" ht="15" hidden="false" customHeight="true" outlineLevel="0" collapsed="false">
      <c r="A89" s="8" t="s">
        <v>407</v>
      </c>
      <c r="B89" s="8" t="s">
        <v>214</v>
      </c>
      <c r="C89" s="8" t="s">
        <v>497</v>
      </c>
      <c r="D89" s="26" t="n">
        <v>0</v>
      </c>
      <c r="E89" s="26" t="n">
        <v>0</v>
      </c>
      <c r="F89" s="26" t="n">
        <v>2100.8</v>
      </c>
      <c r="G89" s="26" t="n">
        <v>0</v>
      </c>
      <c r="H89" s="26" t="n">
        <v>0</v>
      </c>
      <c r="I89" s="26" t="n">
        <v>3169.3</v>
      </c>
      <c r="J89" s="26" t="n">
        <v>0</v>
      </c>
      <c r="K89" s="26" t="n">
        <v>68.7</v>
      </c>
      <c r="L89" s="26" t="n">
        <v>0</v>
      </c>
      <c r="M89" s="26" t="n">
        <v>0</v>
      </c>
      <c r="N89" s="26" t="n">
        <v>35.6</v>
      </c>
      <c r="O89" s="26" t="n">
        <v>36.8</v>
      </c>
      <c r="P89" s="26" t="n">
        <v>-34.4</v>
      </c>
      <c r="Q89" s="26" t="n">
        <v>2409.5</v>
      </c>
      <c r="R89" s="26" t="n">
        <v>653</v>
      </c>
      <c r="S89" s="26" t="n">
        <v>0</v>
      </c>
      <c r="T89" s="26" t="n">
        <v>0</v>
      </c>
      <c r="U89" s="26" t="n">
        <v>0</v>
      </c>
    </row>
    <row r="90" customFormat="false" ht="15" hidden="false" customHeight="true" outlineLevel="0" collapsed="false">
      <c r="A90" s="8" t="s">
        <v>407</v>
      </c>
      <c r="B90" s="8" t="s">
        <v>138</v>
      </c>
      <c r="C90" s="8" t="s">
        <v>498</v>
      </c>
      <c r="D90" s="26" t="n">
        <v>0</v>
      </c>
      <c r="E90" s="26" t="n">
        <v>0</v>
      </c>
      <c r="F90" s="26" t="n">
        <v>1802.7</v>
      </c>
      <c r="G90" s="26" t="n">
        <v>0</v>
      </c>
      <c r="H90" s="26" t="n">
        <v>0</v>
      </c>
      <c r="I90" s="26" t="n">
        <v>1829.6</v>
      </c>
      <c r="J90" s="26" t="n">
        <v>0</v>
      </c>
      <c r="K90" s="26" t="n">
        <v>0</v>
      </c>
      <c r="L90" s="26" t="n">
        <v>0</v>
      </c>
      <c r="M90" s="26" t="n">
        <v>0</v>
      </c>
      <c r="N90" s="26" t="n">
        <v>0</v>
      </c>
      <c r="O90" s="26" t="n">
        <v>0</v>
      </c>
      <c r="P90" s="26" t="n">
        <v>0</v>
      </c>
      <c r="Q90" s="26" t="n">
        <v>1829.6</v>
      </c>
      <c r="R90" s="26" t="n">
        <v>0</v>
      </c>
      <c r="S90" s="26" t="n">
        <v>0</v>
      </c>
      <c r="T90" s="26" t="n">
        <v>0</v>
      </c>
      <c r="U90" s="26" t="n">
        <v>-948.6</v>
      </c>
    </row>
    <row r="91" customFormat="false" ht="15" hidden="false" customHeight="true" outlineLevel="0" collapsed="false">
      <c r="A91" s="8" t="s">
        <v>407</v>
      </c>
      <c r="B91" s="8" t="s">
        <v>138</v>
      </c>
      <c r="C91" s="8" t="s">
        <v>499</v>
      </c>
      <c r="D91" s="26" t="n">
        <v>0</v>
      </c>
      <c r="E91" s="26" t="n">
        <v>0</v>
      </c>
      <c r="F91" s="26" t="n">
        <v>1290.3</v>
      </c>
      <c r="G91" s="26" t="n">
        <v>0</v>
      </c>
      <c r="H91" s="26" t="n">
        <v>0</v>
      </c>
      <c r="I91" s="26" t="n">
        <v>1877.7</v>
      </c>
      <c r="J91" s="26" t="n">
        <v>0</v>
      </c>
      <c r="K91" s="26" t="n">
        <v>0</v>
      </c>
      <c r="L91" s="26" t="n">
        <v>0</v>
      </c>
      <c r="M91" s="26" t="n">
        <v>0</v>
      </c>
      <c r="N91" s="26" t="n">
        <v>0</v>
      </c>
      <c r="O91" s="26" t="n">
        <v>0</v>
      </c>
      <c r="P91" s="26" t="n">
        <v>0</v>
      </c>
      <c r="Q91" s="26" t="n">
        <v>1877.7</v>
      </c>
      <c r="R91" s="26" t="n">
        <v>0</v>
      </c>
      <c r="S91" s="26" t="n">
        <v>0</v>
      </c>
      <c r="T91" s="26" t="n">
        <v>0</v>
      </c>
      <c r="U91" s="26" t="n">
        <v>0</v>
      </c>
    </row>
    <row r="92" customFormat="false" ht="15" hidden="false" customHeight="true" outlineLevel="0" collapsed="false">
      <c r="A92" s="8" t="s">
        <v>407</v>
      </c>
      <c r="B92" s="8" t="s">
        <v>96</v>
      </c>
      <c r="C92" s="8" t="s">
        <v>500</v>
      </c>
      <c r="D92" s="26" t="n">
        <v>0</v>
      </c>
      <c r="E92" s="26" t="n">
        <v>0</v>
      </c>
      <c r="F92" s="26" t="n">
        <v>13506.1</v>
      </c>
      <c r="G92" s="26" t="n">
        <v>0</v>
      </c>
      <c r="H92" s="26" t="n">
        <v>0</v>
      </c>
      <c r="I92" s="26" t="n">
        <v>134216.9</v>
      </c>
      <c r="J92" s="26" t="n">
        <v>0</v>
      </c>
      <c r="K92" s="26" t="n">
        <v>515.6</v>
      </c>
      <c r="L92" s="26" t="n">
        <v>0</v>
      </c>
      <c r="M92" s="26" t="n">
        <v>140.5</v>
      </c>
      <c r="N92" s="26" t="n">
        <v>93.6</v>
      </c>
      <c r="O92" s="26" t="n">
        <v>255</v>
      </c>
      <c r="P92" s="26" t="n">
        <v>-198.3</v>
      </c>
      <c r="Q92" s="26" t="n">
        <v>123767.5</v>
      </c>
      <c r="R92" s="26" t="n">
        <v>9643.1</v>
      </c>
      <c r="S92" s="26" t="n">
        <v>0</v>
      </c>
      <c r="T92" s="26" t="n">
        <v>0</v>
      </c>
      <c r="U92" s="26" t="n">
        <v>-62.4</v>
      </c>
    </row>
    <row r="93" customFormat="false" ht="15" hidden="false" customHeight="true" outlineLevel="0" collapsed="false">
      <c r="A93" s="8" t="s">
        <v>407</v>
      </c>
      <c r="B93" s="8" t="s">
        <v>125</v>
      </c>
      <c r="C93" s="8" t="s">
        <v>500</v>
      </c>
      <c r="D93" s="26" t="n">
        <v>0</v>
      </c>
      <c r="E93" s="26" t="n">
        <v>0</v>
      </c>
      <c r="F93" s="26" t="n">
        <v>15231.4</v>
      </c>
      <c r="G93" s="26" t="n">
        <v>0</v>
      </c>
      <c r="H93" s="26" t="n">
        <v>0</v>
      </c>
      <c r="I93" s="26" t="n">
        <v>164101.8</v>
      </c>
      <c r="J93" s="26" t="n">
        <v>0</v>
      </c>
      <c r="K93" s="26" t="n">
        <v>872.5</v>
      </c>
      <c r="L93" s="26" t="n">
        <v>0</v>
      </c>
      <c r="M93" s="26" t="n">
        <v>234.1</v>
      </c>
      <c r="N93" s="26" t="n">
        <v>140.5</v>
      </c>
      <c r="O93" s="26" t="n">
        <v>255</v>
      </c>
      <c r="P93" s="26" t="n">
        <v>-119</v>
      </c>
      <c r="Q93" s="26" t="n">
        <v>152480.8</v>
      </c>
      <c r="R93" s="26" t="n">
        <v>10238</v>
      </c>
      <c r="S93" s="26" t="n">
        <v>131.1</v>
      </c>
      <c r="T93" s="26" t="n">
        <v>0</v>
      </c>
      <c r="U93" s="26" t="n">
        <v>-124.9</v>
      </c>
    </row>
    <row r="94" customFormat="false" ht="15" hidden="false" customHeight="true" outlineLevel="0" collapsed="false">
      <c r="A94" s="8" t="s">
        <v>407</v>
      </c>
      <c r="B94" s="8" t="s">
        <v>296</v>
      </c>
      <c r="C94" s="8" t="s">
        <v>953</v>
      </c>
      <c r="D94" s="26" t="n">
        <v>0</v>
      </c>
      <c r="E94" s="26" t="n">
        <v>0</v>
      </c>
      <c r="F94" s="26" t="n">
        <v>0</v>
      </c>
      <c r="G94" s="26" t="n">
        <v>0</v>
      </c>
      <c r="H94" s="26" t="n">
        <v>0</v>
      </c>
      <c r="I94" s="26" t="n">
        <v>-430.4</v>
      </c>
      <c r="J94" s="26" t="n">
        <v>0</v>
      </c>
      <c r="K94" s="26" t="n">
        <v>0</v>
      </c>
      <c r="L94" s="26" t="n">
        <v>0</v>
      </c>
      <c r="M94" s="26" t="n">
        <v>0</v>
      </c>
      <c r="N94" s="26" t="n">
        <v>0</v>
      </c>
      <c r="O94" s="26" t="n">
        <v>0</v>
      </c>
      <c r="P94" s="26" t="n">
        <v>-223.2</v>
      </c>
      <c r="Q94" s="26" t="n">
        <v>-207.2</v>
      </c>
      <c r="R94" s="26" t="n">
        <v>0</v>
      </c>
      <c r="S94" s="26" t="n">
        <v>0</v>
      </c>
      <c r="T94" s="26" t="n">
        <v>0</v>
      </c>
      <c r="U94" s="26" t="n">
        <v>0</v>
      </c>
    </row>
    <row r="95" customFormat="false" ht="15" hidden="false" customHeight="true" outlineLevel="0" collapsed="false">
      <c r="A95" s="8" t="s">
        <v>407</v>
      </c>
      <c r="B95" s="8" t="s">
        <v>137</v>
      </c>
      <c r="C95" s="8" t="s">
        <v>503</v>
      </c>
      <c r="D95" s="26" t="n">
        <v>0</v>
      </c>
      <c r="E95" s="26" t="n">
        <v>0</v>
      </c>
      <c r="F95" s="26" t="n">
        <v>102.8</v>
      </c>
      <c r="G95" s="26" t="n">
        <v>0</v>
      </c>
      <c r="H95" s="26" t="n">
        <v>0</v>
      </c>
      <c r="I95" s="26" t="n">
        <v>0</v>
      </c>
      <c r="J95" s="26" t="n">
        <v>0</v>
      </c>
      <c r="K95" s="26" t="n">
        <v>0</v>
      </c>
      <c r="L95" s="26" t="n">
        <v>0</v>
      </c>
      <c r="M95" s="26" t="n">
        <v>0</v>
      </c>
      <c r="N95" s="26" t="n">
        <v>0</v>
      </c>
      <c r="O95" s="26" t="n">
        <v>0</v>
      </c>
      <c r="P95" s="26" t="n">
        <v>0</v>
      </c>
      <c r="Q95" s="26" t="n">
        <v>0</v>
      </c>
      <c r="R95" s="26" t="n">
        <v>0</v>
      </c>
      <c r="S95" s="26" t="n">
        <v>0</v>
      </c>
      <c r="T95" s="26" t="n">
        <v>0</v>
      </c>
      <c r="U95" s="26" t="n">
        <v>0</v>
      </c>
    </row>
    <row r="96" customFormat="false" ht="15" hidden="false" customHeight="true" outlineLevel="0" collapsed="false">
      <c r="A96" s="8" t="s">
        <v>407</v>
      </c>
      <c r="B96" s="8" t="s">
        <v>137</v>
      </c>
      <c r="C96" s="8" t="s">
        <v>504</v>
      </c>
      <c r="D96" s="26" t="n">
        <v>0</v>
      </c>
      <c r="E96" s="26" t="n">
        <v>0</v>
      </c>
      <c r="F96" s="26" t="n">
        <v>660.6</v>
      </c>
      <c r="G96" s="26" t="n">
        <v>0</v>
      </c>
      <c r="H96" s="26" t="n">
        <v>0</v>
      </c>
      <c r="I96" s="26" t="n">
        <v>1249.8</v>
      </c>
      <c r="J96" s="26" t="n">
        <v>0</v>
      </c>
      <c r="K96" s="26" t="n">
        <v>0</v>
      </c>
      <c r="L96" s="26" t="n">
        <v>0</v>
      </c>
      <c r="M96" s="26" t="n">
        <v>0</v>
      </c>
      <c r="N96" s="26" t="n">
        <v>0</v>
      </c>
      <c r="O96" s="26" t="n">
        <v>0</v>
      </c>
      <c r="P96" s="26" t="n">
        <v>0</v>
      </c>
      <c r="Q96" s="26" t="n">
        <v>1249.8</v>
      </c>
      <c r="R96" s="26" t="n">
        <v>0</v>
      </c>
      <c r="S96" s="26" t="n">
        <v>0</v>
      </c>
      <c r="T96" s="26" t="n">
        <v>0</v>
      </c>
      <c r="U96" s="26" t="n">
        <v>0</v>
      </c>
    </row>
    <row r="97" customFormat="false" ht="15" hidden="false" customHeight="true" outlineLevel="0" collapsed="false">
      <c r="A97" s="8" t="s">
        <v>407</v>
      </c>
      <c r="B97" s="8" t="s">
        <v>137</v>
      </c>
      <c r="C97" s="8" t="s">
        <v>505</v>
      </c>
      <c r="D97" s="26" t="n">
        <v>0</v>
      </c>
      <c r="E97" s="26" t="n">
        <v>0</v>
      </c>
      <c r="F97" s="26" t="n">
        <v>1108.4</v>
      </c>
      <c r="G97" s="26" t="n">
        <v>0</v>
      </c>
      <c r="H97" s="26" t="n">
        <v>0</v>
      </c>
      <c r="I97" s="26" t="n">
        <v>2328.7</v>
      </c>
      <c r="J97" s="26" t="n">
        <v>0</v>
      </c>
      <c r="K97" s="26" t="n">
        <v>0</v>
      </c>
      <c r="L97" s="26" t="n">
        <v>0</v>
      </c>
      <c r="M97" s="26" t="n">
        <v>0</v>
      </c>
      <c r="N97" s="26" t="n">
        <v>0</v>
      </c>
      <c r="O97" s="26" t="n">
        <v>0</v>
      </c>
      <c r="P97" s="26" t="n">
        <v>-97</v>
      </c>
      <c r="Q97" s="26" t="n">
        <v>0</v>
      </c>
      <c r="R97" s="26" t="n">
        <v>2425.8</v>
      </c>
      <c r="S97" s="26" t="n">
        <v>0</v>
      </c>
      <c r="T97" s="26" t="n">
        <v>0</v>
      </c>
      <c r="U97" s="26" t="n">
        <v>0</v>
      </c>
    </row>
    <row r="98" customFormat="false" ht="15" hidden="false" customHeight="true" outlineLevel="0" collapsed="false">
      <c r="A98" s="8" t="s">
        <v>407</v>
      </c>
      <c r="B98" s="8" t="s">
        <v>137</v>
      </c>
      <c r="C98" s="8" t="s">
        <v>506</v>
      </c>
      <c r="D98" s="26" t="n">
        <v>0</v>
      </c>
      <c r="E98" s="26" t="n">
        <v>0</v>
      </c>
      <c r="F98" s="26" t="n">
        <v>990.9</v>
      </c>
      <c r="G98" s="26" t="n">
        <v>0</v>
      </c>
      <c r="H98" s="26" t="n">
        <v>0</v>
      </c>
      <c r="I98" s="26" t="n">
        <v>0</v>
      </c>
      <c r="J98" s="26" t="n">
        <v>0</v>
      </c>
      <c r="K98" s="26" t="n">
        <v>0</v>
      </c>
      <c r="L98" s="26" t="n">
        <v>0</v>
      </c>
      <c r="M98" s="26" t="n">
        <v>0</v>
      </c>
      <c r="N98" s="26" t="n">
        <v>0</v>
      </c>
      <c r="O98" s="26" t="n">
        <v>0</v>
      </c>
      <c r="P98" s="26" t="n">
        <v>0</v>
      </c>
      <c r="Q98" s="26" t="n">
        <v>0</v>
      </c>
      <c r="R98" s="26" t="n">
        <v>0</v>
      </c>
      <c r="S98" s="26" t="n">
        <v>0</v>
      </c>
      <c r="T98" s="26" t="n">
        <v>0</v>
      </c>
      <c r="U98" s="26" t="n">
        <v>0</v>
      </c>
    </row>
    <row r="99" customFormat="false" ht="15" hidden="false" customHeight="true" outlineLevel="0" collapsed="false">
      <c r="A99" s="8" t="s">
        <v>407</v>
      </c>
      <c r="B99" s="8" t="s">
        <v>273</v>
      </c>
      <c r="C99" s="8" t="s">
        <v>507</v>
      </c>
      <c r="D99" s="26" t="n">
        <v>0</v>
      </c>
      <c r="E99" s="26" t="n">
        <v>0</v>
      </c>
      <c r="F99" s="26" t="n">
        <v>140.6</v>
      </c>
      <c r="G99" s="26" t="n">
        <v>0</v>
      </c>
      <c r="H99" s="26" t="n">
        <v>0</v>
      </c>
      <c r="I99" s="26" t="n">
        <v>0</v>
      </c>
      <c r="J99" s="26" t="n">
        <v>0</v>
      </c>
      <c r="K99" s="26" t="n">
        <v>0</v>
      </c>
      <c r="L99" s="26" t="n">
        <v>0</v>
      </c>
      <c r="M99" s="26" t="n">
        <v>0</v>
      </c>
      <c r="N99" s="26" t="n">
        <v>0</v>
      </c>
      <c r="O99" s="26" t="n">
        <v>0</v>
      </c>
      <c r="P99" s="26" t="n">
        <v>0</v>
      </c>
      <c r="Q99" s="26" t="n">
        <v>0</v>
      </c>
      <c r="R99" s="26" t="n">
        <v>0</v>
      </c>
      <c r="S99" s="26" t="n">
        <v>0</v>
      </c>
      <c r="T99" s="26" t="n">
        <v>0</v>
      </c>
      <c r="U99" s="26" t="n">
        <v>0</v>
      </c>
    </row>
    <row r="100" customFormat="false" ht="15" hidden="false" customHeight="true" outlineLevel="0" collapsed="false">
      <c r="A100" s="8" t="s">
        <v>407</v>
      </c>
      <c r="B100" s="8" t="s">
        <v>273</v>
      </c>
      <c r="C100" s="8" t="s">
        <v>508</v>
      </c>
      <c r="D100" s="26" t="n">
        <v>0</v>
      </c>
      <c r="E100" s="26" t="n">
        <v>0</v>
      </c>
      <c r="F100" s="26" t="n">
        <v>112.5</v>
      </c>
      <c r="G100" s="26" t="n">
        <v>0</v>
      </c>
      <c r="H100" s="26" t="n">
        <v>0</v>
      </c>
      <c r="I100" s="26" t="n">
        <v>0</v>
      </c>
      <c r="J100" s="26" t="n">
        <v>0</v>
      </c>
      <c r="K100" s="26" t="n">
        <v>0</v>
      </c>
      <c r="L100" s="26" t="n">
        <v>0</v>
      </c>
      <c r="M100" s="26" t="n">
        <v>0</v>
      </c>
      <c r="N100" s="26" t="n">
        <v>0</v>
      </c>
      <c r="O100" s="26" t="n">
        <v>0</v>
      </c>
      <c r="P100" s="26" t="n">
        <v>0</v>
      </c>
      <c r="Q100" s="26" t="n">
        <v>0</v>
      </c>
      <c r="R100" s="26" t="n">
        <v>0</v>
      </c>
      <c r="S100" s="26" t="n">
        <v>0</v>
      </c>
      <c r="T100" s="26" t="n">
        <v>0</v>
      </c>
      <c r="U100" s="26" t="n">
        <v>0</v>
      </c>
    </row>
    <row r="101" customFormat="false" ht="15" hidden="false" customHeight="true" outlineLevel="0" collapsed="false">
      <c r="A101" s="8" t="s">
        <v>407</v>
      </c>
      <c r="B101" s="8" t="s">
        <v>320</v>
      </c>
      <c r="C101" s="8" t="s">
        <v>954</v>
      </c>
      <c r="D101" s="26" t="n">
        <v>0</v>
      </c>
      <c r="E101" s="26" t="n">
        <v>0</v>
      </c>
      <c r="F101" s="26" t="n">
        <v>-140.6</v>
      </c>
      <c r="G101" s="26" t="n">
        <v>0</v>
      </c>
      <c r="H101" s="26" t="n">
        <v>0</v>
      </c>
      <c r="I101" s="26" t="n">
        <v>0</v>
      </c>
      <c r="J101" s="26" t="n">
        <v>0</v>
      </c>
      <c r="K101" s="26" t="n">
        <v>0</v>
      </c>
      <c r="L101" s="26" t="n">
        <v>0</v>
      </c>
      <c r="M101" s="26" t="n">
        <v>0</v>
      </c>
      <c r="N101" s="26" t="n">
        <v>0</v>
      </c>
      <c r="O101" s="26" t="n">
        <v>0</v>
      </c>
      <c r="P101" s="26" t="n">
        <v>0</v>
      </c>
      <c r="Q101" s="26" t="n">
        <v>0</v>
      </c>
      <c r="R101" s="26" t="n">
        <v>0</v>
      </c>
      <c r="S101" s="26" t="n">
        <v>0</v>
      </c>
      <c r="T101" s="26" t="n">
        <v>0</v>
      </c>
      <c r="U101" s="26" t="n">
        <v>0</v>
      </c>
    </row>
    <row r="102" customFormat="false" ht="15" hidden="false" customHeight="true" outlineLevel="0" collapsed="false">
      <c r="A102" s="8" t="s">
        <v>407</v>
      </c>
      <c r="B102" s="8" t="s">
        <v>320</v>
      </c>
      <c r="C102" s="8" t="s">
        <v>955</v>
      </c>
      <c r="D102" s="26" t="n">
        <v>0</v>
      </c>
      <c r="E102" s="26" t="n">
        <v>0</v>
      </c>
      <c r="F102" s="26" t="n">
        <v>140.6</v>
      </c>
      <c r="G102" s="26" t="n">
        <v>0</v>
      </c>
      <c r="H102" s="26" t="n">
        <v>0</v>
      </c>
      <c r="I102" s="26" t="n">
        <v>0</v>
      </c>
      <c r="J102" s="26" t="n">
        <v>0</v>
      </c>
      <c r="K102" s="26" t="n">
        <v>0</v>
      </c>
      <c r="L102" s="26" t="n">
        <v>0</v>
      </c>
      <c r="M102" s="26" t="n">
        <v>0</v>
      </c>
      <c r="N102" s="26" t="n">
        <v>0</v>
      </c>
      <c r="O102" s="26" t="n">
        <v>0</v>
      </c>
      <c r="P102" s="26" t="n">
        <v>0</v>
      </c>
      <c r="Q102" s="26" t="n">
        <v>0</v>
      </c>
      <c r="R102" s="26" t="n">
        <v>0</v>
      </c>
      <c r="S102" s="26" t="n">
        <v>0</v>
      </c>
      <c r="T102" s="26" t="n">
        <v>0</v>
      </c>
      <c r="U102" s="26" t="n">
        <v>0</v>
      </c>
    </row>
    <row r="103" customFormat="false" ht="15" hidden="false" customHeight="true" outlineLevel="0" collapsed="false">
      <c r="A103" s="8" t="s">
        <v>407</v>
      </c>
      <c r="B103" s="8" t="s">
        <v>137</v>
      </c>
      <c r="C103" s="8" t="s">
        <v>512</v>
      </c>
      <c r="D103" s="26" t="n">
        <v>0</v>
      </c>
      <c r="E103" s="26" t="n">
        <v>0</v>
      </c>
      <c r="F103" s="26" t="n">
        <v>1981.8</v>
      </c>
      <c r="G103" s="26" t="n">
        <v>0</v>
      </c>
      <c r="H103" s="26" t="n">
        <v>0</v>
      </c>
      <c r="I103" s="26" t="n">
        <v>6240</v>
      </c>
      <c r="J103" s="26" t="n">
        <v>0</v>
      </c>
      <c r="K103" s="26" t="n">
        <v>0</v>
      </c>
      <c r="L103" s="26" t="n">
        <v>0</v>
      </c>
      <c r="M103" s="26" t="n">
        <v>0</v>
      </c>
      <c r="N103" s="26" t="n">
        <v>0</v>
      </c>
      <c r="O103" s="26" t="n">
        <v>0</v>
      </c>
      <c r="P103" s="26" t="n">
        <v>-192</v>
      </c>
      <c r="Q103" s="26" t="n">
        <v>0</v>
      </c>
      <c r="R103" s="26" t="n">
        <v>6432</v>
      </c>
      <c r="S103" s="26" t="n">
        <v>0</v>
      </c>
      <c r="T103" s="26" t="n">
        <v>0</v>
      </c>
      <c r="U103" s="26" t="n">
        <v>0</v>
      </c>
    </row>
    <row r="104" customFormat="false" ht="15" hidden="false" customHeight="true" outlineLevel="0" collapsed="false">
      <c r="A104" s="8" t="s">
        <v>407</v>
      </c>
      <c r="B104" s="8" t="s">
        <v>172</v>
      </c>
      <c r="C104" s="8" t="s">
        <v>513</v>
      </c>
      <c r="D104" s="26" t="n">
        <v>0</v>
      </c>
      <c r="E104" s="26" t="n">
        <v>0</v>
      </c>
      <c r="F104" s="26" t="n">
        <v>1093</v>
      </c>
      <c r="G104" s="26" t="n">
        <v>0</v>
      </c>
      <c r="H104" s="26" t="n">
        <v>0</v>
      </c>
      <c r="I104" s="26" t="n">
        <v>0</v>
      </c>
      <c r="J104" s="26" t="n">
        <v>0</v>
      </c>
      <c r="K104" s="26" t="n">
        <v>0</v>
      </c>
      <c r="L104" s="26" t="n">
        <v>0</v>
      </c>
      <c r="M104" s="26" t="n">
        <v>0</v>
      </c>
      <c r="N104" s="26" t="n">
        <v>0</v>
      </c>
      <c r="O104" s="26" t="n">
        <v>0</v>
      </c>
      <c r="P104" s="26" t="n">
        <v>0</v>
      </c>
      <c r="Q104" s="26" t="n">
        <v>0</v>
      </c>
      <c r="R104" s="26" t="n">
        <v>0</v>
      </c>
      <c r="S104" s="26" t="n">
        <v>0</v>
      </c>
      <c r="T104" s="26" t="n">
        <v>0</v>
      </c>
      <c r="U104" s="26" t="n">
        <v>0</v>
      </c>
    </row>
    <row r="105" customFormat="false" ht="15" hidden="false" customHeight="true" outlineLevel="0" collapsed="false">
      <c r="A105" s="8" t="s">
        <v>407</v>
      </c>
      <c r="B105" s="8" t="s">
        <v>172</v>
      </c>
      <c r="C105" s="8" t="s">
        <v>514</v>
      </c>
      <c r="D105" s="26" t="n">
        <v>0</v>
      </c>
      <c r="E105" s="26" t="n">
        <v>0</v>
      </c>
      <c r="F105" s="26" t="n">
        <v>1113.6</v>
      </c>
      <c r="G105" s="26" t="n">
        <v>0</v>
      </c>
      <c r="H105" s="26" t="n">
        <v>0</v>
      </c>
      <c r="I105" s="26" t="n">
        <v>0</v>
      </c>
      <c r="J105" s="26" t="n">
        <v>0</v>
      </c>
      <c r="K105" s="26" t="n">
        <v>0</v>
      </c>
      <c r="L105" s="26" t="n">
        <v>0</v>
      </c>
      <c r="M105" s="26" t="n">
        <v>0</v>
      </c>
      <c r="N105" s="26" t="n">
        <v>0</v>
      </c>
      <c r="O105" s="26" t="n">
        <v>0</v>
      </c>
      <c r="P105" s="26" t="n">
        <v>0</v>
      </c>
      <c r="Q105" s="26" t="n">
        <v>0</v>
      </c>
      <c r="R105" s="26" t="n">
        <v>0</v>
      </c>
      <c r="S105" s="26" t="n">
        <v>0</v>
      </c>
      <c r="T105" s="26" t="n">
        <v>0</v>
      </c>
      <c r="U105" s="26" t="n">
        <v>0</v>
      </c>
    </row>
    <row r="106" customFormat="false" ht="15" hidden="false" customHeight="true" outlineLevel="0" collapsed="false">
      <c r="A106" s="8" t="s">
        <v>407</v>
      </c>
      <c r="B106" s="8" t="s">
        <v>266</v>
      </c>
      <c r="C106" s="8" t="s">
        <v>518</v>
      </c>
      <c r="D106" s="26" t="n">
        <v>0</v>
      </c>
      <c r="E106" s="26" t="n">
        <v>0</v>
      </c>
      <c r="F106" s="26" t="n">
        <v>0</v>
      </c>
      <c r="G106" s="26" t="n">
        <v>0</v>
      </c>
      <c r="H106" s="26" t="n">
        <v>0</v>
      </c>
      <c r="I106" s="26" t="n">
        <v>104.7</v>
      </c>
      <c r="J106" s="26" t="n">
        <v>0</v>
      </c>
      <c r="K106" s="26" t="n">
        <v>0</v>
      </c>
      <c r="L106" s="26" t="n">
        <v>0</v>
      </c>
      <c r="M106" s="26" t="n">
        <v>0</v>
      </c>
      <c r="N106" s="26" t="n">
        <v>0</v>
      </c>
      <c r="O106" s="26" t="n">
        <v>0</v>
      </c>
      <c r="P106" s="26" t="n">
        <v>0</v>
      </c>
      <c r="Q106" s="26" t="n">
        <v>104.7</v>
      </c>
      <c r="R106" s="26" t="n">
        <v>0</v>
      </c>
      <c r="S106" s="26" t="n">
        <v>0</v>
      </c>
      <c r="T106" s="26" t="n">
        <v>0</v>
      </c>
      <c r="U106" s="26" t="n">
        <v>0</v>
      </c>
    </row>
    <row r="107" customFormat="false" ht="15" hidden="false" customHeight="true" outlineLevel="0" collapsed="false">
      <c r="A107" s="8" t="s">
        <v>407</v>
      </c>
      <c r="B107" s="8" t="s">
        <v>266</v>
      </c>
      <c r="C107" s="8" t="s">
        <v>520</v>
      </c>
      <c r="D107" s="26" t="n">
        <v>0</v>
      </c>
      <c r="E107" s="26" t="n">
        <v>0</v>
      </c>
      <c r="F107" s="26" t="n">
        <v>135.9</v>
      </c>
      <c r="G107" s="26" t="n">
        <v>0</v>
      </c>
      <c r="H107" s="26" t="n">
        <v>0</v>
      </c>
      <c r="I107" s="26" t="n">
        <v>0</v>
      </c>
      <c r="J107" s="26" t="n">
        <v>0</v>
      </c>
      <c r="K107" s="26" t="n">
        <v>0</v>
      </c>
      <c r="L107" s="26" t="n">
        <v>0</v>
      </c>
      <c r="M107" s="26" t="n">
        <v>0</v>
      </c>
      <c r="N107" s="26" t="n">
        <v>0</v>
      </c>
      <c r="O107" s="26" t="n">
        <v>0</v>
      </c>
      <c r="P107" s="26" t="n">
        <v>0</v>
      </c>
      <c r="Q107" s="26" t="n">
        <v>0</v>
      </c>
      <c r="R107" s="26" t="n">
        <v>0</v>
      </c>
      <c r="S107" s="26" t="n">
        <v>0</v>
      </c>
      <c r="T107" s="26" t="n">
        <v>0</v>
      </c>
      <c r="U107" s="26" t="n">
        <v>0</v>
      </c>
    </row>
    <row r="108" customFormat="false" ht="15" hidden="false" customHeight="true" outlineLevel="0" collapsed="false">
      <c r="A108" s="8" t="s">
        <v>407</v>
      </c>
      <c r="B108" s="8" t="s">
        <v>266</v>
      </c>
      <c r="C108" s="8" t="s">
        <v>521</v>
      </c>
      <c r="D108" s="26" t="n">
        <v>0</v>
      </c>
      <c r="E108" s="26" t="n">
        <v>0</v>
      </c>
      <c r="F108" s="26" t="n">
        <v>0</v>
      </c>
      <c r="G108" s="26" t="n">
        <v>0</v>
      </c>
      <c r="H108" s="26" t="n">
        <v>0</v>
      </c>
      <c r="I108" s="26" t="n">
        <v>-5.5</v>
      </c>
      <c r="J108" s="26" t="n">
        <v>0</v>
      </c>
      <c r="K108" s="26" t="n">
        <v>0</v>
      </c>
      <c r="L108" s="26" t="n">
        <v>0</v>
      </c>
      <c r="M108" s="26" t="n">
        <v>0</v>
      </c>
      <c r="N108" s="26" t="n">
        <v>0</v>
      </c>
      <c r="O108" s="26" t="n">
        <v>0</v>
      </c>
      <c r="P108" s="26" t="n">
        <v>0</v>
      </c>
      <c r="Q108" s="26" t="n">
        <v>-5.5</v>
      </c>
      <c r="R108" s="26" t="n">
        <v>0</v>
      </c>
      <c r="S108" s="26" t="n">
        <v>0</v>
      </c>
      <c r="T108" s="26" t="n">
        <v>0</v>
      </c>
      <c r="U108" s="26" t="n">
        <v>0</v>
      </c>
    </row>
    <row r="109" customFormat="false" ht="15" hidden="false" customHeight="true" outlineLevel="0" collapsed="false">
      <c r="A109" s="8" t="s">
        <v>407</v>
      </c>
      <c r="B109" s="8" t="s">
        <v>266</v>
      </c>
      <c r="C109" s="8" t="s">
        <v>522</v>
      </c>
      <c r="D109" s="26" t="n">
        <v>0</v>
      </c>
      <c r="E109" s="26" t="n">
        <v>0</v>
      </c>
      <c r="F109" s="26" t="n">
        <v>135.9</v>
      </c>
      <c r="G109" s="26" t="n">
        <v>0</v>
      </c>
      <c r="H109" s="26" t="n">
        <v>0</v>
      </c>
      <c r="I109" s="26" t="n">
        <v>355.9</v>
      </c>
      <c r="J109" s="26" t="n">
        <v>0</v>
      </c>
      <c r="K109" s="26" t="n">
        <v>0</v>
      </c>
      <c r="L109" s="26" t="n">
        <v>0</v>
      </c>
      <c r="M109" s="26" t="n">
        <v>0</v>
      </c>
      <c r="N109" s="26" t="n">
        <v>0</v>
      </c>
      <c r="O109" s="26" t="n">
        <v>0</v>
      </c>
      <c r="P109" s="26" t="n">
        <v>0</v>
      </c>
      <c r="Q109" s="26" t="n">
        <v>0</v>
      </c>
      <c r="R109" s="26" t="n">
        <v>355.9</v>
      </c>
      <c r="S109" s="26" t="n">
        <v>0</v>
      </c>
      <c r="T109" s="26" t="n">
        <v>0</v>
      </c>
      <c r="U109" s="26" t="n">
        <v>0</v>
      </c>
    </row>
    <row r="110" customFormat="false" ht="15" hidden="false" customHeight="true" outlineLevel="0" collapsed="false">
      <c r="A110" s="8" t="s">
        <v>407</v>
      </c>
      <c r="B110" s="8" t="s">
        <v>226</v>
      </c>
      <c r="C110" s="8" t="s">
        <v>523</v>
      </c>
      <c r="D110" s="26" t="n">
        <v>0</v>
      </c>
      <c r="E110" s="26" t="n">
        <v>0</v>
      </c>
      <c r="F110" s="26" t="n">
        <v>0</v>
      </c>
      <c r="G110" s="26" t="n">
        <v>0</v>
      </c>
      <c r="H110" s="26" t="n">
        <v>0</v>
      </c>
      <c r="I110" s="26" t="n">
        <v>1618.3</v>
      </c>
      <c r="J110" s="26" t="n">
        <v>0</v>
      </c>
      <c r="K110" s="26" t="n">
        <v>145.6</v>
      </c>
      <c r="L110" s="26" t="n">
        <v>0</v>
      </c>
      <c r="M110" s="26" t="n">
        <v>0</v>
      </c>
      <c r="N110" s="26" t="n">
        <v>0</v>
      </c>
      <c r="O110" s="26" t="n">
        <v>0</v>
      </c>
      <c r="P110" s="26" t="n">
        <v>-291.1</v>
      </c>
      <c r="Q110" s="26" t="n">
        <v>-128.4</v>
      </c>
      <c r="R110" s="26" t="n">
        <v>1892.3</v>
      </c>
      <c r="S110" s="26" t="n">
        <v>0</v>
      </c>
      <c r="T110" s="26" t="n">
        <v>0</v>
      </c>
      <c r="U110" s="26" t="n">
        <v>0</v>
      </c>
    </row>
    <row r="111" customFormat="false" ht="15" hidden="false" customHeight="true" outlineLevel="0" collapsed="false">
      <c r="A111" s="8" t="s">
        <v>407</v>
      </c>
      <c r="B111" s="8" t="s">
        <v>226</v>
      </c>
      <c r="C111" s="8" t="s">
        <v>524</v>
      </c>
      <c r="D111" s="26" t="n">
        <v>0</v>
      </c>
      <c r="E111" s="26" t="n">
        <v>0</v>
      </c>
      <c r="F111" s="26" t="n">
        <v>31.4</v>
      </c>
      <c r="G111" s="26" t="n">
        <v>0</v>
      </c>
      <c r="H111" s="26" t="n">
        <v>0</v>
      </c>
      <c r="I111" s="26" t="n">
        <v>5115.4</v>
      </c>
      <c r="J111" s="26" t="n">
        <v>0</v>
      </c>
      <c r="K111" s="26" t="n">
        <v>145.6</v>
      </c>
      <c r="L111" s="26" t="n">
        <v>0</v>
      </c>
      <c r="M111" s="26" t="n">
        <v>0</v>
      </c>
      <c r="N111" s="26" t="n">
        <v>0</v>
      </c>
      <c r="O111" s="26" t="n">
        <v>0</v>
      </c>
      <c r="P111" s="26" t="n">
        <v>-291.1</v>
      </c>
      <c r="Q111" s="26" t="n">
        <v>1185.2</v>
      </c>
      <c r="R111" s="26" t="n">
        <v>4075.7</v>
      </c>
      <c r="S111" s="26" t="n">
        <v>0</v>
      </c>
      <c r="T111" s="26" t="n">
        <v>107.1</v>
      </c>
      <c r="U111" s="26" t="n">
        <v>0</v>
      </c>
    </row>
    <row r="112" customFormat="false" ht="15" hidden="false" customHeight="true" outlineLevel="0" collapsed="false">
      <c r="A112" s="8" t="s">
        <v>407</v>
      </c>
      <c r="B112" s="8" t="s">
        <v>226</v>
      </c>
      <c r="C112" s="8" t="s">
        <v>525</v>
      </c>
      <c r="D112" s="26" t="n">
        <v>0</v>
      </c>
      <c r="E112" s="26" t="n">
        <v>0</v>
      </c>
      <c r="F112" s="26" t="n">
        <v>920.9</v>
      </c>
      <c r="G112" s="26" t="n">
        <v>0</v>
      </c>
      <c r="H112" s="26" t="n">
        <v>0</v>
      </c>
      <c r="I112" s="26" t="n">
        <v>10193.3</v>
      </c>
      <c r="J112" s="26" t="n">
        <v>0</v>
      </c>
      <c r="K112" s="26" t="n">
        <v>0</v>
      </c>
      <c r="L112" s="26" t="n">
        <v>0</v>
      </c>
      <c r="M112" s="26" t="n">
        <v>0</v>
      </c>
      <c r="N112" s="26" t="n">
        <v>0</v>
      </c>
      <c r="O112" s="26" t="n">
        <v>0</v>
      </c>
      <c r="P112" s="26" t="n">
        <v>-291.1</v>
      </c>
      <c r="Q112" s="26" t="n">
        <v>3060.8</v>
      </c>
      <c r="R112" s="26" t="n">
        <v>7423.6</v>
      </c>
      <c r="S112" s="26" t="n">
        <v>0</v>
      </c>
      <c r="T112" s="26" t="n">
        <v>1017.3</v>
      </c>
      <c r="U112" s="26" t="n">
        <v>0</v>
      </c>
    </row>
    <row r="113" customFormat="false" ht="15" hidden="false" customHeight="true" outlineLevel="0" collapsed="false">
      <c r="A113" s="8" t="s">
        <v>407</v>
      </c>
      <c r="B113" s="8" t="s">
        <v>226</v>
      </c>
      <c r="C113" s="8" t="s">
        <v>526</v>
      </c>
      <c r="D113" s="26" t="n">
        <v>0</v>
      </c>
      <c r="E113" s="26" t="n">
        <v>0</v>
      </c>
      <c r="F113" s="26" t="n">
        <v>1726.7</v>
      </c>
      <c r="G113" s="26" t="n">
        <v>0</v>
      </c>
      <c r="H113" s="26" t="n">
        <v>0</v>
      </c>
      <c r="I113" s="26" t="n">
        <v>11510.1</v>
      </c>
      <c r="J113" s="26" t="n">
        <v>0</v>
      </c>
      <c r="K113" s="26" t="n">
        <v>582.2</v>
      </c>
      <c r="L113" s="26" t="n">
        <v>0</v>
      </c>
      <c r="M113" s="26" t="n">
        <v>0</v>
      </c>
      <c r="N113" s="26" t="n">
        <v>0</v>
      </c>
      <c r="O113" s="26" t="n">
        <v>0</v>
      </c>
      <c r="P113" s="26" t="n">
        <v>-436.7</v>
      </c>
      <c r="Q113" s="26" t="n">
        <v>2922</v>
      </c>
      <c r="R113" s="26" t="n">
        <v>8442.5</v>
      </c>
      <c r="S113" s="26" t="n">
        <v>0</v>
      </c>
      <c r="T113" s="26" t="n">
        <v>401.6</v>
      </c>
      <c r="U113" s="26" t="n">
        <v>0</v>
      </c>
    </row>
    <row r="114" customFormat="false" ht="15" hidden="false" customHeight="true" outlineLevel="0" collapsed="false">
      <c r="A114" s="8" t="s">
        <v>407</v>
      </c>
      <c r="B114" s="8" t="s">
        <v>226</v>
      </c>
      <c r="C114" s="8" t="s">
        <v>527</v>
      </c>
      <c r="D114" s="26" t="n">
        <v>0</v>
      </c>
      <c r="E114" s="26" t="n">
        <v>0</v>
      </c>
      <c r="F114" s="26" t="n">
        <v>763.9</v>
      </c>
      <c r="G114" s="26" t="n">
        <v>0</v>
      </c>
      <c r="H114" s="26" t="n">
        <v>0</v>
      </c>
      <c r="I114" s="26" t="n">
        <v>17550.7</v>
      </c>
      <c r="J114" s="26" t="n">
        <v>0</v>
      </c>
      <c r="K114" s="26" t="n">
        <v>145.6</v>
      </c>
      <c r="L114" s="26" t="n">
        <v>0</v>
      </c>
      <c r="M114" s="26" t="n">
        <v>0</v>
      </c>
      <c r="N114" s="26" t="n">
        <v>0</v>
      </c>
      <c r="O114" s="26" t="n">
        <v>0</v>
      </c>
      <c r="P114" s="26" t="n">
        <v>-727.8</v>
      </c>
      <c r="Q114" s="26" t="n">
        <v>5469.3</v>
      </c>
      <c r="R114" s="26" t="n">
        <v>12663.7</v>
      </c>
      <c r="S114" s="26" t="n">
        <v>0</v>
      </c>
      <c r="T114" s="26" t="n">
        <v>642.5</v>
      </c>
      <c r="U114" s="26" t="n">
        <v>0</v>
      </c>
    </row>
    <row r="115" customFormat="false" ht="15" hidden="false" customHeight="true" outlineLevel="0" collapsed="false">
      <c r="A115" s="8" t="s">
        <v>407</v>
      </c>
      <c r="B115" s="8" t="s">
        <v>221</v>
      </c>
      <c r="C115" s="8" t="s">
        <v>530</v>
      </c>
      <c r="D115" s="26" t="n">
        <v>0</v>
      </c>
      <c r="E115" s="26" t="n">
        <v>0</v>
      </c>
      <c r="F115" s="26" t="n">
        <v>0</v>
      </c>
      <c r="G115" s="26" t="n">
        <v>0</v>
      </c>
      <c r="H115" s="26" t="n">
        <v>0</v>
      </c>
      <c r="I115" s="26" t="n">
        <v>-135</v>
      </c>
      <c r="J115" s="26" t="n">
        <v>0</v>
      </c>
      <c r="K115" s="26" t="n">
        <v>0</v>
      </c>
      <c r="L115" s="26" t="n">
        <v>0</v>
      </c>
      <c r="M115" s="26" t="n">
        <v>0</v>
      </c>
      <c r="N115" s="26" t="n">
        <v>0</v>
      </c>
      <c r="O115" s="26" t="n">
        <v>0</v>
      </c>
      <c r="P115" s="26" t="n">
        <v>0</v>
      </c>
      <c r="Q115" s="26" t="n">
        <v>-135</v>
      </c>
      <c r="R115" s="26" t="n">
        <v>0</v>
      </c>
      <c r="S115" s="26" t="n">
        <v>0</v>
      </c>
      <c r="T115" s="26" t="n">
        <v>0</v>
      </c>
      <c r="U115" s="26" t="n">
        <v>0</v>
      </c>
    </row>
    <row r="116" customFormat="false" ht="15" hidden="false" customHeight="true" outlineLevel="0" collapsed="false">
      <c r="A116" s="8" t="s">
        <v>407</v>
      </c>
      <c r="B116" s="8" t="s">
        <v>221</v>
      </c>
      <c r="C116" s="8" t="s">
        <v>531</v>
      </c>
      <c r="D116" s="26" t="n">
        <v>0</v>
      </c>
      <c r="E116" s="26" t="n">
        <v>0</v>
      </c>
      <c r="F116" s="26" t="n">
        <v>157</v>
      </c>
      <c r="G116" s="26" t="n">
        <v>0</v>
      </c>
      <c r="H116" s="26" t="n">
        <v>0</v>
      </c>
      <c r="I116" s="26" t="n">
        <v>0</v>
      </c>
      <c r="J116" s="26" t="n">
        <v>0</v>
      </c>
      <c r="K116" s="26" t="n">
        <v>0</v>
      </c>
      <c r="L116" s="26" t="n">
        <v>0</v>
      </c>
      <c r="M116" s="26" t="n">
        <v>0</v>
      </c>
      <c r="N116" s="26" t="n">
        <v>0</v>
      </c>
      <c r="O116" s="26" t="n">
        <v>0</v>
      </c>
      <c r="P116" s="26" t="n">
        <v>0</v>
      </c>
      <c r="Q116" s="26" t="n">
        <v>0</v>
      </c>
      <c r="R116" s="26" t="n">
        <v>0</v>
      </c>
      <c r="S116" s="26" t="n">
        <v>0</v>
      </c>
      <c r="T116" s="26" t="n">
        <v>0</v>
      </c>
      <c r="U116" s="26" t="n">
        <v>0</v>
      </c>
    </row>
    <row r="117" customFormat="false" ht="15" hidden="false" customHeight="true" outlineLevel="0" collapsed="false">
      <c r="A117" s="8" t="s">
        <v>407</v>
      </c>
      <c r="B117" s="8" t="s">
        <v>221</v>
      </c>
      <c r="C117" s="8" t="s">
        <v>532</v>
      </c>
      <c r="D117" s="26" t="n">
        <v>0</v>
      </c>
      <c r="E117" s="26" t="n">
        <v>0</v>
      </c>
      <c r="F117" s="26" t="n">
        <v>157</v>
      </c>
      <c r="G117" s="26" t="n">
        <v>0</v>
      </c>
      <c r="H117" s="26" t="n">
        <v>0</v>
      </c>
      <c r="I117" s="26" t="n">
        <v>0</v>
      </c>
      <c r="J117" s="26" t="n">
        <v>0</v>
      </c>
      <c r="K117" s="26" t="n">
        <v>0</v>
      </c>
      <c r="L117" s="26" t="n">
        <v>0</v>
      </c>
      <c r="M117" s="26" t="n">
        <v>0</v>
      </c>
      <c r="N117" s="26" t="n">
        <v>0</v>
      </c>
      <c r="O117" s="26" t="n">
        <v>0</v>
      </c>
      <c r="P117" s="26" t="n">
        <v>0</v>
      </c>
      <c r="Q117" s="26" t="n">
        <v>0</v>
      </c>
      <c r="R117" s="26" t="n">
        <v>0</v>
      </c>
      <c r="S117" s="26" t="n">
        <v>0</v>
      </c>
      <c r="T117" s="26" t="n">
        <v>0</v>
      </c>
      <c r="U117" s="26" t="n">
        <v>0</v>
      </c>
    </row>
    <row r="118" customFormat="false" ht="15" hidden="false" customHeight="true" outlineLevel="0" collapsed="false">
      <c r="A118" s="8" t="s">
        <v>407</v>
      </c>
      <c r="B118" s="8" t="s">
        <v>121</v>
      </c>
      <c r="C118" s="8" t="s">
        <v>533</v>
      </c>
      <c r="D118" s="26" t="n">
        <v>0</v>
      </c>
      <c r="E118" s="26" t="n">
        <v>0</v>
      </c>
      <c r="F118" s="26" t="n">
        <v>3634.2</v>
      </c>
      <c r="G118" s="26" t="n">
        <v>0</v>
      </c>
      <c r="H118" s="26" t="n">
        <v>101.5</v>
      </c>
      <c r="I118" s="26" t="n">
        <v>3644.6</v>
      </c>
      <c r="J118" s="26" t="n">
        <v>0</v>
      </c>
      <c r="K118" s="26" t="n">
        <v>0</v>
      </c>
      <c r="L118" s="26" t="n">
        <v>0</v>
      </c>
      <c r="M118" s="26" t="n">
        <v>0</v>
      </c>
      <c r="N118" s="26" t="n">
        <v>0</v>
      </c>
      <c r="O118" s="26" t="n">
        <v>0</v>
      </c>
      <c r="P118" s="26" t="n">
        <v>0</v>
      </c>
      <c r="Q118" s="26" t="n">
        <v>3644.6</v>
      </c>
      <c r="R118" s="26" t="n">
        <v>0</v>
      </c>
      <c r="S118" s="26" t="n">
        <v>0</v>
      </c>
      <c r="T118" s="26" t="n">
        <v>2193.8</v>
      </c>
      <c r="U118" s="26" t="n">
        <v>0</v>
      </c>
    </row>
    <row r="119" customFormat="false" ht="15" hidden="false" customHeight="true" outlineLevel="0" collapsed="false">
      <c r="A119" s="8" t="s">
        <v>407</v>
      </c>
      <c r="B119" s="8" t="s">
        <v>105</v>
      </c>
      <c r="C119" s="8" t="s">
        <v>534</v>
      </c>
      <c r="D119" s="26" t="n">
        <v>0</v>
      </c>
      <c r="E119" s="26" t="n">
        <v>0</v>
      </c>
      <c r="F119" s="26" t="n">
        <v>6254.8</v>
      </c>
      <c r="G119" s="26" t="n">
        <v>0</v>
      </c>
      <c r="H119" s="26" t="n">
        <v>0</v>
      </c>
      <c r="I119" s="26" t="n">
        <v>8230.7</v>
      </c>
      <c r="J119" s="26" t="n">
        <v>0</v>
      </c>
      <c r="K119" s="26" t="n">
        <v>0</v>
      </c>
      <c r="L119" s="26" t="n">
        <v>0</v>
      </c>
      <c r="M119" s="26" t="n">
        <v>0</v>
      </c>
      <c r="N119" s="26" t="n">
        <v>0</v>
      </c>
      <c r="O119" s="26" t="n">
        <v>0</v>
      </c>
      <c r="P119" s="26" t="n">
        <v>0</v>
      </c>
      <c r="Q119" s="26" t="n">
        <v>8230.7</v>
      </c>
      <c r="R119" s="26" t="n">
        <v>0</v>
      </c>
      <c r="S119" s="26" t="n">
        <v>0</v>
      </c>
      <c r="T119" s="26" t="n">
        <v>4241.3</v>
      </c>
      <c r="U119" s="26" t="n">
        <v>0</v>
      </c>
    </row>
    <row r="120" customFormat="false" ht="15" hidden="false" customHeight="true" outlineLevel="0" collapsed="false">
      <c r="A120" s="8" t="s">
        <v>407</v>
      </c>
      <c r="B120" s="8" t="s">
        <v>232</v>
      </c>
      <c r="C120" s="8" t="s">
        <v>535</v>
      </c>
      <c r="D120" s="26" t="n">
        <v>0</v>
      </c>
      <c r="E120" s="26" t="n">
        <v>0</v>
      </c>
      <c r="F120" s="26" t="n">
        <v>774.8</v>
      </c>
      <c r="G120" s="26" t="n">
        <v>0</v>
      </c>
      <c r="H120" s="26" t="n">
        <v>0</v>
      </c>
      <c r="I120" s="26" t="n">
        <v>2399.3</v>
      </c>
      <c r="J120" s="26" t="n">
        <v>0</v>
      </c>
      <c r="K120" s="26" t="n">
        <v>0</v>
      </c>
      <c r="L120" s="26" t="n">
        <v>0</v>
      </c>
      <c r="M120" s="26" t="n">
        <v>0</v>
      </c>
      <c r="N120" s="26" t="n">
        <v>0</v>
      </c>
      <c r="O120" s="26" t="n">
        <v>0</v>
      </c>
      <c r="P120" s="26" t="n">
        <v>0</v>
      </c>
      <c r="Q120" s="26" t="n">
        <v>1896.4</v>
      </c>
      <c r="R120" s="26" t="n">
        <v>502.9</v>
      </c>
      <c r="S120" s="26" t="n">
        <v>0</v>
      </c>
      <c r="T120" s="26" t="n">
        <v>480</v>
      </c>
      <c r="U120" s="26" t="n">
        <v>0</v>
      </c>
    </row>
    <row r="121" customFormat="false" ht="15" hidden="false" customHeight="true" outlineLevel="0" collapsed="false">
      <c r="A121" s="8" t="s">
        <v>407</v>
      </c>
      <c r="B121" s="8" t="s">
        <v>82</v>
      </c>
      <c r="C121" s="8" t="s">
        <v>536</v>
      </c>
      <c r="D121" s="26" t="n">
        <v>0</v>
      </c>
      <c r="E121" s="26" t="n">
        <v>0</v>
      </c>
      <c r="F121" s="26" t="n">
        <v>68622.4</v>
      </c>
      <c r="G121" s="26" t="n">
        <v>0</v>
      </c>
      <c r="H121" s="26" t="n">
        <v>0</v>
      </c>
      <c r="I121" s="26" t="n">
        <v>2408.6</v>
      </c>
      <c r="J121" s="26" t="n">
        <v>0</v>
      </c>
      <c r="K121" s="26" t="n">
        <v>348.2</v>
      </c>
      <c r="L121" s="26" t="n">
        <v>0</v>
      </c>
      <c r="M121" s="26" t="n">
        <v>468.5</v>
      </c>
      <c r="N121" s="26" t="n">
        <v>0</v>
      </c>
      <c r="O121" s="26" t="n">
        <v>373.1</v>
      </c>
      <c r="P121" s="26" t="n">
        <v>0</v>
      </c>
      <c r="Q121" s="26" t="n">
        <v>0</v>
      </c>
      <c r="R121" s="26" t="n">
        <v>1218.8</v>
      </c>
      <c r="S121" s="26" t="n">
        <v>0</v>
      </c>
      <c r="T121" s="26" t="n">
        <v>0</v>
      </c>
      <c r="U121" s="26" t="n">
        <v>0</v>
      </c>
    </row>
    <row r="122" customFormat="false" ht="15" hidden="false" customHeight="true" outlineLevel="0" collapsed="false">
      <c r="A122" s="8" t="s">
        <v>407</v>
      </c>
      <c r="B122" s="8" t="s">
        <v>140</v>
      </c>
      <c r="C122" s="8" t="s">
        <v>537</v>
      </c>
      <c r="D122" s="26" t="n">
        <v>0</v>
      </c>
      <c r="E122" s="26" t="n">
        <v>0</v>
      </c>
      <c r="F122" s="26" t="n">
        <v>10810.9</v>
      </c>
      <c r="G122" s="26" t="n">
        <v>0</v>
      </c>
      <c r="H122" s="26" t="n">
        <v>0</v>
      </c>
      <c r="I122" s="26" t="n">
        <v>150.5</v>
      </c>
      <c r="J122" s="26" t="n">
        <v>0</v>
      </c>
      <c r="K122" s="26" t="n">
        <v>0</v>
      </c>
      <c r="L122" s="26" t="n">
        <v>0</v>
      </c>
      <c r="M122" s="26" t="n">
        <v>0</v>
      </c>
      <c r="N122" s="26" t="n">
        <v>0</v>
      </c>
      <c r="O122" s="26" t="n">
        <v>150.5</v>
      </c>
      <c r="P122" s="26" t="n">
        <v>0</v>
      </c>
      <c r="Q122" s="26" t="n">
        <v>0</v>
      </c>
      <c r="R122" s="26" t="n">
        <v>0</v>
      </c>
      <c r="S122" s="26" t="n">
        <v>0</v>
      </c>
      <c r="T122" s="26" t="n">
        <v>0</v>
      </c>
      <c r="U122" s="26" t="n">
        <v>0</v>
      </c>
    </row>
    <row r="123" customFormat="false" ht="15" hidden="false" customHeight="true" outlineLevel="0" collapsed="false">
      <c r="A123" s="8" t="s">
        <v>407</v>
      </c>
      <c r="B123" s="8" t="s">
        <v>102</v>
      </c>
      <c r="C123" s="8" t="s">
        <v>538</v>
      </c>
      <c r="D123" s="26" t="n">
        <v>0</v>
      </c>
      <c r="E123" s="26" t="n">
        <v>0</v>
      </c>
      <c r="F123" s="26" t="n">
        <v>26554.8</v>
      </c>
      <c r="G123" s="26" t="n">
        <v>0</v>
      </c>
      <c r="H123" s="26" t="n">
        <v>0</v>
      </c>
      <c r="I123" s="26" t="n">
        <v>1458.9</v>
      </c>
      <c r="J123" s="26" t="n">
        <v>0</v>
      </c>
      <c r="K123" s="26" t="n">
        <v>0</v>
      </c>
      <c r="L123" s="26" t="n">
        <v>0</v>
      </c>
      <c r="M123" s="26" t="n">
        <v>262.2</v>
      </c>
      <c r="N123" s="26" t="n">
        <v>74.9</v>
      </c>
      <c r="O123" s="26" t="n">
        <v>0</v>
      </c>
      <c r="P123" s="26" t="n">
        <v>0</v>
      </c>
      <c r="Q123" s="26" t="n">
        <v>0</v>
      </c>
      <c r="R123" s="26" t="n">
        <v>1121.9</v>
      </c>
      <c r="S123" s="26" t="n">
        <v>0</v>
      </c>
      <c r="T123" s="26" t="n">
        <v>0</v>
      </c>
      <c r="U123" s="26" t="n">
        <v>0</v>
      </c>
    </row>
    <row r="124" customFormat="false" ht="15" hidden="false" customHeight="true" outlineLevel="0" collapsed="false">
      <c r="A124" s="8" t="s">
        <v>407</v>
      </c>
      <c r="B124" s="8" t="s">
        <v>162</v>
      </c>
      <c r="C124" s="8" t="s">
        <v>539</v>
      </c>
      <c r="D124" s="26" t="n">
        <v>0</v>
      </c>
      <c r="E124" s="26" t="n">
        <v>0</v>
      </c>
      <c r="F124" s="26" t="n">
        <v>11905.6</v>
      </c>
      <c r="G124" s="26" t="n">
        <v>0</v>
      </c>
      <c r="H124" s="26" t="n">
        <v>0</v>
      </c>
      <c r="I124" s="26" t="n">
        <v>19060.4</v>
      </c>
      <c r="J124" s="26" t="n">
        <v>0</v>
      </c>
      <c r="K124" s="26" t="n">
        <v>547.8</v>
      </c>
      <c r="L124" s="26" t="n">
        <v>0</v>
      </c>
      <c r="M124" s="26" t="n">
        <v>0</v>
      </c>
      <c r="N124" s="26" t="n">
        <v>0</v>
      </c>
      <c r="O124" s="26" t="n">
        <v>101.1</v>
      </c>
      <c r="P124" s="26" t="n">
        <v>0</v>
      </c>
      <c r="Q124" s="26" t="n">
        <v>15737.5</v>
      </c>
      <c r="R124" s="26" t="n">
        <v>2674.1</v>
      </c>
      <c r="S124" s="26" t="n">
        <v>0</v>
      </c>
      <c r="T124" s="26" t="n">
        <v>0</v>
      </c>
      <c r="U124" s="26" t="n">
        <v>-106.1</v>
      </c>
    </row>
    <row r="125" customFormat="false" ht="15" hidden="false" customHeight="true" outlineLevel="0" collapsed="false">
      <c r="A125" s="8" t="s">
        <v>407</v>
      </c>
      <c r="B125" s="8" t="s">
        <v>189</v>
      </c>
      <c r="C125" s="8" t="s">
        <v>533</v>
      </c>
      <c r="D125" s="26" t="n">
        <v>0</v>
      </c>
      <c r="E125" s="26" t="n">
        <v>0</v>
      </c>
      <c r="F125" s="26" t="n">
        <v>858.9</v>
      </c>
      <c r="G125" s="26" t="n">
        <v>0</v>
      </c>
      <c r="H125" s="26" t="n">
        <v>0</v>
      </c>
      <c r="I125" s="26" t="n">
        <v>314.7</v>
      </c>
      <c r="J125" s="26" t="n">
        <v>0</v>
      </c>
      <c r="K125" s="26" t="n">
        <v>0</v>
      </c>
      <c r="L125" s="26" t="n">
        <v>0</v>
      </c>
      <c r="M125" s="26" t="n">
        <v>0</v>
      </c>
      <c r="N125" s="26" t="n">
        <v>0</v>
      </c>
      <c r="O125" s="26" t="n">
        <v>0</v>
      </c>
      <c r="P125" s="26" t="n">
        <v>0</v>
      </c>
      <c r="Q125" s="26" t="n">
        <v>314.7</v>
      </c>
      <c r="R125" s="26" t="n">
        <v>0</v>
      </c>
      <c r="S125" s="26" t="n">
        <v>0</v>
      </c>
      <c r="T125" s="26" t="n">
        <v>260</v>
      </c>
      <c r="U125" s="26" t="n">
        <v>0</v>
      </c>
    </row>
    <row r="126" customFormat="false" ht="15" hidden="false" customHeight="true" outlineLevel="0" collapsed="false">
      <c r="A126" s="8" t="s">
        <v>407</v>
      </c>
      <c r="B126" s="8" t="s">
        <v>112</v>
      </c>
      <c r="C126" s="8" t="s">
        <v>533</v>
      </c>
      <c r="D126" s="26" t="n">
        <v>0</v>
      </c>
      <c r="E126" s="26" t="n">
        <v>0</v>
      </c>
      <c r="F126" s="26" t="n">
        <v>5965.9</v>
      </c>
      <c r="G126" s="26" t="n">
        <v>0</v>
      </c>
      <c r="H126" s="26" t="n">
        <v>0</v>
      </c>
      <c r="I126" s="26" t="n">
        <v>4263.8</v>
      </c>
      <c r="J126" s="26" t="n">
        <v>0</v>
      </c>
      <c r="K126" s="26" t="n">
        <v>0</v>
      </c>
      <c r="L126" s="26" t="n">
        <v>0</v>
      </c>
      <c r="M126" s="26" t="n">
        <v>0</v>
      </c>
      <c r="N126" s="26" t="n">
        <v>0</v>
      </c>
      <c r="O126" s="26" t="n">
        <v>0</v>
      </c>
      <c r="P126" s="26" t="n">
        <v>0</v>
      </c>
      <c r="Q126" s="26" t="n">
        <v>4263.8</v>
      </c>
      <c r="R126" s="26" t="n">
        <v>0</v>
      </c>
      <c r="S126" s="26" t="n">
        <v>0</v>
      </c>
      <c r="T126" s="26" t="n">
        <v>3510</v>
      </c>
      <c r="U126" s="26" t="n">
        <v>0</v>
      </c>
    </row>
    <row r="127" customFormat="false" ht="15" hidden="false" customHeight="true" outlineLevel="0" collapsed="false">
      <c r="A127" s="8" t="s">
        <v>407</v>
      </c>
      <c r="B127" s="8" t="s">
        <v>159</v>
      </c>
      <c r="C127" s="8" t="s">
        <v>540</v>
      </c>
      <c r="D127" s="26" t="n">
        <v>0</v>
      </c>
      <c r="E127" s="26" t="n">
        <v>0</v>
      </c>
      <c r="F127" s="26" t="n">
        <v>4398.9</v>
      </c>
      <c r="G127" s="26" t="n">
        <v>0</v>
      </c>
      <c r="H127" s="26" t="n">
        <v>0</v>
      </c>
      <c r="I127" s="26" t="n">
        <v>1479</v>
      </c>
      <c r="J127" s="26" t="n">
        <v>0</v>
      </c>
      <c r="K127" s="26" t="n">
        <v>248.5</v>
      </c>
      <c r="L127" s="26" t="n">
        <v>0</v>
      </c>
      <c r="M127" s="26" t="n">
        <v>0</v>
      </c>
      <c r="N127" s="26" t="n">
        <v>173.8</v>
      </c>
      <c r="O127" s="26" t="n">
        <v>46.4</v>
      </c>
      <c r="P127" s="26" t="n">
        <v>-13.1</v>
      </c>
      <c r="Q127" s="26" t="n">
        <v>-23.1</v>
      </c>
      <c r="R127" s="26" t="n">
        <v>1046.4</v>
      </c>
      <c r="S127" s="26" t="n">
        <v>0</v>
      </c>
      <c r="T127" s="26" t="n">
        <v>1250.1</v>
      </c>
      <c r="U127" s="26" t="n">
        <v>0</v>
      </c>
    </row>
    <row r="128" customFormat="false" ht="15" hidden="false" customHeight="true" outlineLevel="0" collapsed="false">
      <c r="A128" s="8" t="s">
        <v>407</v>
      </c>
      <c r="B128" s="8" t="s">
        <v>159</v>
      </c>
      <c r="C128" s="8" t="s">
        <v>541</v>
      </c>
      <c r="D128" s="26" t="n">
        <v>0</v>
      </c>
      <c r="E128" s="26" t="n">
        <v>0</v>
      </c>
      <c r="F128" s="26" t="n">
        <v>1728.6</v>
      </c>
      <c r="G128" s="26" t="n">
        <v>0</v>
      </c>
      <c r="H128" s="26" t="n">
        <v>0</v>
      </c>
      <c r="I128" s="26" t="n">
        <v>2367.2</v>
      </c>
      <c r="J128" s="26" t="n">
        <v>0</v>
      </c>
      <c r="K128" s="26" t="n">
        <v>100.8</v>
      </c>
      <c r="L128" s="26" t="n">
        <v>0</v>
      </c>
      <c r="M128" s="26" t="n">
        <v>0</v>
      </c>
      <c r="N128" s="26" t="n">
        <v>126.2</v>
      </c>
      <c r="O128" s="26" t="n">
        <v>22.4</v>
      </c>
      <c r="P128" s="26" t="n">
        <v>0</v>
      </c>
      <c r="Q128" s="26" t="n">
        <v>1401.1</v>
      </c>
      <c r="R128" s="26" t="n">
        <v>716.8</v>
      </c>
      <c r="S128" s="26" t="n">
        <v>0</v>
      </c>
      <c r="T128" s="26" t="n">
        <v>200</v>
      </c>
      <c r="U128" s="26" t="n">
        <v>-56.1</v>
      </c>
    </row>
    <row r="129" customFormat="false" ht="15" hidden="false" customHeight="true" outlineLevel="0" collapsed="false">
      <c r="A129" s="8" t="s">
        <v>407</v>
      </c>
      <c r="B129" s="8" t="s">
        <v>230</v>
      </c>
      <c r="C129" s="8" t="s">
        <v>542</v>
      </c>
      <c r="D129" s="26" t="n">
        <v>0</v>
      </c>
      <c r="E129" s="26" t="n">
        <v>0</v>
      </c>
      <c r="F129" s="26" t="n">
        <v>-113.3</v>
      </c>
      <c r="G129" s="26" t="n">
        <v>0</v>
      </c>
      <c r="H129" s="26" t="n">
        <v>0</v>
      </c>
      <c r="I129" s="26" t="n">
        <v>-249.4</v>
      </c>
      <c r="J129" s="26" t="n">
        <v>0</v>
      </c>
      <c r="K129" s="26" t="n">
        <v>0</v>
      </c>
      <c r="L129" s="26" t="n">
        <v>0</v>
      </c>
      <c r="M129" s="26" t="n">
        <v>0</v>
      </c>
      <c r="N129" s="26" t="n">
        <v>0</v>
      </c>
      <c r="O129" s="26" t="n">
        <v>0</v>
      </c>
      <c r="P129" s="26" t="n">
        <v>-191.6</v>
      </c>
      <c r="Q129" s="26" t="n">
        <v>-57.8</v>
      </c>
      <c r="R129" s="26" t="n">
        <v>0</v>
      </c>
      <c r="S129" s="26" t="n">
        <v>0</v>
      </c>
      <c r="T129" s="26" t="n">
        <v>0</v>
      </c>
      <c r="U129" s="26" t="n">
        <v>0</v>
      </c>
    </row>
    <row r="130" customFormat="false" ht="15" hidden="false" customHeight="true" outlineLevel="0" collapsed="false">
      <c r="A130" s="8" t="s">
        <v>407</v>
      </c>
      <c r="B130" s="8" t="s">
        <v>106</v>
      </c>
      <c r="C130" s="8" t="s">
        <v>544</v>
      </c>
      <c r="D130" s="26" t="n">
        <v>0</v>
      </c>
      <c r="E130" s="26" t="n">
        <v>0</v>
      </c>
      <c r="F130" s="26" t="n">
        <v>6005.5</v>
      </c>
      <c r="G130" s="26" t="n">
        <v>0</v>
      </c>
      <c r="H130" s="26" t="n">
        <v>223</v>
      </c>
      <c r="I130" s="26" t="n">
        <v>22114.5</v>
      </c>
      <c r="J130" s="26" t="n">
        <v>0</v>
      </c>
      <c r="K130" s="26" t="n">
        <v>1382.5</v>
      </c>
      <c r="L130" s="26" t="n">
        <v>0</v>
      </c>
      <c r="M130" s="26" t="n">
        <v>70.2</v>
      </c>
      <c r="N130" s="26" t="n">
        <v>70.2</v>
      </c>
      <c r="O130" s="26" t="n">
        <v>502.6</v>
      </c>
      <c r="P130" s="26" t="n">
        <v>-467.9</v>
      </c>
      <c r="Q130" s="26" t="n">
        <v>9322</v>
      </c>
      <c r="R130" s="26" t="n">
        <v>11235</v>
      </c>
      <c r="S130" s="26" t="n">
        <v>0</v>
      </c>
      <c r="T130" s="26" t="n">
        <v>3534.3</v>
      </c>
      <c r="U130" s="26" t="n">
        <v>0</v>
      </c>
    </row>
    <row r="131" customFormat="false" ht="15" hidden="false" customHeight="true" outlineLevel="0" collapsed="false">
      <c r="A131" s="8" t="s">
        <v>407</v>
      </c>
      <c r="B131" s="8" t="s">
        <v>141</v>
      </c>
      <c r="C131" s="8" t="s">
        <v>545</v>
      </c>
      <c r="D131" s="26" t="n">
        <v>0</v>
      </c>
      <c r="E131" s="26" t="n">
        <v>0</v>
      </c>
      <c r="F131" s="26" t="n">
        <v>4670.1</v>
      </c>
      <c r="G131" s="26" t="n">
        <v>0</v>
      </c>
      <c r="H131" s="26" t="n">
        <v>0</v>
      </c>
      <c r="I131" s="26" t="n">
        <v>43701.2</v>
      </c>
      <c r="J131" s="26" t="n">
        <v>0</v>
      </c>
      <c r="K131" s="26" t="n">
        <v>400.5</v>
      </c>
      <c r="L131" s="26" t="n">
        <v>0</v>
      </c>
      <c r="M131" s="26" t="n">
        <v>0</v>
      </c>
      <c r="N131" s="26" t="n">
        <v>0</v>
      </c>
      <c r="O131" s="26" t="n">
        <v>50.2</v>
      </c>
      <c r="P131" s="26" t="n">
        <v>0</v>
      </c>
      <c r="Q131" s="26" t="n">
        <v>41072.9</v>
      </c>
      <c r="R131" s="26" t="n">
        <v>2177.6</v>
      </c>
      <c r="S131" s="26" t="n">
        <v>0</v>
      </c>
      <c r="T131" s="26" t="n">
        <v>1300.7</v>
      </c>
      <c r="U131" s="26" t="n">
        <v>0</v>
      </c>
    </row>
    <row r="132" customFormat="false" ht="15" hidden="false" customHeight="true" outlineLevel="0" collapsed="false">
      <c r="A132" s="8" t="s">
        <v>407</v>
      </c>
      <c r="B132" s="8" t="s">
        <v>169</v>
      </c>
      <c r="C132" s="8" t="s">
        <v>546</v>
      </c>
      <c r="D132" s="26" t="n">
        <v>0</v>
      </c>
      <c r="E132" s="26" t="n">
        <v>0</v>
      </c>
      <c r="F132" s="26" t="n">
        <v>3553.3</v>
      </c>
      <c r="G132" s="26" t="n">
        <v>0</v>
      </c>
      <c r="H132" s="26" t="n">
        <v>0</v>
      </c>
      <c r="I132" s="26" t="n">
        <v>6510.6</v>
      </c>
      <c r="J132" s="26" t="n">
        <v>0</v>
      </c>
      <c r="K132" s="26" t="n">
        <v>524.2</v>
      </c>
      <c r="L132" s="26" t="n">
        <v>0</v>
      </c>
      <c r="M132" s="26" t="n">
        <v>57.1</v>
      </c>
      <c r="N132" s="26" t="n">
        <v>28.5</v>
      </c>
      <c r="O132" s="26" t="n">
        <v>57.6</v>
      </c>
      <c r="P132" s="26" t="n">
        <v>-52.4</v>
      </c>
      <c r="Q132" s="26" t="n">
        <v>4296.7</v>
      </c>
      <c r="R132" s="26" t="n">
        <v>1598.8</v>
      </c>
      <c r="S132" s="26" t="n">
        <v>0</v>
      </c>
      <c r="T132" s="26" t="n">
        <v>1095.6</v>
      </c>
      <c r="U132" s="26" t="n">
        <v>0</v>
      </c>
    </row>
    <row r="133" customFormat="false" ht="15" hidden="false" customHeight="true" outlineLevel="0" collapsed="false">
      <c r="A133" s="8" t="s">
        <v>407</v>
      </c>
      <c r="B133" s="8" t="s">
        <v>244</v>
      </c>
      <c r="C133" s="8" t="s">
        <v>548</v>
      </c>
      <c r="D133" s="26" t="n">
        <v>0</v>
      </c>
      <c r="E133" s="26" t="n">
        <v>0</v>
      </c>
      <c r="F133" s="26" t="n">
        <v>1677.4</v>
      </c>
      <c r="G133" s="26" t="n">
        <v>0</v>
      </c>
      <c r="H133" s="26" t="n">
        <v>0</v>
      </c>
      <c r="I133" s="26" t="n">
        <v>2616.2</v>
      </c>
      <c r="J133" s="26" t="n">
        <v>0</v>
      </c>
      <c r="K133" s="26" t="n">
        <v>0</v>
      </c>
      <c r="L133" s="26" t="n">
        <v>0</v>
      </c>
      <c r="M133" s="26" t="n">
        <v>0</v>
      </c>
      <c r="N133" s="26" t="n">
        <v>0</v>
      </c>
      <c r="O133" s="26" t="n">
        <v>0</v>
      </c>
      <c r="P133" s="26" t="n">
        <v>0</v>
      </c>
      <c r="Q133" s="26" t="n">
        <v>2616.2</v>
      </c>
      <c r="R133" s="26" t="n">
        <v>0</v>
      </c>
      <c r="S133" s="26" t="n">
        <v>0</v>
      </c>
      <c r="T133" s="26" t="n">
        <v>583.7</v>
      </c>
      <c r="U133" s="26" t="n">
        <v>0</v>
      </c>
    </row>
    <row r="134" customFormat="false" ht="15" hidden="false" customHeight="true" outlineLevel="0" collapsed="false">
      <c r="A134" s="8" t="s">
        <v>407</v>
      </c>
      <c r="B134" s="8" t="s">
        <v>158</v>
      </c>
      <c r="C134" s="8" t="s">
        <v>549</v>
      </c>
      <c r="D134" s="26" t="n">
        <v>0</v>
      </c>
      <c r="E134" s="26" t="n">
        <v>0</v>
      </c>
      <c r="F134" s="26" t="n">
        <v>0</v>
      </c>
      <c r="G134" s="26" t="n">
        <v>0</v>
      </c>
      <c r="H134" s="26" t="n">
        <v>0</v>
      </c>
      <c r="I134" s="26" t="n">
        <v>-620.8</v>
      </c>
      <c r="J134" s="26" t="n">
        <v>0</v>
      </c>
      <c r="K134" s="26" t="n">
        <v>0</v>
      </c>
      <c r="L134" s="26" t="n">
        <v>0</v>
      </c>
      <c r="M134" s="26" t="n">
        <v>0</v>
      </c>
      <c r="N134" s="26" t="n">
        <v>0</v>
      </c>
      <c r="O134" s="26" t="n">
        <v>0</v>
      </c>
      <c r="P134" s="26" t="n">
        <v>-185.2</v>
      </c>
      <c r="Q134" s="26" t="n">
        <v>-435.6</v>
      </c>
      <c r="R134" s="26" t="n">
        <v>0</v>
      </c>
      <c r="S134" s="26" t="n">
        <v>0</v>
      </c>
      <c r="T134" s="26" t="n">
        <v>0</v>
      </c>
      <c r="U134" s="26" t="n">
        <v>0</v>
      </c>
    </row>
    <row r="135" customFormat="false" ht="15" hidden="false" customHeight="true" outlineLevel="0" collapsed="false">
      <c r="A135" s="8" t="s">
        <v>407</v>
      </c>
      <c r="B135" s="8" t="s">
        <v>158</v>
      </c>
      <c r="C135" s="8" t="s">
        <v>550</v>
      </c>
      <c r="D135" s="26" t="n">
        <v>0</v>
      </c>
      <c r="E135" s="26" t="n">
        <v>0</v>
      </c>
      <c r="F135" s="26" t="n">
        <v>0</v>
      </c>
      <c r="G135" s="26" t="n">
        <v>0</v>
      </c>
      <c r="H135" s="26" t="n">
        <v>0</v>
      </c>
      <c r="I135" s="26" t="n">
        <v>-516.1</v>
      </c>
      <c r="J135" s="26" t="n">
        <v>0</v>
      </c>
      <c r="K135" s="26" t="n">
        <v>0</v>
      </c>
      <c r="L135" s="26" t="n">
        <v>0</v>
      </c>
      <c r="M135" s="26" t="n">
        <v>0</v>
      </c>
      <c r="N135" s="26" t="n">
        <v>0</v>
      </c>
      <c r="O135" s="26" t="n">
        <v>0</v>
      </c>
      <c r="P135" s="26" t="n">
        <v>-123.5</v>
      </c>
      <c r="Q135" s="26" t="n">
        <v>-392.6</v>
      </c>
      <c r="R135" s="26" t="n">
        <v>0</v>
      </c>
      <c r="S135" s="26" t="n">
        <v>0</v>
      </c>
      <c r="T135" s="26" t="n">
        <v>0</v>
      </c>
      <c r="U135" s="26" t="n">
        <v>0</v>
      </c>
    </row>
    <row r="136" customFormat="false" ht="15" hidden="false" customHeight="true" outlineLevel="0" collapsed="false">
      <c r="A136" s="8" t="s">
        <v>407</v>
      </c>
      <c r="B136" s="8" t="s">
        <v>158</v>
      </c>
      <c r="C136" s="8" t="s">
        <v>551</v>
      </c>
      <c r="D136" s="26" t="n">
        <v>0</v>
      </c>
      <c r="E136" s="26" t="n">
        <v>0</v>
      </c>
      <c r="F136" s="26" t="n">
        <v>0</v>
      </c>
      <c r="G136" s="26" t="n">
        <v>0</v>
      </c>
      <c r="H136" s="26" t="n">
        <v>0</v>
      </c>
      <c r="I136" s="26" t="n">
        <v>-607.3</v>
      </c>
      <c r="J136" s="26" t="n">
        <v>0</v>
      </c>
      <c r="K136" s="26" t="n">
        <v>0</v>
      </c>
      <c r="L136" s="26" t="n">
        <v>0</v>
      </c>
      <c r="M136" s="26" t="n">
        <v>0</v>
      </c>
      <c r="N136" s="26" t="n">
        <v>0</v>
      </c>
      <c r="O136" s="26" t="n">
        <v>0</v>
      </c>
      <c r="P136" s="26" t="n">
        <v>-123.5</v>
      </c>
      <c r="Q136" s="26" t="n">
        <v>-483.8</v>
      </c>
      <c r="R136" s="26" t="n">
        <v>0</v>
      </c>
      <c r="S136" s="26" t="n">
        <v>0</v>
      </c>
      <c r="T136" s="26" t="n">
        <v>0</v>
      </c>
      <c r="U136" s="26" t="n">
        <v>0</v>
      </c>
    </row>
    <row r="137" customFormat="false" ht="15" hidden="false" customHeight="true" outlineLevel="0" collapsed="false">
      <c r="A137" s="8" t="s">
        <v>407</v>
      </c>
      <c r="B137" s="8" t="s">
        <v>158</v>
      </c>
      <c r="C137" s="8" t="s">
        <v>552</v>
      </c>
      <c r="D137" s="26" t="n">
        <v>0</v>
      </c>
      <c r="E137" s="26" t="n">
        <v>0</v>
      </c>
      <c r="F137" s="26" t="n">
        <v>0</v>
      </c>
      <c r="G137" s="26" t="n">
        <v>0</v>
      </c>
      <c r="H137" s="26" t="n">
        <v>0</v>
      </c>
      <c r="I137" s="26" t="n">
        <v>-677.9</v>
      </c>
      <c r="J137" s="26" t="n">
        <v>0</v>
      </c>
      <c r="K137" s="26" t="n">
        <v>0</v>
      </c>
      <c r="L137" s="26" t="n">
        <v>0</v>
      </c>
      <c r="M137" s="26" t="n">
        <v>0</v>
      </c>
      <c r="N137" s="26" t="n">
        <v>0</v>
      </c>
      <c r="O137" s="26" t="n">
        <v>0</v>
      </c>
      <c r="P137" s="26" t="n">
        <v>-61.7</v>
      </c>
      <c r="Q137" s="26" t="n">
        <v>-616.2</v>
      </c>
      <c r="R137" s="26" t="n">
        <v>0</v>
      </c>
      <c r="S137" s="26" t="n">
        <v>0</v>
      </c>
      <c r="T137" s="26" t="n">
        <v>0</v>
      </c>
      <c r="U137" s="26" t="n">
        <v>0</v>
      </c>
    </row>
    <row r="138" customFormat="false" ht="15" hidden="false" customHeight="true" outlineLevel="0" collapsed="false">
      <c r="A138" s="8" t="s">
        <v>407</v>
      </c>
      <c r="B138" s="8" t="s">
        <v>158</v>
      </c>
      <c r="C138" s="8" t="s">
        <v>553</v>
      </c>
      <c r="D138" s="26" t="n">
        <v>0</v>
      </c>
      <c r="E138" s="26" t="n">
        <v>0</v>
      </c>
      <c r="F138" s="26" t="n">
        <v>0</v>
      </c>
      <c r="G138" s="26" t="n">
        <v>0</v>
      </c>
      <c r="H138" s="26" t="n">
        <v>0</v>
      </c>
      <c r="I138" s="26" t="n">
        <v>-116.2</v>
      </c>
      <c r="J138" s="26" t="n">
        <v>0</v>
      </c>
      <c r="K138" s="26" t="n">
        <v>0</v>
      </c>
      <c r="L138" s="26" t="n">
        <v>0</v>
      </c>
      <c r="M138" s="26" t="n">
        <v>0</v>
      </c>
      <c r="N138" s="26" t="n">
        <v>0</v>
      </c>
      <c r="O138" s="26" t="n">
        <v>0</v>
      </c>
      <c r="P138" s="26" t="n">
        <v>-61.7</v>
      </c>
      <c r="Q138" s="26" t="n">
        <v>-54.5</v>
      </c>
      <c r="R138" s="26" t="n">
        <v>0</v>
      </c>
      <c r="S138" s="26" t="n">
        <v>0</v>
      </c>
      <c r="T138" s="26" t="n">
        <v>0</v>
      </c>
      <c r="U138" s="26" t="n">
        <v>0</v>
      </c>
    </row>
    <row r="139" customFormat="false" ht="15" hidden="false" customHeight="true" outlineLevel="0" collapsed="false">
      <c r="A139" s="8" t="s">
        <v>407</v>
      </c>
      <c r="B139" s="8" t="s">
        <v>366</v>
      </c>
      <c r="C139" s="8" t="s">
        <v>554</v>
      </c>
      <c r="D139" s="26" t="n">
        <v>0</v>
      </c>
      <c r="E139" s="26" t="n">
        <v>0</v>
      </c>
      <c r="F139" s="26" t="n">
        <v>0</v>
      </c>
      <c r="G139" s="26" t="n">
        <v>0</v>
      </c>
      <c r="H139" s="26" t="n">
        <v>0</v>
      </c>
      <c r="I139" s="26" t="n">
        <v>-96.7</v>
      </c>
      <c r="J139" s="26" t="n">
        <v>0</v>
      </c>
      <c r="K139" s="26" t="n">
        <v>0</v>
      </c>
      <c r="L139" s="26" t="n">
        <v>0</v>
      </c>
      <c r="M139" s="26" t="n">
        <v>0</v>
      </c>
      <c r="N139" s="26" t="n">
        <v>0</v>
      </c>
      <c r="O139" s="26" t="n">
        <v>0</v>
      </c>
      <c r="P139" s="26" t="n">
        <v>-96.7</v>
      </c>
      <c r="Q139" s="26" t="n">
        <v>0</v>
      </c>
      <c r="R139" s="26" t="n">
        <v>0</v>
      </c>
      <c r="S139" s="26" t="n">
        <v>0</v>
      </c>
      <c r="T139" s="26" t="n">
        <v>0</v>
      </c>
      <c r="U139" s="26" t="n">
        <v>0</v>
      </c>
    </row>
    <row r="140" customFormat="false" ht="15" hidden="false" customHeight="true" outlineLevel="0" collapsed="false">
      <c r="A140" s="8" t="s">
        <v>407</v>
      </c>
      <c r="B140" s="8" t="s">
        <v>181</v>
      </c>
      <c r="C140" s="8" t="s">
        <v>556</v>
      </c>
      <c r="D140" s="26" t="n">
        <v>0</v>
      </c>
      <c r="E140" s="26" t="n">
        <v>0</v>
      </c>
      <c r="F140" s="26" t="n">
        <v>355.6</v>
      </c>
      <c r="G140" s="26" t="n">
        <v>0</v>
      </c>
      <c r="H140" s="26" t="n">
        <v>0</v>
      </c>
      <c r="I140" s="26" t="n">
        <v>0</v>
      </c>
      <c r="J140" s="26" t="n">
        <v>0</v>
      </c>
      <c r="K140" s="26" t="n">
        <v>0</v>
      </c>
      <c r="L140" s="26" t="n">
        <v>0</v>
      </c>
      <c r="M140" s="26" t="n">
        <v>0</v>
      </c>
      <c r="N140" s="26" t="n">
        <v>0</v>
      </c>
      <c r="O140" s="26" t="n">
        <v>0</v>
      </c>
      <c r="P140" s="26" t="n">
        <v>0</v>
      </c>
      <c r="Q140" s="26" t="n">
        <v>0</v>
      </c>
      <c r="R140" s="26" t="n">
        <v>0</v>
      </c>
      <c r="S140" s="26" t="n">
        <v>0</v>
      </c>
      <c r="T140" s="26" t="n">
        <v>0</v>
      </c>
      <c r="U140" s="26" t="n">
        <v>0</v>
      </c>
    </row>
    <row r="141" customFormat="false" ht="15" hidden="false" customHeight="true" outlineLevel="0" collapsed="false">
      <c r="A141" s="8" t="s">
        <v>407</v>
      </c>
      <c r="B141" s="8" t="s">
        <v>181</v>
      </c>
      <c r="C141" s="8" t="s">
        <v>557</v>
      </c>
      <c r="D141" s="26" t="n">
        <v>0</v>
      </c>
      <c r="E141" s="26" t="n">
        <v>0</v>
      </c>
      <c r="F141" s="26" t="n">
        <v>-71.1</v>
      </c>
      <c r="G141" s="26" t="n">
        <v>0</v>
      </c>
      <c r="H141" s="26" t="n">
        <v>0</v>
      </c>
      <c r="I141" s="26" t="n">
        <v>0</v>
      </c>
      <c r="J141" s="26" t="n">
        <v>0</v>
      </c>
      <c r="K141" s="26" t="n">
        <v>0</v>
      </c>
      <c r="L141" s="26" t="n">
        <v>0</v>
      </c>
      <c r="M141" s="26" t="n">
        <v>0</v>
      </c>
      <c r="N141" s="26" t="n">
        <v>0</v>
      </c>
      <c r="O141" s="26" t="n">
        <v>0</v>
      </c>
      <c r="P141" s="26" t="n">
        <v>0</v>
      </c>
      <c r="Q141" s="26" t="n">
        <v>0</v>
      </c>
      <c r="R141" s="26" t="n">
        <v>0</v>
      </c>
      <c r="S141" s="26" t="n">
        <v>0</v>
      </c>
      <c r="T141" s="26" t="n">
        <v>0</v>
      </c>
      <c r="U141" s="26" t="n">
        <v>0</v>
      </c>
    </row>
    <row r="142" customFormat="false" ht="15" hidden="false" customHeight="true" outlineLevel="0" collapsed="false">
      <c r="A142" s="8" t="s">
        <v>407</v>
      </c>
      <c r="B142" s="8" t="s">
        <v>181</v>
      </c>
      <c r="C142" s="8" t="s">
        <v>558</v>
      </c>
      <c r="D142" s="26" t="n">
        <v>0</v>
      </c>
      <c r="E142" s="26" t="n">
        <v>0</v>
      </c>
      <c r="F142" s="26" t="n">
        <v>23.7</v>
      </c>
      <c r="G142" s="26" t="n">
        <v>0</v>
      </c>
      <c r="H142" s="26" t="n">
        <v>0</v>
      </c>
      <c r="I142" s="26" t="n">
        <v>110.5</v>
      </c>
      <c r="J142" s="26" t="n">
        <v>0</v>
      </c>
      <c r="K142" s="26" t="n">
        <v>0</v>
      </c>
      <c r="L142" s="26" t="n">
        <v>0</v>
      </c>
      <c r="M142" s="26" t="n">
        <v>0</v>
      </c>
      <c r="N142" s="26" t="n">
        <v>0</v>
      </c>
      <c r="O142" s="26" t="n">
        <v>0</v>
      </c>
      <c r="P142" s="26" t="n">
        <v>0</v>
      </c>
      <c r="Q142" s="26" t="n">
        <v>0</v>
      </c>
      <c r="R142" s="26" t="n">
        <v>110.5</v>
      </c>
      <c r="S142" s="26" t="n">
        <v>0</v>
      </c>
      <c r="T142" s="26" t="n">
        <v>0</v>
      </c>
      <c r="U142" s="26" t="n">
        <v>0</v>
      </c>
    </row>
    <row r="143" customFormat="false" ht="15" hidden="false" customHeight="true" outlineLevel="0" collapsed="false">
      <c r="A143" s="8" t="s">
        <v>407</v>
      </c>
      <c r="B143" s="8" t="s">
        <v>181</v>
      </c>
      <c r="C143" s="8" t="s">
        <v>559</v>
      </c>
      <c r="D143" s="26" t="n">
        <v>0</v>
      </c>
      <c r="E143" s="26" t="n">
        <v>0</v>
      </c>
      <c r="F143" s="26" t="n">
        <v>-94.8</v>
      </c>
      <c r="G143" s="26" t="n">
        <v>0</v>
      </c>
      <c r="H143" s="26" t="n">
        <v>0</v>
      </c>
      <c r="I143" s="26" t="n">
        <v>0</v>
      </c>
      <c r="J143" s="26" t="n">
        <v>0</v>
      </c>
      <c r="K143" s="26" t="n">
        <v>0</v>
      </c>
      <c r="L143" s="26" t="n">
        <v>0</v>
      </c>
      <c r="M143" s="26" t="n">
        <v>0</v>
      </c>
      <c r="N143" s="26" t="n">
        <v>0</v>
      </c>
      <c r="O143" s="26" t="n">
        <v>0</v>
      </c>
      <c r="P143" s="26" t="n">
        <v>0</v>
      </c>
      <c r="Q143" s="26" t="n">
        <v>0</v>
      </c>
      <c r="R143" s="26" t="n">
        <v>0</v>
      </c>
      <c r="S143" s="26" t="n">
        <v>0</v>
      </c>
      <c r="T143" s="26" t="n">
        <v>0</v>
      </c>
      <c r="U143" s="26" t="n">
        <v>0</v>
      </c>
    </row>
    <row r="144" customFormat="false" ht="15" hidden="false" customHeight="true" outlineLevel="0" collapsed="false">
      <c r="A144" s="8" t="s">
        <v>407</v>
      </c>
      <c r="B144" s="8" t="s">
        <v>181</v>
      </c>
      <c r="C144" s="8" t="s">
        <v>560</v>
      </c>
      <c r="D144" s="26" t="n">
        <v>0</v>
      </c>
      <c r="E144" s="26" t="n">
        <v>0</v>
      </c>
      <c r="F144" s="26" t="n">
        <v>237.1</v>
      </c>
      <c r="G144" s="26" t="n">
        <v>0</v>
      </c>
      <c r="H144" s="26" t="n">
        <v>0</v>
      </c>
      <c r="I144" s="26" t="n">
        <v>0</v>
      </c>
      <c r="J144" s="26" t="n">
        <v>0</v>
      </c>
      <c r="K144" s="26" t="n">
        <v>0</v>
      </c>
      <c r="L144" s="26" t="n">
        <v>0</v>
      </c>
      <c r="M144" s="26" t="n">
        <v>0</v>
      </c>
      <c r="N144" s="26" t="n">
        <v>0</v>
      </c>
      <c r="O144" s="26" t="n">
        <v>0</v>
      </c>
      <c r="P144" s="26" t="n">
        <v>0</v>
      </c>
      <c r="Q144" s="26" t="n">
        <v>0</v>
      </c>
      <c r="R144" s="26" t="n">
        <v>0</v>
      </c>
      <c r="S144" s="26" t="n">
        <v>0</v>
      </c>
      <c r="T144" s="26" t="n">
        <v>0</v>
      </c>
      <c r="U144" s="26" t="n">
        <v>0</v>
      </c>
    </row>
    <row r="145" customFormat="false" ht="15" hidden="false" customHeight="true" outlineLevel="0" collapsed="false">
      <c r="A145" s="8" t="s">
        <v>407</v>
      </c>
      <c r="B145" s="8" t="s">
        <v>132</v>
      </c>
      <c r="C145" s="8" t="s">
        <v>561</v>
      </c>
      <c r="D145" s="26" t="n">
        <v>0</v>
      </c>
      <c r="E145" s="26" t="n">
        <v>0</v>
      </c>
      <c r="F145" s="26" t="n">
        <v>7594.1</v>
      </c>
      <c r="G145" s="26" t="n">
        <v>0</v>
      </c>
      <c r="H145" s="26" t="n">
        <v>0</v>
      </c>
      <c r="I145" s="26" t="n">
        <v>44217.4</v>
      </c>
      <c r="J145" s="26" t="n">
        <v>0</v>
      </c>
      <c r="K145" s="26" t="n">
        <v>240.1</v>
      </c>
      <c r="L145" s="26" t="n">
        <v>0</v>
      </c>
      <c r="M145" s="26" t="n">
        <v>93.5</v>
      </c>
      <c r="N145" s="26" t="n">
        <v>93.5</v>
      </c>
      <c r="O145" s="26" t="n">
        <v>40</v>
      </c>
      <c r="P145" s="26" t="n">
        <v>-40</v>
      </c>
      <c r="Q145" s="26" t="n">
        <v>39121.1</v>
      </c>
      <c r="R145" s="26" t="n">
        <v>4669.1</v>
      </c>
      <c r="S145" s="26" t="n">
        <v>0</v>
      </c>
      <c r="T145" s="26" t="n">
        <v>837.1</v>
      </c>
      <c r="U145" s="26" t="n">
        <v>0</v>
      </c>
    </row>
    <row r="146" customFormat="false" ht="15" hidden="false" customHeight="true" outlineLevel="0" collapsed="false">
      <c r="A146" s="8" t="s">
        <v>407</v>
      </c>
      <c r="B146" s="8" t="s">
        <v>201</v>
      </c>
      <c r="C146" s="8" t="s">
        <v>562</v>
      </c>
      <c r="D146" s="26" t="n">
        <v>0</v>
      </c>
      <c r="E146" s="26" t="n">
        <v>0</v>
      </c>
      <c r="F146" s="26" t="n">
        <v>1140.9</v>
      </c>
      <c r="G146" s="26" t="n">
        <v>0</v>
      </c>
      <c r="H146" s="26" t="n">
        <v>0</v>
      </c>
      <c r="I146" s="26" t="n">
        <v>2862.2</v>
      </c>
      <c r="J146" s="26" t="n">
        <v>0</v>
      </c>
      <c r="K146" s="26" t="n">
        <v>21.3</v>
      </c>
      <c r="L146" s="26" t="n">
        <v>0</v>
      </c>
      <c r="M146" s="26" t="n">
        <v>0</v>
      </c>
      <c r="N146" s="26" t="n">
        <v>65.9</v>
      </c>
      <c r="O146" s="26" t="n">
        <v>64</v>
      </c>
      <c r="P146" s="26" t="n">
        <v>-58.6</v>
      </c>
      <c r="Q146" s="26" t="n">
        <v>2001.2</v>
      </c>
      <c r="R146" s="26" t="n">
        <v>768.3</v>
      </c>
      <c r="S146" s="26" t="n">
        <v>0</v>
      </c>
      <c r="T146" s="26" t="n">
        <v>556.9</v>
      </c>
      <c r="U146" s="26" t="n">
        <v>0</v>
      </c>
    </row>
    <row r="147" customFormat="false" ht="15" hidden="false" customHeight="true" outlineLevel="0" collapsed="false">
      <c r="A147" s="8" t="s">
        <v>407</v>
      </c>
      <c r="B147" s="8" t="s">
        <v>93</v>
      </c>
      <c r="C147" s="8" t="s">
        <v>563</v>
      </c>
      <c r="D147" s="26" t="n">
        <v>0</v>
      </c>
      <c r="E147" s="26" t="n">
        <v>0</v>
      </c>
      <c r="F147" s="26" t="n">
        <v>4284.9</v>
      </c>
      <c r="G147" s="26" t="n">
        <v>0</v>
      </c>
      <c r="H147" s="26" t="n">
        <v>0</v>
      </c>
      <c r="I147" s="26" t="n">
        <v>53125.6</v>
      </c>
      <c r="J147" s="26" t="n">
        <v>0</v>
      </c>
      <c r="K147" s="26" t="n">
        <v>81</v>
      </c>
      <c r="L147" s="26" t="n">
        <v>0</v>
      </c>
      <c r="M147" s="26" t="n">
        <v>0</v>
      </c>
      <c r="N147" s="26" t="n">
        <v>46.8</v>
      </c>
      <c r="O147" s="26" t="n">
        <v>0</v>
      </c>
      <c r="P147" s="26" t="n">
        <v>-121.5</v>
      </c>
      <c r="Q147" s="26" t="n">
        <v>48785.8</v>
      </c>
      <c r="R147" s="26" t="n">
        <v>4333.5</v>
      </c>
      <c r="S147" s="26" t="n">
        <v>0</v>
      </c>
      <c r="T147" s="26" t="n">
        <v>3457.1</v>
      </c>
      <c r="U147" s="26" t="n">
        <v>-124.9</v>
      </c>
    </row>
    <row r="148" customFormat="false" ht="15" hidden="false" customHeight="true" outlineLevel="0" collapsed="false">
      <c r="A148" s="8" t="s">
        <v>407</v>
      </c>
      <c r="B148" s="8" t="s">
        <v>93</v>
      </c>
      <c r="C148" s="8" t="s">
        <v>564</v>
      </c>
      <c r="D148" s="26" t="n">
        <v>0</v>
      </c>
      <c r="E148" s="26" t="n">
        <v>0</v>
      </c>
      <c r="F148" s="26" t="n">
        <v>2066.3</v>
      </c>
      <c r="G148" s="26" t="n">
        <v>0</v>
      </c>
      <c r="H148" s="26" t="n">
        <v>0</v>
      </c>
      <c r="I148" s="26" t="n">
        <v>34080.3</v>
      </c>
      <c r="J148" s="26" t="n">
        <v>0</v>
      </c>
      <c r="K148" s="26" t="n">
        <v>324</v>
      </c>
      <c r="L148" s="26" t="n">
        <v>0</v>
      </c>
      <c r="M148" s="26" t="n">
        <v>0</v>
      </c>
      <c r="N148" s="26" t="n">
        <v>187.3</v>
      </c>
      <c r="O148" s="26" t="n">
        <v>0</v>
      </c>
      <c r="P148" s="26" t="n">
        <v>-202.5</v>
      </c>
      <c r="Q148" s="26" t="n">
        <v>31014.7</v>
      </c>
      <c r="R148" s="26" t="n">
        <v>2756.9</v>
      </c>
      <c r="S148" s="26" t="n">
        <v>0</v>
      </c>
      <c r="T148" s="26" t="n">
        <v>1309.1</v>
      </c>
      <c r="U148" s="26" t="n">
        <v>0</v>
      </c>
    </row>
    <row r="149" customFormat="false" ht="15" hidden="false" customHeight="true" outlineLevel="0" collapsed="false">
      <c r="A149" s="8" t="s">
        <v>407</v>
      </c>
      <c r="B149" s="8" t="s">
        <v>93</v>
      </c>
      <c r="C149" s="8" t="s">
        <v>565</v>
      </c>
      <c r="D149" s="26" t="n">
        <v>0</v>
      </c>
      <c r="E149" s="26" t="n">
        <v>0</v>
      </c>
      <c r="F149" s="26" t="n">
        <v>5295</v>
      </c>
      <c r="G149" s="26" t="n">
        <v>0</v>
      </c>
      <c r="H149" s="26" t="n">
        <v>0</v>
      </c>
      <c r="I149" s="26" t="n">
        <v>52484.7</v>
      </c>
      <c r="J149" s="26" t="n">
        <v>0</v>
      </c>
      <c r="K149" s="26" t="n">
        <v>364.5</v>
      </c>
      <c r="L149" s="26" t="n">
        <v>0</v>
      </c>
      <c r="M149" s="26" t="n">
        <v>0</v>
      </c>
      <c r="N149" s="26" t="n">
        <v>46.8</v>
      </c>
      <c r="O149" s="26" t="n">
        <v>216.9</v>
      </c>
      <c r="P149" s="26" t="n">
        <v>-162</v>
      </c>
      <c r="Q149" s="26" t="n">
        <v>47682.1</v>
      </c>
      <c r="R149" s="26" t="n">
        <v>4336.4</v>
      </c>
      <c r="S149" s="26" t="n">
        <v>0</v>
      </c>
      <c r="T149" s="26" t="n">
        <v>2958.1</v>
      </c>
      <c r="U149" s="26" t="n">
        <v>0</v>
      </c>
    </row>
    <row r="150" customFormat="false" ht="15" hidden="false" customHeight="true" outlineLevel="0" collapsed="false">
      <c r="A150" s="8" t="s">
        <v>407</v>
      </c>
      <c r="B150" s="8" t="s">
        <v>93</v>
      </c>
      <c r="C150" s="8" t="s">
        <v>566</v>
      </c>
      <c r="D150" s="26" t="n">
        <v>0</v>
      </c>
      <c r="E150" s="26" t="n">
        <v>0</v>
      </c>
      <c r="F150" s="26" t="n">
        <v>3245.5</v>
      </c>
      <c r="G150" s="26" t="n">
        <v>0</v>
      </c>
      <c r="H150" s="26" t="n">
        <v>0</v>
      </c>
      <c r="I150" s="26" t="n">
        <v>33518.6</v>
      </c>
      <c r="J150" s="26" t="n">
        <v>0</v>
      </c>
      <c r="K150" s="26" t="n">
        <v>162</v>
      </c>
      <c r="L150" s="26" t="n">
        <v>0</v>
      </c>
      <c r="M150" s="26" t="n">
        <v>0</v>
      </c>
      <c r="N150" s="26" t="n">
        <v>0</v>
      </c>
      <c r="O150" s="26" t="n">
        <v>173.5</v>
      </c>
      <c r="P150" s="26" t="n">
        <v>-162</v>
      </c>
      <c r="Q150" s="26" t="n">
        <v>30955.6</v>
      </c>
      <c r="R150" s="26" t="n">
        <v>2389.5</v>
      </c>
      <c r="S150" s="26" t="n">
        <v>0</v>
      </c>
      <c r="T150" s="26" t="n">
        <v>2401.1</v>
      </c>
      <c r="U150" s="26" t="n">
        <v>-62.4</v>
      </c>
    </row>
    <row r="151" customFormat="false" ht="15" hidden="false" customHeight="true" outlineLevel="0" collapsed="false">
      <c r="A151" s="8" t="s">
        <v>407</v>
      </c>
      <c r="B151" s="8" t="s">
        <v>93</v>
      </c>
      <c r="C151" s="8" t="s">
        <v>568</v>
      </c>
      <c r="D151" s="26" t="n">
        <v>0</v>
      </c>
      <c r="E151" s="26" t="n">
        <v>0</v>
      </c>
      <c r="F151" s="26" t="n">
        <v>785.9</v>
      </c>
      <c r="G151" s="26" t="n">
        <v>0</v>
      </c>
      <c r="H151" s="26" t="n">
        <v>0</v>
      </c>
      <c r="I151" s="26" t="n">
        <v>3235.6</v>
      </c>
      <c r="J151" s="26" t="n">
        <v>0</v>
      </c>
      <c r="K151" s="26" t="n">
        <v>243</v>
      </c>
      <c r="L151" s="26" t="n">
        <v>0</v>
      </c>
      <c r="M151" s="26" t="n">
        <v>0</v>
      </c>
      <c r="N151" s="26" t="n">
        <v>0</v>
      </c>
      <c r="O151" s="26" t="n">
        <v>0</v>
      </c>
      <c r="P151" s="26" t="n">
        <v>-283.5</v>
      </c>
      <c r="Q151" s="26" t="n">
        <v>1372.6</v>
      </c>
      <c r="R151" s="26" t="n">
        <v>1903.5</v>
      </c>
      <c r="S151" s="26" t="n">
        <v>0</v>
      </c>
      <c r="T151" s="26" t="n">
        <v>759.4</v>
      </c>
      <c r="U151" s="26" t="n">
        <v>0</v>
      </c>
    </row>
    <row r="152" customFormat="false" ht="15" hidden="false" customHeight="true" outlineLevel="0" collapsed="false">
      <c r="A152" s="8" t="s">
        <v>407</v>
      </c>
      <c r="B152" s="8" t="s">
        <v>99</v>
      </c>
      <c r="C152" s="8" t="s">
        <v>569</v>
      </c>
      <c r="D152" s="26" t="n">
        <v>0</v>
      </c>
      <c r="E152" s="26" t="n">
        <v>0</v>
      </c>
      <c r="F152" s="26" t="n">
        <v>1463.7</v>
      </c>
      <c r="G152" s="26" t="n">
        <v>0</v>
      </c>
      <c r="H152" s="26" t="n">
        <v>0</v>
      </c>
      <c r="I152" s="26" t="n">
        <v>23528</v>
      </c>
      <c r="J152" s="26" t="n">
        <v>0</v>
      </c>
      <c r="K152" s="26" t="n">
        <v>222.1</v>
      </c>
      <c r="L152" s="26" t="n">
        <v>0</v>
      </c>
      <c r="M152" s="26" t="n">
        <v>0</v>
      </c>
      <c r="N152" s="26" t="n">
        <v>92.7</v>
      </c>
      <c r="O152" s="26" t="n">
        <v>59.5</v>
      </c>
      <c r="P152" s="26" t="n">
        <v>-388.6</v>
      </c>
      <c r="Q152" s="26" t="n">
        <v>20905.3</v>
      </c>
      <c r="R152" s="26" t="n">
        <v>2637.2</v>
      </c>
      <c r="S152" s="26" t="n">
        <v>0</v>
      </c>
      <c r="T152" s="26" t="n">
        <v>578</v>
      </c>
      <c r="U152" s="26" t="n">
        <v>-41.2</v>
      </c>
    </row>
    <row r="153" customFormat="false" ht="15" hidden="false" customHeight="true" outlineLevel="0" collapsed="false">
      <c r="A153" s="8" t="s">
        <v>407</v>
      </c>
      <c r="B153" s="8" t="s">
        <v>99</v>
      </c>
      <c r="C153" s="8" t="s">
        <v>570</v>
      </c>
      <c r="D153" s="26" t="n">
        <v>0</v>
      </c>
      <c r="E153" s="26" t="n">
        <v>0</v>
      </c>
      <c r="F153" s="26" t="n">
        <v>3953.1</v>
      </c>
      <c r="G153" s="26" t="n">
        <v>0</v>
      </c>
      <c r="H153" s="26" t="n">
        <v>0</v>
      </c>
      <c r="I153" s="26" t="n">
        <v>33885.4</v>
      </c>
      <c r="J153" s="26" t="n">
        <v>0</v>
      </c>
      <c r="K153" s="26" t="n">
        <v>111</v>
      </c>
      <c r="L153" s="26" t="n">
        <v>0</v>
      </c>
      <c r="M153" s="26" t="n">
        <v>0</v>
      </c>
      <c r="N153" s="26" t="n">
        <v>92.7</v>
      </c>
      <c r="O153" s="26" t="n">
        <v>29.7</v>
      </c>
      <c r="P153" s="26" t="n">
        <v>-166.6</v>
      </c>
      <c r="Q153" s="26" t="n">
        <v>29265.8</v>
      </c>
      <c r="R153" s="26" t="n">
        <v>4552.6</v>
      </c>
      <c r="S153" s="26" t="n">
        <v>0</v>
      </c>
      <c r="T153" s="26" t="n">
        <v>1445</v>
      </c>
      <c r="U153" s="26" t="n">
        <v>-82.4</v>
      </c>
    </row>
    <row r="154" customFormat="false" ht="15" hidden="false" customHeight="true" outlineLevel="0" collapsed="false">
      <c r="A154" s="8" t="s">
        <v>407</v>
      </c>
      <c r="B154" s="8" t="s">
        <v>99</v>
      </c>
      <c r="C154" s="8" t="s">
        <v>571</v>
      </c>
      <c r="D154" s="26" t="n">
        <v>0</v>
      </c>
      <c r="E154" s="26" t="n">
        <v>0</v>
      </c>
      <c r="F154" s="26" t="n">
        <v>3907.6</v>
      </c>
      <c r="G154" s="26" t="n">
        <v>0</v>
      </c>
      <c r="H154" s="26" t="n">
        <v>0</v>
      </c>
      <c r="I154" s="26" t="n">
        <v>33379.3</v>
      </c>
      <c r="J154" s="26" t="n">
        <v>0</v>
      </c>
      <c r="K154" s="26" t="n">
        <v>333.1</v>
      </c>
      <c r="L154" s="26" t="n">
        <v>0</v>
      </c>
      <c r="M154" s="26" t="n">
        <v>0</v>
      </c>
      <c r="N154" s="26" t="n">
        <v>92.7</v>
      </c>
      <c r="O154" s="26" t="n">
        <v>89.2</v>
      </c>
      <c r="P154" s="26" t="n">
        <v>-138.8</v>
      </c>
      <c r="Q154" s="26" t="n">
        <v>29255.5</v>
      </c>
      <c r="R154" s="26" t="n">
        <v>3747.6</v>
      </c>
      <c r="S154" s="26" t="n">
        <v>0</v>
      </c>
      <c r="T154" s="26" t="n">
        <v>1500.3</v>
      </c>
      <c r="U154" s="26" t="n">
        <v>-41.2</v>
      </c>
    </row>
    <row r="155" customFormat="false" ht="15" hidden="false" customHeight="true" outlineLevel="0" collapsed="false">
      <c r="A155" s="8" t="s">
        <v>407</v>
      </c>
      <c r="B155" s="8" t="s">
        <v>99</v>
      </c>
      <c r="C155" s="8" t="s">
        <v>572</v>
      </c>
      <c r="D155" s="26" t="n">
        <v>0</v>
      </c>
      <c r="E155" s="26" t="n">
        <v>0</v>
      </c>
      <c r="F155" s="26" t="n">
        <v>2671.8</v>
      </c>
      <c r="G155" s="26" t="n">
        <v>0</v>
      </c>
      <c r="H155" s="26" t="n">
        <v>0</v>
      </c>
      <c r="I155" s="26" t="n">
        <v>23351.1</v>
      </c>
      <c r="J155" s="26" t="n">
        <v>0</v>
      </c>
      <c r="K155" s="26" t="n">
        <v>138.8</v>
      </c>
      <c r="L155" s="26" t="n">
        <v>0</v>
      </c>
      <c r="M155" s="26" t="n">
        <v>0</v>
      </c>
      <c r="N155" s="26" t="n">
        <v>92.7</v>
      </c>
      <c r="O155" s="26" t="n">
        <v>29.7</v>
      </c>
      <c r="P155" s="26" t="n">
        <v>-55.5</v>
      </c>
      <c r="Q155" s="26" t="n">
        <v>19980.8</v>
      </c>
      <c r="R155" s="26" t="n">
        <v>3164.6</v>
      </c>
      <c r="S155" s="26" t="n">
        <v>0</v>
      </c>
      <c r="T155" s="26" t="n">
        <v>1500.3</v>
      </c>
      <c r="U155" s="26" t="n">
        <v>0</v>
      </c>
    </row>
    <row r="156" customFormat="false" ht="15" hidden="false" customHeight="true" outlineLevel="0" collapsed="false">
      <c r="A156" s="8" t="s">
        <v>407</v>
      </c>
      <c r="B156" s="8" t="s">
        <v>99</v>
      </c>
      <c r="C156" s="8" t="s">
        <v>573</v>
      </c>
      <c r="D156" s="26" t="n">
        <v>0</v>
      </c>
      <c r="E156" s="26" t="n">
        <v>0</v>
      </c>
      <c r="F156" s="26" t="n">
        <v>1061.4</v>
      </c>
      <c r="G156" s="26" t="n">
        <v>0</v>
      </c>
      <c r="H156" s="26" t="n">
        <v>26.8</v>
      </c>
      <c r="I156" s="26" t="n">
        <v>4094.8</v>
      </c>
      <c r="J156" s="26" t="n">
        <v>0</v>
      </c>
      <c r="K156" s="26" t="n">
        <v>138.8</v>
      </c>
      <c r="L156" s="26" t="n">
        <v>0</v>
      </c>
      <c r="M156" s="26" t="n">
        <v>0</v>
      </c>
      <c r="N156" s="26" t="n">
        <v>0</v>
      </c>
      <c r="O156" s="26" t="n">
        <v>0</v>
      </c>
      <c r="P156" s="26" t="n">
        <v>-27.8</v>
      </c>
      <c r="Q156" s="26" t="n">
        <v>1929.6</v>
      </c>
      <c r="R156" s="26" t="n">
        <v>2054.2</v>
      </c>
      <c r="S156" s="26" t="n">
        <v>0</v>
      </c>
      <c r="T156" s="26" t="n">
        <v>178.5</v>
      </c>
      <c r="U156" s="26" t="n">
        <v>0</v>
      </c>
    </row>
    <row r="157" customFormat="false" ht="15" hidden="false" customHeight="true" outlineLevel="0" collapsed="false">
      <c r="A157" s="8" t="s">
        <v>407</v>
      </c>
      <c r="B157" s="8" t="s">
        <v>94</v>
      </c>
      <c r="C157" s="8" t="s">
        <v>574</v>
      </c>
      <c r="D157" s="26" t="n">
        <v>0</v>
      </c>
      <c r="E157" s="26" t="n">
        <v>0</v>
      </c>
      <c r="F157" s="26" t="n">
        <v>3742.6</v>
      </c>
      <c r="G157" s="26" t="n">
        <v>0</v>
      </c>
      <c r="H157" s="26" t="n">
        <v>0</v>
      </c>
      <c r="I157" s="26" t="n">
        <v>38940.7</v>
      </c>
      <c r="J157" s="26" t="n">
        <v>0</v>
      </c>
      <c r="K157" s="26" t="n">
        <v>111</v>
      </c>
      <c r="L157" s="26" t="n">
        <v>0</v>
      </c>
      <c r="M157" s="26" t="n">
        <v>30.9</v>
      </c>
      <c r="N157" s="26" t="n">
        <v>30.9</v>
      </c>
      <c r="O157" s="26" t="n">
        <v>59.5</v>
      </c>
      <c r="P157" s="26" t="n">
        <v>-138.8</v>
      </c>
      <c r="Q157" s="26" t="n">
        <v>35627</v>
      </c>
      <c r="R157" s="26" t="n">
        <v>3220.2</v>
      </c>
      <c r="S157" s="26" t="n">
        <v>0</v>
      </c>
      <c r="T157" s="26" t="n">
        <v>0</v>
      </c>
      <c r="U157" s="26" t="n">
        <v>-41.2</v>
      </c>
    </row>
    <row r="158" customFormat="false" ht="15" hidden="false" customHeight="true" outlineLevel="0" collapsed="false">
      <c r="A158" s="8" t="s">
        <v>407</v>
      </c>
      <c r="B158" s="8" t="s">
        <v>94</v>
      </c>
      <c r="C158" s="8" t="s">
        <v>575</v>
      </c>
      <c r="D158" s="26" t="n">
        <v>0</v>
      </c>
      <c r="E158" s="26" t="n">
        <v>0</v>
      </c>
      <c r="F158" s="26" t="n">
        <v>8832.8</v>
      </c>
      <c r="G158" s="26" t="n">
        <v>0</v>
      </c>
      <c r="H158" s="26" t="n">
        <v>0</v>
      </c>
      <c r="I158" s="26" t="n">
        <v>57718.6</v>
      </c>
      <c r="J158" s="26" t="n">
        <v>0</v>
      </c>
      <c r="K158" s="26" t="n">
        <v>416.4</v>
      </c>
      <c r="L158" s="26" t="n">
        <v>0</v>
      </c>
      <c r="M158" s="26" t="n">
        <v>30.9</v>
      </c>
      <c r="N158" s="26" t="n">
        <v>30.9</v>
      </c>
      <c r="O158" s="26" t="n">
        <v>178.4</v>
      </c>
      <c r="P158" s="26" t="n">
        <v>-83.3</v>
      </c>
      <c r="Q158" s="26" t="n">
        <v>51924.5</v>
      </c>
      <c r="R158" s="26" t="n">
        <v>5220.9</v>
      </c>
      <c r="S158" s="26" t="n">
        <v>0</v>
      </c>
      <c r="T158" s="26" t="n">
        <v>0</v>
      </c>
      <c r="U158" s="26" t="n">
        <v>-82.4</v>
      </c>
    </row>
    <row r="159" customFormat="false" ht="15" hidden="false" customHeight="true" outlineLevel="0" collapsed="false">
      <c r="A159" s="8" t="s">
        <v>407</v>
      </c>
      <c r="B159" s="8" t="s">
        <v>94</v>
      </c>
      <c r="C159" s="8" t="s">
        <v>576</v>
      </c>
      <c r="D159" s="26" t="n">
        <v>0</v>
      </c>
      <c r="E159" s="26" t="n">
        <v>0</v>
      </c>
      <c r="F159" s="26" t="n">
        <v>8813.5</v>
      </c>
      <c r="G159" s="26" t="n">
        <v>0</v>
      </c>
      <c r="H159" s="26" t="n">
        <v>0</v>
      </c>
      <c r="I159" s="26" t="n">
        <v>69475.7</v>
      </c>
      <c r="J159" s="26" t="n">
        <v>0</v>
      </c>
      <c r="K159" s="26" t="n">
        <v>333.1</v>
      </c>
      <c r="L159" s="26" t="n">
        <v>0</v>
      </c>
      <c r="M159" s="26" t="n">
        <v>30.9</v>
      </c>
      <c r="N159" s="26" t="n">
        <v>30.9</v>
      </c>
      <c r="O159" s="26" t="n">
        <v>118.9</v>
      </c>
      <c r="P159" s="26" t="n">
        <v>-83.3</v>
      </c>
      <c r="Q159" s="26" t="n">
        <v>62436.3</v>
      </c>
      <c r="R159" s="26" t="n">
        <v>6608.9</v>
      </c>
      <c r="S159" s="26" t="n">
        <v>0</v>
      </c>
      <c r="T159" s="26" t="n">
        <v>0</v>
      </c>
      <c r="U159" s="26" t="n">
        <v>-82.4</v>
      </c>
    </row>
    <row r="160" customFormat="false" ht="15" hidden="false" customHeight="true" outlineLevel="0" collapsed="false">
      <c r="A160" s="8" t="s">
        <v>407</v>
      </c>
      <c r="B160" s="8" t="s">
        <v>94</v>
      </c>
      <c r="C160" s="8" t="s">
        <v>577</v>
      </c>
      <c r="D160" s="26" t="n">
        <v>0</v>
      </c>
      <c r="E160" s="26" t="n">
        <v>0</v>
      </c>
      <c r="F160" s="26" t="n">
        <v>4828.9</v>
      </c>
      <c r="G160" s="26" t="n">
        <v>0</v>
      </c>
      <c r="H160" s="26" t="n">
        <v>0</v>
      </c>
      <c r="I160" s="26" t="n">
        <v>37618.2</v>
      </c>
      <c r="J160" s="26" t="n">
        <v>0</v>
      </c>
      <c r="K160" s="26" t="n">
        <v>83.3</v>
      </c>
      <c r="L160" s="26" t="n">
        <v>0</v>
      </c>
      <c r="M160" s="26" t="n">
        <v>30.9</v>
      </c>
      <c r="N160" s="26" t="n">
        <v>30.9</v>
      </c>
      <c r="O160" s="26" t="n">
        <v>59.5</v>
      </c>
      <c r="P160" s="26" t="n">
        <v>-83.3</v>
      </c>
      <c r="Q160" s="26" t="n">
        <v>33192.2</v>
      </c>
      <c r="R160" s="26" t="n">
        <v>4304.8</v>
      </c>
      <c r="S160" s="26" t="n">
        <v>0</v>
      </c>
      <c r="T160" s="26" t="n">
        <v>0</v>
      </c>
      <c r="U160" s="26" t="n">
        <v>-123.6</v>
      </c>
    </row>
    <row r="161" customFormat="false" ht="15" hidden="false" customHeight="true" outlineLevel="0" collapsed="false">
      <c r="A161" s="8" t="s">
        <v>407</v>
      </c>
      <c r="B161" s="8" t="s">
        <v>218</v>
      </c>
      <c r="C161" s="8" t="s">
        <v>578</v>
      </c>
      <c r="D161" s="26" t="n">
        <v>0</v>
      </c>
      <c r="E161" s="26" t="n">
        <v>0</v>
      </c>
      <c r="F161" s="26" t="n">
        <v>788.8</v>
      </c>
      <c r="G161" s="26" t="n">
        <v>0</v>
      </c>
      <c r="H161" s="26" t="n">
        <v>0</v>
      </c>
      <c r="I161" s="26" t="n">
        <v>790.3</v>
      </c>
      <c r="J161" s="26" t="n">
        <v>0</v>
      </c>
      <c r="K161" s="26" t="n">
        <v>109.2</v>
      </c>
      <c r="L161" s="26" t="n">
        <v>0</v>
      </c>
      <c r="M161" s="26" t="n">
        <v>0</v>
      </c>
      <c r="N161" s="26" t="n">
        <v>0</v>
      </c>
      <c r="O161" s="26" t="n">
        <v>0</v>
      </c>
      <c r="P161" s="26" t="n">
        <v>-21.8</v>
      </c>
      <c r="Q161" s="26" t="n">
        <v>266.4</v>
      </c>
      <c r="R161" s="26" t="n">
        <v>436.6</v>
      </c>
      <c r="S161" s="26" t="n">
        <v>0</v>
      </c>
      <c r="T161" s="26" t="n">
        <v>275.4</v>
      </c>
      <c r="U161" s="26" t="n">
        <v>0</v>
      </c>
    </row>
    <row r="162" customFormat="false" ht="15" hidden="false" customHeight="true" outlineLevel="0" collapsed="false">
      <c r="A162" s="8" t="s">
        <v>407</v>
      </c>
      <c r="B162" s="8" t="s">
        <v>219</v>
      </c>
      <c r="C162" s="8" t="s">
        <v>579</v>
      </c>
      <c r="D162" s="26" t="n">
        <v>0</v>
      </c>
      <c r="E162" s="26" t="n">
        <v>0</v>
      </c>
      <c r="F162" s="26" t="n">
        <v>2397.1</v>
      </c>
      <c r="G162" s="26" t="n">
        <v>0</v>
      </c>
      <c r="H162" s="26" t="n">
        <v>0</v>
      </c>
      <c r="I162" s="26" t="n">
        <v>12492.2</v>
      </c>
      <c r="J162" s="26" t="n">
        <v>0</v>
      </c>
      <c r="K162" s="26" t="n">
        <v>202.1</v>
      </c>
      <c r="L162" s="26" t="n">
        <v>0</v>
      </c>
      <c r="M162" s="26" t="n">
        <v>0</v>
      </c>
      <c r="N162" s="26" t="n">
        <v>98.3</v>
      </c>
      <c r="O162" s="26" t="n">
        <v>0</v>
      </c>
      <c r="P162" s="26" t="n">
        <v>-57.7</v>
      </c>
      <c r="Q162" s="26" t="n">
        <v>11036.9</v>
      </c>
      <c r="R162" s="26" t="n">
        <v>1212.7</v>
      </c>
      <c r="S162" s="26" t="n">
        <v>0</v>
      </c>
      <c r="T162" s="26" t="n">
        <v>795.6</v>
      </c>
      <c r="U162" s="26" t="n">
        <v>0</v>
      </c>
    </row>
    <row r="163" customFormat="false" ht="15" hidden="false" customHeight="true" outlineLevel="0" collapsed="false">
      <c r="A163" s="8" t="s">
        <v>407</v>
      </c>
      <c r="B163" s="8" t="s">
        <v>130</v>
      </c>
      <c r="C163" s="8" t="s">
        <v>580</v>
      </c>
      <c r="D163" s="26" t="n">
        <v>0</v>
      </c>
      <c r="E163" s="26" t="n">
        <v>0</v>
      </c>
      <c r="F163" s="26" t="n">
        <v>8539.8</v>
      </c>
      <c r="G163" s="26" t="n">
        <v>0</v>
      </c>
      <c r="H163" s="26" t="n">
        <v>225.9</v>
      </c>
      <c r="I163" s="26" t="n">
        <v>7409.3</v>
      </c>
      <c r="J163" s="26" t="n">
        <v>0</v>
      </c>
      <c r="K163" s="26" t="n">
        <v>486.7</v>
      </c>
      <c r="L163" s="26" t="n">
        <v>0</v>
      </c>
      <c r="M163" s="26" t="n">
        <v>43.4</v>
      </c>
      <c r="N163" s="26" t="n">
        <v>275.1</v>
      </c>
      <c r="O163" s="26" t="n">
        <v>209.1</v>
      </c>
      <c r="P163" s="26" t="n">
        <v>-54.1</v>
      </c>
      <c r="Q163" s="26" t="n">
        <v>0</v>
      </c>
      <c r="R163" s="26" t="n">
        <v>6449</v>
      </c>
      <c r="S163" s="26" t="n">
        <v>0</v>
      </c>
      <c r="T163" s="26" t="n">
        <v>1582.1</v>
      </c>
      <c r="U163" s="26" t="n">
        <v>0</v>
      </c>
    </row>
    <row r="164" customFormat="false" ht="15" hidden="false" customHeight="true" outlineLevel="0" collapsed="false">
      <c r="A164" s="8" t="s">
        <v>407</v>
      </c>
      <c r="B164" s="8" t="s">
        <v>206</v>
      </c>
      <c r="C164" s="8" t="s">
        <v>581</v>
      </c>
      <c r="D164" s="26" t="n">
        <v>0</v>
      </c>
      <c r="E164" s="26" t="n">
        <v>0</v>
      </c>
      <c r="F164" s="26" t="n">
        <v>5901.2</v>
      </c>
      <c r="G164" s="26" t="n">
        <v>0</v>
      </c>
      <c r="H164" s="26" t="n">
        <v>0</v>
      </c>
      <c r="I164" s="26" t="n">
        <v>3005.5</v>
      </c>
      <c r="J164" s="26" t="n">
        <v>0</v>
      </c>
      <c r="K164" s="26" t="n">
        <v>67.6</v>
      </c>
      <c r="L164" s="26" t="n">
        <v>0</v>
      </c>
      <c r="M164" s="26" t="n">
        <v>0</v>
      </c>
      <c r="N164" s="26" t="n">
        <v>86.9</v>
      </c>
      <c r="O164" s="26" t="n">
        <v>104.5</v>
      </c>
      <c r="P164" s="26" t="n">
        <v>-81.1</v>
      </c>
      <c r="Q164" s="26" t="n">
        <v>-25.1</v>
      </c>
      <c r="R164" s="26" t="n">
        <v>2852.7</v>
      </c>
      <c r="S164" s="26" t="n">
        <v>0</v>
      </c>
      <c r="T164" s="26" t="n">
        <v>1201.7</v>
      </c>
      <c r="U164" s="26" t="n">
        <v>0</v>
      </c>
    </row>
    <row r="165" customFormat="false" ht="15" hidden="false" customHeight="true" outlineLevel="0" collapsed="false">
      <c r="A165" s="8" t="s">
        <v>407</v>
      </c>
      <c r="B165" s="8" t="s">
        <v>161</v>
      </c>
      <c r="C165" s="8" t="s">
        <v>582</v>
      </c>
      <c r="D165" s="26" t="n">
        <v>0</v>
      </c>
      <c r="E165" s="26" t="n">
        <v>0</v>
      </c>
      <c r="F165" s="26" t="n">
        <v>913.3</v>
      </c>
      <c r="G165" s="26" t="n">
        <v>0</v>
      </c>
      <c r="H165" s="26" t="n">
        <v>0</v>
      </c>
      <c r="I165" s="26" t="n">
        <v>493.6</v>
      </c>
      <c r="J165" s="26" t="n">
        <v>0</v>
      </c>
      <c r="K165" s="26" t="n">
        <v>98.7</v>
      </c>
      <c r="L165" s="26" t="n">
        <v>0</v>
      </c>
      <c r="M165" s="26" t="n">
        <v>0</v>
      </c>
      <c r="N165" s="26" t="n">
        <v>0</v>
      </c>
      <c r="O165" s="26" t="n">
        <v>0</v>
      </c>
      <c r="P165" s="26" t="n">
        <v>0</v>
      </c>
      <c r="Q165" s="26" t="n">
        <v>0</v>
      </c>
      <c r="R165" s="26" t="n">
        <v>394.9</v>
      </c>
      <c r="S165" s="26" t="n">
        <v>0</v>
      </c>
      <c r="T165" s="26" t="n">
        <v>0</v>
      </c>
      <c r="U165" s="26" t="n">
        <v>0</v>
      </c>
    </row>
    <row r="166" customFormat="false" ht="15" hidden="false" customHeight="true" outlineLevel="0" collapsed="false">
      <c r="A166" s="8" t="s">
        <v>407</v>
      </c>
      <c r="B166" s="8" t="s">
        <v>198</v>
      </c>
      <c r="C166" s="8" t="s">
        <v>583</v>
      </c>
      <c r="D166" s="26" t="n">
        <v>0</v>
      </c>
      <c r="E166" s="26" t="n">
        <v>0</v>
      </c>
      <c r="F166" s="26" t="n">
        <v>2729.8</v>
      </c>
      <c r="G166" s="26" t="n">
        <v>0</v>
      </c>
      <c r="H166" s="26" t="n">
        <v>58.3</v>
      </c>
      <c r="I166" s="26" t="n">
        <v>992.1</v>
      </c>
      <c r="J166" s="26" t="n">
        <v>0</v>
      </c>
      <c r="K166" s="26" t="n">
        <v>91.6</v>
      </c>
      <c r="L166" s="26" t="n">
        <v>0</v>
      </c>
      <c r="M166" s="26" t="n">
        <v>0</v>
      </c>
      <c r="N166" s="26" t="n">
        <v>100.9</v>
      </c>
      <c r="O166" s="26" t="n">
        <v>119.5</v>
      </c>
      <c r="P166" s="26" t="n">
        <v>0</v>
      </c>
      <c r="Q166" s="26" t="n">
        <v>0</v>
      </c>
      <c r="R166" s="26" t="n">
        <v>680.2</v>
      </c>
      <c r="S166" s="26" t="n">
        <v>0</v>
      </c>
      <c r="T166" s="26" t="n">
        <v>801.6</v>
      </c>
      <c r="U166" s="26" t="n">
        <v>-67.3</v>
      </c>
    </row>
    <row r="167" customFormat="false" ht="15" hidden="false" customHeight="true" outlineLevel="0" collapsed="false">
      <c r="A167" s="8" t="s">
        <v>407</v>
      </c>
      <c r="B167" s="8" t="s">
        <v>190</v>
      </c>
      <c r="C167" s="8" t="s">
        <v>584</v>
      </c>
      <c r="D167" s="26" t="n">
        <v>0</v>
      </c>
      <c r="E167" s="26" t="n">
        <v>0</v>
      </c>
      <c r="F167" s="26" t="n">
        <v>1199.1</v>
      </c>
      <c r="G167" s="26" t="n">
        <v>0</v>
      </c>
      <c r="H167" s="26" t="n">
        <v>89.1</v>
      </c>
      <c r="I167" s="26" t="n">
        <v>524.8</v>
      </c>
      <c r="J167" s="26" t="n">
        <v>0</v>
      </c>
      <c r="K167" s="26" t="n">
        <v>0</v>
      </c>
      <c r="L167" s="26" t="n">
        <v>0</v>
      </c>
      <c r="M167" s="26" t="n">
        <v>0</v>
      </c>
      <c r="N167" s="26" t="n">
        <v>61.7</v>
      </c>
      <c r="O167" s="26" t="n">
        <v>0</v>
      </c>
      <c r="P167" s="26" t="n">
        <v>-101.1</v>
      </c>
      <c r="Q167" s="26" t="n">
        <v>0</v>
      </c>
      <c r="R167" s="26" t="n">
        <v>564.1</v>
      </c>
      <c r="S167" s="26" t="n">
        <v>0</v>
      </c>
      <c r="T167" s="26" t="n">
        <v>404.8</v>
      </c>
      <c r="U167" s="26" t="n">
        <v>0</v>
      </c>
    </row>
    <row r="168" customFormat="false" ht="15" hidden="false" customHeight="true" outlineLevel="0" collapsed="false">
      <c r="A168" s="8" t="s">
        <v>407</v>
      </c>
      <c r="B168" s="8" t="s">
        <v>316</v>
      </c>
      <c r="C168" s="8" t="s">
        <v>585</v>
      </c>
      <c r="D168" s="26" t="n">
        <v>0</v>
      </c>
      <c r="E168" s="26" t="n">
        <v>0</v>
      </c>
      <c r="F168" s="26" t="n">
        <v>0</v>
      </c>
      <c r="G168" s="26" t="n">
        <v>0</v>
      </c>
      <c r="H168" s="26" t="n">
        <v>0</v>
      </c>
      <c r="I168" s="26" t="n">
        <v>-192.5</v>
      </c>
      <c r="J168" s="26" t="n">
        <v>0</v>
      </c>
      <c r="K168" s="26" t="n">
        <v>0</v>
      </c>
      <c r="L168" s="26" t="n">
        <v>0</v>
      </c>
      <c r="M168" s="26" t="n">
        <v>0</v>
      </c>
      <c r="N168" s="26" t="n">
        <v>0</v>
      </c>
      <c r="O168" s="26" t="n">
        <v>0</v>
      </c>
      <c r="P168" s="26" t="n">
        <v>0</v>
      </c>
      <c r="Q168" s="26" t="n">
        <v>-192.5</v>
      </c>
      <c r="R168" s="26" t="n">
        <v>0</v>
      </c>
      <c r="S168" s="26" t="n">
        <v>0</v>
      </c>
      <c r="T168" s="26" t="n">
        <v>0</v>
      </c>
      <c r="U168" s="26" t="n">
        <v>0</v>
      </c>
    </row>
    <row r="169" customFormat="false" ht="15" hidden="false" customHeight="true" outlineLevel="0" collapsed="false">
      <c r="A169" s="8" t="s">
        <v>407</v>
      </c>
      <c r="B169" s="8" t="s">
        <v>339</v>
      </c>
      <c r="C169" s="8" t="s">
        <v>585</v>
      </c>
      <c r="D169" s="26" t="n">
        <v>0</v>
      </c>
      <c r="E169" s="26" t="n">
        <v>0</v>
      </c>
      <c r="F169" s="26" t="n">
        <v>0</v>
      </c>
      <c r="G169" s="26" t="n">
        <v>0</v>
      </c>
      <c r="H169" s="26" t="n">
        <v>0</v>
      </c>
      <c r="I169" s="26" t="n">
        <v>-256.6</v>
      </c>
      <c r="J169" s="26" t="n">
        <v>0</v>
      </c>
      <c r="K169" s="26" t="n">
        <v>0</v>
      </c>
      <c r="L169" s="26" t="n">
        <v>0</v>
      </c>
      <c r="M169" s="26" t="n">
        <v>0</v>
      </c>
      <c r="N169" s="26" t="n">
        <v>0</v>
      </c>
      <c r="O169" s="26" t="n">
        <v>0</v>
      </c>
      <c r="P169" s="26" t="n">
        <v>0</v>
      </c>
      <c r="Q169" s="26" t="n">
        <v>-256.6</v>
      </c>
      <c r="R169" s="26" t="n">
        <v>0</v>
      </c>
      <c r="S169" s="26" t="n">
        <v>0</v>
      </c>
      <c r="T169" s="26" t="n">
        <v>0</v>
      </c>
      <c r="U169" s="26" t="n">
        <v>0</v>
      </c>
    </row>
    <row r="170" customFormat="false" ht="15" hidden="false" customHeight="true" outlineLevel="0" collapsed="false">
      <c r="A170" s="8" t="s">
        <v>407</v>
      </c>
      <c r="B170" s="8" t="s">
        <v>205</v>
      </c>
      <c r="C170" s="8" t="s">
        <v>586</v>
      </c>
      <c r="D170" s="26" t="n">
        <v>0</v>
      </c>
      <c r="E170" s="26" t="n">
        <v>0</v>
      </c>
      <c r="F170" s="26" t="n">
        <v>0</v>
      </c>
      <c r="G170" s="26" t="n">
        <v>0</v>
      </c>
      <c r="H170" s="26" t="n">
        <v>0</v>
      </c>
      <c r="I170" s="26" t="n">
        <v>458.7</v>
      </c>
      <c r="J170" s="26" t="n">
        <v>0</v>
      </c>
      <c r="K170" s="26" t="n">
        <v>0</v>
      </c>
      <c r="L170" s="26" t="n">
        <v>0</v>
      </c>
      <c r="M170" s="26" t="n">
        <v>0</v>
      </c>
      <c r="N170" s="26" t="n">
        <v>0</v>
      </c>
      <c r="O170" s="26" t="n">
        <v>0</v>
      </c>
      <c r="P170" s="26" t="n">
        <v>0</v>
      </c>
      <c r="Q170" s="26" t="n">
        <v>0</v>
      </c>
      <c r="R170" s="26" t="n">
        <v>458.7</v>
      </c>
      <c r="S170" s="26" t="n">
        <v>0</v>
      </c>
      <c r="T170" s="26" t="n">
        <v>309</v>
      </c>
      <c r="U170" s="26" t="n">
        <v>0</v>
      </c>
    </row>
    <row r="171" customFormat="false" ht="15" hidden="false" customHeight="true" outlineLevel="0" collapsed="false">
      <c r="A171" s="8" t="s">
        <v>407</v>
      </c>
      <c r="B171" s="8" t="s">
        <v>205</v>
      </c>
      <c r="C171" s="8" t="s">
        <v>587</v>
      </c>
      <c r="D171" s="26" t="n">
        <v>0</v>
      </c>
      <c r="E171" s="26" t="n">
        <v>0</v>
      </c>
      <c r="F171" s="26" t="n">
        <v>834.9</v>
      </c>
      <c r="G171" s="26" t="n">
        <v>0</v>
      </c>
      <c r="H171" s="26" t="n">
        <v>0</v>
      </c>
      <c r="I171" s="26" t="n">
        <v>330.8</v>
      </c>
      <c r="J171" s="26" t="n">
        <v>0</v>
      </c>
      <c r="K171" s="26" t="n">
        <v>0</v>
      </c>
      <c r="L171" s="26" t="n">
        <v>0</v>
      </c>
      <c r="M171" s="26" t="n">
        <v>0</v>
      </c>
      <c r="N171" s="26" t="n">
        <v>0</v>
      </c>
      <c r="O171" s="26" t="n">
        <v>0</v>
      </c>
      <c r="P171" s="26" t="n">
        <v>0</v>
      </c>
      <c r="Q171" s="26" t="n">
        <v>216.1</v>
      </c>
      <c r="R171" s="26" t="n">
        <v>114.7</v>
      </c>
      <c r="S171" s="26" t="n">
        <v>0</v>
      </c>
      <c r="T171" s="26" t="n">
        <v>0</v>
      </c>
      <c r="U171" s="26" t="n">
        <v>0</v>
      </c>
    </row>
    <row r="172" customFormat="false" ht="15" hidden="false" customHeight="true" outlineLevel="0" collapsed="false">
      <c r="A172" s="8" t="s">
        <v>407</v>
      </c>
      <c r="B172" s="8" t="s">
        <v>205</v>
      </c>
      <c r="C172" s="8" t="s">
        <v>588</v>
      </c>
      <c r="D172" s="26" t="n">
        <v>0</v>
      </c>
      <c r="E172" s="26" t="n">
        <v>0</v>
      </c>
      <c r="F172" s="26" t="n">
        <v>742.2</v>
      </c>
      <c r="G172" s="26" t="n">
        <v>0</v>
      </c>
      <c r="H172" s="26" t="n">
        <v>0</v>
      </c>
      <c r="I172" s="26" t="n">
        <v>104.9</v>
      </c>
      <c r="J172" s="26" t="n">
        <v>0</v>
      </c>
      <c r="K172" s="26" t="n">
        <v>0</v>
      </c>
      <c r="L172" s="26" t="n">
        <v>0</v>
      </c>
      <c r="M172" s="26" t="n">
        <v>0</v>
      </c>
      <c r="N172" s="26" t="n">
        <v>0</v>
      </c>
      <c r="O172" s="26" t="n">
        <v>0</v>
      </c>
      <c r="P172" s="26" t="n">
        <v>-337.4</v>
      </c>
      <c r="Q172" s="26" t="n">
        <v>213</v>
      </c>
      <c r="R172" s="26" t="n">
        <v>229.3</v>
      </c>
      <c r="S172" s="26" t="n">
        <v>0</v>
      </c>
      <c r="T172" s="26" t="n">
        <v>0</v>
      </c>
      <c r="U172" s="26" t="n">
        <v>0</v>
      </c>
    </row>
    <row r="173" customFormat="false" ht="15" hidden="false" customHeight="true" outlineLevel="0" collapsed="false">
      <c r="A173" s="8" t="s">
        <v>407</v>
      </c>
      <c r="B173" s="8" t="s">
        <v>205</v>
      </c>
      <c r="C173" s="8" t="s">
        <v>589</v>
      </c>
      <c r="D173" s="26" t="n">
        <v>0</v>
      </c>
      <c r="E173" s="26" t="n">
        <v>0</v>
      </c>
      <c r="F173" s="26" t="n">
        <v>649.4</v>
      </c>
      <c r="G173" s="26" t="n">
        <v>0</v>
      </c>
      <c r="H173" s="26" t="n">
        <v>0</v>
      </c>
      <c r="I173" s="26" t="n">
        <v>122.9</v>
      </c>
      <c r="J173" s="26" t="n">
        <v>0</v>
      </c>
      <c r="K173" s="26" t="n">
        <v>0</v>
      </c>
      <c r="L173" s="26" t="n">
        <v>0</v>
      </c>
      <c r="M173" s="26" t="n">
        <v>0</v>
      </c>
      <c r="N173" s="26" t="n">
        <v>0</v>
      </c>
      <c r="O173" s="26" t="n">
        <v>0</v>
      </c>
      <c r="P173" s="26" t="n">
        <v>-114.7</v>
      </c>
      <c r="Q173" s="26" t="n">
        <v>-106.5</v>
      </c>
      <c r="R173" s="26" t="n">
        <v>344</v>
      </c>
      <c r="S173" s="26" t="n">
        <v>0</v>
      </c>
      <c r="T173" s="26" t="n">
        <v>0</v>
      </c>
      <c r="U173" s="26" t="n">
        <v>0</v>
      </c>
    </row>
    <row r="174" customFormat="false" ht="15" hidden="false" customHeight="true" outlineLevel="0" collapsed="false">
      <c r="A174" s="8" t="s">
        <v>407</v>
      </c>
      <c r="B174" s="8" t="s">
        <v>279</v>
      </c>
      <c r="C174" s="8" t="s">
        <v>590</v>
      </c>
      <c r="D174" s="26" t="n">
        <v>0</v>
      </c>
      <c r="E174" s="26" t="n">
        <v>0</v>
      </c>
      <c r="F174" s="26" t="n">
        <v>398.6</v>
      </c>
      <c r="G174" s="26" t="n">
        <v>0</v>
      </c>
      <c r="H174" s="26" t="n">
        <v>0</v>
      </c>
      <c r="I174" s="26" t="n">
        <v>-181.2</v>
      </c>
      <c r="J174" s="26" t="n">
        <v>0</v>
      </c>
      <c r="K174" s="26" t="n">
        <v>0</v>
      </c>
      <c r="L174" s="26" t="n">
        <v>0</v>
      </c>
      <c r="M174" s="26" t="n">
        <v>0</v>
      </c>
      <c r="N174" s="26" t="n">
        <v>0</v>
      </c>
      <c r="O174" s="26" t="n">
        <v>0</v>
      </c>
      <c r="P174" s="26" t="n">
        <v>-181.2</v>
      </c>
      <c r="Q174" s="26" t="n">
        <v>0</v>
      </c>
      <c r="R174" s="26" t="n">
        <v>0</v>
      </c>
      <c r="S174" s="26" t="n">
        <v>0</v>
      </c>
      <c r="T174" s="26" t="n">
        <v>0</v>
      </c>
      <c r="U174" s="26" t="n">
        <v>0</v>
      </c>
    </row>
    <row r="175" customFormat="false" ht="15" hidden="false" customHeight="true" outlineLevel="0" collapsed="false">
      <c r="A175" s="8" t="s">
        <v>407</v>
      </c>
      <c r="B175" s="8" t="s">
        <v>279</v>
      </c>
      <c r="C175" s="8" t="s">
        <v>956</v>
      </c>
      <c r="D175" s="26" t="n">
        <v>0</v>
      </c>
      <c r="E175" s="26" t="n">
        <v>0</v>
      </c>
      <c r="F175" s="26" t="n">
        <v>135.9</v>
      </c>
      <c r="G175" s="26" t="n">
        <v>0</v>
      </c>
      <c r="H175" s="26" t="n">
        <v>0</v>
      </c>
      <c r="I175" s="26" t="n">
        <v>-255.9</v>
      </c>
      <c r="J175" s="26" t="n">
        <v>0</v>
      </c>
      <c r="K175" s="26" t="n">
        <v>0</v>
      </c>
      <c r="L175" s="26" t="n">
        <v>0</v>
      </c>
      <c r="M175" s="26" t="n">
        <v>0</v>
      </c>
      <c r="N175" s="26" t="n">
        <v>0</v>
      </c>
      <c r="O175" s="26" t="n">
        <v>0</v>
      </c>
      <c r="P175" s="26" t="n">
        <v>-255.9</v>
      </c>
      <c r="Q175" s="26" t="n">
        <v>0</v>
      </c>
      <c r="R175" s="26" t="n">
        <v>0</v>
      </c>
      <c r="S175" s="26" t="n">
        <v>0</v>
      </c>
      <c r="T175" s="26" t="n">
        <v>0</v>
      </c>
      <c r="U175" s="26" t="n">
        <v>0</v>
      </c>
    </row>
    <row r="176" customFormat="false" ht="15" hidden="false" customHeight="true" outlineLevel="0" collapsed="false">
      <c r="A176" s="8" t="s">
        <v>407</v>
      </c>
      <c r="B176" s="8" t="s">
        <v>279</v>
      </c>
      <c r="C176" s="8" t="s">
        <v>591</v>
      </c>
      <c r="D176" s="26" t="n">
        <v>0</v>
      </c>
      <c r="E176" s="26" t="n">
        <v>0</v>
      </c>
      <c r="F176" s="26" t="n">
        <v>0</v>
      </c>
      <c r="G176" s="26" t="n">
        <v>0</v>
      </c>
      <c r="H176" s="26" t="n">
        <v>0</v>
      </c>
      <c r="I176" s="26" t="n">
        <v>-116.7</v>
      </c>
      <c r="J176" s="26" t="n">
        <v>0</v>
      </c>
      <c r="K176" s="26" t="n">
        <v>0</v>
      </c>
      <c r="L176" s="26" t="n">
        <v>0</v>
      </c>
      <c r="M176" s="26" t="n">
        <v>0</v>
      </c>
      <c r="N176" s="26" t="n">
        <v>0</v>
      </c>
      <c r="O176" s="26" t="n">
        <v>0</v>
      </c>
      <c r="P176" s="26" t="n">
        <v>0</v>
      </c>
      <c r="Q176" s="26" t="n">
        <v>-116.7</v>
      </c>
      <c r="R176" s="26" t="n">
        <v>0</v>
      </c>
      <c r="S176" s="26" t="n">
        <v>0</v>
      </c>
      <c r="T176" s="26" t="n">
        <v>0</v>
      </c>
      <c r="U176" s="26" t="n">
        <v>0</v>
      </c>
    </row>
    <row r="177" customFormat="false" ht="15" hidden="false" customHeight="true" outlineLevel="0" collapsed="false">
      <c r="A177" s="8" t="s">
        <v>407</v>
      </c>
      <c r="B177" s="8" t="s">
        <v>279</v>
      </c>
      <c r="C177" s="8" t="s">
        <v>592</v>
      </c>
      <c r="D177" s="26" t="n">
        <v>0</v>
      </c>
      <c r="E177" s="26" t="n">
        <v>0</v>
      </c>
      <c r="F177" s="26" t="n">
        <v>262.7</v>
      </c>
      <c r="G177" s="26" t="n">
        <v>0</v>
      </c>
      <c r="H177" s="26" t="n">
        <v>0</v>
      </c>
      <c r="I177" s="26" t="n">
        <v>-116.7</v>
      </c>
      <c r="J177" s="26" t="n">
        <v>0</v>
      </c>
      <c r="K177" s="26" t="n">
        <v>0</v>
      </c>
      <c r="L177" s="26" t="n">
        <v>0</v>
      </c>
      <c r="M177" s="26" t="n">
        <v>0</v>
      </c>
      <c r="N177" s="26" t="n">
        <v>0</v>
      </c>
      <c r="O177" s="26" t="n">
        <v>0</v>
      </c>
      <c r="P177" s="26" t="n">
        <v>0</v>
      </c>
      <c r="Q177" s="26" t="n">
        <v>-116.7</v>
      </c>
      <c r="R177" s="26" t="n">
        <v>0</v>
      </c>
      <c r="S177" s="26" t="n">
        <v>0</v>
      </c>
      <c r="T177" s="26" t="n">
        <v>0</v>
      </c>
      <c r="U177" s="26" t="n">
        <v>0</v>
      </c>
    </row>
    <row r="178" customFormat="false" ht="15" hidden="false" customHeight="true" outlineLevel="0" collapsed="false">
      <c r="A178" s="8" t="s">
        <v>407</v>
      </c>
      <c r="B178" s="8" t="s">
        <v>152</v>
      </c>
      <c r="C178" s="8" t="s">
        <v>593</v>
      </c>
      <c r="D178" s="26" t="n">
        <v>0</v>
      </c>
      <c r="E178" s="26" t="n">
        <v>0</v>
      </c>
      <c r="F178" s="26" t="n">
        <v>0</v>
      </c>
      <c r="G178" s="26" t="n">
        <v>0</v>
      </c>
      <c r="H178" s="26" t="n">
        <v>0</v>
      </c>
      <c r="I178" s="26" t="n">
        <v>-295.5</v>
      </c>
      <c r="J178" s="26" t="n">
        <v>0</v>
      </c>
      <c r="K178" s="26" t="n">
        <v>0</v>
      </c>
      <c r="L178" s="26" t="n">
        <v>0</v>
      </c>
      <c r="M178" s="26" t="n">
        <v>0</v>
      </c>
      <c r="N178" s="26" t="n">
        <v>0</v>
      </c>
      <c r="O178" s="26" t="n">
        <v>0</v>
      </c>
      <c r="P178" s="26" t="n">
        <v>0</v>
      </c>
      <c r="Q178" s="26" t="n">
        <v>-295.5</v>
      </c>
      <c r="R178" s="26" t="n">
        <v>0</v>
      </c>
      <c r="S178" s="26" t="n">
        <v>0</v>
      </c>
      <c r="T178" s="26" t="n">
        <v>0</v>
      </c>
      <c r="U178" s="26" t="n">
        <v>0</v>
      </c>
    </row>
    <row r="179" customFormat="false" ht="15" hidden="false" customHeight="true" outlineLevel="0" collapsed="false">
      <c r="A179" s="8" t="s">
        <v>407</v>
      </c>
      <c r="B179" s="8" t="s">
        <v>152</v>
      </c>
      <c r="C179" s="8" t="s">
        <v>594</v>
      </c>
      <c r="D179" s="26" t="n">
        <v>0</v>
      </c>
      <c r="E179" s="26" t="n">
        <v>0</v>
      </c>
      <c r="F179" s="26" t="n">
        <v>0</v>
      </c>
      <c r="G179" s="26" t="n">
        <v>0</v>
      </c>
      <c r="H179" s="26" t="n">
        <v>0</v>
      </c>
      <c r="I179" s="26" t="n">
        <v>-439.5</v>
      </c>
      <c r="J179" s="26" t="n">
        <v>0</v>
      </c>
      <c r="K179" s="26" t="n">
        <v>0</v>
      </c>
      <c r="L179" s="26" t="n">
        <v>0</v>
      </c>
      <c r="M179" s="26" t="n">
        <v>0</v>
      </c>
      <c r="N179" s="26" t="n">
        <v>0</v>
      </c>
      <c r="O179" s="26" t="n">
        <v>0</v>
      </c>
      <c r="P179" s="26" t="n">
        <v>0</v>
      </c>
      <c r="Q179" s="26" t="n">
        <v>-439.5</v>
      </c>
      <c r="R179" s="26" t="n">
        <v>0</v>
      </c>
      <c r="S179" s="26" t="n">
        <v>0</v>
      </c>
      <c r="T179" s="26" t="n">
        <v>0</v>
      </c>
      <c r="U179" s="26" t="n">
        <v>0</v>
      </c>
    </row>
    <row r="180" customFormat="false" ht="15" hidden="false" customHeight="true" outlineLevel="0" collapsed="false">
      <c r="A180" s="8" t="s">
        <v>407</v>
      </c>
      <c r="B180" s="8" t="s">
        <v>152</v>
      </c>
      <c r="C180" s="8" t="s">
        <v>595</v>
      </c>
      <c r="D180" s="26" t="n">
        <v>0</v>
      </c>
      <c r="E180" s="26" t="n">
        <v>0</v>
      </c>
      <c r="F180" s="26" t="n">
        <v>349.9</v>
      </c>
      <c r="G180" s="26" t="n">
        <v>0</v>
      </c>
      <c r="H180" s="26" t="n">
        <v>0</v>
      </c>
      <c r="I180" s="26" t="n">
        <v>-177.3</v>
      </c>
      <c r="J180" s="26" t="n">
        <v>0</v>
      </c>
      <c r="K180" s="26" t="n">
        <v>0</v>
      </c>
      <c r="L180" s="26" t="n">
        <v>0</v>
      </c>
      <c r="M180" s="26" t="n">
        <v>0</v>
      </c>
      <c r="N180" s="26" t="n">
        <v>0</v>
      </c>
      <c r="O180" s="26" t="n">
        <v>0</v>
      </c>
      <c r="P180" s="26" t="n">
        <v>0</v>
      </c>
      <c r="Q180" s="26" t="n">
        <v>-177.3</v>
      </c>
      <c r="R180" s="26" t="n">
        <v>0</v>
      </c>
      <c r="S180" s="26" t="n">
        <v>0</v>
      </c>
      <c r="T180" s="26" t="n">
        <v>0</v>
      </c>
      <c r="U180" s="26" t="n">
        <v>0</v>
      </c>
    </row>
    <row r="181" customFormat="false" ht="15" hidden="false" customHeight="true" outlineLevel="0" collapsed="false">
      <c r="A181" s="8" t="s">
        <v>407</v>
      </c>
      <c r="B181" s="8" t="s">
        <v>152</v>
      </c>
      <c r="C181" s="8" t="s">
        <v>596</v>
      </c>
      <c r="D181" s="26" t="n">
        <v>0</v>
      </c>
      <c r="E181" s="26" t="n">
        <v>0</v>
      </c>
      <c r="F181" s="26" t="n">
        <v>0</v>
      </c>
      <c r="G181" s="26" t="n">
        <v>0</v>
      </c>
      <c r="H181" s="26" t="n">
        <v>0</v>
      </c>
      <c r="I181" s="26" t="n">
        <v>-151.6</v>
      </c>
      <c r="J181" s="26" t="n">
        <v>0</v>
      </c>
      <c r="K181" s="26" t="n">
        <v>0</v>
      </c>
      <c r="L181" s="26" t="n">
        <v>0</v>
      </c>
      <c r="M181" s="26" t="n">
        <v>0</v>
      </c>
      <c r="N181" s="26" t="n">
        <v>0</v>
      </c>
      <c r="O181" s="26" t="n">
        <v>0</v>
      </c>
      <c r="P181" s="26" t="n">
        <v>0</v>
      </c>
      <c r="Q181" s="26" t="n">
        <v>-151.6</v>
      </c>
      <c r="R181" s="26" t="n">
        <v>0</v>
      </c>
      <c r="S181" s="26" t="n">
        <v>0</v>
      </c>
      <c r="T181" s="26" t="n">
        <v>0</v>
      </c>
      <c r="U181" s="26" t="n">
        <v>0</v>
      </c>
    </row>
    <row r="182" customFormat="false" ht="15" hidden="false" customHeight="true" outlineLevel="0" collapsed="false">
      <c r="A182" s="8" t="s">
        <v>407</v>
      </c>
      <c r="B182" s="8" t="s">
        <v>152</v>
      </c>
      <c r="C182" s="8" t="s">
        <v>597</v>
      </c>
      <c r="D182" s="26" t="n">
        <v>0</v>
      </c>
      <c r="E182" s="26" t="n">
        <v>0</v>
      </c>
      <c r="F182" s="26" t="n">
        <v>0</v>
      </c>
      <c r="G182" s="26" t="n">
        <v>0</v>
      </c>
      <c r="H182" s="26" t="n">
        <v>0</v>
      </c>
      <c r="I182" s="26" t="n">
        <v>-144</v>
      </c>
      <c r="J182" s="26" t="n">
        <v>0</v>
      </c>
      <c r="K182" s="26" t="n">
        <v>0</v>
      </c>
      <c r="L182" s="26" t="n">
        <v>0</v>
      </c>
      <c r="M182" s="26" t="n">
        <v>0</v>
      </c>
      <c r="N182" s="26" t="n">
        <v>0</v>
      </c>
      <c r="O182" s="26" t="n">
        <v>0</v>
      </c>
      <c r="P182" s="26" t="n">
        <v>0</v>
      </c>
      <c r="Q182" s="26" t="n">
        <v>-144</v>
      </c>
      <c r="R182" s="26" t="n">
        <v>0</v>
      </c>
      <c r="S182" s="26" t="n">
        <v>0</v>
      </c>
      <c r="T182" s="26" t="n">
        <v>0</v>
      </c>
      <c r="U182" s="26" t="n">
        <v>0</v>
      </c>
    </row>
    <row r="183" customFormat="false" ht="15" hidden="false" customHeight="true" outlineLevel="0" collapsed="false">
      <c r="A183" s="8" t="s">
        <v>407</v>
      </c>
      <c r="B183" s="8" t="s">
        <v>100</v>
      </c>
      <c r="C183" s="8" t="s">
        <v>598</v>
      </c>
      <c r="D183" s="26" t="n">
        <v>0</v>
      </c>
      <c r="E183" s="26" t="n">
        <v>0</v>
      </c>
      <c r="F183" s="26" t="n">
        <v>7077.5</v>
      </c>
      <c r="G183" s="26" t="n">
        <v>0</v>
      </c>
      <c r="H183" s="26" t="n">
        <v>0</v>
      </c>
      <c r="I183" s="26" t="n">
        <v>31282</v>
      </c>
      <c r="J183" s="26" t="n">
        <v>0</v>
      </c>
      <c r="K183" s="26" t="n">
        <v>249.8</v>
      </c>
      <c r="L183" s="26" t="n">
        <v>0</v>
      </c>
      <c r="M183" s="26" t="n">
        <v>0</v>
      </c>
      <c r="N183" s="26" t="n">
        <v>92.7</v>
      </c>
      <c r="O183" s="26" t="n">
        <v>29.7</v>
      </c>
      <c r="P183" s="26" t="n">
        <v>-111</v>
      </c>
      <c r="Q183" s="26" t="n">
        <v>27235.5</v>
      </c>
      <c r="R183" s="26" t="n">
        <v>3785.2</v>
      </c>
      <c r="S183" s="26" t="n">
        <v>0</v>
      </c>
      <c r="T183" s="26" t="n">
        <v>3498</v>
      </c>
      <c r="U183" s="26" t="n">
        <v>0</v>
      </c>
    </row>
    <row r="184" customFormat="false" ht="15" hidden="false" customHeight="true" outlineLevel="0" collapsed="false">
      <c r="A184" s="8" t="s">
        <v>407</v>
      </c>
      <c r="B184" s="8" t="s">
        <v>100</v>
      </c>
      <c r="C184" s="8" t="s">
        <v>599</v>
      </c>
      <c r="D184" s="26" t="n">
        <v>0</v>
      </c>
      <c r="E184" s="26" t="n">
        <v>0</v>
      </c>
      <c r="F184" s="26" t="n">
        <v>5420.4</v>
      </c>
      <c r="G184" s="26" t="n">
        <v>0</v>
      </c>
      <c r="H184" s="26" t="n">
        <v>0</v>
      </c>
      <c r="I184" s="26" t="n">
        <v>31016.5</v>
      </c>
      <c r="J184" s="26" t="n">
        <v>0</v>
      </c>
      <c r="K184" s="26" t="n">
        <v>360.9</v>
      </c>
      <c r="L184" s="26" t="n">
        <v>0</v>
      </c>
      <c r="M184" s="26" t="n">
        <v>0</v>
      </c>
      <c r="N184" s="26" t="n">
        <v>92.7</v>
      </c>
      <c r="O184" s="26" t="n">
        <v>29.7</v>
      </c>
      <c r="P184" s="26" t="n">
        <v>-55.5</v>
      </c>
      <c r="Q184" s="26" t="n">
        <v>26730.1</v>
      </c>
      <c r="R184" s="26" t="n">
        <v>3858.6</v>
      </c>
      <c r="S184" s="26" t="n">
        <v>0</v>
      </c>
      <c r="T184" s="26" t="n">
        <v>2970</v>
      </c>
      <c r="U184" s="26" t="n">
        <v>0</v>
      </c>
    </row>
    <row r="185" customFormat="false" ht="15" hidden="false" customHeight="true" outlineLevel="0" collapsed="false">
      <c r="A185" s="8" t="s">
        <v>407</v>
      </c>
      <c r="B185" s="8" t="s">
        <v>100</v>
      </c>
      <c r="C185" s="8" t="s">
        <v>600</v>
      </c>
      <c r="D185" s="26" t="n">
        <v>0</v>
      </c>
      <c r="E185" s="26" t="n">
        <v>0</v>
      </c>
      <c r="F185" s="26" t="n">
        <v>2061.4</v>
      </c>
      <c r="G185" s="26" t="n">
        <v>0</v>
      </c>
      <c r="H185" s="26" t="n">
        <v>0</v>
      </c>
      <c r="I185" s="26" t="n">
        <v>17042.8</v>
      </c>
      <c r="J185" s="26" t="n">
        <v>0</v>
      </c>
      <c r="K185" s="26" t="n">
        <v>83.3</v>
      </c>
      <c r="L185" s="26" t="n">
        <v>0</v>
      </c>
      <c r="M185" s="26" t="n">
        <v>0</v>
      </c>
      <c r="N185" s="26" t="n">
        <v>92.7</v>
      </c>
      <c r="O185" s="26" t="n">
        <v>29.7</v>
      </c>
      <c r="P185" s="26" t="n">
        <v>-134.6</v>
      </c>
      <c r="Q185" s="26" t="n">
        <v>15278.4</v>
      </c>
      <c r="R185" s="26" t="n">
        <v>1693.4</v>
      </c>
      <c r="S185" s="26" t="n">
        <v>0</v>
      </c>
      <c r="T185" s="26" t="n">
        <v>775.5</v>
      </c>
      <c r="U185" s="26" t="n">
        <v>0</v>
      </c>
    </row>
    <row r="186" customFormat="false" ht="15" hidden="false" customHeight="true" outlineLevel="0" collapsed="false">
      <c r="A186" s="8" t="s">
        <v>407</v>
      </c>
      <c r="B186" s="8" t="s">
        <v>100</v>
      </c>
      <c r="C186" s="8" t="s">
        <v>601</v>
      </c>
      <c r="D186" s="26" t="n">
        <v>0</v>
      </c>
      <c r="E186" s="26" t="n">
        <v>0</v>
      </c>
      <c r="F186" s="26" t="n">
        <v>5044.9</v>
      </c>
      <c r="G186" s="26" t="n">
        <v>0</v>
      </c>
      <c r="H186" s="26" t="n">
        <v>26.8</v>
      </c>
      <c r="I186" s="26" t="n">
        <v>19111.5</v>
      </c>
      <c r="J186" s="26" t="n">
        <v>0</v>
      </c>
      <c r="K186" s="26" t="n">
        <v>138.8</v>
      </c>
      <c r="L186" s="26" t="n">
        <v>0</v>
      </c>
      <c r="M186" s="26" t="n">
        <v>0</v>
      </c>
      <c r="N186" s="26" t="n">
        <v>92.7</v>
      </c>
      <c r="O186" s="26" t="n">
        <v>29.7</v>
      </c>
      <c r="P186" s="26" t="n">
        <v>-111</v>
      </c>
      <c r="Q186" s="26" t="n">
        <v>16625.5</v>
      </c>
      <c r="R186" s="26" t="n">
        <v>2335.8</v>
      </c>
      <c r="S186" s="26" t="n">
        <v>0</v>
      </c>
      <c r="T186" s="26" t="n">
        <v>2033.6</v>
      </c>
      <c r="U186" s="26" t="n">
        <v>0</v>
      </c>
    </row>
    <row r="187" customFormat="false" ht="15" hidden="false" customHeight="true" outlineLevel="0" collapsed="false">
      <c r="A187" s="8" t="s">
        <v>407</v>
      </c>
      <c r="B187" s="8" t="s">
        <v>100</v>
      </c>
      <c r="C187" s="8" t="s">
        <v>602</v>
      </c>
      <c r="D187" s="26" t="n">
        <v>0</v>
      </c>
      <c r="E187" s="26" t="n">
        <v>0</v>
      </c>
      <c r="F187" s="26" t="n">
        <v>2415.6</v>
      </c>
      <c r="G187" s="26" t="n">
        <v>0</v>
      </c>
      <c r="H187" s="26" t="n">
        <v>0</v>
      </c>
      <c r="I187" s="26" t="n">
        <v>6899.5</v>
      </c>
      <c r="J187" s="26" t="n">
        <v>0</v>
      </c>
      <c r="K187" s="26" t="n">
        <v>138.8</v>
      </c>
      <c r="L187" s="26" t="n">
        <v>0</v>
      </c>
      <c r="M187" s="26" t="n">
        <v>0</v>
      </c>
      <c r="N187" s="26" t="n">
        <v>0</v>
      </c>
      <c r="O187" s="26" t="n">
        <v>29.7</v>
      </c>
      <c r="P187" s="26" t="n">
        <v>-55.5</v>
      </c>
      <c r="Q187" s="26" t="n">
        <v>4674.8</v>
      </c>
      <c r="R187" s="26" t="n">
        <v>2111.7</v>
      </c>
      <c r="S187" s="26" t="n">
        <v>0</v>
      </c>
      <c r="T187" s="26" t="n">
        <v>730.1</v>
      </c>
      <c r="U187" s="26" t="n">
        <v>0</v>
      </c>
    </row>
    <row r="188" customFormat="false" ht="15" hidden="false" customHeight="true" outlineLevel="0" collapsed="false">
      <c r="A188" s="8" t="s">
        <v>407</v>
      </c>
      <c r="B188" s="8" t="s">
        <v>87</v>
      </c>
      <c r="C188" s="8" t="s">
        <v>603</v>
      </c>
      <c r="D188" s="26" t="n">
        <v>0</v>
      </c>
      <c r="E188" s="26" t="n">
        <v>0</v>
      </c>
      <c r="F188" s="26" t="n">
        <v>3056.8</v>
      </c>
      <c r="G188" s="26" t="n">
        <v>0</v>
      </c>
      <c r="H188" s="26" t="n">
        <v>0</v>
      </c>
      <c r="I188" s="26" t="n">
        <v>35730.8</v>
      </c>
      <c r="J188" s="26" t="n">
        <v>0</v>
      </c>
      <c r="K188" s="26" t="n">
        <v>277.6</v>
      </c>
      <c r="L188" s="26" t="n">
        <v>0</v>
      </c>
      <c r="M188" s="26" t="n">
        <v>30.9</v>
      </c>
      <c r="N188" s="26" t="n">
        <v>30.9</v>
      </c>
      <c r="O188" s="26" t="n">
        <v>59.5</v>
      </c>
      <c r="P188" s="26" t="n">
        <v>-83.3</v>
      </c>
      <c r="Q188" s="26" t="n">
        <v>33027.9</v>
      </c>
      <c r="R188" s="26" t="n">
        <v>2387.4</v>
      </c>
      <c r="S188" s="26" t="n">
        <v>0</v>
      </c>
      <c r="T188" s="26" t="n">
        <v>0</v>
      </c>
      <c r="U188" s="26" t="n">
        <v>0</v>
      </c>
    </row>
    <row r="189" customFormat="false" ht="15" hidden="false" customHeight="true" outlineLevel="0" collapsed="false">
      <c r="A189" s="8" t="s">
        <v>407</v>
      </c>
      <c r="B189" s="8" t="s">
        <v>87</v>
      </c>
      <c r="C189" s="8" t="s">
        <v>604</v>
      </c>
      <c r="D189" s="26" t="n">
        <v>0</v>
      </c>
      <c r="E189" s="26" t="n">
        <v>0</v>
      </c>
      <c r="F189" s="26" t="n">
        <v>8420.2</v>
      </c>
      <c r="G189" s="26" t="n">
        <v>0</v>
      </c>
      <c r="H189" s="26" t="n">
        <v>107.1</v>
      </c>
      <c r="I189" s="26" t="n">
        <v>57538.9</v>
      </c>
      <c r="J189" s="26" t="n">
        <v>0</v>
      </c>
      <c r="K189" s="26" t="n">
        <v>610.7</v>
      </c>
      <c r="L189" s="26" t="n">
        <v>0</v>
      </c>
      <c r="M189" s="26" t="n">
        <v>0</v>
      </c>
      <c r="N189" s="26" t="n">
        <v>30.9</v>
      </c>
      <c r="O189" s="26" t="n">
        <v>89.2</v>
      </c>
      <c r="P189" s="26" t="n">
        <v>-83.3</v>
      </c>
      <c r="Q189" s="26" t="n">
        <v>51837</v>
      </c>
      <c r="R189" s="26" t="n">
        <v>5054.3</v>
      </c>
      <c r="S189" s="26" t="n">
        <v>0</v>
      </c>
      <c r="T189" s="26" t="n">
        <v>0</v>
      </c>
      <c r="U189" s="26" t="n">
        <v>0</v>
      </c>
    </row>
    <row r="190" customFormat="false" ht="15" hidden="false" customHeight="true" outlineLevel="0" collapsed="false">
      <c r="A190" s="8" t="s">
        <v>407</v>
      </c>
      <c r="B190" s="8" t="s">
        <v>87</v>
      </c>
      <c r="C190" s="8" t="s">
        <v>605</v>
      </c>
      <c r="D190" s="26" t="n">
        <v>0</v>
      </c>
      <c r="E190" s="26" t="n">
        <v>0</v>
      </c>
      <c r="F190" s="26" t="n">
        <v>7247.2</v>
      </c>
      <c r="G190" s="26" t="n">
        <v>0</v>
      </c>
      <c r="H190" s="26" t="n">
        <v>0</v>
      </c>
      <c r="I190" s="26" t="n">
        <v>68993.9</v>
      </c>
      <c r="J190" s="26" t="n">
        <v>0</v>
      </c>
      <c r="K190" s="26" t="n">
        <v>694</v>
      </c>
      <c r="L190" s="26" t="n">
        <v>0</v>
      </c>
      <c r="M190" s="26" t="n">
        <v>30.9</v>
      </c>
      <c r="N190" s="26" t="n">
        <v>30.9</v>
      </c>
      <c r="O190" s="26" t="n">
        <v>89.2</v>
      </c>
      <c r="P190" s="26" t="n">
        <v>-194.3</v>
      </c>
      <c r="Q190" s="26" t="n">
        <v>62928.1</v>
      </c>
      <c r="R190" s="26" t="n">
        <v>5415.2</v>
      </c>
      <c r="S190" s="26" t="n">
        <v>0</v>
      </c>
      <c r="T190" s="26" t="n">
        <v>0</v>
      </c>
      <c r="U190" s="26" t="n">
        <v>-41.2</v>
      </c>
    </row>
    <row r="191" customFormat="false" ht="15" hidden="false" customHeight="true" outlineLevel="0" collapsed="false">
      <c r="A191" s="8" t="s">
        <v>407</v>
      </c>
      <c r="B191" s="8" t="s">
        <v>87</v>
      </c>
      <c r="C191" s="8" t="s">
        <v>606</v>
      </c>
      <c r="D191" s="26" t="n">
        <v>0</v>
      </c>
      <c r="E191" s="26" t="n">
        <v>0</v>
      </c>
      <c r="F191" s="26" t="n">
        <v>7752.6</v>
      </c>
      <c r="G191" s="26" t="n">
        <v>0</v>
      </c>
      <c r="H191" s="26" t="n">
        <v>53.5</v>
      </c>
      <c r="I191" s="26" t="n">
        <v>47482</v>
      </c>
      <c r="J191" s="26" t="n">
        <v>0</v>
      </c>
      <c r="K191" s="26" t="n">
        <v>277.6</v>
      </c>
      <c r="L191" s="26" t="n">
        <v>0</v>
      </c>
      <c r="M191" s="26" t="n">
        <v>30.9</v>
      </c>
      <c r="N191" s="26" t="n">
        <v>30.9</v>
      </c>
      <c r="O191" s="26" t="n">
        <v>29.7</v>
      </c>
      <c r="P191" s="26" t="n">
        <v>-111</v>
      </c>
      <c r="Q191" s="26" t="n">
        <v>42974.7</v>
      </c>
      <c r="R191" s="26" t="n">
        <v>4249.3</v>
      </c>
      <c r="S191" s="26" t="n">
        <v>0</v>
      </c>
      <c r="T191" s="26" t="n">
        <v>0</v>
      </c>
      <c r="U191" s="26" t="n">
        <v>0</v>
      </c>
    </row>
    <row r="192" customFormat="false" ht="15" hidden="false" customHeight="true" outlineLevel="0" collapsed="false">
      <c r="A192" s="8" t="s">
        <v>407</v>
      </c>
      <c r="B192" s="8" t="s">
        <v>114</v>
      </c>
      <c r="C192" s="8" t="s">
        <v>607</v>
      </c>
      <c r="D192" s="26" t="n">
        <v>0</v>
      </c>
      <c r="E192" s="26" t="n">
        <v>0</v>
      </c>
      <c r="F192" s="26" t="n">
        <v>1058.6</v>
      </c>
      <c r="G192" s="26" t="n">
        <v>0</v>
      </c>
      <c r="H192" s="26" t="n">
        <v>0</v>
      </c>
      <c r="I192" s="26" t="n">
        <v>11509</v>
      </c>
      <c r="J192" s="26" t="n">
        <v>0</v>
      </c>
      <c r="K192" s="26" t="n">
        <v>134</v>
      </c>
      <c r="L192" s="26" t="n">
        <v>0</v>
      </c>
      <c r="M192" s="26" t="n">
        <v>0</v>
      </c>
      <c r="N192" s="26" t="n">
        <v>0</v>
      </c>
      <c r="O192" s="26" t="n">
        <v>35.9</v>
      </c>
      <c r="P192" s="26" t="n">
        <v>-100.5</v>
      </c>
      <c r="Q192" s="26" t="n">
        <v>9530.7</v>
      </c>
      <c r="R192" s="26" t="n">
        <v>1908.9</v>
      </c>
      <c r="S192" s="26" t="n">
        <v>0</v>
      </c>
      <c r="T192" s="26" t="n">
        <v>768.8</v>
      </c>
      <c r="U192" s="26" t="n">
        <v>-49.9</v>
      </c>
    </row>
    <row r="193" customFormat="false" ht="15" hidden="false" customHeight="true" outlineLevel="0" collapsed="false">
      <c r="A193" s="8" t="s">
        <v>407</v>
      </c>
      <c r="B193" s="8" t="s">
        <v>114</v>
      </c>
      <c r="C193" s="8" t="s">
        <v>608</v>
      </c>
      <c r="D193" s="26" t="n">
        <v>0</v>
      </c>
      <c r="E193" s="26" t="n">
        <v>0</v>
      </c>
      <c r="F193" s="26" t="n">
        <v>3130.5</v>
      </c>
      <c r="G193" s="26" t="n">
        <v>0</v>
      </c>
      <c r="H193" s="26" t="n">
        <v>162.3</v>
      </c>
      <c r="I193" s="26" t="n">
        <v>31865.9</v>
      </c>
      <c r="J193" s="26" t="n">
        <v>0</v>
      </c>
      <c r="K193" s="26" t="n">
        <v>468.9</v>
      </c>
      <c r="L193" s="26" t="n">
        <v>0</v>
      </c>
      <c r="M193" s="26" t="n">
        <v>0</v>
      </c>
      <c r="N193" s="26" t="n">
        <v>0</v>
      </c>
      <c r="O193" s="26" t="n">
        <v>71.8</v>
      </c>
      <c r="P193" s="26" t="n">
        <v>-100.5</v>
      </c>
      <c r="Q193" s="26" t="n">
        <v>24557.9</v>
      </c>
      <c r="R193" s="26" t="n">
        <v>6867.8</v>
      </c>
      <c r="S193" s="26" t="n">
        <v>0</v>
      </c>
      <c r="T193" s="26" t="n">
        <v>2029.5</v>
      </c>
      <c r="U193" s="26" t="n">
        <v>-49.9</v>
      </c>
    </row>
    <row r="194" customFormat="false" ht="15" hidden="false" customHeight="true" outlineLevel="0" collapsed="false">
      <c r="A194" s="8" t="s">
        <v>407</v>
      </c>
      <c r="B194" s="8" t="s">
        <v>114</v>
      </c>
      <c r="C194" s="8" t="s">
        <v>609</v>
      </c>
      <c r="D194" s="26" t="n">
        <v>0</v>
      </c>
      <c r="E194" s="26" t="n">
        <v>0</v>
      </c>
      <c r="F194" s="26" t="n">
        <v>2222.1</v>
      </c>
      <c r="G194" s="26" t="n">
        <v>0</v>
      </c>
      <c r="H194" s="26" t="n">
        <v>162.3</v>
      </c>
      <c r="I194" s="26" t="n">
        <v>31538.3</v>
      </c>
      <c r="J194" s="26" t="n">
        <v>0</v>
      </c>
      <c r="K194" s="26" t="n">
        <v>334.9</v>
      </c>
      <c r="L194" s="26" t="n">
        <v>0</v>
      </c>
      <c r="M194" s="26" t="n">
        <v>0</v>
      </c>
      <c r="N194" s="26" t="n">
        <v>0</v>
      </c>
      <c r="O194" s="26" t="n">
        <v>35.9</v>
      </c>
      <c r="P194" s="26" t="n">
        <v>-67</v>
      </c>
      <c r="Q194" s="26" t="n">
        <v>26344.9</v>
      </c>
      <c r="R194" s="26" t="n">
        <v>4889.5</v>
      </c>
      <c r="S194" s="26" t="n">
        <v>35</v>
      </c>
      <c r="T194" s="26" t="n">
        <v>2777.7</v>
      </c>
      <c r="U194" s="26" t="n">
        <v>-49.9</v>
      </c>
    </row>
    <row r="195" customFormat="false" ht="15" hidden="false" customHeight="true" outlineLevel="0" collapsed="false">
      <c r="A195" s="8" t="s">
        <v>407</v>
      </c>
      <c r="B195" s="8" t="s">
        <v>114</v>
      </c>
      <c r="C195" s="8" t="s">
        <v>610</v>
      </c>
      <c r="D195" s="26" t="n">
        <v>0</v>
      </c>
      <c r="E195" s="26" t="n">
        <v>0</v>
      </c>
      <c r="F195" s="26" t="n">
        <v>2438.9</v>
      </c>
      <c r="G195" s="26" t="n">
        <v>0</v>
      </c>
      <c r="H195" s="26" t="n">
        <v>0</v>
      </c>
      <c r="I195" s="26" t="n">
        <v>24782.5</v>
      </c>
      <c r="J195" s="26" t="n">
        <v>0</v>
      </c>
      <c r="K195" s="26" t="n">
        <v>234.4</v>
      </c>
      <c r="L195" s="26" t="n">
        <v>0</v>
      </c>
      <c r="M195" s="26" t="n">
        <v>0</v>
      </c>
      <c r="N195" s="26" t="n">
        <v>0</v>
      </c>
      <c r="O195" s="26" t="n">
        <v>143.5</v>
      </c>
      <c r="P195" s="26" t="n">
        <v>-167.5</v>
      </c>
      <c r="Q195" s="26" t="n">
        <v>19981.4</v>
      </c>
      <c r="R195" s="26" t="n">
        <v>4590.5</v>
      </c>
      <c r="S195" s="26" t="n">
        <v>0</v>
      </c>
      <c r="T195" s="26" t="n">
        <v>2326.7</v>
      </c>
      <c r="U195" s="26" t="n">
        <v>0</v>
      </c>
    </row>
    <row r="196" customFormat="false" ht="15" hidden="false" customHeight="true" outlineLevel="0" collapsed="false">
      <c r="A196" s="8" t="s">
        <v>407</v>
      </c>
      <c r="B196" s="8" t="s">
        <v>114</v>
      </c>
      <c r="C196" s="8" t="s">
        <v>611</v>
      </c>
      <c r="D196" s="26" t="n">
        <v>0</v>
      </c>
      <c r="E196" s="26" t="n">
        <v>0</v>
      </c>
      <c r="F196" s="26" t="n">
        <v>1131.1</v>
      </c>
      <c r="G196" s="26" t="n">
        <v>0</v>
      </c>
      <c r="H196" s="26" t="n">
        <v>0</v>
      </c>
      <c r="I196" s="26" t="n">
        <v>5538.5</v>
      </c>
      <c r="J196" s="26" t="n">
        <v>0</v>
      </c>
      <c r="K196" s="26" t="n">
        <v>134</v>
      </c>
      <c r="L196" s="26" t="n">
        <v>0</v>
      </c>
      <c r="M196" s="26" t="n">
        <v>0</v>
      </c>
      <c r="N196" s="26" t="n">
        <v>0</v>
      </c>
      <c r="O196" s="26" t="n">
        <v>0</v>
      </c>
      <c r="P196" s="26" t="n">
        <v>-468.9</v>
      </c>
      <c r="Q196" s="26" t="n">
        <v>3060.3</v>
      </c>
      <c r="R196" s="26" t="n">
        <v>2813.2</v>
      </c>
      <c r="S196" s="26" t="n">
        <v>0</v>
      </c>
      <c r="T196" s="26" t="n">
        <v>825.1</v>
      </c>
      <c r="U196" s="26" t="n">
        <v>0</v>
      </c>
    </row>
    <row r="197" customFormat="false" ht="15" hidden="false" customHeight="true" outlineLevel="0" collapsed="false">
      <c r="A197" s="8" t="s">
        <v>407</v>
      </c>
      <c r="B197" s="8" t="s">
        <v>187</v>
      </c>
      <c r="C197" s="8" t="s">
        <v>612</v>
      </c>
      <c r="D197" s="26" t="n">
        <v>0</v>
      </c>
      <c r="E197" s="26" t="n">
        <v>0</v>
      </c>
      <c r="F197" s="26" t="n">
        <v>56.7</v>
      </c>
      <c r="G197" s="26" t="n">
        <v>0</v>
      </c>
      <c r="H197" s="26" t="n">
        <v>0</v>
      </c>
      <c r="I197" s="26" t="n">
        <v>0</v>
      </c>
      <c r="J197" s="26" t="n">
        <v>0</v>
      </c>
      <c r="K197" s="26" t="n">
        <v>0</v>
      </c>
      <c r="L197" s="26" t="n">
        <v>0</v>
      </c>
      <c r="M197" s="26" t="n">
        <v>0</v>
      </c>
      <c r="N197" s="26" t="n">
        <v>0</v>
      </c>
      <c r="O197" s="26" t="n">
        <v>0</v>
      </c>
      <c r="P197" s="26" t="n">
        <v>0</v>
      </c>
      <c r="Q197" s="26" t="n">
        <v>0</v>
      </c>
      <c r="R197" s="26" t="n">
        <v>0</v>
      </c>
      <c r="S197" s="26" t="n">
        <v>0</v>
      </c>
      <c r="T197" s="26" t="n">
        <v>0</v>
      </c>
      <c r="U197" s="26" t="n">
        <v>0</v>
      </c>
    </row>
    <row r="198" customFormat="false" ht="15" hidden="false" customHeight="true" outlineLevel="0" collapsed="false">
      <c r="A198" s="8" t="s">
        <v>407</v>
      </c>
      <c r="B198" s="8" t="s">
        <v>187</v>
      </c>
      <c r="C198" s="8" t="s">
        <v>613</v>
      </c>
      <c r="D198" s="26" t="n">
        <v>0</v>
      </c>
      <c r="E198" s="26" t="n">
        <v>0</v>
      </c>
      <c r="F198" s="26" t="n">
        <v>170</v>
      </c>
      <c r="G198" s="26" t="n">
        <v>0</v>
      </c>
      <c r="H198" s="26" t="n">
        <v>0</v>
      </c>
      <c r="I198" s="26" t="n">
        <v>243.1</v>
      </c>
      <c r="J198" s="26" t="n">
        <v>0</v>
      </c>
      <c r="K198" s="26" t="n">
        <v>0</v>
      </c>
      <c r="L198" s="26" t="n">
        <v>0</v>
      </c>
      <c r="M198" s="26" t="n">
        <v>0</v>
      </c>
      <c r="N198" s="26" t="n">
        <v>0</v>
      </c>
      <c r="O198" s="26" t="n">
        <v>0</v>
      </c>
      <c r="P198" s="26" t="n">
        <v>0</v>
      </c>
      <c r="Q198" s="26" t="n">
        <v>243.1</v>
      </c>
      <c r="R198" s="26" t="n">
        <v>0</v>
      </c>
      <c r="S198" s="26" t="n">
        <v>0</v>
      </c>
      <c r="T198" s="26" t="n">
        <v>0</v>
      </c>
      <c r="U198" s="26" t="n">
        <v>0</v>
      </c>
    </row>
    <row r="199" customFormat="false" ht="15" hidden="false" customHeight="true" outlineLevel="0" collapsed="false">
      <c r="A199" s="8" t="s">
        <v>407</v>
      </c>
      <c r="B199" s="8" t="s">
        <v>187</v>
      </c>
      <c r="C199" s="8" t="s">
        <v>614</v>
      </c>
      <c r="D199" s="26" t="n">
        <v>0</v>
      </c>
      <c r="E199" s="26" t="n">
        <v>0</v>
      </c>
      <c r="F199" s="26" t="n">
        <v>113.3</v>
      </c>
      <c r="G199" s="26" t="n">
        <v>0</v>
      </c>
      <c r="H199" s="26" t="n">
        <v>0</v>
      </c>
      <c r="I199" s="26" t="n">
        <v>152.7</v>
      </c>
      <c r="J199" s="26" t="n">
        <v>0</v>
      </c>
      <c r="K199" s="26" t="n">
        <v>0</v>
      </c>
      <c r="L199" s="26" t="n">
        <v>0</v>
      </c>
      <c r="M199" s="26" t="n">
        <v>0</v>
      </c>
      <c r="N199" s="26" t="n">
        <v>0</v>
      </c>
      <c r="O199" s="26" t="n">
        <v>0</v>
      </c>
      <c r="P199" s="26" t="n">
        <v>0</v>
      </c>
      <c r="Q199" s="26" t="n">
        <v>152.7</v>
      </c>
      <c r="R199" s="26" t="n">
        <v>0</v>
      </c>
      <c r="S199" s="26" t="n">
        <v>0</v>
      </c>
      <c r="T199" s="26" t="n">
        <v>0</v>
      </c>
      <c r="U199" s="26" t="n">
        <v>0</v>
      </c>
    </row>
    <row r="200" customFormat="false" ht="15" hidden="false" customHeight="true" outlineLevel="0" collapsed="false">
      <c r="A200" s="8" t="s">
        <v>407</v>
      </c>
      <c r="B200" s="8" t="s">
        <v>187</v>
      </c>
      <c r="C200" s="8" t="s">
        <v>615</v>
      </c>
      <c r="D200" s="26" t="n">
        <v>0</v>
      </c>
      <c r="E200" s="26" t="n">
        <v>0</v>
      </c>
      <c r="F200" s="26" t="n">
        <v>56.7</v>
      </c>
      <c r="G200" s="26" t="n">
        <v>0</v>
      </c>
      <c r="H200" s="26" t="n">
        <v>0</v>
      </c>
      <c r="I200" s="26" t="n">
        <v>0</v>
      </c>
      <c r="J200" s="26" t="n">
        <v>0</v>
      </c>
      <c r="K200" s="26" t="n">
        <v>0</v>
      </c>
      <c r="L200" s="26" t="n">
        <v>0</v>
      </c>
      <c r="M200" s="26" t="n">
        <v>0</v>
      </c>
      <c r="N200" s="26" t="n">
        <v>0</v>
      </c>
      <c r="O200" s="26" t="n">
        <v>0</v>
      </c>
      <c r="P200" s="26" t="n">
        <v>0</v>
      </c>
      <c r="Q200" s="26" t="n">
        <v>0</v>
      </c>
      <c r="R200" s="26" t="n">
        <v>0</v>
      </c>
      <c r="S200" s="26" t="n">
        <v>0</v>
      </c>
      <c r="T200" s="26" t="n">
        <v>0</v>
      </c>
      <c r="U200" s="26" t="n">
        <v>0</v>
      </c>
    </row>
    <row r="201" customFormat="false" ht="15" hidden="false" customHeight="true" outlineLevel="0" collapsed="false">
      <c r="A201" s="8" t="s">
        <v>407</v>
      </c>
      <c r="B201" s="8" t="s">
        <v>168</v>
      </c>
      <c r="C201" s="8" t="s">
        <v>617</v>
      </c>
      <c r="D201" s="26" t="n">
        <v>0</v>
      </c>
      <c r="E201" s="26" t="n">
        <v>0</v>
      </c>
      <c r="F201" s="26" t="n">
        <v>194.6</v>
      </c>
      <c r="G201" s="26" t="n">
        <v>0</v>
      </c>
      <c r="H201" s="26" t="n">
        <v>0</v>
      </c>
      <c r="I201" s="26" t="n">
        <v>354</v>
      </c>
      <c r="J201" s="26" t="n">
        <v>0</v>
      </c>
      <c r="K201" s="26" t="n">
        <v>0</v>
      </c>
      <c r="L201" s="26" t="n">
        <v>0</v>
      </c>
      <c r="M201" s="26" t="n">
        <v>0</v>
      </c>
      <c r="N201" s="26" t="n">
        <v>0</v>
      </c>
      <c r="O201" s="26" t="n">
        <v>0</v>
      </c>
      <c r="P201" s="26" t="n">
        <v>0</v>
      </c>
      <c r="Q201" s="26" t="n">
        <v>354</v>
      </c>
      <c r="R201" s="26" t="n">
        <v>0</v>
      </c>
      <c r="S201" s="26" t="n">
        <v>0</v>
      </c>
      <c r="T201" s="26" t="n">
        <v>21</v>
      </c>
      <c r="U201" s="26" t="n">
        <v>0</v>
      </c>
    </row>
    <row r="202" customFormat="false" ht="15" hidden="false" customHeight="true" outlineLevel="0" collapsed="false">
      <c r="A202" s="8" t="s">
        <v>407</v>
      </c>
      <c r="B202" s="8" t="s">
        <v>168</v>
      </c>
      <c r="C202" s="8" t="s">
        <v>618</v>
      </c>
      <c r="D202" s="26" t="n">
        <v>0</v>
      </c>
      <c r="E202" s="26" t="n">
        <v>0</v>
      </c>
      <c r="F202" s="26" t="n">
        <v>798</v>
      </c>
      <c r="G202" s="26" t="n">
        <v>0</v>
      </c>
      <c r="H202" s="26" t="n">
        <v>0</v>
      </c>
      <c r="I202" s="26" t="n">
        <v>1271.4</v>
      </c>
      <c r="J202" s="26" t="n">
        <v>0</v>
      </c>
      <c r="K202" s="26" t="n">
        <v>0</v>
      </c>
      <c r="L202" s="26" t="n">
        <v>0</v>
      </c>
      <c r="M202" s="26" t="n">
        <v>0</v>
      </c>
      <c r="N202" s="26" t="n">
        <v>0</v>
      </c>
      <c r="O202" s="26" t="n">
        <v>0</v>
      </c>
      <c r="P202" s="26" t="n">
        <v>-140.4</v>
      </c>
      <c r="Q202" s="26" t="n">
        <v>832.4</v>
      </c>
      <c r="R202" s="26" t="n">
        <v>579.5</v>
      </c>
      <c r="S202" s="26" t="n">
        <v>0</v>
      </c>
      <c r="T202" s="26" t="n">
        <v>162.8</v>
      </c>
      <c r="U202" s="26" t="n">
        <v>0</v>
      </c>
    </row>
    <row r="203" customFormat="false" ht="15" hidden="false" customHeight="true" outlineLevel="0" collapsed="false">
      <c r="A203" s="8" t="s">
        <v>407</v>
      </c>
      <c r="B203" s="8" t="s">
        <v>168</v>
      </c>
      <c r="C203" s="8" t="s">
        <v>619</v>
      </c>
      <c r="D203" s="26" t="n">
        <v>0</v>
      </c>
      <c r="E203" s="26" t="n">
        <v>0</v>
      </c>
      <c r="F203" s="26" t="n">
        <v>242.6</v>
      </c>
      <c r="G203" s="26" t="n">
        <v>0</v>
      </c>
      <c r="H203" s="26" t="n">
        <v>0</v>
      </c>
      <c r="I203" s="26" t="n">
        <v>1037.6</v>
      </c>
      <c r="J203" s="26" t="n">
        <v>0</v>
      </c>
      <c r="K203" s="26" t="n">
        <v>0</v>
      </c>
      <c r="L203" s="26" t="n">
        <v>0</v>
      </c>
      <c r="M203" s="26" t="n">
        <v>0</v>
      </c>
      <c r="N203" s="26" t="n">
        <v>0</v>
      </c>
      <c r="O203" s="26" t="n">
        <v>0</v>
      </c>
      <c r="P203" s="26" t="n">
        <v>0</v>
      </c>
      <c r="Q203" s="26" t="n">
        <v>671.6</v>
      </c>
      <c r="R203" s="26" t="n">
        <v>366</v>
      </c>
      <c r="S203" s="26" t="n">
        <v>0</v>
      </c>
      <c r="T203" s="26" t="n">
        <v>0</v>
      </c>
      <c r="U203" s="26" t="n">
        <v>0</v>
      </c>
    </row>
    <row r="204" customFormat="false" ht="15" hidden="false" customHeight="true" outlineLevel="0" collapsed="false">
      <c r="A204" s="8" t="s">
        <v>407</v>
      </c>
      <c r="B204" s="8" t="s">
        <v>168</v>
      </c>
      <c r="C204" s="8" t="s">
        <v>620</v>
      </c>
      <c r="D204" s="26" t="n">
        <v>0</v>
      </c>
      <c r="E204" s="26" t="n">
        <v>0</v>
      </c>
      <c r="F204" s="26" t="n">
        <v>416.9</v>
      </c>
      <c r="G204" s="26" t="n">
        <v>0</v>
      </c>
      <c r="H204" s="26" t="n">
        <v>0</v>
      </c>
      <c r="I204" s="26" t="n">
        <v>1438.6</v>
      </c>
      <c r="J204" s="26" t="n">
        <v>0</v>
      </c>
      <c r="K204" s="26" t="n">
        <v>0</v>
      </c>
      <c r="L204" s="26" t="n">
        <v>0</v>
      </c>
      <c r="M204" s="26" t="n">
        <v>0</v>
      </c>
      <c r="N204" s="26" t="n">
        <v>0</v>
      </c>
      <c r="O204" s="26" t="n">
        <v>0</v>
      </c>
      <c r="P204" s="26" t="n">
        <v>-30.5</v>
      </c>
      <c r="Q204" s="26" t="n">
        <v>1072.6</v>
      </c>
      <c r="R204" s="26" t="n">
        <v>396.5</v>
      </c>
      <c r="S204" s="26" t="n">
        <v>0</v>
      </c>
      <c r="T204" s="26" t="n">
        <v>204.8</v>
      </c>
      <c r="U204" s="26" t="n">
        <v>0</v>
      </c>
    </row>
    <row r="205" customFormat="false" ht="15" hidden="false" customHeight="true" outlineLevel="0" collapsed="false">
      <c r="A205" s="8" t="s">
        <v>407</v>
      </c>
      <c r="B205" s="8" t="s">
        <v>168</v>
      </c>
      <c r="C205" s="8" t="s">
        <v>621</v>
      </c>
      <c r="D205" s="26" t="n">
        <v>0</v>
      </c>
      <c r="E205" s="26" t="n">
        <v>0</v>
      </c>
      <c r="F205" s="26" t="n">
        <v>175.5</v>
      </c>
      <c r="G205" s="26" t="n">
        <v>0</v>
      </c>
      <c r="H205" s="26" t="n">
        <v>0</v>
      </c>
      <c r="I205" s="26" t="n">
        <v>73.3</v>
      </c>
      <c r="J205" s="26" t="n">
        <v>0</v>
      </c>
      <c r="K205" s="26" t="n">
        <v>0</v>
      </c>
      <c r="L205" s="26" t="n">
        <v>0</v>
      </c>
      <c r="M205" s="26" t="n">
        <v>0</v>
      </c>
      <c r="N205" s="26" t="n">
        <v>0</v>
      </c>
      <c r="O205" s="26" t="n">
        <v>0</v>
      </c>
      <c r="P205" s="26" t="n">
        <v>0</v>
      </c>
      <c r="Q205" s="26" t="n">
        <v>73.3</v>
      </c>
      <c r="R205" s="26" t="n">
        <v>0</v>
      </c>
      <c r="S205" s="26" t="n">
        <v>0</v>
      </c>
      <c r="T205" s="26" t="n">
        <v>0</v>
      </c>
      <c r="U205" s="26" t="n">
        <v>0</v>
      </c>
    </row>
    <row r="206" customFormat="false" ht="15" hidden="false" customHeight="true" outlineLevel="0" collapsed="false">
      <c r="A206" s="8" t="s">
        <v>407</v>
      </c>
      <c r="B206" s="8" t="s">
        <v>203</v>
      </c>
      <c r="C206" s="8" t="s">
        <v>957</v>
      </c>
      <c r="D206" s="26" t="n">
        <v>0</v>
      </c>
      <c r="E206" s="26" t="n">
        <v>0</v>
      </c>
      <c r="F206" s="26" t="n">
        <v>-88.8</v>
      </c>
      <c r="G206" s="26" t="n">
        <v>0</v>
      </c>
      <c r="H206" s="26" t="n">
        <v>0</v>
      </c>
      <c r="I206" s="26" t="n">
        <v>0</v>
      </c>
      <c r="J206" s="26" t="n">
        <v>0</v>
      </c>
      <c r="K206" s="26" t="n">
        <v>0</v>
      </c>
      <c r="L206" s="26" t="n">
        <v>0</v>
      </c>
      <c r="M206" s="26" t="n">
        <v>0</v>
      </c>
      <c r="N206" s="26" t="n">
        <v>0</v>
      </c>
      <c r="O206" s="26" t="n">
        <v>0</v>
      </c>
      <c r="P206" s="26" t="n">
        <v>0</v>
      </c>
      <c r="Q206" s="26" t="n">
        <v>0</v>
      </c>
      <c r="R206" s="26" t="n">
        <v>0</v>
      </c>
      <c r="S206" s="26" t="n">
        <v>0</v>
      </c>
      <c r="T206" s="26" t="n">
        <v>0</v>
      </c>
      <c r="U206" s="26" t="n">
        <v>0</v>
      </c>
    </row>
    <row r="207" customFormat="false" ht="15" hidden="false" customHeight="true" outlineLevel="0" collapsed="false">
      <c r="A207" s="8" t="s">
        <v>407</v>
      </c>
      <c r="B207" s="8" t="s">
        <v>203</v>
      </c>
      <c r="C207" s="8" t="s">
        <v>622</v>
      </c>
      <c r="D207" s="26" t="n">
        <v>0</v>
      </c>
      <c r="E207" s="26" t="n">
        <v>0</v>
      </c>
      <c r="F207" s="26" t="n">
        <v>444.1</v>
      </c>
      <c r="G207" s="26" t="n">
        <v>0</v>
      </c>
      <c r="H207" s="26" t="n">
        <v>0</v>
      </c>
      <c r="I207" s="26" t="n">
        <v>-201</v>
      </c>
      <c r="J207" s="26" t="n">
        <v>0</v>
      </c>
      <c r="K207" s="26" t="n">
        <v>0</v>
      </c>
      <c r="L207" s="26" t="n">
        <v>-104.2</v>
      </c>
      <c r="M207" s="26" t="n">
        <v>0</v>
      </c>
      <c r="N207" s="26" t="n">
        <v>0</v>
      </c>
      <c r="O207" s="26" t="n">
        <v>0</v>
      </c>
      <c r="P207" s="26" t="n">
        <v>0</v>
      </c>
      <c r="Q207" s="26" t="n">
        <v>-96.8</v>
      </c>
      <c r="R207" s="26" t="n">
        <v>0</v>
      </c>
      <c r="S207" s="26" t="n">
        <v>0</v>
      </c>
      <c r="T207" s="26" t="n">
        <v>0</v>
      </c>
      <c r="U207" s="26" t="n">
        <v>0</v>
      </c>
    </row>
    <row r="208" customFormat="false" ht="15" hidden="false" customHeight="true" outlineLevel="0" collapsed="false">
      <c r="A208" s="8" t="s">
        <v>407</v>
      </c>
      <c r="B208" s="8" t="s">
        <v>203</v>
      </c>
      <c r="C208" s="8" t="s">
        <v>623</v>
      </c>
      <c r="D208" s="26" t="n">
        <v>0</v>
      </c>
      <c r="E208" s="26" t="n">
        <v>0</v>
      </c>
      <c r="F208" s="26" t="n">
        <v>111</v>
      </c>
      <c r="G208" s="26" t="n">
        <v>0</v>
      </c>
      <c r="H208" s="26" t="n">
        <v>0</v>
      </c>
      <c r="I208" s="26" t="n">
        <v>0</v>
      </c>
      <c r="J208" s="26" t="n">
        <v>0</v>
      </c>
      <c r="K208" s="26" t="n">
        <v>0</v>
      </c>
      <c r="L208" s="26" t="n">
        <v>0</v>
      </c>
      <c r="M208" s="26" t="n">
        <v>0</v>
      </c>
      <c r="N208" s="26" t="n">
        <v>0</v>
      </c>
      <c r="O208" s="26" t="n">
        <v>0</v>
      </c>
      <c r="P208" s="26" t="n">
        <v>0</v>
      </c>
      <c r="Q208" s="26" t="n">
        <v>0</v>
      </c>
      <c r="R208" s="26" t="n">
        <v>0</v>
      </c>
      <c r="S208" s="26" t="n">
        <v>0</v>
      </c>
      <c r="T208" s="26" t="n">
        <v>0</v>
      </c>
      <c r="U208" s="26" t="n">
        <v>0</v>
      </c>
    </row>
    <row r="209" customFormat="false" ht="15" hidden="false" customHeight="true" outlineLevel="0" collapsed="false">
      <c r="A209" s="8" t="s">
        <v>407</v>
      </c>
      <c r="B209" s="8" t="s">
        <v>203</v>
      </c>
      <c r="C209" s="8" t="s">
        <v>624</v>
      </c>
      <c r="D209" s="26" t="n">
        <v>0</v>
      </c>
      <c r="E209" s="26" t="n">
        <v>0</v>
      </c>
      <c r="F209" s="26" t="n">
        <v>111</v>
      </c>
      <c r="G209" s="26" t="n">
        <v>0</v>
      </c>
      <c r="H209" s="26" t="n">
        <v>0</v>
      </c>
      <c r="I209" s="26" t="n">
        <v>-96.8</v>
      </c>
      <c r="J209" s="26" t="n">
        <v>0</v>
      </c>
      <c r="K209" s="26" t="n">
        <v>0</v>
      </c>
      <c r="L209" s="26" t="n">
        <v>0</v>
      </c>
      <c r="M209" s="26" t="n">
        <v>0</v>
      </c>
      <c r="N209" s="26" t="n">
        <v>0</v>
      </c>
      <c r="O209" s="26" t="n">
        <v>0</v>
      </c>
      <c r="P209" s="26" t="n">
        <v>0</v>
      </c>
      <c r="Q209" s="26" t="n">
        <v>-96.8</v>
      </c>
      <c r="R209" s="26" t="n">
        <v>0</v>
      </c>
      <c r="S209" s="26" t="n">
        <v>0</v>
      </c>
      <c r="T209" s="26" t="n">
        <v>0</v>
      </c>
      <c r="U209" s="26" t="n">
        <v>0</v>
      </c>
    </row>
    <row r="210" customFormat="false" ht="15" hidden="false" customHeight="true" outlineLevel="0" collapsed="false">
      <c r="A210" s="8" t="s">
        <v>407</v>
      </c>
      <c r="B210" s="8" t="s">
        <v>313</v>
      </c>
      <c r="C210" s="8" t="s">
        <v>626</v>
      </c>
      <c r="D210" s="26" t="n">
        <v>0</v>
      </c>
      <c r="E210" s="26" t="n">
        <v>0</v>
      </c>
      <c r="F210" s="26" t="n">
        <v>241.7</v>
      </c>
      <c r="G210" s="26" t="n">
        <v>0</v>
      </c>
      <c r="H210" s="26" t="n">
        <v>0</v>
      </c>
      <c r="I210" s="26" t="n">
        <v>0</v>
      </c>
      <c r="J210" s="26" t="n">
        <v>0</v>
      </c>
      <c r="K210" s="26" t="n">
        <v>0</v>
      </c>
      <c r="L210" s="26" t="n">
        <v>0</v>
      </c>
      <c r="M210" s="26" t="n">
        <v>0</v>
      </c>
      <c r="N210" s="26" t="n">
        <v>0</v>
      </c>
      <c r="O210" s="26" t="n">
        <v>0</v>
      </c>
      <c r="P210" s="26" t="n">
        <v>0</v>
      </c>
      <c r="Q210" s="26" t="n">
        <v>0</v>
      </c>
      <c r="R210" s="26" t="n">
        <v>0</v>
      </c>
      <c r="S210" s="26" t="n">
        <v>0</v>
      </c>
      <c r="T210" s="26" t="n">
        <v>0</v>
      </c>
      <c r="U210" s="26" t="n">
        <v>0</v>
      </c>
    </row>
    <row r="211" customFormat="false" ht="15" hidden="false" customHeight="true" outlineLevel="0" collapsed="false">
      <c r="A211" s="8" t="s">
        <v>407</v>
      </c>
      <c r="B211" s="8" t="s">
        <v>313</v>
      </c>
      <c r="C211" s="8" t="s">
        <v>627</v>
      </c>
      <c r="D211" s="26" t="n">
        <v>0</v>
      </c>
      <c r="E211" s="26" t="n">
        <v>0</v>
      </c>
      <c r="F211" s="26" t="n">
        <v>-80.3</v>
      </c>
      <c r="G211" s="26" t="n">
        <v>0</v>
      </c>
      <c r="H211" s="26" t="n">
        <v>0</v>
      </c>
      <c r="I211" s="26" t="n">
        <v>0</v>
      </c>
      <c r="J211" s="26" t="n">
        <v>0</v>
      </c>
      <c r="K211" s="26" t="n">
        <v>0</v>
      </c>
      <c r="L211" s="26" t="n">
        <v>0</v>
      </c>
      <c r="M211" s="26" t="n">
        <v>0</v>
      </c>
      <c r="N211" s="26" t="n">
        <v>0</v>
      </c>
      <c r="O211" s="26" t="n">
        <v>0</v>
      </c>
      <c r="P211" s="26" t="n">
        <v>0</v>
      </c>
      <c r="Q211" s="26" t="n">
        <v>0</v>
      </c>
      <c r="R211" s="26" t="n">
        <v>0</v>
      </c>
      <c r="S211" s="26" t="n">
        <v>0</v>
      </c>
      <c r="T211" s="26" t="n">
        <v>0</v>
      </c>
      <c r="U211" s="26" t="n">
        <v>0</v>
      </c>
    </row>
    <row r="212" customFormat="false" ht="15" hidden="false" customHeight="true" outlineLevel="0" collapsed="false">
      <c r="A212" s="8" t="s">
        <v>407</v>
      </c>
      <c r="B212" s="8" t="s">
        <v>313</v>
      </c>
      <c r="C212" s="8" t="s">
        <v>958</v>
      </c>
      <c r="D212" s="26" t="n">
        <v>0</v>
      </c>
      <c r="E212" s="26" t="n">
        <v>0</v>
      </c>
      <c r="F212" s="26" t="n">
        <v>84.3</v>
      </c>
      <c r="G212" s="26" t="n">
        <v>0</v>
      </c>
      <c r="H212" s="26" t="n">
        <v>0</v>
      </c>
      <c r="I212" s="26" t="n">
        <v>0</v>
      </c>
      <c r="J212" s="26" t="n">
        <v>0</v>
      </c>
      <c r="K212" s="26" t="n">
        <v>0</v>
      </c>
      <c r="L212" s="26" t="n">
        <v>0</v>
      </c>
      <c r="M212" s="26" t="n">
        <v>0</v>
      </c>
      <c r="N212" s="26" t="n">
        <v>0</v>
      </c>
      <c r="O212" s="26" t="n">
        <v>0</v>
      </c>
      <c r="P212" s="26" t="n">
        <v>0</v>
      </c>
      <c r="Q212" s="26" t="n">
        <v>0</v>
      </c>
      <c r="R212" s="26" t="n">
        <v>0</v>
      </c>
      <c r="S212" s="26" t="n">
        <v>0</v>
      </c>
      <c r="T212" s="26" t="n">
        <v>0</v>
      </c>
      <c r="U212" s="26" t="n">
        <v>0</v>
      </c>
    </row>
    <row r="213" customFormat="false" ht="15" hidden="false" customHeight="true" outlineLevel="0" collapsed="false">
      <c r="A213" s="8" t="s">
        <v>407</v>
      </c>
      <c r="B213" s="8" t="s">
        <v>122</v>
      </c>
      <c r="C213" s="8" t="s">
        <v>628</v>
      </c>
      <c r="D213" s="26" t="n">
        <v>0</v>
      </c>
      <c r="E213" s="26" t="n">
        <v>0</v>
      </c>
      <c r="F213" s="26" t="n">
        <v>820.1</v>
      </c>
      <c r="G213" s="26" t="n">
        <v>0</v>
      </c>
      <c r="H213" s="26" t="n">
        <v>0</v>
      </c>
      <c r="I213" s="26" t="n">
        <v>3619.2</v>
      </c>
      <c r="J213" s="26" t="n">
        <v>0</v>
      </c>
      <c r="K213" s="26" t="n">
        <v>0</v>
      </c>
      <c r="L213" s="26" t="n">
        <v>0</v>
      </c>
      <c r="M213" s="26" t="n">
        <v>0</v>
      </c>
      <c r="N213" s="26" t="n">
        <v>0</v>
      </c>
      <c r="O213" s="26" t="n">
        <v>0</v>
      </c>
      <c r="P213" s="26" t="n">
        <v>-642.1</v>
      </c>
      <c r="Q213" s="26" t="n">
        <v>2567.5</v>
      </c>
      <c r="R213" s="26" t="n">
        <v>1693.8</v>
      </c>
      <c r="S213" s="26" t="n">
        <v>0</v>
      </c>
      <c r="T213" s="26" t="n">
        <v>0</v>
      </c>
      <c r="U213" s="26" t="n">
        <v>0</v>
      </c>
    </row>
    <row r="214" customFormat="false" ht="15" hidden="false" customHeight="true" outlineLevel="0" collapsed="false">
      <c r="A214" s="8" t="s">
        <v>407</v>
      </c>
      <c r="B214" s="8" t="s">
        <v>122</v>
      </c>
      <c r="C214" s="8" t="s">
        <v>629</v>
      </c>
      <c r="D214" s="26" t="n">
        <v>0</v>
      </c>
      <c r="E214" s="26" t="n">
        <v>0</v>
      </c>
      <c r="F214" s="26" t="n">
        <v>2547.6</v>
      </c>
      <c r="G214" s="26" t="n">
        <v>0</v>
      </c>
      <c r="H214" s="26" t="n">
        <v>0</v>
      </c>
      <c r="I214" s="26" t="n">
        <v>7995.6</v>
      </c>
      <c r="J214" s="26" t="n">
        <v>0</v>
      </c>
      <c r="K214" s="26" t="n">
        <v>282.3</v>
      </c>
      <c r="L214" s="26" t="n">
        <v>0</v>
      </c>
      <c r="M214" s="26" t="n">
        <v>0</v>
      </c>
      <c r="N214" s="26" t="n">
        <v>0</v>
      </c>
      <c r="O214" s="26" t="n">
        <v>0</v>
      </c>
      <c r="P214" s="26" t="n">
        <v>-282.3</v>
      </c>
      <c r="Q214" s="26" t="n">
        <v>2067.3</v>
      </c>
      <c r="R214" s="26" t="n">
        <v>5928.3</v>
      </c>
      <c r="S214" s="26" t="n">
        <v>0</v>
      </c>
      <c r="T214" s="26" t="n">
        <v>0</v>
      </c>
      <c r="U214" s="26" t="n">
        <v>0</v>
      </c>
    </row>
    <row r="215" customFormat="false" ht="15" hidden="false" customHeight="true" outlineLevel="0" collapsed="false">
      <c r="A215" s="8" t="s">
        <v>407</v>
      </c>
      <c r="B215" s="8" t="s">
        <v>122</v>
      </c>
      <c r="C215" s="8" t="s">
        <v>630</v>
      </c>
      <c r="D215" s="26" t="n">
        <v>0</v>
      </c>
      <c r="E215" s="26" t="n">
        <v>0</v>
      </c>
      <c r="F215" s="26" t="n">
        <v>1137.1</v>
      </c>
      <c r="G215" s="26" t="n">
        <v>0</v>
      </c>
      <c r="H215" s="26" t="n">
        <v>142.1</v>
      </c>
      <c r="I215" s="26" t="n">
        <v>8697.6</v>
      </c>
      <c r="J215" s="26" t="n">
        <v>0</v>
      </c>
      <c r="K215" s="26" t="n">
        <v>141.2</v>
      </c>
      <c r="L215" s="26" t="n">
        <v>0</v>
      </c>
      <c r="M215" s="26" t="n">
        <v>0</v>
      </c>
      <c r="N215" s="26" t="n">
        <v>0</v>
      </c>
      <c r="O215" s="26" t="n">
        <v>0</v>
      </c>
      <c r="P215" s="26" t="n">
        <v>-564.6</v>
      </c>
      <c r="Q215" s="26" t="n">
        <v>3475.1</v>
      </c>
      <c r="R215" s="26" t="n">
        <v>5646</v>
      </c>
      <c r="S215" s="26" t="n">
        <v>0</v>
      </c>
      <c r="T215" s="26" t="n">
        <v>0</v>
      </c>
      <c r="U215" s="26" t="n">
        <v>-218.7</v>
      </c>
    </row>
    <row r="216" customFormat="false" ht="15" hidden="false" customHeight="true" outlineLevel="0" collapsed="false">
      <c r="A216" s="8" t="s">
        <v>407</v>
      </c>
      <c r="B216" s="8" t="s">
        <v>122</v>
      </c>
      <c r="C216" s="8" t="s">
        <v>631</v>
      </c>
      <c r="D216" s="26" t="n">
        <v>0</v>
      </c>
      <c r="E216" s="26" t="n">
        <v>0</v>
      </c>
      <c r="F216" s="26" t="n">
        <v>320.8</v>
      </c>
      <c r="G216" s="26" t="n">
        <v>0</v>
      </c>
      <c r="H216" s="26" t="n">
        <v>0</v>
      </c>
      <c r="I216" s="26" t="n">
        <v>2049.7</v>
      </c>
      <c r="J216" s="26" t="n">
        <v>0</v>
      </c>
      <c r="K216" s="26" t="n">
        <v>0</v>
      </c>
      <c r="L216" s="26" t="n">
        <v>0</v>
      </c>
      <c r="M216" s="26" t="n">
        <v>0</v>
      </c>
      <c r="N216" s="26" t="n">
        <v>0</v>
      </c>
      <c r="O216" s="26" t="n">
        <v>0</v>
      </c>
      <c r="P216" s="26" t="n">
        <v>-846.9</v>
      </c>
      <c r="Q216" s="26" t="n">
        <v>-67.6</v>
      </c>
      <c r="R216" s="26" t="n">
        <v>2964.2</v>
      </c>
      <c r="S216" s="26" t="n">
        <v>0</v>
      </c>
      <c r="T216" s="26" t="n">
        <v>0</v>
      </c>
      <c r="U216" s="26" t="n">
        <v>0</v>
      </c>
    </row>
    <row r="217" customFormat="false" ht="15" hidden="false" customHeight="true" outlineLevel="0" collapsed="false">
      <c r="A217" s="8" t="s">
        <v>407</v>
      </c>
      <c r="B217" s="8" t="s">
        <v>122</v>
      </c>
      <c r="C217" s="8" t="s">
        <v>632</v>
      </c>
      <c r="D217" s="26" t="n">
        <v>0</v>
      </c>
      <c r="E217" s="26" t="n">
        <v>0</v>
      </c>
      <c r="F217" s="26" t="n">
        <v>371.8</v>
      </c>
      <c r="G217" s="26" t="n">
        <v>0</v>
      </c>
      <c r="H217" s="26" t="n">
        <v>0</v>
      </c>
      <c r="I217" s="26" t="n">
        <v>2268.5</v>
      </c>
      <c r="J217" s="26" t="n">
        <v>0</v>
      </c>
      <c r="K217" s="26" t="n">
        <v>282.3</v>
      </c>
      <c r="L217" s="26" t="n">
        <v>-282.3</v>
      </c>
      <c r="M217" s="26" t="n">
        <v>0</v>
      </c>
      <c r="N217" s="26" t="n">
        <v>0</v>
      </c>
      <c r="O217" s="26" t="n">
        <v>0</v>
      </c>
      <c r="P217" s="26" t="n">
        <v>-423.5</v>
      </c>
      <c r="Q217" s="26" t="n">
        <v>-131.1</v>
      </c>
      <c r="R217" s="26" t="n">
        <v>2823</v>
      </c>
      <c r="S217" s="26" t="n">
        <v>0</v>
      </c>
      <c r="T217" s="26" t="n">
        <v>0</v>
      </c>
      <c r="U217" s="26" t="n">
        <v>0</v>
      </c>
    </row>
    <row r="218" customFormat="false" ht="15" hidden="false" customHeight="true" outlineLevel="0" collapsed="false">
      <c r="A218" s="8" t="s">
        <v>407</v>
      </c>
      <c r="B218" s="8" t="s">
        <v>124</v>
      </c>
      <c r="C218" s="8" t="s">
        <v>633</v>
      </c>
      <c r="D218" s="26" t="n">
        <v>0</v>
      </c>
      <c r="E218" s="26" t="n">
        <v>0</v>
      </c>
      <c r="F218" s="26" t="n">
        <v>1869.7</v>
      </c>
      <c r="G218" s="26" t="n">
        <v>0</v>
      </c>
      <c r="H218" s="26" t="n">
        <v>0</v>
      </c>
      <c r="I218" s="26" t="n">
        <v>163.8</v>
      </c>
      <c r="J218" s="26" t="n">
        <v>0</v>
      </c>
      <c r="K218" s="26" t="n">
        <v>0</v>
      </c>
      <c r="L218" s="26" t="n">
        <v>0</v>
      </c>
      <c r="M218" s="26" t="n">
        <v>0</v>
      </c>
      <c r="N218" s="26" t="n">
        <v>0</v>
      </c>
      <c r="O218" s="26" t="n">
        <v>0</v>
      </c>
      <c r="P218" s="26" t="n">
        <v>0</v>
      </c>
      <c r="Q218" s="26" t="n">
        <v>163.8</v>
      </c>
      <c r="R218" s="26" t="n">
        <v>0</v>
      </c>
      <c r="S218" s="26" t="n">
        <v>0</v>
      </c>
      <c r="T218" s="26" t="n">
        <v>545.2</v>
      </c>
      <c r="U218" s="26" t="n">
        <v>0</v>
      </c>
    </row>
    <row r="219" customFormat="false" ht="15" hidden="false" customHeight="true" outlineLevel="0" collapsed="false">
      <c r="A219" s="8" t="s">
        <v>407</v>
      </c>
      <c r="B219" s="8" t="s">
        <v>124</v>
      </c>
      <c r="C219" s="8" t="s">
        <v>634</v>
      </c>
      <c r="D219" s="26" t="n">
        <v>0</v>
      </c>
      <c r="E219" s="26" t="n">
        <v>0</v>
      </c>
      <c r="F219" s="26" t="n">
        <v>4146.3</v>
      </c>
      <c r="G219" s="26" t="n">
        <v>0</v>
      </c>
      <c r="H219" s="26" t="n">
        <v>0</v>
      </c>
      <c r="I219" s="26" t="n">
        <v>1444.7</v>
      </c>
      <c r="J219" s="26" t="n">
        <v>0</v>
      </c>
      <c r="K219" s="26" t="n">
        <v>0</v>
      </c>
      <c r="L219" s="26" t="n">
        <v>0</v>
      </c>
      <c r="M219" s="26" t="n">
        <v>0</v>
      </c>
      <c r="N219" s="26" t="n">
        <v>0</v>
      </c>
      <c r="O219" s="26" t="n">
        <v>0</v>
      </c>
      <c r="P219" s="26" t="n">
        <v>0</v>
      </c>
      <c r="Q219" s="26" t="n">
        <v>829</v>
      </c>
      <c r="R219" s="26" t="n">
        <v>615.7</v>
      </c>
      <c r="S219" s="26" t="n">
        <v>0</v>
      </c>
      <c r="T219" s="26" t="n">
        <v>272.6</v>
      </c>
      <c r="U219" s="26" t="n">
        <v>0</v>
      </c>
    </row>
    <row r="220" customFormat="false" ht="15" hidden="false" customHeight="true" outlineLevel="0" collapsed="false">
      <c r="A220" s="8" t="s">
        <v>407</v>
      </c>
      <c r="B220" s="8" t="s">
        <v>124</v>
      </c>
      <c r="C220" s="8" t="s">
        <v>635</v>
      </c>
      <c r="D220" s="26" t="n">
        <v>0</v>
      </c>
      <c r="E220" s="26" t="n">
        <v>0</v>
      </c>
      <c r="F220" s="26" t="n">
        <v>3514.6</v>
      </c>
      <c r="G220" s="26" t="n">
        <v>0</v>
      </c>
      <c r="H220" s="26" t="n">
        <v>0</v>
      </c>
      <c r="I220" s="26" t="n">
        <v>2413.6</v>
      </c>
      <c r="J220" s="26" t="n">
        <v>0</v>
      </c>
      <c r="K220" s="26" t="n">
        <v>0</v>
      </c>
      <c r="L220" s="26" t="n">
        <v>0</v>
      </c>
      <c r="M220" s="26" t="n">
        <v>0</v>
      </c>
      <c r="N220" s="26" t="n">
        <v>0</v>
      </c>
      <c r="O220" s="26" t="n">
        <v>0</v>
      </c>
      <c r="P220" s="26" t="n">
        <v>0</v>
      </c>
      <c r="Q220" s="26" t="n">
        <v>2060.7</v>
      </c>
      <c r="R220" s="26" t="n">
        <v>352.9</v>
      </c>
      <c r="S220" s="26" t="n">
        <v>0</v>
      </c>
      <c r="T220" s="26" t="n">
        <v>817.8</v>
      </c>
      <c r="U220" s="26" t="n">
        <v>0</v>
      </c>
    </row>
    <row r="221" customFormat="false" ht="15" hidden="false" customHeight="true" outlineLevel="0" collapsed="false">
      <c r="A221" s="8" t="s">
        <v>407</v>
      </c>
      <c r="B221" s="8" t="s">
        <v>124</v>
      </c>
      <c r="C221" s="8" t="s">
        <v>636</v>
      </c>
      <c r="D221" s="26" t="n">
        <v>0</v>
      </c>
      <c r="E221" s="26" t="n">
        <v>0</v>
      </c>
      <c r="F221" s="26" t="n">
        <v>2910</v>
      </c>
      <c r="G221" s="26" t="n">
        <v>0</v>
      </c>
      <c r="H221" s="26" t="n">
        <v>0</v>
      </c>
      <c r="I221" s="26" t="n">
        <v>1622.9</v>
      </c>
      <c r="J221" s="26" t="n">
        <v>0</v>
      </c>
      <c r="K221" s="26" t="n">
        <v>0</v>
      </c>
      <c r="L221" s="26" t="n">
        <v>0</v>
      </c>
      <c r="M221" s="26" t="n">
        <v>0</v>
      </c>
      <c r="N221" s="26" t="n">
        <v>0</v>
      </c>
      <c r="O221" s="26" t="n">
        <v>0</v>
      </c>
      <c r="P221" s="26" t="n">
        <v>0</v>
      </c>
      <c r="Q221" s="26" t="n">
        <v>1622.9</v>
      </c>
      <c r="R221" s="26" t="n">
        <v>0</v>
      </c>
      <c r="S221" s="26" t="n">
        <v>0</v>
      </c>
      <c r="T221" s="26" t="n">
        <v>954.1</v>
      </c>
      <c r="U221" s="26" t="n">
        <v>0</v>
      </c>
    </row>
    <row r="222" customFormat="false" ht="15" hidden="false" customHeight="true" outlineLevel="0" collapsed="false">
      <c r="A222" s="8" t="s">
        <v>407</v>
      </c>
      <c r="B222" s="8" t="s">
        <v>91</v>
      </c>
      <c r="C222" s="8" t="s">
        <v>637</v>
      </c>
      <c r="D222" s="26" t="n">
        <v>0</v>
      </c>
      <c r="E222" s="26" t="n">
        <v>0</v>
      </c>
      <c r="F222" s="26" t="n">
        <v>7495.4</v>
      </c>
      <c r="G222" s="26" t="n">
        <v>0</v>
      </c>
      <c r="H222" s="26" t="n">
        <v>49.1</v>
      </c>
      <c r="I222" s="26" t="n">
        <v>33462</v>
      </c>
      <c r="J222" s="26" t="n">
        <v>0</v>
      </c>
      <c r="K222" s="26" t="n">
        <v>104.9</v>
      </c>
      <c r="L222" s="26" t="n">
        <v>0</v>
      </c>
      <c r="M222" s="26" t="n">
        <v>0</v>
      </c>
      <c r="N222" s="26" t="n">
        <v>0</v>
      </c>
      <c r="O222" s="26" t="n">
        <v>65.5</v>
      </c>
      <c r="P222" s="26" t="n">
        <v>-577</v>
      </c>
      <c r="Q222" s="26" t="n">
        <v>22591.8</v>
      </c>
      <c r="R222" s="26" t="n">
        <v>11276.8</v>
      </c>
      <c r="S222" s="26" t="n">
        <v>0</v>
      </c>
      <c r="T222" s="26" t="n">
        <v>4208.8</v>
      </c>
      <c r="U222" s="26" t="n">
        <v>-75.6</v>
      </c>
    </row>
    <row r="223" customFormat="false" ht="15" hidden="false" customHeight="true" outlineLevel="0" collapsed="false">
      <c r="A223" s="8" t="s">
        <v>407</v>
      </c>
      <c r="B223" s="8" t="s">
        <v>91</v>
      </c>
      <c r="C223" s="8" t="s">
        <v>638</v>
      </c>
      <c r="D223" s="26" t="n">
        <v>0</v>
      </c>
      <c r="E223" s="26" t="n">
        <v>0</v>
      </c>
      <c r="F223" s="26" t="n">
        <v>5753.8</v>
      </c>
      <c r="G223" s="26" t="n">
        <v>0</v>
      </c>
      <c r="H223" s="26" t="n">
        <v>0</v>
      </c>
      <c r="I223" s="26" t="n">
        <v>28191.6</v>
      </c>
      <c r="J223" s="26" t="n">
        <v>0</v>
      </c>
      <c r="K223" s="26" t="n">
        <v>262.3</v>
      </c>
      <c r="L223" s="26" t="n">
        <v>0</v>
      </c>
      <c r="M223" s="26" t="n">
        <v>0</v>
      </c>
      <c r="N223" s="26" t="n">
        <v>0</v>
      </c>
      <c r="O223" s="26" t="n">
        <v>65.5</v>
      </c>
      <c r="P223" s="26" t="n">
        <v>-104.9</v>
      </c>
      <c r="Q223" s="26" t="n">
        <v>21661.6</v>
      </c>
      <c r="R223" s="26" t="n">
        <v>6307.1</v>
      </c>
      <c r="S223" s="26" t="n">
        <v>0</v>
      </c>
      <c r="T223" s="26" t="n">
        <v>2983.8</v>
      </c>
      <c r="U223" s="26" t="n">
        <v>-75.6</v>
      </c>
    </row>
    <row r="224" customFormat="false" ht="15" hidden="false" customHeight="true" outlineLevel="0" collapsed="false">
      <c r="A224" s="8" t="s">
        <v>407</v>
      </c>
      <c r="B224" s="8" t="s">
        <v>91</v>
      </c>
      <c r="C224" s="8" t="s">
        <v>639</v>
      </c>
      <c r="D224" s="26" t="n">
        <v>0</v>
      </c>
      <c r="E224" s="26" t="n">
        <v>0</v>
      </c>
      <c r="F224" s="26" t="n">
        <v>2090.6</v>
      </c>
      <c r="G224" s="26" t="n">
        <v>0</v>
      </c>
      <c r="H224" s="26" t="n">
        <v>0</v>
      </c>
      <c r="I224" s="26" t="n">
        <v>14222</v>
      </c>
      <c r="J224" s="26" t="n">
        <v>0</v>
      </c>
      <c r="K224" s="26" t="n">
        <v>262.3</v>
      </c>
      <c r="L224" s="26" t="n">
        <v>0</v>
      </c>
      <c r="M224" s="26" t="n">
        <v>0</v>
      </c>
      <c r="N224" s="26" t="n">
        <v>0</v>
      </c>
      <c r="O224" s="26" t="n">
        <v>0</v>
      </c>
      <c r="P224" s="26" t="n">
        <v>-102.3</v>
      </c>
      <c r="Q224" s="26" t="n">
        <v>10075.8</v>
      </c>
      <c r="R224" s="26" t="n">
        <v>3986.2</v>
      </c>
      <c r="S224" s="26" t="n">
        <v>0</v>
      </c>
      <c r="T224" s="26" t="n">
        <v>1872.5</v>
      </c>
      <c r="U224" s="26" t="n">
        <v>-151.1</v>
      </c>
    </row>
    <row r="225" customFormat="false" ht="15" hidden="false" customHeight="true" outlineLevel="0" collapsed="false">
      <c r="A225" s="8" t="s">
        <v>407</v>
      </c>
      <c r="B225" s="8" t="s">
        <v>91</v>
      </c>
      <c r="C225" s="8" t="s">
        <v>640</v>
      </c>
      <c r="D225" s="26" t="n">
        <v>0</v>
      </c>
      <c r="E225" s="26" t="n">
        <v>0</v>
      </c>
      <c r="F225" s="26" t="n">
        <v>3566.4</v>
      </c>
      <c r="G225" s="26" t="n">
        <v>0</v>
      </c>
      <c r="H225" s="26" t="n">
        <v>49.1</v>
      </c>
      <c r="I225" s="26" t="n">
        <v>18155.8</v>
      </c>
      <c r="J225" s="26" t="n">
        <v>0</v>
      </c>
      <c r="K225" s="26" t="n">
        <v>52.5</v>
      </c>
      <c r="L225" s="26" t="n">
        <v>0</v>
      </c>
      <c r="M225" s="26" t="n">
        <v>0</v>
      </c>
      <c r="N225" s="26" t="n">
        <v>0</v>
      </c>
      <c r="O225" s="26" t="n">
        <v>65.5</v>
      </c>
      <c r="P225" s="26" t="n">
        <v>-209.8</v>
      </c>
      <c r="Q225" s="26" t="n">
        <v>12792.9</v>
      </c>
      <c r="R225" s="26" t="n">
        <v>5454.8</v>
      </c>
      <c r="S225" s="26" t="n">
        <v>0</v>
      </c>
      <c r="T225" s="26" t="n">
        <v>1741.3</v>
      </c>
      <c r="U225" s="26" t="n">
        <v>0</v>
      </c>
    </row>
    <row r="226" customFormat="false" ht="15" hidden="false" customHeight="true" outlineLevel="0" collapsed="false">
      <c r="A226" s="8" t="s">
        <v>407</v>
      </c>
      <c r="B226" s="8" t="s">
        <v>136</v>
      </c>
      <c r="C226" s="8" t="s">
        <v>641</v>
      </c>
      <c r="D226" s="26" t="n">
        <v>0</v>
      </c>
      <c r="E226" s="26" t="n">
        <v>0</v>
      </c>
      <c r="F226" s="26" t="n">
        <v>2759.5</v>
      </c>
      <c r="G226" s="26" t="n">
        <v>0</v>
      </c>
      <c r="H226" s="26" t="n">
        <v>26.8</v>
      </c>
      <c r="I226" s="26" t="n">
        <v>7927.6</v>
      </c>
      <c r="J226" s="26" t="n">
        <v>0</v>
      </c>
      <c r="K226" s="26" t="n">
        <v>305.4</v>
      </c>
      <c r="L226" s="26" t="n">
        <v>0</v>
      </c>
      <c r="M226" s="26" t="n">
        <v>0</v>
      </c>
      <c r="N226" s="26" t="n">
        <v>123.6</v>
      </c>
      <c r="O226" s="26" t="n">
        <v>29.7</v>
      </c>
      <c r="P226" s="26" t="n">
        <v>-111</v>
      </c>
      <c r="Q226" s="26" t="n">
        <v>5553.6</v>
      </c>
      <c r="R226" s="26" t="n">
        <v>2026.5</v>
      </c>
      <c r="S226" s="26" t="n">
        <v>0</v>
      </c>
      <c r="T226" s="26" t="n">
        <v>956.3</v>
      </c>
      <c r="U226" s="26" t="n">
        <v>0</v>
      </c>
    </row>
    <row r="227" customFormat="false" ht="15" hidden="false" customHeight="true" outlineLevel="0" collapsed="false">
      <c r="A227" s="8" t="s">
        <v>407</v>
      </c>
      <c r="B227" s="8" t="s">
        <v>136</v>
      </c>
      <c r="C227" s="8" t="s">
        <v>642</v>
      </c>
      <c r="D227" s="26" t="n">
        <v>0</v>
      </c>
      <c r="E227" s="26" t="n">
        <v>0</v>
      </c>
      <c r="F227" s="26" t="n">
        <v>3151.6</v>
      </c>
      <c r="G227" s="26" t="n">
        <v>0</v>
      </c>
      <c r="H227" s="26" t="n">
        <v>0</v>
      </c>
      <c r="I227" s="26" t="n">
        <v>10791.4</v>
      </c>
      <c r="J227" s="26" t="n">
        <v>0</v>
      </c>
      <c r="K227" s="26" t="n">
        <v>111</v>
      </c>
      <c r="L227" s="26" t="n">
        <v>0</v>
      </c>
      <c r="M227" s="26" t="n">
        <v>0</v>
      </c>
      <c r="N227" s="26" t="n">
        <v>123.6</v>
      </c>
      <c r="O227" s="26" t="n">
        <v>0</v>
      </c>
      <c r="P227" s="26" t="n">
        <v>-138.8</v>
      </c>
      <c r="Q227" s="26" t="n">
        <v>8613.6</v>
      </c>
      <c r="R227" s="26" t="n">
        <v>2082</v>
      </c>
      <c r="S227" s="26" t="n">
        <v>0</v>
      </c>
      <c r="T227" s="26" t="n">
        <v>1330.3</v>
      </c>
      <c r="U227" s="26" t="n">
        <v>-41.2</v>
      </c>
    </row>
    <row r="228" customFormat="false" ht="15" hidden="false" customHeight="true" outlineLevel="0" collapsed="false">
      <c r="A228" s="8" t="s">
        <v>407</v>
      </c>
      <c r="B228" s="8" t="s">
        <v>136</v>
      </c>
      <c r="C228" s="8" t="s">
        <v>643</v>
      </c>
      <c r="D228" s="26" t="n">
        <v>0</v>
      </c>
      <c r="E228" s="26" t="n">
        <v>0</v>
      </c>
      <c r="F228" s="26" t="n">
        <v>2432.9</v>
      </c>
      <c r="G228" s="26" t="n">
        <v>0</v>
      </c>
      <c r="H228" s="26" t="n">
        <v>0</v>
      </c>
      <c r="I228" s="26" t="n">
        <v>7816.3</v>
      </c>
      <c r="J228" s="26" t="n">
        <v>0</v>
      </c>
      <c r="K228" s="26" t="n">
        <v>194.3</v>
      </c>
      <c r="L228" s="26" t="n">
        <v>0</v>
      </c>
      <c r="M228" s="26" t="n">
        <v>0</v>
      </c>
      <c r="N228" s="26" t="n">
        <v>92.7</v>
      </c>
      <c r="O228" s="26" t="n">
        <v>29.7</v>
      </c>
      <c r="P228" s="26" t="n">
        <v>-138.8</v>
      </c>
      <c r="Q228" s="26" t="n">
        <v>5945</v>
      </c>
      <c r="R228" s="26" t="n">
        <v>1693.4</v>
      </c>
      <c r="S228" s="26" t="n">
        <v>0</v>
      </c>
      <c r="T228" s="26" t="n">
        <v>1593.8</v>
      </c>
      <c r="U228" s="26" t="n">
        <v>-823.8</v>
      </c>
    </row>
    <row r="229" customFormat="false" ht="15" hidden="false" customHeight="true" outlineLevel="0" collapsed="false">
      <c r="A229" s="8" t="s">
        <v>407</v>
      </c>
      <c r="B229" s="8" t="s">
        <v>136</v>
      </c>
      <c r="C229" s="8" t="s">
        <v>644</v>
      </c>
      <c r="D229" s="26" t="n">
        <v>0</v>
      </c>
      <c r="E229" s="26" t="n">
        <v>0</v>
      </c>
      <c r="F229" s="26" t="n">
        <v>912.3</v>
      </c>
      <c r="G229" s="26" t="n">
        <v>0</v>
      </c>
      <c r="H229" s="26" t="n">
        <v>0</v>
      </c>
      <c r="I229" s="26" t="n">
        <v>4055.5</v>
      </c>
      <c r="J229" s="26" t="n">
        <v>0</v>
      </c>
      <c r="K229" s="26" t="n">
        <v>0</v>
      </c>
      <c r="L229" s="26" t="n">
        <v>0</v>
      </c>
      <c r="M229" s="26" t="n">
        <v>0</v>
      </c>
      <c r="N229" s="26" t="n">
        <v>123.6</v>
      </c>
      <c r="O229" s="26" t="n">
        <v>59.5</v>
      </c>
      <c r="P229" s="26" t="n">
        <v>-194.3</v>
      </c>
      <c r="Q229" s="26" t="n">
        <v>2595.5</v>
      </c>
      <c r="R229" s="26" t="n">
        <v>1471.3</v>
      </c>
      <c r="S229" s="26" t="n">
        <v>0</v>
      </c>
      <c r="T229" s="26" t="n">
        <v>497.3</v>
      </c>
      <c r="U229" s="26" t="n">
        <v>-82.4</v>
      </c>
    </row>
    <row r="230" customFormat="false" ht="15" hidden="false" customHeight="true" outlineLevel="0" collapsed="false">
      <c r="A230" s="8" t="s">
        <v>407</v>
      </c>
      <c r="B230" s="8" t="s">
        <v>136</v>
      </c>
      <c r="C230" s="8" t="s">
        <v>645</v>
      </c>
      <c r="D230" s="26" t="n">
        <v>0</v>
      </c>
      <c r="E230" s="26" t="n">
        <v>0</v>
      </c>
      <c r="F230" s="26" t="n">
        <v>691.9</v>
      </c>
      <c r="G230" s="26" t="n">
        <v>0</v>
      </c>
      <c r="H230" s="26" t="n">
        <v>0</v>
      </c>
      <c r="I230" s="26" t="n">
        <v>832.7</v>
      </c>
      <c r="J230" s="26" t="n">
        <v>0</v>
      </c>
      <c r="K230" s="26" t="n">
        <v>0</v>
      </c>
      <c r="L230" s="26" t="n">
        <v>0</v>
      </c>
      <c r="M230" s="26" t="n">
        <v>0</v>
      </c>
      <c r="N230" s="26" t="n">
        <v>0</v>
      </c>
      <c r="O230" s="26" t="n">
        <v>0</v>
      </c>
      <c r="P230" s="26" t="n">
        <v>0</v>
      </c>
      <c r="Q230" s="26" t="n">
        <v>832.7</v>
      </c>
      <c r="R230" s="26" t="n">
        <v>0</v>
      </c>
      <c r="S230" s="26" t="n">
        <v>0</v>
      </c>
      <c r="T230" s="26" t="n">
        <v>68</v>
      </c>
      <c r="U230" s="26" t="n">
        <v>0</v>
      </c>
    </row>
    <row r="231" customFormat="false" ht="15" hidden="false" customHeight="true" outlineLevel="0" collapsed="false">
      <c r="A231" s="8" t="s">
        <v>407</v>
      </c>
      <c r="B231" s="8" t="s">
        <v>136</v>
      </c>
      <c r="C231" s="8" t="s">
        <v>646</v>
      </c>
      <c r="D231" s="26" t="n">
        <v>0</v>
      </c>
      <c r="E231" s="26" t="n">
        <v>0</v>
      </c>
      <c r="F231" s="26" t="n">
        <v>146.2</v>
      </c>
      <c r="G231" s="26" t="n">
        <v>0</v>
      </c>
      <c r="H231" s="26" t="n">
        <v>0</v>
      </c>
      <c r="I231" s="26" t="n">
        <v>136.7</v>
      </c>
      <c r="J231" s="26" t="n">
        <v>0</v>
      </c>
      <c r="K231" s="26" t="n">
        <v>0</v>
      </c>
      <c r="L231" s="26" t="n">
        <v>0</v>
      </c>
      <c r="M231" s="26" t="n">
        <v>0</v>
      </c>
      <c r="N231" s="26" t="n">
        <v>0</v>
      </c>
      <c r="O231" s="26" t="n">
        <v>0</v>
      </c>
      <c r="P231" s="26" t="n">
        <v>0</v>
      </c>
      <c r="Q231" s="26" t="n">
        <v>136.7</v>
      </c>
      <c r="R231" s="26" t="n">
        <v>0</v>
      </c>
      <c r="S231" s="26" t="n">
        <v>0</v>
      </c>
      <c r="T231" s="26" t="n">
        <v>17</v>
      </c>
      <c r="U231" s="26" t="n">
        <v>0</v>
      </c>
    </row>
    <row r="232" customFormat="false" ht="15" hidden="false" customHeight="true" outlineLevel="0" collapsed="false">
      <c r="A232" s="8" t="s">
        <v>407</v>
      </c>
      <c r="B232" s="8" t="s">
        <v>143</v>
      </c>
      <c r="C232" s="8" t="s">
        <v>647</v>
      </c>
      <c r="D232" s="26" t="n">
        <v>0</v>
      </c>
      <c r="E232" s="26" t="n">
        <v>0</v>
      </c>
      <c r="F232" s="26" t="n">
        <v>1292.3</v>
      </c>
      <c r="G232" s="26" t="n">
        <v>0</v>
      </c>
      <c r="H232" s="26" t="n">
        <v>0</v>
      </c>
      <c r="I232" s="26" t="n">
        <v>4958.1</v>
      </c>
      <c r="J232" s="26" t="n">
        <v>0</v>
      </c>
      <c r="K232" s="26" t="n">
        <v>10.9</v>
      </c>
      <c r="L232" s="26" t="n">
        <v>0</v>
      </c>
      <c r="M232" s="26" t="n">
        <v>0</v>
      </c>
      <c r="N232" s="26" t="n">
        <v>0</v>
      </c>
      <c r="O232" s="26" t="n">
        <v>43.8</v>
      </c>
      <c r="P232" s="26" t="n">
        <v>0</v>
      </c>
      <c r="Q232" s="26" t="n">
        <v>3240.5</v>
      </c>
      <c r="R232" s="26" t="n">
        <v>1662.9</v>
      </c>
      <c r="S232" s="26" t="n">
        <v>0</v>
      </c>
      <c r="T232" s="26" t="n">
        <v>270.6</v>
      </c>
      <c r="U232" s="26" t="n">
        <v>0</v>
      </c>
    </row>
    <row r="233" customFormat="false" ht="15" hidden="false" customHeight="true" outlineLevel="0" collapsed="false">
      <c r="A233" s="8" t="s">
        <v>407</v>
      </c>
      <c r="B233" s="8" t="s">
        <v>227</v>
      </c>
      <c r="C233" s="8" t="s">
        <v>648</v>
      </c>
      <c r="D233" s="26" t="n">
        <v>0</v>
      </c>
      <c r="E233" s="26" t="n">
        <v>0</v>
      </c>
      <c r="F233" s="26" t="n">
        <v>2097.1</v>
      </c>
      <c r="G233" s="26" t="n">
        <v>0</v>
      </c>
      <c r="H233" s="26" t="n">
        <v>0</v>
      </c>
      <c r="I233" s="26" t="n">
        <v>2465</v>
      </c>
      <c r="J233" s="26" t="n">
        <v>0</v>
      </c>
      <c r="K233" s="26" t="n">
        <v>133.4</v>
      </c>
      <c r="L233" s="26" t="n">
        <v>0</v>
      </c>
      <c r="M233" s="26" t="n">
        <v>0</v>
      </c>
      <c r="N233" s="26" t="n">
        <v>0</v>
      </c>
      <c r="O233" s="26" t="n">
        <v>0</v>
      </c>
      <c r="P233" s="26" t="n">
        <v>-80</v>
      </c>
      <c r="Q233" s="26" t="n">
        <v>1237.6</v>
      </c>
      <c r="R233" s="26" t="n">
        <v>1174</v>
      </c>
      <c r="S233" s="26" t="n">
        <v>0</v>
      </c>
      <c r="T233" s="26" t="n">
        <v>1004.4</v>
      </c>
      <c r="U233" s="26" t="n">
        <v>0</v>
      </c>
    </row>
    <row r="234" customFormat="false" ht="15" hidden="false" customHeight="true" outlineLevel="0" collapsed="false">
      <c r="A234" s="8" t="s">
        <v>407</v>
      </c>
      <c r="B234" s="8" t="s">
        <v>111</v>
      </c>
      <c r="C234" s="8" t="s">
        <v>649</v>
      </c>
      <c r="D234" s="26" t="n">
        <v>0</v>
      </c>
      <c r="E234" s="26" t="n">
        <v>0</v>
      </c>
      <c r="F234" s="26" t="n">
        <v>-184.3</v>
      </c>
      <c r="G234" s="26" t="n">
        <v>0</v>
      </c>
      <c r="H234" s="26" t="n">
        <v>0</v>
      </c>
      <c r="I234" s="26" t="n">
        <v>-713.9</v>
      </c>
      <c r="J234" s="26" t="n">
        <v>0</v>
      </c>
      <c r="K234" s="26" t="n">
        <v>0</v>
      </c>
      <c r="L234" s="26" t="n">
        <v>0</v>
      </c>
      <c r="M234" s="26" t="n">
        <v>0</v>
      </c>
      <c r="N234" s="26" t="n">
        <v>0</v>
      </c>
      <c r="O234" s="26" t="n">
        <v>0</v>
      </c>
      <c r="P234" s="26" t="n">
        <v>-124.9</v>
      </c>
      <c r="Q234" s="26" t="n">
        <v>-798.9</v>
      </c>
      <c r="R234" s="26" t="n">
        <v>209.9</v>
      </c>
      <c r="S234" s="26" t="n">
        <v>0</v>
      </c>
      <c r="T234" s="26" t="n">
        <v>0</v>
      </c>
      <c r="U234" s="26" t="n">
        <v>0</v>
      </c>
    </row>
    <row r="235" customFormat="false" ht="15" hidden="false" customHeight="true" outlineLevel="0" collapsed="false">
      <c r="A235" s="8" t="s">
        <v>407</v>
      </c>
      <c r="B235" s="8" t="s">
        <v>111</v>
      </c>
      <c r="C235" s="8" t="s">
        <v>650</v>
      </c>
      <c r="D235" s="26" t="n">
        <v>0</v>
      </c>
      <c r="E235" s="26" t="n">
        <v>0</v>
      </c>
      <c r="F235" s="26" t="n">
        <v>281.1</v>
      </c>
      <c r="G235" s="26" t="n">
        <v>0</v>
      </c>
      <c r="H235" s="26" t="n">
        <v>0</v>
      </c>
      <c r="I235" s="26" t="n">
        <v>1333.8</v>
      </c>
      <c r="J235" s="26" t="n">
        <v>0</v>
      </c>
      <c r="K235" s="26" t="n">
        <v>0</v>
      </c>
      <c r="L235" s="26" t="n">
        <v>0</v>
      </c>
      <c r="M235" s="26" t="n">
        <v>0</v>
      </c>
      <c r="N235" s="26" t="n">
        <v>0</v>
      </c>
      <c r="O235" s="26" t="n">
        <v>0</v>
      </c>
      <c r="P235" s="26" t="n">
        <v>0</v>
      </c>
      <c r="Q235" s="26" t="n">
        <v>984</v>
      </c>
      <c r="R235" s="26" t="n">
        <v>349.8</v>
      </c>
      <c r="S235" s="26" t="n">
        <v>0</v>
      </c>
      <c r="T235" s="26" t="n">
        <v>0</v>
      </c>
      <c r="U235" s="26" t="n">
        <v>0</v>
      </c>
    </row>
    <row r="236" customFormat="false" ht="15" hidden="false" customHeight="true" outlineLevel="0" collapsed="false">
      <c r="A236" s="8" t="s">
        <v>407</v>
      </c>
      <c r="B236" s="8" t="s">
        <v>111</v>
      </c>
      <c r="C236" s="8" t="s">
        <v>651</v>
      </c>
      <c r="D236" s="26" t="n">
        <v>0</v>
      </c>
      <c r="E236" s="26" t="n">
        <v>0</v>
      </c>
      <c r="F236" s="26" t="n">
        <v>187.4</v>
      </c>
      <c r="G236" s="26" t="n">
        <v>0</v>
      </c>
      <c r="H236" s="26" t="n">
        <v>0</v>
      </c>
      <c r="I236" s="26" t="n">
        <v>1757.5</v>
      </c>
      <c r="J236" s="26" t="n">
        <v>0</v>
      </c>
      <c r="K236" s="26" t="n">
        <v>0</v>
      </c>
      <c r="L236" s="26" t="n">
        <v>0</v>
      </c>
      <c r="M236" s="26" t="n">
        <v>0</v>
      </c>
      <c r="N236" s="26" t="n">
        <v>0</v>
      </c>
      <c r="O236" s="26" t="n">
        <v>0</v>
      </c>
      <c r="P236" s="26" t="n">
        <v>0</v>
      </c>
      <c r="Q236" s="26" t="n">
        <v>1267.9</v>
      </c>
      <c r="R236" s="26" t="n">
        <v>489.7</v>
      </c>
      <c r="S236" s="26" t="n">
        <v>0</v>
      </c>
      <c r="T236" s="26" t="n">
        <v>0</v>
      </c>
      <c r="U236" s="26" t="n">
        <v>0</v>
      </c>
    </row>
    <row r="237" customFormat="false" ht="15" hidden="false" customHeight="true" outlineLevel="0" collapsed="false">
      <c r="A237" s="8" t="s">
        <v>407</v>
      </c>
      <c r="B237" s="8" t="s">
        <v>111</v>
      </c>
      <c r="C237" s="8" t="s">
        <v>652</v>
      </c>
      <c r="D237" s="26" t="n">
        <v>0</v>
      </c>
      <c r="E237" s="26" t="n">
        <v>0</v>
      </c>
      <c r="F237" s="26" t="n">
        <v>1554</v>
      </c>
      <c r="G237" s="26" t="n">
        <v>0</v>
      </c>
      <c r="H237" s="26" t="n">
        <v>0</v>
      </c>
      <c r="I237" s="26" t="n">
        <v>6709.5</v>
      </c>
      <c r="J237" s="26" t="n">
        <v>0</v>
      </c>
      <c r="K237" s="26" t="n">
        <v>0</v>
      </c>
      <c r="L237" s="26" t="n">
        <v>0</v>
      </c>
      <c r="M237" s="26" t="n">
        <v>0</v>
      </c>
      <c r="N237" s="26" t="n">
        <v>0</v>
      </c>
      <c r="O237" s="26" t="n">
        <v>0</v>
      </c>
      <c r="P237" s="26" t="n">
        <v>-139.9</v>
      </c>
      <c r="Q237" s="26" t="n">
        <v>6289.8</v>
      </c>
      <c r="R237" s="26" t="n">
        <v>559.6</v>
      </c>
      <c r="S237" s="26" t="n">
        <v>0</v>
      </c>
      <c r="T237" s="26" t="n">
        <v>0</v>
      </c>
      <c r="U237" s="26" t="n">
        <v>0</v>
      </c>
    </row>
    <row r="238" customFormat="false" ht="15" hidden="false" customHeight="true" outlineLevel="0" collapsed="false">
      <c r="A238" s="8" t="s">
        <v>407</v>
      </c>
      <c r="B238" s="8" t="s">
        <v>111</v>
      </c>
      <c r="C238" s="8" t="s">
        <v>653</v>
      </c>
      <c r="D238" s="26" t="n">
        <v>0</v>
      </c>
      <c r="E238" s="26" t="n">
        <v>0</v>
      </c>
      <c r="F238" s="26" t="n">
        <v>1770</v>
      </c>
      <c r="G238" s="26" t="n">
        <v>0</v>
      </c>
      <c r="H238" s="26" t="n">
        <v>0</v>
      </c>
      <c r="I238" s="26" t="n">
        <v>7366.4</v>
      </c>
      <c r="J238" s="26" t="n">
        <v>0</v>
      </c>
      <c r="K238" s="26" t="n">
        <v>0</v>
      </c>
      <c r="L238" s="26" t="n">
        <v>0</v>
      </c>
      <c r="M238" s="26" t="n">
        <v>0</v>
      </c>
      <c r="N238" s="26" t="n">
        <v>0</v>
      </c>
      <c r="O238" s="26" t="n">
        <v>0</v>
      </c>
      <c r="P238" s="26" t="n">
        <v>0</v>
      </c>
      <c r="Q238" s="26" t="n">
        <v>6806.8</v>
      </c>
      <c r="R238" s="26" t="n">
        <v>559.6</v>
      </c>
      <c r="S238" s="26" t="n">
        <v>0</v>
      </c>
      <c r="T238" s="26" t="n">
        <v>0</v>
      </c>
      <c r="U238" s="26" t="n">
        <v>0</v>
      </c>
    </row>
    <row r="239" customFormat="false" ht="15" hidden="false" customHeight="true" outlineLevel="0" collapsed="false">
      <c r="A239" s="8" t="s">
        <v>407</v>
      </c>
      <c r="B239" s="8" t="s">
        <v>111</v>
      </c>
      <c r="C239" s="8" t="s">
        <v>654</v>
      </c>
      <c r="D239" s="26" t="n">
        <v>0</v>
      </c>
      <c r="E239" s="26" t="n">
        <v>0</v>
      </c>
      <c r="F239" s="26" t="n">
        <v>1761.4</v>
      </c>
      <c r="G239" s="26" t="n">
        <v>0</v>
      </c>
      <c r="H239" s="26" t="n">
        <v>0</v>
      </c>
      <c r="I239" s="26" t="n">
        <v>8883.5</v>
      </c>
      <c r="J239" s="26" t="n">
        <v>0</v>
      </c>
      <c r="K239" s="26" t="n">
        <v>209.9</v>
      </c>
      <c r="L239" s="26" t="n">
        <v>0</v>
      </c>
      <c r="M239" s="26" t="n">
        <v>0</v>
      </c>
      <c r="N239" s="26" t="n">
        <v>0</v>
      </c>
      <c r="O239" s="26" t="n">
        <v>0</v>
      </c>
      <c r="P239" s="26" t="n">
        <v>-70</v>
      </c>
      <c r="Q239" s="26" t="n">
        <v>8044.1</v>
      </c>
      <c r="R239" s="26" t="n">
        <v>699.5</v>
      </c>
      <c r="S239" s="26" t="n">
        <v>0</v>
      </c>
      <c r="T239" s="26" t="n">
        <v>0</v>
      </c>
      <c r="U239" s="26" t="n">
        <v>0</v>
      </c>
    </row>
    <row r="240" customFormat="false" ht="15" hidden="false" customHeight="true" outlineLevel="0" collapsed="false">
      <c r="A240" s="8" t="s">
        <v>407</v>
      </c>
      <c r="B240" s="8" t="s">
        <v>139</v>
      </c>
      <c r="C240" s="8" t="s">
        <v>655</v>
      </c>
      <c r="D240" s="26" t="n">
        <v>0</v>
      </c>
      <c r="E240" s="26" t="n">
        <v>0</v>
      </c>
      <c r="F240" s="26" t="n">
        <v>796.2</v>
      </c>
      <c r="G240" s="26" t="n">
        <v>0</v>
      </c>
      <c r="H240" s="26" t="n">
        <v>0</v>
      </c>
      <c r="I240" s="26" t="n">
        <v>2051.7</v>
      </c>
      <c r="J240" s="26" t="n">
        <v>0</v>
      </c>
      <c r="K240" s="26" t="n">
        <v>0</v>
      </c>
      <c r="L240" s="26" t="n">
        <v>0</v>
      </c>
      <c r="M240" s="26" t="n">
        <v>0</v>
      </c>
      <c r="N240" s="26" t="n">
        <v>0</v>
      </c>
      <c r="O240" s="26" t="n">
        <v>0</v>
      </c>
      <c r="P240" s="26" t="n">
        <v>0</v>
      </c>
      <c r="Q240" s="26" t="n">
        <v>2051.7</v>
      </c>
      <c r="R240" s="26" t="n">
        <v>0</v>
      </c>
      <c r="S240" s="26" t="n">
        <v>0</v>
      </c>
      <c r="T240" s="26" t="n">
        <v>875</v>
      </c>
      <c r="U240" s="26" t="n">
        <v>0</v>
      </c>
    </row>
    <row r="241" customFormat="false" ht="15" hidden="false" customHeight="true" outlineLevel="0" collapsed="false">
      <c r="A241" s="8" t="s">
        <v>407</v>
      </c>
      <c r="B241" s="8" t="s">
        <v>139</v>
      </c>
      <c r="C241" s="8" t="s">
        <v>656</v>
      </c>
      <c r="D241" s="26" t="n">
        <v>0</v>
      </c>
      <c r="E241" s="26" t="n">
        <v>0</v>
      </c>
      <c r="F241" s="26" t="n">
        <v>1897</v>
      </c>
      <c r="G241" s="26" t="n">
        <v>0</v>
      </c>
      <c r="H241" s="26" t="n">
        <v>0</v>
      </c>
      <c r="I241" s="26" t="n">
        <v>12647.6</v>
      </c>
      <c r="J241" s="26" t="n">
        <v>0</v>
      </c>
      <c r="K241" s="26" t="n">
        <v>630.4</v>
      </c>
      <c r="L241" s="26" t="n">
        <v>0</v>
      </c>
      <c r="M241" s="26" t="n">
        <v>0</v>
      </c>
      <c r="N241" s="26" t="n">
        <v>0</v>
      </c>
      <c r="O241" s="26" t="n">
        <v>0</v>
      </c>
      <c r="P241" s="26" t="n">
        <v>-57.3</v>
      </c>
      <c r="Q241" s="26" t="n">
        <v>4452.2</v>
      </c>
      <c r="R241" s="26" t="n">
        <v>7622.2</v>
      </c>
      <c r="S241" s="26" t="n">
        <v>0</v>
      </c>
      <c r="T241" s="26" t="n">
        <v>1686.8</v>
      </c>
      <c r="U241" s="26" t="n">
        <v>0</v>
      </c>
    </row>
    <row r="242" customFormat="false" ht="15" hidden="false" customHeight="true" outlineLevel="0" collapsed="false">
      <c r="A242" s="8" t="s">
        <v>407</v>
      </c>
      <c r="B242" s="8" t="s">
        <v>139</v>
      </c>
      <c r="C242" s="8" t="s">
        <v>657</v>
      </c>
      <c r="D242" s="26" t="n">
        <v>0</v>
      </c>
      <c r="E242" s="26" t="n">
        <v>0</v>
      </c>
      <c r="F242" s="26" t="n">
        <v>3859.5</v>
      </c>
      <c r="G242" s="26" t="n">
        <v>0</v>
      </c>
      <c r="H242" s="26" t="n">
        <v>0</v>
      </c>
      <c r="I242" s="26" t="n">
        <v>11303</v>
      </c>
      <c r="J242" s="26" t="n">
        <v>0</v>
      </c>
      <c r="K242" s="26" t="n">
        <v>458.5</v>
      </c>
      <c r="L242" s="26" t="n">
        <v>0</v>
      </c>
      <c r="M242" s="26" t="n">
        <v>0</v>
      </c>
      <c r="N242" s="26" t="n">
        <v>0</v>
      </c>
      <c r="O242" s="26" t="n">
        <v>0</v>
      </c>
      <c r="P242" s="26" t="n">
        <v>-171.9</v>
      </c>
      <c r="Q242" s="26" t="n">
        <v>3738.1</v>
      </c>
      <c r="R242" s="26" t="n">
        <v>7278.4</v>
      </c>
      <c r="S242" s="26" t="n">
        <v>0</v>
      </c>
      <c r="T242" s="26" t="n">
        <v>2161.2</v>
      </c>
      <c r="U242" s="26" t="n">
        <v>0</v>
      </c>
    </row>
    <row r="243" customFormat="false" ht="15" hidden="false" customHeight="true" outlineLevel="0" collapsed="false">
      <c r="A243" s="8" t="s">
        <v>407</v>
      </c>
      <c r="B243" s="8" t="s">
        <v>188</v>
      </c>
      <c r="C243" s="8" t="s">
        <v>658</v>
      </c>
      <c r="D243" s="26" t="n">
        <v>0</v>
      </c>
      <c r="E243" s="26" t="n">
        <v>0</v>
      </c>
      <c r="F243" s="26" t="n">
        <v>1601.9</v>
      </c>
      <c r="G243" s="26" t="n">
        <v>0</v>
      </c>
      <c r="H243" s="26" t="n">
        <v>0</v>
      </c>
      <c r="I243" s="26" t="n">
        <v>9531.8</v>
      </c>
      <c r="J243" s="26" t="n">
        <v>0</v>
      </c>
      <c r="K243" s="26" t="n">
        <v>171.9</v>
      </c>
      <c r="L243" s="26" t="n">
        <v>0</v>
      </c>
      <c r="M243" s="26" t="n">
        <v>0</v>
      </c>
      <c r="N243" s="26" t="n">
        <v>0</v>
      </c>
      <c r="O243" s="26" t="n">
        <v>0</v>
      </c>
      <c r="P243" s="26" t="n">
        <v>-57.3</v>
      </c>
      <c r="Q243" s="26" t="n">
        <v>3227.7</v>
      </c>
      <c r="R243" s="26" t="n">
        <v>6189.5</v>
      </c>
      <c r="S243" s="26" t="n">
        <v>0</v>
      </c>
      <c r="T243" s="26" t="n">
        <v>906.6</v>
      </c>
      <c r="U243" s="26" t="n">
        <v>0</v>
      </c>
    </row>
    <row r="244" customFormat="false" ht="15" hidden="false" customHeight="true" outlineLevel="0" collapsed="false">
      <c r="A244" s="8" t="s">
        <v>407</v>
      </c>
      <c r="B244" s="8" t="s">
        <v>308</v>
      </c>
      <c r="C244" s="8" t="s">
        <v>959</v>
      </c>
      <c r="D244" s="26" t="n">
        <v>0</v>
      </c>
      <c r="E244" s="26" t="n">
        <v>0</v>
      </c>
      <c r="F244" s="26" t="n">
        <v>168.5</v>
      </c>
      <c r="G244" s="26" t="n">
        <v>0</v>
      </c>
      <c r="H244" s="26" t="n">
        <v>0</v>
      </c>
      <c r="I244" s="26" t="n">
        <v>0</v>
      </c>
      <c r="J244" s="26" t="n">
        <v>0</v>
      </c>
      <c r="K244" s="26" t="n">
        <v>0</v>
      </c>
      <c r="L244" s="26" t="n">
        <v>0</v>
      </c>
      <c r="M244" s="26" t="n">
        <v>0</v>
      </c>
      <c r="N244" s="26" t="n">
        <v>0</v>
      </c>
      <c r="O244" s="26" t="n">
        <v>0</v>
      </c>
      <c r="P244" s="26" t="n">
        <v>0</v>
      </c>
      <c r="Q244" s="26" t="n">
        <v>0</v>
      </c>
      <c r="R244" s="26" t="n">
        <v>0</v>
      </c>
      <c r="S244" s="26" t="n">
        <v>0</v>
      </c>
      <c r="T244" s="26" t="n">
        <v>0</v>
      </c>
      <c r="U244" s="26" t="n">
        <v>0</v>
      </c>
    </row>
    <row r="245" customFormat="false" ht="15" hidden="false" customHeight="true" outlineLevel="0" collapsed="false">
      <c r="A245" s="8" t="s">
        <v>407</v>
      </c>
      <c r="B245" s="8" t="s">
        <v>222</v>
      </c>
      <c r="C245" s="8" t="s">
        <v>663</v>
      </c>
      <c r="D245" s="26" t="n">
        <v>0</v>
      </c>
      <c r="E245" s="26" t="n">
        <v>0</v>
      </c>
      <c r="F245" s="26" t="n">
        <v>0</v>
      </c>
      <c r="G245" s="26" t="n">
        <v>0</v>
      </c>
      <c r="H245" s="26" t="n">
        <v>0</v>
      </c>
      <c r="I245" s="26" t="n">
        <v>-81.9</v>
      </c>
      <c r="J245" s="26" t="n">
        <v>0</v>
      </c>
      <c r="K245" s="26" t="n">
        <v>0</v>
      </c>
      <c r="L245" s="26" t="n">
        <v>0</v>
      </c>
      <c r="M245" s="26" t="n">
        <v>0</v>
      </c>
      <c r="N245" s="26" t="n">
        <v>0</v>
      </c>
      <c r="O245" s="26" t="n">
        <v>0</v>
      </c>
      <c r="P245" s="26" t="n">
        <v>0</v>
      </c>
      <c r="Q245" s="26" t="n">
        <v>-81.9</v>
      </c>
      <c r="R245" s="26" t="n">
        <v>0</v>
      </c>
      <c r="S245" s="26" t="n">
        <v>0</v>
      </c>
      <c r="T245" s="26" t="n">
        <v>0</v>
      </c>
      <c r="U245" s="26" t="n">
        <v>0</v>
      </c>
    </row>
    <row r="246" customFormat="false" ht="15" hidden="false" customHeight="true" outlineLevel="0" collapsed="false">
      <c r="A246" s="8" t="s">
        <v>407</v>
      </c>
      <c r="B246" s="8" t="s">
        <v>277</v>
      </c>
      <c r="C246" s="8" t="s">
        <v>667</v>
      </c>
      <c r="D246" s="26" t="n">
        <v>0</v>
      </c>
      <c r="E246" s="26" t="n">
        <v>0</v>
      </c>
      <c r="F246" s="26" t="n">
        <v>94.6</v>
      </c>
      <c r="G246" s="26" t="n">
        <v>0</v>
      </c>
      <c r="H246" s="26" t="n">
        <v>0</v>
      </c>
      <c r="I246" s="26" t="n">
        <v>0</v>
      </c>
      <c r="J246" s="26" t="n">
        <v>0</v>
      </c>
      <c r="K246" s="26" t="n">
        <v>0</v>
      </c>
      <c r="L246" s="26" t="n">
        <v>0</v>
      </c>
      <c r="M246" s="26" t="n">
        <v>0</v>
      </c>
      <c r="N246" s="26" t="n">
        <v>0</v>
      </c>
      <c r="O246" s="26" t="n">
        <v>0</v>
      </c>
      <c r="P246" s="26" t="n">
        <v>0</v>
      </c>
      <c r="Q246" s="26" t="n">
        <v>0</v>
      </c>
      <c r="R246" s="26" t="n">
        <v>0</v>
      </c>
      <c r="S246" s="26" t="n">
        <v>0</v>
      </c>
      <c r="T246" s="26" t="n">
        <v>0</v>
      </c>
      <c r="U246" s="26" t="n">
        <v>0</v>
      </c>
    </row>
    <row r="247" customFormat="false" ht="15" hidden="false" customHeight="true" outlineLevel="0" collapsed="false">
      <c r="A247" s="8" t="s">
        <v>407</v>
      </c>
      <c r="B247" s="8" t="s">
        <v>277</v>
      </c>
      <c r="C247" s="8" t="s">
        <v>668</v>
      </c>
      <c r="D247" s="26" t="n">
        <v>0</v>
      </c>
      <c r="E247" s="26" t="n">
        <v>0</v>
      </c>
      <c r="F247" s="26" t="n">
        <v>94.6</v>
      </c>
      <c r="G247" s="26" t="n">
        <v>0</v>
      </c>
      <c r="H247" s="26" t="n">
        <v>0</v>
      </c>
      <c r="I247" s="26" t="n">
        <v>0</v>
      </c>
      <c r="J247" s="26" t="n">
        <v>0</v>
      </c>
      <c r="K247" s="26" t="n">
        <v>0</v>
      </c>
      <c r="L247" s="26" t="n">
        <v>0</v>
      </c>
      <c r="M247" s="26" t="n">
        <v>0</v>
      </c>
      <c r="N247" s="26" t="n">
        <v>0</v>
      </c>
      <c r="O247" s="26" t="n">
        <v>0</v>
      </c>
      <c r="P247" s="26" t="n">
        <v>0</v>
      </c>
      <c r="Q247" s="26" t="n">
        <v>0</v>
      </c>
      <c r="R247" s="26" t="n">
        <v>0</v>
      </c>
      <c r="S247" s="26" t="n">
        <v>0</v>
      </c>
      <c r="T247" s="26" t="n">
        <v>0</v>
      </c>
      <c r="U247" s="26" t="n">
        <v>0</v>
      </c>
    </row>
    <row r="248" customFormat="false" ht="15" hidden="false" customHeight="true" outlineLevel="0" collapsed="false">
      <c r="A248" s="8" t="s">
        <v>407</v>
      </c>
      <c r="B248" s="8" t="s">
        <v>277</v>
      </c>
      <c r="C248" s="8" t="s">
        <v>669</v>
      </c>
      <c r="D248" s="26" t="n">
        <v>0</v>
      </c>
      <c r="E248" s="26" t="n">
        <v>0</v>
      </c>
      <c r="F248" s="26" t="n">
        <v>189.3</v>
      </c>
      <c r="G248" s="26" t="n">
        <v>0</v>
      </c>
      <c r="H248" s="26" t="n">
        <v>0</v>
      </c>
      <c r="I248" s="26" t="n">
        <v>0</v>
      </c>
      <c r="J248" s="26" t="n">
        <v>0</v>
      </c>
      <c r="K248" s="26" t="n">
        <v>0</v>
      </c>
      <c r="L248" s="26" t="n">
        <v>0</v>
      </c>
      <c r="M248" s="26" t="n">
        <v>0</v>
      </c>
      <c r="N248" s="26" t="n">
        <v>0</v>
      </c>
      <c r="O248" s="26" t="n">
        <v>0</v>
      </c>
      <c r="P248" s="26" t="n">
        <v>0</v>
      </c>
      <c r="Q248" s="26" t="n">
        <v>0</v>
      </c>
      <c r="R248" s="26" t="n">
        <v>0</v>
      </c>
      <c r="S248" s="26" t="n">
        <v>0</v>
      </c>
      <c r="T248" s="26" t="n">
        <v>0</v>
      </c>
      <c r="U248" s="26" t="n">
        <v>0</v>
      </c>
    </row>
    <row r="249" customFormat="false" ht="15" hidden="false" customHeight="true" outlineLevel="0" collapsed="false">
      <c r="A249" s="8" t="s">
        <v>407</v>
      </c>
      <c r="B249" s="8" t="s">
        <v>224</v>
      </c>
      <c r="C249" s="8" t="s">
        <v>672</v>
      </c>
      <c r="D249" s="26" t="n">
        <v>0</v>
      </c>
      <c r="E249" s="26" t="n">
        <v>0</v>
      </c>
      <c r="F249" s="26" t="n">
        <v>0</v>
      </c>
      <c r="G249" s="26" t="n">
        <v>0</v>
      </c>
      <c r="H249" s="26" t="n">
        <v>0</v>
      </c>
      <c r="I249" s="26" t="n">
        <v>97</v>
      </c>
      <c r="J249" s="26" t="n">
        <v>0</v>
      </c>
      <c r="K249" s="26" t="n">
        <v>0</v>
      </c>
      <c r="L249" s="26" t="n">
        <v>0</v>
      </c>
      <c r="M249" s="26" t="n">
        <v>0</v>
      </c>
      <c r="N249" s="26" t="n">
        <v>0</v>
      </c>
      <c r="O249" s="26" t="n">
        <v>0</v>
      </c>
      <c r="P249" s="26" t="n">
        <v>0</v>
      </c>
      <c r="Q249" s="26" t="n">
        <v>0</v>
      </c>
      <c r="R249" s="26" t="n">
        <v>97</v>
      </c>
      <c r="S249" s="26" t="n">
        <v>0</v>
      </c>
      <c r="T249" s="26" t="n">
        <v>0</v>
      </c>
      <c r="U249" s="26" t="n">
        <v>0</v>
      </c>
    </row>
    <row r="250" customFormat="false" ht="15" hidden="false" customHeight="true" outlineLevel="0" collapsed="false">
      <c r="A250" s="8" t="s">
        <v>407</v>
      </c>
      <c r="B250" s="8" t="s">
        <v>272</v>
      </c>
      <c r="C250" s="8" t="s">
        <v>674</v>
      </c>
      <c r="D250" s="26" t="n">
        <v>0</v>
      </c>
      <c r="E250" s="26" t="n">
        <v>0</v>
      </c>
      <c r="F250" s="26" t="n">
        <v>0</v>
      </c>
      <c r="G250" s="26" t="n">
        <v>0</v>
      </c>
      <c r="H250" s="26" t="n">
        <v>0</v>
      </c>
      <c r="I250" s="26" t="n">
        <v>824.8</v>
      </c>
      <c r="J250" s="26" t="n">
        <v>0</v>
      </c>
      <c r="K250" s="26" t="n">
        <v>0</v>
      </c>
      <c r="L250" s="26" t="n">
        <v>0</v>
      </c>
      <c r="M250" s="26" t="n">
        <v>0</v>
      </c>
      <c r="N250" s="26" t="n">
        <v>0</v>
      </c>
      <c r="O250" s="26" t="n">
        <v>0</v>
      </c>
      <c r="P250" s="26" t="n">
        <v>0</v>
      </c>
      <c r="Q250" s="26" t="n">
        <v>630.7</v>
      </c>
      <c r="R250" s="26" t="n">
        <v>194.1</v>
      </c>
      <c r="S250" s="26" t="n">
        <v>0</v>
      </c>
      <c r="T250" s="26" t="n">
        <v>0</v>
      </c>
      <c r="U250" s="26" t="n">
        <v>0</v>
      </c>
    </row>
    <row r="251" customFormat="false" ht="15" hidden="false" customHeight="true" outlineLevel="0" collapsed="false">
      <c r="A251" s="8" t="s">
        <v>407</v>
      </c>
      <c r="B251" s="8" t="s">
        <v>251</v>
      </c>
      <c r="C251" s="8" t="s">
        <v>675</v>
      </c>
      <c r="D251" s="26" t="n">
        <v>0</v>
      </c>
      <c r="E251" s="26" t="n">
        <v>0</v>
      </c>
      <c r="F251" s="26" t="n">
        <v>210.8</v>
      </c>
      <c r="G251" s="26" t="n">
        <v>0</v>
      </c>
      <c r="H251" s="26" t="n">
        <v>0</v>
      </c>
      <c r="I251" s="26" t="n">
        <v>4470.3</v>
      </c>
      <c r="J251" s="26" t="n">
        <v>0</v>
      </c>
      <c r="K251" s="26" t="n">
        <v>291.1</v>
      </c>
      <c r="L251" s="26" t="n">
        <v>0</v>
      </c>
      <c r="M251" s="26" t="n">
        <v>0</v>
      </c>
      <c r="N251" s="26" t="n">
        <v>0</v>
      </c>
      <c r="O251" s="26" t="n">
        <v>0</v>
      </c>
      <c r="P251" s="26" t="n">
        <v>0</v>
      </c>
      <c r="Q251" s="26" t="n">
        <v>3014.9</v>
      </c>
      <c r="R251" s="26" t="n">
        <v>1164.4</v>
      </c>
      <c r="S251" s="26" t="n">
        <v>0</v>
      </c>
      <c r="T251" s="26" t="n">
        <v>0</v>
      </c>
      <c r="U251" s="26" t="n">
        <v>0</v>
      </c>
    </row>
    <row r="252" customFormat="false" ht="15" hidden="false" customHeight="true" outlineLevel="0" collapsed="false">
      <c r="A252" s="8" t="s">
        <v>407</v>
      </c>
      <c r="B252" s="8" t="s">
        <v>251</v>
      </c>
      <c r="C252" s="8" t="s">
        <v>676</v>
      </c>
      <c r="D252" s="26" t="n">
        <v>0</v>
      </c>
      <c r="E252" s="26" t="n">
        <v>0</v>
      </c>
      <c r="F252" s="26" t="n">
        <v>105.4</v>
      </c>
      <c r="G252" s="26" t="n">
        <v>0</v>
      </c>
      <c r="H252" s="26" t="n">
        <v>0</v>
      </c>
      <c r="I252" s="26" t="n">
        <v>3256.2</v>
      </c>
      <c r="J252" s="26" t="n">
        <v>0</v>
      </c>
      <c r="K252" s="26" t="n">
        <v>0</v>
      </c>
      <c r="L252" s="26" t="n">
        <v>0</v>
      </c>
      <c r="M252" s="26" t="n">
        <v>0</v>
      </c>
      <c r="N252" s="26" t="n">
        <v>0</v>
      </c>
      <c r="O252" s="26" t="n">
        <v>0</v>
      </c>
      <c r="P252" s="26" t="n">
        <v>0</v>
      </c>
      <c r="Q252" s="26" t="n">
        <v>2674.1</v>
      </c>
      <c r="R252" s="26" t="n">
        <v>582.2</v>
      </c>
      <c r="S252" s="26" t="n">
        <v>0</v>
      </c>
      <c r="T252" s="26" t="n">
        <v>0</v>
      </c>
      <c r="U252" s="26" t="n">
        <v>0</v>
      </c>
    </row>
    <row r="253" customFormat="false" ht="15" hidden="false" customHeight="true" outlineLevel="0" collapsed="false">
      <c r="A253" s="8" t="s">
        <v>407</v>
      </c>
      <c r="B253" s="8" t="s">
        <v>251</v>
      </c>
      <c r="C253" s="8" t="s">
        <v>677</v>
      </c>
      <c r="D253" s="26" t="n">
        <v>0</v>
      </c>
      <c r="E253" s="26" t="n">
        <v>0</v>
      </c>
      <c r="F253" s="26" t="n">
        <v>210.8</v>
      </c>
      <c r="G253" s="26" t="n">
        <v>0</v>
      </c>
      <c r="H253" s="26" t="n">
        <v>0</v>
      </c>
      <c r="I253" s="26" t="n">
        <v>4520</v>
      </c>
      <c r="J253" s="26" t="n">
        <v>0</v>
      </c>
      <c r="K253" s="26" t="n">
        <v>97</v>
      </c>
      <c r="L253" s="26" t="n">
        <v>0</v>
      </c>
      <c r="M253" s="26" t="n">
        <v>0</v>
      </c>
      <c r="N253" s="26" t="n">
        <v>0</v>
      </c>
      <c r="O253" s="26" t="n">
        <v>0</v>
      </c>
      <c r="P253" s="26" t="n">
        <v>0</v>
      </c>
      <c r="Q253" s="26" t="n">
        <v>3646.7</v>
      </c>
      <c r="R253" s="26" t="n">
        <v>776.2</v>
      </c>
      <c r="S253" s="26" t="n">
        <v>0</v>
      </c>
      <c r="T253" s="26" t="n">
        <v>0</v>
      </c>
      <c r="U253" s="26" t="n">
        <v>0</v>
      </c>
    </row>
    <row r="254" customFormat="false" ht="15" hidden="false" customHeight="true" outlineLevel="0" collapsed="false">
      <c r="A254" s="8" t="s">
        <v>407</v>
      </c>
      <c r="B254" s="8" t="s">
        <v>376</v>
      </c>
      <c r="C254" s="8" t="s">
        <v>960</v>
      </c>
      <c r="D254" s="26" t="n">
        <v>0</v>
      </c>
      <c r="E254" s="26" t="n">
        <v>0</v>
      </c>
      <c r="F254" s="26" t="n">
        <v>0</v>
      </c>
      <c r="G254" s="26" t="n">
        <v>0</v>
      </c>
      <c r="H254" s="26" t="n">
        <v>0</v>
      </c>
      <c r="I254" s="26" t="n">
        <v>-204.8</v>
      </c>
      <c r="J254" s="26" t="n">
        <v>0</v>
      </c>
      <c r="K254" s="26" t="n">
        <v>0</v>
      </c>
      <c r="L254" s="26" t="n">
        <v>0</v>
      </c>
      <c r="M254" s="26" t="n">
        <v>0</v>
      </c>
      <c r="N254" s="26" t="n">
        <v>0</v>
      </c>
      <c r="O254" s="26" t="n">
        <v>0</v>
      </c>
      <c r="P254" s="26" t="n">
        <v>0</v>
      </c>
      <c r="Q254" s="26" t="n">
        <v>-204.8</v>
      </c>
      <c r="R254" s="26" t="n">
        <v>0</v>
      </c>
      <c r="S254" s="26" t="n">
        <v>0</v>
      </c>
      <c r="T254" s="26" t="n">
        <v>0</v>
      </c>
      <c r="U254" s="26" t="n">
        <v>0</v>
      </c>
    </row>
    <row r="255" customFormat="false" ht="15" hidden="false" customHeight="true" outlineLevel="0" collapsed="false">
      <c r="A255" s="8" t="s">
        <v>407</v>
      </c>
      <c r="B255" s="8" t="s">
        <v>270</v>
      </c>
      <c r="C255" s="8" t="s">
        <v>678</v>
      </c>
      <c r="D255" s="26" t="n">
        <v>0</v>
      </c>
      <c r="E255" s="26" t="n">
        <v>0</v>
      </c>
      <c r="F255" s="26" t="n">
        <v>806</v>
      </c>
      <c r="G255" s="26" t="n">
        <v>0</v>
      </c>
      <c r="H255" s="26" t="n">
        <v>0</v>
      </c>
      <c r="I255" s="26" t="n">
        <v>3127</v>
      </c>
      <c r="J255" s="26" t="n">
        <v>0</v>
      </c>
      <c r="K255" s="26" t="n">
        <v>0</v>
      </c>
      <c r="L255" s="26" t="n">
        <v>0</v>
      </c>
      <c r="M255" s="26" t="n">
        <v>0</v>
      </c>
      <c r="N255" s="26" t="n">
        <v>0</v>
      </c>
      <c r="O255" s="26" t="n">
        <v>0</v>
      </c>
      <c r="P255" s="26" t="n">
        <v>0</v>
      </c>
      <c r="Q255" s="26" t="n">
        <v>2774.1</v>
      </c>
      <c r="R255" s="26" t="n">
        <v>352.9</v>
      </c>
      <c r="S255" s="26" t="n">
        <v>0</v>
      </c>
      <c r="T255" s="26" t="n">
        <v>506</v>
      </c>
      <c r="U255" s="26" t="n">
        <v>0</v>
      </c>
    </row>
    <row r="256" customFormat="false" ht="15" hidden="false" customHeight="true" outlineLevel="0" collapsed="false">
      <c r="A256" s="8" t="s">
        <v>407</v>
      </c>
      <c r="B256" s="8" t="s">
        <v>270</v>
      </c>
      <c r="C256" s="8" t="s">
        <v>679</v>
      </c>
      <c r="D256" s="26" t="n">
        <v>0</v>
      </c>
      <c r="E256" s="26" t="n">
        <v>0</v>
      </c>
      <c r="F256" s="26" t="n">
        <v>2216.5</v>
      </c>
      <c r="G256" s="26" t="n">
        <v>0</v>
      </c>
      <c r="H256" s="26" t="n">
        <v>0</v>
      </c>
      <c r="I256" s="26" t="n">
        <v>17843.7</v>
      </c>
      <c r="J256" s="26" t="n">
        <v>0</v>
      </c>
      <c r="K256" s="26" t="n">
        <v>0</v>
      </c>
      <c r="L256" s="26" t="n">
        <v>0</v>
      </c>
      <c r="M256" s="26" t="n">
        <v>0</v>
      </c>
      <c r="N256" s="26" t="n">
        <v>0</v>
      </c>
      <c r="O256" s="26" t="n">
        <v>0</v>
      </c>
      <c r="P256" s="26" t="n">
        <v>0</v>
      </c>
      <c r="Q256" s="26" t="n">
        <v>16961.5</v>
      </c>
      <c r="R256" s="26" t="n">
        <v>882.2</v>
      </c>
      <c r="S256" s="26" t="n">
        <v>0</v>
      </c>
      <c r="T256" s="26" t="n">
        <v>2498.4</v>
      </c>
      <c r="U256" s="26" t="n">
        <v>0</v>
      </c>
    </row>
    <row r="257" customFormat="false" ht="15" hidden="false" customHeight="true" outlineLevel="0" collapsed="false">
      <c r="A257" s="8" t="s">
        <v>407</v>
      </c>
      <c r="B257" s="8" t="s">
        <v>270</v>
      </c>
      <c r="C257" s="8" t="s">
        <v>680</v>
      </c>
      <c r="D257" s="26" t="n">
        <v>0</v>
      </c>
      <c r="E257" s="26" t="n">
        <v>0</v>
      </c>
      <c r="F257" s="26" t="n">
        <v>5346.4</v>
      </c>
      <c r="G257" s="26" t="n">
        <v>0</v>
      </c>
      <c r="H257" s="26" t="n">
        <v>0</v>
      </c>
      <c r="I257" s="26" t="n">
        <v>22430.6</v>
      </c>
      <c r="J257" s="26" t="n">
        <v>0</v>
      </c>
      <c r="K257" s="26" t="n">
        <v>0</v>
      </c>
      <c r="L257" s="26" t="n">
        <v>0</v>
      </c>
      <c r="M257" s="26" t="n">
        <v>0</v>
      </c>
      <c r="N257" s="26" t="n">
        <v>0</v>
      </c>
      <c r="O257" s="26" t="n">
        <v>0</v>
      </c>
      <c r="P257" s="26" t="n">
        <v>0</v>
      </c>
      <c r="Q257" s="26" t="n">
        <v>20666.2</v>
      </c>
      <c r="R257" s="26" t="n">
        <v>1764.4</v>
      </c>
      <c r="S257" s="26" t="n">
        <v>0</v>
      </c>
      <c r="T257" s="26" t="n">
        <v>2340.3</v>
      </c>
      <c r="U257" s="26" t="n">
        <v>0</v>
      </c>
    </row>
    <row r="258" customFormat="false" ht="15" hidden="false" customHeight="true" outlineLevel="0" collapsed="false">
      <c r="A258" s="8" t="s">
        <v>407</v>
      </c>
      <c r="B258" s="8" t="s">
        <v>270</v>
      </c>
      <c r="C258" s="8" t="s">
        <v>681</v>
      </c>
      <c r="D258" s="26" t="n">
        <v>0</v>
      </c>
      <c r="E258" s="26" t="n">
        <v>0</v>
      </c>
      <c r="F258" s="26" t="n">
        <v>2793.2</v>
      </c>
      <c r="G258" s="26" t="n">
        <v>0</v>
      </c>
      <c r="H258" s="26" t="n">
        <v>0</v>
      </c>
      <c r="I258" s="26" t="n">
        <v>23084.9</v>
      </c>
      <c r="J258" s="26" t="n">
        <v>0</v>
      </c>
      <c r="K258" s="26" t="n">
        <v>0</v>
      </c>
      <c r="L258" s="26" t="n">
        <v>0</v>
      </c>
      <c r="M258" s="26" t="n">
        <v>0</v>
      </c>
      <c r="N258" s="26" t="n">
        <v>0</v>
      </c>
      <c r="O258" s="26" t="n">
        <v>0</v>
      </c>
      <c r="P258" s="26" t="n">
        <v>0</v>
      </c>
      <c r="Q258" s="26" t="n">
        <v>21496.9</v>
      </c>
      <c r="R258" s="26" t="n">
        <v>1588</v>
      </c>
      <c r="S258" s="26" t="n">
        <v>0</v>
      </c>
      <c r="T258" s="26" t="n">
        <v>1771</v>
      </c>
      <c r="U258" s="26" t="n">
        <v>0</v>
      </c>
    </row>
    <row r="259" customFormat="false" ht="15" hidden="false" customHeight="true" outlineLevel="0" collapsed="false">
      <c r="A259" s="8" t="s">
        <v>407</v>
      </c>
      <c r="B259" s="8" t="s">
        <v>270</v>
      </c>
      <c r="C259" s="8" t="s">
        <v>682</v>
      </c>
      <c r="D259" s="26" t="n">
        <v>0</v>
      </c>
      <c r="E259" s="26" t="n">
        <v>0</v>
      </c>
      <c r="F259" s="26" t="n">
        <v>1410.5</v>
      </c>
      <c r="G259" s="26" t="n">
        <v>0</v>
      </c>
      <c r="H259" s="26" t="n">
        <v>0</v>
      </c>
      <c r="I259" s="26" t="n">
        <v>8605.7</v>
      </c>
      <c r="J259" s="26" t="n">
        <v>0</v>
      </c>
      <c r="K259" s="26" t="n">
        <v>0</v>
      </c>
      <c r="L259" s="26" t="n">
        <v>0</v>
      </c>
      <c r="M259" s="26" t="n">
        <v>0</v>
      </c>
      <c r="N259" s="26" t="n">
        <v>0</v>
      </c>
      <c r="O259" s="26" t="n">
        <v>0</v>
      </c>
      <c r="P259" s="26" t="n">
        <v>0</v>
      </c>
      <c r="Q259" s="26" t="n">
        <v>8076.4</v>
      </c>
      <c r="R259" s="26" t="n">
        <v>529.3</v>
      </c>
      <c r="S259" s="26" t="n">
        <v>0</v>
      </c>
      <c r="T259" s="26" t="n">
        <v>885.5</v>
      </c>
      <c r="U259" s="26" t="n">
        <v>0</v>
      </c>
    </row>
    <row r="260" customFormat="false" ht="15" hidden="false" customHeight="true" outlineLevel="0" collapsed="false">
      <c r="A260" s="8" t="s">
        <v>407</v>
      </c>
      <c r="B260" s="8" t="s">
        <v>332</v>
      </c>
      <c r="C260" s="8" t="s">
        <v>683</v>
      </c>
      <c r="D260" s="26" t="n">
        <v>0</v>
      </c>
      <c r="E260" s="26" t="n">
        <v>0</v>
      </c>
      <c r="F260" s="26" t="n">
        <v>94.5</v>
      </c>
      <c r="G260" s="26" t="n">
        <v>0</v>
      </c>
      <c r="H260" s="26" t="n">
        <v>0</v>
      </c>
      <c r="I260" s="26" t="n">
        <v>0</v>
      </c>
      <c r="J260" s="26" t="n">
        <v>0</v>
      </c>
      <c r="K260" s="26" t="n">
        <v>0</v>
      </c>
      <c r="L260" s="26" t="n">
        <v>0</v>
      </c>
      <c r="M260" s="26" t="n">
        <v>0</v>
      </c>
      <c r="N260" s="26" t="n">
        <v>0</v>
      </c>
      <c r="O260" s="26" t="n">
        <v>0</v>
      </c>
      <c r="P260" s="26" t="n">
        <v>0</v>
      </c>
      <c r="Q260" s="26" t="n">
        <v>0</v>
      </c>
      <c r="R260" s="26" t="n">
        <v>0</v>
      </c>
      <c r="S260" s="26" t="n">
        <v>0</v>
      </c>
      <c r="T260" s="26" t="n">
        <v>0</v>
      </c>
      <c r="U260" s="26" t="n">
        <v>0</v>
      </c>
    </row>
    <row r="261" customFormat="false" ht="15" hidden="false" customHeight="true" outlineLevel="0" collapsed="false">
      <c r="A261" s="8" t="s">
        <v>407</v>
      </c>
      <c r="B261" s="8" t="s">
        <v>255</v>
      </c>
      <c r="C261" s="8" t="s">
        <v>688</v>
      </c>
      <c r="D261" s="26" t="n">
        <v>0</v>
      </c>
      <c r="E261" s="26" t="n">
        <v>0</v>
      </c>
      <c r="F261" s="26" t="n">
        <v>118.6</v>
      </c>
      <c r="G261" s="26" t="n">
        <v>0</v>
      </c>
      <c r="H261" s="26" t="n">
        <v>0</v>
      </c>
      <c r="I261" s="26" t="n">
        <v>0</v>
      </c>
      <c r="J261" s="26" t="n">
        <v>0</v>
      </c>
      <c r="K261" s="26" t="n">
        <v>0</v>
      </c>
      <c r="L261" s="26" t="n">
        <v>0</v>
      </c>
      <c r="M261" s="26" t="n">
        <v>0</v>
      </c>
      <c r="N261" s="26" t="n">
        <v>0</v>
      </c>
      <c r="O261" s="26" t="n">
        <v>0</v>
      </c>
      <c r="P261" s="26" t="n">
        <v>0</v>
      </c>
      <c r="Q261" s="26" t="n">
        <v>0</v>
      </c>
      <c r="R261" s="26" t="n">
        <v>0</v>
      </c>
      <c r="S261" s="26" t="n">
        <v>0</v>
      </c>
      <c r="T261" s="26" t="n">
        <v>0</v>
      </c>
      <c r="U261" s="26" t="n">
        <v>0</v>
      </c>
    </row>
    <row r="262" customFormat="false" ht="15" hidden="false" customHeight="true" outlineLevel="0" collapsed="false">
      <c r="A262" s="8" t="s">
        <v>407</v>
      </c>
      <c r="B262" s="8" t="s">
        <v>325</v>
      </c>
      <c r="C262" s="8" t="s">
        <v>961</v>
      </c>
      <c r="D262" s="26" t="n">
        <v>0</v>
      </c>
      <c r="E262" s="26" t="n">
        <v>0</v>
      </c>
      <c r="F262" s="26" t="n">
        <v>118.6</v>
      </c>
      <c r="G262" s="26" t="n">
        <v>0</v>
      </c>
      <c r="H262" s="26" t="n">
        <v>0</v>
      </c>
      <c r="I262" s="26" t="n">
        <v>0</v>
      </c>
      <c r="J262" s="26" t="n">
        <v>0</v>
      </c>
      <c r="K262" s="26" t="n">
        <v>0</v>
      </c>
      <c r="L262" s="26" t="n">
        <v>0</v>
      </c>
      <c r="M262" s="26" t="n">
        <v>0</v>
      </c>
      <c r="N262" s="26" t="n">
        <v>0</v>
      </c>
      <c r="O262" s="26" t="n">
        <v>0</v>
      </c>
      <c r="P262" s="26" t="n">
        <v>0</v>
      </c>
      <c r="Q262" s="26" t="n">
        <v>0</v>
      </c>
      <c r="R262" s="26" t="n">
        <v>0</v>
      </c>
      <c r="S262" s="26" t="n">
        <v>0</v>
      </c>
      <c r="T262" s="26" t="n">
        <v>0</v>
      </c>
      <c r="U262" s="26" t="n">
        <v>0</v>
      </c>
    </row>
    <row r="263" customFormat="false" ht="15" hidden="false" customHeight="true" outlineLevel="0" collapsed="false">
      <c r="A263" s="8" t="s">
        <v>407</v>
      </c>
      <c r="B263" s="8" t="s">
        <v>312</v>
      </c>
      <c r="C263" s="8" t="s">
        <v>692</v>
      </c>
      <c r="D263" s="26" t="n">
        <v>0</v>
      </c>
      <c r="E263" s="26" t="n">
        <v>0</v>
      </c>
      <c r="F263" s="26" t="n">
        <v>182.9</v>
      </c>
      <c r="G263" s="26" t="n">
        <v>0</v>
      </c>
      <c r="H263" s="26" t="n">
        <v>0</v>
      </c>
      <c r="I263" s="26" t="n">
        <v>250.1</v>
      </c>
      <c r="J263" s="26" t="n">
        <v>0</v>
      </c>
      <c r="K263" s="26" t="n">
        <v>0</v>
      </c>
      <c r="L263" s="26" t="n">
        <v>0</v>
      </c>
      <c r="M263" s="26" t="n">
        <v>0</v>
      </c>
      <c r="N263" s="26" t="n">
        <v>0</v>
      </c>
      <c r="O263" s="26" t="n">
        <v>0</v>
      </c>
      <c r="P263" s="26" t="n">
        <v>-126.1</v>
      </c>
      <c r="Q263" s="26" t="n">
        <v>114</v>
      </c>
      <c r="R263" s="26" t="n">
        <v>262.2</v>
      </c>
      <c r="S263" s="26" t="n">
        <v>0</v>
      </c>
      <c r="T263" s="26" t="n">
        <v>0</v>
      </c>
      <c r="U263" s="26" t="n">
        <v>0</v>
      </c>
    </row>
    <row r="264" customFormat="false" ht="15" hidden="false" customHeight="true" outlineLevel="0" collapsed="false">
      <c r="A264" s="8" t="s">
        <v>407</v>
      </c>
      <c r="B264" s="8" t="s">
        <v>312</v>
      </c>
      <c r="C264" s="8" t="s">
        <v>693</v>
      </c>
      <c r="D264" s="26" t="n">
        <v>0</v>
      </c>
      <c r="E264" s="26" t="n">
        <v>0</v>
      </c>
      <c r="F264" s="26" t="n">
        <v>75.7</v>
      </c>
      <c r="G264" s="26" t="n">
        <v>0</v>
      </c>
      <c r="H264" s="26" t="n">
        <v>0</v>
      </c>
      <c r="I264" s="26" t="n">
        <v>53.1</v>
      </c>
      <c r="J264" s="26" t="n">
        <v>0</v>
      </c>
      <c r="K264" s="26" t="n">
        <v>0</v>
      </c>
      <c r="L264" s="26" t="n">
        <v>0</v>
      </c>
      <c r="M264" s="26" t="n">
        <v>0</v>
      </c>
      <c r="N264" s="26" t="n">
        <v>0</v>
      </c>
      <c r="O264" s="26" t="n">
        <v>0</v>
      </c>
      <c r="P264" s="26" t="n">
        <v>0</v>
      </c>
      <c r="Q264" s="26" t="n">
        <v>-121.7</v>
      </c>
      <c r="R264" s="26" t="n">
        <v>174.8</v>
      </c>
      <c r="S264" s="26" t="n">
        <v>0</v>
      </c>
      <c r="T264" s="26" t="n">
        <v>32.1</v>
      </c>
      <c r="U264" s="26" t="n">
        <v>0</v>
      </c>
    </row>
    <row r="265" customFormat="false" ht="15" hidden="false" customHeight="true" outlineLevel="0" collapsed="false">
      <c r="A265" s="8" t="s">
        <v>407</v>
      </c>
      <c r="B265" s="8" t="s">
        <v>312</v>
      </c>
      <c r="C265" s="8" t="s">
        <v>694</v>
      </c>
      <c r="D265" s="26" t="n">
        <v>0</v>
      </c>
      <c r="E265" s="26" t="n">
        <v>0</v>
      </c>
      <c r="F265" s="26" t="n">
        <v>34.8</v>
      </c>
      <c r="G265" s="26" t="n">
        <v>0</v>
      </c>
      <c r="H265" s="26" t="n">
        <v>0</v>
      </c>
      <c r="I265" s="26" t="n">
        <v>122.2</v>
      </c>
      <c r="J265" s="26" t="n">
        <v>0</v>
      </c>
      <c r="K265" s="26" t="n">
        <v>0</v>
      </c>
      <c r="L265" s="26" t="n">
        <v>0</v>
      </c>
      <c r="M265" s="26" t="n">
        <v>0</v>
      </c>
      <c r="N265" s="26" t="n">
        <v>0</v>
      </c>
      <c r="O265" s="26" t="n">
        <v>0</v>
      </c>
      <c r="P265" s="26" t="n">
        <v>0</v>
      </c>
      <c r="Q265" s="26" t="n">
        <v>122.2</v>
      </c>
      <c r="R265" s="26" t="n">
        <v>0</v>
      </c>
      <c r="S265" s="26" t="n">
        <v>0</v>
      </c>
      <c r="T265" s="26" t="n">
        <v>0</v>
      </c>
      <c r="U265" s="26" t="n">
        <v>0</v>
      </c>
    </row>
    <row r="266" customFormat="false" ht="15" hidden="false" customHeight="true" outlineLevel="0" collapsed="false">
      <c r="A266" s="8" t="s">
        <v>407</v>
      </c>
      <c r="B266" s="8" t="s">
        <v>352</v>
      </c>
      <c r="C266" s="8" t="s">
        <v>698</v>
      </c>
      <c r="D266" s="26" t="n">
        <v>0</v>
      </c>
      <c r="E266" s="26" t="n">
        <v>0</v>
      </c>
      <c r="F266" s="26" t="n">
        <v>0</v>
      </c>
      <c r="G266" s="26" t="n">
        <v>0</v>
      </c>
      <c r="H266" s="26" t="n">
        <v>0</v>
      </c>
      <c r="I266" s="26" t="n">
        <v>-590.2</v>
      </c>
      <c r="J266" s="26" t="n">
        <v>0</v>
      </c>
      <c r="K266" s="26" t="n">
        <v>0</v>
      </c>
      <c r="L266" s="26" t="n">
        <v>0</v>
      </c>
      <c r="M266" s="26" t="n">
        <v>0</v>
      </c>
      <c r="N266" s="26" t="n">
        <v>0</v>
      </c>
      <c r="O266" s="26" t="n">
        <v>0</v>
      </c>
      <c r="P266" s="26" t="n">
        <v>-590.2</v>
      </c>
      <c r="Q266" s="26" t="n">
        <v>0</v>
      </c>
      <c r="R266" s="26" t="n">
        <v>0</v>
      </c>
      <c r="S266" s="26" t="n">
        <v>0</v>
      </c>
      <c r="T266" s="26" t="n">
        <v>0</v>
      </c>
      <c r="U266" s="26" t="n">
        <v>0</v>
      </c>
    </row>
    <row r="267" customFormat="false" ht="15" hidden="false" customHeight="true" outlineLevel="0" collapsed="false">
      <c r="A267" s="8" t="s">
        <v>407</v>
      </c>
      <c r="B267" s="8" t="s">
        <v>352</v>
      </c>
      <c r="C267" s="8" t="s">
        <v>699</v>
      </c>
      <c r="D267" s="26" t="n">
        <v>0</v>
      </c>
      <c r="E267" s="26" t="n">
        <v>0</v>
      </c>
      <c r="F267" s="26" t="n">
        <v>406.8</v>
      </c>
      <c r="G267" s="26" t="n">
        <v>0</v>
      </c>
      <c r="H267" s="26" t="n">
        <v>0</v>
      </c>
      <c r="I267" s="26" t="n">
        <v>0</v>
      </c>
      <c r="J267" s="26" t="n">
        <v>0</v>
      </c>
      <c r="K267" s="26" t="n">
        <v>0</v>
      </c>
      <c r="L267" s="26" t="n">
        <v>0</v>
      </c>
      <c r="M267" s="26" t="n">
        <v>0</v>
      </c>
      <c r="N267" s="26" t="n">
        <v>0</v>
      </c>
      <c r="O267" s="26" t="n">
        <v>0</v>
      </c>
      <c r="P267" s="26" t="n">
        <v>0</v>
      </c>
      <c r="Q267" s="26" t="n">
        <v>0</v>
      </c>
      <c r="R267" s="26" t="n">
        <v>0</v>
      </c>
      <c r="S267" s="26" t="n">
        <v>0</v>
      </c>
      <c r="T267" s="26" t="n">
        <v>0</v>
      </c>
      <c r="U267" s="26" t="n">
        <v>0</v>
      </c>
    </row>
    <row r="268" customFormat="false" ht="15" hidden="false" customHeight="true" outlineLevel="0" collapsed="false">
      <c r="A268" s="8" t="s">
        <v>407</v>
      </c>
      <c r="B268" s="8" t="s">
        <v>111</v>
      </c>
      <c r="C268" s="8" t="s">
        <v>700</v>
      </c>
      <c r="D268" s="26" t="n">
        <v>0</v>
      </c>
      <c r="E268" s="26" t="n">
        <v>0</v>
      </c>
      <c r="F268" s="26" t="n">
        <v>0</v>
      </c>
      <c r="G268" s="26" t="n">
        <v>0</v>
      </c>
      <c r="H268" s="26" t="n">
        <v>0</v>
      </c>
      <c r="I268" s="26" t="n">
        <v>-70</v>
      </c>
      <c r="J268" s="26" t="n">
        <v>0</v>
      </c>
      <c r="K268" s="26" t="n">
        <v>0</v>
      </c>
      <c r="L268" s="26" t="n">
        <v>0</v>
      </c>
      <c r="M268" s="26" t="n">
        <v>0</v>
      </c>
      <c r="N268" s="26" t="n">
        <v>0</v>
      </c>
      <c r="O268" s="26" t="n">
        <v>0</v>
      </c>
      <c r="P268" s="26" t="n">
        <v>-70</v>
      </c>
      <c r="Q268" s="26" t="n">
        <v>0</v>
      </c>
      <c r="R268" s="26" t="n">
        <v>0</v>
      </c>
      <c r="S268" s="26" t="n">
        <v>0</v>
      </c>
      <c r="T268" s="26" t="n">
        <v>0</v>
      </c>
      <c r="U268" s="26" t="n">
        <v>0</v>
      </c>
    </row>
    <row r="269" customFormat="false" ht="15" hidden="false" customHeight="true" outlineLevel="0" collapsed="false">
      <c r="A269" s="8" t="s">
        <v>407</v>
      </c>
      <c r="B269" s="8" t="s">
        <v>272</v>
      </c>
      <c r="C269" s="8" t="s">
        <v>701</v>
      </c>
      <c r="D269" s="26" t="n">
        <v>0</v>
      </c>
      <c r="E269" s="26" t="n">
        <v>0</v>
      </c>
      <c r="F269" s="26" t="n">
        <v>312</v>
      </c>
      <c r="G269" s="26" t="n">
        <v>0</v>
      </c>
      <c r="H269" s="26" t="n">
        <v>0</v>
      </c>
      <c r="I269" s="26" t="n">
        <v>1528.5</v>
      </c>
      <c r="J269" s="26" t="n">
        <v>0</v>
      </c>
      <c r="K269" s="26" t="n">
        <v>0</v>
      </c>
      <c r="L269" s="26" t="n">
        <v>0</v>
      </c>
      <c r="M269" s="26" t="n">
        <v>0</v>
      </c>
      <c r="N269" s="26" t="n">
        <v>0</v>
      </c>
      <c r="O269" s="26" t="n">
        <v>0</v>
      </c>
      <c r="P269" s="26" t="n">
        <v>0</v>
      </c>
      <c r="Q269" s="26" t="n">
        <v>1528.5</v>
      </c>
      <c r="R269" s="26" t="n">
        <v>0</v>
      </c>
      <c r="S269" s="26" t="n">
        <v>0</v>
      </c>
      <c r="T269" s="26" t="n">
        <v>0</v>
      </c>
      <c r="U269" s="26" t="n">
        <v>0</v>
      </c>
    </row>
    <row r="270" customFormat="false" ht="15" hidden="false" customHeight="true" outlineLevel="0" collapsed="false">
      <c r="A270" s="8" t="s">
        <v>407</v>
      </c>
      <c r="B270" s="8" t="s">
        <v>268</v>
      </c>
      <c r="C270" s="8" t="s">
        <v>702</v>
      </c>
      <c r="D270" s="26" t="n">
        <v>0</v>
      </c>
      <c r="E270" s="26" t="n">
        <v>0</v>
      </c>
      <c r="F270" s="26" t="n">
        <v>0</v>
      </c>
      <c r="G270" s="26" t="n">
        <v>0</v>
      </c>
      <c r="H270" s="26" t="n">
        <v>0</v>
      </c>
      <c r="I270" s="26" t="n">
        <v>0</v>
      </c>
      <c r="J270" s="26" t="n">
        <v>0</v>
      </c>
      <c r="K270" s="26" t="n">
        <v>0</v>
      </c>
      <c r="L270" s="26" t="n">
        <v>0</v>
      </c>
      <c r="M270" s="26" t="n">
        <v>0</v>
      </c>
      <c r="N270" s="26" t="n">
        <v>0</v>
      </c>
      <c r="O270" s="26" t="n">
        <v>0</v>
      </c>
      <c r="P270" s="26" t="n">
        <v>0</v>
      </c>
      <c r="Q270" s="26" t="n">
        <v>0</v>
      </c>
      <c r="R270" s="26" t="n">
        <v>0</v>
      </c>
      <c r="S270" s="26" t="n">
        <v>0</v>
      </c>
      <c r="T270" s="26" t="n">
        <v>158.1</v>
      </c>
      <c r="U270" s="26" t="n">
        <v>0</v>
      </c>
    </row>
    <row r="271" customFormat="false" ht="15" hidden="false" customHeight="true" outlineLevel="0" collapsed="false">
      <c r="A271" s="8" t="s">
        <v>407</v>
      </c>
      <c r="B271" s="8" t="s">
        <v>182</v>
      </c>
      <c r="C271" s="8" t="s">
        <v>703</v>
      </c>
      <c r="D271" s="26" t="n">
        <v>0</v>
      </c>
      <c r="E271" s="26" t="n">
        <v>0</v>
      </c>
      <c r="F271" s="26" t="n">
        <v>2293.5</v>
      </c>
      <c r="G271" s="26" t="n">
        <v>0</v>
      </c>
      <c r="H271" s="26" t="n">
        <v>0</v>
      </c>
      <c r="I271" s="26" t="n">
        <v>20141.7</v>
      </c>
      <c r="J271" s="26" t="n">
        <v>0</v>
      </c>
      <c r="K271" s="26" t="n">
        <v>201.8</v>
      </c>
      <c r="L271" s="26" t="n">
        <v>0</v>
      </c>
      <c r="M271" s="26" t="n">
        <v>65.5</v>
      </c>
      <c r="N271" s="26" t="n">
        <v>163.8</v>
      </c>
      <c r="O271" s="26" t="n">
        <v>0</v>
      </c>
      <c r="P271" s="26" t="n">
        <v>-201.8</v>
      </c>
      <c r="Q271" s="26" t="n">
        <v>18182.5</v>
      </c>
      <c r="R271" s="26" t="n">
        <v>1729.8</v>
      </c>
      <c r="S271" s="26" t="n">
        <v>0</v>
      </c>
      <c r="T271" s="26" t="n">
        <v>1262</v>
      </c>
      <c r="U271" s="26" t="n">
        <v>0</v>
      </c>
    </row>
    <row r="272" customFormat="false" ht="15" hidden="false" customHeight="true" outlineLevel="0" collapsed="false">
      <c r="A272" s="8" t="s">
        <v>407</v>
      </c>
      <c r="B272" s="8" t="s">
        <v>229</v>
      </c>
      <c r="C272" s="8" t="s">
        <v>705</v>
      </c>
      <c r="D272" s="26" t="n">
        <v>0</v>
      </c>
      <c r="E272" s="26" t="n">
        <v>0</v>
      </c>
      <c r="F272" s="26" t="n">
        <v>10761.9</v>
      </c>
      <c r="G272" s="26" t="n">
        <v>0</v>
      </c>
      <c r="H272" s="26" t="n">
        <v>0</v>
      </c>
      <c r="I272" s="26" t="n">
        <v>337.1</v>
      </c>
      <c r="J272" s="26" t="n">
        <v>0</v>
      </c>
      <c r="K272" s="26" t="n">
        <v>0</v>
      </c>
      <c r="L272" s="26" t="n">
        <v>0</v>
      </c>
      <c r="M272" s="26" t="n">
        <v>187.3</v>
      </c>
      <c r="N272" s="26" t="n">
        <v>149.8</v>
      </c>
      <c r="O272" s="26" t="n">
        <v>0</v>
      </c>
      <c r="P272" s="26" t="n">
        <v>0</v>
      </c>
      <c r="Q272" s="26" t="n">
        <v>0</v>
      </c>
      <c r="R272" s="26" t="n">
        <v>0</v>
      </c>
      <c r="S272" s="26" t="n">
        <v>0</v>
      </c>
      <c r="T272" s="26" t="n">
        <v>0</v>
      </c>
      <c r="U272" s="26" t="n">
        <v>0</v>
      </c>
    </row>
    <row r="273" customFormat="false" ht="15" hidden="false" customHeight="true" outlineLevel="0" collapsed="false">
      <c r="A273" s="8" t="s">
        <v>407</v>
      </c>
      <c r="B273" s="8" t="s">
        <v>154</v>
      </c>
      <c r="C273" s="8" t="s">
        <v>706</v>
      </c>
      <c r="D273" s="26" t="n">
        <v>0</v>
      </c>
      <c r="E273" s="26" t="n">
        <v>0</v>
      </c>
      <c r="F273" s="26" t="n">
        <v>7022.6</v>
      </c>
      <c r="G273" s="26" t="n">
        <v>0</v>
      </c>
      <c r="H273" s="26" t="n">
        <v>0</v>
      </c>
      <c r="I273" s="26" t="n">
        <v>1982.6</v>
      </c>
      <c r="J273" s="26" t="n">
        <v>0</v>
      </c>
      <c r="K273" s="26" t="n">
        <v>180.2</v>
      </c>
      <c r="L273" s="26" t="n">
        <v>0</v>
      </c>
      <c r="M273" s="26" t="n">
        <v>0</v>
      </c>
      <c r="N273" s="26" t="n">
        <v>0</v>
      </c>
      <c r="O273" s="26" t="n">
        <v>0</v>
      </c>
      <c r="P273" s="26" t="n">
        <v>0</v>
      </c>
      <c r="Q273" s="26" t="n">
        <v>0</v>
      </c>
      <c r="R273" s="26" t="n">
        <v>1802.4</v>
      </c>
      <c r="S273" s="26" t="n">
        <v>0</v>
      </c>
      <c r="T273" s="26" t="n">
        <v>0</v>
      </c>
      <c r="U273" s="26" t="n">
        <v>0</v>
      </c>
    </row>
    <row r="274" customFormat="false" ht="15" hidden="false" customHeight="true" outlineLevel="0" collapsed="false">
      <c r="A274" s="8" t="s">
        <v>407</v>
      </c>
      <c r="B274" s="8" t="s">
        <v>146</v>
      </c>
      <c r="C274" s="8" t="s">
        <v>707</v>
      </c>
      <c r="D274" s="26" t="n">
        <v>0</v>
      </c>
      <c r="E274" s="26" t="n">
        <v>0</v>
      </c>
      <c r="F274" s="26" t="n">
        <v>32321.3</v>
      </c>
      <c r="G274" s="26" t="n">
        <v>0</v>
      </c>
      <c r="H274" s="26" t="n">
        <v>0</v>
      </c>
      <c r="I274" s="26" t="n">
        <v>31792.8</v>
      </c>
      <c r="J274" s="26" t="n">
        <v>0</v>
      </c>
      <c r="K274" s="26" t="n">
        <v>0</v>
      </c>
      <c r="L274" s="26" t="n">
        <v>0</v>
      </c>
      <c r="M274" s="26" t="n">
        <v>1199.2</v>
      </c>
      <c r="N274" s="26" t="n">
        <v>0</v>
      </c>
      <c r="O274" s="26" t="n">
        <v>0</v>
      </c>
      <c r="P274" s="26" t="n">
        <v>0</v>
      </c>
      <c r="Q274" s="26" t="n">
        <v>30593.7</v>
      </c>
      <c r="R274" s="26" t="n">
        <v>0</v>
      </c>
      <c r="S274" s="26" t="n">
        <v>0</v>
      </c>
      <c r="T274" s="26" t="n">
        <v>0</v>
      </c>
      <c r="U274" s="26" t="n">
        <v>0</v>
      </c>
    </row>
    <row r="275" customFormat="false" ht="15" hidden="false" customHeight="true" outlineLevel="0" collapsed="false">
      <c r="A275" s="8" t="s">
        <v>407</v>
      </c>
      <c r="B275" s="8" t="s">
        <v>321</v>
      </c>
      <c r="C275" s="8" t="s">
        <v>708</v>
      </c>
      <c r="D275" s="26" t="n">
        <v>0</v>
      </c>
      <c r="E275" s="26" t="n">
        <v>0</v>
      </c>
      <c r="F275" s="26" t="n">
        <v>1335.3</v>
      </c>
      <c r="G275" s="26" t="n">
        <v>0</v>
      </c>
      <c r="H275" s="26" t="n">
        <v>0</v>
      </c>
      <c r="I275" s="26" t="n">
        <v>0</v>
      </c>
      <c r="J275" s="26" t="n">
        <v>0</v>
      </c>
      <c r="K275" s="26" t="n">
        <v>0</v>
      </c>
      <c r="L275" s="26" t="n">
        <v>0</v>
      </c>
      <c r="M275" s="26" t="n">
        <v>0</v>
      </c>
      <c r="N275" s="26" t="n">
        <v>0</v>
      </c>
      <c r="O275" s="26" t="n">
        <v>0</v>
      </c>
      <c r="P275" s="26" t="n">
        <v>0</v>
      </c>
      <c r="Q275" s="26" t="n">
        <v>0</v>
      </c>
      <c r="R275" s="26" t="n">
        <v>0</v>
      </c>
      <c r="S275" s="26" t="n">
        <v>0</v>
      </c>
      <c r="T275" s="26" t="n">
        <v>0</v>
      </c>
      <c r="U275" s="26" t="n">
        <v>0</v>
      </c>
    </row>
    <row r="276" customFormat="false" ht="15" hidden="false" customHeight="true" outlineLevel="0" collapsed="false">
      <c r="A276" s="8" t="s">
        <v>407</v>
      </c>
      <c r="B276" s="8" t="s">
        <v>160</v>
      </c>
      <c r="C276" s="8" t="s">
        <v>709</v>
      </c>
      <c r="D276" s="26" t="n">
        <v>0</v>
      </c>
      <c r="E276" s="26" t="n">
        <v>0</v>
      </c>
      <c r="F276" s="26" t="n">
        <v>5845.3</v>
      </c>
      <c r="G276" s="26" t="n">
        <v>0</v>
      </c>
      <c r="H276" s="26" t="n">
        <v>0</v>
      </c>
      <c r="I276" s="26" t="n">
        <v>126.4</v>
      </c>
      <c r="J276" s="26" t="n">
        <v>0</v>
      </c>
      <c r="K276" s="26" t="n">
        <v>0</v>
      </c>
      <c r="L276" s="26" t="n">
        <v>0</v>
      </c>
      <c r="M276" s="26" t="n">
        <v>126.4</v>
      </c>
      <c r="N276" s="26" t="n">
        <v>0</v>
      </c>
      <c r="O276" s="26" t="n">
        <v>0</v>
      </c>
      <c r="P276" s="26" t="n">
        <v>0</v>
      </c>
      <c r="Q276" s="26" t="n">
        <v>0</v>
      </c>
      <c r="R276" s="26" t="n">
        <v>0</v>
      </c>
      <c r="S276" s="26" t="n">
        <v>0</v>
      </c>
      <c r="T276" s="26" t="n">
        <v>0</v>
      </c>
      <c r="U276" s="26" t="n">
        <v>0</v>
      </c>
    </row>
    <row r="277" customFormat="false" ht="15" hidden="false" customHeight="true" outlineLevel="0" collapsed="false">
      <c r="A277" s="8" t="s">
        <v>407</v>
      </c>
      <c r="B277" s="8" t="s">
        <v>100</v>
      </c>
      <c r="C277" s="8" t="s">
        <v>710</v>
      </c>
      <c r="D277" s="26" t="n">
        <v>0</v>
      </c>
      <c r="E277" s="26" t="n">
        <v>0</v>
      </c>
      <c r="F277" s="26" t="n">
        <v>195.6</v>
      </c>
      <c r="G277" s="26" t="n">
        <v>0</v>
      </c>
      <c r="H277" s="26" t="n">
        <v>0</v>
      </c>
      <c r="I277" s="26" t="n">
        <v>0</v>
      </c>
      <c r="J277" s="26" t="n">
        <v>0</v>
      </c>
      <c r="K277" s="26" t="n">
        <v>0</v>
      </c>
      <c r="L277" s="26" t="n">
        <v>0</v>
      </c>
      <c r="M277" s="26" t="n">
        <v>0</v>
      </c>
      <c r="N277" s="26" t="n">
        <v>0</v>
      </c>
      <c r="O277" s="26" t="n">
        <v>0</v>
      </c>
      <c r="P277" s="26" t="n">
        <v>0</v>
      </c>
      <c r="Q277" s="26" t="n">
        <v>0</v>
      </c>
      <c r="R277" s="26" t="n">
        <v>0</v>
      </c>
      <c r="S277" s="26" t="n">
        <v>0</v>
      </c>
      <c r="T277" s="26" t="n">
        <v>0</v>
      </c>
      <c r="U277" s="26" t="n">
        <v>0</v>
      </c>
    </row>
    <row r="278" customFormat="false" ht="15" hidden="false" customHeight="true" outlineLevel="0" collapsed="false">
      <c r="A278" s="8" t="s">
        <v>407</v>
      </c>
      <c r="B278" s="8" t="s">
        <v>249</v>
      </c>
      <c r="C278" s="8" t="s">
        <v>711</v>
      </c>
      <c r="D278" s="26" t="n">
        <v>0</v>
      </c>
      <c r="E278" s="26" t="n">
        <v>0</v>
      </c>
      <c r="F278" s="26" t="n">
        <v>1261.5</v>
      </c>
      <c r="G278" s="26" t="n">
        <v>0</v>
      </c>
      <c r="H278" s="26" t="n">
        <v>0</v>
      </c>
      <c r="I278" s="26" t="n">
        <v>2802.7</v>
      </c>
      <c r="J278" s="26" t="n">
        <v>0</v>
      </c>
      <c r="K278" s="26" t="n">
        <v>87.4</v>
      </c>
      <c r="L278" s="26" t="n">
        <v>0</v>
      </c>
      <c r="M278" s="26" t="n">
        <v>0</v>
      </c>
      <c r="N278" s="26" t="n">
        <v>0</v>
      </c>
      <c r="O278" s="26" t="n">
        <v>0</v>
      </c>
      <c r="P278" s="26" t="n">
        <v>-43.7</v>
      </c>
      <c r="Q278" s="26" t="n">
        <v>2453.1</v>
      </c>
      <c r="R278" s="26" t="n">
        <v>305.9</v>
      </c>
      <c r="S278" s="26" t="n">
        <v>0</v>
      </c>
      <c r="T278" s="26" t="n">
        <v>619.2</v>
      </c>
      <c r="U278" s="26" t="n">
        <v>0</v>
      </c>
    </row>
    <row r="279" customFormat="false" ht="15" hidden="false" customHeight="true" outlineLevel="0" collapsed="false">
      <c r="A279" s="8" t="s">
        <v>407</v>
      </c>
      <c r="B279" s="8" t="s">
        <v>109</v>
      </c>
      <c r="C279" s="8" t="s">
        <v>716</v>
      </c>
      <c r="D279" s="26" t="n">
        <v>0</v>
      </c>
      <c r="E279" s="26" t="n">
        <v>0</v>
      </c>
      <c r="F279" s="26" t="n">
        <v>14900.5</v>
      </c>
      <c r="G279" s="26" t="n">
        <v>0</v>
      </c>
      <c r="H279" s="26" t="n">
        <v>0</v>
      </c>
      <c r="I279" s="26" t="n">
        <v>50431.7</v>
      </c>
      <c r="J279" s="26" t="n">
        <v>0</v>
      </c>
      <c r="K279" s="26" t="n">
        <v>202.1</v>
      </c>
      <c r="L279" s="26" t="n">
        <v>0</v>
      </c>
      <c r="M279" s="26" t="n">
        <v>0</v>
      </c>
      <c r="N279" s="26" t="n">
        <v>219.1</v>
      </c>
      <c r="O279" s="26" t="n">
        <v>0</v>
      </c>
      <c r="P279" s="26" t="n">
        <v>-101</v>
      </c>
      <c r="Q279" s="26" t="n">
        <v>44688.8</v>
      </c>
      <c r="R279" s="26" t="n">
        <v>5422.7</v>
      </c>
      <c r="S279" s="26" t="n">
        <v>0</v>
      </c>
      <c r="T279" s="26" t="n">
        <v>0</v>
      </c>
      <c r="U279" s="26" t="n">
        <v>0</v>
      </c>
    </row>
    <row r="280" customFormat="false" ht="15" hidden="false" customHeight="true" outlineLevel="0" collapsed="false">
      <c r="A280" s="8" t="s">
        <v>407</v>
      </c>
      <c r="B280" s="8" t="s">
        <v>85</v>
      </c>
      <c r="C280" s="8" t="s">
        <v>717</v>
      </c>
      <c r="D280" s="26" t="n">
        <v>0</v>
      </c>
      <c r="E280" s="26" t="n">
        <v>0</v>
      </c>
      <c r="F280" s="26" t="n">
        <v>6058</v>
      </c>
      <c r="G280" s="26" t="n">
        <v>0</v>
      </c>
      <c r="H280" s="26" t="n">
        <v>0</v>
      </c>
      <c r="I280" s="26" t="n">
        <v>30774.1</v>
      </c>
      <c r="J280" s="26" t="n">
        <v>0</v>
      </c>
      <c r="K280" s="26" t="n">
        <v>0</v>
      </c>
      <c r="L280" s="26" t="n">
        <v>0</v>
      </c>
      <c r="M280" s="26" t="n">
        <v>0</v>
      </c>
      <c r="N280" s="26" t="n">
        <v>0</v>
      </c>
      <c r="O280" s="26" t="n">
        <v>0</v>
      </c>
      <c r="P280" s="26" t="n">
        <v>-176.4</v>
      </c>
      <c r="Q280" s="26" t="n">
        <v>25746.7</v>
      </c>
      <c r="R280" s="26" t="n">
        <v>5203.8</v>
      </c>
      <c r="S280" s="26" t="n">
        <v>0</v>
      </c>
      <c r="T280" s="26" t="n">
        <v>0</v>
      </c>
      <c r="U280" s="26" t="n">
        <v>-137.4</v>
      </c>
    </row>
    <row r="281" customFormat="false" ht="15" hidden="false" customHeight="true" outlineLevel="0" collapsed="false">
      <c r="A281" s="8" t="s">
        <v>407</v>
      </c>
      <c r="B281" s="8" t="s">
        <v>85</v>
      </c>
      <c r="C281" s="8" t="s">
        <v>718</v>
      </c>
      <c r="D281" s="26" t="n">
        <v>0</v>
      </c>
      <c r="E281" s="26" t="n">
        <v>0</v>
      </c>
      <c r="F281" s="26" t="n">
        <v>4043.7</v>
      </c>
      <c r="G281" s="26" t="n">
        <v>0</v>
      </c>
      <c r="H281" s="26" t="n">
        <v>0</v>
      </c>
      <c r="I281" s="26" t="n">
        <v>37192.1</v>
      </c>
      <c r="J281" s="26" t="n">
        <v>0</v>
      </c>
      <c r="K281" s="26" t="n">
        <v>264.6</v>
      </c>
      <c r="L281" s="26" t="n">
        <v>0</v>
      </c>
      <c r="M281" s="26" t="n">
        <v>0</v>
      </c>
      <c r="N281" s="26" t="n">
        <v>0</v>
      </c>
      <c r="O281" s="26" t="n">
        <v>94.5</v>
      </c>
      <c r="P281" s="26" t="n">
        <v>-402</v>
      </c>
      <c r="Q281" s="26" t="n">
        <v>32031.2</v>
      </c>
      <c r="R281" s="26" t="n">
        <v>5203.8</v>
      </c>
      <c r="S281" s="26" t="n">
        <v>0</v>
      </c>
      <c r="T281" s="26" t="n">
        <v>0</v>
      </c>
      <c r="U281" s="26" t="n">
        <v>-274.9</v>
      </c>
    </row>
    <row r="282" customFormat="false" ht="15" hidden="false" customHeight="true" outlineLevel="0" collapsed="false">
      <c r="A282" s="8" t="s">
        <v>407</v>
      </c>
      <c r="B282" s="8" t="s">
        <v>85</v>
      </c>
      <c r="C282" s="8" t="s">
        <v>719</v>
      </c>
      <c r="D282" s="26" t="n">
        <v>0</v>
      </c>
      <c r="E282" s="26" t="n">
        <v>0</v>
      </c>
      <c r="F282" s="26" t="n">
        <v>2810.4</v>
      </c>
      <c r="G282" s="26" t="n">
        <v>0</v>
      </c>
      <c r="H282" s="26" t="n">
        <v>0</v>
      </c>
      <c r="I282" s="26" t="n">
        <v>26456.6</v>
      </c>
      <c r="J282" s="26" t="n">
        <v>0</v>
      </c>
      <c r="K282" s="26" t="n">
        <v>0</v>
      </c>
      <c r="L282" s="26" t="n">
        <v>0</v>
      </c>
      <c r="M282" s="26" t="n">
        <v>0</v>
      </c>
      <c r="N282" s="26" t="n">
        <v>0</v>
      </c>
      <c r="O282" s="26" t="n">
        <v>0</v>
      </c>
      <c r="P282" s="26" t="n">
        <v>-176.4</v>
      </c>
      <c r="Q282" s="26" t="n">
        <v>22928.6</v>
      </c>
      <c r="R282" s="26" t="n">
        <v>3704.4</v>
      </c>
      <c r="S282" s="26" t="n">
        <v>0</v>
      </c>
      <c r="T282" s="26" t="n">
        <v>0</v>
      </c>
      <c r="U282" s="26" t="n">
        <v>0</v>
      </c>
    </row>
    <row r="283" customFormat="false" ht="15" hidden="false" customHeight="true" outlineLevel="0" collapsed="false">
      <c r="A283" s="8" t="s">
        <v>407</v>
      </c>
      <c r="B283" s="8" t="s">
        <v>85</v>
      </c>
      <c r="C283" s="8" t="s">
        <v>720</v>
      </c>
      <c r="D283" s="26" t="n">
        <v>0</v>
      </c>
      <c r="E283" s="26" t="n">
        <v>0</v>
      </c>
      <c r="F283" s="26" t="n">
        <v>2941.9</v>
      </c>
      <c r="G283" s="26" t="n">
        <v>0</v>
      </c>
      <c r="H283" s="26" t="n">
        <v>0</v>
      </c>
      <c r="I283" s="26" t="n">
        <v>19240</v>
      </c>
      <c r="J283" s="26" t="n">
        <v>0</v>
      </c>
      <c r="K283" s="26" t="n">
        <v>352.8</v>
      </c>
      <c r="L283" s="26" t="n">
        <v>0</v>
      </c>
      <c r="M283" s="26" t="n">
        <v>0</v>
      </c>
      <c r="N283" s="26" t="n">
        <v>0</v>
      </c>
      <c r="O283" s="26" t="n">
        <v>0</v>
      </c>
      <c r="P283" s="26" t="n">
        <v>-88.2</v>
      </c>
      <c r="Q283" s="26" t="n">
        <v>16329.4</v>
      </c>
      <c r="R283" s="26" t="n">
        <v>2646</v>
      </c>
      <c r="S283" s="26" t="n">
        <v>0</v>
      </c>
      <c r="T283" s="26" t="n">
        <v>0</v>
      </c>
      <c r="U283" s="26" t="n">
        <v>-137.4</v>
      </c>
    </row>
    <row r="284" customFormat="false" ht="15" hidden="false" customHeight="true" outlineLevel="0" collapsed="false">
      <c r="A284" s="8" t="s">
        <v>407</v>
      </c>
      <c r="B284" s="8" t="s">
        <v>85</v>
      </c>
      <c r="C284" s="8" t="s">
        <v>721</v>
      </c>
      <c r="D284" s="26" t="n">
        <v>0</v>
      </c>
      <c r="E284" s="26" t="n">
        <v>0</v>
      </c>
      <c r="F284" s="26" t="n">
        <v>206.1</v>
      </c>
      <c r="G284" s="26" t="n">
        <v>0</v>
      </c>
      <c r="H284" s="26" t="n">
        <v>0</v>
      </c>
      <c r="I284" s="26" t="n">
        <v>0</v>
      </c>
      <c r="J284" s="26" t="n">
        <v>0</v>
      </c>
      <c r="K284" s="26" t="n">
        <v>0</v>
      </c>
      <c r="L284" s="26" t="n">
        <v>0</v>
      </c>
      <c r="M284" s="26" t="n">
        <v>0</v>
      </c>
      <c r="N284" s="26" t="n">
        <v>0</v>
      </c>
      <c r="O284" s="26" t="n">
        <v>0</v>
      </c>
      <c r="P284" s="26" t="n">
        <v>0</v>
      </c>
      <c r="Q284" s="26" t="n">
        <v>0</v>
      </c>
      <c r="R284" s="26" t="n">
        <v>0</v>
      </c>
      <c r="S284" s="26" t="n">
        <v>0</v>
      </c>
      <c r="T284" s="26" t="n">
        <v>0</v>
      </c>
      <c r="U284" s="26" t="n">
        <v>0</v>
      </c>
    </row>
    <row r="285" customFormat="false" ht="15" hidden="false" customHeight="true" outlineLevel="0" collapsed="false">
      <c r="A285" s="8" t="s">
        <v>407</v>
      </c>
      <c r="B285" s="8" t="s">
        <v>89</v>
      </c>
      <c r="C285" s="8" t="s">
        <v>722</v>
      </c>
      <c r="D285" s="26" t="n">
        <v>0</v>
      </c>
      <c r="E285" s="26" t="n">
        <v>0</v>
      </c>
      <c r="F285" s="26" t="n">
        <v>3194.4</v>
      </c>
      <c r="G285" s="26" t="n">
        <v>0</v>
      </c>
      <c r="H285" s="26" t="n">
        <v>0</v>
      </c>
      <c r="I285" s="26" t="n">
        <v>29013.6</v>
      </c>
      <c r="J285" s="26" t="n">
        <v>0</v>
      </c>
      <c r="K285" s="26" t="n">
        <v>176.4</v>
      </c>
      <c r="L285" s="26" t="n">
        <v>0</v>
      </c>
      <c r="M285" s="26" t="n">
        <v>0</v>
      </c>
      <c r="N285" s="26" t="n">
        <v>0</v>
      </c>
      <c r="O285" s="26" t="n">
        <v>0</v>
      </c>
      <c r="P285" s="26" t="n">
        <v>-176.4</v>
      </c>
      <c r="Q285" s="26" t="n">
        <v>24780</v>
      </c>
      <c r="R285" s="26" t="n">
        <v>4233.6</v>
      </c>
      <c r="S285" s="26" t="n">
        <v>0</v>
      </c>
      <c r="T285" s="26" t="n">
        <v>0</v>
      </c>
      <c r="U285" s="26" t="n">
        <v>0</v>
      </c>
    </row>
    <row r="286" customFormat="false" ht="15" hidden="false" customHeight="true" outlineLevel="0" collapsed="false">
      <c r="A286" s="8" t="s">
        <v>407</v>
      </c>
      <c r="B286" s="8" t="s">
        <v>89</v>
      </c>
      <c r="C286" s="8" t="s">
        <v>723</v>
      </c>
      <c r="D286" s="26" t="n">
        <v>0</v>
      </c>
      <c r="E286" s="26" t="n">
        <v>0</v>
      </c>
      <c r="F286" s="26" t="n">
        <v>4351.2</v>
      </c>
      <c r="G286" s="26" t="n">
        <v>0</v>
      </c>
      <c r="H286" s="26" t="n">
        <v>0</v>
      </c>
      <c r="I286" s="26" t="n">
        <v>43599.5</v>
      </c>
      <c r="J286" s="26" t="n">
        <v>0</v>
      </c>
      <c r="K286" s="26" t="n">
        <v>176.4</v>
      </c>
      <c r="L286" s="26" t="n">
        <v>0</v>
      </c>
      <c r="M286" s="26" t="n">
        <v>0</v>
      </c>
      <c r="N286" s="26" t="n">
        <v>0</v>
      </c>
      <c r="O286" s="26" t="n">
        <v>0</v>
      </c>
      <c r="P286" s="26" t="n">
        <v>-1587.6</v>
      </c>
      <c r="Q286" s="26" t="n">
        <v>38572.1</v>
      </c>
      <c r="R286" s="26" t="n">
        <v>6438.6</v>
      </c>
      <c r="S286" s="26" t="n">
        <v>0</v>
      </c>
      <c r="T286" s="26" t="n">
        <v>0</v>
      </c>
      <c r="U286" s="26" t="n">
        <v>0</v>
      </c>
    </row>
    <row r="287" customFormat="false" ht="15" hidden="false" customHeight="true" outlineLevel="0" collapsed="false">
      <c r="A287" s="8" t="s">
        <v>407</v>
      </c>
      <c r="B287" s="8" t="s">
        <v>89</v>
      </c>
      <c r="C287" s="8" t="s">
        <v>724</v>
      </c>
      <c r="D287" s="26" t="n">
        <v>0</v>
      </c>
      <c r="E287" s="26" t="n">
        <v>0</v>
      </c>
      <c r="F287" s="26" t="n">
        <v>1308.9</v>
      </c>
      <c r="G287" s="26" t="n">
        <v>0</v>
      </c>
      <c r="H287" s="26" t="n">
        <v>0</v>
      </c>
      <c r="I287" s="26" t="n">
        <v>41426.3</v>
      </c>
      <c r="J287" s="26" t="n">
        <v>0</v>
      </c>
      <c r="K287" s="26" t="n">
        <v>0</v>
      </c>
      <c r="L287" s="26" t="n">
        <v>0</v>
      </c>
      <c r="M287" s="26" t="n">
        <v>0</v>
      </c>
      <c r="N287" s="26" t="n">
        <v>0</v>
      </c>
      <c r="O287" s="26" t="n">
        <v>0</v>
      </c>
      <c r="P287" s="26" t="n">
        <v>-88.2</v>
      </c>
      <c r="Q287" s="26" t="n">
        <v>36046.1</v>
      </c>
      <c r="R287" s="26" t="n">
        <v>5468.4</v>
      </c>
      <c r="S287" s="26" t="n">
        <v>0</v>
      </c>
      <c r="T287" s="26" t="n">
        <v>0</v>
      </c>
      <c r="U287" s="26" t="n">
        <v>0</v>
      </c>
    </row>
    <row r="288" customFormat="false" ht="15" hidden="false" customHeight="true" outlineLevel="0" collapsed="false">
      <c r="A288" s="8" t="s">
        <v>407</v>
      </c>
      <c r="B288" s="8" t="s">
        <v>89</v>
      </c>
      <c r="C288" s="8" t="s">
        <v>725</v>
      </c>
      <c r="D288" s="26" t="n">
        <v>0</v>
      </c>
      <c r="E288" s="26" t="n">
        <v>0</v>
      </c>
      <c r="F288" s="26" t="n">
        <v>1791</v>
      </c>
      <c r="G288" s="26" t="n">
        <v>0</v>
      </c>
      <c r="H288" s="26" t="n">
        <v>89.3</v>
      </c>
      <c r="I288" s="26" t="n">
        <v>3802.1</v>
      </c>
      <c r="J288" s="26" t="n">
        <v>0</v>
      </c>
      <c r="K288" s="26" t="n">
        <v>0</v>
      </c>
      <c r="L288" s="26" t="n">
        <v>0</v>
      </c>
      <c r="M288" s="26" t="n">
        <v>0</v>
      </c>
      <c r="N288" s="26" t="n">
        <v>0</v>
      </c>
      <c r="O288" s="26" t="n">
        <v>0</v>
      </c>
      <c r="P288" s="26" t="n">
        <v>-264.6</v>
      </c>
      <c r="Q288" s="26" t="n">
        <v>2479.1</v>
      </c>
      <c r="R288" s="26" t="n">
        <v>1587.6</v>
      </c>
      <c r="S288" s="26" t="n">
        <v>0</v>
      </c>
      <c r="T288" s="26" t="n">
        <v>0</v>
      </c>
      <c r="U288" s="26" t="n">
        <v>0</v>
      </c>
    </row>
    <row r="289" customFormat="false" ht="15" hidden="false" customHeight="true" outlineLevel="0" collapsed="false">
      <c r="A289" s="8" t="s">
        <v>407</v>
      </c>
      <c r="B289" s="8" t="s">
        <v>290</v>
      </c>
      <c r="C289" s="8" t="s">
        <v>962</v>
      </c>
      <c r="D289" s="26" t="n">
        <v>0</v>
      </c>
      <c r="E289" s="26" t="n">
        <v>0</v>
      </c>
      <c r="F289" s="26" t="n">
        <v>425.5</v>
      </c>
      <c r="G289" s="26" t="n">
        <v>0</v>
      </c>
      <c r="H289" s="26" t="n">
        <v>0</v>
      </c>
      <c r="I289" s="26" t="n">
        <v>0</v>
      </c>
      <c r="J289" s="26" t="n">
        <v>0</v>
      </c>
      <c r="K289" s="26" t="n">
        <v>0</v>
      </c>
      <c r="L289" s="26" t="n">
        <v>0</v>
      </c>
      <c r="M289" s="26" t="n">
        <v>0</v>
      </c>
      <c r="N289" s="26" t="n">
        <v>0</v>
      </c>
      <c r="O289" s="26" t="n">
        <v>0</v>
      </c>
      <c r="P289" s="26" t="n">
        <v>0</v>
      </c>
      <c r="Q289" s="26" t="n">
        <v>0</v>
      </c>
      <c r="R289" s="26" t="n">
        <v>0</v>
      </c>
      <c r="S289" s="26" t="n">
        <v>0</v>
      </c>
      <c r="T289" s="26" t="n">
        <v>0</v>
      </c>
      <c r="U289" s="26" t="n">
        <v>0</v>
      </c>
    </row>
    <row r="290" customFormat="false" ht="15" hidden="false" customHeight="true" outlineLevel="0" collapsed="false">
      <c r="A290" s="8" t="s">
        <v>407</v>
      </c>
      <c r="B290" s="8" t="s">
        <v>281</v>
      </c>
      <c r="C290" s="8" t="s">
        <v>727</v>
      </c>
      <c r="D290" s="26" t="n">
        <v>120</v>
      </c>
      <c r="E290" s="26" t="n">
        <v>0</v>
      </c>
      <c r="F290" s="26" t="n">
        <v>974.9</v>
      </c>
      <c r="G290" s="26" t="n">
        <v>0</v>
      </c>
      <c r="H290" s="26" t="n">
        <v>0</v>
      </c>
      <c r="I290" s="26" t="n">
        <v>257.2</v>
      </c>
      <c r="J290" s="26" t="n">
        <v>0</v>
      </c>
      <c r="K290" s="26" t="n">
        <v>0</v>
      </c>
      <c r="L290" s="26" t="n">
        <v>0</v>
      </c>
      <c r="M290" s="26" t="n">
        <v>0</v>
      </c>
      <c r="N290" s="26" t="n">
        <v>0</v>
      </c>
      <c r="O290" s="26" t="n">
        <v>0</v>
      </c>
      <c r="P290" s="26" t="n">
        <v>0</v>
      </c>
      <c r="Q290" s="26" t="n">
        <v>257.2</v>
      </c>
      <c r="R290" s="26" t="n">
        <v>0</v>
      </c>
      <c r="S290" s="26" t="n">
        <v>0</v>
      </c>
      <c r="T290" s="26" t="n">
        <v>632.8</v>
      </c>
      <c r="U290" s="26" t="n">
        <v>0</v>
      </c>
    </row>
    <row r="291" customFormat="false" ht="15" hidden="false" customHeight="true" outlineLevel="0" collapsed="false">
      <c r="A291" s="8" t="s">
        <v>407</v>
      </c>
      <c r="B291" s="8" t="s">
        <v>301</v>
      </c>
      <c r="C291" s="8" t="s">
        <v>728</v>
      </c>
      <c r="D291" s="26" t="n">
        <v>0</v>
      </c>
      <c r="E291" s="26" t="n">
        <v>0</v>
      </c>
      <c r="F291" s="26" t="n">
        <v>0</v>
      </c>
      <c r="G291" s="26" t="n">
        <v>0</v>
      </c>
      <c r="H291" s="26" t="n">
        <v>0</v>
      </c>
      <c r="I291" s="26" t="n">
        <v>617.4</v>
      </c>
      <c r="J291" s="26" t="n">
        <v>0</v>
      </c>
      <c r="K291" s="26" t="n">
        <v>0</v>
      </c>
      <c r="L291" s="26" t="n">
        <v>0</v>
      </c>
      <c r="M291" s="26" t="n">
        <v>0</v>
      </c>
      <c r="N291" s="26" t="n">
        <v>0</v>
      </c>
      <c r="O291" s="26" t="n">
        <v>0</v>
      </c>
      <c r="P291" s="26" t="n">
        <v>-264.6</v>
      </c>
      <c r="Q291" s="26" t="n">
        <v>0</v>
      </c>
      <c r="R291" s="26" t="n">
        <v>882</v>
      </c>
      <c r="S291" s="26" t="n">
        <v>0</v>
      </c>
      <c r="T291" s="26" t="n">
        <v>0</v>
      </c>
      <c r="U291" s="26" t="n">
        <v>0</v>
      </c>
    </row>
    <row r="292" customFormat="false" ht="15" hidden="false" customHeight="true" outlineLevel="0" collapsed="false">
      <c r="A292" s="8" t="s">
        <v>407</v>
      </c>
      <c r="B292" s="8" t="s">
        <v>116</v>
      </c>
      <c r="C292" s="8" t="s">
        <v>729</v>
      </c>
      <c r="D292" s="26" t="n">
        <v>0</v>
      </c>
      <c r="E292" s="26" t="n">
        <v>0</v>
      </c>
      <c r="F292" s="26" t="n">
        <v>7971.4</v>
      </c>
      <c r="G292" s="26" t="n">
        <v>0</v>
      </c>
      <c r="H292" s="26" t="n">
        <v>0</v>
      </c>
      <c r="I292" s="26" t="n">
        <v>847.6</v>
      </c>
      <c r="J292" s="26" t="n">
        <v>0</v>
      </c>
      <c r="K292" s="26" t="n">
        <v>0</v>
      </c>
      <c r="L292" s="26" t="n">
        <v>0</v>
      </c>
      <c r="M292" s="26" t="n">
        <v>93.6</v>
      </c>
      <c r="N292" s="26" t="n">
        <v>0</v>
      </c>
      <c r="O292" s="26" t="n">
        <v>0</v>
      </c>
      <c r="P292" s="26" t="n">
        <v>-68.5</v>
      </c>
      <c r="Q292" s="26" t="n">
        <v>0</v>
      </c>
      <c r="R292" s="26" t="n">
        <v>822.5</v>
      </c>
      <c r="S292" s="26" t="n">
        <v>0</v>
      </c>
      <c r="T292" s="26" t="n">
        <v>0</v>
      </c>
      <c r="U292" s="26" t="n">
        <v>0</v>
      </c>
    </row>
    <row r="293" customFormat="false" ht="15" hidden="false" customHeight="true" outlineLevel="0" collapsed="false">
      <c r="A293" s="8" t="s">
        <v>407</v>
      </c>
      <c r="B293" s="8" t="s">
        <v>135</v>
      </c>
      <c r="C293" s="8" t="s">
        <v>730</v>
      </c>
      <c r="D293" s="26" t="n">
        <v>0</v>
      </c>
      <c r="E293" s="26" t="n">
        <v>0</v>
      </c>
      <c r="F293" s="26" t="n">
        <v>11827</v>
      </c>
      <c r="G293" s="26" t="n">
        <v>0</v>
      </c>
      <c r="H293" s="26" t="n">
        <v>0</v>
      </c>
      <c r="I293" s="26" t="n">
        <v>995.5</v>
      </c>
      <c r="J293" s="26" t="n">
        <v>0</v>
      </c>
      <c r="K293" s="26" t="n">
        <v>0</v>
      </c>
      <c r="L293" s="26" t="n">
        <v>0</v>
      </c>
      <c r="M293" s="26" t="n">
        <v>93.6</v>
      </c>
      <c r="N293" s="26" t="n">
        <v>0</v>
      </c>
      <c r="O293" s="26" t="n">
        <v>79.4</v>
      </c>
      <c r="P293" s="26" t="n">
        <v>0</v>
      </c>
      <c r="Q293" s="26" t="n">
        <v>0</v>
      </c>
      <c r="R293" s="26" t="n">
        <v>822.5</v>
      </c>
      <c r="S293" s="26" t="n">
        <v>0</v>
      </c>
      <c r="T293" s="26" t="n">
        <v>0</v>
      </c>
      <c r="U293" s="26" t="n">
        <v>0</v>
      </c>
    </row>
    <row r="294" customFormat="false" ht="15" hidden="false" customHeight="true" outlineLevel="0" collapsed="false">
      <c r="A294" s="8" t="s">
        <v>407</v>
      </c>
      <c r="B294" s="8" t="s">
        <v>119</v>
      </c>
      <c r="C294" s="8" t="s">
        <v>731</v>
      </c>
      <c r="D294" s="26" t="n">
        <v>0</v>
      </c>
      <c r="E294" s="26" t="n">
        <v>0</v>
      </c>
      <c r="F294" s="26" t="n">
        <v>17324</v>
      </c>
      <c r="G294" s="26" t="n">
        <v>0</v>
      </c>
      <c r="H294" s="26" t="n">
        <v>0</v>
      </c>
      <c r="I294" s="26" t="n">
        <v>4799.3</v>
      </c>
      <c r="J294" s="26" t="n">
        <v>0</v>
      </c>
      <c r="K294" s="26" t="n">
        <v>0</v>
      </c>
      <c r="L294" s="26" t="n">
        <v>0</v>
      </c>
      <c r="M294" s="26" t="n">
        <v>126.4</v>
      </c>
      <c r="N294" s="26" t="n">
        <v>42.1</v>
      </c>
      <c r="O294" s="26" t="n">
        <v>0</v>
      </c>
      <c r="P294" s="26" t="n">
        <v>0</v>
      </c>
      <c r="Q294" s="26" t="n">
        <v>3548.1</v>
      </c>
      <c r="R294" s="26" t="n">
        <v>1082.7</v>
      </c>
      <c r="S294" s="26" t="n">
        <v>39.3</v>
      </c>
      <c r="T294" s="26" t="n">
        <v>3340</v>
      </c>
      <c r="U294" s="26" t="n">
        <v>0</v>
      </c>
    </row>
    <row r="295" customFormat="false" ht="15" hidden="false" customHeight="true" outlineLevel="0" collapsed="false">
      <c r="A295" s="8" t="s">
        <v>407</v>
      </c>
      <c r="B295" s="8" t="s">
        <v>291</v>
      </c>
      <c r="C295" s="8" t="s">
        <v>733</v>
      </c>
      <c r="D295" s="26" t="n">
        <v>0</v>
      </c>
      <c r="E295" s="26" t="n">
        <v>0</v>
      </c>
      <c r="F295" s="26" t="n">
        <v>209.7</v>
      </c>
      <c r="G295" s="26" t="n">
        <v>0</v>
      </c>
      <c r="H295" s="26" t="n">
        <v>0</v>
      </c>
      <c r="I295" s="26" t="n">
        <v>0</v>
      </c>
      <c r="J295" s="26" t="n">
        <v>0</v>
      </c>
      <c r="K295" s="26" t="n">
        <v>0</v>
      </c>
      <c r="L295" s="26" t="n">
        <v>0</v>
      </c>
      <c r="M295" s="26" t="n">
        <v>0</v>
      </c>
      <c r="N295" s="26" t="n">
        <v>0</v>
      </c>
      <c r="O295" s="26" t="n">
        <v>0</v>
      </c>
      <c r="P295" s="26" t="n">
        <v>0</v>
      </c>
      <c r="Q295" s="26" t="n">
        <v>0</v>
      </c>
      <c r="R295" s="26" t="n">
        <v>0</v>
      </c>
      <c r="S295" s="26" t="n">
        <v>0</v>
      </c>
      <c r="T295" s="26" t="n">
        <v>0</v>
      </c>
      <c r="U295" s="26" t="n">
        <v>0</v>
      </c>
    </row>
    <row r="296" customFormat="false" ht="15" hidden="false" customHeight="true" outlineLevel="0" collapsed="false">
      <c r="A296" s="8" t="s">
        <v>407</v>
      </c>
      <c r="B296" s="8" t="s">
        <v>262</v>
      </c>
      <c r="C296" s="8" t="s">
        <v>734</v>
      </c>
      <c r="D296" s="26" t="n">
        <v>0</v>
      </c>
      <c r="E296" s="26" t="n">
        <v>0</v>
      </c>
      <c r="F296" s="26" t="n">
        <v>354.3</v>
      </c>
      <c r="G296" s="26" t="n">
        <v>0</v>
      </c>
      <c r="H296" s="26" t="n">
        <v>0</v>
      </c>
      <c r="I296" s="26" t="n">
        <v>0</v>
      </c>
      <c r="J296" s="26" t="n">
        <v>0</v>
      </c>
      <c r="K296" s="26" t="n">
        <v>0</v>
      </c>
      <c r="L296" s="26" t="n">
        <v>0</v>
      </c>
      <c r="M296" s="26" t="n">
        <v>0</v>
      </c>
      <c r="N296" s="26" t="n">
        <v>0</v>
      </c>
      <c r="O296" s="26" t="n">
        <v>0</v>
      </c>
      <c r="P296" s="26" t="n">
        <v>0</v>
      </c>
      <c r="Q296" s="26" t="n">
        <v>0</v>
      </c>
      <c r="R296" s="26" t="n">
        <v>0</v>
      </c>
      <c r="S296" s="26" t="n">
        <v>0</v>
      </c>
      <c r="T296" s="26" t="n">
        <v>0</v>
      </c>
      <c r="U296" s="26" t="n">
        <v>0</v>
      </c>
    </row>
    <row r="297" customFormat="false" ht="15" hidden="false" customHeight="true" outlineLevel="0" collapsed="false">
      <c r="A297" s="8" t="s">
        <v>407</v>
      </c>
      <c r="B297" s="8" t="s">
        <v>262</v>
      </c>
      <c r="C297" s="8" t="s">
        <v>735</v>
      </c>
      <c r="D297" s="26" t="n">
        <v>0</v>
      </c>
      <c r="E297" s="26" t="n">
        <v>0</v>
      </c>
      <c r="F297" s="26" t="n">
        <v>0</v>
      </c>
      <c r="G297" s="26" t="n">
        <v>0</v>
      </c>
      <c r="H297" s="26" t="n">
        <v>0</v>
      </c>
      <c r="I297" s="26" t="n">
        <v>-58.3</v>
      </c>
      <c r="J297" s="26" t="n">
        <v>0</v>
      </c>
      <c r="K297" s="26" t="n">
        <v>0</v>
      </c>
      <c r="L297" s="26" t="n">
        <v>0</v>
      </c>
      <c r="M297" s="26" t="n">
        <v>0</v>
      </c>
      <c r="N297" s="26" t="n">
        <v>0</v>
      </c>
      <c r="O297" s="26" t="n">
        <v>0</v>
      </c>
      <c r="P297" s="26" t="n">
        <v>0</v>
      </c>
      <c r="Q297" s="26" t="n">
        <v>-58.3</v>
      </c>
      <c r="R297" s="26" t="n">
        <v>0</v>
      </c>
      <c r="S297" s="26" t="n">
        <v>0</v>
      </c>
      <c r="T297" s="26" t="n">
        <v>0</v>
      </c>
      <c r="U297" s="26" t="n">
        <v>0</v>
      </c>
    </row>
    <row r="298" customFormat="false" ht="15" hidden="false" customHeight="true" outlineLevel="0" collapsed="false">
      <c r="A298" s="8" t="s">
        <v>407</v>
      </c>
      <c r="B298" s="8" t="s">
        <v>262</v>
      </c>
      <c r="C298" s="8" t="s">
        <v>733</v>
      </c>
      <c r="D298" s="26" t="n">
        <v>0</v>
      </c>
      <c r="E298" s="26" t="n">
        <v>0</v>
      </c>
      <c r="F298" s="26" t="n">
        <v>70.9</v>
      </c>
      <c r="G298" s="26" t="n">
        <v>0</v>
      </c>
      <c r="H298" s="26" t="n">
        <v>0</v>
      </c>
      <c r="I298" s="26" t="n">
        <v>0</v>
      </c>
      <c r="J298" s="26" t="n">
        <v>0</v>
      </c>
      <c r="K298" s="26" t="n">
        <v>0</v>
      </c>
      <c r="L298" s="26" t="n">
        <v>0</v>
      </c>
      <c r="M298" s="26" t="n">
        <v>0</v>
      </c>
      <c r="N298" s="26" t="n">
        <v>0</v>
      </c>
      <c r="O298" s="26" t="n">
        <v>0</v>
      </c>
      <c r="P298" s="26" t="n">
        <v>0</v>
      </c>
      <c r="Q298" s="26" t="n">
        <v>0</v>
      </c>
      <c r="R298" s="26" t="n">
        <v>0</v>
      </c>
      <c r="S298" s="26" t="n">
        <v>0</v>
      </c>
      <c r="T298" s="26" t="n">
        <v>0</v>
      </c>
      <c r="U298" s="26" t="n">
        <v>0</v>
      </c>
    </row>
    <row r="299" customFormat="false" ht="15" hidden="false" customHeight="true" outlineLevel="0" collapsed="false">
      <c r="A299" s="8" t="s">
        <v>407</v>
      </c>
      <c r="B299" s="8" t="s">
        <v>195</v>
      </c>
      <c r="C299" s="8" t="s">
        <v>736</v>
      </c>
      <c r="D299" s="26" t="n">
        <v>0</v>
      </c>
      <c r="E299" s="26" t="n">
        <v>0</v>
      </c>
      <c r="F299" s="26" t="n">
        <v>2706.4</v>
      </c>
      <c r="G299" s="26" t="n">
        <v>0</v>
      </c>
      <c r="H299" s="26" t="n">
        <v>0</v>
      </c>
      <c r="I299" s="26" t="n">
        <v>89097.6</v>
      </c>
      <c r="J299" s="26" t="n">
        <v>0</v>
      </c>
      <c r="K299" s="26" t="n">
        <v>63.1</v>
      </c>
      <c r="L299" s="26" t="n">
        <v>0</v>
      </c>
      <c r="M299" s="26" t="n">
        <v>0</v>
      </c>
      <c r="N299" s="26" t="n">
        <v>0</v>
      </c>
      <c r="O299" s="26" t="n">
        <v>0</v>
      </c>
      <c r="P299" s="26" t="n">
        <v>-630.5</v>
      </c>
      <c r="Q299" s="26" t="n">
        <v>79514</v>
      </c>
      <c r="R299" s="26" t="n">
        <v>10151.1</v>
      </c>
      <c r="S299" s="26" t="n">
        <v>0</v>
      </c>
      <c r="T299" s="26" t="n">
        <v>0</v>
      </c>
      <c r="U299" s="26" t="n">
        <v>-281</v>
      </c>
    </row>
    <row r="300" customFormat="false" ht="15" hidden="false" customHeight="true" outlineLevel="0" collapsed="false">
      <c r="A300" s="8" t="s">
        <v>407</v>
      </c>
      <c r="B300" s="8" t="s">
        <v>195</v>
      </c>
      <c r="C300" s="8" t="s">
        <v>737</v>
      </c>
      <c r="D300" s="26" t="n">
        <v>0</v>
      </c>
      <c r="E300" s="26" t="n">
        <v>0</v>
      </c>
      <c r="F300" s="26" t="n">
        <v>2239.7</v>
      </c>
      <c r="G300" s="26" t="n">
        <v>0</v>
      </c>
      <c r="H300" s="26" t="n">
        <v>0</v>
      </c>
      <c r="I300" s="26" t="n">
        <v>49566.9</v>
      </c>
      <c r="J300" s="26" t="n">
        <v>0</v>
      </c>
      <c r="K300" s="26" t="n">
        <v>315.3</v>
      </c>
      <c r="L300" s="26" t="n">
        <v>0</v>
      </c>
      <c r="M300" s="26" t="n">
        <v>0</v>
      </c>
      <c r="N300" s="26" t="n">
        <v>0</v>
      </c>
      <c r="O300" s="26" t="n">
        <v>135.1</v>
      </c>
      <c r="P300" s="26" t="n">
        <v>0</v>
      </c>
      <c r="Q300" s="26" t="n">
        <v>48296.9</v>
      </c>
      <c r="R300" s="26" t="n">
        <v>819.7</v>
      </c>
      <c r="S300" s="26" t="n">
        <v>0</v>
      </c>
      <c r="T300" s="26" t="n">
        <v>0</v>
      </c>
      <c r="U300" s="26" t="n">
        <v>0</v>
      </c>
    </row>
    <row r="301" customFormat="false" ht="15" hidden="false" customHeight="true" outlineLevel="0" collapsed="false">
      <c r="A301" s="8" t="s">
        <v>407</v>
      </c>
      <c r="B301" s="8" t="s">
        <v>166</v>
      </c>
      <c r="C301" s="8" t="s">
        <v>736</v>
      </c>
      <c r="D301" s="26" t="n">
        <v>0</v>
      </c>
      <c r="E301" s="26" t="n">
        <v>0</v>
      </c>
      <c r="F301" s="26" t="n">
        <v>4281.1</v>
      </c>
      <c r="G301" s="26" t="n">
        <v>0</v>
      </c>
      <c r="H301" s="26" t="n">
        <v>0</v>
      </c>
      <c r="I301" s="26" t="n">
        <v>12620.7</v>
      </c>
      <c r="J301" s="26" t="n">
        <v>0</v>
      </c>
      <c r="K301" s="26" t="n">
        <v>0</v>
      </c>
      <c r="L301" s="26" t="n">
        <v>0</v>
      </c>
      <c r="M301" s="26" t="n">
        <v>0</v>
      </c>
      <c r="N301" s="26" t="n">
        <v>0</v>
      </c>
      <c r="O301" s="26" t="n">
        <v>0</v>
      </c>
      <c r="P301" s="26" t="n">
        <v>0</v>
      </c>
      <c r="Q301" s="26" t="n">
        <v>12620.7</v>
      </c>
      <c r="R301" s="26" t="n">
        <v>0</v>
      </c>
      <c r="S301" s="26" t="n">
        <v>0</v>
      </c>
      <c r="T301" s="26" t="n">
        <v>0</v>
      </c>
      <c r="U301" s="26" t="n">
        <v>0</v>
      </c>
    </row>
    <row r="302" customFormat="false" ht="15" hidden="false" customHeight="true" outlineLevel="0" collapsed="false">
      <c r="A302" s="8" t="s">
        <v>407</v>
      </c>
      <c r="B302" s="8" t="s">
        <v>166</v>
      </c>
      <c r="C302" s="8" t="s">
        <v>737</v>
      </c>
      <c r="D302" s="26" t="n">
        <v>0</v>
      </c>
      <c r="E302" s="26" t="n">
        <v>0</v>
      </c>
      <c r="F302" s="26" t="n">
        <v>2578.7</v>
      </c>
      <c r="G302" s="26" t="n">
        <v>0</v>
      </c>
      <c r="H302" s="26" t="n">
        <v>0</v>
      </c>
      <c r="I302" s="26" t="n">
        <v>8507</v>
      </c>
      <c r="J302" s="26" t="n">
        <v>0</v>
      </c>
      <c r="K302" s="26" t="n">
        <v>0</v>
      </c>
      <c r="L302" s="26" t="n">
        <v>0</v>
      </c>
      <c r="M302" s="26" t="n">
        <v>0</v>
      </c>
      <c r="N302" s="26" t="n">
        <v>0</v>
      </c>
      <c r="O302" s="26" t="n">
        <v>0</v>
      </c>
      <c r="P302" s="26" t="n">
        <v>0</v>
      </c>
      <c r="Q302" s="26" t="n">
        <v>8507</v>
      </c>
      <c r="R302" s="26" t="n">
        <v>0</v>
      </c>
      <c r="S302" s="26" t="n">
        <v>0</v>
      </c>
      <c r="T302" s="26" t="n">
        <v>0</v>
      </c>
      <c r="U302" s="26" t="n">
        <v>0</v>
      </c>
    </row>
    <row r="303" customFormat="false" ht="15" hidden="false" customHeight="true" outlineLevel="0" collapsed="false">
      <c r="A303" s="8" t="s">
        <v>407</v>
      </c>
      <c r="B303" s="8" t="s">
        <v>228</v>
      </c>
      <c r="C303" s="8" t="s">
        <v>738</v>
      </c>
      <c r="D303" s="26" t="n">
        <v>0</v>
      </c>
      <c r="E303" s="26" t="n">
        <v>0</v>
      </c>
      <c r="F303" s="26" t="n">
        <v>1044</v>
      </c>
      <c r="G303" s="26" t="n">
        <v>0</v>
      </c>
      <c r="H303" s="26" t="n">
        <v>84.9</v>
      </c>
      <c r="I303" s="26" t="n">
        <v>575.8</v>
      </c>
      <c r="J303" s="26" t="n">
        <v>0</v>
      </c>
      <c r="K303" s="26" t="n">
        <v>16.4</v>
      </c>
      <c r="L303" s="26" t="n">
        <v>0</v>
      </c>
      <c r="M303" s="26" t="n">
        <v>0</v>
      </c>
      <c r="N303" s="26" t="n">
        <v>0</v>
      </c>
      <c r="O303" s="26" t="n">
        <v>0</v>
      </c>
      <c r="P303" s="26" t="n">
        <v>-57.3</v>
      </c>
      <c r="Q303" s="26" t="n">
        <v>387.7</v>
      </c>
      <c r="R303" s="26" t="n">
        <v>229</v>
      </c>
      <c r="S303" s="26" t="n">
        <v>0</v>
      </c>
      <c r="T303" s="26" t="n">
        <v>115.6</v>
      </c>
      <c r="U303" s="26" t="n">
        <v>0</v>
      </c>
    </row>
    <row r="304" customFormat="false" ht="15" hidden="false" customHeight="true" outlineLevel="0" collapsed="false">
      <c r="A304" s="8" t="s">
        <v>407</v>
      </c>
      <c r="B304" s="8" t="s">
        <v>265</v>
      </c>
      <c r="C304" s="8" t="s">
        <v>963</v>
      </c>
      <c r="D304" s="26" t="n">
        <v>0</v>
      </c>
      <c r="E304" s="26" t="n">
        <v>0</v>
      </c>
      <c r="F304" s="26" t="n">
        <v>-194</v>
      </c>
      <c r="G304" s="26" t="n">
        <v>0</v>
      </c>
      <c r="H304" s="26" t="n">
        <v>0</v>
      </c>
      <c r="I304" s="26" t="n">
        <v>0</v>
      </c>
      <c r="J304" s="26" t="n">
        <v>0</v>
      </c>
      <c r="K304" s="26" t="n">
        <v>0</v>
      </c>
      <c r="L304" s="26" t="n">
        <v>0</v>
      </c>
      <c r="M304" s="26" t="n">
        <v>0</v>
      </c>
      <c r="N304" s="26" t="n">
        <v>0</v>
      </c>
      <c r="O304" s="26" t="n">
        <v>0</v>
      </c>
      <c r="P304" s="26" t="n">
        <v>0</v>
      </c>
      <c r="Q304" s="26" t="n">
        <v>0</v>
      </c>
      <c r="R304" s="26" t="n">
        <v>0</v>
      </c>
      <c r="S304" s="26" t="n">
        <v>0</v>
      </c>
      <c r="T304" s="26" t="n">
        <v>0</v>
      </c>
      <c r="U304" s="26" t="n">
        <v>0</v>
      </c>
    </row>
    <row r="305" customFormat="false" ht="15" hidden="false" customHeight="true" outlineLevel="0" collapsed="false">
      <c r="A305" s="8" t="s">
        <v>407</v>
      </c>
      <c r="B305" s="8" t="s">
        <v>381</v>
      </c>
      <c r="C305" s="8" t="s">
        <v>964</v>
      </c>
      <c r="D305" s="26" t="n">
        <v>0</v>
      </c>
      <c r="E305" s="26" t="n">
        <v>0</v>
      </c>
      <c r="F305" s="26" t="n">
        <v>0</v>
      </c>
      <c r="G305" s="26" t="n">
        <v>0</v>
      </c>
      <c r="H305" s="26" t="n">
        <v>0</v>
      </c>
      <c r="I305" s="26" t="n">
        <v>-90.1</v>
      </c>
      <c r="J305" s="26" t="n">
        <v>0</v>
      </c>
      <c r="K305" s="26" t="n">
        <v>0</v>
      </c>
      <c r="L305" s="26" t="n">
        <v>0</v>
      </c>
      <c r="M305" s="26" t="n">
        <v>0</v>
      </c>
      <c r="N305" s="26" t="n">
        <v>0</v>
      </c>
      <c r="O305" s="26" t="n">
        <v>0</v>
      </c>
      <c r="P305" s="26" t="n">
        <v>0</v>
      </c>
      <c r="Q305" s="26" t="n">
        <v>-90.1</v>
      </c>
      <c r="R305" s="26" t="n">
        <v>0</v>
      </c>
      <c r="S305" s="26" t="n">
        <v>0</v>
      </c>
      <c r="T305" s="26" t="n">
        <v>0</v>
      </c>
      <c r="U305" s="26" t="n">
        <v>0</v>
      </c>
    </row>
    <row r="306" customFormat="false" ht="15" hidden="false" customHeight="true" outlineLevel="0" collapsed="false">
      <c r="A306" s="8" t="s">
        <v>407</v>
      </c>
      <c r="B306" s="8" t="s">
        <v>84</v>
      </c>
      <c r="C306" s="8" t="s">
        <v>745</v>
      </c>
      <c r="D306" s="26" t="n">
        <v>0</v>
      </c>
      <c r="E306" s="26" t="n">
        <v>0</v>
      </c>
      <c r="F306" s="26" t="n">
        <v>6186</v>
      </c>
      <c r="G306" s="26" t="n">
        <v>0</v>
      </c>
      <c r="H306" s="26" t="n">
        <v>0</v>
      </c>
      <c r="I306" s="26" t="n">
        <v>33691.6</v>
      </c>
      <c r="J306" s="26" t="n">
        <v>0</v>
      </c>
      <c r="K306" s="26" t="n">
        <v>787.1</v>
      </c>
      <c r="L306" s="26" t="n">
        <v>0</v>
      </c>
      <c r="M306" s="26" t="n">
        <v>0</v>
      </c>
      <c r="N306" s="26" t="n">
        <v>0</v>
      </c>
      <c r="O306" s="26" t="n">
        <v>304.2</v>
      </c>
      <c r="P306" s="26" t="n">
        <v>-174.9</v>
      </c>
      <c r="Q306" s="26" t="n">
        <v>24292.6</v>
      </c>
      <c r="R306" s="26" t="n">
        <v>8482.7</v>
      </c>
      <c r="S306" s="26" t="n">
        <v>0</v>
      </c>
      <c r="T306" s="26" t="n">
        <v>5251.4</v>
      </c>
      <c r="U306" s="26" t="n">
        <v>0</v>
      </c>
    </row>
    <row r="307" customFormat="false" ht="15" hidden="false" customHeight="true" outlineLevel="0" collapsed="false">
      <c r="A307" s="8" t="s">
        <v>407</v>
      </c>
      <c r="B307" s="8" t="s">
        <v>84</v>
      </c>
      <c r="C307" s="8" t="s">
        <v>746</v>
      </c>
      <c r="D307" s="26" t="n">
        <v>0</v>
      </c>
      <c r="E307" s="26" t="n">
        <v>0</v>
      </c>
      <c r="F307" s="26" t="n">
        <v>7308.3</v>
      </c>
      <c r="G307" s="26" t="n">
        <v>0</v>
      </c>
      <c r="H307" s="26" t="n">
        <v>80</v>
      </c>
      <c r="I307" s="26" t="n">
        <v>32700.5</v>
      </c>
      <c r="J307" s="26" t="n">
        <v>0</v>
      </c>
      <c r="K307" s="26" t="n">
        <v>787.1</v>
      </c>
      <c r="L307" s="26" t="n">
        <v>0</v>
      </c>
      <c r="M307" s="26" t="n">
        <v>0</v>
      </c>
      <c r="N307" s="26" t="n">
        <v>461.5</v>
      </c>
      <c r="O307" s="26" t="n">
        <v>101.4</v>
      </c>
      <c r="P307" s="26" t="n">
        <v>-524.7</v>
      </c>
      <c r="Q307" s="26" t="n">
        <v>24529.5</v>
      </c>
      <c r="R307" s="26" t="n">
        <v>7345.8</v>
      </c>
      <c r="S307" s="26" t="n">
        <v>0</v>
      </c>
      <c r="T307" s="26" t="n">
        <v>5393.8</v>
      </c>
      <c r="U307" s="26" t="n">
        <v>0</v>
      </c>
    </row>
    <row r="308" customFormat="false" ht="15" hidden="false" customHeight="true" outlineLevel="0" collapsed="false">
      <c r="A308" s="8" t="s">
        <v>407</v>
      </c>
      <c r="B308" s="8" t="s">
        <v>84</v>
      </c>
      <c r="C308" s="8" t="s">
        <v>747</v>
      </c>
      <c r="D308" s="26" t="n">
        <v>0</v>
      </c>
      <c r="E308" s="26" t="n">
        <v>0</v>
      </c>
      <c r="F308" s="26" t="n">
        <v>1329</v>
      </c>
      <c r="G308" s="26" t="n">
        <v>0</v>
      </c>
      <c r="H308" s="26" t="n">
        <v>0</v>
      </c>
      <c r="I308" s="26" t="n">
        <v>11181.4</v>
      </c>
      <c r="J308" s="26" t="n">
        <v>0</v>
      </c>
      <c r="K308" s="26" t="n">
        <v>524.7</v>
      </c>
      <c r="L308" s="26" t="n">
        <v>0</v>
      </c>
      <c r="M308" s="26" t="n">
        <v>0</v>
      </c>
      <c r="N308" s="26" t="n">
        <v>184.6</v>
      </c>
      <c r="O308" s="26" t="n">
        <v>0</v>
      </c>
      <c r="P308" s="26" t="n">
        <v>-349.8</v>
      </c>
      <c r="Q308" s="26" t="n">
        <v>8198.4</v>
      </c>
      <c r="R308" s="26" t="n">
        <v>2623.5</v>
      </c>
      <c r="S308" s="26" t="n">
        <v>0</v>
      </c>
      <c r="T308" s="26" t="n">
        <v>1455.2</v>
      </c>
      <c r="U308" s="26" t="n">
        <v>0</v>
      </c>
    </row>
    <row r="309" customFormat="false" ht="15" hidden="false" customHeight="true" outlineLevel="0" collapsed="false">
      <c r="A309" s="8" t="s">
        <v>407</v>
      </c>
      <c r="B309" s="8" t="s">
        <v>123</v>
      </c>
      <c r="C309" s="8" t="s">
        <v>748</v>
      </c>
      <c r="D309" s="26" t="n">
        <v>0</v>
      </c>
      <c r="E309" s="26" t="n">
        <v>0</v>
      </c>
      <c r="F309" s="26" t="n">
        <v>4255.9</v>
      </c>
      <c r="G309" s="26" t="n">
        <v>0</v>
      </c>
      <c r="H309" s="26" t="n">
        <v>0</v>
      </c>
      <c r="I309" s="26" t="n">
        <v>4969.1</v>
      </c>
      <c r="J309" s="26" t="n">
        <v>0</v>
      </c>
      <c r="K309" s="26" t="n">
        <v>490.7</v>
      </c>
      <c r="L309" s="26" t="n">
        <v>0</v>
      </c>
      <c r="M309" s="26" t="n">
        <v>0</v>
      </c>
      <c r="N309" s="26" t="n">
        <v>0</v>
      </c>
      <c r="O309" s="26" t="n">
        <v>54.5</v>
      </c>
      <c r="P309" s="26" t="n">
        <v>-272.6</v>
      </c>
      <c r="Q309" s="26" t="n">
        <v>-101.3</v>
      </c>
      <c r="R309" s="26" t="n">
        <v>4797.8</v>
      </c>
      <c r="S309" s="26" t="n">
        <v>0</v>
      </c>
      <c r="T309" s="26" t="n">
        <v>0</v>
      </c>
      <c r="U309" s="26" t="n">
        <v>0</v>
      </c>
    </row>
    <row r="310" customFormat="false" ht="15" hidden="false" customHeight="true" outlineLevel="0" collapsed="false">
      <c r="A310" s="8" t="s">
        <v>407</v>
      </c>
      <c r="B310" s="8" t="s">
        <v>123</v>
      </c>
      <c r="C310" s="8" t="s">
        <v>749</v>
      </c>
      <c r="D310" s="26" t="n">
        <v>0</v>
      </c>
      <c r="E310" s="26" t="n">
        <v>0</v>
      </c>
      <c r="F310" s="26" t="n">
        <v>3998.7</v>
      </c>
      <c r="G310" s="26" t="n">
        <v>0</v>
      </c>
      <c r="H310" s="26" t="n">
        <v>0</v>
      </c>
      <c r="I310" s="26" t="n">
        <v>4961.3</v>
      </c>
      <c r="J310" s="26" t="n">
        <v>0</v>
      </c>
      <c r="K310" s="26" t="n">
        <v>54.5</v>
      </c>
      <c r="L310" s="26" t="n">
        <v>0</v>
      </c>
      <c r="M310" s="26" t="n">
        <v>0</v>
      </c>
      <c r="N310" s="26" t="n">
        <v>0</v>
      </c>
      <c r="O310" s="26" t="n">
        <v>0</v>
      </c>
      <c r="P310" s="26" t="n">
        <v>-109</v>
      </c>
      <c r="Q310" s="26" t="n">
        <v>0</v>
      </c>
      <c r="R310" s="26" t="n">
        <v>5015.8</v>
      </c>
      <c r="S310" s="26" t="n">
        <v>0</v>
      </c>
      <c r="T310" s="26" t="n">
        <v>0</v>
      </c>
      <c r="U310" s="26" t="n">
        <v>0</v>
      </c>
    </row>
    <row r="311" customFormat="false" ht="15" hidden="false" customHeight="true" outlineLevel="0" collapsed="false">
      <c r="A311" s="8" t="s">
        <v>407</v>
      </c>
      <c r="B311" s="8" t="s">
        <v>123</v>
      </c>
      <c r="C311" s="8" t="s">
        <v>750</v>
      </c>
      <c r="D311" s="26" t="n">
        <v>0</v>
      </c>
      <c r="E311" s="26" t="n">
        <v>0</v>
      </c>
      <c r="F311" s="26" t="n">
        <v>-58.4</v>
      </c>
      <c r="G311" s="26" t="n">
        <v>0</v>
      </c>
      <c r="H311" s="26" t="n">
        <v>0</v>
      </c>
      <c r="I311" s="26" t="n">
        <v>-157.1</v>
      </c>
      <c r="J311" s="26" t="n">
        <v>0</v>
      </c>
      <c r="K311" s="26" t="n">
        <v>0</v>
      </c>
      <c r="L311" s="26" t="n">
        <v>0</v>
      </c>
      <c r="M311" s="26" t="n">
        <v>0</v>
      </c>
      <c r="N311" s="26" t="n">
        <v>0</v>
      </c>
      <c r="O311" s="26" t="n">
        <v>0</v>
      </c>
      <c r="P311" s="26" t="n">
        <v>-109</v>
      </c>
      <c r="Q311" s="26" t="n">
        <v>-48.1</v>
      </c>
      <c r="R311" s="26" t="n">
        <v>0</v>
      </c>
      <c r="S311" s="26" t="n">
        <v>0</v>
      </c>
      <c r="T311" s="26" t="n">
        <v>0</v>
      </c>
      <c r="U311" s="26" t="n">
        <v>0</v>
      </c>
    </row>
    <row r="312" customFormat="false" ht="15" hidden="false" customHeight="true" outlineLevel="0" collapsed="false">
      <c r="A312" s="8" t="s">
        <v>407</v>
      </c>
      <c r="B312" s="8" t="s">
        <v>180</v>
      </c>
      <c r="C312" s="8" t="s">
        <v>648</v>
      </c>
      <c r="D312" s="26" t="n">
        <v>0</v>
      </c>
      <c r="E312" s="26" t="n">
        <v>0</v>
      </c>
      <c r="F312" s="26" t="n">
        <v>3555.7</v>
      </c>
      <c r="G312" s="26" t="n">
        <v>0</v>
      </c>
      <c r="H312" s="26" t="n">
        <v>0</v>
      </c>
      <c r="I312" s="26" t="n">
        <v>2222.3</v>
      </c>
      <c r="J312" s="26" t="n">
        <v>0</v>
      </c>
      <c r="K312" s="26" t="n">
        <v>131.3</v>
      </c>
      <c r="L312" s="26" t="n">
        <v>0</v>
      </c>
      <c r="M312" s="26" t="n">
        <v>0</v>
      </c>
      <c r="N312" s="26" t="n">
        <v>50.5</v>
      </c>
      <c r="O312" s="26" t="n">
        <v>0</v>
      </c>
      <c r="P312" s="26" t="n">
        <v>-109.4</v>
      </c>
      <c r="Q312" s="26" t="n">
        <v>-81.2</v>
      </c>
      <c r="R312" s="26" t="n">
        <v>2231.1</v>
      </c>
      <c r="S312" s="26" t="n">
        <v>0</v>
      </c>
      <c r="T312" s="26" t="n">
        <v>821.2</v>
      </c>
      <c r="U312" s="26" t="n">
        <v>0</v>
      </c>
    </row>
    <row r="313" customFormat="false" ht="15" hidden="false" customHeight="true" outlineLevel="0" collapsed="false">
      <c r="A313" s="8" t="s">
        <v>407</v>
      </c>
      <c r="B313" s="8" t="s">
        <v>86</v>
      </c>
      <c r="C313" s="8" t="s">
        <v>753</v>
      </c>
      <c r="D313" s="26" t="n">
        <v>0</v>
      </c>
      <c r="E313" s="26" t="n">
        <v>0</v>
      </c>
      <c r="F313" s="26" t="n">
        <v>4203.4</v>
      </c>
      <c r="G313" s="26" t="n">
        <v>0</v>
      </c>
      <c r="H313" s="26" t="n">
        <v>0</v>
      </c>
      <c r="I313" s="26" t="n">
        <v>16357.4</v>
      </c>
      <c r="J313" s="26" t="n">
        <v>0</v>
      </c>
      <c r="K313" s="26" t="n">
        <v>96.9</v>
      </c>
      <c r="L313" s="26" t="n">
        <v>0</v>
      </c>
      <c r="M313" s="26" t="n">
        <v>0</v>
      </c>
      <c r="N313" s="26" t="n">
        <v>0</v>
      </c>
      <c r="O313" s="26" t="n">
        <v>69.2</v>
      </c>
      <c r="P313" s="26" t="n">
        <v>-32.3</v>
      </c>
      <c r="Q313" s="26" t="n">
        <v>13864.9</v>
      </c>
      <c r="R313" s="26" t="n">
        <v>2358.6</v>
      </c>
      <c r="S313" s="26" t="n">
        <v>0</v>
      </c>
      <c r="T313" s="26" t="n">
        <v>0</v>
      </c>
      <c r="U313" s="26" t="n">
        <v>0</v>
      </c>
    </row>
    <row r="314" customFormat="false" ht="15" hidden="false" customHeight="true" outlineLevel="0" collapsed="false">
      <c r="A314" s="8" t="s">
        <v>407</v>
      </c>
      <c r="B314" s="8" t="s">
        <v>86</v>
      </c>
      <c r="C314" s="8" t="s">
        <v>754</v>
      </c>
      <c r="D314" s="26" t="n">
        <v>0</v>
      </c>
      <c r="E314" s="26" t="n">
        <v>0</v>
      </c>
      <c r="F314" s="26" t="n">
        <v>2656.9</v>
      </c>
      <c r="G314" s="26" t="n">
        <v>0</v>
      </c>
      <c r="H314" s="26" t="n">
        <v>0</v>
      </c>
      <c r="I314" s="26" t="n">
        <v>14852.4</v>
      </c>
      <c r="J314" s="26" t="n">
        <v>0</v>
      </c>
      <c r="K314" s="26" t="n">
        <v>32.3</v>
      </c>
      <c r="L314" s="26" t="n">
        <v>0</v>
      </c>
      <c r="M314" s="26" t="n">
        <v>0</v>
      </c>
      <c r="N314" s="26" t="n">
        <v>0</v>
      </c>
      <c r="O314" s="26" t="n">
        <v>0</v>
      </c>
      <c r="P314" s="26" t="n">
        <v>-32.3</v>
      </c>
      <c r="Q314" s="26" t="n">
        <v>12526</v>
      </c>
      <c r="R314" s="26" t="n">
        <v>2326.3</v>
      </c>
      <c r="S314" s="26" t="n">
        <v>0</v>
      </c>
      <c r="T314" s="26" t="n">
        <v>0</v>
      </c>
      <c r="U314" s="26" t="n">
        <v>0</v>
      </c>
    </row>
    <row r="315" customFormat="false" ht="15" hidden="false" customHeight="true" outlineLevel="0" collapsed="false">
      <c r="A315" s="8" t="s">
        <v>407</v>
      </c>
      <c r="B315" s="8" t="s">
        <v>86</v>
      </c>
      <c r="C315" s="8" t="s">
        <v>755</v>
      </c>
      <c r="D315" s="26" t="n">
        <v>0</v>
      </c>
      <c r="E315" s="26" t="n">
        <v>0</v>
      </c>
      <c r="F315" s="26" t="n">
        <v>1803.2</v>
      </c>
      <c r="G315" s="26" t="n">
        <v>0</v>
      </c>
      <c r="H315" s="26" t="n">
        <v>0</v>
      </c>
      <c r="I315" s="26" t="n">
        <v>10058.2</v>
      </c>
      <c r="J315" s="26" t="n">
        <v>0</v>
      </c>
      <c r="K315" s="26" t="n">
        <v>32.3</v>
      </c>
      <c r="L315" s="26" t="n">
        <v>0</v>
      </c>
      <c r="M315" s="26" t="n">
        <v>0</v>
      </c>
      <c r="N315" s="26" t="n">
        <v>0</v>
      </c>
      <c r="O315" s="26" t="n">
        <v>0</v>
      </c>
      <c r="P315" s="26" t="n">
        <v>-64.6</v>
      </c>
      <c r="Q315" s="26" t="n">
        <v>8507.3</v>
      </c>
      <c r="R315" s="26" t="n">
        <v>1583.2</v>
      </c>
      <c r="S315" s="26" t="n">
        <v>0</v>
      </c>
      <c r="T315" s="26" t="n">
        <v>0</v>
      </c>
      <c r="U315" s="26" t="n">
        <v>0</v>
      </c>
    </row>
    <row r="316" customFormat="false" ht="15" hidden="false" customHeight="true" outlineLevel="0" collapsed="false">
      <c r="A316" s="8" t="s">
        <v>407</v>
      </c>
      <c r="B316" s="8" t="s">
        <v>86</v>
      </c>
      <c r="C316" s="8" t="s">
        <v>756</v>
      </c>
      <c r="D316" s="26" t="n">
        <v>0</v>
      </c>
      <c r="E316" s="26" t="n">
        <v>0</v>
      </c>
      <c r="F316" s="26" t="n">
        <v>2337.3</v>
      </c>
      <c r="G316" s="26" t="n">
        <v>0</v>
      </c>
      <c r="H316" s="26" t="n">
        <v>0</v>
      </c>
      <c r="I316" s="26" t="n">
        <v>11790.3</v>
      </c>
      <c r="J316" s="26" t="n">
        <v>0</v>
      </c>
      <c r="K316" s="26" t="n">
        <v>0</v>
      </c>
      <c r="L316" s="26" t="n">
        <v>0</v>
      </c>
      <c r="M316" s="26" t="n">
        <v>0</v>
      </c>
      <c r="N316" s="26" t="n">
        <v>0</v>
      </c>
      <c r="O316" s="26" t="n">
        <v>34.6</v>
      </c>
      <c r="P316" s="26" t="n">
        <v>-32.3</v>
      </c>
      <c r="Q316" s="26" t="n">
        <v>9655.5</v>
      </c>
      <c r="R316" s="26" t="n">
        <v>2132.5</v>
      </c>
      <c r="S316" s="26" t="n">
        <v>0</v>
      </c>
      <c r="T316" s="26" t="n">
        <v>0</v>
      </c>
      <c r="U316" s="26" t="n">
        <v>0</v>
      </c>
    </row>
    <row r="317" customFormat="false" ht="15" hidden="false" customHeight="true" outlineLevel="0" collapsed="false">
      <c r="A317" s="8" t="s">
        <v>407</v>
      </c>
      <c r="B317" s="8" t="s">
        <v>360</v>
      </c>
      <c r="C317" s="8" t="s">
        <v>758</v>
      </c>
      <c r="D317" s="26" t="n">
        <v>0</v>
      </c>
      <c r="E317" s="26" t="n">
        <v>0</v>
      </c>
      <c r="F317" s="26" t="n">
        <v>66.5</v>
      </c>
      <c r="G317" s="26" t="n">
        <v>0</v>
      </c>
      <c r="H317" s="26" t="n">
        <v>0</v>
      </c>
      <c r="I317" s="26" t="n">
        <v>0</v>
      </c>
      <c r="J317" s="26" t="n">
        <v>0</v>
      </c>
      <c r="K317" s="26" t="n">
        <v>0</v>
      </c>
      <c r="L317" s="26" t="n">
        <v>0</v>
      </c>
      <c r="M317" s="26" t="n">
        <v>0</v>
      </c>
      <c r="N317" s="26" t="n">
        <v>0</v>
      </c>
      <c r="O317" s="26" t="n">
        <v>0</v>
      </c>
      <c r="P317" s="26" t="n">
        <v>0</v>
      </c>
      <c r="Q317" s="26" t="n">
        <v>0</v>
      </c>
      <c r="R317" s="26" t="n">
        <v>0</v>
      </c>
      <c r="S317" s="26" t="n">
        <v>0</v>
      </c>
      <c r="T317" s="26" t="n">
        <v>0</v>
      </c>
      <c r="U317" s="26" t="n">
        <v>0</v>
      </c>
    </row>
    <row r="318" customFormat="false" ht="15" hidden="false" customHeight="true" outlineLevel="0" collapsed="false">
      <c r="A318" s="8" t="s">
        <v>407</v>
      </c>
      <c r="B318" s="8" t="s">
        <v>115</v>
      </c>
      <c r="C318" s="8" t="s">
        <v>763</v>
      </c>
      <c r="D318" s="26" t="n">
        <v>0</v>
      </c>
      <c r="E318" s="26" t="n">
        <v>0</v>
      </c>
      <c r="F318" s="26" t="n">
        <v>7441.6</v>
      </c>
      <c r="G318" s="26" t="n">
        <v>0</v>
      </c>
      <c r="H318" s="26" t="n">
        <v>0</v>
      </c>
      <c r="I318" s="26" t="n">
        <v>6779.2</v>
      </c>
      <c r="J318" s="26" t="n">
        <v>0</v>
      </c>
      <c r="K318" s="26" t="n">
        <v>1801.9</v>
      </c>
      <c r="L318" s="26" t="n">
        <v>0</v>
      </c>
      <c r="M318" s="26" t="n">
        <v>0</v>
      </c>
      <c r="N318" s="26" t="n">
        <v>43.4</v>
      </c>
      <c r="O318" s="26" t="n">
        <v>65.8</v>
      </c>
      <c r="P318" s="26" t="n">
        <v>-52.6</v>
      </c>
      <c r="Q318" s="26" t="n">
        <v>-24.4</v>
      </c>
      <c r="R318" s="26" t="n">
        <v>4945.1</v>
      </c>
      <c r="S318" s="26" t="n">
        <v>0</v>
      </c>
      <c r="T318" s="26" t="n">
        <v>2925</v>
      </c>
      <c r="U318" s="26" t="n">
        <v>0</v>
      </c>
    </row>
    <row r="319" customFormat="false" ht="15" hidden="false" customHeight="true" outlineLevel="0" collapsed="false">
      <c r="A319" s="8" t="s">
        <v>407</v>
      </c>
      <c r="B319" s="8" t="s">
        <v>241</v>
      </c>
      <c r="C319" s="8" t="s">
        <v>764</v>
      </c>
      <c r="D319" s="26" t="n">
        <v>0</v>
      </c>
      <c r="E319" s="26" t="n">
        <v>0</v>
      </c>
      <c r="F319" s="26" t="n">
        <v>-132.5</v>
      </c>
      <c r="G319" s="26" t="n">
        <v>0</v>
      </c>
      <c r="H319" s="26" t="n">
        <v>0</v>
      </c>
      <c r="I319" s="26" t="n">
        <v>0</v>
      </c>
      <c r="J319" s="26" t="n">
        <v>0</v>
      </c>
      <c r="K319" s="26" t="n">
        <v>0</v>
      </c>
      <c r="L319" s="26" t="n">
        <v>0</v>
      </c>
      <c r="M319" s="26" t="n">
        <v>0</v>
      </c>
      <c r="N319" s="26" t="n">
        <v>0</v>
      </c>
      <c r="O319" s="26" t="n">
        <v>0</v>
      </c>
      <c r="P319" s="26" t="n">
        <v>0</v>
      </c>
      <c r="Q319" s="26" t="n">
        <v>0</v>
      </c>
      <c r="R319" s="26" t="n">
        <v>0</v>
      </c>
      <c r="S319" s="26" t="n">
        <v>0</v>
      </c>
      <c r="T319" s="26" t="n">
        <v>0</v>
      </c>
      <c r="U319" s="26" t="n">
        <v>0</v>
      </c>
    </row>
    <row r="320" customFormat="false" ht="15" hidden="false" customHeight="true" outlineLevel="0" collapsed="false">
      <c r="A320" s="8" t="s">
        <v>407</v>
      </c>
      <c r="B320" s="8" t="s">
        <v>207</v>
      </c>
      <c r="C320" s="8" t="s">
        <v>765</v>
      </c>
      <c r="D320" s="26" t="n">
        <v>0</v>
      </c>
      <c r="E320" s="26" t="n">
        <v>0</v>
      </c>
      <c r="F320" s="26" t="n">
        <v>3748.4</v>
      </c>
      <c r="G320" s="26" t="n">
        <v>0</v>
      </c>
      <c r="H320" s="26" t="n">
        <v>0</v>
      </c>
      <c r="I320" s="26" t="n">
        <v>2308.6</v>
      </c>
      <c r="J320" s="26" t="n">
        <v>0</v>
      </c>
      <c r="K320" s="26" t="n">
        <v>384.5</v>
      </c>
      <c r="L320" s="26" t="n">
        <v>0</v>
      </c>
      <c r="M320" s="26" t="n">
        <v>172.7</v>
      </c>
      <c r="N320" s="26" t="n">
        <v>0</v>
      </c>
      <c r="O320" s="26" t="n">
        <v>64.1</v>
      </c>
      <c r="P320" s="26" t="n">
        <v>-42.7</v>
      </c>
      <c r="Q320" s="26" t="n">
        <v>0</v>
      </c>
      <c r="R320" s="26" t="n">
        <v>1730.2</v>
      </c>
      <c r="S320" s="26" t="n">
        <v>0</v>
      </c>
      <c r="T320" s="26" t="n">
        <v>752.4</v>
      </c>
      <c r="U320" s="26" t="n">
        <v>0</v>
      </c>
    </row>
    <row r="321" customFormat="false" ht="15" hidden="false" customHeight="true" outlineLevel="0" collapsed="false">
      <c r="A321" s="8" t="s">
        <v>407</v>
      </c>
      <c r="B321" s="8" t="s">
        <v>237</v>
      </c>
      <c r="C321" s="8" t="s">
        <v>766</v>
      </c>
      <c r="D321" s="26" t="n">
        <v>0</v>
      </c>
      <c r="E321" s="26" t="n">
        <v>0</v>
      </c>
      <c r="F321" s="26" t="n">
        <v>971.3</v>
      </c>
      <c r="G321" s="26" t="n">
        <v>0</v>
      </c>
      <c r="H321" s="26" t="n">
        <v>0</v>
      </c>
      <c r="I321" s="26" t="n">
        <v>643</v>
      </c>
      <c r="J321" s="26" t="n">
        <v>0</v>
      </c>
      <c r="K321" s="26" t="n">
        <v>42.7</v>
      </c>
      <c r="L321" s="26" t="n">
        <v>0</v>
      </c>
      <c r="M321" s="26" t="n">
        <v>0</v>
      </c>
      <c r="N321" s="26" t="n">
        <v>0</v>
      </c>
      <c r="O321" s="26" t="n">
        <v>0</v>
      </c>
      <c r="P321" s="26" t="n">
        <v>0</v>
      </c>
      <c r="Q321" s="26" t="n">
        <v>279.9</v>
      </c>
      <c r="R321" s="26" t="n">
        <v>320.4</v>
      </c>
      <c r="S321" s="26" t="n">
        <v>0</v>
      </c>
      <c r="T321" s="26" t="n">
        <v>0</v>
      </c>
      <c r="U321" s="26" t="n">
        <v>0</v>
      </c>
    </row>
    <row r="322" customFormat="false" ht="15" hidden="false" customHeight="true" outlineLevel="0" collapsed="false">
      <c r="A322" s="8" t="s">
        <v>407</v>
      </c>
      <c r="B322" s="8" t="s">
        <v>148</v>
      </c>
      <c r="C322" s="8" t="s">
        <v>767</v>
      </c>
      <c r="D322" s="26" t="n">
        <v>0</v>
      </c>
      <c r="E322" s="26" t="n">
        <v>0</v>
      </c>
      <c r="F322" s="26" t="n">
        <v>5288.7</v>
      </c>
      <c r="G322" s="26" t="n">
        <v>0</v>
      </c>
      <c r="H322" s="26" t="n">
        <v>267.3</v>
      </c>
      <c r="I322" s="26" t="n">
        <v>2127.7</v>
      </c>
      <c r="J322" s="26" t="n">
        <v>0</v>
      </c>
      <c r="K322" s="26" t="n">
        <v>556</v>
      </c>
      <c r="L322" s="26" t="n">
        <v>0</v>
      </c>
      <c r="M322" s="26" t="n">
        <v>80.2</v>
      </c>
      <c r="N322" s="26" t="n">
        <v>0</v>
      </c>
      <c r="O322" s="26" t="n">
        <v>0</v>
      </c>
      <c r="P322" s="26" t="n">
        <v>-27.1</v>
      </c>
      <c r="Q322" s="26" t="n">
        <v>0</v>
      </c>
      <c r="R322" s="26" t="n">
        <v>1518.7</v>
      </c>
      <c r="S322" s="26" t="n">
        <v>0</v>
      </c>
      <c r="T322" s="26" t="n">
        <v>1755.3</v>
      </c>
      <c r="U322" s="26" t="n">
        <v>0</v>
      </c>
    </row>
    <row r="323" customFormat="false" ht="15" hidden="false" customHeight="true" outlineLevel="0" collapsed="false">
      <c r="A323" s="8" t="s">
        <v>407</v>
      </c>
      <c r="B323" s="8" t="s">
        <v>202</v>
      </c>
      <c r="C323" s="8" t="s">
        <v>768</v>
      </c>
      <c r="D323" s="26" t="n">
        <v>0</v>
      </c>
      <c r="E323" s="26" t="n">
        <v>0</v>
      </c>
      <c r="F323" s="26" t="n">
        <v>2891.6</v>
      </c>
      <c r="G323" s="26" t="n">
        <v>0</v>
      </c>
      <c r="H323" s="26" t="n">
        <v>0</v>
      </c>
      <c r="I323" s="26" t="n">
        <v>1409.1</v>
      </c>
      <c r="J323" s="26" t="n">
        <v>0</v>
      </c>
      <c r="K323" s="26" t="n">
        <v>266.8</v>
      </c>
      <c r="L323" s="26" t="n">
        <v>0</v>
      </c>
      <c r="M323" s="26" t="n">
        <v>61.7</v>
      </c>
      <c r="N323" s="26" t="n">
        <v>0</v>
      </c>
      <c r="O323" s="26" t="n">
        <v>0</v>
      </c>
      <c r="P323" s="26" t="n">
        <v>-53.4</v>
      </c>
      <c r="Q323" s="26" t="n">
        <v>0</v>
      </c>
      <c r="R323" s="26" t="n">
        <v>1133.9</v>
      </c>
      <c r="S323" s="26" t="n">
        <v>0</v>
      </c>
      <c r="T323" s="26" t="n">
        <v>400.2</v>
      </c>
      <c r="U323" s="26" t="n">
        <v>0</v>
      </c>
    </row>
    <row r="324" customFormat="false" ht="15" hidden="false" customHeight="true" outlineLevel="0" collapsed="false">
      <c r="A324" s="8" t="s">
        <v>407</v>
      </c>
      <c r="B324" s="8" t="s">
        <v>236</v>
      </c>
      <c r="C324" s="8" t="s">
        <v>769</v>
      </c>
      <c r="D324" s="26" t="n">
        <v>0</v>
      </c>
      <c r="E324" s="26" t="n">
        <v>0</v>
      </c>
      <c r="F324" s="26" t="n">
        <v>36.9</v>
      </c>
      <c r="G324" s="26" t="n">
        <v>0</v>
      </c>
      <c r="H324" s="26" t="n">
        <v>0</v>
      </c>
      <c r="I324" s="26" t="n">
        <v>0</v>
      </c>
      <c r="J324" s="26" t="n">
        <v>0</v>
      </c>
      <c r="K324" s="26" t="n">
        <v>0</v>
      </c>
      <c r="L324" s="26" t="n">
        <v>0</v>
      </c>
      <c r="M324" s="26" t="n">
        <v>0</v>
      </c>
      <c r="N324" s="26" t="n">
        <v>0</v>
      </c>
      <c r="O324" s="26" t="n">
        <v>0</v>
      </c>
      <c r="P324" s="26" t="n">
        <v>0</v>
      </c>
      <c r="Q324" s="26" t="n">
        <v>0</v>
      </c>
      <c r="R324" s="26" t="n">
        <v>0</v>
      </c>
      <c r="S324" s="26" t="n">
        <v>0</v>
      </c>
      <c r="T324" s="26" t="n">
        <v>0</v>
      </c>
      <c r="U324" s="26" t="n">
        <v>0</v>
      </c>
    </row>
    <row r="325" customFormat="false" ht="15" hidden="false" customHeight="true" outlineLevel="0" collapsed="false">
      <c r="A325" s="8" t="s">
        <v>407</v>
      </c>
      <c r="B325" s="8" t="s">
        <v>236</v>
      </c>
      <c r="C325" s="8" t="s">
        <v>770</v>
      </c>
      <c r="D325" s="26" t="n">
        <v>0</v>
      </c>
      <c r="E325" s="26" t="n">
        <v>0</v>
      </c>
      <c r="F325" s="26" t="n">
        <v>3.3</v>
      </c>
      <c r="G325" s="26" t="n">
        <v>0</v>
      </c>
      <c r="H325" s="26" t="n">
        <v>0</v>
      </c>
      <c r="I325" s="26" t="n">
        <v>-73</v>
      </c>
      <c r="J325" s="26" t="n">
        <v>0</v>
      </c>
      <c r="K325" s="26" t="n">
        <v>0</v>
      </c>
      <c r="L325" s="26" t="n">
        <v>0</v>
      </c>
      <c r="M325" s="26" t="n">
        <v>0</v>
      </c>
      <c r="N325" s="26" t="n">
        <v>0</v>
      </c>
      <c r="O325" s="26" t="n">
        <v>0</v>
      </c>
      <c r="P325" s="26" t="n">
        <v>0</v>
      </c>
      <c r="Q325" s="26" t="n">
        <v>-73</v>
      </c>
      <c r="R325" s="26" t="n">
        <v>0</v>
      </c>
      <c r="S325" s="26" t="n">
        <v>0</v>
      </c>
      <c r="T325" s="26" t="n">
        <v>0</v>
      </c>
      <c r="U325" s="26" t="n">
        <v>0</v>
      </c>
    </row>
    <row r="326" customFormat="false" ht="15" hidden="false" customHeight="true" outlineLevel="0" collapsed="false">
      <c r="A326" s="8" t="s">
        <v>407</v>
      </c>
      <c r="B326" s="8" t="s">
        <v>236</v>
      </c>
      <c r="C326" s="8" t="s">
        <v>771</v>
      </c>
      <c r="D326" s="26" t="n">
        <v>0</v>
      </c>
      <c r="E326" s="26" t="n">
        <v>0</v>
      </c>
      <c r="F326" s="26" t="n">
        <v>0</v>
      </c>
      <c r="G326" s="26" t="n">
        <v>0</v>
      </c>
      <c r="H326" s="26" t="n">
        <v>0</v>
      </c>
      <c r="I326" s="26" t="n">
        <v>-36.5</v>
      </c>
      <c r="J326" s="26" t="n">
        <v>0</v>
      </c>
      <c r="K326" s="26" t="n">
        <v>0</v>
      </c>
      <c r="L326" s="26" t="n">
        <v>0</v>
      </c>
      <c r="M326" s="26" t="n">
        <v>0</v>
      </c>
      <c r="N326" s="26" t="n">
        <v>0</v>
      </c>
      <c r="O326" s="26" t="n">
        <v>0</v>
      </c>
      <c r="P326" s="26" t="n">
        <v>0</v>
      </c>
      <c r="Q326" s="26" t="n">
        <v>-36.5</v>
      </c>
      <c r="R326" s="26" t="n">
        <v>0</v>
      </c>
      <c r="S326" s="26" t="n">
        <v>0</v>
      </c>
      <c r="T326" s="26" t="n">
        <v>0</v>
      </c>
      <c r="U326" s="26" t="n">
        <v>0</v>
      </c>
    </row>
    <row r="327" customFormat="false" ht="15" hidden="false" customHeight="true" outlineLevel="0" collapsed="false">
      <c r="A327" s="8" t="s">
        <v>407</v>
      </c>
      <c r="B327" s="8" t="s">
        <v>236</v>
      </c>
      <c r="C327" s="8" t="s">
        <v>773</v>
      </c>
      <c r="D327" s="26" t="n">
        <v>0</v>
      </c>
      <c r="E327" s="26" t="n">
        <v>0</v>
      </c>
      <c r="F327" s="26" t="n">
        <v>-36.5</v>
      </c>
      <c r="G327" s="26" t="n">
        <v>0</v>
      </c>
      <c r="H327" s="26" t="n">
        <v>0</v>
      </c>
      <c r="I327" s="26" t="n">
        <v>0</v>
      </c>
      <c r="J327" s="26" t="n">
        <v>0</v>
      </c>
      <c r="K327" s="26" t="n">
        <v>0</v>
      </c>
      <c r="L327" s="26" t="n">
        <v>0</v>
      </c>
      <c r="M327" s="26" t="n">
        <v>0</v>
      </c>
      <c r="N327" s="26" t="n">
        <v>0</v>
      </c>
      <c r="O327" s="26" t="n">
        <v>0</v>
      </c>
      <c r="P327" s="26" t="n">
        <v>0</v>
      </c>
      <c r="Q327" s="26" t="n">
        <v>0</v>
      </c>
      <c r="R327" s="26" t="n">
        <v>0</v>
      </c>
      <c r="S327" s="26" t="n">
        <v>0</v>
      </c>
      <c r="T327" s="26" t="n">
        <v>0</v>
      </c>
      <c r="U327" s="26" t="n">
        <v>0</v>
      </c>
    </row>
    <row r="328" customFormat="false" ht="15" hidden="false" customHeight="true" outlineLevel="0" collapsed="false">
      <c r="A328" s="8" t="s">
        <v>407</v>
      </c>
      <c r="B328" s="8" t="s">
        <v>236</v>
      </c>
      <c r="C328" s="8" t="s">
        <v>965</v>
      </c>
      <c r="D328" s="26" t="n">
        <v>0</v>
      </c>
      <c r="E328" s="26" t="n">
        <v>0</v>
      </c>
      <c r="F328" s="26" t="n">
        <v>-36.5</v>
      </c>
      <c r="G328" s="26" t="n">
        <v>0</v>
      </c>
      <c r="H328" s="26" t="n">
        <v>0</v>
      </c>
      <c r="I328" s="26" t="n">
        <v>0</v>
      </c>
      <c r="J328" s="26" t="n">
        <v>0</v>
      </c>
      <c r="K328" s="26" t="n">
        <v>0</v>
      </c>
      <c r="L328" s="26" t="n">
        <v>0</v>
      </c>
      <c r="M328" s="26" t="n">
        <v>0</v>
      </c>
      <c r="N328" s="26" t="n">
        <v>0</v>
      </c>
      <c r="O328" s="26" t="n">
        <v>0</v>
      </c>
      <c r="P328" s="26" t="n">
        <v>0</v>
      </c>
      <c r="Q328" s="26" t="n">
        <v>0</v>
      </c>
      <c r="R328" s="26" t="n">
        <v>0</v>
      </c>
      <c r="S328" s="26" t="n">
        <v>0</v>
      </c>
      <c r="T328" s="26" t="n">
        <v>0</v>
      </c>
      <c r="U328" s="26" t="n">
        <v>0</v>
      </c>
    </row>
    <row r="329" customFormat="false" ht="15" hidden="false" customHeight="true" outlineLevel="0" collapsed="false">
      <c r="A329" s="8" t="s">
        <v>407</v>
      </c>
      <c r="B329" s="8" t="s">
        <v>236</v>
      </c>
      <c r="C329" s="8" t="s">
        <v>774</v>
      </c>
      <c r="D329" s="26" t="n">
        <v>0</v>
      </c>
      <c r="E329" s="26" t="n">
        <v>0</v>
      </c>
      <c r="F329" s="26" t="n">
        <v>0</v>
      </c>
      <c r="G329" s="26" t="n">
        <v>0</v>
      </c>
      <c r="H329" s="26" t="n">
        <v>0</v>
      </c>
      <c r="I329" s="26" t="n">
        <v>-32.7</v>
      </c>
      <c r="J329" s="26" t="n">
        <v>0</v>
      </c>
      <c r="K329" s="26" t="n">
        <v>0</v>
      </c>
      <c r="L329" s="26" t="n">
        <v>0</v>
      </c>
      <c r="M329" s="26" t="n">
        <v>0</v>
      </c>
      <c r="N329" s="26" t="n">
        <v>0</v>
      </c>
      <c r="O329" s="26" t="n">
        <v>0</v>
      </c>
      <c r="P329" s="26" t="n">
        <v>0</v>
      </c>
      <c r="Q329" s="26" t="n">
        <v>-32.7</v>
      </c>
      <c r="R329" s="26" t="n">
        <v>0</v>
      </c>
      <c r="S329" s="26" t="n">
        <v>0</v>
      </c>
      <c r="T329" s="26" t="n">
        <v>0</v>
      </c>
      <c r="U329" s="26" t="n">
        <v>0</v>
      </c>
    </row>
    <row r="330" customFormat="false" ht="15" hidden="false" customHeight="true" outlineLevel="0" collapsed="false">
      <c r="A330" s="8" t="s">
        <v>407</v>
      </c>
      <c r="B330" s="8" t="s">
        <v>236</v>
      </c>
      <c r="C330" s="8" t="s">
        <v>776</v>
      </c>
      <c r="D330" s="26" t="n">
        <v>0</v>
      </c>
      <c r="E330" s="26" t="n">
        <v>0</v>
      </c>
      <c r="F330" s="26" t="n">
        <v>-36.5</v>
      </c>
      <c r="G330" s="26" t="n">
        <v>0</v>
      </c>
      <c r="H330" s="26" t="n">
        <v>0</v>
      </c>
      <c r="I330" s="26" t="n">
        <v>-36.5</v>
      </c>
      <c r="J330" s="26" t="n">
        <v>0</v>
      </c>
      <c r="K330" s="26" t="n">
        <v>0</v>
      </c>
      <c r="L330" s="26" t="n">
        <v>0</v>
      </c>
      <c r="M330" s="26" t="n">
        <v>0</v>
      </c>
      <c r="N330" s="26" t="n">
        <v>0</v>
      </c>
      <c r="O330" s="26" t="n">
        <v>0</v>
      </c>
      <c r="P330" s="26" t="n">
        <v>0</v>
      </c>
      <c r="Q330" s="26" t="n">
        <v>-36.5</v>
      </c>
      <c r="R330" s="26" t="n">
        <v>0</v>
      </c>
      <c r="S330" s="26" t="n">
        <v>0</v>
      </c>
      <c r="T330" s="26" t="n">
        <v>0</v>
      </c>
      <c r="U330" s="26" t="n">
        <v>0</v>
      </c>
    </row>
    <row r="331" customFormat="false" ht="15" hidden="false" customHeight="true" outlineLevel="0" collapsed="false">
      <c r="A331" s="8" t="s">
        <v>407</v>
      </c>
      <c r="B331" s="8" t="s">
        <v>236</v>
      </c>
      <c r="C331" s="8" t="s">
        <v>779</v>
      </c>
      <c r="D331" s="26" t="n">
        <v>0</v>
      </c>
      <c r="E331" s="26" t="n">
        <v>0</v>
      </c>
      <c r="F331" s="26" t="n">
        <v>0</v>
      </c>
      <c r="G331" s="26" t="n">
        <v>0</v>
      </c>
      <c r="H331" s="26" t="n">
        <v>0</v>
      </c>
      <c r="I331" s="26" t="n">
        <v>-36.5</v>
      </c>
      <c r="J331" s="26" t="n">
        <v>0</v>
      </c>
      <c r="K331" s="26" t="n">
        <v>0</v>
      </c>
      <c r="L331" s="26" t="n">
        <v>0</v>
      </c>
      <c r="M331" s="26" t="n">
        <v>0</v>
      </c>
      <c r="N331" s="26" t="n">
        <v>0</v>
      </c>
      <c r="O331" s="26" t="n">
        <v>0</v>
      </c>
      <c r="P331" s="26" t="n">
        <v>0</v>
      </c>
      <c r="Q331" s="26" t="n">
        <v>-36.5</v>
      </c>
      <c r="R331" s="26" t="n">
        <v>0</v>
      </c>
      <c r="S331" s="26" t="n">
        <v>0</v>
      </c>
      <c r="T331" s="26" t="n">
        <v>0</v>
      </c>
      <c r="U331" s="26" t="n">
        <v>0</v>
      </c>
    </row>
    <row r="332" customFormat="false" ht="15" hidden="false" customHeight="true" outlineLevel="0" collapsed="false">
      <c r="A332" s="8" t="s">
        <v>407</v>
      </c>
      <c r="B332" s="8" t="s">
        <v>287</v>
      </c>
      <c r="C332" s="8" t="s">
        <v>780</v>
      </c>
      <c r="D332" s="26" t="n">
        <v>0</v>
      </c>
      <c r="E332" s="26" t="n">
        <v>0</v>
      </c>
      <c r="F332" s="26" t="n">
        <v>2103.5</v>
      </c>
      <c r="G332" s="26" t="n">
        <v>0</v>
      </c>
      <c r="H332" s="26" t="n">
        <v>0</v>
      </c>
      <c r="I332" s="26" t="n">
        <v>22307.3</v>
      </c>
      <c r="J332" s="26" t="n">
        <v>0</v>
      </c>
      <c r="K332" s="26" t="n">
        <v>97</v>
      </c>
      <c r="L332" s="26" t="n">
        <v>0</v>
      </c>
      <c r="M332" s="26" t="n">
        <v>0</v>
      </c>
      <c r="N332" s="26" t="n">
        <v>0</v>
      </c>
      <c r="O332" s="26" t="n">
        <v>0</v>
      </c>
      <c r="P332" s="26" t="n">
        <v>0</v>
      </c>
      <c r="Q332" s="26" t="n">
        <v>20707.1</v>
      </c>
      <c r="R332" s="26" t="n">
        <v>1503.2</v>
      </c>
      <c r="S332" s="26" t="n">
        <v>0</v>
      </c>
      <c r="T332" s="26" t="n">
        <v>749.1</v>
      </c>
      <c r="U332" s="26" t="n">
        <v>0</v>
      </c>
    </row>
    <row r="333" customFormat="false" ht="15" hidden="false" customHeight="true" outlineLevel="0" collapsed="false">
      <c r="A333" s="8" t="s">
        <v>407</v>
      </c>
      <c r="B333" s="8" t="s">
        <v>209</v>
      </c>
      <c r="C333" s="8" t="s">
        <v>781</v>
      </c>
      <c r="D333" s="26" t="n">
        <v>0</v>
      </c>
      <c r="E333" s="26" t="n">
        <v>0</v>
      </c>
      <c r="F333" s="26" t="n">
        <v>2107.1</v>
      </c>
      <c r="G333" s="26" t="n">
        <v>0</v>
      </c>
      <c r="H333" s="26" t="n">
        <v>0</v>
      </c>
      <c r="I333" s="26" t="n">
        <v>1185.3</v>
      </c>
      <c r="J333" s="26" t="n">
        <v>0</v>
      </c>
      <c r="K333" s="26" t="n">
        <v>0</v>
      </c>
      <c r="L333" s="26" t="n">
        <v>0</v>
      </c>
      <c r="M333" s="26" t="n">
        <v>0</v>
      </c>
      <c r="N333" s="26" t="n">
        <v>0</v>
      </c>
      <c r="O333" s="26" t="n">
        <v>0</v>
      </c>
      <c r="P333" s="26" t="n">
        <v>0</v>
      </c>
      <c r="Q333" s="26" t="n">
        <v>1185.3</v>
      </c>
      <c r="R333" s="26" t="n">
        <v>0</v>
      </c>
      <c r="S333" s="26" t="n">
        <v>0</v>
      </c>
      <c r="T333" s="26" t="n">
        <v>957.1</v>
      </c>
      <c r="U333" s="26" t="n">
        <v>0</v>
      </c>
    </row>
    <row r="334" customFormat="false" ht="15" hidden="false" customHeight="true" outlineLevel="0" collapsed="false">
      <c r="A334" s="8" t="s">
        <v>407</v>
      </c>
      <c r="B334" s="8" t="s">
        <v>329</v>
      </c>
      <c r="C334" s="8" t="s">
        <v>782</v>
      </c>
      <c r="D334" s="26" t="n">
        <v>0</v>
      </c>
      <c r="E334" s="26" t="n">
        <v>0</v>
      </c>
      <c r="F334" s="26" t="n">
        <v>0</v>
      </c>
      <c r="G334" s="26" t="n">
        <v>0</v>
      </c>
      <c r="H334" s="26" t="n">
        <v>0</v>
      </c>
      <c r="I334" s="26" t="n">
        <v>0</v>
      </c>
      <c r="J334" s="26" t="n">
        <v>0</v>
      </c>
      <c r="K334" s="26" t="n">
        <v>0</v>
      </c>
      <c r="L334" s="26" t="n">
        <v>0</v>
      </c>
      <c r="M334" s="26" t="n">
        <v>0</v>
      </c>
      <c r="N334" s="26" t="n">
        <v>0</v>
      </c>
      <c r="O334" s="26" t="n">
        <v>0</v>
      </c>
      <c r="P334" s="26" t="n">
        <v>0</v>
      </c>
      <c r="Q334" s="26" t="n">
        <v>0</v>
      </c>
      <c r="R334" s="26" t="n">
        <v>0</v>
      </c>
      <c r="S334" s="26" t="n">
        <v>0</v>
      </c>
      <c r="T334" s="26" t="n">
        <v>115.9</v>
      </c>
      <c r="U334" s="26" t="n">
        <v>0</v>
      </c>
    </row>
    <row r="335" customFormat="false" ht="15" hidden="false" customHeight="true" outlineLevel="0" collapsed="false">
      <c r="A335" s="8" t="s">
        <v>407</v>
      </c>
      <c r="B335" s="8" t="s">
        <v>365</v>
      </c>
      <c r="C335" s="8" t="s">
        <v>783</v>
      </c>
      <c r="D335" s="26" t="n">
        <v>0</v>
      </c>
      <c r="E335" s="26" t="n">
        <v>0</v>
      </c>
      <c r="F335" s="26" t="n">
        <v>0</v>
      </c>
      <c r="G335" s="26" t="n">
        <v>0</v>
      </c>
      <c r="H335" s="26" t="n">
        <v>0</v>
      </c>
      <c r="I335" s="26" t="n">
        <v>-49.1</v>
      </c>
      <c r="J335" s="26" t="n">
        <v>0</v>
      </c>
      <c r="K335" s="26" t="n">
        <v>0</v>
      </c>
      <c r="L335" s="26" t="n">
        <v>0</v>
      </c>
      <c r="M335" s="26" t="n">
        <v>0</v>
      </c>
      <c r="N335" s="26" t="n">
        <v>0</v>
      </c>
      <c r="O335" s="26" t="n">
        <v>0</v>
      </c>
      <c r="P335" s="26" t="n">
        <v>0</v>
      </c>
      <c r="Q335" s="26" t="n">
        <v>-49.1</v>
      </c>
      <c r="R335" s="26" t="n">
        <v>0</v>
      </c>
      <c r="S335" s="26" t="n">
        <v>0</v>
      </c>
      <c r="T335" s="26" t="n">
        <v>0</v>
      </c>
      <c r="U335" s="26" t="n">
        <v>0</v>
      </c>
    </row>
    <row r="336" customFormat="false" ht="15" hidden="false" customHeight="true" outlineLevel="0" collapsed="false">
      <c r="A336" s="8" t="s">
        <v>407</v>
      </c>
      <c r="B336" s="8" t="s">
        <v>384</v>
      </c>
      <c r="C336" s="8" t="s">
        <v>785</v>
      </c>
      <c r="D336" s="26" t="n">
        <v>0</v>
      </c>
      <c r="E336" s="26" t="n">
        <v>0</v>
      </c>
      <c r="F336" s="26" t="n">
        <v>0</v>
      </c>
      <c r="G336" s="26" t="n">
        <v>0</v>
      </c>
      <c r="H336" s="26" t="n">
        <v>0</v>
      </c>
      <c r="I336" s="26" t="n">
        <v>-147.8</v>
      </c>
      <c r="J336" s="26" t="n">
        <v>0</v>
      </c>
      <c r="K336" s="26" t="n">
        <v>0</v>
      </c>
      <c r="L336" s="26" t="n">
        <v>0</v>
      </c>
      <c r="M336" s="26" t="n">
        <v>0</v>
      </c>
      <c r="N336" s="26" t="n">
        <v>0</v>
      </c>
      <c r="O336" s="26" t="n">
        <v>0</v>
      </c>
      <c r="P336" s="26" t="n">
        <v>0</v>
      </c>
      <c r="Q336" s="26" t="n">
        <v>-147.8</v>
      </c>
      <c r="R336" s="26" t="n">
        <v>0</v>
      </c>
      <c r="S336" s="26" t="n">
        <v>0</v>
      </c>
      <c r="T336" s="26" t="n">
        <v>0</v>
      </c>
      <c r="U336" s="26" t="n">
        <v>0</v>
      </c>
    </row>
    <row r="337" customFormat="false" ht="15" hidden="false" customHeight="true" outlineLevel="0" collapsed="false">
      <c r="A337" s="8" t="s">
        <v>407</v>
      </c>
      <c r="B337" s="8" t="s">
        <v>358</v>
      </c>
      <c r="C337" s="8" t="s">
        <v>786</v>
      </c>
      <c r="D337" s="26" t="n">
        <v>0</v>
      </c>
      <c r="E337" s="26" t="n">
        <v>0</v>
      </c>
      <c r="F337" s="26" t="n">
        <v>1779.9</v>
      </c>
      <c r="G337" s="26" t="n">
        <v>0</v>
      </c>
      <c r="H337" s="26" t="n">
        <v>0</v>
      </c>
      <c r="I337" s="26" t="n">
        <v>1968.5</v>
      </c>
      <c r="J337" s="26" t="n">
        <v>0</v>
      </c>
      <c r="K337" s="26" t="n">
        <v>87.3</v>
      </c>
      <c r="L337" s="26" t="n">
        <v>0</v>
      </c>
      <c r="M337" s="26" t="n">
        <v>0</v>
      </c>
      <c r="N337" s="26" t="n">
        <v>0</v>
      </c>
      <c r="O337" s="26" t="n">
        <v>23.8</v>
      </c>
      <c r="P337" s="26" t="n">
        <v>-107.3</v>
      </c>
      <c r="Q337" s="26" t="n">
        <v>0</v>
      </c>
      <c r="R337" s="26" t="n">
        <v>1964.7</v>
      </c>
      <c r="S337" s="26" t="n">
        <v>0</v>
      </c>
      <c r="T337" s="26" t="n">
        <v>135.2</v>
      </c>
      <c r="U337" s="26" t="n">
        <v>0</v>
      </c>
    </row>
    <row r="338" customFormat="false" ht="15" hidden="false" customHeight="true" outlineLevel="0" collapsed="false">
      <c r="A338" s="8" t="s">
        <v>407</v>
      </c>
      <c r="B338" s="8" t="s">
        <v>300</v>
      </c>
      <c r="C338" s="8" t="s">
        <v>787</v>
      </c>
      <c r="D338" s="26" t="n">
        <v>0</v>
      </c>
      <c r="E338" s="26" t="n">
        <v>0</v>
      </c>
      <c r="F338" s="26" t="n">
        <v>-21.9</v>
      </c>
      <c r="G338" s="26" t="n">
        <v>0</v>
      </c>
      <c r="H338" s="26" t="n">
        <v>0</v>
      </c>
      <c r="I338" s="26" t="n">
        <v>196</v>
      </c>
      <c r="J338" s="26" t="n">
        <v>0</v>
      </c>
      <c r="K338" s="26" t="n">
        <v>131.1</v>
      </c>
      <c r="L338" s="26" t="n">
        <v>0</v>
      </c>
      <c r="M338" s="26" t="n">
        <v>0</v>
      </c>
      <c r="N338" s="26" t="n">
        <v>0</v>
      </c>
      <c r="O338" s="26" t="n">
        <v>0</v>
      </c>
      <c r="P338" s="26" t="n">
        <v>-64.3</v>
      </c>
      <c r="Q338" s="26" t="n">
        <v>24.3</v>
      </c>
      <c r="R338" s="26" t="n">
        <v>104.8</v>
      </c>
      <c r="S338" s="26" t="n">
        <v>0</v>
      </c>
      <c r="T338" s="26" t="n">
        <v>0</v>
      </c>
      <c r="U338" s="26" t="n">
        <v>0</v>
      </c>
    </row>
    <row r="339" customFormat="false" ht="15" hidden="false" customHeight="true" outlineLevel="0" collapsed="false">
      <c r="A339" s="8" t="s">
        <v>407</v>
      </c>
      <c r="B339" s="8" t="s">
        <v>259</v>
      </c>
      <c r="C339" s="8" t="s">
        <v>788</v>
      </c>
      <c r="D339" s="26" t="n">
        <v>0</v>
      </c>
      <c r="E339" s="26" t="n">
        <v>0</v>
      </c>
      <c r="F339" s="26" t="n">
        <v>657.5</v>
      </c>
      <c r="G339" s="26" t="n">
        <v>0</v>
      </c>
      <c r="H339" s="26" t="n">
        <v>0</v>
      </c>
      <c r="I339" s="26" t="n">
        <v>344.5</v>
      </c>
      <c r="J339" s="26" t="n">
        <v>0</v>
      </c>
      <c r="K339" s="26" t="n">
        <v>0</v>
      </c>
      <c r="L339" s="26" t="n">
        <v>0</v>
      </c>
      <c r="M339" s="26" t="n">
        <v>0</v>
      </c>
      <c r="N339" s="26" t="n">
        <v>0</v>
      </c>
      <c r="O339" s="26" t="n">
        <v>0</v>
      </c>
      <c r="P339" s="26" t="n">
        <v>-48.3</v>
      </c>
      <c r="Q339" s="26" t="n">
        <v>0</v>
      </c>
      <c r="R339" s="26" t="n">
        <v>392.8</v>
      </c>
      <c r="S339" s="26" t="n">
        <v>0</v>
      </c>
      <c r="T339" s="26" t="n">
        <v>205.9</v>
      </c>
      <c r="U339" s="26" t="n">
        <v>0</v>
      </c>
    </row>
    <row r="340" customFormat="false" ht="15" hidden="false" customHeight="true" outlineLevel="0" collapsed="false">
      <c r="A340" s="8" t="s">
        <v>407</v>
      </c>
      <c r="B340" s="8" t="s">
        <v>225</v>
      </c>
      <c r="C340" s="8" t="s">
        <v>789</v>
      </c>
      <c r="D340" s="26" t="n">
        <v>0</v>
      </c>
      <c r="E340" s="26" t="n">
        <v>0</v>
      </c>
      <c r="F340" s="26" t="n">
        <v>243.3</v>
      </c>
      <c r="G340" s="26" t="n">
        <v>0</v>
      </c>
      <c r="H340" s="26" t="n">
        <v>0</v>
      </c>
      <c r="I340" s="26" t="n">
        <v>879.8</v>
      </c>
      <c r="J340" s="26" t="n">
        <v>0</v>
      </c>
      <c r="K340" s="26" t="n">
        <v>65.5</v>
      </c>
      <c r="L340" s="26" t="n">
        <v>0</v>
      </c>
      <c r="M340" s="26" t="n">
        <v>0</v>
      </c>
      <c r="N340" s="26" t="n">
        <v>0</v>
      </c>
      <c r="O340" s="26" t="n">
        <v>0</v>
      </c>
      <c r="P340" s="26" t="n">
        <v>-150.9</v>
      </c>
      <c r="Q340" s="26" t="n">
        <v>-60.8</v>
      </c>
      <c r="R340" s="26" t="n">
        <v>1026</v>
      </c>
      <c r="S340" s="26" t="n">
        <v>0</v>
      </c>
      <c r="T340" s="26" t="n">
        <v>171</v>
      </c>
      <c r="U340" s="26" t="n">
        <v>0</v>
      </c>
    </row>
    <row r="341" customFormat="false" ht="15" hidden="false" customHeight="true" outlineLevel="0" collapsed="false">
      <c r="A341" s="8" t="s">
        <v>407</v>
      </c>
      <c r="B341" s="8" t="s">
        <v>97</v>
      </c>
      <c r="C341" s="8" t="s">
        <v>790</v>
      </c>
      <c r="D341" s="26" t="n">
        <v>0</v>
      </c>
      <c r="E341" s="26" t="n">
        <v>0</v>
      </c>
      <c r="F341" s="26" t="n">
        <v>18697.4</v>
      </c>
      <c r="G341" s="26" t="n">
        <v>0</v>
      </c>
      <c r="H341" s="26" t="n">
        <v>0</v>
      </c>
      <c r="I341" s="26" t="n">
        <v>10783.3</v>
      </c>
      <c r="J341" s="26" t="n">
        <v>0</v>
      </c>
      <c r="K341" s="26" t="n">
        <v>497.4</v>
      </c>
      <c r="L341" s="26" t="n">
        <v>0</v>
      </c>
      <c r="M341" s="26" t="n">
        <v>56.1</v>
      </c>
      <c r="N341" s="26" t="n">
        <v>336.7</v>
      </c>
      <c r="O341" s="26" t="n">
        <v>364.4</v>
      </c>
      <c r="P341" s="26" t="n">
        <v>-49.7</v>
      </c>
      <c r="Q341" s="26" t="n">
        <v>0</v>
      </c>
      <c r="R341" s="26" t="n">
        <v>9578.4</v>
      </c>
      <c r="S341" s="26" t="n">
        <v>0</v>
      </c>
      <c r="T341" s="26" t="n">
        <v>3483.4</v>
      </c>
      <c r="U341" s="26" t="n">
        <v>-74.8</v>
      </c>
    </row>
    <row r="342" customFormat="false" ht="15" hidden="false" customHeight="true" outlineLevel="0" collapsed="false">
      <c r="A342" s="8" t="s">
        <v>407</v>
      </c>
      <c r="B342" s="8" t="s">
        <v>144</v>
      </c>
      <c r="C342" s="8" t="s">
        <v>791</v>
      </c>
      <c r="D342" s="26" t="n">
        <v>0</v>
      </c>
      <c r="E342" s="26" t="n">
        <v>0</v>
      </c>
      <c r="F342" s="26" t="n">
        <v>5284.9</v>
      </c>
      <c r="G342" s="26" t="n">
        <v>0</v>
      </c>
      <c r="H342" s="26" t="n">
        <v>0</v>
      </c>
      <c r="I342" s="26" t="n">
        <v>40241</v>
      </c>
      <c r="J342" s="26" t="n">
        <v>0</v>
      </c>
      <c r="K342" s="26" t="n">
        <v>112</v>
      </c>
      <c r="L342" s="26" t="n">
        <v>0</v>
      </c>
      <c r="M342" s="26" t="n">
        <v>0</v>
      </c>
      <c r="N342" s="26" t="n">
        <v>121.8</v>
      </c>
      <c r="O342" s="26" t="n">
        <v>56</v>
      </c>
      <c r="P342" s="26" t="n">
        <v>-112</v>
      </c>
      <c r="Q342" s="26" t="n">
        <v>37711.2</v>
      </c>
      <c r="R342" s="26" t="n">
        <v>2352</v>
      </c>
      <c r="S342" s="26" t="n">
        <v>0</v>
      </c>
      <c r="T342" s="26" t="n">
        <v>1823.1</v>
      </c>
      <c r="U342" s="26" t="n">
        <v>0</v>
      </c>
    </row>
    <row r="343" customFormat="false" ht="15" hidden="false" customHeight="true" outlineLevel="0" collapsed="false">
      <c r="A343" s="8" t="s">
        <v>407</v>
      </c>
      <c r="B343" s="8" t="s">
        <v>343</v>
      </c>
      <c r="C343" s="8" t="s">
        <v>792</v>
      </c>
      <c r="D343" s="26" t="n">
        <v>0</v>
      </c>
      <c r="E343" s="26" t="n">
        <v>0</v>
      </c>
      <c r="F343" s="26" t="n">
        <v>2369.5</v>
      </c>
      <c r="G343" s="26" t="n">
        <v>0</v>
      </c>
      <c r="H343" s="26" t="n">
        <v>0</v>
      </c>
      <c r="I343" s="26" t="n">
        <v>8847.9</v>
      </c>
      <c r="J343" s="26" t="n">
        <v>0</v>
      </c>
      <c r="K343" s="26" t="n">
        <v>192.1</v>
      </c>
      <c r="L343" s="26" t="n">
        <v>0</v>
      </c>
      <c r="M343" s="26" t="n">
        <v>129.1</v>
      </c>
      <c r="N343" s="26" t="n">
        <v>129.1</v>
      </c>
      <c r="O343" s="26" t="n">
        <v>0</v>
      </c>
      <c r="P343" s="26" t="n">
        <v>0</v>
      </c>
      <c r="Q343" s="26" t="n">
        <v>7064.7</v>
      </c>
      <c r="R343" s="26" t="n">
        <v>1332.9</v>
      </c>
      <c r="S343" s="26" t="n">
        <v>0</v>
      </c>
      <c r="T343" s="26" t="n">
        <v>879.9</v>
      </c>
      <c r="U343" s="26" t="n">
        <v>0</v>
      </c>
    </row>
    <row r="344" customFormat="false" ht="15" hidden="false" customHeight="true" outlineLevel="0" collapsed="false">
      <c r="A344" s="8" t="s">
        <v>407</v>
      </c>
      <c r="B344" s="8" t="s">
        <v>120</v>
      </c>
      <c r="C344" s="8" t="s">
        <v>794</v>
      </c>
      <c r="D344" s="26" t="n">
        <v>0</v>
      </c>
      <c r="E344" s="26" t="n">
        <v>0</v>
      </c>
      <c r="F344" s="26" t="n">
        <v>959.2</v>
      </c>
      <c r="G344" s="26" t="n">
        <v>0</v>
      </c>
      <c r="H344" s="26" t="n">
        <v>0</v>
      </c>
      <c r="I344" s="26" t="n">
        <v>0</v>
      </c>
      <c r="J344" s="26" t="n">
        <v>0</v>
      </c>
      <c r="K344" s="26" t="n">
        <v>0</v>
      </c>
      <c r="L344" s="26" t="n">
        <v>0</v>
      </c>
      <c r="M344" s="26" t="n">
        <v>0</v>
      </c>
      <c r="N344" s="26" t="n">
        <v>0</v>
      </c>
      <c r="O344" s="26" t="n">
        <v>0</v>
      </c>
      <c r="P344" s="26" t="n">
        <v>0</v>
      </c>
      <c r="Q344" s="26" t="n">
        <v>0</v>
      </c>
      <c r="R344" s="26" t="n">
        <v>0</v>
      </c>
      <c r="S344" s="26" t="n">
        <v>0</v>
      </c>
      <c r="T344" s="26" t="n">
        <v>0</v>
      </c>
      <c r="U344" s="26" t="n">
        <v>0</v>
      </c>
    </row>
    <row r="345" customFormat="false" ht="15" hidden="false" customHeight="true" outlineLevel="0" collapsed="false">
      <c r="A345" s="8" t="s">
        <v>407</v>
      </c>
      <c r="B345" s="8" t="s">
        <v>120</v>
      </c>
      <c r="C345" s="8" t="s">
        <v>795</v>
      </c>
      <c r="D345" s="26" t="n">
        <v>0</v>
      </c>
      <c r="E345" s="26" t="n">
        <v>0</v>
      </c>
      <c r="F345" s="26" t="n">
        <v>2852.4</v>
      </c>
      <c r="G345" s="26" t="n">
        <v>0</v>
      </c>
      <c r="H345" s="26" t="n">
        <v>0</v>
      </c>
      <c r="I345" s="26" t="n">
        <v>1165</v>
      </c>
      <c r="J345" s="26" t="n">
        <v>0</v>
      </c>
      <c r="K345" s="26" t="n">
        <v>0</v>
      </c>
      <c r="L345" s="26" t="n">
        <v>0</v>
      </c>
      <c r="M345" s="26" t="n">
        <v>0</v>
      </c>
      <c r="N345" s="26" t="n">
        <v>0</v>
      </c>
      <c r="O345" s="26" t="n">
        <v>0</v>
      </c>
      <c r="P345" s="26" t="n">
        <v>0</v>
      </c>
      <c r="Q345" s="26" t="n">
        <v>790.4</v>
      </c>
      <c r="R345" s="26" t="n">
        <v>374.6</v>
      </c>
      <c r="S345" s="26" t="n">
        <v>0</v>
      </c>
      <c r="T345" s="26" t="n">
        <v>740.1</v>
      </c>
      <c r="U345" s="26" t="n">
        <v>0</v>
      </c>
    </row>
    <row r="346" customFormat="false" ht="15" hidden="false" customHeight="true" outlineLevel="0" collapsed="false">
      <c r="A346" s="8" t="s">
        <v>407</v>
      </c>
      <c r="B346" s="8" t="s">
        <v>120</v>
      </c>
      <c r="C346" s="8" t="s">
        <v>796</v>
      </c>
      <c r="D346" s="26" t="n">
        <v>0</v>
      </c>
      <c r="E346" s="26" t="n">
        <v>0</v>
      </c>
      <c r="F346" s="26" t="n">
        <v>4518.4</v>
      </c>
      <c r="G346" s="26" t="n">
        <v>0</v>
      </c>
      <c r="H346" s="26" t="n">
        <v>0</v>
      </c>
      <c r="I346" s="26" t="n">
        <v>1349.9</v>
      </c>
      <c r="J346" s="26" t="n">
        <v>0</v>
      </c>
      <c r="K346" s="26" t="n">
        <v>0</v>
      </c>
      <c r="L346" s="26" t="n">
        <v>0</v>
      </c>
      <c r="M346" s="26" t="n">
        <v>0</v>
      </c>
      <c r="N346" s="26" t="n">
        <v>0</v>
      </c>
      <c r="O346" s="26" t="n">
        <v>0</v>
      </c>
      <c r="P346" s="26" t="n">
        <v>0</v>
      </c>
      <c r="Q346" s="26" t="n">
        <v>975.3</v>
      </c>
      <c r="R346" s="26" t="n">
        <v>374.6</v>
      </c>
      <c r="S346" s="26" t="n">
        <v>0</v>
      </c>
      <c r="T346" s="26" t="n">
        <v>1029.7</v>
      </c>
      <c r="U346" s="26" t="n">
        <v>0</v>
      </c>
    </row>
    <row r="347" customFormat="false" ht="15" hidden="false" customHeight="true" outlineLevel="0" collapsed="false">
      <c r="A347" s="8" t="s">
        <v>407</v>
      </c>
      <c r="B347" s="8" t="s">
        <v>120</v>
      </c>
      <c r="C347" s="8" t="s">
        <v>797</v>
      </c>
      <c r="D347" s="26" t="n">
        <v>0</v>
      </c>
      <c r="E347" s="26" t="n">
        <v>0</v>
      </c>
      <c r="F347" s="26" t="n">
        <v>3534.2</v>
      </c>
      <c r="G347" s="26" t="n">
        <v>0</v>
      </c>
      <c r="H347" s="26" t="n">
        <v>0</v>
      </c>
      <c r="I347" s="26" t="n">
        <v>975.3</v>
      </c>
      <c r="J347" s="26" t="n">
        <v>0</v>
      </c>
      <c r="K347" s="26" t="n">
        <v>0</v>
      </c>
      <c r="L347" s="26" t="n">
        <v>0</v>
      </c>
      <c r="M347" s="26" t="n">
        <v>0</v>
      </c>
      <c r="N347" s="26" t="n">
        <v>0</v>
      </c>
      <c r="O347" s="26" t="n">
        <v>0</v>
      </c>
      <c r="P347" s="26" t="n">
        <v>0</v>
      </c>
      <c r="Q347" s="26" t="n">
        <v>975.3</v>
      </c>
      <c r="R347" s="26" t="n">
        <v>0</v>
      </c>
      <c r="S347" s="26" t="n">
        <v>0</v>
      </c>
      <c r="T347" s="26" t="n">
        <v>257.4</v>
      </c>
      <c r="U347" s="26" t="n">
        <v>0</v>
      </c>
    </row>
    <row r="348" customFormat="false" ht="15" hidden="false" customHeight="true" outlineLevel="0" collapsed="false">
      <c r="A348" s="8" t="s">
        <v>407</v>
      </c>
      <c r="B348" s="8" t="s">
        <v>120</v>
      </c>
      <c r="C348" s="8" t="s">
        <v>798</v>
      </c>
      <c r="D348" s="26" t="n">
        <v>0</v>
      </c>
      <c r="E348" s="26" t="n">
        <v>0</v>
      </c>
      <c r="F348" s="26" t="n">
        <v>568</v>
      </c>
      <c r="G348" s="26" t="n">
        <v>0</v>
      </c>
      <c r="H348" s="26" t="n">
        <v>0</v>
      </c>
      <c r="I348" s="26" t="n">
        <v>0</v>
      </c>
      <c r="J348" s="26" t="n">
        <v>0</v>
      </c>
      <c r="K348" s="26" t="n">
        <v>0</v>
      </c>
      <c r="L348" s="26" t="n">
        <v>0</v>
      </c>
      <c r="M348" s="26" t="n">
        <v>0</v>
      </c>
      <c r="N348" s="26" t="n">
        <v>0</v>
      </c>
      <c r="O348" s="26" t="n">
        <v>0</v>
      </c>
      <c r="P348" s="26" t="n">
        <v>0</v>
      </c>
      <c r="Q348" s="26" t="n">
        <v>0</v>
      </c>
      <c r="R348" s="26" t="n">
        <v>0</v>
      </c>
      <c r="S348" s="26" t="n">
        <v>0</v>
      </c>
      <c r="T348" s="26" t="n">
        <v>0</v>
      </c>
      <c r="U348" s="26" t="n">
        <v>0</v>
      </c>
    </row>
    <row r="349" customFormat="false" ht="15" hidden="false" customHeight="true" outlineLevel="0" collapsed="false">
      <c r="A349" s="8" t="s">
        <v>407</v>
      </c>
      <c r="B349" s="8" t="s">
        <v>88</v>
      </c>
      <c r="C349" s="8" t="s">
        <v>799</v>
      </c>
      <c r="D349" s="26" t="n">
        <v>0</v>
      </c>
      <c r="E349" s="26" t="n">
        <v>0</v>
      </c>
      <c r="F349" s="26" t="n">
        <v>26307.6</v>
      </c>
      <c r="G349" s="26" t="n">
        <v>0</v>
      </c>
      <c r="H349" s="26" t="n">
        <v>0</v>
      </c>
      <c r="I349" s="26" t="n">
        <v>269878.4</v>
      </c>
      <c r="J349" s="26" t="n">
        <v>0</v>
      </c>
      <c r="K349" s="26" t="n">
        <v>873.1</v>
      </c>
      <c r="L349" s="26" t="n">
        <v>0</v>
      </c>
      <c r="M349" s="26" t="n">
        <v>0</v>
      </c>
      <c r="N349" s="26" t="n">
        <v>0</v>
      </c>
      <c r="O349" s="26" t="n">
        <v>0</v>
      </c>
      <c r="P349" s="26" t="n">
        <v>-145.5</v>
      </c>
      <c r="Q349" s="26" t="n">
        <v>245794.8</v>
      </c>
      <c r="R349" s="26" t="n">
        <v>23356</v>
      </c>
      <c r="S349" s="26" t="n">
        <v>0</v>
      </c>
      <c r="T349" s="26" t="n">
        <v>29484</v>
      </c>
      <c r="U349" s="26" t="n">
        <v>-106.2</v>
      </c>
    </row>
    <row r="350" customFormat="false" ht="15" hidden="false" customHeight="true" outlineLevel="0" collapsed="false">
      <c r="A350" s="8" t="s">
        <v>407</v>
      </c>
      <c r="B350" s="8" t="s">
        <v>185</v>
      </c>
      <c r="C350" s="8" t="s">
        <v>731</v>
      </c>
      <c r="D350" s="26" t="n">
        <v>0</v>
      </c>
      <c r="E350" s="26" t="n">
        <v>0</v>
      </c>
      <c r="F350" s="26" t="n">
        <v>12242</v>
      </c>
      <c r="G350" s="26" t="n">
        <v>0</v>
      </c>
      <c r="H350" s="26" t="n">
        <v>0</v>
      </c>
      <c r="I350" s="26" t="n">
        <v>16330.7</v>
      </c>
      <c r="J350" s="26" t="n">
        <v>0</v>
      </c>
      <c r="K350" s="26" t="n">
        <v>330.8</v>
      </c>
      <c r="L350" s="26" t="n">
        <v>0</v>
      </c>
      <c r="M350" s="26" t="n">
        <v>0</v>
      </c>
      <c r="N350" s="26" t="n">
        <v>0</v>
      </c>
      <c r="O350" s="26" t="n">
        <v>0</v>
      </c>
      <c r="P350" s="26" t="n">
        <v>-110.3</v>
      </c>
      <c r="Q350" s="26" t="n">
        <v>13023.1</v>
      </c>
      <c r="R350" s="26" t="n">
        <v>3087.1</v>
      </c>
      <c r="S350" s="26" t="n">
        <v>0</v>
      </c>
      <c r="T350" s="26" t="n">
        <v>21317.2</v>
      </c>
      <c r="U350" s="26" t="n">
        <v>0</v>
      </c>
    </row>
    <row r="351" customFormat="false" ht="15" hidden="false" customHeight="true" outlineLevel="0" collapsed="false">
      <c r="A351" s="8" t="s">
        <v>407</v>
      </c>
      <c r="B351" s="8" t="s">
        <v>79</v>
      </c>
      <c r="C351" s="8" t="s">
        <v>800</v>
      </c>
      <c r="D351" s="26" t="n">
        <v>0</v>
      </c>
      <c r="E351" s="26" t="n">
        <v>0</v>
      </c>
      <c r="F351" s="26" t="n">
        <v>-52.8</v>
      </c>
      <c r="G351" s="26" t="n">
        <v>0</v>
      </c>
      <c r="H351" s="26" t="n">
        <v>0</v>
      </c>
      <c r="I351" s="26" t="n">
        <v>-372.2</v>
      </c>
      <c r="J351" s="26" t="n">
        <v>0</v>
      </c>
      <c r="K351" s="26" t="n">
        <v>0</v>
      </c>
      <c r="L351" s="26" t="n">
        <v>0</v>
      </c>
      <c r="M351" s="26" t="n">
        <v>0</v>
      </c>
      <c r="N351" s="26" t="n">
        <v>0</v>
      </c>
      <c r="O351" s="26" t="n">
        <v>0</v>
      </c>
      <c r="P351" s="26" t="n">
        <v>-113.7</v>
      </c>
      <c r="Q351" s="26" t="n">
        <v>-258.6</v>
      </c>
      <c r="R351" s="26" t="n">
        <v>0</v>
      </c>
      <c r="S351" s="26" t="n">
        <v>0</v>
      </c>
      <c r="T351" s="26" t="n">
        <v>0</v>
      </c>
      <c r="U351" s="26" t="n">
        <v>0</v>
      </c>
    </row>
    <row r="352" customFormat="false" ht="15" hidden="false" customHeight="true" outlineLevel="0" collapsed="false">
      <c r="A352" s="8" t="s">
        <v>407</v>
      </c>
      <c r="B352" s="8" t="s">
        <v>79</v>
      </c>
      <c r="C352" s="8" t="s">
        <v>801</v>
      </c>
      <c r="D352" s="26" t="n">
        <v>0</v>
      </c>
      <c r="E352" s="26" t="n">
        <v>0</v>
      </c>
      <c r="F352" s="26" t="n">
        <v>134.9</v>
      </c>
      <c r="G352" s="26" t="n">
        <v>0</v>
      </c>
      <c r="H352" s="26" t="n">
        <v>0</v>
      </c>
      <c r="I352" s="26" t="n">
        <v>131.1</v>
      </c>
      <c r="J352" s="26" t="n">
        <v>0</v>
      </c>
      <c r="K352" s="26" t="n">
        <v>0</v>
      </c>
      <c r="L352" s="26" t="n">
        <v>0</v>
      </c>
      <c r="M352" s="26" t="n">
        <v>0</v>
      </c>
      <c r="N352" s="26" t="n">
        <v>0</v>
      </c>
      <c r="O352" s="26" t="n">
        <v>0</v>
      </c>
      <c r="P352" s="26" t="n">
        <v>-170.5</v>
      </c>
      <c r="Q352" s="26" t="n">
        <v>-153</v>
      </c>
      <c r="R352" s="26" t="n">
        <v>454.6</v>
      </c>
      <c r="S352" s="26" t="n">
        <v>0</v>
      </c>
      <c r="T352" s="26" t="n">
        <v>0</v>
      </c>
      <c r="U352" s="26" t="n">
        <v>0</v>
      </c>
    </row>
    <row r="353" customFormat="false" ht="15" hidden="false" customHeight="true" outlineLevel="0" collapsed="false">
      <c r="A353" s="8" t="s">
        <v>407</v>
      </c>
      <c r="B353" s="8" t="s">
        <v>79</v>
      </c>
      <c r="C353" s="8" t="s">
        <v>802</v>
      </c>
      <c r="D353" s="26" t="n">
        <v>0</v>
      </c>
      <c r="E353" s="26" t="n">
        <v>0</v>
      </c>
      <c r="F353" s="26" t="n">
        <v>-164.4</v>
      </c>
      <c r="G353" s="26" t="n">
        <v>0</v>
      </c>
      <c r="H353" s="26" t="n">
        <v>0</v>
      </c>
      <c r="I353" s="26" t="n">
        <v>-216.6</v>
      </c>
      <c r="J353" s="26" t="n">
        <v>0</v>
      </c>
      <c r="K353" s="26" t="n">
        <v>0</v>
      </c>
      <c r="L353" s="26" t="n">
        <v>0</v>
      </c>
      <c r="M353" s="26" t="n">
        <v>0</v>
      </c>
      <c r="N353" s="26" t="n">
        <v>0</v>
      </c>
      <c r="O353" s="26" t="n">
        <v>0</v>
      </c>
      <c r="P353" s="26" t="n">
        <v>-113.7</v>
      </c>
      <c r="Q353" s="26" t="n">
        <v>-102.9</v>
      </c>
      <c r="R353" s="26" t="n">
        <v>0</v>
      </c>
      <c r="S353" s="26" t="n">
        <v>0</v>
      </c>
      <c r="T353" s="26" t="n">
        <v>0</v>
      </c>
      <c r="U353" s="26" t="n">
        <v>0</v>
      </c>
    </row>
    <row r="354" customFormat="false" ht="15" hidden="false" customHeight="true" outlineLevel="0" collapsed="false">
      <c r="A354" s="8" t="s">
        <v>407</v>
      </c>
      <c r="B354" s="8" t="s">
        <v>337</v>
      </c>
      <c r="C354" s="8" t="s">
        <v>803</v>
      </c>
      <c r="D354" s="26" t="n">
        <v>0</v>
      </c>
      <c r="E354" s="26" t="n">
        <v>0</v>
      </c>
      <c r="F354" s="26" t="n">
        <v>392.1</v>
      </c>
      <c r="G354" s="26" t="n">
        <v>0</v>
      </c>
      <c r="H354" s="26" t="n">
        <v>0</v>
      </c>
      <c r="I354" s="26" t="n">
        <v>0</v>
      </c>
      <c r="J354" s="26" t="n">
        <v>0</v>
      </c>
      <c r="K354" s="26" t="n">
        <v>0</v>
      </c>
      <c r="L354" s="26" t="n">
        <v>0</v>
      </c>
      <c r="M354" s="26" t="n">
        <v>0</v>
      </c>
      <c r="N354" s="26" t="n">
        <v>0</v>
      </c>
      <c r="O354" s="26" t="n">
        <v>0</v>
      </c>
      <c r="P354" s="26" t="n">
        <v>0</v>
      </c>
      <c r="Q354" s="26" t="n">
        <v>0</v>
      </c>
      <c r="R354" s="26" t="n">
        <v>0</v>
      </c>
      <c r="S354" s="26" t="n">
        <v>0</v>
      </c>
      <c r="T354" s="26" t="n">
        <v>0</v>
      </c>
      <c r="U354" s="26" t="n">
        <v>0</v>
      </c>
    </row>
    <row r="355" customFormat="false" ht="15" hidden="false" customHeight="true" outlineLevel="0" collapsed="false">
      <c r="A355" s="8" t="s">
        <v>407</v>
      </c>
      <c r="B355" s="8" t="s">
        <v>353</v>
      </c>
      <c r="C355" s="8" t="s">
        <v>804</v>
      </c>
      <c r="D355" s="26" t="n">
        <v>0</v>
      </c>
      <c r="E355" s="26" t="n">
        <v>0</v>
      </c>
      <c r="F355" s="26" t="n">
        <v>554.4</v>
      </c>
      <c r="G355" s="26" t="n">
        <v>0</v>
      </c>
      <c r="H355" s="26" t="n">
        <v>0</v>
      </c>
      <c r="I355" s="26" t="n">
        <v>27286.9</v>
      </c>
      <c r="J355" s="26" t="n">
        <v>0</v>
      </c>
      <c r="K355" s="26" t="n">
        <v>198.5</v>
      </c>
      <c r="L355" s="26" t="n">
        <v>0</v>
      </c>
      <c r="M355" s="26" t="n">
        <v>0</v>
      </c>
      <c r="N355" s="26" t="n">
        <v>0</v>
      </c>
      <c r="O355" s="26" t="n">
        <v>0</v>
      </c>
      <c r="P355" s="26" t="n">
        <v>-198.5</v>
      </c>
      <c r="Q355" s="26" t="n">
        <v>24607.7</v>
      </c>
      <c r="R355" s="26" t="n">
        <v>2679.2</v>
      </c>
      <c r="S355" s="26" t="n">
        <v>0</v>
      </c>
      <c r="T355" s="26" t="n">
        <v>325</v>
      </c>
      <c r="U355" s="26" t="n">
        <v>0</v>
      </c>
    </row>
    <row r="356" customFormat="false" ht="15" hidden="false" customHeight="true" outlineLevel="0" collapsed="false">
      <c r="A356" s="8" t="s">
        <v>407</v>
      </c>
      <c r="B356" s="8" t="s">
        <v>349</v>
      </c>
      <c r="C356" s="8" t="s">
        <v>804</v>
      </c>
      <c r="D356" s="26" t="n">
        <v>0</v>
      </c>
      <c r="E356" s="26" t="n">
        <v>0</v>
      </c>
      <c r="F356" s="26" t="n">
        <v>3321.8</v>
      </c>
      <c r="G356" s="26" t="n">
        <v>0</v>
      </c>
      <c r="H356" s="26" t="n">
        <v>0</v>
      </c>
      <c r="I356" s="26" t="n">
        <v>81426.9</v>
      </c>
      <c r="J356" s="26" t="n">
        <v>0</v>
      </c>
      <c r="K356" s="26" t="n">
        <v>198.5</v>
      </c>
      <c r="L356" s="26" t="n">
        <v>0</v>
      </c>
      <c r="M356" s="26" t="n">
        <v>0</v>
      </c>
      <c r="N356" s="26" t="n">
        <v>0</v>
      </c>
      <c r="O356" s="26" t="n">
        <v>0</v>
      </c>
      <c r="P356" s="26" t="n">
        <v>-496.2</v>
      </c>
      <c r="Q356" s="26" t="n">
        <v>75572.3</v>
      </c>
      <c r="R356" s="26" t="n">
        <v>6152.3</v>
      </c>
      <c r="S356" s="26" t="n">
        <v>0</v>
      </c>
      <c r="T356" s="26" t="n">
        <v>1950</v>
      </c>
      <c r="U356" s="26" t="n">
        <v>-312.4</v>
      </c>
    </row>
    <row r="357" customFormat="false" ht="15" hidden="false" customHeight="true" outlineLevel="0" collapsed="false">
      <c r="A357" s="8" t="s">
        <v>407</v>
      </c>
      <c r="B357" s="8" t="s">
        <v>231</v>
      </c>
      <c r="C357" s="8" t="s">
        <v>804</v>
      </c>
      <c r="D357" s="26" t="n">
        <v>0</v>
      </c>
      <c r="E357" s="26" t="n">
        <v>0</v>
      </c>
      <c r="F357" s="26" t="n">
        <v>4953.8</v>
      </c>
      <c r="G357" s="26" t="n">
        <v>0</v>
      </c>
      <c r="H357" s="26" t="n">
        <v>0</v>
      </c>
      <c r="I357" s="26" t="n">
        <v>124925.3</v>
      </c>
      <c r="J357" s="26" t="n">
        <v>0</v>
      </c>
      <c r="K357" s="26" t="n">
        <v>1488.5</v>
      </c>
      <c r="L357" s="26" t="n">
        <v>0</v>
      </c>
      <c r="M357" s="26" t="n">
        <v>0</v>
      </c>
      <c r="N357" s="26" t="n">
        <v>0</v>
      </c>
      <c r="O357" s="26" t="n">
        <v>0</v>
      </c>
      <c r="P357" s="26" t="n">
        <v>-496.2</v>
      </c>
      <c r="Q357" s="26" t="n">
        <v>110437.7</v>
      </c>
      <c r="R357" s="26" t="n">
        <v>13495.3</v>
      </c>
      <c r="S357" s="26" t="n">
        <v>0</v>
      </c>
      <c r="T357" s="26" t="n">
        <v>6630</v>
      </c>
      <c r="U357" s="26" t="n">
        <v>0</v>
      </c>
    </row>
    <row r="358" customFormat="false" ht="15" hidden="false" customHeight="true" outlineLevel="0" collapsed="false">
      <c r="A358" s="8" t="s">
        <v>407</v>
      </c>
      <c r="B358" s="8" t="s">
        <v>173</v>
      </c>
      <c r="C358" s="8" t="s">
        <v>805</v>
      </c>
      <c r="D358" s="26" t="n">
        <v>0</v>
      </c>
      <c r="E358" s="26" t="n">
        <v>0</v>
      </c>
      <c r="F358" s="26" t="n">
        <v>4126.1</v>
      </c>
      <c r="G358" s="26" t="n">
        <v>0</v>
      </c>
      <c r="H358" s="26" t="n">
        <v>0</v>
      </c>
      <c r="I358" s="26" t="n">
        <v>94468</v>
      </c>
      <c r="J358" s="26" t="n">
        <v>0</v>
      </c>
      <c r="K358" s="26" t="n">
        <v>297.7</v>
      </c>
      <c r="L358" s="26" t="n">
        <v>0</v>
      </c>
      <c r="M358" s="26" t="n">
        <v>0</v>
      </c>
      <c r="N358" s="26" t="n">
        <v>0</v>
      </c>
      <c r="O358" s="26" t="n">
        <v>0</v>
      </c>
      <c r="P358" s="26" t="n">
        <v>-297.7</v>
      </c>
      <c r="Q358" s="26" t="n">
        <v>83552.7</v>
      </c>
      <c r="R358" s="26" t="n">
        <v>10915.3</v>
      </c>
      <c r="S358" s="26" t="n">
        <v>0</v>
      </c>
      <c r="T358" s="26" t="n">
        <v>3510</v>
      </c>
      <c r="U358" s="26" t="n">
        <v>-312.4</v>
      </c>
    </row>
    <row r="359" customFormat="false" ht="15" hidden="false" customHeight="true" outlineLevel="0" collapsed="false">
      <c r="A359" s="8" t="s">
        <v>407</v>
      </c>
      <c r="B359" s="8" t="s">
        <v>175</v>
      </c>
      <c r="C359" s="8" t="s">
        <v>805</v>
      </c>
      <c r="D359" s="26" t="n">
        <v>0</v>
      </c>
      <c r="E359" s="26" t="n">
        <v>0</v>
      </c>
      <c r="F359" s="26" t="n">
        <v>2494.1</v>
      </c>
      <c r="G359" s="26" t="n">
        <v>0</v>
      </c>
      <c r="H359" s="26" t="n">
        <v>0</v>
      </c>
      <c r="I359" s="26" t="n">
        <v>13459.4</v>
      </c>
      <c r="J359" s="26" t="n">
        <v>0</v>
      </c>
      <c r="K359" s="26" t="n">
        <v>297.7</v>
      </c>
      <c r="L359" s="26" t="n">
        <v>0</v>
      </c>
      <c r="M359" s="26" t="n">
        <v>0</v>
      </c>
      <c r="N359" s="26" t="n">
        <v>0</v>
      </c>
      <c r="O359" s="26" t="n">
        <v>0</v>
      </c>
      <c r="P359" s="26" t="n">
        <v>-297.7</v>
      </c>
      <c r="Q359" s="26" t="n">
        <v>8894.8</v>
      </c>
      <c r="R359" s="26" t="n">
        <v>4564.6</v>
      </c>
      <c r="S359" s="26" t="n">
        <v>0</v>
      </c>
      <c r="T359" s="26" t="n">
        <v>2535</v>
      </c>
      <c r="U359" s="26" t="n">
        <v>0</v>
      </c>
    </row>
    <row r="360" customFormat="false" ht="15" hidden="false" customHeight="true" outlineLevel="0" collapsed="false">
      <c r="A360" s="8" t="s">
        <v>407</v>
      </c>
      <c r="B360" s="8" t="s">
        <v>372</v>
      </c>
      <c r="C360" s="8" t="s">
        <v>806</v>
      </c>
      <c r="D360" s="26" t="n">
        <v>0</v>
      </c>
      <c r="E360" s="26" t="n">
        <v>0</v>
      </c>
      <c r="F360" s="26" t="n">
        <v>0</v>
      </c>
      <c r="G360" s="26" t="n">
        <v>0</v>
      </c>
      <c r="H360" s="26" t="n">
        <v>0</v>
      </c>
      <c r="I360" s="26" t="n">
        <v>25.9</v>
      </c>
      <c r="J360" s="26" t="n">
        <v>0</v>
      </c>
      <c r="K360" s="26" t="n">
        <v>0</v>
      </c>
      <c r="L360" s="26" t="n">
        <v>0</v>
      </c>
      <c r="M360" s="26" t="n">
        <v>0</v>
      </c>
      <c r="N360" s="26" t="n">
        <v>0</v>
      </c>
      <c r="O360" s="26" t="n">
        <v>0</v>
      </c>
      <c r="P360" s="26" t="n">
        <v>0</v>
      </c>
      <c r="Q360" s="26" t="n">
        <v>25.9</v>
      </c>
      <c r="R360" s="26" t="n">
        <v>0</v>
      </c>
      <c r="S360" s="26" t="n">
        <v>0</v>
      </c>
      <c r="T360" s="26" t="n">
        <v>0</v>
      </c>
      <c r="U360" s="26" t="n">
        <v>0</v>
      </c>
    </row>
    <row r="361" customFormat="false" ht="15" hidden="false" customHeight="true" outlineLevel="0" collapsed="false">
      <c r="A361" s="8" t="s">
        <v>407</v>
      </c>
      <c r="B361" s="8" t="s">
        <v>275</v>
      </c>
      <c r="C361" s="8" t="s">
        <v>807</v>
      </c>
      <c r="D361" s="26" t="n">
        <v>0</v>
      </c>
      <c r="E361" s="26" t="n">
        <v>0</v>
      </c>
      <c r="F361" s="26" t="n">
        <v>0</v>
      </c>
      <c r="G361" s="26" t="n">
        <v>0</v>
      </c>
      <c r="H361" s="26" t="n">
        <v>0</v>
      </c>
      <c r="I361" s="26" t="n">
        <v>68.2</v>
      </c>
      <c r="J361" s="26" t="n">
        <v>0</v>
      </c>
      <c r="K361" s="26" t="n">
        <v>0</v>
      </c>
      <c r="L361" s="26" t="n">
        <v>0</v>
      </c>
      <c r="M361" s="26" t="n">
        <v>0</v>
      </c>
      <c r="N361" s="26" t="n">
        <v>0</v>
      </c>
      <c r="O361" s="26" t="n">
        <v>0</v>
      </c>
      <c r="P361" s="26" t="n">
        <v>0</v>
      </c>
      <c r="Q361" s="26" t="n">
        <v>68.2</v>
      </c>
      <c r="R361" s="26" t="n">
        <v>0</v>
      </c>
      <c r="S361" s="26" t="n">
        <v>0</v>
      </c>
      <c r="T361" s="26" t="n">
        <v>0</v>
      </c>
      <c r="U361" s="26" t="n">
        <v>0</v>
      </c>
    </row>
    <row r="362" customFormat="false" ht="15" hidden="false" customHeight="true" outlineLevel="0" collapsed="false">
      <c r="A362" s="8" t="s">
        <v>407</v>
      </c>
      <c r="B362" s="8" t="s">
        <v>299</v>
      </c>
      <c r="C362" s="8" t="s">
        <v>807</v>
      </c>
      <c r="D362" s="26" t="n">
        <v>0</v>
      </c>
      <c r="E362" s="26" t="n">
        <v>0</v>
      </c>
      <c r="F362" s="26" t="n">
        <v>0</v>
      </c>
      <c r="G362" s="26" t="n">
        <v>0</v>
      </c>
      <c r="H362" s="26" t="n">
        <v>0</v>
      </c>
      <c r="I362" s="26" t="n">
        <v>203.1</v>
      </c>
      <c r="J362" s="26" t="n">
        <v>0</v>
      </c>
      <c r="K362" s="26" t="n">
        <v>0</v>
      </c>
      <c r="L362" s="26" t="n">
        <v>0</v>
      </c>
      <c r="M362" s="26" t="n">
        <v>0</v>
      </c>
      <c r="N362" s="26" t="n">
        <v>0</v>
      </c>
      <c r="O362" s="26" t="n">
        <v>0</v>
      </c>
      <c r="P362" s="26" t="n">
        <v>0</v>
      </c>
      <c r="Q362" s="26" t="n">
        <v>203.1</v>
      </c>
      <c r="R362" s="26" t="n">
        <v>0</v>
      </c>
      <c r="S362" s="26" t="n">
        <v>0</v>
      </c>
      <c r="T362" s="26" t="n">
        <v>0</v>
      </c>
      <c r="U362" s="26" t="n">
        <v>0</v>
      </c>
    </row>
    <row r="363" customFormat="false" ht="15" hidden="false" customHeight="true" outlineLevel="0" collapsed="false">
      <c r="A363" s="8" t="s">
        <v>407</v>
      </c>
      <c r="B363" s="8" t="s">
        <v>327</v>
      </c>
      <c r="C363" s="8" t="s">
        <v>807</v>
      </c>
      <c r="D363" s="26" t="n">
        <v>0</v>
      </c>
      <c r="E363" s="26" t="n">
        <v>0</v>
      </c>
      <c r="F363" s="26" t="n">
        <v>0</v>
      </c>
      <c r="G363" s="26" t="n">
        <v>0</v>
      </c>
      <c r="H363" s="26" t="n">
        <v>0</v>
      </c>
      <c r="I363" s="26" t="n">
        <v>132.3</v>
      </c>
      <c r="J363" s="26" t="n">
        <v>0</v>
      </c>
      <c r="K363" s="26" t="n">
        <v>0</v>
      </c>
      <c r="L363" s="26" t="n">
        <v>0</v>
      </c>
      <c r="M363" s="26" t="n">
        <v>0</v>
      </c>
      <c r="N363" s="26" t="n">
        <v>0</v>
      </c>
      <c r="O363" s="26" t="n">
        <v>0</v>
      </c>
      <c r="P363" s="26" t="n">
        <v>0</v>
      </c>
      <c r="Q363" s="26" t="n">
        <v>132.3</v>
      </c>
      <c r="R363" s="26" t="n">
        <v>0</v>
      </c>
      <c r="S363" s="26" t="n">
        <v>0</v>
      </c>
      <c r="T363" s="26" t="n">
        <v>0</v>
      </c>
      <c r="U363" s="26" t="n">
        <v>0</v>
      </c>
    </row>
    <row r="364" customFormat="false" ht="15" hidden="false" customHeight="true" outlineLevel="0" collapsed="false">
      <c r="A364" s="8" t="s">
        <v>407</v>
      </c>
      <c r="B364" s="8" t="s">
        <v>303</v>
      </c>
      <c r="C364" s="8" t="s">
        <v>808</v>
      </c>
      <c r="D364" s="26" t="n">
        <v>0</v>
      </c>
      <c r="E364" s="26" t="n">
        <v>0</v>
      </c>
      <c r="F364" s="26" t="n">
        <v>-92.8</v>
      </c>
      <c r="G364" s="26" t="n">
        <v>0</v>
      </c>
      <c r="H364" s="26" t="n">
        <v>0</v>
      </c>
      <c r="I364" s="26" t="n">
        <v>17</v>
      </c>
      <c r="J364" s="26" t="n">
        <v>0</v>
      </c>
      <c r="K364" s="26" t="n">
        <v>0</v>
      </c>
      <c r="L364" s="26" t="n">
        <v>0</v>
      </c>
      <c r="M364" s="26" t="n">
        <v>0</v>
      </c>
      <c r="N364" s="26" t="n">
        <v>0</v>
      </c>
      <c r="O364" s="26" t="n">
        <v>0</v>
      </c>
      <c r="P364" s="26" t="n">
        <v>0</v>
      </c>
      <c r="Q364" s="26" t="n">
        <v>17</v>
      </c>
      <c r="R364" s="26" t="n">
        <v>0</v>
      </c>
      <c r="S364" s="26" t="n">
        <v>0</v>
      </c>
      <c r="T364" s="26" t="n">
        <v>0</v>
      </c>
      <c r="U364" s="26" t="n">
        <v>0</v>
      </c>
    </row>
    <row r="365" customFormat="false" ht="15" hidden="false" customHeight="true" outlineLevel="0" collapsed="false">
      <c r="A365" s="8" t="s">
        <v>407</v>
      </c>
      <c r="B365" s="8" t="s">
        <v>240</v>
      </c>
      <c r="C365" s="8" t="s">
        <v>809</v>
      </c>
      <c r="D365" s="26" t="n">
        <v>0</v>
      </c>
      <c r="E365" s="26" t="n">
        <v>0</v>
      </c>
      <c r="F365" s="26" t="n">
        <v>639.6</v>
      </c>
      <c r="G365" s="26" t="n">
        <v>0</v>
      </c>
      <c r="H365" s="26" t="n">
        <v>0</v>
      </c>
      <c r="I365" s="26" t="n">
        <v>0</v>
      </c>
      <c r="J365" s="26" t="n">
        <v>0</v>
      </c>
      <c r="K365" s="26" t="n">
        <v>0</v>
      </c>
      <c r="L365" s="26" t="n">
        <v>0</v>
      </c>
      <c r="M365" s="26" t="n">
        <v>0</v>
      </c>
      <c r="N365" s="26" t="n">
        <v>0</v>
      </c>
      <c r="O365" s="26" t="n">
        <v>0</v>
      </c>
      <c r="P365" s="26" t="n">
        <v>0</v>
      </c>
      <c r="Q365" s="26" t="n">
        <v>0</v>
      </c>
      <c r="R365" s="26" t="n">
        <v>0</v>
      </c>
      <c r="S365" s="26" t="n">
        <v>0</v>
      </c>
      <c r="T365" s="26" t="n">
        <v>0</v>
      </c>
      <c r="U365" s="26" t="n">
        <v>0</v>
      </c>
    </row>
    <row r="366" customFormat="false" ht="15" hidden="false" customHeight="true" outlineLevel="0" collapsed="false">
      <c r="A366" s="8" t="s">
        <v>407</v>
      </c>
      <c r="B366" s="8" t="s">
        <v>324</v>
      </c>
      <c r="C366" s="8" t="s">
        <v>810</v>
      </c>
      <c r="D366" s="26" t="n">
        <v>0</v>
      </c>
      <c r="E366" s="26" t="n">
        <v>0</v>
      </c>
      <c r="F366" s="26" t="n">
        <v>0</v>
      </c>
      <c r="G366" s="26" t="n">
        <v>0</v>
      </c>
      <c r="H366" s="26" t="n">
        <v>0</v>
      </c>
      <c r="I366" s="26" t="n">
        <v>-131.1</v>
      </c>
      <c r="J366" s="26" t="n">
        <v>0</v>
      </c>
      <c r="K366" s="26" t="n">
        <v>0</v>
      </c>
      <c r="L366" s="26" t="n">
        <v>0</v>
      </c>
      <c r="M366" s="26" t="n">
        <v>0</v>
      </c>
      <c r="N366" s="26" t="n">
        <v>0</v>
      </c>
      <c r="O366" s="26" t="n">
        <v>0</v>
      </c>
      <c r="P366" s="26" t="n">
        <v>0</v>
      </c>
      <c r="Q366" s="26" t="n">
        <v>-131.1</v>
      </c>
      <c r="R366" s="26" t="n">
        <v>0</v>
      </c>
      <c r="S366" s="26" t="n">
        <v>0</v>
      </c>
      <c r="T366" s="26" t="n">
        <v>0</v>
      </c>
      <c r="U366" s="26" t="n">
        <v>0</v>
      </c>
    </row>
    <row r="367" customFormat="false" ht="15" hidden="false" customHeight="true" outlineLevel="0" collapsed="false">
      <c r="A367" s="8" t="s">
        <v>407</v>
      </c>
      <c r="B367" s="8" t="s">
        <v>278</v>
      </c>
      <c r="C367" s="8" t="s">
        <v>966</v>
      </c>
      <c r="D367" s="26" t="n">
        <v>0</v>
      </c>
      <c r="E367" s="26" t="n">
        <v>0</v>
      </c>
      <c r="F367" s="26" t="n">
        <v>-283.5</v>
      </c>
      <c r="G367" s="26" t="n">
        <v>0</v>
      </c>
      <c r="H367" s="26" t="n">
        <v>0</v>
      </c>
      <c r="I367" s="26" t="n">
        <v>0</v>
      </c>
      <c r="J367" s="26" t="n">
        <v>0</v>
      </c>
      <c r="K367" s="26" t="n">
        <v>0</v>
      </c>
      <c r="L367" s="26" t="n">
        <v>0</v>
      </c>
      <c r="M367" s="26" t="n">
        <v>0</v>
      </c>
      <c r="N367" s="26" t="n">
        <v>0</v>
      </c>
      <c r="O367" s="26" t="n">
        <v>0</v>
      </c>
      <c r="P367" s="26" t="n">
        <v>0</v>
      </c>
      <c r="Q367" s="26" t="n">
        <v>0</v>
      </c>
      <c r="R367" s="26" t="n">
        <v>0</v>
      </c>
      <c r="S367" s="26" t="n">
        <v>0</v>
      </c>
      <c r="T367" s="26" t="n">
        <v>0</v>
      </c>
      <c r="U367" s="26" t="n">
        <v>0</v>
      </c>
    </row>
    <row r="368" customFormat="false" ht="15" hidden="false" customHeight="true" outlineLevel="0" collapsed="false">
      <c r="A368" s="8" t="s">
        <v>407</v>
      </c>
      <c r="B368" s="8" t="s">
        <v>323</v>
      </c>
      <c r="C368" s="8" t="s">
        <v>809</v>
      </c>
      <c r="D368" s="26" t="n">
        <v>0</v>
      </c>
      <c r="E368" s="26" t="n">
        <v>0</v>
      </c>
      <c r="F368" s="26" t="n">
        <v>255.8</v>
      </c>
      <c r="G368" s="26" t="n">
        <v>0</v>
      </c>
      <c r="H368" s="26" t="n">
        <v>0</v>
      </c>
      <c r="I368" s="26" t="n">
        <v>0</v>
      </c>
      <c r="J368" s="26" t="n">
        <v>0</v>
      </c>
      <c r="K368" s="26" t="n">
        <v>0</v>
      </c>
      <c r="L368" s="26" t="n">
        <v>0</v>
      </c>
      <c r="M368" s="26" t="n">
        <v>0</v>
      </c>
      <c r="N368" s="26" t="n">
        <v>0</v>
      </c>
      <c r="O368" s="26" t="n">
        <v>0</v>
      </c>
      <c r="P368" s="26" t="n">
        <v>0</v>
      </c>
      <c r="Q368" s="26" t="n">
        <v>0</v>
      </c>
      <c r="R368" s="26" t="n">
        <v>0</v>
      </c>
      <c r="S368" s="26" t="n">
        <v>0</v>
      </c>
      <c r="T368" s="26" t="n">
        <v>0</v>
      </c>
      <c r="U368" s="26" t="n">
        <v>0</v>
      </c>
    </row>
    <row r="369" customFormat="false" ht="15" hidden="false" customHeight="true" outlineLevel="0" collapsed="false">
      <c r="A369" s="8" t="s">
        <v>407</v>
      </c>
      <c r="B369" s="8" t="s">
        <v>176</v>
      </c>
      <c r="C369" s="8" t="s">
        <v>811</v>
      </c>
      <c r="D369" s="26" t="n">
        <v>0</v>
      </c>
      <c r="E369" s="26" t="n">
        <v>0</v>
      </c>
      <c r="F369" s="26" t="n">
        <v>2074.7</v>
      </c>
      <c r="G369" s="26" t="n">
        <v>0</v>
      </c>
      <c r="H369" s="26" t="n">
        <v>0</v>
      </c>
      <c r="I369" s="26" t="n">
        <v>4199.8</v>
      </c>
      <c r="J369" s="26" t="n">
        <v>0</v>
      </c>
      <c r="K369" s="26" t="n">
        <v>0</v>
      </c>
      <c r="L369" s="26" t="n">
        <v>0</v>
      </c>
      <c r="M369" s="26" t="n">
        <v>0</v>
      </c>
      <c r="N369" s="26" t="n">
        <v>0</v>
      </c>
      <c r="O369" s="26" t="n">
        <v>0</v>
      </c>
      <c r="P369" s="26" t="n">
        <v>-108.9</v>
      </c>
      <c r="Q369" s="26" t="n">
        <v>3110.5</v>
      </c>
      <c r="R369" s="26" t="n">
        <v>1198.2</v>
      </c>
      <c r="S369" s="26" t="n">
        <v>0</v>
      </c>
      <c r="T369" s="26" t="n">
        <v>2411.8</v>
      </c>
      <c r="U369" s="26" t="n">
        <v>0</v>
      </c>
    </row>
    <row r="370" customFormat="false" ht="15" hidden="false" customHeight="true" outlineLevel="0" collapsed="false">
      <c r="A370" s="8" t="s">
        <v>407</v>
      </c>
      <c r="B370" s="8" t="s">
        <v>176</v>
      </c>
      <c r="C370" s="8" t="s">
        <v>812</v>
      </c>
      <c r="D370" s="26" t="n">
        <v>0</v>
      </c>
      <c r="E370" s="26" t="n">
        <v>0</v>
      </c>
      <c r="F370" s="26" t="n">
        <v>1222.9</v>
      </c>
      <c r="G370" s="26" t="n">
        <v>0</v>
      </c>
      <c r="H370" s="26" t="n">
        <v>0</v>
      </c>
      <c r="I370" s="26" t="n">
        <v>2736.8</v>
      </c>
      <c r="J370" s="26" t="n">
        <v>0</v>
      </c>
      <c r="K370" s="26" t="n">
        <v>0</v>
      </c>
      <c r="L370" s="26" t="n">
        <v>0</v>
      </c>
      <c r="M370" s="26" t="n">
        <v>0</v>
      </c>
      <c r="N370" s="26" t="n">
        <v>253</v>
      </c>
      <c r="O370" s="26" t="n">
        <v>0</v>
      </c>
      <c r="P370" s="26" t="n">
        <v>0</v>
      </c>
      <c r="Q370" s="26" t="n">
        <v>1394.5</v>
      </c>
      <c r="R370" s="26" t="n">
        <v>1089.3</v>
      </c>
      <c r="S370" s="26" t="n">
        <v>0</v>
      </c>
      <c r="T370" s="26" t="n">
        <v>1322.6</v>
      </c>
      <c r="U370" s="26" t="n">
        <v>0</v>
      </c>
    </row>
    <row r="371" customFormat="false" ht="15" hidden="false" customHeight="true" outlineLevel="0" collapsed="false">
      <c r="A371" s="8" t="s">
        <v>407</v>
      </c>
      <c r="B371" s="8" t="s">
        <v>176</v>
      </c>
      <c r="C371" s="8" t="s">
        <v>813</v>
      </c>
      <c r="D371" s="26" t="n">
        <v>0</v>
      </c>
      <c r="E371" s="26" t="n">
        <v>0</v>
      </c>
      <c r="F371" s="26" t="n">
        <v>489.2</v>
      </c>
      <c r="G371" s="26" t="n">
        <v>0</v>
      </c>
      <c r="H371" s="26" t="n">
        <v>0</v>
      </c>
      <c r="I371" s="26" t="n">
        <v>0</v>
      </c>
      <c r="J371" s="26" t="n">
        <v>0</v>
      </c>
      <c r="K371" s="26" t="n">
        <v>0</v>
      </c>
      <c r="L371" s="26" t="n">
        <v>0</v>
      </c>
      <c r="M371" s="26" t="n">
        <v>0</v>
      </c>
      <c r="N371" s="26" t="n">
        <v>0</v>
      </c>
      <c r="O371" s="26" t="n">
        <v>0</v>
      </c>
      <c r="P371" s="26" t="n">
        <v>0</v>
      </c>
      <c r="Q371" s="26" t="n">
        <v>0</v>
      </c>
      <c r="R371" s="26" t="n">
        <v>0</v>
      </c>
      <c r="S371" s="26" t="n">
        <v>0</v>
      </c>
      <c r="T371" s="26" t="n">
        <v>155.6</v>
      </c>
      <c r="U371" s="26" t="n">
        <v>0</v>
      </c>
    </row>
    <row r="372" customFormat="false" ht="15" hidden="false" customHeight="true" outlineLevel="0" collapsed="false">
      <c r="A372" s="8" t="s">
        <v>407</v>
      </c>
      <c r="B372" s="8" t="s">
        <v>297</v>
      </c>
      <c r="C372" s="8" t="s">
        <v>815</v>
      </c>
      <c r="D372" s="26" t="n">
        <v>0</v>
      </c>
      <c r="E372" s="26" t="n">
        <v>0</v>
      </c>
      <c r="F372" s="26" t="n">
        <v>111</v>
      </c>
      <c r="G372" s="26" t="n">
        <v>0</v>
      </c>
      <c r="H372" s="26" t="n">
        <v>0</v>
      </c>
      <c r="I372" s="26" t="n">
        <v>-278.9</v>
      </c>
      <c r="J372" s="26" t="n">
        <v>0</v>
      </c>
      <c r="K372" s="26" t="n">
        <v>0</v>
      </c>
      <c r="L372" s="26" t="n">
        <v>0</v>
      </c>
      <c r="M372" s="26" t="n">
        <v>0</v>
      </c>
      <c r="N372" s="26" t="n">
        <v>0</v>
      </c>
      <c r="O372" s="26" t="n">
        <v>0</v>
      </c>
      <c r="P372" s="26" t="n">
        <v>-99.2</v>
      </c>
      <c r="Q372" s="26" t="n">
        <v>-179.7</v>
      </c>
      <c r="R372" s="26" t="n">
        <v>0</v>
      </c>
      <c r="S372" s="26" t="n">
        <v>0</v>
      </c>
      <c r="T372" s="26" t="n">
        <v>0</v>
      </c>
      <c r="U372" s="26" t="n">
        <v>-148.1</v>
      </c>
    </row>
    <row r="373" customFormat="false" ht="15" hidden="false" customHeight="true" outlineLevel="0" collapsed="false">
      <c r="A373" s="8" t="s">
        <v>407</v>
      </c>
      <c r="B373" s="8" t="s">
        <v>297</v>
      </c>
      <c r="C373" s="8" t="s">
        <v>816</v>
      </c>
      <c r="D373" s="26" t="n">
        <v>0</v>
      </c>
      <c r="E373" s="26" t="n">
        <v>0</v>
      </c>
      <c r="F373" s="26" t="n">
        <v>111</v>
      </c>
      <c r="G373" s="26" t="n">
        <v>0</v>
      </c>
      <c r="H373" s="26" t="n">
        <v>0</v>
      </c>
      <c r="I373" s="26" t="n">
        <v>-1587.7</v>
      </c>
      <c r="J373" s="26" t="n">
        <v>0</v>
      </c>
      <c r="K373" s="26" t="n">
        <v>0</v>
      </c>
      <c r="L373" s="26" t="n">
        <v>0</v>
      </c>
      <c r="M373" s="26" t="n">
        <v>0</v>
      </c>
      <c r="N373" s="26" t="n">
        <v>0</v>
      </c>
      <c r="O373" s="26" t="n">
        <v>0</v>
      </c>
      <c r="P373" s="26" t="n">
        <v>-297.7</v>
      </c>
      <c r="Q373" s="26" t="n">
        <v>-1290</v>
      </c>
      <c r="R373" s="26" t="n">
        <v>0</v>
      </c>
      <c r="S373" s="26" t="n">
        <v>0</v>
      </c>
      <c r="T373" s="26" t="n">
        <v>0</v>
      </c>
      <c r="U373" s="26" t="n">
        <v>0</v>
      </c>
    </row>
    <row r="374" customFormat="false" ht="15" hidden="false" customHeight="true" outlineLevel="0" collapsed="false">
      <c r="A374" s="8" t="s">
        <v>407</v>
      </c>
      <c r="B374" s="8" t="s">
        <v>297</v>
      </c>
      <c r="C374" s="8" t="s">
        <v>817</v>
      </c>
      <c r="D374" s="26" t="n">
        <v>0</v>
      </c>
      <c r="E374" s="26" t="n">
        <v>0</v>
      </c>
      <c r="F374" s="26" t="n">
        <v>0</v>
      </c>
      <c r="G374" s="26" t="n">
        <v>0</v>
      </c>
      <c r="H374" s="26" t="n">
        <v>0</v>
      </c>
      <c r="I374" s="26" t="n">
        <v>-191.4</v>
      </c>
      <c r="J374" s="26" t="n">
        <v>0</v>
      </c>
      <c r="K374" s="26" t="n">
        <v>0</v>
      </c>
      <c r="L374" s="26" t="n">
        <v>0</v>
      </c>
      <c r="M374" s="26" t="n">
        <v>0</v>
      </c>
      <c r="N374" s="26" t="n">
        <v>0</v>
      </c>
      <c r="O374" s="26" t="n">
        <v>0</v>
      </c>
      <c r="P374" s="26" t="n">
        <v>-99.2</v>
      </c>
      <c r="Q374" s="26" t="n">
        <v>-92.1</v>
      </c>
      <c r="R374" s="26" t="n">
        <v>0</v>
      </c>
      <c r="S374" s="26" t="n">
        <v>0</v>
      </c>
      <c r="T374" s="26" t="n">
        <v>0</v>
      </c>
      <c r="U374" s="26" t="n">
        <v>0</v>
      </c>
    </row>
    <row r="375" customFormat="false" ht="15" hidden="false" customHeight="true" outlineLevel="0" collapsed="false">
      <c r="A375" s="8" t="s">
        <v>407</v>
      </c>
      <c r="B375" s="8" t="s">
        <v>383</v>
      </c>
      <c r="C375" s="8" t="s">
        <v>967</v>
      </c>
      <c r="D375" s="26" t="n">
        <v>0</v>
      </c>
      <c r="E375" s="26" t="n">
        <v>0</v>
      </c>
      <c r="F375" s="26" t="n">
        <v>0</v>
      </c>
      <c r="G375" s="26" t="n">
        <v>0</v>
      </c>
      <c r="H375" s="26" t="n">
        <v>0</v>
      </c>
      <c r="I375" s="26" t="n">
        <v>-77.8</v>
      </c>
      <c r="J375" s="26" t="n">
        <v>0</v>
      </c>
      <c r="K375" s="26" t="n">
        <v>0</v>
      </c>
      <c r="L375" s="26" t="n">
        <v>0</v>
      </c>
      <c r="M375" s="26" t="n">
        <v>0</v>
      </c>
      <c r="N375" s="26" t="n">
        <v>0</v>
      </c>
      <c r="O375" s="26" t="n">
        <v>0</v>
      </c>
      <c r="P375" s="26" t="n">
        <v>0</v>
      </c>
      <c r="Q375" s="26" t="n">
        <v>-77.8</v>
      </c>
      <c r="R375" s="26" t="n">
        <v>0</v>
      </c>
      <c r="S375" s="26" t="n">
        <v>0</v>
      </c>
      <c r="T375" s="26" t="n">
        <v>0</v>
      </c>
      <c r="U375" s="26" t="n">
        <v>0</v>
      </c>
    </row>
    <row r="376" customFormat="false" ht="15" hidden="false" customHeight="true" outlineLevel="0" collapsed="false">
      <c r="A376" s="8" t="s">
        <v>407</v>
      </c>
      <c r="B376" s="8" t="s">
        <v>172</v>
      </c>
      <c r="C376" s="8" t="s">
        <v>818</v>
      </c>
      <c r="D376" s="26" t="n">
        <v>0</v>
      </c>
      <c r="E376" s="26" t="n">
        <v>0</v>
      </c>
      <c r="F376" s="26" t="n">
        <v>520.1</v>
      </c>
      <c r="G376" s="26" t="n">
        <v>0</v>
      </c>
      <c r="H376" s="26" t="n">
        <v>0</v>
      </c>
      <c r="I376" s="26" t="n">
        <v>0</v>
      </c>
      <c r="J376" s="26" t="n">
        <v>0</v>
      </c>
      <c r="K376" s="26" t="n">
        <v>0</v>
      </c>
      <c r="L376" s="26" t="n">
        <v>0</v>
      </c>
      <c r="M376" s="26" t="n">
        <v>0</v>
      </c>
      <c r="N376" s="26" t="n">
        <v>0</v>
      </c>
      <c r="O376" s="26" t="n">
        <v>0</v>
      </c>
      <c r="P376" s="26" t="n">
        <v>0</v>
      </c>
      <c r="Q376" s="26" t="n">
        <v>0</v>
      </c>
      <c r="R376" s="26" t="n">
        <v>0</v>
      </c>
      <c r="S376" s="26" t="n">
        <v>0</v>
      </c>
      <c r="T376" s="26" t="n">
        <v>0</v>
      </c>
      <c r="U376" s="26" t="n">
        <v>0</v>
      </c>
    </row>
    <row r="377" customFormat="false" ht="15" hidden="false" customHeight="true" outlineLevel="0" collapsed="false">
      <c r="A377" s="8" t="s">
        <v>407</v>
      </c>
      <c r="B377" s="8" t="s">
        <v>354</v>
      </c>
      <c r="C377" s="8" t="s">
        <v>819</v>
      </c>
      <c r="D377" s="26" t="n">
        <v>0</v>
      </c>
      <c r="E377" s="26" t="n">
        <v>0</v>
      </c>
      <c r="F377" s="26" t="n">
        <v>84.2</v>
      </c>
      <c r="G377" s="26" t="n">
        <v>0</v>
      </c>
      <c r="H377" s="26" t="n">
        <v>0</v>
      </c>
      <c r="I377" s="26" t="n">
        <v>51.9</v>
      </c>
      <c r="J377" s="26" t="n">
        <v>0</v>
      </c>
      <c r="K377" s="26" t="n">
        <v>0</v>
      </c>
      <c r="L377" s="26" t="n">
        <v>0</v>
      </c>
      <c r="M377" s="26" t="n">
        <v>0</v>
      </c>
      <c r="N377" s="26" t="n">
        <v>51.9</v>
      </c>
      <c r="O377" s="26" t="n">
        <v>0</v>
      </c>
      <c r="P377" s="26" t="n">
        <v>0</v>
      </c>
      <c r="Q377" s="26" t="n">
        <v>0</v>
      </c>
      <c r="R377" s="26" t="n">
        <v>0</v>
      </c>
      <c r="S377" s="26" t="n">
        <v>0</v>
      </c>
      <c r="T377" s="26" t="n">
        <v>0</v>
      </c>
      <c r="U377" s="26" t="n">
        <v>0</v>
      </c>
    </row>
    <row r="378" customFormat="false" ht="15" hidden="false" customHeight="true" outlineLevel="0" collapsed="false">
      <c r="A378" s="8" t="s">
        <v>407</v>
      </c>
      <c r="B378" s="8" t="s">
        <v>248</v>
      </c>
      <c r="C378" s="8" t="s">
        <v>819</v>
      </c>
      <c r="D378" s="26" t="n">
        <v>0</v>
      </c>
      <c r="E378" s="26" t="n">
        <v>0</v>
      </c>
      <c r="F378" s="26" t="n">
        <v>966.2</v>
      </c>
      <c r="G378" s="26" t="n">
        <v>0</v>
      </c>
      <c r="H378" s="26" t="n">
        <v>0</v>
      </c>
      <c r="I378" s="26" t="n">
        <v>2910.6</v>
      </c>
      <c r="J378" s="26" t="n">
        <v>0</v>
      </c>
      <c r="K378" s="26" t="n">
        <v>169.4</v>
      </c>
      <c r="L378" s="26" t="n">
        <v>0</v>
      </c>
      <c r="M378" s="26" t="n">
        <v>0</v>
      </c>
      <c r="N378" s="26" t="n">
        <v>0</v>
      </c>
      <c r="O378" s="26" t="n">
        <v>0</v>
      </c>
      <c r="P378" s="26" t="n">
        <v>-15.4</v>
      </c>
      <c r="Q378" s="26" t="n">
        <v>0</v>
      </c>
      <c r="R378" s="26" t="n">
        <v>2756.6</v>
      </c>
      <c r="S378" s="26" t="n">
        <v>0</v>
      </c>
      <c r="T378" s="26" t="n">
        <v>0</v>
      </c>
      <c r="U378" s="26" t="n">
        <v>0</v>
      </c>
    </row>
    <row r="379" customFormat="false" ht="15" hidden="false" customHeight="true" outlineLevel="0" collapsed="false">
      <c r="A379" s="8" t="s">
        <v>407</v>
      </c>
      <c r="B379" s="8" t="s">
        <v>356</v>
      </c>
      <c r="C379" s="8" t="s">
        <v>819</v>
      </c>
      <c r="D379" s="26" t="n">
        <v>0</v>
      </c>
      <c r="E379" s="26" t="n">
        <v>0</v>
      </c>
      <c r="F379" s="26" t="n">
        <v>600.7</v>
      </c>
      <c r="G379" s="26" t="n">
        <v>0</v>
      </c>
      <c r="H379" s="26" t="n">
        <v>0</v>
      </c>
      <c r="I379" s="26" t="n">
        <v>0</v>
      </c>
      <c r="J379" s="26" t="n">
        <v>0</v>
      </c>
      <c r="K379" s="26" t="n">
        <v>0</v>
      </c>
      <c r="L379" s="26" t="n">
        <v>0</v>
      </c>
      <c r="M379" s="26" t="n">
        <v>0</v>
      </c>
      <c r="N379" s="26" t="n">
        <v>0</v>
      </c>
      <c r="O379" s="26" t="n">
        <v>0</v>
      </c>
      <c r="P379" s="26" t="n">
        <v>0</v>
      </c>
      <c r="Q379" s="26" t="n">
        <v>0</v>
      </c>
      <c r="R379" s="26" t="n">
        <v>0</v>
      </c>
      <c r="S379" s="26" t="n">
        <v>0</v>
      </c>
      <c r="T379" s="26" t="n">
        <v>0</v>
      </c>
      <c r="U379" s="26" t="n">
        <v>0</v>
      </c>
    </row>
    <row r="380" customFormat="false" ht="15" hidden="false" customHeight="true" outlineLevel="0" collapsed="false">
      <c r="A380" s="8" t="s">
        <v>407</v>
      </c>
      <c r="B380" s="8" t="s">
        <v>269</v>
      </c>
      <c r="C380" s="8" t="s">
        <v>819</v>
      </c>
      <c r="D380" s="26" t="n">
        <v>0</v>
      </c>
      <c r="E380" s="26" t="n">
        <v>0</v>
      </c>
      <c r="F380" s="26" t="n">
        <v>449.7</v>
      </c>
      <c r="G380" s="26" t="n">
        <v>0</v>
      </c>
      <c r="H380" s="26" t="n">
        <v>0</v>
      </c>
      <c r="I380" s="26" t="n">
        <v>2587.2</v>
      </c>
      <c r="J380" s="26" t="n">
        <v>0</v>
      </c>
      <c r="K380" s="26" t="n">
        <v>277.2</v>
      </c>
      <c r="L380" s="26" t="n">
        <v>0</v>
      </c>
      <c r="M380" s="26" t="n">
        <v>0</v>
      </c>
      <c r="N380" s="26" t="n">
        <v>0</v>
      </c>
      <c r="O380" s="26" t="n">
        <v>0</v>
      </c>
      <c r="P380" s="26" t="n">
        <v>0</v>
      </c>
      <c r="Q380" s="26" t="n">
        <v>0</v>
      </c>
      <c r="R380" s="26" t="n">
        <v>2310</v>
      </c>
      <c r="S380" s="26" t="n">
        <v>0</v>
      </c>
      <c r="T380" s="26" t="n">
        <v>0</v>
      </c>
      <c r="U380" s="26" t="n">
        <v>0</v>
      </c>
    </row>
    <row r="381" customFormat="false" ht="15" hidden="false" customHeight="true" outlineLevel="0" collapsed="false">
      <c r="A381" s="8" t="s">
        <v>407</v>
      </c>
      <c r="B381" s="8" t="s">
        <v>117</v>
      </c>
      <c r="C381" s="8" t="s">
        <v>820</v>
      </c>
      <c r="D381" s="26" t="n">
        <v>0</v>
      </c>
      <c r="E381" s="26" t="n">
        <v>0</v>
      </c>
      <c r="F381" s="26" t="n">
        <v>2259.1</v>
      </c>
      <c r="G381" s="26" t="n">
        <v>0</v>
      </c>
      <c r="H381" s="26" t="n">
        <v>0</v>
      </c>
      <c r="I381" s="26" t="n">
        <v>23392.6</v>
      </c>
      <c r="J381" s="26" t="n">
        <v>0</v>
      </c>
      <c r="K381" s="26" t="n">
        <v>749.4</v>
      </c>
      <c r="L381" s="26" t="n">
        <v>0</v>
      </c>
      <c r="M381" s="26" t="n">
        <v>0</v>
      </c>
      <c r="N381" s="26" t="n">
        <v>141.9</v>
      </c>
      <c r="O381" s="26" t="n">
        <v>0</v>
      </c>
      <c r="P381" s="26" t="n">
        <v>-88.2</v>
      </c>
      <c r="Q381" s="26" t="n">
        <v>15624.9</v>
      </c>
      <c r="R381" s="26" t="n">
        <v>6964.6</v>
      </c>
      <c r="S381" s="26" t="n">
        <v>0</v>
      </c>
      <c r="T381" s="26" t="n">
        <v>775</v>
      </c>
      <c r="U381" s="26" t="n">
        <v>0</v>
      </c>
    </row>
    <row r="382" customFormat="false" ht="15" hidden="false" customHeight="true" outlineLevel="0" collapsed="false">
      <c r="A382" s="8" t="s">
        <v>407</v>
      </c>
      <c r="B382" s="8" t="s">
        <v>107</v>
      </c>
      <c r="C382" s="8" t="s">
        <v>820</v>
      </c>
      <c r="D382" s="26" t="n">
        <v>0</v>
      </c>
      <c r="E382" s="26" t="n">
        <v>0</v>
      </c>
      <c r="F382" s="26" t="n">
        <v>4205</v>
      </c>
      <c r="G382" s="26" t="n">
        <v>0</v>
      </c>
      <c r="H382" s="26" t="n">
        <v>0</v>
      </c>
      <c r="I382" s="26" t="n">
        <v>28682.6</v>
      </c>
      <c r="J382" s="26" t="n">
        <v>0</v>
      </c>
      <c r="K382" s="26" t="n">
        <v>0</v>
      </c>
      <c r="L382" s="26" t="n">
        <v>0</v>
      </c>
      <c r="M382" s="26" t="n">
        <v>0</v>
      </c>
      <c r="N382" s="26" t="n">
        <v>0</v>
      </c>
      <c r="O382" s="26" t="n">
        <v>0</v>
      </c>
      <c r="P382" s="26" t="n">
        <v>0</v>
      </c>
      <c r="Q382" s="26" t="n">
        <v>28682.6</v>
      </c>
      <c r="R382" s="26" t="n">
        <v>0</v>
      </c>
      <c r="S382" s="26" t="n">
        <v>0</v>
      </c>
      <c r="T382" s="26" t="n">
        <v>875</v>
      </c>
      <c r="U382" s="26" t="n">
        <v>0</v>
      </c>
    </row>
    <row r="383" customFormat="false" ht="15" hidden="false" customHeight="true" outlineLevel="0" collapsed="false">
      <c r="A383" s="8" t="s">
        <v>407</v>
      </c>
      <c r="B383" s="8" t="s">
        <v>118</v>
      </c>
      <c r="C383" s="8" t="s">
        <v>820</v>
      </c>
      <c r="D383" s="26" t="n">
        <v>0</v>
      </c>
      <c r="E383" s="26" t="n">
        <v>0</v>
      </c>
      <c r="F383" s="26" t="n">
        <v>9297.7</v>
      </c>
      <c r="G383" s="26" t="n">
        <v>0</v>
      </c>
      <c r="H383" s="26" t="n">
        <v>0</v>
      </c>
      <c r="I383" s="26" t="n">
        <v>31161.7</v>
      </c>
      <c r="J383" s="26" t="n">
        <v>0</v>
      </c>
      <c r="K383" s="26" t="n">
        <v>0</v>
      </c>
      <c r="L383" s="26" t="n">
        <v>0</v>
      </c>
      <c r="M383" s="26" t="n">
        <v>0</v>
      </c>
      <c r="N383" s="26" t="n">
        <v>0</v>
      </c>
      <c r="O383" s="26" t="n">
        <v>0</v>
      </c>
      <c r="P383" s="26" t="n">
        <v>0</v>
      </c>
      <c r="Q383" s="26" t="n">
        <v>31161.7</v>
      </c>
      <c r="R383" s="26" t="n">
        <v>0</v>
      </c>
      <c r="S383" s="26" t="n">
        <v>0</v>
      </c>
      <c r="T383" s="26" t="n">
        <v>1425</v>
      </c>
      <c r="U383" s="26" t="n">
        <v>0</v>
      </c>
    </row>
    <row r="384" customFormat="false" ht="15" hidden="false" customHeight="true" outlineLevel="0" collapsed="false">
      <c r="A384" s="8" t="s">
        <v>407</v>
      </c>
      <c r="B384" s="8" t="s">
        <v>126</v>
      </c>
      <c r="C384" s="8" t="s">
        <v>820</v>
      </c>
      <c r="D384" s="26" t="n">
        <v>0</v>
      </c>
      <c r="E384" s="26" t="n">
        <v>0</v>
      </c>
      <c r="F384" s="26" t="n">
        <v>6434.5</v>
      </c>
      <c r="G384" s="26" t="n">
        <v>0</v>
      </c>
      <c r="H384" s="26" t="n">
        <v>0</v>
      </c>
      <c r="I384" s="26" t="n">
        <v>28209.3</v>
      </c>
      <c r="J384" s="26" t="n">
        <v>0</v>
      </c>
      <c r="K384" s="26" t="n">
        <v>0</v>
      </c>
      <c r="L384" s="26" t="n">
        <v>0</v>
      </c>
      <c r="M384" s="26" t="n">
        <v>0</v>
      </c>
      <c r="N384" s="26" t="n">
        <v>0</v>
      </c>
      <c r="O384" s="26" t="n">
        <v>0</v>
      </c>
      <c r="P384" s="26" t="n">
        <v>-44.1</v>
      </c>
      <c r="Q384" s="26" t="n">
        <v>28253.3</v>
      </c>
      <c r="R384" s="26" t="n">
        <v>0</v>
      </c>
      <c r="S384" s="26" t="n">
        <v>0</v>
      </c>
      <c r="T384" s="26" t="n">
        <v>1500</v>
      </c>
      <c r="U384" s="26" t="n">
        <v>0</v>
      </c>
    </row>
    <row r="385" customFormat="false" ht="15" hidden="false" customHeight="true" outlineLevel="0" collapsed="false">
      <c r="A385" s="8" t="s">
        <v>407</v>
      </c>
      <c r="B385" s="8" t="s">
        <v>84</v>
      </c>
      <c r="C385" s="8" t="s">
        <v>821</v>
      </c>
      <c r="D385" s="26" t="n">
        <v>0</v>
      </c>
      <c r="E385" s="26" t="n">
        <v>0</v>
      </c>
      <c r="F385" s="26" t="n">
        <v>4681</v>
      </c>
      <c r="G385" s="26" t="n">
        <v>0</v>
      </c>
      <c r="H385" s="26" t="n">
        <v>0</v>
      </c>
      <c r="I385" s="26" t="n">
        <v>22762.4</v>
      </c>
      <c r="J385" s="26" t="n">
        <v>0</v>
      </c>
      <c r="K385" s="26" t="n">
        <v>612.2</v>
      </c>
      <c r="L385" s="26" t="n">
        <v>0</v>
      </c>
      <c r="M385" s="26" t="n">
        <v>0</v>
      </c>
      <c r="N385" s="26" t="n">
        <v>0</v>
      </c>
      <c r="O385" s="26" t="n">
        <v>0</v>
      </c>
      <c r="P385" s="26" t="n">
        <v>-262.4</v>
      </c>
      <c r="Q385" s="26" t="n">
        <v>17427.9</v>
      </c>
      <c r="R385" s="26" t="n">
        <v>4984.7</v>
      </c>
      <c r="S385" s="26" t="n">
        <v>0</v>
      </c>
      <c r="T385" s="26" t="n">
        <v>2404.3</v>
      </c>
      <c r="U385" s="26" t="n">
        <v>0</v>
      </c>
    </row>
    <row r="386" customFormat="false" ht="15" hidden="false" customHeight="true" outlineLevel="0" collapsed="false">
      <c r="A386" s="8" t="s">
        <v>407</v>
      </c>
      <c r="B386" s="8" t="s">
        <v>81</v>
      </c>
      <c r="C386" s="8" t="s">
        <v>822</v>
      </c>
      <c r="D386" s="26" t="n">
        <v>0</v>
      </c>
      <c r="E386" s="26" t="n">
        <v>0</v>
      </c>
      <c r="F386" s="26" t="n">
        <v>16471.6</v>
      </c>
      <c r="G386" s="26" t="n">
        <v>0</v>
      </c>
      <c r="H386" s="26" t="n">
        <v>0</v>
      </c>
      <c r="I386" s="26" t="n">
        <v>9177.1</v>
      </c>
      <c r="J386" s="26" t="n">
        <v>0</v>
      </c>
      <c r="K386" s="26" t="n">
        <v>1837.6</v>
      </c>
      <c r="L386" s="26" t="n">
        <v>-131.3</v>
      </c>
      <c r="M386" s="26" t="n">
        <v>-142.4</v>
      </c>
      <c r="N386" s="26" t="n">
        <v>0</v>
      </c>
      <c r="O386" s="26" t="n">
        <v>525</v>
      </c>
      <c r="P386" s="26" t="n">
        <v>-1115.7</v>
      </c>
      <c r="Q386" s="26" t="n">
        <v>0</v>
      </c>
      <c r="R386" s="26" t="n">
        <v>8203.8</v>
      </c>
      <c r="S386" s="26" t="n">
        <v>0</v>
      </c>
      <c r="T386" s="26" t="n">
        <v>3636.7</v>
      </c>
      <c r="U386" s="26" t="n">
        <v>0</v>
      </c>
    </row>
    <row r="387" customFormat="false" ht="15" hidden="false" customHeight="true" outlineLevel="0" collapsed="false">
      <c r="A387" s="8" t="s">
        <v>407</v>
      </c>
      <c r="B387" s="8" t="s">
        <v>113</v>
      </c>
      <c r="C387" s="8" t="s">
        <v>823</v>
      </c>
      <c r="D387" s="26" t="n">
        <v>0</v>
      </c>
      <c r="E387" s="26" t="n">
        <v>0</v>
      </c>
      <c r="F387" s="26" t="n">
        <v>3909.4</v>
      </c>
      <c r="G387" s="26" t="n">
        <v>0</v>
      </c>
      <c r="H387" s="26" t="n">
        <v>0</v>
      </c>
      <c r="I387" s="26" t="n">
        <v>21464</v>
      </c>
      <c r="J387" s="26" t="n">
        <v>0</v>
      </c>
      <c r="K387" s="26" t="n">
        <v>305.4</v>
      </c>
      <c r="L387" s="26" t="n">
        <v>0</v>
      </c>
      <c r="M387" s="26" t="n">
        <v>0</v>
      </c>
      <c r="N387" s="26" t="n">
        <v>30.9</v>
      </c>
      <c r="O387" s="26" t="n">
        <v>0</v>
      </c>
      <c r="P387" s="26" t="n">
        <v>-666.2</v>
      </c>
      <c r="Q387" s="26" t="n">
        <v>17905.6</v>
      </c>
      <c r="R387" s="26" t="n">
        <v>3888.4</v>
      </c>
      <c r="S387" s="26" t="n">
        <v>0</v>
      </c>
      <c r="T387" s="26" t="n">
        <v>0</v>
      </c>
      <c r="U387" s="26" t="n">
        <v>-82.4</v>
      </c>
    </row>
    <row r="388" customFormat="false" ht="15" hidden="false" customHeight="true" outlineLevel="0" collapsed="false">
      <c r="A388" s="8" t="s">
        <v>407</v>
      </c>
      <c r="B388" s="8" t="s">
        <v>113</v>
      </c>
      <c r="C388" s="8" t="s">
        <v>824</v>
      </c>
      <c r="D388" s="26" t="n">
        <v>0</v>
      </c>
      <c r="E388" s="26" t="n">
        <v>0</v>
      </c>
      <c r="F388" s="26" t="n">
        <v>2796.6</v>
      </c>
      <c r="G388" s="26" t="n">
        <v>0</v>
      </c>
      <c r="H388" s="26" t="n">
        <v>0</v>
      </c>
      <c r="I388" s="26" t="n">
        <v>13924.1</v>
      </c>
      <c r="J388" s="26" t="n">
        <v>0</v>
      </c>
      <c r="K388" s="26" t="n">
        <v>55.5</v>
      </c>
      <c r="L388" s="26" t="n">
        <v>0</v>
      </c>
      <c r="M388" s="26" t="n">
        <v>0</v>
      </c>
      <c r="N388" s="26" t="n">
        <v>30.9</v>
      </c>
      <c r="O388" s="26" t="n">
        <v>0</v>
      </c>
      <c r="P388" s="26" t="n">
        <v>-55.5</v>
      </c>
      <c r="Q388" s="26" t="n">
        <v>11781.5</v>
      </c>
      <c r="R388" s="26" t="n">
        <v>2111.7</v>
      </c>
      <c r="S388" s="26" t="n">
        <v>0</v>
      </c>
      <c r="T388" s="26" t="n">
        <v>0</v>
      </c>
      <c r="U388" s="26" t="n">
        <v>-411.9</v>
      </c>
    </row>
    <row r="389" customFormat="false" ht="15" hidden="false" customHeight="true" outlineLevel="0" collapsed="false">
      <c r="A389" s="8" t="s">
        <v>407</v>
      </c>
      <c r="B389" s="8" t="s">
        <v>113</v>
      </c>
      <c r="C389" s="8" t="s">
        <v>825</v>
      </c>
      <c r="D389" s="26" t="n">
        <v>0</v>
      </c>
      <c r="E389" s="26" t="n">
        <v>0</v>
      </c>
      <c r="F389" s="26" t="n">
        <v>2387.6</v>
      </c>
      <c r="G389" s="26" t="n">
        <v>0</v>
      </c>
      <c r="H389" s="26" t="n">
        <v>0</v>
      </c>
      <c r="I389" s="26" t="n">
        <v>17563.7</v>
      </c>
      <c r="J389" s="26" t="n">
        <v>0</v>
      </c>
      <c r="K389" s="26" t="n">
        <v>138.8</v>
      </c>
      <c r="L389" s="26" t="n">
        <v>0</v>
      </c>
      <c r="M389" s="26" t="n">
        <v>0</v>
      </c>
      <c r="N389" s="26" t="n">
        <v>30.9</v>
      </c>
      <c r="O389" s="26" t="n">
        <v>0</v>
      </c>
      <c r="P389" s="26" t="n">
        <v>-111</v>
      </c>
      <c r="Q389" s="26" t="n">
        <v>15088</v>
      </c>
      <c r="R389" s="26" t="n">
        <v>2417.1</v>
      </c>
      <c r="S389" s="26" t="n">
        <v>0</v>
      </c>
      <c r="T389" s="26" t="n">
        <v>0</v>
      </c>
      <c r="U389" s="26" t="n">
        <v>0</v>
      </c>
    </row>
    <row r="390" customFormat="false" ht="15" hidden="false" customHeight="true" outlineLevel="0" collapsed="false">
      <c r="A390" s="8" t="s">
        <v>407</v>
      </c>
      <c r="B390" s="8" t="s">
        <v>113</v>
      </c>
      <c r="C390" s="8" t="s">
        <v>826</v>
      </c>
      <c r="D390" s="26" t="n">
        <v>0</v>
      </c>
      <c r="E390" s="26" t="n">
        <v>0</v>
      </c>
      <c r="F390" s="26" t="n">
        <v>1052.2</v>
      </c>
      <c r="G390" s="26" t="n">
        <v>0</v>
      </c>
      <c r="H390" s="26" t="n">
        <v>0</v>
      </c>
      <c r="I390" s="26" t="n">
        <v>7118.8</v>
      </c>
      <c r="J390" s="26" t="n">
        <v>0</v>
      </c>
      <c r="K390" s="26" t="n">
        <v>0</v>
      </c>
      <c r="L390" s="26" t="n">
        <v>0</v>
      </c>
      <c r="M390" s="26" t="n">
        <v>0</v>
      </c>
      <c r="N390" s="26" t="n">
        <v>0</v>
      </c>
      <c r="O390" s="26" t="n">
        <v>0</v>
      </c>
      <c r="P390" s="26" t="n">
        <v>-55.5</v>
      </c>
      <c r="Q390" s="26" t="n">
        <v>5925.1</v>
      </c>
      <c r="R390" s="26" t="n">
        <v>1249.2</v>
      </c>
      <c r="S390" s="26" t="n">
        <v>0</v>
      </c>
      <c r="T390" s="26" t="n">
        <v>0</v>
      </c>
      <c r="U390" s="26" t="n">
        <v>0</v>
      </c>
    </row>
    <row r="391" customFormat="false" ht="15" hidden="false" customHeight="true" outlineLevel="0" collapsed="false">
      <c r="A391" s="8" t="s">
        <v>407</v>
      </c>
      <c r="B391" s="8" t="s">
        <v>113</v>
      </c>
      <c r="C391" s="8" t="s">
        <v>827</v>
      </c>
      <c r="D391" s="26" t="n">
        <v>0</v>
      </c>
      <c r="E391" s="26" t="n">
        <v>0</v>
      </c>
      <c r="F391" s="26" t="n">
        <v>303.8</v>
      </c>
      <c r="G391" s="26" t="n">
        <v>0</v>
      </c>
      <c r="H391" s="26" t="n">
        <v>0</v>
      </c>
      <c r="I391" s="26" t="n">
        <v>1221.4</v>
      </c>
      <c r="J391" s="26" t="n">
        <v>0</v>
      </c>
      <c r="K391" s="26" t="n">
        <v>0</v>
      </c>
      <c r="L391" s="26" t="n">
        <v>0</v>
      </c>
      <c r="M391" s="26" t="n">
        <v>0</v>
      </c>
      <c r="N391" s="26" t="n">
        <v>0</v>
      </c>
      <c r="O391" s="26" t="n">
        <v>0</v>
      </c>
      <c r="P391" s="26" t="n">
        <v>-55.5</v>
      </c>
      <c r="Q391" s="26" t="n">
        <v>0</v>
      </c>
      <c r="R391" s="26" t="n">
        <v>1277</v>
      </c>
      <c r="S391" s="26" t="n">
        <v>0</v>
      </c>
      <c r="T391" s="26" t="n">
        <v>0</v>
      </c>
      <c r="U391" s="26" t="n">
        <v>0</v>
      </c>
    </row>
    <row r="392" customFormat="false" ht="15" hidden="false" customHeight="true" outlineLevel="0" collapsed="false">
      <c r="A392" s="8" t="s">
        <v>407</v>
      </c>
      <c r="B392" s="8" t="s">
        <v>113</v>
      </c>
      <c r="C392" s="8" t="s">
        <v>828</v>
      </c>
      <c r="D392" s="26" t="n">
        <v>0</v>
      </c>
      <c r="E392" s="26" t="n">
        <v>0</v>
      </c>
      <c r="F392" s="26" t="n">
        <v>203.9</v>
      </c>
      <c r="G392" s="26" t="n">
        <v>0</v>
      </c>
      <c r="H392" s="26" t="n">
        <v>0</v>
      </c>
      <c r="I392" s="26" t="n">
        <v>0</v>
      </c>
      <c r="J392" s="26" t="n">
        <v>0</v>
      </c>
      <c r="K392" s="26" t="n">
        <v>0</v>
      </c>
      <c r="L392" s="26" t="n">
        <v>0</v>
      </c>
      <c r="M392" s="26" t="n">
        <v>0</v>
      </c>
      <c r="N392" s="26" t="n">
        <v>0</v>
      </c>
      <c r="O392" s="26" t="n">
        <v>0</v>
      </c>
      <c r="P392" s="26" t="n">
        <v>0</v>
      </c>
      <c r="Q392" s="26" t="n">
        <v>0</v>
      </c>
      <c r="R392" s="26" t="n">
        <v>0</v>
      </c>
      <c r="S392" s="26" t="n">
        <v>0</v>
      </c>
      <c r="T392" s="26" t="n">
        <v>0</v>
      </c>
      <c r="U392" s="26" t="n">
        <v>0</v>
      </c>
    </row>
    <row r="393" customFormat="false" ht="15" hidden="false" customHeight="true" outlineLevel="0" collapsed="false">
      <c r="A393" s="8" t="s">
        <v>407</v>
      </c>
      <c r="B393" s="8" t="s">
        <v>127</v>
      </c>
      <c r="C393" s="8" t="s">
        <v>829</v>
      </c>
      <c r="D393" s="26" t="n">
        <v>0</v>
      </c>
      <c r="E393" s="26" t="n">
        <v>0</v>
      </c>
      <c r="F393" s="26" t="n">
        <v>6811.3</v>
      </c>
      <c r="G393" s="26" t="n">
        <v>0</v>
      </c>
      <c r="H393" s="26" t="n">
        <v>0</v>
      </c>
      <c r="I393" s="26" t="n">
        <v>51711.1</v>
      </c>
      <c r="J393" s="26" t="n">
        <v>0</v>
      </c>
      <c r="K393" s="26" t="n">
        <v>822.8</v>
      </c>
      <c r="L393" s="26" t="n">
        <v>0</v>
      </c>
      <c r="M393" s="26" t="n">
        <v>80.5</v>
      </c>
      <c r="N393" s="26" t="n">
        <v>0</v>
      </c>
      <c r="O393" s="26" t="n">
        <v>0</v>
      </c>
      <c r="P393" s="26" t="n">
        <v>-74.8</v>
      </c>
      <c r="Q393" s="26" t="n">
        <v>49012.5</v>
      </c>
      <c r="R393" s="26" t="n">
        <v>1870</v>
      </c>
      <c r="S393" s="26" t="n">
        <v>0</v>
      </c>
      <c r="T393" s="26" t="n">
        <v>2231.6</v>
      </c>
      <c r="U393" s="26" t="n">
        <v>0</v>
      </c>
    </row>
    <row r="394" customFormat="false" ht="15" hidden="false" customHeight="true" outlineLevel="0" collapsed="false">
      <c r="A394" s="8" t="s">
        <v>407</v>
      </c>
      <c r="B394" s="8" t="s">
        <v>306</v>
      </c>
      <c r="C394" s="8" t="s">
        <v>830</v>
      </c>
      <c r="D394" s="26" t="n">
        <v>0</v>
      </c>
      <c r="E394" s="26" t="n">
        <v>0</v>
      </c>
      <c r="F394" s="26" t="n">
        <v>1452.4</v>
      </c>
      <c r="G394" s="26" t="n">
        <v>0</v>
      </c>
      <c r="H394" s="26" t="n">
        <v>0</v>
      </c>
      <c r="I394" s="26" t="n">
        <v>2746</v>
      </c>
      <c r="J394" s="26" t="n">
        <v>0</v>
      </c>
      <c r="K394" s="26" t="n">
        <v>82.6</v>
      </c>
      <c r="L394" s="26" t="n">
        <v>0</v>
      </c>
      <c r="M394" s="26" t="n">
        <v>0</v>
      </c>
      <c r="N394" s="26" t="n">
        <v>91.3</v>
      </c>
      <c r="O394" s="26" t="n">
        <v>0</v>
      </c>
      <c r="P394" s="26" t="n">
        <v>0</v>
      </c>
      <c r="Q394" s="26" t="n">
        <v>1774.1</v>
      </c>
      <c r="R394" s="26" t="n">
        <v>798.1</v>
      </c>
      <c r="S394" s="26" t="n">
        <v>0</v>
      </c>
      <c r="T394" s="26" t="n">
        <v>829.8</v>
      </c>
      <c r="U394" s="26" t="n">
        <v>0</v>
      </c>
    </row>
    <row r="395" customFormat="false" ht="15" hidden="false" customHeight="true" outlineLevel="0" collapsed="false">
      <c r="A395" s="8" t="s">
        <v>407</v>
      </c>
      <c r="B395" s="8" t="s">
        <v>81</v>
      </c>
      <c r="C395" s="8" t="s">
        <v>831</v>
      </c>
      <c r="D395" s="26" t="n">
        <v>0</v>
      </c>
      <c r="E395" s="26" t="n">
        <v>0</v>
      </c>
      <c r="F395" s="26" t="n">
        <v>8126.1</v>
      </c>
      <c r="G395" s="26" t="n">
        <v>0</v>
      </c>
      <c r="H395" s="26" t="n">
        <v>0</v>
      </c>
      <c r="I395" s="26" t="n">
        <v>5110.5</v>
      </c>
      <c r="J395" s="26" t="n">
        <v>0</v>
      </c>
      <c r="K395" s="26" t="n">
        <v>328.2</v>
      </c>
      <c r="L395" s="26" t="n">
        <v>0</v>
      </c>
      <c r="M395" s="26" t="n">
        <v>-212.6</v>
      </c>
      <c r="N395" s="26" t="n">
        <v>0</v>
      </c>
      <c r="O395" s="26" t="n">
        <v>262.5</v>
      </c>
      <c r="P395" s="26" t="n">
        <v>-911.8</v>
      </c>
      <c r="Q395" s="26" t="n">
        <v>0</v>
      </c>
      <c r="R395" s="26" t="n">
        <v>5644.2</v>
      </c>
      <c r="S395" s="26" t="n">
        <v>0</v>
      </c>
      <c r="T395" s="26" t="n">
        <v>3070</v>
      </c>
      <c r="U395" s="26" t="n">
        <v>0</v>
      </c>
    </row>
    <row r="396" customFormat="false" ht="15" hidden="false" customHeight="true" outlineLevel="0" collapsed="false">
      <c r="A396" s="8" t="s">
        <v>407</v>
      </c>
      <c r="B396" s="8" t="s">
        <v>194</v>
      </c>
      <c r="C396" s="8" t="s">
        <v>832</v>
      </c>
      <c r="D396" s="26" t="n">
        <v>0</v>
      </c>
      <c r="E396" s="26" t="n">
        <v>0</v>
      </c>
      <c r="F396" s="26" t="n">
        <v>1533</v>
      </c>
      <c r="G396" s="26" t="n">
        <v>0</v>
      </c>
      <c r="H396" s="26" t="n">
        <v>0</v>
      </c>
      <c r="I396" s="26" t="n">
        <v>25822.3</v>
      </c>
      <c r="J396" s="26" t="n">
        <v>0</v>
      </c>
      <c r="K396" s="26" t="n">
        <v>0</v>
      </c>
      <c r="L396" s="26" t="n">
        <v>0</v>
      </c>
      <c r="M396" s="26" t="n">
        <v>0</v>
      </c>
      <c r="N396" s="26" t="n">
        <v>0</v>
      </c>
      <c r="O396" s="26" t="n">
        <v>0</v>
      </c>
      <c r="P396" s="26" t="n">
        <v>0</v>
      </c>
      <c r="Q396" s="26" t="n">
        <v>25822.3</v>
      </c>
      <c r="R396" s="26" t="n">
        <v>0</v>
      </c>
      <c r="S396" s="26" t="n">
        <v>0</v>
      </c>
      <c r="T396" s="26" t="n">
        <v>0</v>
      </c>
      <c r="U396" s="26" t="n">
        <v>0</v>
      </c>
    </row>
    <row r="397" customFormat="false" ht="15" hidden="false" customHeight="true" outlineLevel="0" collapsed="false">
      <c r="A397" s="8" t="s">
        <v>407</v>
      </c>
      <c r="B397" s="8" t="s">
        <v>194</v>
      </c>
      <c r="C397" s="8" t="s">
        <v>833</v>
      </c>
      <c r="D397" s="26" t="n">
        <v>0</v>
      </c>
      <c r="E397" s="26" t="n">
        <v>0</v>
      </c>
      <c r="F397" s="26" t="n">
        <v>3532.9</v>
      </c>
      <c r="G397" s="26" t="n">
        <v>0</v>
      </c>
      <c r="H397" s="26" t="n">
        <v>0</v>
      </c>
      <c r="I397" s="26" t="n">
        <v>67409.5</v>
      </c>
      <c r="J397" s="26" t="n">
        <v>0</v>
      </c>
      <c r="K397" s="26" t="n">
        <v>0</v>
      </c>
      <c r="L397" s="26" t="n">
        <v>0</v>
      </c>
      <c r="M397" s="26" t="n">
        <v>0</v>
      </c>
      <c r="N397" s="26" t="n">
        <v>0</v>
      </c>
      <c r="O397" s="26" t="n">
        <v>0</v>
      </c>
      <c r="P397" s="26" t="n">
        <v>0</v>
      </c>
      <c r="Q397" s="26" t="n">
        <v>67409.5</v>
      </c>
      <c r="R397" s="26" t="n">
        <v>0</v>
      </c>
      <c r="S397" s="26" t="n">
        <v>0</v>
      </c>
      <c r="T397" s="26" t="n">
        <v>0</v>
      </c>
      <c r="U397" s="26" t="n">
        <v>0</v>
      </c>
    </row>
    <row r="398" customFormat="false" ht="15" hidden="false" customHeight="true" outlineLevel="0" collapsed="false">
      <c r="A398" s="8" t="s">
        <v>407</v>
      </c>
      <c r="B398" s="8" t="s">
        <v>194</v>
      </c>
      <c r="C398" s="8" t="s">
        <v>834</v>
      </c>
      <c r="D398" s="26" t="n">
        <v>0</v>
      </c>
      <c r="E398" s="26" t="n">
        <v>0</v>
      </c>
      <c r="F398" s="26" t="n">
        <v>4398.4</v>
      </c>
      <c r="G398" s="26" t="n">
        <v>0</v>
      </c>
      <c r="H398" s="26" t="n">
        <v>0</v>
      </c>
      <c r="I398" s="26" t="n">
        <v>71655.7</v>
      </c>
      <c r="J398" s="26" t="n">
        <v>0</v>
      </c>
      <c r="K398" s="26" t="n">
        <v>0</v>
      </c>
      <c r="L398" s="26" t="n">
        <v>0</v>
      </c>
      <c r="M398" s="26" t="n">
        <v>0</v>
      </c>
      <c r="N398" s="26" t="n">
        <v>0</v>
      </c>
      <c r="O398" s="26" t="n">
        <v>0</v>
      </c>
      <c r="P398" s="26" t="n">
        <v>0</v>
      </c>
      <c r="Q398" s="26" t="n">
        <v>71655.7</v>
      </c>
      <c r="R398" s="26" t="n">
        <v>0</v>
      </c>
      <c r="S398" s="26" t="n">
        <v>0</v>
      </c>
      <c r="T398" s="26" t="n">
        <v>0</v>
      </c>
      <c r="U398" s="26" t="n">
        <v>0</v>
      </c>
    </row>
    <row r="399" customFormat="false" ht="15" hidden="false" customHeight="true" outlineLevel="0" collapsed="false">
      <c r="A399" s="8" t="s">
        <v>407</v>
      </c>
      <c r="B399" s="8" t="s">
        <v>194</v>
      </c>
      <c r="C399" s="8" t="s">
        <v>835</v>
      </c>
      <c r="D399" s="26" t="n">
        <v>0</v>
      </c>
      <c r="E399" s="26" t="n">
        <v>0</v>
      </c>
      <c r="F399" s="26" t="n">
        <v>3412.6</v>
      </c>
      <c r="G399" s="26" t="n">
        <v>0</v>
      </c>
      <c r="H399" s="26" t="n">
        <v>0</v>
      </c>
      <c r="I399" s="26" t="n">
        <v>52766.9</v>
      </c>
      <c r="J399" s="26" t="n">
        <v>0</v>
      </c>
      <c r="K399" s="26" t="n">
        <v>0</v>
      </c>
      <c r="L399" s="26" t="n">
        <v>0</v>
      </c>
      <c r="M399" s="26" t="n">
        <v>0</v>
      </c>
      <c r="N399" s="26" t="n">
        <v>0</v>
      </c>
      <c r="O399" s="26" t="n">
        <v>0</v>
      </c>
      <c r="P399" s="26" t="n">
        <v>0</v>
      </c>
      <c r="Q399" s="26" t="n">
        <v>52766.9</v>
      </c>
      <c r="R399" s="26" t="n">
        <v>0</v>
      </c>
      <c r="S399" s="26" t="n">
        <v>0</v>
      </c>
      <c r="T399" s="26" t="n">
        <v>0</v>
      </c>
      <c r="U399" s="26" t="n">
        <v>0</v>
      </c>
    </row>
    <row r="400" customFormat="false" ht="15" hidden="false" customHeight="true" outlineLevel="0" collapsed="false">
      <c r="A400" s="8" t="s">
        <v>407</v>
      </c>
      <c r="B400" s="8" t="s">
        <v>194</v>
      </c>
      <c r="C400" s="8" t="s">
        <v>836</v>
      </c>
      <c r="D400" s="26" t="n">
        <v>0</v>
      </c>
      <c r="E400" s="26" t="n">
        <v>0</v>
      </c>
      <c r="F400" s="26" t="n">
        <v>2035</v>
      </c>
      <c r="G400" s="26" t="n">
        <v>0</v>
      </c>
      <c r="H400" s="26" t="n">
        <v>0</v>
      </c>
      <c r="I400" s="26" t="n">
        <v>5272.3</v>
      </c>
      <c r="J400" s="26" t="n">
        <v>0</v>
      </c>
      <c r="K400" s="26" t="n">
        <v>0</v>
      </c>
      <c r="L400" s="26" t="n">
        <v>0</v>
      </c>
      <c r="M400" s="26" t="n">
        <v>0</v>
      </c>
      <c r="N400" s="26" t="n">
        <v>0</v>
      </c>
      <c r="O400" s="26" t="n">
        <v>0</v>
      </c>
      <c r="P400" s="26" t="n">
        <v>0</v>
      </c>
      <c r="Q400" s="26" t="n">
        <v>5272.3</v>
      </c>
      <c r="R400" s="26" t="n">
        <v>0</v>
      </c>
      <c r="S400" s="26" t="n">
        <v>0</v>
      </c>
      <c r="T400" s="26" t="n">
        <v>0</v>
      </c>
      <c r="U400" s="26" t="n">
        <v>0</v>
      </c>
    </row>
    <row r="401" customFormat="false" ht="15" hidden="false" customHeight="true" outlineLevel="0" collapsed="false">
      <c r="A401" s="8" t="s">
        <v>407</v>
      </c>
      <c r="B401" s="8" t="s">
        <v>78</v>
      </c>
      <c r="C401" s="8" t="s">
        <v>837</v>
      </c>
      <c r="D401" s="26" t="n">
        <v>0</v>
      </c>
      <c r="E401" s="26" t="n">
        <v>0</v>
      </c>
      <c r="F401" s="26" t="n">
        <v>36.5</v>
      </c>
      <c r="G401" s="26" t="n">
        <v>0</v>
      </c>
      <c r="H401" s="26" t="n">
        <v>0</v>
      </c>
      <c r="I401" s="26" t="n">
        <v>0</v>
      </c>
      <c r="J401" s="26" t="n">
        <v>0</v>
      </c>
      <c r="K401" s="26" t="n">
        <v>0</v>
      </c>
      <c r="L401" s="26" t="n">
        <v>0</v>
      </c>
      <c r="M401" s="26" t="n">
        <v>0</v>
      </c>
      <c r="N401" s="26" t="n">
        <v>0</v>
      </c>
      <c r="O401" s="26" t="n">
        <v>0</v>
      </c>
      <c r="P401" s="26" t="n">
        <v>0</v>
      </c>
      <c r="Q401" s="26" t="n">
        <v>0</v>
      </c>
      <c r="R401" s="26" t="n">
        <v>0</v>
      </c>
      <c r="S401" s="26" t="n">
        <v>0</v>
      </c>
      <c r="T401" s="26" t="n">
        <v>0</v>
      </c>
      <c r="U401" s="26" t="n">
        <v>0</v>
      </c>
    </row>
    <row r="402" customFormat="false" ht="15" hidden="false" customHeight="true" outlineLevel="0" collapsed="false">
      <c r="A402" s="8" t="s">
        <v>407</v>
      </c>
      <c r="B402" s="8" t="s">
        <v>310</v>
      </c>
      <c r="C402" s="8" t="s">
        <v>838</v>
      </c>
      <c r="D402" s="26" t="n">
        <v>0</v>
      </c>
      <c r="E402" s="26" t="n">
        <v>0</v>
      </c>
      <c r="F402" s="26" t="n">
        <v>0</v>
      </c>
      <c r="G402" s="26" t="n">
        <v>0</v>
      </c>
      <c r="H402" s="26" t="n">
        <v>0</v>
      </c>
      <c r="I402" s="26" t="n">
        <v>-208.4</v>
      </c>
      <c r="J402" s="26" t="n">
        <v>0</v>
      </c>
      <c r="K402" s="26" t="n">
        <v>0</v>
      </c>
      <c r="L402" s="26" t="n">
        <v>0</v>
      </c>
      <c r="M402" s="26" t="n">
        <v>0</v>
      </c>
      <c r="N402" s="26" t="n">
        <v>0</v>
      </c>
      <c r="O402" s="26" t="n">
        <v>0</v>
      </c>
      <c r="P402" s="26" t="n">
        <v>0</v>
      </c>
      <c r="Q402" s="26" t="n">
        <v>-208.4</v>
      </c>
      <c r="R402" s="26" t="n">
        <v>0</v>
      </c>
      <c r="S402" s="26" t="n">
        <v>0</v>
      </c>
      <c r="T402" s="26" t="n">
        <v>0</v>
      </c>
      <c r="U402" s="26" t="n">
        <v>0</v>
      </c>
    </row>
    <row r="403" customFormat="false" ht="15" hidden="false" customHeight="true" outlineLevel="0" collapsed="false">
      <c r="A403" s="8" t="s">
        <v>407</v>
      </c>
      <c r="B403" s="8" t="s">
        <v>217</v>
      </c>
      <c r="C403" s="8" t="s">
        <v>839</v>
      </c>
      <c r="D403" s="26" t="n">
        <v>0</v>
      </c>
      <c r="E403" s="26" t="n">
        <v>0</v>
      </c>
      <c r="F403" s="26" t="n">
        <v>4225.6</v>
      </c>
      <c r="G403" s="26" t="n">
        <v>0</v>
      </c>
      <c r="H403" s="26" t="n">
        <v>0</v>
      </c>
      <c r="I403" s="26" t="n">
        <v>28720.8</v>
      </c>
      <c r="J403" s="26" t="n">
        <v>0</v>
      </c>
      <c r="K403" s="26" t="n">
        <v>154</v>
      </c>
      <c r="L403" s="26" t="n">
        <v>0</v>
      </c>
      <c r="M403" s="26" t="n">
        <v>40.2</v>
      </c>
      <c r="N403" s="26" t="n">
        <v>80.4</v>
      </c>
      <c r="O403" s="26" t="n">
        <v>0</v>
      </c>
      <c r="P403" s="26" t="n">
        <v>-46.2</v>
      </c>
      <c r="Q403" s="26" t="n">
        <v>22856</v>
      </c>
      <c r="R403" s="26" t="n">
        <v>5636.4</v>
      </c>
      <c r="S403" s="26" t="n">
        <v>0</v>
      </c>
      <c r="T403" s="26" t="n">
        <v>0</v>
      </c>
      <c r="U403" s="26" t="n">
        <v>0</v>
      </c>
    </row>
    <row r="404" customFormat="false" ht="15" hidden="false" customHeight="true" outlineLevel="0" collapsed="false">
      <c r="A404" s="8" t="s">
        <v>407</v>
      </c>
      <c r="B404" s="8" t="s">
        <v>250</v>
      </c>
      <c r="C404" s="8" t="s">
        <v>839</v>
      </c>
      <c r="D404" s="26" t="n">
        <v>0</v>
      </c>
      <c r="E404" s="26" t="n">
        <v>0</v>
      </c>
      <c r="F404" s="26" t="n">
        <v>6831.3</v>
      </c>
      <c r="G404" s="26" t="n">
        <v>0</v>
      </c>
      <c r="H404" s="26" t="n">
        <v>0</v>
      </c>
      <c r="I404" s="26" t="n">
        <v>35836</v>
      </c>
      <c r="J404" s="26" t="n">
        <v>0</v>
      </c>
      <c r="K404" s="26" t="n">
        <v>462</v>
      </c>
      <c r="L404" s="26" t="n">
        <v>0</v>
      </c>
      <c r="M404" s="26" t="n">
        <v>0</v>
      </c>
      <c r="N404" s="26" t="n">
        <v>80.4</v>
      </c>
      <c r="O404" s="26" t="n">
        <v>0</v>
      </c>
      <c r="P404" s="26" t="n">
        <v>-77</v>
      </c>
      <c r="Q404" s="26" t="n">
        <v>27547.4</v>
      </c>
      <c r="R404" s="26" t="n">
        <v>7823.2</v>
      </c>
      <c r="S404" s="26" t="n">
        <v>0</v>
      </c>
      <c r="T404" s="26" t="n">
        <v>0</v>
      </c>
      <c r="U404" s="26" t="n">
        <v>0</v>
      </c>
    </row>
    <row r="405" customFormat="false" ht="15" hidden="false" customHeight="true" outlineLevel="0" collapsed="false">
      <c r="A405" s="8" t="s">
        <v>407</v>
      </c>
      <c r="B405" s="8" t="s">
        <v>193</v>
      </c>
      <c r="C405" s="8" t="s">
        <v>839</v>
      </c>
      <c r="D405" s="26" t="n">
        <v>0</v>
      </c>
      <c r="E405" s="26" t="n">
        <v>0</v>
      </c>
      <c r="F405" s="26" t="n">
        <v>5748.3</v>
      </c>
      <c r="G405" s="26" t="n">
        <v>0</v>
      </c>
      <c r="H405" s="26" t="n">
        <v>0</v>
      </c>
      <c r="I405" s="26" t="n">
        <v>32850.6</v>
      </c>
      <c r="J405" s="26" t="n">
        <v>0</v>
      </c>
      <c r="K405" s="26" t="n">
        <v>477.4</v>
      </c>
      <c r="L405" s="26" t="n">
        <v>0</v>
      </c>
      <c r="M405" s="26" t="n">
        <v>80.4</v>
      </c>
      <c r="N405" s="26" t="n">
        <v>80.4</v>
      </c>
      <c r="O405" s="26" t="n">
        <v>0</v>
      </c>
      <c r="P405" s="26" t="n">
        <v>-46.2</v>
      </c>
      <c r="Q405" s="26" t="n">
        <v>25451.8</v>
      </c>
      <c r="R405" s="26" t="n">
        <v>6806.8</v>
      </c>
      <c r="S405" s="26" t="n">
        <v>0</v>
      </c>
      <c r="T405" s="26" t="n">
        <v>0</v>
      </c>
      <c r="U405" s="26" t="n">
        <v>0</v>
      </c>
    </row>
    <row r="406" customFormat="false" ht="15" hidden="false" customHeight="true" outlineLevel="0" collapsed="false">
      <c r="A406" s="8" t="s">
        <v>407</v>
      </c>
      <c r="B406" s="8" t="s">
        <v>199</v>
      </c>
      <c r="C406" s="8" t="s">
        <v>839</v>
      </c>
      <c r="D406" s="26" t="n">
        <v>0</v>
      </c>
      <c r="E406" s="26" t="n">
        <v>0</v>
      </c>
      <c r="F406" s="26" t="n">
        <v>2965.8</v>
      </c>
      <c r="G406" s="26" t="n">
        <v>0</v>
      </c>
      <c r="H406" s="26" t="n">
        <v>0</v>
      </c>
      <c r="I406" s="26" t="n">
        <v>18693.6</v>
      </c>
      <c r="J406" s="26" t="n">
        <v>0</v>
      </c>
      <c r="K406" s="26" t="n">
        <v>92.4</v>
      </c>
      <c r="L406" s="26" t="n">
        <v>0</v>
      </c>
      <c r="M406" s="26" t="n">
        <v>0</v>
      </c>
      <c r="N406" s="26" t="n">
        <v>80.4</v>
      </c>
      <c r="O406" s="26" t="n">
        <v>0</v>
      </c>
      <c r="P406" s="26" t="n">
        <v>-77</v>
      </c>
      <c r="Q406" s="26" t="n">
        <v>15302.1</v>
      </c>
      <c r="R406" s="26" t="n">
        <v>3295.6</v>
      </c>
      <c r="S406" s="26" t="n">
        <v>0</v>
      </c>
      <c r="T406" s="26" t="n">
        <v>0</v>
      </c>
      <c r="U406" s="26" t="n">
        <v>0</v>
      </c>
    </row>
    <row r="407" customFormat="false" ht="15" hidden="false" customHeight="true" outlineLevel="0" collapsed="false">
      <c r="A407" s="8" t="s">
        <v>407</v>
      </c>
      <c r="B407" s="8" t="s">
        <v>134</v>
      </c>
      <c r="C407" s="8" t="s">
        <v>840</v>
      </c>
      <c r="D407" s="26" t="n">
        <v>0</v>
      </c>
      <c r="E407" s="26" t="n">
        <v>0</v>
      </c>
      <c r="F407" s="26" t="n">
        <v>2367.8</v>
      </c>
      <c r="G407" s="26" t="n">
        <v>0</v>
      </c>
      <c r="H407" s="26" t="n">
        <v>0</v>
      </c>
      <c r="I407" s="26" t="n">
        <v>13.3</v>
      </c>
      <c r="J407" s="26" t="n">
        <v>0</v>
      </c>
      <c r="K407" s="26" t="n">
        <v>0</v>
      </c>
      <c r="L407" s="26" t="n">
        <v>0</v>
      </c>
      <c r="M407" s="26" t="n">
        <v>0</v>
      </c>
      <c r="N407" s="26" t="n">
        <v>71.6</v>
      </c>
      <c r="O407" s="26" t="n">
        <v>0</v>
      </c>
      <c r="P407" s="26" t="n">
        <v>0</v>
      </c>
      <c r="Q407" s="26" t="n">
        <v>-58.3</v>
      </c>
      <c r="R407" s="26" t="n">
        <v>0</v>
      </c>
      <c r="S407" s="26" t="n">
        <v>0</v>
      </c>
      <c r="T407" s="26" t="n">
        <v>0</v>
      </c>
      <c r="U407" s="26" t="n">
        <v>0</v>
      </c>
    </row>
    <row r="408" customFormat="false" ht="15" hidden="false" customHeight="true" outlineLevel="0" collapsed="false">
      <c r="A408" s="8" t="s">
        <v>407</v>
      </c>
      <c r="B408" s="8" t="s">
        <v>246</v>
      </c>
      <c r="C408" s="8" t="s">
        <v>841</v>
      </c>
      <c r="D408" s="26" t="n">
        <v>0</v>
      </c>
      <c r="E408" s="26" t="n">
        <v>0</v>
      </c>
      <c r="F408" s="26" t="n">
        <v>112.5</v>
      </c>
      <c r="G408" s="26" t="n">
        <v>0</v>
      </c>
      <c r="H408" s="26" t="n">
        <v>0</v>
      </c>
      <c r="I408" s="26" t="n">
        <v>574.5</v>
      </c>
      <c r="J408" s="26" t="n">
        <v>0</v>
      </c>
      <c r="K408" s="26" t="n">
        <v>0</v>
      </c>
      <c r="L408" s="26" t="n">
        <v>0</v>
      </c>
      <c r="M408" s="26" t="n">
        <v>0</v>
      </c>
      <c r="N408" s="26" t="n">
        <v>0</v>
      </c>
      <c r="O408" s="26" t="n">
        <v>0</v>
      </c>
      <c r="P408" s="26" t="n">
        <v>0</v>
      </c>
      <c r="Q408" s="26" t="n">
        <v>574.5</v>
      </c>
      <c r="R408" s="26" t="n">
        <v>0</v>
      </c>
      <c r="S408" s="26" t="n">
        <v>0</v>
      </c>
      <c r="T408" s="26" t="n">
        <v>0</v>
      </c>
      <c r="U408" s="26" t="n">
        <v>0</v>
      </c>
    </row>
    <row r="409" customFormat="false" ht="15" hidden="false" customHeight="true" outlineLevel="0" collapsed="false">
      <c r="A409" s="8" t="s">
        <v>407</v>
      </c>
      <c r="B409" s="8" t="s">
        <v>336</v>
      </c>
      <c r="C409" s="8" t="s">
        <v>842</v>
      </c>
      <c r="D409" s="26" t="n">
        <v>0</v>
      </c>
      <c r="E409" s="26" t="n">
        <v>0</v>
      </c>
      <c r="F409" s="26" t="n">
        <v>35.1</v>
      </c>
      <c r="G409" s="26" t="n">
        <v>0</v>
      </c>
      <c r="H409" s="26" t="n">
        <v>0</v>
      </c>
      <c r="I409" s="26" t="n">
        <v>0</v>
      </c>
      <c r="J409" s="26" t="n">
        <v>0</v>
      </c>
      <c r="K409" s="26" t="n">
        <v>0</v>
      </c>
      <c r="L409" s="26" t="n">
        <v>0</v>
      </c>
      <c r="M409" s="26" t="n">
        <v>0</v>
      </c>
      <c r="N409" s="26" t="n">
        <v>0</v>
      </c>
      <c r="O409" s="26" t="n">
        <v>0</v>
      </c>
      <c r="P409" s="26" t="n">
        <v>0</v>
      </c>
      <c r="Q409" s="26" t="n">
        <v>0</v>
      </c>
      <c r="R409" s="26" t="n">
        <v>0</v>
      </c>
      <c r="S409" s="26" t="n">
        <v>0</v>
      </c>
      <c r="T409" s="26" t="n">
        <v>0</v>
      </c>
      <c r="U409" s="26" t="n">
        <v>0</v>
      </c>
    </row>
    <row r="410" customFormat="false" ht="15" hidden="false" customHeight="true" outlineLevel="0" collapsed="false">
      <c r="A410" s="8" t="s">
        <v>407</v>
      </c>
      <c r="B410" s="8" t="s">
        <v>359</v>
      </c>
      <c r="C410" s="8" t="s">
        <v>842</v>
      </c>
      <c r="D410" s="26" t="n">
        <v>0</v>
      </c>
      <c r="E410" s="26" t="n">
        <v>0</v>
      </c>
      <c r="F410" s="26" t="n">
        <v>35.1</v>
      </c>
      <c r="G410" s="26" t="n">
        <v>0</v>
      </c>
      <c r="H410" s="26" t="n">
        <v>0</v>
      </c>
      <c r="I410" s="26" t="n">
        <v>0</v>
      </c>
      <c r="J410" s="26" t="n">
        <v>0</v>
      </c>
      <c r="K410" s="26" t="n">
        <v>0</v>
      </c>
      <c r="L410" s="26" t="n">
        <v>0</v>
      </c>
      <c r="M410" s="26" t="n">
        <v>0</v>
      </c>
      <c r="N410" s="26" t="n">
        <v>0</v>
      </c>
      <c r="O410" s="26" t="n">
        <v>0</v>
      </c>
      <c r="P410" s="26" t="n">
        <v>0</v>
      </c>
      <c r="Q410" s="26" t="n">
        <v>0</v>
      </c>
      <c r="R410" s="26" t="n">
        <v>0</v>
      </c>
      <c r="S410" s="26" t="n">
        <v>0</v>
      </c>
      <c r="T410" s="26" t="n">
        <v>0</v>
      </c>
      <c r="U410" s="26" t="n">
        <v>0</v>
      </c>
    </row>
    <row r="411" customFormat="false" ht="15" hidden="false" customHeight="true" outlineLevel="0" collapsed="false">
      <c r="A411" s="8" t="s">
        <v>407</v>
      </c>
      <c r="B411" s="8" t="s">
        <v>326</v>
      </c>
      <c r="C411" s="8" t="s">
        <v>842</v>
      </c>
      <c r="D411" s="26" t="n">
        <v>0</v>
      </c>
      <c r="E411" s="26" t="n">
        <v>0</v>
      </c>
      <c r="F411" s="26" t="n">
        <v>105.3</v>
      </c>
      <c r="G411" s="26" t="n">
        <v>0</v>
      </c>
      <c r="H411" s="26" t="n">
        <v>0</v>
      </c>
      <c r="I411" s="26" t="n">
        <v>0</v>
      </c>
      <c r="J411" s="26" t="n">
        <v>0</v>
      </c>
      <c r="K411" s="26" t="n">
        <v>0</v>
      </c>
      <c r="L411" s="26" t="n">
        <v>0</v>
      </c>
      <c r="M411" s="26" t="n">
        <v>0</v>
      </c>
      <c r="N411" s="26" t="n">
        <v>0</v>
      </c>
      <c r="O411" s="26" t="n">
        <v>0</v>
      </c>
      <c r="P411" s="26" t="n">
        <v>0</v>
      </c>
      <c r="Q411" s="26" t="n">
        <v>0</v>
      </c>
      <c r="R411" s="26" t="n">
        <v>0</v>
      </c>
      <c r="S411" s="26" t="n">
        <v>0</v>
      </c>
      <c r="T411" s="26" t="n">
        <v>0</v>
      </c>
      <c r="U411" s="26" t="n">
        <v>0</v>
      </c>
    </row>
    <row r="412" customFormat="false" ht="15" hidden="false" customHeight="true" outlineLevel="0" collapsed="false">
      <c r="A412" s="8" t="s">
        <v>407</v>
      </c>
      <c r="B412" s="8" t="s">
        <v>328</v>
      </c>
      <c r="C412" s="8" t="s">
        <v>842</v>
      </c>
      <c r="D412" s="26" t="n">
        <v>0</v>
      </c>
      <c r="E412" s="26" t="n">
        <v>0</v>
      </c>
      <c r="F412" s="26" t="n">
        <v>35.1</v>
      </c>
      <c r="G412" s="26" t="n">
        <v>0</v>
      </c>
      <c r="H412" s="26" t="n">
        <v>0</v>
      </c>
      <c r="I412" s="26" t="n">
        <v>0</v>
      </c>
      <c r="J412" s="26" t="n">
        <v>0</v>
      </c>
      <c r="K412" s="26" t="n">
        <v>0</v>
      </c>
      <c r="L412" s="26" t="n">
        <v>0</v>
      </c>
      <c r="M412" s="26" t="n">
        <v>0</v>
      </c>
      <c r="N412" s="26" t="n">
        <v>0</v>
      </c>
      <c r="O412" s="26" t="n">
        <v>0</v>
      </c>
      <c r="P412" s="26" t="n">
        <v>0</v>
      </c>
      <c r="Q412" s="26" t="n">
        <v>0</v>
      </c>
      <c r="R412" s="26" t="n">
        <v>0</v>
      </c>
      <c r="S412" s="26" t="n">
        <v>0</v>
      </c>
      <c r="T412" s="26" t="n">
        <v>0</v>
      </c>
      <c r="U412" s="26" t="n">
        <v>0</v>
      </c>
    </row>
    <row r="413" customFormat="false" ht="15" hidden="false" customHeight="true" outlineLevel="0" collapsed="false">
      <c r="A413" s="8" t="s">
        <v>407</v>
      </c>
      <c r="B413" s="8" t="s">
        <v>186</v>
      </c>
      <c r="C413" s="8" t="s">
        <v>843</v>
      </c>
      <c r="D413" s="26" t="n">
        <v>0</v>
      </c>
      <c r="E413" s="26" t="n">
        <v>0</v>
      </c>
      <c r="F413" s="26" t="n">
        <v>2765</v>
      </c>
      <c r="G413" s="26" t="n">
        <v>0</v>
      </c>
      <c r="H413" s="26" t="n">
        <v>0</v>
      </c>
      <c r="I413" s="26" t="n">
        <v>19986</v>
      </c>
      <c r="J413" s="26" t="n">
        <v>0</v>
      </c>
      <c r="K413" s="26" t="n">
        <v>342.3</v>
      </c>
      <c r="L413" s="26" t="n">
        <v>0</v>
      </c>
      <c r="M413" s="26" t="n">
        <v>0</v>
      </c>
      <c r="N413" s="26" t="n">
        <v>0</v>
      </c>
      <c r="O413" s="26" t="n">
        <v>0</v>
      </c>
      <c r="P413" s="26" t="n">
        <v>-243.2</v>
      </c>
      <c r="Q413" s="26" t="n">
        <v>19108.9</v>
      </c>
      <c r="R413" s="26" t="n">
        <v>778</v>
      </c>
      <c r="S413" s="26" t="n">
        <v>0</v>
      </c>
      <c r="T413" s="26" t="n">
        <v>0</v>
      </c>
      <c r="U413" s="26" t="n">
        <v>0</v>
      </c>
    </row>
    <row r="414" customFormat="false" ht="15" hidden="false" customHeight="true" outlineLevel="0" collapsed="false">
      <c r="A414" s="8" t="s">
        <v>407</v>
      </c>
      <c r="B414" s="8" t="s">
        <v>129</v>
      </c>
      <c r="C414" s="8" t="s">
        <v>844</v>
      </c>
      <c r="D414" s="26" t="n">
        <v>0</v>
      </c>
      <c r="E414" s="26" t="n">
        <v>0</v>
      </c>
      <c r="F414" s="26" t="n">
        <v>9467.1</v>
      </c>
      <c r="G414" s="26" t="n">
        <v>0</v>
      </c>
      <c r="H414" s="26" t="n">
        <v>0</v>
      </c>
      <c r="I414" s="26" t="n">
        <v>15123.4</v>
      </c>
      <c r="J414" s="26" t="n">
        <v>0</v>
      </c>
      <c r="K414" s="26" t="n">
        <v>263.5</v>
      </c>
      <c r="L414" s="26" t="n">
        <v>0</v>
      </c>
      <c r="M414" s="26" t="n">
        <v>0</v>
      </c>
      <c r="N414" s="26" t="n">
        <v>0</v>
      </c>
      <c r="O414" s="26" t="n">
        <v>0</v>
      </c>
      <c r="P414" s="26" t="n">
        <v>0</v>
      </c>
      <c r="Q414" s="26" t="n">
        <v>12016.1</v>
      </c>
      <c r="R414" s="26" t="n">
        <v>2843.8</v>
      </c>
      <c r="S414" s="26" t="n">
        <v>0</v>
      </c>
      <c r="T414" s="26" t="n">
        <v>0</v>
      </c>
      <c r="U414" s="26" t="n">
        <v>0</v>
      </c>
    </row>
    <row r="415" customFormat="false" ht="15" hidden="false" customHeight="true" outlineLevel="0" collapsed="false">
      <c r="A415" s="8" t="s">
        <v>407</v>
      </c>
      <c r="B415" s="8" t="s">
        <v>145</v>
      </c>
      <c r="C415" s="8" t="s">
        <v>844</v>
      </c>
      <c r="D415" s="26" t="n">
        <v>0</v>
      </c>
      <c r="E415" s="26" t="n">
        <v>0</v>
      </c>
      <c r="F415" s="26" t="n">
        <v>5672.9</v>
      </c>
      <c r="G415" s="26" t="n">
        <v>0</v>
      </c>
      <c r="H415" s="26" t="n">
        <v>0</v>
      </c>
      <c r="I415" s="26" t="n">
        <v>24034.3</v>
      </c>
      <c r="J415" s="26" t="n">
        <v>0</v>
      </c>
      <c r="K415" s="26" t="n">
        <v>373.3</v>
      </c>
      <c r="L415" s="26" t="n">
        <v>0</v>
      </c>
      <c r="M415" s="26" t="n">
        <v>0</v>
      </c>
      <c r="N415" s="26" t="n">
        <v>0</v>
      </c>
      <c r="O415" s="26" t="n">
        <v>58.8</v>
      </c>
      <c r="P415" s="26" t="n">
        <v>-65.9</v>
      </c>
      <c r="Q415" s="26" t="n">
        <v>18650.2</v>
      </c>
      <c r="R415" s="26" t="n">
        <v>5017.9</v>
      </c>
      <c r="S415" s="26" t="n">
        <v>0</v>
      </c>
      <c r="T415" s="26" t="n">
        <v>0</v>
      </c>
      <c r="U415" s="26" t="n">
        <v>0</v>
      </c>
    </row>
    <row r="416" customFormat="false" ht="15" hidden="false" customHeight="true" outlineLevel="0" collapsed="false">
      <c r="A416" s="8" t="s">
        <v>407</v>
      </c>
      <c r="B416" s="8" t="s">
        <v>157</v>
      </c>
      <c r="C416" s="8" t="s">
        <v>844</v>
      </c>
      <c r="D416" s="26" t="n">
        <v>0</v>
      </c>
      <c r="E416" s="26" t="n">
        <v>0</v>
      </c>
      <c r="F416" s="26" t="n">
        <v>2001.6</v>
      </c>
      <c r="G416" s="26" t="n">
        <v>0</v>
      </c>
      <c r="H416" s="26" t="n">
        <v>0</v>
      </c>
      <c r="I416" s="26" t="n">
        <v>9939.5</v>
      </c>
      <c r="J416" s="26" t="n">
        <v>0</v>
      </c>
      <c r="K416" s="26" t="n">
        <v>87.8</v>
      </c>
      <c r="L416" s="26" t="n">
        <v>0</v>
      </c>
      <c r="M416" s="26" t="n">
        <v>0</v>
      </c>
      <c r="N416" s="26" t="n">
        <v>0</v>
      </c>
      <c r="O416" s="26" t="n">
        <v>0</v>
      </c>
      <c r="P416" s="26" t="n">
        <v>0</v>
      </c>
      <c r="Q416" s="26" t="n">
        <v>8468.2</v>
      </c>
      <c r="R416" s="26" t="n">
        <v>1383.5</v>
      </c>
      <c r="S416" s="26" t="n">
        <v>0</v>
      </c>
      <c r="T416" s="26" t="n">
        <v>0</v>
      </c>
      <c r="U416" s="26" t="n">
        <v>0</v>
      </c>
    </row>
    <row r="417" customFormat="false" ht="15" hidden="false" customHeight="true" outlineLevel="0" collapsed="false">
      <c r="A417" s="8" t="s">
        <v>407</v>
      </c>
      <c r="B417" s="8" t="s">
        <v>156</v>
      </c>
      <c r="C417" s="8" t="s">
        <v>844</v>
      </c>
      <c r="D417" s="26" t="n">
        <v>0</v>
      </c>
      <c r="E417" s="26" t="n">
        <v>0</v>
      </c>
      <c r="F417" s="26" t="n">
        <v>2062.9</v>
      </c>
      <c r="G417" s="26" t="n">
        <v>0</v>
      </c>
      <c r="H417" s="26" t="n">
        <v>0</v>
      </c>
      <c r="I417" s="26" t="n">
        <v>10274</v>
      </c>
      <c r="J417" s="26" t="n">
        <v>0</v>
      </c>
      <c r="K417" s="26" t="n">
        <v>32.9</v>
      </c>
      <c r="L417" s="26" t="n">
        <v>0</v>
      </c>
      <c r="M417" s="26" t="n">
        <v>0</v>
      </c>
      <c r="N417" s="26" t="n">
        <v>75.6</v>
      </c>
      <c r="O417" s="26" t="n">
        <v>0</v>
      </c>
      <c r="P417" s="26" t="n">
        <v>-32.9</v>
      </c>
      <c r="Q417" s="26" t="n">
        <v>7156.9</v>
      </c>
      <c r="R417" s="26" t="n">
        <v>3041.5</v>
      </c>
      <c r="S417" s="26" t="n">
        <v>0</v>
      </c>
      <c r="T417" s="26" t="n">
        <v>0</v>
      </c>
      <c r="U417" s="26" t="n">
        <v>0</v>
      </c>
    </row>
    <row r="418" customFormat="false" ht="15" hidden="false" customHeight="true" outlineLevel="0" collapsed="false">
      <c r="A418" s="8" t="s">
        <v>407</v>
      </c>
      <c r="B418" s="8" t="s">
        <v>165</v>
      </c>
      <c r="C418" s="8" t="s">
        <v>845</v>
      </c>
      <c r="D418" s="26" t="n">
        <v>0</v>
      </c>
      <c r="E418" s="26" t="n">
        <v>0</v>
      </c>
      <c r="F418" s="26" t="n">
        <v>1080.4</v>
      </c>
      <c r="G418" s="26" t="n">
        <v>0</v>
      </c>
      <c r="H418" s="26" t="n">
        <v>0</v>
      </c>
      <c r="I418" s="26" t="n">
        <v>141.1</v>
      </c>
      <c r="J418" s="26" t="n">
        <v>0</v>
      </c>
      <c r="K418" s="26" t="n">
        <v>0</v>
      </c>
      <c r="L418" s="26" t="n">
        <v>0</v>
      </c>
      <c r="M418" s="26" t="n">
        <v>0</v>
      </c>
      <c r="N418" s="26" t="n">
        <v>0</v>
      </c>
      <c r="O418" s="26" t="n">
        <v>0</v>
      </c>
      <c r="P418" s="26" t="n">
        <v>0</v>
      </c>
      <c r="Q418" s="26" t="n">
        <v>0</v>
      </c>
      <c r="R418" s="26" t="n">
        <v>141.1</v>
      </c>
      <c r="S418" s="26" t="n">
        <v>87.4</v>
      </c>
      <c r="T418" s="26" t="n">
        <v>0</v>
      </c>
      <c r="U418" s="26" t="n">
        <v>0</v>
      </c>
    </row>
    <row r="419" customFormat="false" ht="15" hidden="false" customHeight="true" outlineLevel="0" collapsed="false">
      <c r="A419" s="8" t="s">
        <v>407</v>
      </c>
      <c r="B419" s="8" t="s">
        <v>165</v>
      </c>
      <c r="C419" s="8" t="s">
        <v>846</v>
      </c>
      <c r="D419" s="26" t="n">
        <v>0</v>
      </c>
      <c r="E419" s="26" t="n">
        <v>0</v>
      </c>
      <c r="F419" s="26" t="n">
        <v>1342.6</v>
      </c>
      <c r="G419" s="26" t="n">
        <v>0</v>
      </c>
      <c r="H419" s="26" t="n">
        <v>0</v>
      </c>
      <c r="I419" s="26" t="n">
        <v>1343.1</v>
      </c>
      <c r="J419" s="26" t="n">
        <v>0</v>
      </c>
      <c r="K419" s="26" t="n">
        <v>0</v>
      </c>
      <c r="L419" s="26" t="n">
        <v>0</v>
      </c>
      <c r="M419" s="26" t="n">
        <v>0</v>
      </c>
      <c r="N419" s="26" t="n">
        <v>0</v>
      </c>
      <c r="O419" s="26" t="n">
        <v>0</v>
      </c>
      <c r="P419" s="26" t="n">
        <v>0</v>
      </c>
      <c r="Q419" s="26" t="n">
        <v>598.2</v>
      </c>
      <c r="R419" s="26" t="n">
        <v>744.9</v>
      </c>
      <c r="S419" s="26" t="n">
        <v>0</v>
      </c>
      <c r="T419" s="26" t="n">
        <v>0</v>
      </c>
      <c r="U419" s="26" t="n">
        <v>0</v>
      </c>
    </row>
    <row r="420" customFormat="false" ht="15" hidden="false" customHeight="true" outlineLevel="0" collapsed="false">
      <c r="A420" s="8" t="s">
        <v>407</v>
      </c>
      <c r="B420" s="8" t="s">
        <v>165</v>
      </c>
      <c r="C420" s="8" t="s">
        <v>847</v>
      </c>
      <c r="D420" s="26" t="n">
        <v>0</v>
      </c>
      <c r="E420" s="26" t="n">
        <v>0</v>
      </c>
      <c r="F420" s="26" t="n">
        <v>1740</v>
      </c>
      <c r="G420" s="26" t="n">
        <v>0</v>
      </c>
      <c r="H420" s="26" t="n">
        <v>0</v>
      </c>
      <c r="I420" s="26" t="n">
        <v>1417.6</v>
      </c>
      <c r="J420" s="26" t="n">
        <v>0</v>
      </c>
      <c r="K420" s="26" t="n">
        <v>0</v>
      </c>
      <c r="L420" s="26" t="n">
        <v>0</v>
      </c>
      <c r="M420" s="26" t="n">
        <v>0</v>
      </c>
      <c r="N420" s="26" t="n">
        <v>0</v>
      </c>
      <c r="O420" s="26" t="n">
        <v>0</v>
      </c>
      <c r="P420" s="26" t="n">
        <v>0</v>
      </c>
      <c r="Q420" s="26" t="n">
        <v>821.7</v>
      </c>
      <c r="R420" s="26" t="n">
        <v>595.9</v>
      </c>
      <c r="S420" s="26" t="n">
        <v>0</v>
      </c>
      <c r="T420" s="26" t="n">
        <v>0</v>
      </c>
      <c r="U420" s="26" t="n">
        <v>0</v>
      </c>
    </row>
    <row r="421" customFormat="false" ht="15" hidden="false" customHeight="true" outlineLevel="0" collapsed="false">
      <c r="A421" s="8" t="s">
        <v>407</v>
      </c>
      <c r="B421" s="8" t="s">
        <v>165</v>
      </c>
      <c r="C421" s="8" t="s">
        <v>848</v>
      </c>
      <c r="D421" s="26" t="n">
        <v>0</v>
      </c>
      <c r="E421" s="26" t="n">
        <v>0</v>
      </c>
      <c r="F421" s="26" t="n">
        <v>811.8</v>
      </c>
      <c r="G421" s="26" t="n">
        <v>0</v>
      </c>
      <c r="H421" s="26" t="n">
        <v>0</v>
      </c>
      <c r="I421" s="26" t="n">
        <v>822.4</v>
      </c>
      <c r="J421" s="26" t="n">
        <v>0</v>
      </c>
      <c r="K421" s="26" t="n">
        <v>0</v>
      </c>
      <c r="L421" s="26" t="n">
        <v>0</v>
      </c>
      <c r="M421" s="26" t="n">
        <v>0</v>
      </c>
      <c r="N421" s="26" t="n">
        <v>0</v>
      </c>
      <c r="O421" s="26" t="n">
        <v>0</v>
      </c>
      <c r="P421" s="26" t="n">
        <v>0</v>
      </c>
      <c r="Q421" s="26" t="n">
        <v>524.4</v>
      </c>
      <c r="R421" s="26" t="n">
        <v>298</v>
      </c>
      <c r="S421" s="26" t="n">
        <v>87.4</v>
      </c>
      <c r="T421" s="26" t="n">
        <v>0</v>
      </c>
      <c r="U421" s="26" t="n">
        <v>0</v>
      </c>
    </row>
    <row r="422" customFormat="false" ht="15" hidden="false" customHeight="true" outlineLevel="0" collapsed="false">
      <c r="A422" s="8" t="s">
        <v>407</v>
      </c>
      <c r="B422" s="8" t="s">
        <v>258</v>
      </c>
      <c r="C422" s="8" t="s">
        <v>849</v>
      </c>
      <c r="D422" s="26" t="n">
        <v>0</v>
      </c>
      <c r="E422" s="26" t="n">
        <v>0</v>
      </c>
      <c r="F422" s="26" t="n">
        <v>281</v>
      </c>
      <c r="G422" s="26" t="n">
        <v>0</v>
      </c>
      <c r="H422" s="26" t="n">
        <v>0</v>
      </c>
      <c r="I422" s="26" t="n">
        <v>239.2</v>
      </c>
      <c r="J422" s="26" t="n">
        <v>0</v>
      </c>
      <c r="K422" s="26" t="n">
        <v>0</v>
      </c>
      <c r="L422" s="26" t="n">
        <v>0</v>
      </c>
      <c r="M422" s="26" t="n">
        <v>0</v>
      </c>
      <c r="N422" s="26" t="n">
        <v>0</v>
      </c>
      <c r="O422" s="26" t="n">
        <v>0</v>
      </c>
      <c r="P422" s="26" t="n">
        <v>0</v>
      </c>
      <c r="Q422" s="26" t="n">
        <v>239.2</v>
      </c>
      <c r="R422" s="26" t="n">
        <v>0</v>
      </c>
      <c r="S422" s="26" t="n">
        <v>0</v>
      </c>
      <c r="T422" s="26" t="n">
        <v>0</v>
      </c>
      <c r="U422" s="26" t="n">
        <v>0</v>
      </c>
    </row>
    <row r="423" customFormat="false" ht="15" hidden="false" customHeight="true" outlineLevel="0" collapsed="false">
      <c r="A423" s="8" t="s">
        <v>407</v>
      </c>
      <c r="B423" s="8" t="s">
        <v>258</v>
      </c>
      <c r="C423" s="8" t="s">
        <v>850</v>
      </c>
      <c r="D423" s="26" t="n">
        <v>0</v>
      </c>
      <c r="E423" s="26" t="n">
        <v>0</v>
      </c>
      <c r="F423" s="26" t="n">
        <v>655.7</v>
      </c>
      <c r="G423" s="26" t="n">
        <v>0</v>
      </c>
      <c r="H423" s="26" t="n">
        <v>0</v>
      </c>
      <c r="I423" s="26" t="n">
        <v>753.9</v>
      </c>
      <c r="J423" s="26" t="n">
        <v>0</v>
      </c>
      <c r="K423" s="26" t="n">
        <v>0</v>
      </c>
      <c r="L423" s="26" t="n">
        <v>0</v>
      </c>
      <c r="M423" s="26" t="n">
        <v>0</v>
      </c>
      <c r="N423" s="26" t="n">
        <v>0</v>
      </c>
      <c r="O423" s="26" t="n">
        <v>0</v>
      </c>
      <c r="P423" s="26" t="n">
        <v>0</v>
      </c>
      <c r="Q423" s="26" t="n">
        <v>679.4</v>
      </c>
      <c r="R423" s="26" t="n">
        <v>74.5</v>
      </c>
      <c r="S423" s="26" t="n">
        <v>0</v>
      </c>
      <c r="T423" s="26" t="n">
        <v>0</v>
      </c>
      <c r="U423" s="26" t="n">
        <v>0</v>
      </c>
    </row>
    <row r="424" customFormat="false" ht="15" hidden="false" customHeight="true" outlineLevel="0" collapsed="false">
      <c r="A424" s="8" t="s">
        <v>407</v>
      </c>
      <c r="B424" s="8" t="s">
        <v>258</v>
      </c>
      <c r="C424" s="8" t="s">
        <v>851</v>
      </c>
      <c r="D424" s="26" t="n">
        <v>0</v>
      </c>
      <c r="E424" s="26" t="n">
        <v>0</v>
      </c>
      <c r="F424" s="26" t="n">
        <v>661.9</v>
      </c>
      <c r="G424" s="26" t="n">
        <v>0</v>
      </c>
      <c r="H424" s="26" t="n">
        <v>0</v>
      </c>
      <c r="I424" s="26" t="n">
        <v>981.1</v>
      </c>
      <c r="J424" s="26" t="n">
        <v>0</v>
      </c>
      <c r="K424" s="26" t="n">
        <v>0</v>
      </c>
      <c r="L424" s="26" t="n">
        <v>0</v>
      </c>
      <c r="M424" s="26" t="n">
        <v>0</v>
      </c>
      <c r="N424" s="26" t="n">
        <v>0</v>
      </c>
      <c r="O424" s="26" t="n">
        <v>0</v>
      </c>
      <c r="P424" s="26" t="n">
        <v>0</v>
      </c>
      <c r="Q424" s="26" t="n">
        <v>832.1</v>
      </c>
      <c r="R424" s="26" t="n">
        <v>149</v>
      </c>
      <c r="S424" s="26" t="n">
        <v>0</v>
      </c>
      <c r="T424" s="26" t="n">
        <v>0</v>
      </c>
      <c r="U424" s="26" t="n">
        <v>0</v>
      </c>
    </row>
    <row r="425" customFormat="false" ht="15" hidden="false" customHeight="true" outlineLevel="0" collapsed="false">
      <c r="A425" s="8" t="s">
        <v>407</v>
      </c>
      <c r="B425" s="8" t="s">
        <v>258</v>
      </c>
      <c r="C425" s="8" t="s">
        <v>852</v>
      </c>
      <c r="D425" s="26" t="n">
        <v>0</v>
      </c>
      <c r="E425" s="26" t="n">
        <v>0</v>
      </c>
      <c r="F425" s="26" t="n">
        <v>281</v>
      </c>
      <c r="G425" s="26" t="n">
        <v>0</v>
      </c>
      <c r="H425" s="26" t="n">
        <v>0</v>
      </c>
      <c r="I425" s="26" t="n">
        <v>1423.9</v>
      </c>
      <c r="J425" s="26" t="n">
        <v>0</v>
      </c>
      <c r="K425" s="26" t="n">
        <v>149</v>
      </c>
      <c r="L425" s="26" t="n">
        <v>0</v>
      </c>
      <c r="M425" s="26" t="n">
        <v>0</v>
      </c>
      <c r="N425" s="26" t="n">
        <v>0</v>
      </c>
      <c r="O425" s="26" t="n">
        <v>0</v>
      </c>
      <c r="P425" s="26" t="n">
        <v>0</v>
      </c>
      <c r="Q425" s="26" t="n">
        <v>1200.5</v>
      </c>
      <c r="R425" s="26" t="n">
        <v>74.5</v>
      </c>
      <c r="S425" s="26" t="n">
        <v>0</v>
      </c>
      <c r="T425" s="26" t="n">
        <v>0</v>
      </c>
      <c r="U425" s="26" t="n">
        <v>0</v>
      </c>
    </row>
    <row r="426" customFormat="false" ht="15" hidden="false" customHeight="true" outlineLevel="0" collapsed="false">
      <c r="A426" s="8" t="s">
        <v>407</v>
      </c>
      <c r="B426" s="8" t="s">
        <v>183</v>
      </c>
      <c r="C426" s="8" t="s">
        <v>672</v>
      </c>
      <c r="D426" s="26" t="n">
        <v>0</v>
      </c>
      <c r="E426" s="26" t="n">
        <v>0</v>
      </c>
      <c r="F426" s="26" t="n">
        <v>656.1</v>
      </c>
      <c r="G426" s="26" t="n">
        <v>0</v>
      </c>
      <c r="H426" s="26" t="n">
        <v>0</v>
      </c>
      <c r="I426" s="26" t="n">
        <v>0</v>
      </c>
      <c r="J426" s="26" t="n">
        <v>0</v>
      </c>
      <c r="K426" s="26" t="n">
        <v>0</v>
      </c>
      <c r="L426" s="26" t="n">
        <v>0</v>
      </c>
      <c r="M426" s="26" t="n">
        <v>0</v>
      </c>
      <c r="N426" s="26" t="n">
        <v>0</v>
      </c>
      <c r="O426" s="26" t="n">
        <v>0</v>
      </c>
      <c r="P426" s="26" t="n">
        <v>0</v>
      </c>
      <c r="Q426" s="26" t="n">
        <v>0</v>
      </c>
      <c r="R426" s="26" t="n">
        <v>0</v>
      </c>
      <c r="S426" s="26" t="n">
        <v>0</v>
      </c>
      <c r="T426" s="26" t="n">
        <v>0</v>
      </c>
      <c r="U426" s="26" t="n">
        <v>0</v>
      </c>
    </row>
    <row r="427" customFormat="false" ht="15" hidden="false" customHeight="true" outlineLevel="0" collapsed="false">
      <c r="A427" s="8" t="s">
        <v>407</v>
      </c>
      <c r="B427" s="8" t="s">
        <v>183</v>
      </c>
      <c r="C427" s="8" t="s">
        <v>671</v>
      </c>
      <c r="D427" s="26" t="n">
        <v>0</v>
      </c>
      <c r="E427" s="26" t="n">
        <v>0</v>
      </c>
      <c r="F427" s="26" t="n">
        <v>820.1</v>
      </c>
      <c r="G427" s="26" t="n">
        <v>0</v>
      </c>
      <c r="H427" s="26" t="n">
        <v>0</v>
      </c>
      <c r="I427" s="26" t="n">
        <v>2679.7</v>
      </c>
      <c r="J427" s="26" t="n">
        <v>0</v>
      </c>
      <c r="K427" s="26" t="n">
        <v>543</v>
      </c>
      <c r="L427" s="26" t="n">
        <v>0</v>
      </c>
      <c r="M427" s="26" t="n">
        <v>0</v>
      </c>
      <c r="N427" s="26" t="n">
        <v>0</v>
      </c>
      <c r="O427" s="26" t="n">
        <v>0</v>
      </c>
      <c r="P427" s="26" t="n">
        <v>-135.8</v>
      </c>
      <c r="Q427" s="26" t="n">
        <v>1593.7</v>
      </c>
      <c r="R427" s="26" t="n">
        <v>678.8</v>
      </c>
      <c r="S427" s="26" t="n">
        <v>0</v>
      </c>
      <c r="T427" s="26" t="n">
        <v>0</v>
      </c>
      <c r="U427" s="26" t="n">
        <v>0</v>
      </c>
    </row>
    <row r="428" customFormat="false" ht="15" hidden="false" customHeight="true" outlineLevel="0" collapsed="false">
      <c r="A428" s="8" t="s">
        <v>407</v>
      </c>
      <c r="B428" s="8" t="s">
        <v>183</v>
      </c>
      <c r="C428" s="8" t="s">
        <v>673</v>
      </c>
      <c r="D428" s="26" t="n">
        <v>0</v>
      </c>
      <c r="E428" s="26" t="n">
        <v>0</v>
      </c>
      <c r="F428" s="26" t="n">
        <v>678.3</v>
      </c>
      <c r="G428" s="26" t="n">
        <v>0</v>
      </c>
      <c r="H428" s="26" t="n">
        <v>0</v>
      </c>
      <c r="I428" s="26" t="n">
        <v>2841.9</v>
      </c>
      <c r="J428" s="26" t="n">
        <v>0</v>
      </c>
      <c r="K428" s="26" t="n">
        <v>678.8</v>
      </c>
      <c r="L428" s="26" t="n">
        <v>0</v>
      </c>
      <c r="M428" s="26" t="n">
        <v>0</v>
      </c>
      <c r="N428" s="26" t="n">
        <v>0</v>
      </c>
      <c r="O428" s="26" t="n">
        <v>0</v>
      </c>
      <c r="P428" s="26" t="n">
        <v>-135.8</v>
      </c>
      <c r="Q428" s="26" t="n">
        <v>1077</v>
      </c>
      <c r="R428" s="26" t="n">
        <v>1221.8</v>
      </c>
      <c r="S428" s="26" t="n">
        <v>0</v>
      </c>
      <c r="T428" s="26" t="n">
        <v>0</v>
      </c>
      <c r="U428" s="26" t="n">
        <v>0</v>
      </c>
    </row>
    <row r="429" customFormat="false" ht="15" hidden="false" customHeight="true" outlineLevel="0" collapsed="false">
      <c r="A429" s="8" t="s">
        <v>407</v>
      </c>
      <c r="B429" s="8" t="s">
        <v>183</v>
      </c>
      <c r="C429" s="8" t="s">
        <v>670</v>
      </c>
      <c r="D429" s="26" t="n">
        <v>0</v>
      </c>
      <c r="E429" s="26" t="n">
        <v>0</v>
      </c>
      <c r="F429" s="26" t="n">
        <v>612.4</v>
      </c>
      <c r="G429" s="26" t="n">
        <v>0</v>
      </c>
      <c r="H429" s="26" t="n">
        <v>0</v>
      </c>
      <c r="I429" s="26" t="n">
        <v>819.1</v>
      </c>
      <c r="J429" s="26" t="n">
        <v>0</v>
      </c>
      <c r="K429" s="26" t="n">
        <v>0</v>
      </c>
      <c r="L429" s="26" t="n">
        <v>0</v>
      </c>
      <c r="M429" s="26" t="n">
        <v>0</v>
      </c>
      <c r="N429" s="26" t="n">
        <v>0</v>
      </c>
      <c r="O429" s="26" t="n">
        <v>0</v>
      </c>
      <c r="P429" s="26" t="n">
        <v>0</v>
      </c>
      <c r="Q429" s="26" t="n">
        <v>819.1</v>
      </c>
      <c r="R429" s="26" t="n">
        <v>0</v>
      </c>
      <c r="S429" s="26" t="n">
        <v>0</v>
      </c>
      <c r="T429" s="26" t="n">
        <v>0</v>
      </c>
      <c r="U429" s="26" t="n">
        <v>0</v>
      </c>
    </row>
    <row r="430" customFormat="false" ht="15" hidden="false" customHeight="true" outlineLevel="0" collapsed="false">
      <c r="A430" s="8" t="s">
        <v>407</v>
      </c>
      <c r="B430" s="8" t="s">
        <v>183</v>
      </c>
      <c r="C430" s="8" t="s">
        <v>853</v>
      </c>
      <c r="D430" s="26" t="n">
        <v>0</v>
      </c>
      <c r="E430" s="26" t="n">
        <v>0</v>
      </c>
      <c r="F430" s="26" t="n">
        <v>0</v>
      </c>
      <c r="G430" s="26" t="n">
        <v>0</v>
      </c>
      <c r="H430" s="26" t="n">
        <v>0</v>
      </c>
      <c r="I430" s="26" t="n">
        <v>271.5</v>
      </c>
      <c r="J430" s="26" t="n">
        <v>0</v>
      </c>
      <c r="K430" s="26" t="n">
        <v>0</v>
      </c>
      <c r="L430" s="26" t="n">
        <v>0</v>
      </c>
      <c r="M430" s="26" t="n">
        <v>0</v>
      </c>
      <c r="N430" s="26" t="n">
        <v>0</v>
      </c>
      <c r="O430" s="26" t="n">
        <v>0</v>
      </c>
      <c r="P430" s="26" t="n">
        <v>0</v>
      </c>
      <c r="Q430" s="26" t="n">
        <v>0</v>
      </c>
      <c r="R430" s="26" t="n">
        <v>271.5</v>
      </c>
      <c r="S430" s="26" t="n">
        <v>0</v>
      </c>
      <c r="T430" s="26" t="n">
        <v>0</v>
      </c>
      <c r="U430" s="26" t="n">
        <v>0</v>
      </c>
    </row>
    <row r="431" customFormat="false" ht="15" hidden="false" customHeight="true" outlineLevel="0" collapsed="false">
      <c r="A431" s="8" t="s">
        <v>407</v>
      </c>
      <c r="B431" s="8" t="s">
        <v>311</v>
      </c>
      <c r="C431" s="8" t="s">
        <v>854</v>
      </c>
      <c r="D431" s="26" t="n">
        <v>0</v>
      </c>
      <c r="E431" s="26" t="n">
        <v>0</v>
      </c>
      <c r="F431" s="26" t="n">
        <v>93.7</v>
      </c>
      <c r="G431" s="26" t="n">
        <v>0</v>
      </c>
      <c r="H431" s="26" t="n">
        <v>0</v>
      </c>
      <c r="I431" s="26" t="n">
        <v>0</v>
      </c>
      <c r="J431" s="26" t="n">
        <v>0</v>
      </c>
      <c r="K431" s="26" t="n">
        <v>0</v>
      </c>
      <c r="L431" s="26" t="n">
        <v>0</v>
      </c>
      <c r="M431" s="26" t="n">
        <v>0</v>
      </c>
      <c r="N431" s="26" t="n">
        <v>0</v>
      </c>
      <c r="O431" s="26" t="n">
        <v>0</v>
      </c>
      <c r="P431" s="26" t="n">
        <v>0</v>
      </c>
      <c r="Q431" s="26" t="n">
        <v>0</v>
      </c>
      <c r="R431" s="26" t="n">
        <v>0</v>
      </c>
      <c r="S431" s="26" t="n">
        <v>0</v>
      </c>
      <c r="T431" s="26" t="n">
        <v>0</v>
      </c>
      <c r="U431" s="26" t="n">
        <v>0</v>
      </c>
    </row>
    <row r="432" customFormat="false" ht="15" hidden="false" customHeight="true" outlineLevel="0" collapsed="false">
      <c r="A432" s="8" t="s">
        <v>407</v>
      </c>
      <c r="B432" s="8" t="s">
        <v>311</v>
      </c>
      <c r="C432" s="8" t="s">
        <v>855</v>
      </c>
      <c r="D432" s="26" t="n">
        <v>0</v>
      </c>
      <c r="E432" s="26" t="n">
        <v>0</v>
      </c>
      <c r="F432" s="26" t="n">
        <v>299.1</v>
      </c>
      <c r="G432" s="26" t="n">
        <v>0</v>
      </c>
      <c r="H432" s="26" t="n">
        <v>0</v>
      </c>
      <c r="I432" s="26" t="n">
        <v>1042.9</v>
      </c>
      <c r="J432" s="26" t="n">
        <v>0</v>
      </c>
      <c r="K432" s="26" t="n">
        <v>0</v>
      </c>
      <c r="L432" s="26" t="n">
        <v>0</v>
      </c>
      <c r="M432" s="26" t="n">
        <v>0</v>
      </c>
      <c r="N432" s="26" t="n">
        <v>0</v>
      </c>
      <c r="O432" s="26" t="n">
        <v>0</v>
      </c>
      <c r="P432" s="26" t="n">
        <v>0</v>
      </c>
      <c r="Q432" s="26" t="n">
        <v>446.9</v>
      </c>
      <c r="R432" s="26" t="n">
        <v>595.9</v>
      </c>
      <c r="S432" s="26" t="n">
        <v>0</v>
      </c>
      <c r="T432" s="26" t="n">
        <v>0</v>
      </c>
      <c r="U432" s="26" t="n">
        <v>0</v>
      </c>
    </row>
    <row r="433" customFormat="false" ht="15" hidden="false" customHeight="true" outlineLevel="0" collapsed="false">
      <c r="A433" s="8" t="s">
        <v>407</v>
      </c>
      <c r="B433" s="8" t="s">
        <v>311</v>
      </c>
      <c r="C433" s="8" t="s">
        <v>856</v>
      </c>
      <c r="D433" s="26" t="n">
        <v>0</v>
      </c>
      <c r="E433" s="26" t="n">
        <v>0</v>
      </c>
      <c r="F433" s="26" t="n">
        <v>281</v>
      </c>
      <c r="G433" s="26" t="n">
        <v>0</v>
      </c>
      <c r="H433" s="26" t="n">
        <v>0</v>
      </c>
      <c r="I433" s="26" t="n">
        <v>2175.7</v>
      </c>
      <c r="J433" s="26" t="n">
        <v>0</v>
      </c>
      <c r="K433" s="26" t="n">
        <v>0</v>
      </c>
      <c r="L433" s="26" t="n">
        <v>0</v>
      </c>
      <c r="M433" s="26" t="n">
        <v>0</v>
      </c>
      <c r="N433" s="26" t="n">
        <v>0</v>
      </c>
      <c r="O433" s="26" t="n">
        <v>0</v>
      </c>
      <c r="P433" s="26" t="n">
        <v>0</v>
      </c>
      <c r="Q433" s="26" t="n">
        <v>1356.3</v>
      </c>
      <c r="R433" s="26" t="n">
        <v>819.4</v>
      </c>
      <c r="S433" s="26" t="n">
        <v>0</v>
      </c>
      <c r="T433" s="26" t="n">
        <v>0</v>
      </c>
      <c r="U433" s="26" t="n">
        <v>0</v>
      </c>
    </row>
    <row r="434" customFormat="false" ht="15" hidden="false" customHeight="true" outlineLevel="0" collapsed="false">
      <c r="A434" s="8" t="s">
        <v>407</v>
      </c>
      <c r="B434" s="8" t="s">
        <v>311</v>
      </c>
      <c r="C434" s="8" t="s">
        <v>857</v>
      </c>
      <c r="D434" s="26" t="n">
        <v>0</v>
      </c>
      <c r="E434" s="26" t="n">
        <v>0</v>
      </c>
      <c r="F434" s="26" t="n">
        <v>111.8</v>
      </c>
      <c r="G434" s="26" t="n">
        <v>0</v>
      </c>
      <c r="H434" s="26" t="n">
        <v>0</v>
      </c>
      <c r="I434" s="26" t="n">
        <v>446.9</v>
      </c>
      <c r="J434" s="26" t="n">
        <v>0</v>
      </c>
      <c r="K434" s="26" t="n">
        <v>0</v>
      </c>
      <c r="L434" s="26" t="n">
        <v>0</v>
      </c>
      <c r="M434" s="26" t="n">
        <v>0</v>
      </c>
      <c r="N434" s="26" t="n">
        <v>0</v>
      </c>
      <c r="O434" s="26" t="n">
        <v>0</v>
      </c>
      <c r="P434" s="26" t="n">
        <v>0</v>
      </c>
      <c r="Q434" s="26" t="n">
        <v>0</v>
      </c>
      <c r="R434" s="26" t="n">
        <v>446.9</v>
      </c>
      <c r="S434" s="26" t="n">
        <v>0</v>
      </c>
      <c r="T434" s="26" t="n">
        <v>0</v>
      </c>
      <c r="U434" s="26" t="n">
        <v>0</v>
      </c>
    </row>
    <row r="435" customFormat="false" ht="15" hidden="false" customHeight="true" outlineLevel="0" collapsed="false">
      <c r="A435" s="8" t="s">
        <v>407</v>
      </c>
      <c r="B435" s="8" t="s">
        <v>239</v>
      </c>
      <c r="C435" s="8" t="s">
        <v>858</v>
      </c>
      <c r="D435" s="26" t="n">
        <v>0</v>
      </c>
      <c r="E435" s="26" t="n">
        <v>0</v>
      </c>
      <c r="F435" s="26" t="n">
        <v>349.7</v>
      </c>
      <c r="G435" s="26" t="n">
        <v>0</v>
      </c>
      <c r="H435" s="26" t="n">
        <v>0</v>
      </c>
      <c r="I435" s="26" t="n">
        <v>0</v>
      </c>
      <c r="J435" s="26" t="n">
        <v>0</v>
      </c>
      <c r="K435" s="26" t="n">
        <v>0</v>
      </c>
      <c r="L435" s="26" t="n">
        <v>0</v>
      </c>
      <c r="M435" s="26" t="n">
        <v>0</v>
      </c>
      <c r="N435" s="26" t="n">
        <v>0</v>
      </c>
      <c r="O435" s="26" t="n">
        <v>0</v>
      </c>
      <c r="P435" s="26" t="n">
        <v>0</v>
      </c>
      <c r="Q435" s="26" t="n">
        <v>0</v>
      </c>
      <c r="R435" s="26" t="n">
        <v>0</v>
      </c>
      <c r="S435" s="26" t="n">
        <v>0</v>
      </c>
      <c r="T435" s="26" t="n">
        <v>0</v>
      </c>
      <c r="U435" s="26" t="n">
        <v>0</v>
      </c>
    </row>
    <row r="436" customFormat="false" ht="15" hidden="false" customHeight="true" outlineLevel="0" collapsed="false">
      <c r="A436" s="8" t="s">
        <v>407</v>
      </c>
      <c r="B436" s="8" t="s">
        <v>239</v>
      </c>
      <c r="C436" s="8" t="s">
        <v>859</v>
      </c>
      <c r="D436" s="26" t="n">
        <v>0</v>
      </c>
      <c r="E436" s="26" t="n">
        <v>0</v>
      </c>
      <c r="F436" s="26" t="n">
        <v>911.7</v>
      </c>
      <c r="G436" s="26" t="n">
        <v>0</v>
      </c>
      <c r="H436" s="26" t="n">
        <v>0</v>
      </c>
      <c r="I436" s="26" t="n">
        <v>2097.9</v>
      </c>
      <c r="J436" s="26" t="n">
        <v>0</v>
      </c>
      <c r="K436" s="26" t="n">
        <v>372.5</v>
      </c>
      <c r="L436" s="26" t="n">
        <v>0</v>
      </c>
      <c r="M436" s="26" t="n">
        <v>0</v>
      </c>
      <c r="N436" s="26" t="n">
        <v>0</v>
      </c>
      <c r="O436" s="26" t="n">
        <v>0</v>
      </c>
      <c r="P436" s="26" t="n">
        <v>0</v>
      </c>
      <c r="Q436" s="26" t="n">
        <v>1427.4</v>
      </c>
      <c r="R436" s="26" t="n">
        <v>298</v>
      </c>
      <c r="S436" s="26" t="n">
        <v>0</v>
      </c>
      <c r="T436" s="26" t="n">
        <v>0</v>
      </c>
      <c r="U436" s="26" t="n">
        <v>0</v>
      </c>
    </row>
    <row r="437" customFormat="false" ht="15" hidden="false" customHeight="true" outlineLevel="0" collapsed="false">
      <c r="A437" s="8" t="s">
        <v>407</v>
      </c>
      <c r="B437" s="8" t="s">
        <v>239</v>
      </c>
      <c r="C437" s="8" t="s">
        <v>860</v>
      </c>
      <c r="D437" s="26" t="n">
        <v>0</v>
      </c>
      <c r="E437" s="26" t="n">
        <v>0</v>
      </c>
      <c r="F437" s="26" t="n">
        <v>362.2</v>
      </c>
      <c r="G437" s="26" t="n">
        <v>0</v>
      </c>
      <c r="H437" s="26" t="n">
        <v>0</v>
      </c>
      <c r="I437" s="26" t="n">
        <v>1118.2</v>
      </c>
      <c r="J437" s="26" t="n">
        <v>0</v>
      </c>
      <c r="K437" s="26" t="n">
        <v>0</v>
      </c>
      <c r="L437" s="26" t="n">
        <v>0</v>
      </c>
      <c r="M437" s="26" t="n">
        <v>0</v>
      </c>
      <c r="N437" s="26" t="n">
        <v>0</v>
      </c>
      <c r="O437" s="26" t="n">
        <v>0</v>
      </c>
      <c r="P437" s="26" t="n">
        <v>0</v>
      </c>
      <c r="Q437" s="26" t="n">
        <v>820.2</v>
      </c>
      <c r="R437" s="26" t="n">
        <v>298</v>
      </c>
      <c r="S437" s="26" t="n">
        <v>0</v>
      </c>
      <c r="T437" s="26" t="n">
        <v>0</v>
      </c>
      <c r="U437" s="26" t="n">
        <v>0</v>
      </c>
    </row>
    <row r="438" customFormat="false" ht="15" hidden="false" customHeight="true" outlineLevel="0" collapsed="false">
      <c r="A438" s="8" t="s">
        <v>407</v>
      </c>
      <c r="B438" s="8" t="s">
        <v>239</v>
      </c>
      <c r="C438" s="8" t="s">
        <v>861</v>
      </c>
      <c r="D438" s="26" t="n">
        <v>0</v>
      </c>
      <c r="E438" s="26" t="n">
        <v>0</v>
      </c>
      <c r="F438" s="26" t="n">
        <v>362.2</v>
      </c>
      <c r="G438" s="26" t="n">
        <v>0</v>
      </c>
      <c r="H438" s="26" t="n">
        <v>0</v>
      </c>
      <c r="I438" s="26" t="n">
        <v>1270.6</v>
      </c>
      <c r="J438" s="26" t="n">
        <v>0</v>
      </c>
      <c r="K438" s="26" t="n">
        <v>149</v>
      </c>
      <c r="L438" s="26" t="n">
        <v>0</v>
      </c>
      <c r="M438" s="26" t="n">
        <v>0</v>
      </c>
      <c r="N438" s="26" t="n">
        <v>0</v>
      </c>
      <c r="O438" s="26" t="n">
        <v>0</v>
      </c>
      <c r="P438" s="26" t="n">
        <v>0</v>
      </c>
      <c r="Q438" s="26" t="n">
        <v>823.6</v>
      </c>
      <c r="R438" s="26" t="n">
        <v>298</v>
      </c>
      <c r="S438" s="26" t="n">
        <v>0</v>
      </c>
      <c r="T438" s="26" t="n">
        <v>0</v>
      </c>
      <c r="U438" s="26" t="n">
        <v>0</v>
      </c>
    </row>
    <row r="439" customFormat="false" ht="15" hidden="false" customHeight="true" outlineLevel="0" collapsed="false">
      <c r="A439" s="8" t="s">
        <v>407</v>
      </c>
      <c r="B439" s="8" t="s">
        <v>150</v>
      </c>
      <c r="C439" s="8" t="s">
        <v>863</v>
      </c>
      <c r="D439" s="26" t="n">
        <v>0</v>
      </c>
      <c r="E439" s="26" t="n">
        <v>0</v>
      </c>
      <c r="F439" s="26" t="n">
        <v>834.1</v>
      </c>
      <c r="G439" s="26" t="n">
        <v>0</v>
      </c>
      <c r="H439" s="26" t="n">
        <v>0</v>
      </c>
      <c r="I439" s="26" t="n">
        <v>1473.5</v>
      </c>
      <c r="J439" s="26" t="n">
        <v>0</v>
      </c>
      <c r="K439" s="26" t="n">
        <v>0</v>
      </c>
      <c r="L439" s="26" t="n">
        <v>0</v>
      </c>
      <c r="M439" s="26" t="n">
        <v>0</v>
      </c>
      <c r="N439" s="26" t="n">
        <v>0</v>
      </c>
      <c r="O439" s="26" t="n">
        <v>0</v>
      </c>
      <c r="P439" s="26" t="n">
        <v>0</v>
      </c>
      <c r="Q439" s="26" t="n">
        <v>1473.5</v>
      </c>
      <c r="R439" s="26" t="n">
        <v>0</v>
      </c>
      <c r="S439" s="26" t="n">
        <v>0</v>
      </c>
      <c r="T439" s="26" t="n">
        <v>0</v>
      </c>
      <c r="U439" s="26" t="n">
        <v>0</v>
      </c>
    </row>
    <row r="440" customFormat="false" ht="15" hidden="false" customHeight="true" outlineLevel="0" collapsed="false">
      <c r="A440" s="8" t="s">
        <v>407</v>
      </c>
      <c r="B440" s="8" t="s">
        <v>150</v>
      </c>
      <c r="C440" s="8" t="s">
        <v>864</v>
      </c>
      <c r="D440" s="26" t="n">
        <v>0</v>
      </c>
      <c r="E440" s="26" t="n">
        <v>0</v>
      </c>
      <c r="F440" s="26" t="n">
        <v>2689.6</v>
      </c>
      <c r="G440" s="26" t="n">
        <v>0</v>
      </c>
      <c r="H440" s="26" t="n">
        <v>0</v>
      </c>
      <c r="I440" s="26" t="n">
        <v>5118.7</v>
      </c>
      <c r="J440" s="26" t="n">
        <v>0</v>
      </c>
      <c r="K440" s="26" t="n">
        <v>950.3</v>
      </c>
      <c r="L440" s="26" t="n">
        <v>0</v>
      </c>
      <c r="M440" s="26" t="n">
        <v>0</v>
      </c>
      <c r="N440" s="26" t="n">
        <v>0</v>
      </c>
      <c r="O440" s="26" t="n">
        <v>0</v>
      </c>
      <c r="P440" s="26" t="n">
        <v>0</v>
      </c>
      <c r="Q440" s="26" t="n">
        <v>2675</v>
      </c>
      <c r="R440" s="26" t="n">
        <v>1493.4</v>
      </c>
      <c r="S440" s="26" t="n">
        <v>0</v>
      </c>
      <c r="T440" s="26" t="n">
        <v>0</v>
      </c>
      <c r="U440" s="26" t="n">
        <v>0</v>
      </c>
    </row>
    <row r="441" customFormat="false" ht="15" hidden="false" customHeight="true" outlineLevel="0" collapsed="false">
      <c r="A441" s="8" t="s">
        <v>407</v>
      </c>
      <c r="B441" s="8" t="s">
        <v>150</v>
      </c>
      <c r="C441" s="8" t="s">
        <v>865</v>
      </c>
      <c r="D441" s="26" t="n">
        <v>0</v>
      </c>
      <c r="E441" s="26" t="n">
        <v>0</v>
      </c>
      <c r="F441" s="26" t="n">
        <v>3139.4</v>
      </c>
      <c r="G441" s="26" t="n">
        <v>0</v>
      </c>
      <c r="H441" s="26" t="n">
        <v>0</v>
      </c>
      <c r="I441" s="26" t="n">
        <v>4863.3</v>
      </c>
      <c r="J441" s="26" t="n">
        <v>0</v>
      </c>
      <c r="K441" s="26" t="n">
        <v>271.5</v>
      </c>
      <c r="L441" s="26" t="n">
        <v>0</v>
      </c>
      <c r="M441" s="26" t="n">
        <v>0</v>
      </c>
      <c r="N441" s="26" t="n">
        <v>0</v>
      </c>
      <c r="O441" s="26" t="n">
        <v>0</v>
      </c>
      <c r="P441" s="26" t="n">
        <v>0</v>
      </c>
      <c r="Q441" s="26" t="n">
        <v>2962.7</v>
      </c>
      <c r="R441" s="26" t="n">
        <v>1629.1</v>
      </c>
      <c r="S441" s="26" t="n">
        <v>0</v>
      </c>
      <c r="T441" s="26" t="n">
        <v>0</v>
      </c>
      <c r="U441" s="26" t="n">
        <v>0</v>
      </c>
    </row>
    <row r="442" customFormat="false" ht="15" hidden="false" customHeight="true" outlineLevel="0" collapsed="false">
      <c r="A442" s="8" t="s">
        <v>407</v>
      </c>
      <c r="B442" s="8" t="s">
        <v>150</v>
      </c>
      <c r="C442" s="8" t="s">
        <v>866</v>
      </c>
      <c r="D442" s="26" t="n">
        <v>0</v>
      </c>
      <c r="E442" s="26" t="n">
        <v>0</v>
      </c>
      <c r="F442" s="26" t="n">
        <v>2061.7</v>
      </c>
      <c r="G442" s="26" t="n">
        <v>0</v>
      </c>
      <c r="H442" s="26" t="n">
        <v>0</v>
      </c>
      <c r="I442" s="26" t="n">
        <v>3636.1</v>
      </c>
      <c r="J442" s="26" t="n">
        <v>0</v>
      </c>
      <c r="K442" s="26" t="n">
        <v>407.3</v>
      </c>
      <c r="L442" s="26" t="n">
        <v>0</v>
      </c>
      <c r="M442" s="26" t="n">
        <v>0</v>
      </c>
      <c r="N442" s="26" t="n">
        <v>0</v>
      </c>
      <c r="O442" s="26" t="n">
        <v>0</v>
      </c>
      <c r="P442" s="26" t="n">
        <v>0</v>
      </c>
      <c r="Q442" s="26" t="n">
        <v>1735.5</v>
      </c>
      <c r="R442" s="26" t="n">
        <v>1493.4</v>
      </c>
      <c r="S442" s="26" t="n">
        <v>0</v>
      </c>
      <c r="T442" s="26" t="n">
        <v>0</v>
      </c>
      <c r="U442" s="26" t="n">
        <v>0</v>
      </c>
    </row>
    <row r="443" customFormat="false" ht="15" hidden="false" customHeight="true" outlineLevel="0" collapsed="false">
      <c r="A443" s="8" t="s">
        <v>407</v>
      </c>
      <c r="B443" s="8" t="s">
        <v>150</v>
      </c>
      <c r="C443" s="8" t="s">
        <v>867</v>
      </c>
      <c r="D443" s="26" t="n">
        <v>0</v>
      </c>
      <c r="E443" s="26" t="n">
        <v>0</v>
      </c>
      <c r="F443" s="26" t="n">
        <v>702.9</v>
      </c>
      <c r="G443" s="26" t="n">
        <v>0</v>
      </c>
      <c r="H443" s="26" t="n">
        <v>0</v>
      </c>
      <c r="I443" s="26" t="n">
        <v>2672.8</v>
      </c>
      <c r="J443" s="26" t="n">
        <v>0</v>
      </c>
      <c r="K443" s="26" t="n">
        <v>814.6</v>
      </c>
      <c r="L443" s="26" t="n">
        <v>0</v>
      </c>
      <c r="M443" s="26" t="n">
        <v>0</v>
      </c>
      <c r="N443" s="26" t="n">
        <v>0</v>
      </c>
      <c r="O443" s="26" t="n">
        <v>0</v>
      </c>
      <c r="P443" s="26" t="n">
        <v>0</v>
      </c>
      <c r="Q443" s="26" t="n">
        <v>1451</v>
      </c>
      <c r="R443" s="26" t="n">
        <v>407.3</v>
      </c>
      <c r="S443" s="26" t="n">
        <v>0</v>
      </c>
      <c r="T443" s="26" t="n">
        <v>0</v>
      </c>
      <c r="U443" s="26" t="n">
        <v>0</v>
      </c>
    </row>
    <row r="444" customFormat="false" ht="15" hidden="false" customHeight="true" outlineLevel="0" collapsed="false">
      <c r="A444" s="8" t="s">
        <v>407</v>
      </c>
      <c r="B444" s="8" t="s">
        <v>294</v>
      </c>
      <c r="C444" s="8" t="s">
        <v>869</v>
      </c>
      <c r="D444" s="26" t="n">
        <v>0</v>
      </c>
      <c r="E444" s="26" t="n">
        <v>0</v>
      </c>
      <c r="F444" s="26" t="n">
        <v>0</v>
      </c>
      <c r="G444" s="26" t="n">
        <v>0</v>
      </c>
      <c r="H444" s="26" t="n">
        <v>0</v>
      </c>
      <c r="I444" s="26" t="n">
        <v>-94.2</v>
      </c>
      <c r="J444" s="26" t="n">
        <v>0</v>
      </c>
      <c r="K444" s="26" t="n">
        <v>0</v>
      </c>
      <c r="L444" s="26" t="n">
        <v>0</v>
      </c>
      <c r="M444" s="26" t="n">
        <v>0</v>
      </c>
      <c r="N444" s="26" t="n">
        <v>0</v>
      </c>
      <c r="O444" s="26" t="n">
        <v>0</v>
      </c>
      <c r="P444" s="26" t="n">
        <v>0</v>
      </c>
      <c r="Q444" s="26" t="n">
        <v>-94.2</v>
      </c>
      <c r="R444" s="26" t="n">
        <v>0</v>
      </c>
      <c r="S444" s="26" t="n">
        <v>0</v>
      </c>
      <c r="T444" s="26" t="n">
        <v>0</v>
      </c>
      <c r="U444" s="26" t="n">
        <v>0</v>
      </c>
    </row>
    <row r="445" customFormat="false" ht="15" hidden="false" customHeight="true" outlineLevel="0" collapsed="false">
      <c r="A445" s="8" t="s">
        <v>407</v>
      </c>
      <c r="B445" s="8" t="s">
        <v>377</v>
      </c>
      <c r="C445" s="8" t="s">
        <v>968</v>
      </c>
      <c r="D445" s="26" t="n">
        <v>0</v>
      </c>
      <c r="E445" s="26" t="n">
        <v>0</v>
      </c>
      <c r="F445" s="26" t="n">
        <v>0</v>
      </c>
      <c r="G445" s="26" t="n">
        <v>0</v>
      </c>
      <c r="H445" s="26" t="n">
        <v>0</v>
      </c>
      <c r="I445" s="26" t="n">
        <v>-118.8</v>
      </c>
      <c r="J445" s="26" t="n">
        <v>0</v>
      </c>
      <c r="K445" s="26" t="n">
        <v>0</v>
      </c>
      <c r="L445" s="26" t="n">
        <v>0</v>
      </c>
      <c r="M445" s="26" t="n">
        <v>0</v>
      </c>
      <c r="N445" s="26" t="n">
        <v>0</v>
      </c>
      <c r="O445" s="26" t="n">
        <v>0</v>
      </c>
      <c r="P445" s="26" t="n">
        <v>0</v>
      </c>
      <c r="Q445" s="26" t="n">
        <v>-118.8</v>
      </c>
      <c r="R445" s="26" t="n">
        <v>0</v>
      </c>
      <c r="S445" s="26" t="n">
        <v>0</v>
      </c>
      <c r="T445" s="26" t="n">
        <v>0</v>
      </c>
      <c r="U445" s="26" t="n">
        <v>0</v>
      </c>
    </row>
    <row r="446" customFormat="false" ht="15" hidden="false" customHeight="true" outlineLevel="0" collapsed="false">
      <c r="A446" s="8" t="s">
        <v>407</v>
      </c>
      <c r="B446" s="8" t="s">
        <v>368</v>
      </c>
      <c r="C446" s="8" t="s">
        <v>968</v>
      </c>
      <c r="D446" s="26" t="n">
        <v>0</v>
      </c>
      <c r="E446" s="26" t="n">
        <v>0</v>
      </c>
      <c r="F446" s="26" t="n">
        <v>0</v>
      </c>
      <c r="G446" s="26" t="n">
        <v>0</v>
      </c>
      <c r="H446" s="26" t="n">
        <v>0</v>
      </c>
      <c r="I446" s="26" t="n">
        <v>-240.3</v>
      </c>
      <c r="J446" s="26" t="n">
        <v>0</v>
      </c>
      <c r="K446" s="26" t="n">
        <v>0</v>
      </c>
      <c r="L446" s="26" t="n">
        <v>0</v>
      </c>
      <c r="M446" s="26" t="n">
        <v>0</v>
      </c>
      <c r="N446" s="26" t="n">
        <v>0</v>
      </c>
      <c r="O446" s="26" t="n">
        <v>0</v>
      </c>
      <c r="P446" s="26" t="n">
        <v>-121.5</v>
      </c>
      <c r="Q446" s="26" t="n">
        <v>-118.8</v>
      </c>
      <c r="R446" s="26" t="n">
        <v>0</v>
      </c>
      <c r="S446" s="26" t="n">
        <v>0</v>
      </c>
      <c r="T446" s="26" t="n">
        <v>0</v>
      </c>
      <c r="U446" s="26" t="n">
        <v>0</v>
      </c>
    </row>
    <row r="447" customFormat="false" ht="15" hidden="false" customHeight="true" outlineLevel="0" collapsed="false">
      <c r="A447" s="8" t="s">
        <v>407</v>
      </c>
      <c r="B447" s="8" t="s">
        <v>252</v>
      </c>
      <c r="C447" s="8" t="s">
        <v>880</v>
      </c>
      <c r="D447" s="26" t="n">
        <v>0</v>
      </c>
      <c r="E447" s="26" t="n">
        <v>0</v>
      </c>
      <c r="F447" s="26" t="n">
        <v>407</v>
      </c>
      <c r="G447" s="26" t="n">
        <v>0</v>
      </c>
      <c r="H447" s="26" t="n">
        <v>0</v>
      </c>
      <c r="I447" s="26" t="n">
        <v>3300.4</v>
      </c>
      <c r="J447" s="26" t="n">
        <v>0</v>
      </c>
      <c r="K447" s="26" t="n">
        <v>0</v>
      </c>
      <c r="L447" s="26" t="n">
        <v>0</v>
      </c>
      <c r="M447" s="26" t="n">
        <v>0</v>
      </c>
      <c r="N447" s="26" t="n">
        <v>0</v>
      </c>
      <c r="O447" s="26" t="n">
        <v>0</v>
      </c>
      <c r="P447" s="26" t="n">
        <v>0</v>
      </c>
      <c r="Q447" s="26" t="n">
        <v>3300.4</v>
      </c>
      <c r="R447" s="26" t="n">
        <v>0</v>
      </c>
      <c r="S447" s="26" t="n">
        <v>0</v>
      </c>
      <c r="T447" s="26" t="n">
        <v>0</v>
      </c>
      <c r="U447" s="26" t="n">
        <v>0</v>
      </c>
    </row>
    <row r="448" customFormat="false" ht="15" hidden="false" customHeight="true" outlineLevel="0" collapsed="false">
      <c r="A448" s="8" t="s">
        <v>407</v>
      </c>
      <c r="B448" s="8" t="s">
        <v>245</v>
      </c>
      <c r="C448" s="8" t="s">
        <v>880</v>
      </c>
      <c r="D448" s="26" t="n">
        <v>0</v>
      </c>
      <c r="E448" s="26" t="n">
        <v>0</v>
      </c>
      <c r="F448" s="26" t="n">
        <v>591.7</v>
      </c>
      <c r="G448" s="26" t="n">
        <v>0</v>
      </c>
      <c r="H448" s="26" t="n">
        <v>0</v>
      </c>
      <c r="I448" s="26" t="n">
        <v>4690.8</v>
      </c>
      <c r="J448" s="26" t="n">
        <v>0</v>
      </c>
      <c r="K448" s="26" t="n">
        <v>0</v>
      </c>
      <c r="L448" s="26" t="n">
        <v>0</v>
      </c>
      <c r="M448" s="26" t="n">
        <v>0</v>
      </c>
      <c r="N448" s="26" t="n">
        <v>0</v>
      </c>
      <c r="O448" s="26" t="n">
        <v>0</v>
      </c>
      <c r="P448" s="26" t="n">
        <v>0</v>
      </c>
      <c r="Q448" s="26" t="n">
        <v>4690.8</v>
      </c>
      <c r="R448" s="26" t="n">
        <v>0</v>
      </c>
      <c r="S448" s="26" t="n">
        <v>0</v>
      </c>
      <c r="T448" s="26" t="n">
        <v>0</v>
      </c>
      <c r="U448" s="26" t="n">
        <v>0</v>
      </c>
    </row>
    <row r="449" customFormat="false" ht="15" hidden="false" customHeight="true" outlineLevel="0" collapsed="false">
      <c r="A449" s="8" t="s">
        <v>407</v>
      </c>
      <c r="B449" s="8" t="s">
        <v>253</v>
      </c>
      <c r="C449" s="8" t="s">
        <v>880</v>
      </c>
      <c r="D449" s="26" t="n">
        <v>0</v>
      </c>
      <c r="E449" s="26" t="n">
        <v>0</v>
      </c>
      <c r="F449" s="26" t="n">
        <v>322.1</v>
      </c>
      <c r="G449" s="26" t="n">
        <v>0</v>
      </c>
      <c r="H449" s="26" t="n">
        <v>0</v>
      </c>
      <c r="I449" s="26" t="n">
        <v>4514.3</v>
      </c>
      <c r="J449" s="26" t="n">
        <v>0</v>
      </c>
      <c r="K449" s="26" t="n">
        <v>0</v>
      </c>
      <c r="L449" s="26" t="n">
        <v>0</v>
      </c>
      <c r="M449" s="26" t="n">
        <v>0</v>
      </c>
      <c r="N449" s="26" t="n">
        <v>37.5</v>
      </c>
      <c r="O449" s="26" t="n">
        <v>0</v>
      </c>
      <c r="P449" s="26" t="n">
        <v>0</v>
      </c>
      <c r="Q449" s="26" t="n">
        <v>4476.9</v>
      </c>
      <c r="R449" s="26" t="n">
        <v>0</v>
      </c>
      <c r="S449" s="26" t="n">
        <v>0</v>
      </c>
      <c r="T449" s="26" t="n">
        <v>0</v>
      </c>
      <c r="U449" s="26" t="n">
        <v>0</v>
      </c>
    </row>
    <row r="450" customFormat="false" ht="15" hidden="false" customHeight="true" outlineLevel="0" collapsed="false">
      <c r="A450" s="8" t="s">
        <v>407</v>
      </c>
      <c r="B450" s="8" t="s">
        <v>276</v>
      </c>
      <c r="C450" s="8" t="s">
        <v>880</v>
      </c>
      <c r="D450" s="26" t="n">
        <v>0</v>
      </c>
      <c r="E450" s="26" t="n">
        <v>0</v>
      </c>
      <c r="F450" s="26" t="n">
        <v>184.8</v>
      </c>
      <c r="G450" s="26" t="n">
        <v>0</v>
      </c>
      <c r="H450" s="26" t="n">
        <v>0</v>
      </c>
      <c r="I450" s="26" t="n">
        <v>993.8</v>
      </c>
      <c r="J450" s="26" t="n">
        <v>0</v>
      </c>
      <c r="K450" s="26" t="n">
        <v>0</v>
      </c>
      <c r="L450" s="26" t="n">
        <v>0</v>
      </c>
      <c r="M450" s="26" t="n">
        <v>0</v>
      </c>
      <c r="N450" s="26" t="n">
        <v>0</v>
      </c>
      <c r="O450" s="26" t="n">
        <v>0</v>
      </c>
      <c r="P450" s="26" t="n">
        <v>0</v>
      </c>
      <c r="Q450" s="26" t="n">
        <v>993.8</v>
      </c>
      <c r="R450" s="26" t="n">
        <v>0</v>
      </c>
      <c r="S450" s="26" t="n">
        <v>0</v>
      </c>
      <c r="T450" s="26" t="n">
        <v>0</v>
      </c>
      <c r="U450" s="26" t="n">
        <v>0</v>
      </c>
    </row>
    <row r="451" customFormat="false" ht="15" hidden="false" customHeight="true" outlineLevel="0" collapsed="false">
      <c r="A451" s="8" t="s">
        <v>407</v>
      </c>
      <c r="B451" s="8" t="s">
        <v>247</v>
      </c>
      <c r="C451" s="8" t="s">
        <v>881</v>
      </c>
      <c r="D451" s="26" t="n">
        <v>0</v>
      </c>
      <c r="E451" s="26" t="n">
        <v>0</v>
      </c>
      <c r="F451" s="26" t="n">
        <v>512</v>
      </c>
      <c r="G451" s="26" t="n">
        <v>0</v>
      </c>
      <c r="H451" s="26" t="n">
        <v>0</v>
      </c>
      <c r="I451" s="26" t="n">
        <v>5400.6</v>
      </c>
      <c r="J451" s="26" t="n">
        <v>0</v>
      </c>
      <c r="K451" s="26" t="n">
        <v>0</v>
      </c>
      <c r="L451" s="26" t="n">
        <v>0</v>
      </c>
      <c r="M451" s="26" t="n">
        <v>0</v>
      </c>
      <c r="N451" s="26" t="n">
        <v>0</v>
      </c>
      <c r="O451" s="26" t="n">
        <v>0</v>
      </c>
      <c r="P451" s="26" t="n">
        <v>0</v>
      </c>
      <c r="Q451" s="26" t="n">
        <v>5400.6</v>
      </c>
      <c r="R451" s="26" t="n">
        <v>0</v>
      </c>
      <c r="S451" s="26" t="n">
        <v>0</v>
      </c>
      <c r="T451" s="26" t="n">
        <v>0</v>
      </c>
      <c r="U451" s="26" t="n">
        <v>0</v>
      </c>
    </row>
    <row r="452" customFormat="false" ht="15" hidden="false" customHeight="true" outlineLevel="0" collapsed="false">
      <c r="A452" s="8" t="s">
        <v>407</v>
      </c>
      <c r="B452" s="8" t="s">
        <v>243</v>
      </c>
      <c r="C452" s="8" t="s">
        <v>881</v>
      </c>
      <c r="D452" s="26" t="n">
        <v>0</v>
      </c>
      <c r="E452" s="26" t="n">
        <v>0</v>
      </c>
      <c r="F452" s="26" t="n">
        <v>1063.8</v>
      </c>
      <c r="G452" s="26" t="n">
        <v>0</v>
      </c>
      <c r="H452" s="26" t="n">
        <v>0</v>
      </c>
      <c r="I452" s="26" t="n">
        <v>9579</v>
      </c>
      <c r="J452" s="26" t="n">
        <v>0</v>
      </c>
      <c r="K452" s="26" t="n">
        <v>0</v>
      </c>
      <c r="L452" s="26" t="n">
        <v>0</v>
      </c>
      <c r="M452" s="26" t="n">
        <v>0</v>
      </c>
      <c r="N452" s="26" t="n">
        <v>0</v>
      </c>
      <c r="O452" s="26" t="n">
        <v>0</v>
      </c>
      <c r="P452" s="26" t="n">
        <v>0</v>
      </c>
      <c r="Q452" s="26" t="n">
        <v>9579</v>
      </c>
      <c r="R452" s="26" t="n">
        <v>0</v>
      </c>
      <c r="S452" s="26" t="n">
        <v>0</v>
      </c>
      <c r="T452" s="26" t="n">
        <v>0</v>
      </c>
      <c r="U452" s="26" t="n">
        <v>0</v>
      </c>
    </row>
    <row r="453" customFormat="false" ht="15" hidden="false" customHeight="true" outlineLevel="0" collapsed="false">
      <c r="A453" s="8" t="s">
        <v>407</v>
      </c>
      <c r="B453" s="8" t="s">
        <v>271</v>
      </c>
      <c r="C453" s="8" t="s">
        <v>881</v>
      </c>
      <c r="D453" s="26" t="n">
        <v>0</v>
      </c>
      <c r="E453" s="26" t="n">
        <v>0</v>
      </c>
      <c r="F453" s="26" t="n">
        <v>1016</v>
      </c>
      <c r="G453" s="26" t="n">
        <v>0</v>
      </c>
      <c r="H453" s="26" t="n">
        <v>0</v>
      </c>
      <c r="I453" s="26" t="n">
        <v>7189.1</v>
      </c>
      <c r="J453" s="26" t="n">
        <v>0</v>
      </c>
      <c r="K453" s="26" t="n">
        <v>0</v>
      </c>
      <c r="L453" s="26" t="n">
        <v>0</v>
      </c>
      <c r="M453" s="26" t="n">
        <v>0</v>
      </c>
      <c r="N453" s="26" t="n">
        <v>0</v>
      </c>
      <c r="O453" s="26" t="n">
        <v>0</v>
      </c>
      <c r="P453" s="26" t="n">
        <v>0</v>
      </c>
      <c r="Q453" s="26" t="n">
        <v>7189.1</v>
      </c>
      <c r="R453" s="26" t="n">
        <v>0</v>
      </c>
      <c r="S453" s="26" t="n">
        <v>0</v>
      </c>
      <c r="T453" s="26" t="n">
        <v>0</v>
      </c>
      <c r="U453" s="26" t="n">
        <v>0</v>
      </c>
    </row>
    <row r="454" customFormat="false" ht="15" hidden="false" customHeight="true" outlineLevel="0" collapsed="false">
      <c r="A454" s="8" t="s">
        <v>407</v>
      </c>
      <c r="B454" s="8" t="s">
        <v>261</v>
      </c>
      <c r="C454" s="8" t="s">
        <v>881</v>
      </c>
      <c r="D454" s="26" t="n">
        <v>0</v>
      </c>
      <c r="E454" s="26" t="n">
        <v>0</v>
      </c>
      <c r="F454" s="26" t="n">
        <v>199</v>
      </c>
      <c r="G454" s="26" t="n">
        <v>0</v>
      </c>
      <c r="H454" s="26" t="n">
        <v>0</v>
      </c>
      <c r="I454" s="26" t="n">
        <v>1600</v>
      </c>
      <c r="J454" s="26" t="n">
        <v>0</v>
      </c>
      <c r="K454" s="26" t="n">
        <v>0</v>
      </c>
      <c r="L454" s="26" t="n">
        <v>0</v>
      </c>
      <c r="M454" s="26" t="n">
        <v>0</v>
      </c>
      <c r="N454" s="26" t="n">
        <v>0</v>
      </c>
      <c r="O454" s="26" t="n">
        <v>0</v>
      </c>
      <c r="P454" s="26" t="n">
        <v>0</v>
      </c>
      <c r="Q454" s="26" t="n">
        <v>1600</v>
      </c>
      <c r="R454" s="26" t="n">
        <v>0</v>
      </c>
      <c r="S454" s="26" t="n">
        <v>0</v>
      </c>
      <c r="T454" s="26" t="n">
        <v>0</v>
      </c>
      <c r="U454" s="26" t="n">
        <v>0</v>
      </c>
    </row>
    <row r="455" customFormat="false" ht="15" hidden="false" customHeight="true" outlineLevel="0" collapsed="false">
      <c r="A455" s="8" t="s">
        <v>407</v>
      </c>
      <c r="B455" s="8" t="s">
        <v>164</v>
      </c>
      <c r="C455" s="8" t="s">
        <v>882</v>
      </c>
      <c r="D455" s="26" t="n">
        <v>0</v>
      </c>
      <c r="E455" s="26" t="n">
        <v>0</v>
      </c>
      <c r="F455" s="26" t="n">
        <v>0</v>
      </c>
      <c r="G455" s="26" t="n">
        <v>0</v>
      </c>
      <c r="H455" s="26" t="n">
        <v>0</v>
      </c>
      <c r="I455" s="26" t="n">
        <v>-65.6</v>
      </c>
      <c r="J455" s="26" t="n">
        <v>0</v>
      </c>
      <c r="K455" s="26" t="n">
        <v>0</v>
      </c>
      <c r="L455" s="26" t="n">
        <v>0</v>
      </c>
      <c r="M455" s="26" t="n">
        <v>0</v>
      </c>
      <c r="N455" s="26" t="n">
        <v>0</v>
      </c>
      <c r="O455" s="26" t="n">
        <v>0</v>
      </c>
      <c r="P455" s="26" t="n">
        <v>-65.6</v>
      </c>
      <c r="Q455" s="26" t="n">
        <v>0</v>
      </c>
      <c r="R455" s="26" t="n">
        <v>0</v>
      </c>
      <c r="S455" s="26" t="n">
        <v>0</v>
      </c>
      <c r="T455" s="26" t="n">
        <v>0</v>
      </c>
      <c r="U455" s="26" t="n">
        <v>0</v>
      </c>
    </row>
    <row r="456" customFormat="false" ht="15" hidden="false" customHeight="true" outlineLevel="0" collapsed="false">
      <c r="A456" s="8" t="s">
        <v>407</v>
      </c>
      <c r="B456" s="8" t="s">
        <v>164</v>
      </c>
      <c r="C456" s="8" t="s">
        <v>883</v>
      </c>
      <c r="D456" s="26" t="n">
        <v>0</v>
      </c>
      <c r="E456" s="26" t="n">
        <v>0</v>
      </c>
      <c r="F456" s="26" t="n">
        <v>2191.9</v>
      </c>
      <c r="G456" s="26" t="n">
        <v>0</v>
      </c>
      <c r="H456" s="26" t="n">
        <v>0</v>
      </c>
      <c r="I456" s="26" t="n">
        <v>196.9</v>
      </c>
      <c r="J456" s="26" t="n">
        <v>0</v>
      </c>
      <c r="K456" s="26" t="n">
        <v>0</v>
      </c>
      <c r="L456" s="26" t="n">
        <v>0</v>
      </c>
      <c r="M456" s="26" t="n">
        <v>0</v>
      </c>
      <c r="N456" s="26" t="n">
        <v>0</v>
      </c>
      <c r="O456" s="26" t="n">
        <v>0</v>
      </c>
      <c r="P456" s="26" t="n">
        <v>-65.6</v>
      </c>
      <c r="Q456" s="26" t="n">
        <v>0</v>
      </c>
      <c r="R456" s="26" t="n">
        <v>262.5</v>
      </c>
      <c r="S456" s="26" t="n">
        <v>0</v>
      </c>
      <c r="T456" s="26" t="n">
        <v>0</v>
      </c>
      <c r="U456" s="26" t="n">
        <v>0</v>
      </c>
    </row>
    <row r="457" customFormat="false" ht="15" hidden="false" customHeight="true" outlineLevel="0" collapsed="false">
      <c r="A457" s="8" t="s">
        <v>407</v>
      </c>
      <c r="B457" s="8" t="s">
        <v>223</v>
      </c>
      <c r="C457" s="8" t="s">
        <v>969</v>
      </c>
      <c r="D457" s="26" t="n">
        <v>0</v>
      </c>
      <c r="E457" s="26" t="n">
        <v>0</v>
      </c>
      <c r="F457" s="26" t="n">
        <v>294.2</v>
      </c>
      <c r="G457" s="26" t="n">
        <v>0</v>
      </c>
      <c r="H457" s="26" t="n">
        <v>0</v>
      </c>
      <c r="I457" s="26" t="n">
        <v>0</v>
      </c>
      <c r="J457" s="26" t="n">
        <v>0</v>
      </c>
      <c r="K457" s="26" t="n">
        <v>0</v>
      </c>
      <c r="L457" s="26" t="n">
        <v>0</v>
      </c>
      <c r="M457" s="26" t="n">
        <v>0</v>
      </c>
      <c r="N457" s="26" t="n">
        <v>0</v>
      </c>
      <c r="O457" s="26" t="n">
        <v>0</v>
      </c>
      <c r="P457" s="26" t="n">
        <v>0</v>
      </c>
      <c r="Q457" s="26" t="n">
        <v>0</v>
      </c>
      <c r="R457" s="26" t="n">
        <v>0</v>
      </c>
      <c r="S457" s="26" t="n">
        <v>0</v>
      </c>
      <c r="T457" s="26" t="n">
        <v>0</v>
      </c>
      <c r="U457" s="26" t="n">
        <v>0</v>
      </c>
    </row>
    <row r="458" customFormat="false" ht="15" hidden="false" customHeight="true" outlineLevel="0" collapsed="false">
      <c r="A458" s="8" t="s">
        <v>407</v>
      </c>
      <c r="B458" s="8" t="s">
        <v>223</v>
      </c>
      <c r="C458" s="8" t="s">
        <v>970</v>
      </c>
      <c r="D458" s="26" t="n">
        <v>0</v>
      </c>
      <c r="E458" s="26" t="n">
        <v>0</v>
      </c>
      <c r="F458" s="26" t="n">
        <v>367.7</v>
      </c>
      <c r="G458" s="26" t="n">
        <v>0</v>
      </c>
      <c r="H458" s="26" t="n">
        <v>0</v>
      </c>
      <c r="I458" s="26" t="n">
        <v>0</v>
      </c>
      <c r="J458" s="26" t="n">
        <v>0</v>
      </c>
      <c r="K458" s="26" t="n">
        <v>0</v>
      </c>
      <c r="L458" s="26" t="n">
        <v>0</v>
      </c>
      <c r="M458" s="26" t="n">
        <v>0</v>
      </c>
      <c r="N458" s="26" t="n">
        <v>0</v>
      </c>
      <c r="O458" s="26" t="n">
        <v>0</v>
      </c>
      <c r="P458" s="26" t="n">
        <v>0</v>
      </c>
      <c r="Q458" s="26" t="n">
        <v>0</v>
      </c>
      <c r="R458" s="26" t="n">
        <v>0</v>
      </c>
      <c r="S458" s="26" t="n">
        <v>0</v>
      </c>
      <c r="T458" s="26" t="n">
        <v>0</v>
      </c>
      <c r="U458" s="26" t="n">
        <v>0</v>
      </c>
    </row>
    <row r="459" customFormat="false" ht="15" hidden="false" customHeight="true" outlineLevel="0" collapsed="false">
      <c r="A459" s="8" t="s">
        <v>407</v>
      </c>
      <c r="B459" s="8" t="s">
        <v>223</v>
      </c>
      <c r="C459" s="8" t="s">
        <v>971</v>
      </c>
      <c r="D459" s="26" t="n">
        <v>0</v>
      </c>
      <c r="E459" s="26" t="n">
        <v>0</v>
      </c>
      <c r="F459" s="26" t="n">
        <v>215.7</v>
      </c>
      <c r="G459" s="26" t="n">
        <v>0</v>
      </c>
      <c r="H459" s="26" t="n">
        <v>0</v>
      </c>
      <c r="I459" s="26" t="n">
        <v>0</v>
      </c>
      <c r="J459" s="26" t="n">
        <v>0</v>
      </c>
      <c r="K459" s="26" t="n">
        <v>0</v>
      </c>
      <c r="L459" s="26" t="n">
        <v>0</v>
      </c>
      <c r="M459" s="26" t="n">
        <v>0</v>
      </c>
      <c r="N459" s="26" t="n">
        <v>0</v>
      </c>
      <c r="O459" s="26" t="n">
        <v>0</v>
      </c>
      <c r="P459" s="26" t="n">
        <v>0</v>
      </c>
      <c r="Q459" s="26" t="n">
        <v>0</v>
      </c>
      <c r="R459" s="26" t="n">
        <v>0</v>
      </c>
      <c r="S459" s="26" t="n">
        <v>0</v>
      </c>
      <c r="T459" s="26" t="n">
        <v>0</v>
      </c>
      <c r="U459" s="26" t="n">
        <v>0</v>
      </c>
    </row>
    <row r="460" customFormat="false" ht="15" hidden="false" customHeight="true" outlineLevel="0" collapsed="false">
      <c r="A460" s="8" t="s">
        <v>407</v>
      </c>
      <c r="B460" s="8" t="s">
        <v>282</v>
      </c>
      <c r="C460" s="8" t="s">
        <v>884</v>
      </c>
      <c r="D460" s="26" t="n">
        <v>0</v>
      </c>
      <c r="E460" s="26" t="n">
        <v>0</v>
      </c>
      <c r="F460" s="26" t="n">
        <v>2648.4</v>
      </c>
      <c r="G460" s="26" t="n">
        <v>0</v>
      </c>
      <c r="H460" s="26" t="n">
        <v>0</v>
      </c>
      <c r="I460" s="26" t="n">
        <v>27867.7</v>
      </c>
      <c r="J460" s="26" t="n">
        <v>0</v>
      </c>
      <c r="K460" s="26" t="n">
        <v>88.2</v>
      </c>
      <c r="L460" s="26" t="n">
        <v>0</v>
      </c>
      <c r="M460" s="26" t="n">
        <v>0</v>
      </c>
      <c r="N460" s="26" t="n">
        <v>0</v>
      </c>
      <c r="O460" s="26" t="n">
        <v>0</v>
      </c>
      <c r="P460" s="26" t="n">
        <v>0</v>
      </c>
      <c r="Q460" s="26" t="n">
        <v>26677.6</v>
      </c>
      <c r="R460" s="26" t="n">
        <v>1102</v>
      </c>
      <c r="S460" s="26" t="n">
        <v>0</v>
      </c>
      <c r="T460" s="26" t="n">
        <v>0</v>
      </c>
      <c r="U460" s="26" t="n">
        <v>0</v>
      </c>
    </row>
    <row r="461" customFormat="false" ht="15" hidden="false" customHeight="true" outlineLevel="0" collapsed="false">
      <c r="A461" s="8" t="s">
        <v>407</v>
      </c>
      <c r="B461" s="8" t="s">
        <v>95</v>
      </c>
      <c r="C461" s="8" t="s">
        <v>885</v>
      </c>
      <c r="D461" s="26" t="n">
        <v>0</v>
      </c>
      <c r="E461" s="26" t="n">
        <v>0</v>
      </c>
      <c r="F461" s="26" t="n">
        <v>57670.6</v>
      </c>
      <c r="G461" s="26" t="n">
        <v>0</v>
      </c>
      <c r="H461" s="26" t="n">
        <v>0</v>
      </c>
      <c r="I461" s="26" t="n">
        <v>88830.6</v>
      </c>
      <c r="J461" s="26" t="n">
        <v>0</v>
      </c>
      <c r="K461" s="26" t="n">
        <v>1351.5</v>
      </c>
      <c r="L461" s="26" t="n">
        <v>0</v>
      </c>
      <c r="M461" s="26" t="n">
        <v>318.5</v>
      </c>
      <c r="N461" s="26" t="n">
        <v>-7</v>
      </c>
      <c r="O461" s="26" t="n">
        <v>0</v>
      </c>
      <c r="P461" s="26" t="n">
        <v>0</v>
      </c>
      <c r="Q461" s="26" t="n">
        <v>82238.6</v>
      </c>
      <c r="R461" s="26" t="n">
        <v>4929</v>
      </c>
      <c r="S461" s="26" t="n">
        <v>74.3</v>
      </c>
      <c r="T461" s="26" t="n">
        <v>0</v>
      </c>
      <c r="U461" s="26" t="n">
        <v>-318.5</v>
      </c>
    </row>
    <row r="462" customFormat="false" ht="15" hidden="false" customHeight="true" outlineLevel="0" collapsed="false">
      <c r="A462" s="8" t="s">
        <v>407</v>
      </c>
      <c r="B462" s="8" t="s">
        <v>177</v>
      </c>
      <c r="C462" s="8" t="s">
        <v>886</v>
      </c>
      <c r="D462" s="26" t="n">
        <v>0</v>
      </c>
      <c r="E462" s="26" t="n">
        <v>0</v>
      </c>
      <c r="F462" s="26" t="n">
        <v>5762.2</v>
      </c>
      <c r="G462" s="26" t="n">
        <v>0</v>
      </c>
      <c r="H462" s="26" t="n">
        <v>0</v>
      </c>
      <c r="I462" s="26" t="n">
        <v>11372.4</v>
      </c>
      <c r="J462" s="26" t="n">
        <v>0</v>
      </c>
      <c r="K462" s="26" t="n">
        <v>48.5</v>
      </c>
      <c r="L462" s="26" t="n">
        <v>0</v>
      </c>
      <c r="M462" s="26" t="n">
        <v>0</v>
      </c>
      <c r="N462" s="26" t="n">
        <v>52</v>
      </c>
      <c r="O462" s="26" t="n">
        <v>0</v>
      </c>
      <c r="P462" s="26" t="n">
        <v>0</v>
      </c>
      <c r="Q462" s="26" t="n">
        <v>10544.6</v>
      </c>
      <c r="R462" s="26" t="n">
        <v>727.4</v>
      </c>
      <c r="S462" s="26" t="n">
        <v>0</v>
      </c>
      <c r="T462" s="26" t="n">
        <v>0</v>
      </c>
      <c r="U462" s="26" t="n">
        <v>0</v>
      </c>
    </row>
    <row r="463" customFormat="false" ht="15" hidden="false" customHeight="true" outlineLevel="0" collapsed="false">
      <c r="A463" s="8" t="s">
        <v>407</v>
      </c>
      <c r="B463" s="8" t="s">
        <v>95</v>
      </c>
      <c r="C463" s="8" t="s">
        <v>887</v>
      </c>
      <c r="D463" s="26" t="n">
        <v>0</v>
      </c>
      <c r="E463" s="26" t="n">
        <v>0</v>
      </c>
      <c r="F463" s="26" t="n">
        <v>3860</v>
      </c>
      <c r="G463" s="26" t="n">
        <v>0</v>
      </c>
      <c r="H463" s="26" t="n">
        <v>0</v>
      </c>
      <c r="I463" s="26" t="n">
        <v>27476.6</v>
      </c>
      <c r="J463" s="26" t="n">
        <v>0</v>
      </c>
      <c r="K463" s="26" t="n">
        <v>0</v>
      </c>
      <c r="L463" s="26" t="n">
        <v>0</v>
      </c>
      <c r="M463" s="26" t="n">
        <v>0</v>
      </c>
      <c r="N463" s="26" t="n">
        <v>0</v>
      </c>
      <c r="O463" s="26" t="n">
        <v>0</v>
      </c>
      <c r="P463" s="26" t="n">
        <v>0</v>
      </c>
      <c r="Q463" s="26" t="n">
        <v>27476.6</v>
      </c>
      <c r="R463" s="26" t="n">
        <v>0</v>
      </c>
      <c r="S463" s="26" t="n">
        <v>0</v>
      </c>
      <c r="T463" s="26" t="n">
        <v>0</v>
      </c>
      <c r="U463" s="26" t="n">
        <v>0</v>
      </c>
    </row>
    <row r="464" customFormat="false" ht="15" hidden="false" customHeight="true" outlineLevel="0" collapsed="false">
      <c r="A464" s="8" t="s">
        <v>407</v>
      </c>
      <c r="B464" s="8" t="s">
        <v>98</v>
      </c>
      <c r="C464" s="8" t="s">
        <v>889</v>
      </c>
      <c r="D464" s="26" t="n">
        <v>0</v>
      </c>
      <c r="E464" s="26" t="n">
        <v>0</v>
      </c>
      <c r="F464" s="26" t="n">
        <v>5517</v>
      </c>
      <c r="G464" s="26" t="n">
        <v>0</v>
      </c>
      <c r="H464" s="26" t="n">
        <v>0</v>
      </c>
      <c r="I464" s="26" t="n">
        <v>92.7</v>
      </c>
      <c r="J464" s="26" t="n">
        <v>0</v>
      </c>
      <c r="K464" s="26" t="n">
        <v>0</v>
      </c>
      <c r="L464" s="26" t="n">
        <v>0</v>
      </c>
      <c r="M464" s="26" t="n">
        <v>0</v>
      </c>
      <c r="N464" s="26" t="n">
        <v>92.7</v>
      </c>
      <c r="O464" s="26" t="n">
        <v>0</v>
      </c>
      <c r="P464" s="26" t="n">
        <v>0</v>
      </c>
      <c r="Q464" s="26" t="n">
        <v>0</v>
      </c>
      <c r="R464" s="26" t="n">
        <v>0</v>
      </c>
      <c r="S464" s="26" t="n">
        <v>0</v>
      </c>
      <c r="T464" s="26" t="n">
        <v>0</v>
      </c>
      <c r="U464" s="26" t="n">
        <v>0</v>
      </c>
    </row>
    <row r="465" customFormat="false" ht="15" hidden="false" customHeight="true" outlineLevel="0" collapsed="false">
      <c r="A465" s="8" t="s">
        <v>407</v>
      </c>
      <c r="B465" s="8" t="s">
        <v>98</v>
      </c>
      <c r="C465" s="8" t="s">
        <v>890</v>
      </c>
      <c r="D465" s="26" t="n">
        <v>0</v>
      </c>
      <c r="E465" s="26" t="n">
        <v>0</v>
      </c>
      <c r="F465" s="26" t="n">
        <v>2957.2</v>
      </c>
      <c r="G465" s="26" t="n">
        <v>0</v>
      </c>
      <c r="H465" s="26" t="n">
        <v>0</v>
      </c>
      <c r="I465" s="26" t="n">
        <v>61.8</v>
      </c>
      <c r="J465" s="26" t="n">
        <v>0</v>
      </c>
      <c r="K465" s="26" t="n">
        <v>0</v>
      </c>
      <c r="L465" s="26" t="n">
        <v>0</v>
      </c>
      <c r="M465" s="26" t="n">
        <v>0</v>
      </c>
      <c r="N465" s="26" t="n">
        <v>61.8</v>
      </c>
      <c r="O465" s="26" t="n">
        <v>0</v>
      </c>
      <c r="P465" s="26" t="n">
        <v>0</v>
      </c>
      <c r="Q465" s="26" t="n">
        <v>0</v>
      </c>
      <c r="R465" s="26" t="n">
        <v>0</v>
      </c>
      <c r="S465" s="26" t="n">
        <v>0</v>
      </c>
      <c r="T465" s="26" t="n">
        <v>0</v>
      </c>
      <c r="U465" s="26" t="n">
        <v>0</v>
      </c>
    </row>
    <row r="466" customFormat="false" ht="15" hidden="false" customHeight="true" outlineLevel="0" collapsed="false">
      <c r="A466" s="8" t="s">
        <v>407</v>
      </c>
      <c r="B466" s="8" t="s">
        <v>98</v>
      </c>
      <c r="C466" s="8" t="s">
        <v>891</v>
      </c>
      <c r="D466" s="26" t="n">
        <v>0</v>
      </c>
      <c r="E466" s="26" t="n">
        <v>0</v>
      </c>
      <c r="F466" s="26" t="n">
        <v>4392.6</v>
      </c>
      <c r="G466" s="26" t="n">
        <v>0</v>
      </c>
      <c r="H466" s="26" t="n">
        <v>0</v>
      </c>
      <c r="I466" s="26" t="n">
        <v>92.7</v>
      </c>
      <c r="J466" s="26" t="n">
        <v>0</v>
      </c>
      <c r="K466" s="26" t="n">
        <v>0</v>
      </c>
      <c r="L466" s="26" t="n">
        <v>0</v>
      </c>
      <c r="M466" s="26" t="n">
        <v>0</v>
      </c>
      <c r="N466" s="26" t="n">
        <v>92.7</v>
      </c>
      <c r="O466" s="26" t="n">
        <v>0</v>
      </c>
      <c r="P466" s="26" t="n">
        <v>0</v>
      </c>
      <c r="Q466" s="26" t="n">
        <v>0</v>
      </c>
      <c r="R466" s="26" t="n">
        <v>0</v>
      </c>
      <c r="S466" s="26" t="n">
        <v>0</v>
      </c>
      <c r="T466" s="26" t="n">
        <v>0</v>
      </c>
      <c r="U466" s="26" t="n">
        <v>0</v>
      </c>
    </row>
    <row r="467" customFormat="false" ht="15" hidden="false" customHeight="true" outlineLevel="0" collapsed="false">
      <c r="A467" s="8" t="s">
        <v>407</v>
      </c>
      <c r="B467" s="8" t="s">
        <v>98</v>
      </c>
      <c r="C467" s="8" t="s">
        <v>892</v>
      </c>
      <c r="D467" s="26" t="n">
        <v>0</v>
      </c>
      <c r="E467" s="26" t="n">
        <v>0</v>
      </c>
      <c r="F467" s="26" t="n">
        <v>2267.3</v>
      </c>
      <c r="G467" s="26" t="n">
        <v>0</v>
      </c>
      <c r="H467" s="26" t="n">
        <v>0</v>
      </c>
      <c r="I467" s="26" t="n">
        <v>92.7</v>
      </c>
      <c r="J467" s="26" t="n">
        <v>0</v>
      </c>
      <c r="K467" s="26" t="n">
        <v>0</v>
      </c>
      <c r="L467" s="26" t="n">
        <v>0</v>
      </c>
      <c r="M467" s="26" t="n">
        <v>0</v>
      </c>
      <c r="N467" s="26" t="n">
        <v>92.7</v>
      </c>
      <c r="O467" s="26" t="n">
        <v>0</v>
      </c>
      <c r="P467" s="26" t="n">
        <v>0</v>
      </c>
      <c r="Q467" s="26" t="n">
        <v>0</v>
      </c>
      <c r="R467" s="26" t="n">
        <v>0</v>
      </c>
      <c r="S467" s="26" t="n">
        <v>0</v>
      </c>
      <c r="T467" s="26" t="n">
        <v>0</v>
      </c>
      <c r="U467" s="26" t="n">
        <v>0</v>
      </c>
    </row>
    <row r="468" customFormat="false" ht="15" hidden="false" customHeight="true" outlineLevel="0" collapsed="false">
      <c r="A468" s="8" t="s">
        <v>407</v>
      </c>
      <c r="B468" s="8" t="s">
        <v>98</v>
      </c>
      <c r="C468" s="8" t="s">
        <v>893</v>
      </c>
      <c r="D468" s="26" t="n">
        <v>0</v>
      </c>
      <c r="E468" s="26" t="n">
        <v>0</v>
      </c>
      <c r="F468" s="26" t="n">
        <v>978.2</v>
      </c>
      <c r="G468" s="26" t="n">
        <v>0</v>
      </c>
      <c r="H468" s="26" t="n">
        <v>0</v>
      </c>
      <c r="I468" s="26" t="n">
        <v>30.9</v>
      </c>
      <c r="J468" s="26" t="n">
        <v>0</v>
      </c>
      <c r="K468" s="26" t="n">
        <v>0</v>
      </c>
      <c r="L468" s="26" t="n">
        <v>0</v>
      </c>
      <c r="M468" s="26" t="n">
        <v>0</v>
      </c>
      <c r="N468" s="26" t="n">
        <v>30.9</v>
      </c>
      <c r="O468" s="26" t="n">
        <v>0</v>
      </c>
      <c r="P468" s="26" t="n">
        <v>0</v>
      </c>
      <c r="Q468" s="26" t="n">
        <v>0</v>
      </c>
      <c r="R468" s="26" t="n">
        <v>0</v>
      </c>
      <c r="S468" s="26" t="n">
        <v>0</v>
      </c>
      <c r="T468" s="26" t="n">
        <v>0</v>
      </c>
      <c r="U468" s="26" t="n">
        <v>0</v>
      </c>
    </row>
    <row r="469" customFormat="false" ht="15" hidden="false" customHeight="true" outlineLevel="0" collapsed="false">
      <c r="A469" s="8" t="s">
        <v>407</v>
      </c>
      <c r="B469" s="8" t="s">
        <v>90</v>
      </c>
      <c r="C469" s="8" t="s">
        <v>894</v>
      </c>
      <c r="D469" s="26" t="n">
        <v>0</v>
      </c>
      <c r="E469" s="26" t="n">
        <v>0</v>
      </c>
      <c r="F469" s="26" t="n">
        <v>6711.4</v>
      </c>
      <c r="G469" s="26" t="n">
        <v>0</v>
      </c>
      <c r="H469" s="26" t="n">
        <v>0</v>
      </c>
      <c r="I469" s="26" t="n">
        <v>956.1</v>
      </c>
      <c r="J469" s="26" t="n">
        <v>0</v>
      </c>
      <c r="K469" s="26" t="n">
        <v>138.8</v>
      </c>
      <c r="L469" s="26" t="n">
        <v>0</v>
      </c>
      <c r="M469" s="26" t="n">
        <v>0</v>
      </c>
      <c r="N469" s="26" t="n">
        <v>123.6</v>
      </c>
      <c r="O469" s="26" t="n">
        <v>0</v>
      </c>
      <c r="P469" s="26" t="n">
        <v>0</v>
      </c>
      <c r="Q469" s="26" t="n">
        <v>0</v>
      </c>
      <c r="R469" s="26" t="n">
        <v>693.8</v>
      </c>
      <c r="S469" s="26" t="n">
        <v>0</v>
      </c>
      <c r="T469" s="26" t="n">
        <v>0</v>
      </c>
      <c r="U469" s="26" t="n">
        <v>0</v>
      </c>
    </row>
    <row r="470" customFormat="false" ht="15" hidden="false" customHeight="true" outlineLevel="0" collapsed="false">
      <c r="A470" s="8" t="s">
        <v>407</v>
      </c>
      <c r="B470" s="8" t="s">
        <v>90</v>
      </c>
      <c r="C470" s="8" t="s">
        <v>895</v>
      </c>
      <c r="D470" s="26" t="n">
        <v>0</v>
      </c>
      <c r="E470" s="26" t="n">
        <v>0</v>
      </c>
      <c r="F470" s="26" t="n">
        <v>4563.5</v>
      </c>
      <c r="G470" s="26" t="n">
        <v>0</v>
      </c>
      <c r="H470" s="26" t="n">
        <v>0</v>
      </c>
      <c r="I470" s="26" t="n">
        <v>650.8</v>
      </c>
      <c r="J470" s="26" t="n">
        <v>0</v>
      </c>
      <c r="K470" s="26" t="n">
        <v>0</v>
      </c>
      <c r="L470" s="26" t="n">
        <v>0</v>
      </c>
      <c r="M470" s="26" t="n">
        <v>0</v>
      </c>
      <c r="N470" s="26" t="n">
        <v>123.6</v>
      </c>
      <c r="O470" s="26" t="n">
        <v>0</v>
      </c>
      <c r="P470" s="26" t="n">
        <v>0</v>
      </c>
      <c r="Q470" s="26" t="n">
        <v>0</v>
      </c>
      <c r="R470" s="26" t="n">
        <v>527.3</v>
      </c>
      <c r="S470" s="26" t="n">
        <v>0</v>
      </c>
      <c r="T470" s="26" t="n">
        <v>0</v>
      </c>
      <c r="U470" s="26" t="n">
        <v>0</v>
      </c>
    </row>
    <row r="471" customFormat="false" ht="15" hidden="false" customHeight="true" outlineLevel="0" collapsed="false">
      <c r="A471" s="8" t="s">
        <v>407</v>
      </c>
      <c r="B471" s="8" t="s">
        <v>90</v>
      </c>
      <c r="C471" s="8" t="s">
        <v>896</v>
      </c>
      <c r="D471" s="26" t="n">
        <v>0</v>
      </c>
      <c r="E471" s="26" t="n">
        <v>0</v>
      </c>
      <c r="F471" s="26" t="n">
        <v>5117.5</v>
      </c>
      <c r="G471" s="26" t="n">
        <v>0</v>
      </c>
      <c r="H471" s="26" t="n">
        <v>0</v>
      </c>
      <c r="I471" s="26" t="n">
        <v>706.3</v>
      </c>
      <c r="J471" s="26" t="n">
        <v>0</v>
      </c>
      <c r="K471" s="26" t="n">
        <v>249.8</v>
      </c>
      <c r="L471" s="26" t="n">
        <v>0</v>
      </c>
      <c r="M471" s="26" t="n">
        <v>0</v>
      </c>
      <c r="N471" s="26" t="n">
        <v>123.6</v>
      </c>
      <c r="O471" s="26" t="n">
        <v>0</v>
      </c>
      <c r="P471" s="26" t="n">
        <v>0</v>
      </c>
      <c r="Q471" s="26" t="n">
        <v>0</v>
      </c>
      <c r="R471" s="26" t="n">
        <v>333</v>
      </c>
      <c r="S471" s="26" t="n">
        <v>0</v>
      </c>
      <c r="T471" s="26" t="n">
        <v>0</v>
      </c>
      <c r="U471" s="26" t="n">
        <v>0</v>
      </c>
    </row>
    <row r="472" customFormat="false" ht="15" hidden="false" customHeight="true" outlineLevel="0" collapsed="false">
      <c r="A472" s="8" t="s">
        <v>407</v>
      </c>
      <c r="B472" s="8" t="s">
        <v>90</v>
      </c>
      <c r="C472" s="8" t="s">
        <v>897</v>
      </c>
      <c r="D472" s="26" t="n">
        <v>0</v>
      </c>
      <c r="E472" s="26" t="n">
        <v>0</v>
      </c>
      <c r="F472" s="26" t="n">
        <v>2650.4</v>
      </c>
      <c r="G472" s="26" t="n">
        <v>0</v>
      </c>
      <c r="H472" s="26" t="n">
        <v>0</v>
      </c>
      <c r="I472" s="26" t="n">
        <v>533.5</v>
      </c>
      <c r="J472" s="26" t="n">
        <v>0</v>
      </c>
      <c r="K472" s="26" t="n">
        <v>111</v>
      </c>
      <c r="L472" s="26" t="n">
        <v>0</v>
      </c>
      <c r="M472" s="26" t="n">
        <v>0</v>
      </c>
      <c r="N472" s="26" t="n">
        <v>61.8</v>
      </c>
      <c r="O472" s="26" t="n">
        <v>0</v>
      </c>
      <c r="P472" s="26" t="n">
        <v>0</v>
      </c>
      <c r="Q472" s="26" t="n">
        <v>0</v>
      </c>
      <c r="R472" s="26" t="n">
        <v>360.8</v>
      </c>
      <c r="S472" s="26" t="n">
        <v>0</v>
      </c>
      <c r="T472" s="26" t="n">
        <v>0</v>
      </c>
      <c r="U472" s="26" t="n">
        <v>0</v>
      </c>
    </row>
    <row r="473" customFormat="false" ht="15" hidden="false" customHeight="true" outlineLevel="0" collapsed="false">
      <c r="A473" s="8" t="s">
        <v>407</v>
      </c>
      <c r="B473" s="8" t="s">
        <v>90</v>
      </c>
      <c r="C473" s="8" t="s">
        <v>898</v>
      </c>
      <c r="D473" s="26" t="n">
        <v>0</v>
      </c>
      <c r="E473" s="26" t="n">
        <v>0</v>
      </c>
      <c r="F473" s="26" t="n">
        <v>1758.7</v>
      </c>
      <c r="G473" s="26" t="n">
        <v>0</v>
      </c>
      <c r="H473" s="26" t="n">
        <v>0</v>
      </c>
      <c r="I473" s="26" t="n">
        <v>499.5</v>
      </c>
      <c r="J473" s="26" t="n">
        <v>0</v>
      </c>
      <c r="K473" s="26" t="n">
        <v>138.8</v>
      </c>
      <c r="L473" s="26" t="n">
        <v>0</v>
      </c>
      <c r="M473" s="26" t="n">
        <v>0</v>
      </c>
      <c r="N473" s="26" t="n">
        <v>0</v>
      </c>
      <c r="O473" s="26" t="n">
        <v>0</v>
      </c>
      <c r="P473" s="26" t="n">
        <v>0</v>
      </c>
      <c r="Q473" s="26" t="n">
        <v>0</v>
      </c>
      <c r="R473" s="26" t="n">
        <v>360.8</v>
      </c>
      <c r="S473" s="26" t="n">
        <v>0</v>
      </c>
      <c r="T473" s="26" t="n">
        <v>0</v>
      </c>
      <c r="U473" s="26" t="n">
        <v>0</v>
      </c>
    </row>
    <row r="474" customFormat="false" ht="15" hidden="false" customHeight="true" outlineLevel="0" collapsed="false">
      <c r="A474" s="8" t="s">
        <v>407</v>
      </c>
      <c r="B474" s="8" t="s">
        <v>142</v>
      </c>
      <c r="C474" s="8" t="s">
        <v>899</v>
      </c>
      <c r="D474" s="26" t="n">
        <v>0</v>
      </c>
      <c r="E474" s="26" t="n">
        <v>0</v>
      </c>
      <c r="F474" s="26" t="n">
        <v>2199.4</v>
      </c>
      <c r="G474" s="26" t="n">
        <v>0</v>
      </c>
      <c r="H474" s="26" t="n">
        <v>0</v>
      </c>
      <c r="I474" s="26" t="n">
        <v>123.6</v>
      </c>
      <c r="J474" s="26" t="n">
        <v>0</v>
      </c>
      <c r="K474" s="26" t="n">
        <v>0</v>
      </c>
      <c r="L474" s="26" t="n">
        <v>0</v>
      </c>
      <c r="M474" s="26" t="n">
        <v>0</v>
      </c>
      <c r="N474" s="26" t="n">
        <v>123.6</v>
      </c>
      <c r="O474" s="26" t="n">
        <v>0</v>
      </c>
      <c r="P474" s="26" t="n">
        <v>0</v>
      </c>
      <c r="Q474" s="26" t="n">
        <v>0</v>
      </c>
      <c r="R474" s="26" t="n">
        <v>0</v>
      </c>
      <c r="S474" s="26" t="n">
        <v>0</v>
      </c>
      <c r="T474" s="26" t="n">
        <v>0</v>
      </c>
      <c r="U474" s="26" t="n">
        <v>0</v>
      </c>
    </row>
    <row r="475" customFormat="false" ht="15" hidden="false" customHeight="true" outlineLevel="0" collapsed="false">
      <c r="A475" s="8" t="s">
        <v>407</v>
      </c>
      <c r="B475" s="8" t="s">
        <v>142</v>
      </c>
      <c r="C475" s="8" t="s">
        <v>900</v>
      </c>
      <c r="D475" s="26" t="n">
        <v>0</v>
      </c>
      <c r="E475" s="26" t="n">
        <v>0</v>
      </c>
      <c r="F475" s="26" t="n">
        <v>3297</v>
      </c>
      <c r="G475" s="26" t="n">
        <v>0</v>
      </c>
      <c r="H475" s="26" t="n">
        <v>0</v>
      </c>
      <c r="I475" s="26" t="n">
        <v>123.6</v>
      </c>
      <c r="J475" s="26" t="n">
        <v>0</v>
      </c>
      <c r="K475" s="26" t="n">
        <v>0</v>
      </c>
      <c r="L475" s="26" t="n">
        <v>0</v>
      </c>
      <c r="M475" s="26" t="n">
        <v>0</v>
      </c>
      <c r="N475" s="26" t="n">
        <v>123.6</v>
      </c>
      <c r="O475" s="26" t="n">
        <v>0</v>
      </c>
      <c r="P475" s="26" t="n">
        <v>0</v>
      </c>
      <c r="Q475" s="26" t="n">
        <v>0</v>
      </c>
      <c r="R475" s="26" t="n">
        <v>0</v>
      </c>
      <c r="S475" s="26" t="n">
        <v>0</v>
      </c>
      <c r="T475" s="26" t="n">
        <v>0</v>
      </c>
      <c r="U475" s="26" t="n">
        <v>0</v>
      </c>
    </row>
    <row r="476" customFormat="false" ht="15" hidden="false" customHeight="true" outlineLevel="0" collapsed="false">
      <c r="A476" s="8" t="s">
        <v>407</v>
      </c>
      <c r="B476" s="8" t="s">
        <v>142</v>
      </c>
      <c r="C476" s="8" t="s">
        <v>901</v>
      </c>
      <c r="D476" s="26" t="n">
        <v>0</v>
      </c>
      <c r="E476" s="26" t="n">
        <v>0</v>
      </c>
      <c r="F476" s="26" t="n">
        <v>2586.5</v>
      </c>
      <c r="G476" s="26" t="n">
        <v>0</v>
      </c>
      <c r="H476" s="26" t="n">
        <v>0</v>
      </c>
      <c r="I476" s="26" t="n">
        <v>0</v>
      </c>
      <c r="J476" s="26" t="n">
        <v>0</v>
      </c>
      <c r="K476" s="26" t="n">
        <v>0</v>
      </c>
      <c r="L476" s="26" t="n">
        <v>0</v>
      </c>
      <c r="M476" s="26" t="n">
        <v>0</v>
      </c>
      <c r="N476" s="26" t="n">
        <v>0</v>
      </c>
      <c r="O476" s="26" t="n">
        <v>0</v>
      </c>
      <c r="P476" s="26" t="n">
        <v>0</v>
      </c>
      <c r="Q476" s="26" t="n">
        <v>0</v>
      </c>
      <c r="R476" s="26" t="n">
        <v>0</v>
      </c>
      <c r="S476" s="26" t="n">
        <v>0</v>
      </c>
      <c r="T476" s="26" t="n">
        <v>0</v>
      </c>
      <c r="U476" s="26" t="n">
        <v>0</v>
      </c>
    </row>
    <row r="477" customFormat="false" ht="15" hidden="false" customHeight="true" outlineLevel="0" collapsed="false">
      <c r="A477" s="8" t="s">
        <v>407</v>
      </c>
      <c r="B477" s="8" t="s">
        <v>142</v>
      </c>
      <c r="C477" s="8" t="s">
        <v>902</v>
      </c>
      <c r="D477" s="26" t="n">
        <v>0</v>
      </c>
      <c r="E477" s="26" t="n">
        <v>0</v>
      </c>
      <c r="F477" s="26" t="n">
        <v>1371.5</v>
      </c>
      <c r="G477" s="26" t="n">
        <v>0</v>
      </c>
      <c r="H477" s="26" t="n">
        <v>0</v>
      </c>
      <c r="I477" s="26" t="n">
        <v>123.6</v>
      </c>
      <c r="J477" s="26" t="n">
        <v>0</v>
      </c>
      <c r="K477" s="26" t="n">
        <v>0</v>
      </c>
      <c r="L477" s="26" t="n">
        <v>0</v>
      </c>
      <c r="M477" s="26" t="n">
        <v>0</v>
      </c>
      <c r="N477" s="26" t="n">
        <v>123.6</v>
      </c>
      <c r="O477" s="26" t="n">
        <v>0</v>
      </c>
      <c r="P477" s="26" t="n">
        <v>0</v>
      </c>
      <c r="Q477" s="26" t="n">
        <v>0</v>
      </c>
      <c r="R477" s="26" t="n">
        <v>0</v>
      </c>
      <c r="S477" s="26" t="n">
        <v>0</v>
      </c>
      <c r="T477" s="26" t="n">
        <v>0</v>
      </c>
      <c r="U477" s="26" t="n">
        <v>0</v>
      </c>
    </row>
    <row r="478" customFormat="false" ht="15" hidden="false" customHeight="true" outlineLevel="0" collapsed="false">
      <c r="A478" s="8" t="s">
        <v>407</v>
      </c>
      <c r="B478" s="8" t="s">
        <v>142</v>
      </c>
      <c r="C478" s="8" t="s">
        <v>903</v>
      </c>
      <c r="D478" s="26" t="n">
        <v>0</v>
      </c>
      <c r="E478" s="26" t="n">
        <v>0</v>
      </c>
      <c r="F478" s="26" t="n">
        <v>236.8</v>
      </c>
      <c r="G478" s="26" t="n">
        <v>0</v>
      </c>
      <c r="H478" s="26" t="n">
        <v>0</v>
      </c>
      <c r="I478" s="26" t="n">
        <v>0</v>
      </c>
      <c r="J478" s="26" t="n">
        <v>0</v>
      </c>
      <c r="K478" s="26" t="n">
        <v>0</v>
      </c>
      <c r="L478" s="26" t="n">
        <v>0</v>
      </c>
      <c r="M478" s="26" t="n">
        <v>0</v>
      </c>
      <c r="N478" s="26" t="n">
        <v>0</v>
      </c>
      <c r="O478" s="26" t="n">
        <v>0</v>
      </c>
      <c r="P478" s="26" t="n">
        <v>0</v>
      </c>
      <c r="Q478" s="26" t="n">
        <v>0</v>
      </c>
      <c r="R478" s="26" t="n">
        <v>0</v>
      </c>
      <c r="S478" s="26" t="n">
        <v>0</v>
      </c>
      <c r="T478" s="26" t="n">
        <v>0</v>
      </c>
      <c r="U478" s="26" t="n">
        <v>0</v>
      </c>
    </row>
    <row r="479" customFormat="false" ht="15" hidden="false" customHeight="true" outlineLevel="0" collapsed="false">
      <c r="A479" s="8" t="s">
        <v>407</v>
      </c>
      <c r="B479" s="8" t="s">
        <v>314</v>
      </c>
      <c r="C479" s="8" t="s">
        <v>904</v>
      </c>
      <c r="D479" s="26" t="n">
        <v>0</v>
      </c>
      <c r="E479" s="26" t="n">
        <v>0</v>
      </c>
      <c r="F479" s="26" t="n">
        <v>1141.8</v>
      </c>
      <c r="G479" s="26" t="n">
        <v>0</v>
      </c>
      <c r="H479" s="26" t="n">
        <v>0</v>
      </c>
      <c r="I479" s="26" t="n">
        <v>5129.6</v>
      </c>
      <c r="J479" s="26" t="n">
        <v>0</v>
      </c>
      <c r="K479" s="26" t="n">
        <v>365</v>
      </c>
      <c r="L479" s="26" t="n">
        <v>0</v>
      </c>
      <c r="M479" s="26" t="n">
        <v>0</v>
      </c>
      <c r="N479" s="26" t="n">
        <v>0</v>
      </c>
      <c r="O479" s="26" t="n">
        <v>0</v>
      </c>
      <c r="P479" s="26" t="n">
        <v>0</v>
      </c>
      <c r="Q479" s="26" t="n">
        <v>3912.8</v>
      </c>
      <c r="R479" s="26" t="n">
        <v>851.8</v>
      </c>
      <c r="S479" s="26" t="n">
        <v>0</v>
      </c>
      <c r="T479" s="26" t="n">
        <v>0</v>
      </c>
      <c r="U479" s="26" t="n">
        <v>0</v>
      </c>
    </row>
    <row r="480" customFormat="false" ht="15" hidden="false" customHeight="true" outlineLevel="0" collapsed="false">
      <c r="A480" s="8" t="s">
        <v>407</v>
      </c>
      <c r="B480" s="8" t="s">
        <v>346</v>
      </c>
      <c r="C480" s="8" t="s">
        <v>905</v>
      </c>
      <c r="D480" s="26" t="n">
        <v>0</v>
      </c>
      <c r="E480" s="26" t="n">
        <v>0</v>
      </c>
      <c r="F480" s="26" t="n">
        <v>113.3</v>
      </c>
      <c r="G480" s="26" t="n">
        <v>0</v>
      </c>
      <c r="H480" s="26" t="n">
        <v>0</v>
      </c>
      <c r="I480" s="26" t="n">
        <v>0</v>
      </c>
      <c r="J480" s="26" t="n">
        <v>0</v>
      </c>
      <c r="K480" s="26" t="n">
        <v>0</v>
      </c>
      <c r="L480" s="26" t="n">
        <v>0</v>
      </c>
      <c r="M480" s="26" t="n">
        <v>0</v>
      </c>
      <c r="N480" s="26" t="n">
        <v>0</v>
      </c>
      <c r="O480" s="26" t="n">
        <v>0</v>
      </c>
      <c r="P480" s="26" t="n">
        <v>0</v>
      </c>
      <c r="Q480" s="26" t="n">
        <v>0</v>
      </c>
      <c r="R480" s="26" t="n">
        <v>0</v>
      </c>
      <c r="S480" s="26" t="n">
        <v>0</v>
      </c>
      <c r="T480" s="26" t="n">
        <v>0</v>
      </c>
      <c r="U480" s="26" t="n">
        <v>0</v>
      </c>
    </row>
    <row r="481" customFormat="false" ht="15" hidden="false" customHeight="true" outlineLevel="0" collapsed="false">
      <c r="A481" s="8" t="s">
        <v>407</v>
      </c>
      <c r="B481" s="8" t="s">
        <v>298</v>
      </c>
      <c r="C481" s="8" t="s">
        <v>906</v>
      </c>
      <c r="D481" s="26" t="n">
        <v>0</v>
      </c>
      <c r="E481" s="26" t="n">
        <v>0</v>
      </c>
      <c r="F481" s="26" t="n">
        <v>194.6</v>
      </c>
      <c r="G481" s="26" t="n">
        <v>0</v>
      </c>
      <c r="H481" s="26" t="n">
        <v>0</v>
      </c>
      <c r="I481" s="26" t="n">
        <v>0</v>
      </c>
      <c r="J481" s="26" t="n">
        <v>0</v>
      </c>
      <c r="K481" s="26" t="n">
        <v>0</v>
      </c>
      <c r="L481" s="26" t="n">
        <v>0</v>
      </c>
      <c r="M481" s="26" t="n">
        <v>0</v>
      </c>
      <c r="N481" s="26" t="n">
        <v>0</v>
      </c>
      <c r="O481" s="26" t="n">
        <v>0</v>
      </c>
      <c r="P481" s="26" t="n">
        <v>0</v>
      </c>
      <c r="Q481" s="26" t="n">
        <v>0</v>
      </c>
      <c r="R481" s="26" t="n">
        <v>0</v>
      </c>
      <c r="S481" s="26" t="n">
        <v>0</v>
      </c>
      <c r="T481" s="26" t="n">
        <v>0</v>
      </c>
      <c r="U481" s="26" t="n">
        <v>0</v>
      </c>
    </row>
    <row r="482" customFormat="false" ht="15" hidden="false" customHeight="true" outlineLevel="0" collapsed="false">
      <c r="A482" s="8" t="s">
        <v>407</v>
      </c>
      <c r="B482" s="8" t="s">
        <v>200</v>
      </c>
      <c r="C482" s="8" t="s">
        <v>907</v>
      </c>
      <c r="D482" s="26" t="n">
        <v>0</v>
      </c>
      <c r="E482" s="26" t="n">
        <v>0</v>
      </c>
      <c r="F482" s="26" t="n">
        <v>185.1</v>
      </c>
      <c r="G482" s="26" t="n">
        <v>0</v>
      </c>
      <c r="H482" s="26" t="n">
        <v>0</v>
      </c>
      <c r="I482" s="26" t="n">
        <v>0</v>
      </c>
      <c r="J482" s="26" t="n">
        <v>0</v>
      </c>
      <c r="K482" s="26" t="n">
        <v>0</v>
      </c>
      <c r="L482" s="26" t="n">
        <v>0</v>
      </c>
      <c r="M482" s="26" t="n">
        <v>0</v>
      </c>
      <c r="N482" s="26" t="n">
        <v>0</v>
      </c>
      <c r="O482" s="26" t="n">
        <v>0</v>
      </c>
      <c r="P482" s="26" t="n">
        <v>0</v>
      </c>
      <c r="Q482" s="26" t="n">
        <v>0</v>
      </c>
      <c r="R482" s="26" t="n">
        <v>0</v>
      </c>
      <c r="S482" s="26" t="n">
        <v>0</v>
      </c>
      <c r="T482" s="26" t="n">
        <v>0</v>
      </c>
      <c r="U482" s="26" t="n">
        <v>0</v>
      </c>
    </row>
    <row r="483" customFormat="false" ht="15" hidden="false" customHeight="true" outlineLevel="0" collapsed="false">
      <c r="A483" s="8" t="s">
        <v>407</v>
      </c>
      <c r="B483" s="8" t="s">
        <v>284</v>
      </c>
      <c r="C483" s="8" t="s">
        <v>908</v>
      </c>
      <c r="D483" s="26" t="n">
        <v>0</v>
      </c>
      <c r="E483" s="26" t="n">
        <v>0</v>
      </c>
      <c r="F483" s="26" t="n">
        <v>293.1</v>
      </c>
      <c r="G483" s="26" t="n">
        <v>0</v>
      </c>
      <c r="H483" s="26" t="n">
        <v>0</v>
      </c>
      <c r="I483" s="26" t="n">
        <v>-146.6</v>
      </c>
      <c r="J483" s="26" t="n">
        <v>0</v>
      </c>
      <c r="K483" s="26" t="n">
        <v>0</v>
      </c>
      <c r="L483" s="26" t="n">
        <v>0</v>
      </c>
      <c r="M483" s="26" t="n">
        <v>-146.6</v>
      </c>
      <c r="N483" s="26" t="n">
        <v>0</v>
      </c>
      <c r="O483" s="26" t="n">
        <v>0</v>
      </c>
      <c r="P483" s="26" t="n">
        <v>0</v>
      </c>
      <c r="Q483" s="26" t="n">
        <v>0</v>
      </c>
      <c r="R483" s="26" t="n">
        <v>0</v>
      </c>
      <c r="S483" s="26" t="n">
        <v>0</v>
      </c>
      <c r="T483" s="26" t="n">
        <v>0</v>
      </c>
      <c r="U483" s="26" t="n">
        <v>0</v>
      </c>
    </row>
    <row r="484" customFormat="false" ht="15" hidden="false" customHeight="true" outlineLevel="0" collapsed="false">
      <c r="A484" s="8" t="s">
        <v>407</v>
      </c>
      <c r="B484" s="8" t="s">
        <v>213</v>
      </c>
      <c r="C484" s="8" t="s">
        <v>909</v>
      </c>
      <c r="D484" s="26" t="n">
        <v>0</v>
      </c>
      <c r="E484" s="26" t="n">
        <v>0</v>
      </c>
      <c r="F484" s="26" t="n">
        <v>2942</v>
      </c>
      <c r="G484" s="26" t="n">
        <v>0</v>
      </c>
      <c r="H484" s="26" t="n">
        <v>0</v>
      </c>
      <c r="I484" s="26" t="n">
        <v>11294.3</v>
      </c>
      <c r="J484" s="26" t="n">
        <v>0</v>
      </c>
      <c r="K484" s="26" t="n">
        <v>0</v>
      </c>
      <c r="L484" s="26" t="n">
        <v>0</v>
      </c>
      <c r="M484" s="26" t="n">
        <v>0</v>
      </c>
      <c r="N484" s="26" t="n">
        <v>0</v>
      </c>
      <c r="O484" s="26" t="n">
        <v>0</v>
      </c>
      <c r="P484" s="26" t="n">
        <v>0</v>
      </c>
      <c r="Q484" s="26" t="n">
        <v>11294.3</v>
      </c>
      <c r="R484" s="26" t="n">
        <v>0</v>
      </c>
      <c r="S484" s="26" t="n">
        <v>0</v>
      </c>
      <c r="T484" s="26" t="n">
        <v>0</v>
      </c>
      <c r="U484" s="26" t="n">
        <v>0</v>
      </c>
    </row>
    <row r="485" customFormat="false" ht="15" hidden="false" customHeight="true" outlineLevel="0" collapsed="false">
      <c r="A485" s="8" t="s">
        <v>407</v>
      </c>
      <c r="B485" s="8" t="s">
        <v>213</v>
      </c>
      <c r="C485" s="8" t="s">
        <v>910</v>
      </c>
      <c r="D485" s="26" t="n">
        <v>0</v>
      </c>
      <c r="E485" s="26" t="n">
        <v>0</v>
      </c>
      <c r="F485" s="26" t="n">
        <v>4558.6</v>
      </c>
      <c r="G485" s="26" t="n">
        <v>0</v>
      </c>
      <c r="H485" s="26" t="n">
        <v>0</v>
      </c>
      <c r="I485" s="26" t="n">
        <v>18111.4</v>
      </c>
      <c r="J485" s="26" t="n">
        <v>0</v>
      </c>
      <c r="K485" s="26" t="n">
        <v>0</v>
      </c>
      <c r="L485" s="26" t="n">
        <v>0</v>
      </c>
      <c r="M485" s="26" t="n">
        <v>0</v>
      </c>
      <c r="N485" s="26" t="n">
        <v>0</v>
      </c>
      <c r="O485" s="26" t="n">
        <v>0</v>
      </c>
      <c r="P485" s="26" t="n">
        <v>0</v>
      </c>
      <c r="Q485" s="26" t="n">
        <v>18111.4</v>
      </c>
      <c r="R485" s="26" t="n">
        <v>0</v>
      </c>
      <c r="S485" s="26" t="n">
        <v>0</v>
      </c>
      <c r="T485" s="26" t="n">
        <v>0</v>
      </c>
      <c r="U485" s="26" t="n">
        <v>0</v>
      </c>
    </row>
    <row r="486" customFormat="false" ht="15" hidden="false" customHeight="true" outlineLevel="0" collapsed="false">
      <c r="A486" s="8" t="s">
        <v>407</v>
      </c>
      <c r="B486" s="8" t="s">
        <v>213</v>
      </c>
      <c r="C486" s="8" t="s">
        <v>911</v>
      </c>
      <c r="D486" s="26" t="n">
        <v>0</v>
      </c>
      <c r="E486" s="26" t="n">
        <v>0</v>
      </c>
      <c r="F486" s="26" t="n">
        <v>2570.8</v>
      </c>
      <c r="G486" s="26" t="n">
        <v>0</v>
      </c>
      <c r="H486" s="26" t="n">
        <v>0</v>
      </c>
      <c r="I486" s="26" t="n">
        <v>11553.6</v>
      </c>
      <c r="J486" s="26" t="n">
        <v>0</v>
      </c>
      <c r="K486" s="26" t="n">
        <v>0</v>
      </c>
      <c r="L486" s="26" t="n">
        <v>0</v>
      </c>
      <c r="M486" s="26" t="n">
        <v>0</v>
      </c>
      <c r="N486" s="26" t="n">
        <v>0</v>
      </c>
      <c r="O486" s="26" t="n">
        <v>0</v>
      </c>
      <c r="P486" s="26" t="n">
        <v>0</v>
      </c>
      <c r="Q486" s="26" t="n">
        <v>11553.6</v>
      </c>
      <c r="R486" s="26" t="n">
        <v>0</v>
      </c>
      <c r="S486" s="26" t="n">
        <v>0</v>
      </c>
      <c r="T486" s="26" t="n">
        <v>0</v>
      </c>
      <c r="U486" s="26" t="n">
        <v>0</v>
      </c>
    </row>
    <row r="487" customFormat="false" ht="15" hidden="false" customHeight="true" outlineLevel="0" collapsed="false">
      <c r="A487" s="8" t="s">
        <v>407</v>
      </c>
      <c r="B487" s="8" t="s">
        <v>213</v>
      </c>
      <c r="C487" s="8" t="s">
        <v>912</v>
      </c>
      <c r="D487" s="26" t="n">
        <v>0</v>
      </c>
      <c r="E487" s="26" t="n">
        <v>0</v>
      </c>
      <c r="F487" s="26" t="n">
        <v>3714.4</v>
      </c>
      <c r="G487" s="26" t="n">
        <v>0</v>
      </c>
      <c r="H487" s="26" t="n">
        <v>0</v>
      </c>
      <c r="I487" s="26" t="n">
        <v>11543.6</v>
      </c>
      <c r="J487" s="26" t="n">
        <v>0</v>
      </c>
      <c r="K487" s="26" t="n">
        <v>0</v>
      </c>
      <c r="L487" s="26" t="n">
        <v>0</v>
      </c>
      <c r="M487" s="26" t="n">
        <v>0</v>
      </c>
      <c r="N487" s="26" t="n">
        <v>0</v>
      </c>
      <c r="O487" s="26" t="n">
        <v>0</v>
      </c>
      <c r="P487" s="26" t="n">
        <v>0</v>
      </c>
      <c r="Q487" s="26" t="n">
        <v>11543.6</v>
      </c>
      <c r="R487" s="26" t="n">
        <v>0</v>
      </c>
      <c r="S487" s="26" t="n">
        <v>0</v>
      </c>
      <c r="T487" s="26" t="n">
        <v>0</v>
      </c>
      <c r="U487" s="26" t="n">
        <v>0</v>
      </c>
    </row>
    <row r="488" customFormat="false" ht="15" hidden="false" customHeight="true" outlineLevel="0" collapsed="false">
      <c r="A488" s="8" t="s">
        <v>407</v>
      </c>
      <c r="B488" s="8" t="s">
        <v>197</v>
      </c>
      <c r="C488" s="8" t="s">
        <v>913</v>
      </c>
      <c r="D488" s="26" t="n">
        <v>0</v>
      </c>
      <c r="E488" s="26" t="n">
        <v>0</v>
      </c>
      <c r="F488" s="26" t="n">
        <v>8337</v>
      </c>
      <c r="G488" s="26" t="n">
        <v>0</v>
      </c>
      <c r="H488" s="26" t="n">
        <v>0</v>
      </c>
      <c r="I488" s="26" t="n">
        <v>10070.6</v>
      </c>
      <c r="J488" s="26" t="n">
        <v>0</v>
      </c>
      <c r="K488" s="26" t="n">
        <v>0</v>
      </c>
      <c r="L488" s="26" t="n">
        <v>0</v>
      </c>
      <c r="M488" s="26" t="n">
        <v>0</v>
      </c>
      <c r="N488" s="26" t="n">
        <v>0</v>
      </c>
      <c r="O488" s="26" t="n">
        <v>0</v>
      </c>
      <c r="P488" s="26" t="n">
        <v>0</v>
      </c>
      <c r="Q488" s="26" t="n">
        <v>10070.6</v>
      </c>
      <c r="R488" s="26" t="n">
        <v>0</v>
      </c>
      <c r="S488" s="26" t="n">
        <v>0</v>
      </c>
      <c r="T488" s="26" t="n">
        <v>0</v>
      </c>
      <c r="U488" s="26" t="n">
        <v>0</v>
      </c>
    </row>
    <row r="489" customFormat="false" ht="15" hidden="false" customHeight="true" outlineLevel="0" collapsed="false">
      <c r="A489" s="8" t="s">
        <v>407</v>
      </c>
      <c r="B489" s="8" t="s">
        <v>174</v>
      </c>
      <c r="C489" s="8" t="s">
        <v>914</v>
      </c>
      <c r="D489" s="26" t="n">
        <v>0</v>
      </c>
      <c r="E489" s="26" t="n">
        <v>0</v>
      </c>
      <c r="F489" s="26" t="n">
        <v>2361.9</v>
      </c>
      <c r="G489" s="26" t="n">
        <v>0</v>
      </c>
      <c r="H489" s="26" t="n">
        <v>0</v>
      </c>
      <c r="I489" s="26" t="n">
        <v>5942.1</v>
      </c>
      <c r="J489" s="26" t="n">
        <v>0</v>
      </c>
      <c r="K489" s="26" t="n">
        <v>0</v>
      </c>
      <c r="L489" s="26" t="n">
        <v>0</v>
      </c>
      <c r="M489" s="26" t="n">
        <v>0</v>
      </c>
      <c r="N489" s="26" t="n">
        <v>0</v>
      </c>
      <c r="O489" s="26" t="n">
        <v>0</v>
      </c>
      <c r="P489" s="26" t="n">
        <v>0</v>
      </c>
      <c r="Q489" s="26" t="n">
        <v>5942.1</v>
      </c>
      <c r="R489" s="26" t="n">
        <v>0</v>
      </c>
      <c r="S489" s="26" t="n">
        <v>0</v>
      </c>
      <c r="T489" s="26" t="n">
        <v>0</v>
      </c>
      <c r="U489" s="26" t="n">
        <v>0</v>
      </c>
    </row>
    <row r="490" customFormat="false" ht="15" hidden="false" customHeight="true" outlineLevel="0" collapsed="false">
      <c r="A490" s="8" t="s">
        <v>407</v>
      </c>
      <c r="B490" s="8" t="s">
        <v>163</v>
      </c>
      <c r="C490" s="8" t="s">
        <v>915</v>
      </c>
      <c r="D490" s="26" t="n">
        <v>0</v>
      </c>
      <c r="E490" s="26" t="n">
        <v>0</v>
      </c>
      <c r="F490" s="26" t="n">
        <v>1388.3</v>
      </c>
      <c r="G490" s="26" t="n">
        <v>0</v>
      </c>
      <c r="H490" s="26" t="n">
        <v>0</v>
      </c>
      <c r="I490" s="26" t="n">
        <v>3674.8</v>
      </c>
      <c r="J490" s="26" t="n">
        <v>0</v>
      </c>
      <c r="K490" s="26" t="n">
        <v>0</v>
      </c>
      <c r="L490" s="26" t="n">
        <v>0</v>
      </c>
      <c r="M490" s="26" t="n">
        <v>0</v>
      </c>
      <c r="N490" s="26" t="n">
        <v>0</v>
      </c>
      <c r="O490" s="26" t="n">
        <v>0</v>
      </c>
      <c r="P490" s="26" t="n">
        <v>0</v>
      </c>
      <c r="Q490" s="26" t="n">
        <v>3674.8</v>
      </c>
      <c r="R490" s="26" t="n">
        <v>0</v>
      </c>
      <c r="S490" s="26" t="n">
        <v>0</v>
      </c>
      <c r="T490" s="26" t="n">
        <v>0</v>
      </c>
      <c r="U490" s="26" t="n">
        <v>0</v>
      </c>
    </row>
    <row r="491" customFormat="false" ht="15" hidden="false" customHeight="true" outlineLevel="0" collapsed="false">
      <c r="A491" s="8" t="s">
        <v>407</v>
      </c>
      <c r="B491" s="8" t="s">
        <v>204</v>
      </c>
      <c r="C491" s="8" t="s">
        <v>916</v>
      </c>
      <c r="D491" s="26" t="n">
        <v>0</v>
      </c>
      <c r="E491" s="26" t="n">
        <v>0</v>
      </c>
      <c r="F491" s="26" t="n">
        <v>748.7</v>
      </c>
      <c r="G491" s="26" t="n">
        <v>0</v>
      </c>
      <c r="H491" s="26" t="n">
        <v>0</v>
      </c>
      <c r="I491" s="26" t="n">
        <v>2916</v>
      </c>
      <c r="J491" s="26" t="n">
        <v>0</v>
      </c>
      <c r="K491" s="26" t="n">
        <v>0</v>
      </c>
      <c r="L491" s="26" t="n">
        <v>0</v>
      </c>
      <c r="M491" s="26" t="n">
        <v>0</v>
      </c>
      <c r="N491" s="26" t="n">
        <v>0</v>
      </c>
      <c r="O491" s="26" t="n">
        <v>0</v>
      </c>
      <c r="P491" s="26" t="n">
        <v>0</v>
      </c>
      <c r="Q491" s="26" t="n">
        <v>2916</v>
      </c>
      <c r="R491" s="26" t="n">
        <v>0</v>
      </c>
      <c r="S491" s="26" t="n">
        <v>0</v>
      </c>
      <c r="T491" s="26" t="n">
        <v>0</v>
      </c>
      <c r="U491" s="26" t="n">
        <v>0</v>
      </c>
    </row>
    <row r="492" customFormat="false" ht="15" hidden="false" customHeight="true" outlineLevel="0" collapsed="false">
      <c r="A492" s="8" t="s">
        <v>407</v>
      </c>
      <c r="B492" s="8" t="s">
        <v>333</v>
      </c>
      <c r="C492" s="8" t="s">
        <v>917</v>
      </c>
      <c r="D492" s="26" t="n">
        <v>0</v>
      </c>
      <c r="E492" s="26" t="n">
        <v>0</v>
      </c>
      <c r="F492" s="26" t="n">
        <v>184.6</v>
      </c>
      <c r="G492" s="26" t="n">
        <v>0</v>
      </c>
      <c r="H492" s="26" t="n">
        <v>0</v>
      </c>
      <c r="I492" s="26" t="n">
        <v>0</v>
      </c>
      <c r="J492" s="26" t="n">
        <v>0</v>
      </c>
      <c r="K492" s="26" t="n">
        <v>0</v>
      </c>
      <c r="L492" s="26" t="n">
        <v>0</v>
      </c>
      <c r="M492" s="26" t="n">
        <v>0</v>
      </c>
      <c r="N492" s="26" t="n">
        <v>0</v>
      </c>
      <c r="O492" s="26" t="n">
        <v>0</v>
      </c>
      <c r="P492" s="26" t="n">
        <v>0</v>
      </c>
      <c r="Q492" s="26" t="n">
        <v>0</v>
      </c>
      <c r="R492" s="26" t="n">
        <v>0</v>
      </c>
      <c r="S492" s="26" t="n">
        <v>0</v>
      </c>
      <c r="T492" s="26" t="n">
        <v>0</v>
      </c>
      <c r="U492" s="26" t="n">
        <v>0</v>
      </c>
    </row>
    <row r="493" customFormat="false" ht="15" hidden="false" customHeight="true" outlineLevel="0" collapsed="false">
      <c r="A493" s="8" t="s">
        <v>407</v>
      </c>
      <c r="B493" s="8" t="s">
        <v>334</v>
      </c>
      <c r="C493" s="8" t="s">
        <v>972</v>
      </c>
      <c r="D493" s="26" t="n">
        <v>0</v>
      </c>
      <c r="E493" s="26" t="n">
        <v>0</v>
      </c>
      <c r="F493" s="26" t="n">
        <v>92.3</v>
      </c>
      <c r="G493" s="26" t="n">
        <v>0</v>
      </c>
      <c r="H493" s="26" t="n">
        <v>0</v>
      </c>
      <c r="I493" s="26" t="n">
        <v>0</v>
      </c>
      <c r="J493" s="26" t="n">
        <v>0</v>
      </c>
      <c r="K493" s="26" t="n">
        <v>0</v>
      </c>
      <c r="L493" s="26" t="n">
        <v>0</v>
      </c>
      <c r="M493" s="26" t="n">
        <v>0</v>
      </c>
      <c r="N493" s="26" t="n">
        <v>0</v>
      </c>
      <c r="O493" s="26" t="n">
        <v>0</v>
      </c>
      <c r="P493" s="26" t="n">
        <v>0</v>
      </c>
      <c r="Q493" s="26" t="n">
        <v>0</v>
      </c>
      <c r="R493" s="26" t="n">
        <v>0</v>
      </c>
      <c r="S493" s="26" t="n">
        <v>0</v>
      </c>
      <c r="T493" s="26" t="n">
        <v>0</v>
      </c>
      <c r="U493" s="26" t="n">
        <v>0</v>
      </c>
    </row>
    <row r="494" customFormat="false" ht="15" hidden="false" customHeight="true" outlineLevel="0" collapsed="false">
      <c r="A494" s="8" t="s">
        <v>407</v>
      </c>
      <c r="B494" s="8" t="s">
        <v>267</v>
      </c>
      <c r="C494" s="8" t="s">
        <v>973</v>
      </c>
      <c r="D494" s="26" t="n">
        <v>0</v>
      </c>
      <c r="E494" s="26" t="n">
        <v>0</v>
      </c>
      <c r="F494" s="26" t="n">
        <v>166.4</v>
      </c>
      <c r="G494" s="26" t="n">
        <v>0</v>
      </c>
      <c r="H494" s="26" t="n">
        <v>0</v>
      </c>
      <c r="I494" s="26" t="n">
        <v>0</v>
      </c>
      <c r="J494" s="26" t="n">
        <v>0</v>
      </c>
      <c r="K494" s="26" t="n">
        <v>0</v>
      </c>
      <c r="L494" s="26" t="n">
        <v>0</v>
      </c>
      <c r="M494" s="26" t="n">
        <v>0</v>
      </c>
      <c r="N494" s="26" t="n">
        <v>0</v>
      </c>
      <c r="O494" s="26" t="n">
        <v>0</v>
      </c>
      <c r="P494" s="26" t="n">
        <v>0</v>
      </c>
      <c r="Q494" s="26" t="n">
        <v>0</v>
      </c>
      <c r="R494" s="26" t="n">
        <v>0</v>
      </c>
      <c r="S494" s="26" t="n">
        <v>0</v>
      </c>
      <c r="T494" s="26" t="n">
        <v>227.2</v>
      </c>
      <c r="U494" s="26" t="n">
        <v>0</v>
      </c>
    </row>
    <row r="495" customFormat="false" ht="15" hidden="false" customHeight="true" outlineLevel="0" collapsed="false">
      <c r="A495" s="8" t="s">
        <v>407</v>
      </c>
      <c r="B495" s="8" t="s">
        <v>267</v>
      </c>
      <c r="C495" s="8" t="s">
        <v>918</v>
      </c>
      <c r="D495" s="26" t="n">
        <v>0</v>
      </c>
      <c r="E495" s="26" t="n">
        <v>0</v>
      </c>
      <c r="F495" s="26" t="n">
        <v>166.4</v>
      </c>
      <c r="G495" s="26" t="n">
        <v>0</v>
      </c>
      <c r="H495" s="26" t="n">
        <v>0</v>
      </c>
      <c r="I495" s="26" t="n">
        <v>0</v>
      </c>
      <c r="J495" s="26" t="n">
        <v>0</v>
      </c>
      <c r="K495" s="26" t="n">
        <v>0</v>
      </c>
      <c r="L495" s="26" t="n">
        <v>0</v>
      </c>
      <c r="M495" s="26" t="n">
        <v>0</v>
      </c>
      <c r="N495" s="26" t="n">
        <v>0</v>
      </c>
      <c r="O495" s="26" t="n">
        <v>0</v>
      </c>
      <c r="P495" s="26" t="n">
        <v>0</v>
      </c>
      <c r="Q495" s="26" t="n">
        <v>0</v>
      </c>
      <c r="R495" s="26" t="n">
        <v>0</v>
      </c>
      <c r="S495" s="26" t="n">
        <v>0</v>
      </c>
      <c r="T495" s="26" t="n">
        <v>113.6</v>
      </c>
      <c r="U495" s="26" t="n">
        <v>0</v>
      </c>
    </row>
    <row r="496" customFormat="false" ht="15" hidden="false" customHeight="true" outlineLevel="0" collapsed="false">
      <c r="A496" s="8" t="s">
        <v>407</v>
      </c>
      <c r="B496" s="8" t="s">
        <v>267</v>
      </c>
      <c r="C496" s="8" t="s">
        <v>974</v>
      </c>
      <c r="D496" s="26" t="n">
        <v>0</v>
      </c>
      <c r="E496" s="26" t="n">
        <v>0</v>
      </c>
      <c r="F496" s="26" t="n">
        <v>0</v>
      </c>
      <c r="G496" s="26" t="n">
        <v>0</v>
      </c>
      <c r="H496" s="26" t="n">
        <v>0</v>
      </c>
      <c r="I496" s="26" t="n">
        <v>0</v>
      </c>
      <c r="J496" s="26" t="n">
        <v>0</v>
      </c>
      <c r="K496" s="26" t="n">
        <v>0</v>
      </c>
      <c r="L496" s="26" t="n">
        <v>0</v>
      </c>
      <c r="M496" s="26" t="n">
        <v>0</v>
      </c>
      <c r="N496" s="26" t="n">
        <v>0</v>
      </c>
      <c r="O496" s="26" t="n">
        <v>0</v>
      </c>
      <c r="P496" s="26" t="n">
        <v>0</v>
      </c>
      <c r="Q496" s="26" t="n">
        <v>0</v>
      </c>
      <c r="R496" s="26" t="n">
        <v>0</v>
      </c>
      <c r="S496" s="26" t="n">
        <v>0</v>
      </c>
      <c r="T496" s="26" t="n">
        <v>113.6</v>
      </c>
      <c r="U496" s="26" t="n">
        <v>0</v>
      </c>
    </row>
    <row r="497" customFormat="false" ht="15" hidden="false" customHeight="true" outlineLevel="0" collapsed="false">
      <c r="A497" s="8" t="s">
        <v>407</v>
      </c>
      <c r="B497" s="8" t="s">
        <v>267</v>
      </c>
      <c r="C497" s="8" t="s">
        <v>975</v>
      </c>
      <c r="D497" s="26" t="n">
        <v>0</v>
      </c>
      <c r="E497" s="26" t="n">
        <v>0</v>
      </c>
      <c r="F497" s="26" t="n">
        <v>332.7</v>
      </c>
      <c r="G497" s="26" t="n">
        <v>0</v>
      </c>
      <c r="H497" s="26" t="n">
        <v>0</v>
      </c>
      <c r="I497" s="26" t="n">
        <v>0</v>
      </c>
      <c r="J497" s="26" t="n">
        <v>0</v>
      </c>
      <c r="K497" s="26" t="n">
        <v>0</v>
      </c>
      <c r="L497" s="26" t="n">
        <v>0</v>
      </c>
      <c r="M497" s="26" t="n">
        <v>0</v>
      </c>
      <c r="N497" s="26" t="n">
        <v>0</v>
      </c>
      <c r="O497" s="26" t="n">
        <v>0</v>
      </c>
      <c r="P497" s="26" t="n">
        <v>0</v>
      </c>
      <c r="Q497" s="26" t="n">
        <v>0</v>
      </c>
      <c r="R497" s="26" t="n">
        <v>0</v>
      </c>
      <c r="S497" s="26" t="n">
        <v>0</v>
      </c>
      <c r="T497" s="26" t="n">
        <v>454.3</v>
      </c>
      <c r="U497" s="26" t="n">
        <v>0</v>
      </c>
    </row>
    <row r="498" customFormat="false" ht="15" hidden="false" customHeight="true" outlineLevel="0" collapsed="false">
      <c r="A498" s="8" t="s">
        <v>407</v>
      </c>
      <c r="B498" s="8" t="s">
        <v>267</v>
      </c>
      <c r="C498" s="8" t="s">
        <v>976</v>
      </c>
      <c r="D498" s="26" t="n">
        <v>0</v>
      </c>
      <c r="E498" s="26" t="n">
        <v>0</v>
      </c>
      <c r="F498" s="26" t="n">
        <v>0</v>
      </c>
      <c r="G498" s="26" t="n">
        <v>0</v>
      </c>
      <c r="H498" s="26" t="n">
        <v>0</v>
      </c>
      <c r="I498" s="26" t="n">
        <v>0</v>
      </c>
      <c r="J498" s="26" t="n">
        <v>0</v>
      </c>
      <c r="K498" s="26" t="n">
        <v>0</v>
      </c>
      <c r="L498" s="26" t="n">
        <v>0</v>
      </c>
      <c r="M498" s="26" t="n">
        <v>0</v>
      </c>
      <c r="N498" s="26" t="n">
        <v>0</v>
      </c>
      <c r="O498" s="26" t="n">
        <v>0</v>
      </c>
      <c r="P498" s="26" t="n">
        <v>0</v>
      </c>
      <c r="Q498" s="26" t="n">
        <v>0</v>
      </c>
      <c r="R498" s="26" t="n">
        <v>0</v>
      </c>
      <c r="S498" s="26" t="n">
        <v>0</v>
      </c>
      <c r="T498" s="26" t="n">
        <v>113.6</v>
      </c>
      <c r="U498" s="26" t="n">
        <v>0</v>
      </c>
    </row>
    <row r="499" customFormat="false" ht="15" hidden="false" customHeight="true" outlineLevel="0" collapsed="false">
      <c r="A499" s="8" t="s">
        <v>407</v>
      </c>
      <c r="B499" s="8" t="s">
        <v>103</v>
      </c>
      <c r="C499" s="8" t="s">
        <v>920</v>
      </c>
      <c r="D499" s="26" t="n">
        <v>0</v>
      </c>
      <c r="E499" s="26" t="n">
        <v>0</v>
      </c>
      <c r="F499" s="26" t="n">
        <v>8987</v>
      </c>
      <c r="G499" s="26" t="n">
        <v>0</v>
      </c>
      <c r="H499" s="26" t="n">
        <v>0</v>
      </c>
      <c r="I499" s="26" t="n">
        <v>45344.4</v>
      </c>
      <c r="J499" s="26" t="n">
        <v>0</v>
      </c>
      <c r="K499" s="26" t="n">
        <v>0</v>
      </c>
      <c r="L499" s="26" t="n">
        <v>0</v>
      </c>
      <c r="M499" s="26" t="n">
        <v>0</v>
      </c>
      <c r="N499" s="26" t="n">
        <v>0</v>
      </c>
      <c r="O499" s="26" t="n">
        <v>0</v>
      </c>
      <c r="P499" s="26" t="n">
        <v>0</v>
      </c>
      <c r="Q499" s="26" t="n">
        <v>45344.4</v>
      </c>
      <c r="R499" s="26" t="n">
        <v>0</v>
      </c>
      <c r="S499" s="26" t="n">
        <v>0</v>
      </c>
      <c r="T499" s="26" t="n">
        <v>0</v>
      </c>
      <c r="U499" s="26" t="n">
        <v>0</v>
      </c>
    </row>
    <row r="500" customFormat="false" ht="15" hidden="false" customHeight="true" outlineLevel="0" collapsed="false">
      <c r="A500" s="8" t="s">
        <v>407</v>
      </c>
      <c r="B500" s="8" t="s">
        <v>103</v>
      </c>
      <c r="C500" s="8" t="s">
        <v>921</v>
      </c>
      <c r="D500" s="26" t="n">
        <v>0</v>
      </c>
      <c r="E500" s="26" t="n">
        <v>0</v>
      </c>
      <c r="F500" s="26" t="n">
        <v>6429.3</v>
      </c>
      <c r="G500" s="26" t="n">
        <v>0</v>
      </c>
      <c r="H500" s="26" t="n">
        <v>0</v>
      </c>
      <c r="I500" s="26" t="n">
        <v>38940.6</v>
      </c>
      <c r="J500" s="26" t="n">
        <v>0</v>
      </c>
      <c r="K500" s="26" t="n">
        <v>0</v>
      </c>
      <c r="L500" s="26" t="n">
        <v>0</v>
      </c>
      <c r="M500" s="26" t="n">
        <v>0</v>
      </c>
      <c r="N500" s="26" t="n">
        <v>0</v>
      </c>
      <c r="O500" s="26" t="n">
        <v>0</v>
      </c>
      <c r="P500" s="26" t="n">
        <v>0</v>
      </c>
      <c r="Q500" s="26" t="n">
        <v>38940.6</v>
      </c>
      <c r="R500" s="26" t="n">
        <v>0</v>
      </c>
      <c r="S500" s="26" t="n">
        <v>0</v>
      </c>
      <c r="T500" s="26" t="n">
        <v>0</v>
      </c>
      <c r="U500" s="26" t="n">
        <v>0</v>
      </c>
    </row>
    <row r="501" customFormat="false" ht="15" hidden="false" customHeight="true" outlineLevel="0" collapsed="false">
      <c r="A501" s="8" t="s">
        <v>407</v>
      </c>
      <c r="B501" s="8" t="s">
        <v>103</v>
      </c>
      <c r="C501" s="8" t="s">
        <v>922</v>
      </c>
      <c r="D501" s="26" t="n">
        <v>0</v>
      </c>
      <c r="E501" s="26" t="n">
        <v>0</v>
      </c>
      <c r="F501" s="26" t="n">
        <v>4876.5</v>
      </c>
      <c r="G501" s="26" t="n">
        <v>0</v>
      </c>
      <c r="H501" s="26" t="n">
        <v>0</v>
      </c>
      <c r="I501" s="26" t="n">
        <v>30467.8</v>
      </c>
      <c r="J501" s="26" t="n">
        <v>0</v>
      </c>
      <c r="K501" s="26" t="n">
        <v>0</v>
      </c>
      <c r="L501" s="26" t="n">
        <v>0</v>
      </c>
      <c r="M501" s="26" t="n">
        <v>0</v>
      </c>
      <c r="N501" s="26" t="n">
        <v>0</v>
      </c>
      <c r="O501" s="26" t="n">
        <v>0</v>
      </c>
      <c r="P501" s="26" t="n">
        <v>0</v>
      </c>
      <c r="Q501" s="26" t="n">
        <v>30467.8</v>
      </c>
      <c r="R501" s="26" t="n">
        <v>0</v>
      </c>
      <c r="S501" s="26" t="n">
        <v>0</v>
      </c>
      <c r="T501" s="26" t="n">
        <v>0</v>
      </c>
      <c r="U501" s="26" t="n">
        <v>0</v>
      </c>
    </row>
    <row r="502" customFormat="false" ht="15" hidden="false" customHeight="true" outlineLevel="0" collapsed="false">
      <c r="A502" s="8" t="s">
        <v>407</v>
      </c>
      <c r="B502" s="8" t="s">
        <v>103</v>
      </c>
      <c r="C502" s="8" t="s">
        <v>923</v>
      </c>
      <c r="D502" s="26" t="n">
        <v>0</v>
      </c>
      <c r="E502" s="26" t="n">
        <v>0</v>
      </c>
      <c r="F502" s="26" t="n">
        <v>2565.2</v>
      </c>
      <c r="G502" s="26" t="n">
        <v>0</v>
      </c>
      <c r="H502" s="26" t="n">
        <v>0</v>
      </c>
      <c r="I502" s="26" t="n">
        <v>24681.3</v>
      </c>
      <c r="J502" s="26" t="n">
        <v>0</v>
      </c>
      <c r="K502" s="26" t="n">
        <v>0</v>
      </c>
      <c r="L502" s="26" t="n">
        <v>0</v>
      </c>
      <c r="M502" s="26" t="n">
        <v>0</v>
      </c>
      <c r="N502" s="26" t="n">
        <v>0</v>
      </c>
      <c r="O502" s="26" t="n">
        <v>0</v>
      </c>
      <c r="P502" s="26" t="n">
        <v>0</v>
      </c>
      <c r="Q502" s="26" t="n">
        <v>24681.3</v>
      </c>
      <c r="R502" s="26" t="n">
        <v>0</v>
      </c>
      <c r="S502" s="26" t="n">
        <v>0</v>
      </c>
      <c r="T502" s="26" t="n">
        <v>0</v>
      </c>
      <c r="U502" s="26" t="n">
        <v>0</v>
      </c>
    </row>
    <row r="503" customFormat="false" ht="15" hidden="false" customHeight="true" outlineLevel="0" collapsed="false">
      <c r="A503" s="8" t="s">
        <v>407</v>
      </c>
      <c r="B503" s="8" t="s">
        <v>254</v>
      </c>
      <c r="C503" s="8" t="s">
        <v>924</v>
      </c>
      <c r="D503" s="26" t="n">
        <v>0</v>
      </c>
      <c r="E503" s="26" t="n">
        <v>0</v>
      </c>
      <c r="F503" s="26" t="n">
        <v>230</v>
      </c>
      <c r="G503" s="26" t="n">
        <v>0</v>
      </c>
      <c r="H503" s="26" t="n">
        <v>0</v>
      </c>
      <c r="I503" s="26" t="n">
        <v>737.4</v>
      </c>
      <c r="J503" s="26" t="n">
        <v>0</v>
      </c>
      <c r="K503" s="26" t="n">
        <v>0</v>
      </c>
      <c r="L503" s="26" t="n">
        <v>0</v>
      </c>
      <c r="M503" s="26" t="n">
        <v>0</v>
      </c>
      <c r="N503" s="26" t="n">
        <v>0</v>
      </c>
      <c r="O503" s="26" t="n">
        <v>0</v>
      </c>
      <c r="P503" s="26" t="n">
        <v>0</v>
      </c>
      <c r="Q503" s="26" t="n">
        <v>737.4</v>
      </c>
      <c r="R503" s="26" t="n">
        <v>0</v>
      </c>
      <c r="S503" s="26" t="n">
        <v>0</v>
      </c>
      <c r="T503" s="26" t="n">
        <v>0</v>
      </c>
      <c r="U503" s="26" t="n">
        <v>0</v>
      </c>
    </row>
    <row r="504" customFormat="false" ht="15" hidden="false" customHeight="true" outlineLevel="0" collapsed="false">
      <c r="A504" s="8" t="s">
        <v>407</v>
      </c>
      <c r="B504" s="8" t="s">
        <v>342</v>
      </c>
      <c r="C504" s="8" t="s">
        <v>924</v>
      </c>
      <c r="D504" s="26" t="n">
        <v>0</v>
      </c>
      <c r="E504" s="26" t="n">
        <v>0</v>
      </c>
      <c r="F504" s="26" t="n">
        <v>0</v>
      </c>
      <c r="G504" s="26" t="n">
        <v>0</v>
      </c>
      <c r="H504" s="26" t="n">
        <v>0</v>
      </c>
      <c r="I504" s="26" t="n">
        <v>-564.6</v>
      </c>
      <c r="J504" s="26" t="n">
        <v>0</v>
      </c>
      <c r="K504" s="26" t="n">
        <v>0</v>
      </c>
      <c r="L504" s="26" t="n">
        <v>0</v>
      </c>
      <c r="M504" s="26" t="n">
        <v>0</v>
      </c>
      <c r="N504" s="26" t="n">
        <v>0</v>
      </c>
      <c r="O504" s="26" t="n">
        <v>0</v>
      </c>
      <c r="P504" s="26" t="n">
        <v>0</v>
      </c>
      <c r="Q504" s="26" t="n">
        <v>-564.6</v>
      </c>
      <c r="R504" s="26" t="n">
        <v>0</v>
      </c>
      <c r="S504" s="26" t="n">
        <v>0</v>
      </c>
      <c r="T504" s="26" t="n">
        <v>0</v>
      </c>
      <c r="U504" s="26" t="n">
        <v>0</v>
      </c>
    </row>
    <row r="505" customFormat="false" ht="15" hidden="false" customHeight="true" outlineLevel="0" collapsed="false">
      <c r="A505" s="8" t="s">
        <v>407</v>
      </c>
      <c r="B505" s="8" t="s">
        <v>254</v>
      </c>
      <c r="C505" s="8" t="s">
        <v>925</v>
      </c>
      <c r="D505" s="26" t="n">
        <v>0</v>
      </c>
      <c r="E505" s="26" t="n">
        <v>0</v>
      </c>
      <c r="F505" s="26" t="n">
        <v>115</v>
      </c>
      <c r="G505" s="26" t="n">
        <v>0</v>
      </c>
      <c r="H505" s="26" t="n">
        <v>0</v>
      </c>
      <c r="I505" s="26" t="n">
        <v>874.8</v>
      </c>
      <c r="J505" s="26" t="n">
        <v>0</v>
      </c>
      <c r="K505" s="26" t="n">
        <v>0</v>
      </c>
      <c r="L505" s="26" t="n">
        <v>0</v>
      </c>
      <c r="M505" s="26" t="n">
        <v>0</v>
      </c>
      <c r="N505" s="26" t="n">
        <v>0</v>
      </c>
      <c r="O505" s="26" t="n">
        <v>0</v>
      </c>
      <c r="P505" s="26" t="n">
        <v>0</v>
      </c>
      <c r="Q505" s="26" t="n">
        <v>874.8</v>
      </c>
      <c r="R505" s="26" t="n">
        <v>0</v>
      </c>
      <c r="S505" s="26" t="n">
        <v>0</v>
      </c>
      <c r="T505" s="26" t="n">
        <v>0</v>
      </c>
      <c r="U505" s="26" t="n">
        <v>0</v>
      </c>
    </row>
    <row r="506" customFormat="false" ht="15" hidden="false" customHeight="true" outlineLevel="0" collapsed="false">
      <c r="A506" s="8" t="s">
        <v>407</v>
      </c>
      <c r="B506" s="8" t="s">
        <v>340</v>
      </c>
      <c r="C506" s="8" t="s">
        <v>925</v>
      </c>
      <c r="D506" s="26" t="n">
        <v>0</v>
      </c>
      <c r="E506" s="26" t="n">
        <v>0</v>
      </c>
      <c r="F506" s="26" t="n">
        <v>0</v>
      </c>
      <c r="G506" s="26" t="n">
        <v>0</v>
      </c>
      <c r="H506" s="26" t="n">
        <v>0</v>
      </c>
      <c r="I506" s="26" t="n">
        <v>1978.2</v>
      </c>
      <c r="J506" s="26" t="n">
        <v>0</v>
      </c>
      <c r="K506" s="26" t="n">
        <v>0</v>
      </c>
      <c r="L506" s="26" t="n">
        <v>0</v>
      </c>
      <c r="M506" s="26" t="n">
        <v>0</v>
      </c>
      <c r="N506" s="26" t="n">
        <v>0</v>
      </c>
      <c r="O506" s="26" t="n">
        <v>0</v>
      </c>
      <c r="P506" s="26" t="n">
        <v>0</v>
      </c>
      <c r="Q506" s="26" t="n">
        <v>1978.2</v>
      </c>
      <c r="R506" s="26" t="n">
        <v>0</v>
      </c>
      <c r="S506" s="26" t="n">
        <v>0</v>
      </c>
      <c r="T506" s="26" t="n">
        <v>66</v>
      </c>
      <c r="U506" s="26" t="n">
        <v>0</v>
      </c>
    </row>
    <row r="507" customFormat="false" ht="15" hidden="false" customHeight="true" outlineLevel="0" collapsed="false">
      <c r="A507" s="8" t="s">
        <v>407</v>
      </c>
      <c r="B507" s="8" t="s">
        <v>92</v>
      </c>
      <c r="C507" s="8" t="s">
        <v>926</v>
      </c>
      <c r="D507" s="26" t="n">
        <v>0</v>
      </c>
      <c r="E507" s="26" t="n">
        <v>0</v>
      </c>
      <c r="F507" s="26" t="n">
        <v>6493.3</v>
      </c>
      <c r="G507" s="26" t="n">
        <v>0</v>
      </c>
      <c r="H507" s="26" t="n">
        <v>0</v>
      </c>
      <c r="I507" s="26" t="n">
        <v>22225.7</v>
      </c>
      <c r="J507" s="26" t="n">
        <v>0</v>
      </c>
      <c r="K507" s="26" t="n">
        <v>0</v>
      </c>
      <c r="L507" s="26" t="n">
        <v>0</v>
      </c>
      <c r="M507" s="26" t="n">
        <v>0</v>
      </c>
      <c r="N507" s="26" t="n">
        <v>0</v>
      </c>
      <c r="O507" s="26" t="n">
        <v>0</v>
      </c>
      <c r="P507" s="26" t="n">
        <v>0</v>
      </c>
      <c r="Q507" s="26" t="n">
        <v>22225.7</v>
      </c>
      <c r="R507" s="26" t="n">
        <v>0</v>
      </c>
      <c r="S507" s="26" t="n">
        <v>0</v>
      </c>
      <c r="T507" s="26" t="n">
        <v>2308.8</v>
      </c>
      <c r="U507" s="26" t="n">
        <v>0</v>
      </c>
    </row>
    <row r="508" customFormat="false" ht="15" hidden="false" customHeight="true" outlineLevel="0" collapsed="false">
      <c r="A508" s="8" t="s">
        <v>407</v>
      </c>
      <c r="B508" s="8" t="s">
        <v>149</v>
      </c>
      <c r="C508" s="8" t="s">
        <v>927</v>
      </c>
      <c r="D508" s="26" t="n">
        <v>0</v>
      </c>
      <c r="E508" s="26" t="n">
        <v>0</v>
      </c>
      <c r="F508" s="26" t="n">
        <v>693.6</v>
      </c>
      <c r="G508" s="26" t="n">
        <v>0</v>
      </c>
      <c r="H508" s="26" t="n">
        <v>0</v>
      </c>
      <c r="I508" s="26" t="n">
        <v>1987</v>
      </c>
      <c r="J508" s="26" t="n">
        <v>0</v>
      </c>
      <c r="K508" s="26" t="n">
        <v>0</v>
      </c>
      <c r="L508" s="26" t="n">
        <v>0</v>
      </c>
      <c r="M508" s="26" t="n">
        <v>0</v>
      </c>
      <c r="N508" s="26" t="n">
        <v>0</v>
      </c>
      <c r="O508" s="26" t="n">
        <v>0</v>
      </c>
      <c r="P508" s="26" t="n">
        <v>0</v>
      </c>
      <c r="Q508" s="26" t="n">
        <v>1987</v>
      </c>
      <c r="R508" s="26" t="n">
        <v>0</v>
      </c>
      <c r="S508" s="26" t="n">
        <v>0</v>
      </c>
      <c r="T508" s="26" t="n">
        <v>0</v>
      </c>
      <c r="U508" s="26" t="n">
        <v>0</v>
      </c>
    </row>
    <row r="509" customFormat="false" ht="15" hidden="false" customHeight="true" outlineLevel="0" collapsed="false">
      <c r="A509" s="8" t="s">
        <v>407</v>
      </c>
      <c r="B509" s="8" t="s">
        <v>80</v>
      </c>
      <c r="C509" s="8" t="s">
        <v>977</v>
      </c>
      <c r="D509" s="26" t="n">
        <v>0</v>
      </c>
      <c r="E509" s="26" t="n">
        <v>0</v>
      </c>
      <c r="F509" s="26" t="n">
        <v>6879.5</v>
      </c>
      <c r="G509" s="26" t="n">
        <v>0</v>
      </c>
      <c r="H509" s="26" t="n">
        <v>0</v>
      </c>
      <c r="I509" s="26" t="n">
        <v>23331.1</v>
      </c>
      <c r="J509" s="26" t="n">
        <v>0</v>
      </c>
      <c r="K509" s="26" t="n">
        <v>0</v>
      </c>
      <c r="L509" s="26" t="n">
        <v>0</v>
      </c>
      <c r="M509" s="26" t="n">
        <v>0</v>
      </c>
      <c r="N509" s="26" t="n">
        <v>0</v>
      </c>
      <c r="O509" s="26" t="n">
        <v>0</v>
      </c>
      <c r="P509" s="26" t="n">
        <v>0</v>
      </c>
      <c r="Q509" s="26" t="n">
        <v>23331.1</v>
      </c>
      <c r="R509" s="26" t="n">
        <v>0</v>
      </c>
      <c r="S509" s="26" t="n">
        <v>0</v>
      </c>
      <c r="T509" s="26" t="n">
        <v>4264.6</v>
      </c>
      <c r="U509" s="26" t="n">
        <v>0</v>
      </c>
    </row>
    <row r="510" customFormat="false" ht="15" hidden="false" customHeight="true" outlineLevel="0" collapsed="false">
      <c r="A510" s="8" t="s">
        <v>407</v>
      </c>
      <c r="B510" s="8" t="s">
        <v>80</v>
      </c>
      <c r="C510" s="8" t="s">
        <v>978</v>
      </c>
      <c r="D510" s="26" t="n">
        <v>0</v>
      </c>
      <c r="E510" s="26" t="n">
        <v>0</v>
      </c>
      <c r="F510" s="26" t="n">
        <v>11246.6</v>
      </c>
      <c r="G510" s="26" t="n">
        <v>0</v>
      </c>
      <c r="H510" s="26" t="n">
        <v>0</v>
      </c>
      <c r="I510" s="26" t="n">
        <v>35342.4</v>
      </c>
      <c r="J510" s="26" t="n">
        <v>0</v>
      </c>
      <c r="K510" s="26" t="n">
        <v>0</v>
      </c>
      <c r="L510" s="26" t="n">
        <v>0</v>
      </c>
      <c r="M510" s="26" t="n">
        <v>0</v>
      </c>
      <c r="N510" s="26" t="n">
        <v>0</v>
      </c>
      <c r="O510" s="26" t="n">
        <v>0</v>
      </c>
      <c r="P510" s="26" t="n">
        <v>0</v>
      </c>
      <c r="Q510" s="26" t="n">
        <v>35342.4</v>
      </c>
      <c r="R510" s="26" t="n">
        <v>0</v>
      </c>
      <c r="S510" s="26" t="n">
        <v>0</v>
      </c>
      <c r="T510" s="26" t="n">
        <v>6146.1</v>
      </c>
      <c r="U510" s="26" t="n">
        <v>0</v>
      </c>
    </row>
    <row r="511" customFormat="false" ht="15" hidden="false" customHeight="true" outlineLevel="0" collapsed="false">
      <c r="A511" s="8" t="s">
        <v>407</v>
      </c>
      <c r="B511" s="8" t="s">
        <v>80</v>
      </c>
      <c r="C511" s="8" t="s">
        <v>979</v>
      </c>
      <c r="D511" s="26" t="n">
        <v>0</v>
      </c>
      <c r="E511" s="26" t="n">
        <v>0</v>
      </c>
      <c r="F511" s="26" t="n">
        <v>8894.4</v>
      </c>
      <c r="G511" s="26" t="n">
        <v>0</v>
      </c>
      <c r="H511" s="26" t="n">
        <v>0</v>
      </c>
      <c r="I511" s="26" t="n">
        <v>26087.5</v>
      </c>
      <c r="J511" s="26" t="n">
        <v>0</v>
      </c>
      <c r="K511" s="26" t="n">
        <v>0</v>
      </c>
      <c r="L511" s="26" t="n">
        <v>0</v>
      </c>
      <c r="M511" s="26" t="n">
        <v>0</v>
      </c>
      <c r="N511" s="26" t="n">
        <v>0</v>
      </c>
      <c r="O511" s="26" t="n">
        <v>0</v>
      </c>
      <c r="P511" s="26" t="n">
        <v>0</v>
      </c>
      <c r="Q511" s="26" t="n">
        <v>26087.5</v>
      </c>
      <c r="R511" s="26" t="n">
        <v>0</v>
      </c>
      <c r="S511" s="26" t="n">
        <v>0</v>
      </c>
      <c r="T511" s="26" t="n">
        <v>6605.9</v>
      </c>
      <c r="U511" s="26" t="n">
        <v>0</v>
      </c>
    </row>
    <row r="512" customFormat="false" ht="15" hidden="false" customHeight="true" outlineLevel="0" collapsed="false">
      <c r="A512" s="8" t="s">
        <v>407</v>
      </c>
      <c r="B512" s="8" t="s">
        <v>210</v>
      </c>
      <c r="C512" s="8" t="s">
        <v>980</v>
      </c>
      <c r="D512" s="26" t="n">
        <v>0</v>
      </c>
      <c r="E512" s="26" t="n">
        <v>0</v>
      </c>
      <c r="F512" s="26" t="n">
        <v>474.6</v>
      </c>
      <c r="G512" s="26" t="n">
        <v>0</v>
      </c>
      <c r="H512" s="26" t="n">
        <v>131.8</v>
      </c>
      <c r="I512" s="26" t="n">
        <v>0</v>
      </c>
      <c r="J512" s="26" t="n">
        <v>0</v>
      </c>
      <c r="K512" s="26" t="n">
        <v>0</v>
      </c>
      <c r="L512" s="26" t="n">
        <v>0</v>
      </c>
      <c r="M512" s="26" t="n">
        <v>0</v>
      </c>
      <c r="N512" s="26" t="n">
        <v>0</v>
      </c>
      <c r="O512" s="26" t="n">
        <v>0</v>
      </c>
      <c r="P512" s="26" t="n">
        <v>0</v>
      </c>
      <c r="Q512" s="26" t="n">
        <v>0</v>
      </c>
      <c r="R512" s="26" t="n">
        <v>0</v>
      </c>
      <c r="S512" s="26" t="n">
        <v>0</v>
      </c>
      <c r="T512" s="26" t="n">
        <v>0</v>
      </c>
      <c r="U512" s="26" t="n">
        <v>0</v>
      </c>
    </row>
    <row r="513" customFormat="false" ht="15" hidden="false" customHeight="true" outlineLevel="0" collapsed="false">
      <c r="A513" s="8" t="s">
        <v>407</v>
      </c>
      <c r="B513" s="8" t="s">
        <v>210</v>
      </c>
      <c r="C513" s="8" t="s">
        <v>981</v>
      </c>
      <c r="D513" s="26" t="n">
        <v>0</v>
      </c>
      <c r="E513" s="26" t="n">
        <v>0</v>
      </c>
      <c r="F513" s="26" t="n">
        <v>322.5</v>
      </c>
      <c r="G513" s="26" t="n">
        <v>0</v>
      </c>
      <c r="H513" s="26" t="n">
        <v>131.8</v>
      </c>
      <c r="I513" s="26" t="n">
        <v>0</v>
      </c>
      <c r="J513" s="26" t="n">
        <v>0</v>
      </c>
      <c r="K513" s="26" t="n">
        <v>0</v>
      </c>
      <c r="L513" s="26" t="n">
        <v>0</v>
      </c>
      <c r="M513" s="26" t="n">
        <v>0</v>
      </c>
      <c r="N513" s="26" t="n">
        <v>0</v>
      </c>
      <c r="O513" s="26" t="n">
        <v>0</v>
      </c>
      <c r="P513" s="26" t="n">
        <v>0</v>
      </c>
      <c r="Q513" s="26" t="n">
        <v>0</v>
      </c>
      <c r="R513" s="26" t="n">
        <v>0</v>
      </c>
      <c r="S513" s="26" t="n">
        <v>0</v>
      </c>
      <c r="T513" s="26" t="n">
        <v>0</v>
      </c>
      <c r="U513" s="26" t="n">
        <v>0</v>
      </c>
    </row>
    <row r="514" customFormat="false" ht="15" hidden="false" customHeight="true" outlineLevel="0" collapsed="false">
      <c r="A514" s="8" t="s">
        <v>407</v>
      </c>
      <c r="B514" s="8" t="s">
        <v>110</v>
      </c>
      <c r="C514" s="8" t="s">
        <v>928</v>
      </c>
      <c r="D514" s="26" t="n">
        <v>0</v>
      </c>
      <c r="E514" s="26" t="n">
        <v>0</v>
      </c>
      <c r="F514" s="26" t="n">
        <v>8071.8</v>
      </c>
      <c r="G514" s="26" t="n">
        <v>0</v>
      </c>
      <c r="H514" s="26" t="n">
        <v>81.2</v>
      </c>
      <c r="I514" s="26" t="n">
        <v>0</v>
      </c>
      <c r="J514" s="26" t="n">
        <v>0</v>
      </c>
      <c r="K514" s="26" t="n">
        <v>0</v>
      </c>
      <c r="L514" s="26" t="n">
        <v>0</v>
      </c>
      <c r="M514" s="26" t="n">
        <v>0</v>
      </c>
      <c r="N514" s="26" t="n">
        <v>0</v>
      </c>
      <c r="O514" s="26" t="n">
        <v>0</v>
      </c>
      <c r="P514" s="26" t="n">
        <v>0</v>
      </c>
      <c r="Q514" s="26" t="n">
        <v>0</v>
      </c>
      <c r="R514" s="26" t="n">
        <v>0</v>
      </c>
      <c r="S514" s="26" t="n">
        <v>0</v>
      </c>
      <c r="T514" s="26" t="n">
        <v>0</v>
      </c>
      <c r="U514" s="26" t="n">
        <v>0</v>
      </c>
    </row>
    <row r="515" customFormat="false" ht="15" hidden="false" customHeight="true" outlineLevel="0" collapsed="false">
      <c r="A515" s="8" t="s">
        <v>407</v>
      </c>
      <c r="B515" s="8" t="s">
        <v>147</v>
      </c>
      <c r="C515" s="8" t="s">
        <v>533</v>
      </c>
      <c r="D515" s="26" t="n">
        <v>0</v>
      </c>
      <c r="E515" s="26" t="n">
        <v>0</v>
      </c>
      <c r="F515" s="26" t="n">
        <v>3393.7</v>
      </c>
      <c r="G515" s="26" t="n">
        <v>0</v>
      </c>
      <c r="H515" s="26" t="n">
        <v>0</v>
      </c>
      <c r="I515" s="26" t="n">
        <v>2509.6</v>
      </c>
      <c r="J515" s="26" t="n">
        <v>0</v>
      </c>
      <c r="K515" s="26" t="n">
        <v>0</v>
      </c>
      <c r="L515" s="26" t="n">
        <v>0</v>
      </c>
      <c r="M515" s="26" t="n">
        <v>0</v>
      </c>
      <c r="N515" s="26" t="n">
        <v>0</v>
      </c>
      <c r="O515" s="26" t="n">
        <v>0</v>
      </c>
      <c r="P515" s="26" t="n">
        <v>0</v>
      </c>
      <c r="Q515" s="26" t="n">
        <v>2509.6</v>
      </c>
      <c r="R515" s="26" t="n">
        <v>0</v>
      </c>
      <c r="S515" s="26" t="n">
        <v>0</v>
      </c>
      <c r="T515" s="26" t="n">
        <v>0</v>
      </c>
      <c r="U515" s="26" t="n">
        <v>0</v>
      </c>
    </row>
    <row r="516" customFormat="false" ht="15" hidden="false" customHeight="true" outlineLevel="0" collapsed="false">
      <c r="A516" s="8" t="s">
        <v>407</v>
      </c>
      <c r="B516" s="8" t="s">
        <v>216</v>
      </c>
      <c r="C516" s="8" t="s">
        <v>929</v>
      </c>
      <c r="D516" s="26" t="n">
        <v>0</v>
      </c>
      <c r="E516" s="26" t="n">
        <v>0</v>
      </c>
      <c r="F516" s="26" t="n">
        <v>5537</v>
      </c>
      <c r="G516" s="26" t="n">
        <v>0</v>
      </c>
      <c r="H516" s="26" t="n">
        <v>0</v>
      </c>
      <c r="I516" s="26" t="n">
        <v>66257.5</v>
      </c>
      <c r="J516" s="26" t="n">
        <v>0</v>
      </c>
      <c r="K516" s="26" t="n">
        <v>0</v>
      </c>
      <c r="L516" s="26" t="n">
        <v>0</v>
      </c>
      <c r="M516" s="26" t="n">
        <v>0</v>
      </c>
      <c r="N516" s="26" t="n">
        <v>0</v>
      </c>
      <c r="O516" s="26" t="n">
        <v>0</v>
      </c>
      <c r="P516" s="26" t="n">
        <v>0</v>
      </c>
      <c r="Q516" s="26" t="n">
        <v>66257.5</v>
      </c>
      <c r="R516" s="26" t="n">
        <v>0</v>
      </c>
      <c r="S516" s="26" t="n">
        <v>0</v>
      </c>
      <c r="T516" s="26" t="n">
        <v>0</v>
      </c>
      <c r="U516" s="26" t="n">
        <v>0</v>
      </c>
    </row>
    <row r="517" customFormat="false" ht="15" hidden="false" customHeight="true" outlineLevel="0" collapsed="false">
      <c r="A517" s="8" t="s">
        <v>407</v>
      </c>
      <c r="B517" s="8" t="s">
        <v>392</v>
      </c>
      <c r="C517" s="8" t="s">
        <v>982</v>
      </c>
      <c r="D517" s="26" t="n">
        <v>0</v>
      </c>
      <c r="E517" s="26" t="n">
        <v>0</v>
      </c>
      <c r="F517" s="26" t="n">
        <v>0</v>
      </c>
      <c r="G517" s="26" t="n">
        <v>0</v>
      </c>
      <c r="H517" s="26" t="n">
        <v>0</v>
      </c>
      <c r="I517" s="26" t="n">
        <v>0</v>
      </c>
      <c r="J517" s="26" t="n">
        <v>0</v>
      </c>
      <c r="K517" s="26" t="n">
        <v>0</v>
      </c>
      <c r="L517" s="26" t="n">
        <v>0</v>
      </c>
      <c r="M517" s="26" t="n">
        <v>0</v>
      </c>
      <c r="N517" s="26" t="n">
        <v>0</v>
      </c>
      <c r="O517" s="26" t="n">
        <v>0</v>
      </c>
      <c r="P517" s="26" t="n">
        <v>0</v>
      </c>
      <c r="Q517" s="26" t="n">
        <v>0</v>
      </c>
      <c r="R517" s="26" t="n">
        <v>0</v>
      </c>
      <c r="S517" s="26" t="n">
        <v>0</v>
      </c>
      <c r="T517" s="26" t="n">
        <v>5739.6</v>
      </c>
      <c r="U517" s="26" t="n">
        <v>0</v>
      </c>
    </row>
    <row r="518" customFormat="false" ht="15" hidden="false" customHeight="true" outlineLevel="0" collapsed="false">
      <c r="A518" s="8" t="s">
        <v>407</v>
      </c>
      <c r="B518" s="8" t="s">
        <v>397</v>
      </c>
      <c r="C518" s="8" t="s">
        <v>983</v>
      </c>
      <c r="D518" s="26" t="n">
        <v>0</v>
      </c>
      <c r="E518" s="26" t="n">
        <v>0</v>
      </c>
      <c r="F518" s="26" t="n">
        <v>0</v>
      </c>
      <c r="G518" s="26" t="n">
        <v>0</v>
      </c>
      <c r="H518" s="26" t="n">
        <v>0</v>
      </c>
      <c r="I518" s="26" t="n">
        <v>0</v>
      </c>
      <c r="J518" s="26" t="n">
        <v>0</v>
      </c>
      <c r="K518" s="26" t="n">
        <v>0</v>
      </c>
      <c r="L518" s="26" t="n">
        <v>0</v>
      </c>
      <c r="M518" s="26" t="n">
        <v>0</v>
      </c>
      <c r="N518" s="26" t="n">
        <v>0</v>
      </c>
      <c r="O518" s="26" t="n">
        <v>0</v>
      </c>
      <c r="P518" s="26" t="n">
        <v>0</v>
      </c>
      <c r="Q518" s="26" t="n">
        <v>0</v>
      </c>
      <c r="R518" s="26" t="n">
        <v>0</v>
      </c>
      <c r="S518" s="26" t="n">
        <v>0</v>
      </c>
      <c r="T518" s="26" t="n">
        <v>1133</v>
      </c>
      <c r="U518" s="26" t="n">
        <v>0</v>
      </c>
    </row>
    <row r="519" customFormat="false" ht="15" hidden="false" customHeight="true" outlineLevel="0" collapsed="false">
      <c r="A519" s="8" t="s">
        <v>407</v>
      </c>
      <c r="B519" s="8" t="s">
        <v>395</v>
      </c>
      <c r="C519" s="8" t="s">
        <v>984</v>
      </c>
      <c r="D519" s="26" t="n">
        <v>0</v>
      </c>
      <c r="E519" s="26" t="n">
        <v>0</v>
      </c>
      <c r="F519" s="26" t="n">
        <v>0</v>
      </c>
      <c r="G519" s="26" t="n">
        <v>0</v>
      </c>
      <c r="H519" s="26" t="n">
        <v>0</v>
      </c>
      <c r="I519" s="26" t="n">
        <v>0</v>
      </c>
      <c r="J519" s="26" t="n">
        <v>0</v>
      </c>
      <c r="K519" s="26" t="n">
        <v>0</v>
      </c>
      <c r="L519" s="26" t="n">
        <v>0</v>
      </c>
      <c r="M519" s="26" t="n">
        <v>0</v>
      </c>
      <c r="N519" s="26" t="n">
        <v>0</v>
      </c>
      <c r="O519" s="26" t="n">
        <v>0</v>
      </c>
      <c r="P519" s="26" t="n">
        <v>0</v>
      </c>
      <c r="Q519" s="26" t="n">
        <v>0</v>
      </c>
      <c r="R519" s="26" t="n">
        <v>0</v>
      </c>
      <c r="S519" s="26" t="n">
        <v>0</v>
      </c>
      <c r="T519" s="26" t="n">
        <v>1989.8</v>
      </c>
      <c r="U519" s="26" t="n">
        <v>0</v>
      </c>
    </row>
    <row r="520" customFormat="false" ht="15" hidden="false" customHeight="true" outlineLevel="0" collapsed="false">
      <c r="A520" s="8" t="s">
        <v>407</v>
      </c>
      <c r="B520" s="8" t="s">
        <v>399</v>
      </c>
      <c r="C520" s="8" t="s">
        <v>985</v>
      </c>
      <c r="D520" s="26" t="n">
        <v>0</v>
      </c>
      <c r="E520" s="26" t="n">
        <v>0</v>
      </c>
      <c r="F520" s="26" t="n">
        <v>0</v>
      </c>
      <c r="G520" s="26" t="n">
        <v>0</v>
      </c>
      <c r="H520" s="26" t="n">
        <v>0</v>
      </c>
      <c r="I520" s="26" t="n">
        <v>0</v>
      </c>
      <c r="J520" s="26" t="n">
        <v>0</v>
      </c>
      <c r="K520" s="26" t="n">
        <v>0</v>
      </c>
      <c r="L520" s="26" t="n">
        <v>0</v>
      </c>
      <c r="M520" s="26" t="n">
        <v>0</v>
      </c>
      <c r="N520" s="26" t="n">
        <v>0</v>
      </c>
      <c r="O520" s="26" t="n">
        <v>0</v>
      </c>
      <c r="P520" s="26" t="n">
        <v>0</v>
      </c>
      <c r="Q520" s="26" t="n">
        <v>0</v>
      </c>
      <c r="R520" s="26" t="n">
        <v>0</v>
      </c>
      <c r="S520" s="26" t="n">
        <v>0</v>
      </c>
      <c r="T520" s="26" t="n">
        <v>171</v>
      </c>
      <c r="U520" s="26" t="n">
        <v>0</v>
      </c>
    </row>
    <row r="521" customFormat="false" ht="15" hidden="false" customHeight="true" outlineLevel="0" collapsed="false">
      <c r="A521" s="8" t="s">
        <v>407</v>
      </c>
      <c r="B521" s="8" t="s">
        <v>215</v>
      </c>
      <c r="C521" s="8" t="s">
        <v>986</v>
      </c>
      <c r="D521" s="26" t="n">
        <v>0</v>
      </c>
      <c r="E521" s="26" t="n">
        <v>0</v>
      </c>
      <c r="F521" s="26" t="n">
        <v>0</v>
      </c>
      <c r="G521" s="26" t="n">
        <v>0</v>
      </c>
      <c r="H521" s="26" t="n">
        <v>0</v>
      </c>
      <c r="I521" s="26" t="n">
        <v>3068.9</v>
      </c>
      <c r="J521" s="26" t="n">
        <v>0</v>
      </c>
      <c r="K521" s="26" t="n">
        <v>0</v>
      </c>
      <c r="L521" s="26" t="n">
        <v>0</v>
      </c>
      <c r="M521" s="26" t="n">
        <v>0</v>
      </c>
      <c r="N521" s="26" t="n">
        <v>0</v>
      </c>
      <c r="O521" s="26" t="n">
        <v>0</v>
      </c>
      <c r="P521" s="26" t="n">
        <v>0</v>
      </c>
      <c r="Q521" s="26" t="n">
        <v>3068.9</v>
      </c>
      <c r="R521" s="26" t="n">
        <v>0</v>
      </c>
      <c r="S521" s="26" t="n">
        <v>0</v>
      </c>
      <c r="T521" s="26" t="n">
        <v>1672</v>
      </c>
      <c r="U521" s="26" t="n">
        <v>0</v>
      </c>
    </row>
    <row r="522" customFormat="false" ht="15" hidden="false" customHeight="true" outlineLevel="0" collapsed="false">
      <c r="A522" s="8" t="s">
        <v>407</v>
      </c>
      <c r="B522" s="8" t="s">
        <v>215</v>
      </c>
      <c r="C522" s="8" t="s">
        <v>987</v>
      </c>
      <c r="D522" s="26" t="n">
        <v>0</v>
      </c>
      <c r="E522" s="26" t="n">
        <v>0</v>
      </c>
      <c r="F522" s="26" t="n">
        <v>323.4</v>
      </c>
      <c r="G522" s="26" t="n">
        <v>0</v>
      </c>
      <c r="H522" s="26" t="n">
        <v>0</v>
      </c>
      <c r="I522" s="26" t="n">
        <v>3082.9</v>
      </c>
      <c r="J522" s="26" t="n">
        <v>0</v>
      </c>
      <c r="K522" s="26" t="n">
        <v>0</v>
      </c>
      <c r="L522" s="26" t="n">
        <v>0</v>
      </c>
      <c r="M522" s="26" t="n">
        <v>0</v>
      </c>
      <c r="N522" s="26" t="n">
        <v>0</v>
      </c>
      <c r="O522" s="26" t="n">
        <v>0</v>
      </c>
      <c r="P522" s="26" t="n">
        <v>0</v>
      </c>
      <c r="Q522" s="26" t="n">
        <v>3082.9</v>
      </c>
      <c r="R522" s="26" t="n">
        <v>0</v>
      </c>
      <c r="S522" s="26" t="n">
        <v>0</v>
      </c>
      <c r="T522" s="26" t="n">
        <v>431</v>
      </c>
      <c r="U522" s="26" t="n">
        <v>0</v>
      </c>
    </row>
    <row r="523" customFormat="false" ht="15" hidden="false" customHeight="true" outlineLevel="0" collapsed="false">
      <c r="A523" s="8" t="s">
        <v>407</v>
      </c>
      <c r="B523" s="8" t="s">
        <v>215</v>
      </c>
      <c r="C523" s="8" t="s">
        <v>988</v>
      </c>
      <c r="D523" s="26" t="n">
        <v>0</v>
      </c>
      <c r="E523" s="26" t="n">
        <v>0</v>
      </c>
      <c r="F523" s="26" t="n">
        <v>323.4</v>
      </c>
      <c r="G523" s="26" t="n">
        <v>0</v>
      </c>
      <c r="H523" s="26" t="n">
        <v>0</v>
      </c>
      <c r="I523" s="26" t="n">
        <v>3629.4</v>
      </c>
      <c r="J523" s="26" t="n">
        <v>0</v>
      </c>
      <c r="K523" s="26" t="n">
        <v>0</v>
      </c>
      <c r="L523" s="26" t="n">
        <v>0</v>
      </c>
      <c r="M523" s="26" t="n">
        <v>0</v>
      </c>
      <c r="N523" s="26" t="n">
        <v>0</v>
      </c>
      <c r="O523" s="26" t="n">
        <v>0</v>
      </c>
      <c r="P523" s="26" t="n">
        <v>0</v>
      </c>
      <c r="Q523" s="26" t="n">
        <v>3629.4</v>
      </c>
      <c r="R523" s="26" t="n">
        <v>0</v>
      </c>
      <c r="S523" s="26" t="n">
        <v>0</v>
      </c>
      <c r="T523" s="26" t="n">
        <v>222</v>
      </c>
      <c r="U523" s="26" t="n">
        <v>0</v>
      </c>
    </row>
    <row r="524" customFormat="false" ht="15" hidden="false" customHeight="true" outlineLevel="0" collapsed="false">
      <c r="A524" s="8" t="s">
        <v>407</v>
      </c>
      <c r="B524" s="8" t="s">
        <v>215</v>
      </c>
      <c r="C524" s="8" t="s">
        <v>989</v>
      </c>
      <c r="D524" s="26" t="n">
        <v>0</v>
      </c>
      <c r="E524" s="26" t="n">
        <v>0</v>
      </c>
      <c r="F524" s="26" t="n">
        <v>323.4</v>
      </c>
      <c r="G524" s="26" t="n">
        <v>0</v>
      </c>
      <c r="H524" s="26" t="n">
        <v>0</v>
      </c>
      <c r="I524" s="26" t="n">
        <v>3349.1</v>
      </c>
      <c r="J524" s="26" t="n">
        <v>0</v>
      </c>
      <c r="K524" s="26" t="n">
        <v>0</v>
      </c>
      <c r="L524" s="26" t="n">
        <v>0</v>
      </c>
      <c r="M524" s="26" t="n">
        <v>0</v>
      </c>
      <c r="N524" s="26" t="n">
        <v>0</v>
      </c>
      <c r="O524" s="26" t="n">
        <v>0</v>
      </c>
      <c r="P524" s="26" t="n">
        <v>0</v>
      </c>
      <c r="Q524" s="26" t="n">
        <v>3349.1</v>
      </c>
      <c r="R524" s="26" t="n">
        <v>0</v>
      </c>
      <c r="S524" s="26" t="n">
        <v>0</v>
      </c>
      <c r="T524" s="26" t="n">
        <v>222</v>
      </c>
      <c r="U524" s="26" t="n">
        <v>0</v>
      </c>
    </row>
    <row r="525" customFormat="false" ht="15" hidden="false" customHeight="true" outlineLevel="0" collapsed="false">
      <c r="A525" s="8" t="s">
        <v>407</v>
      </c>
      <c r="B525" s="8" t="s">
        <v>211</v>
      </c>
      <c r="C525" s="8" t="s">
        <v>990</v>
      </c>
      <c r="D525" s="26" t="n">
        <v>0</v>
      </c>
      <c r="E525" s="26" t="n">
        <v>0</v>
      </c>
      <c r="F525" s="26" t="n">
        <v>1035.8</v>
      </c>
      <c r="G525" s="26" t="n">
        <v>0</v>
      </c>
      <c r="H525" s="26" t="n">
        <v>0</v>
      </c>
      <c r="I525" s="26" t="n">
        <v>0</v>
      </c>
      <c r="J525" s="26" t="n">
        <v>0</v>
      </c>
      <c r="K525" s="26" t="n">
        <v>0</v>
      </c>
      <c r="L525" s="26" t="n">
        <v>0</v>
      </c>
      <c r="M525" s="26" t="n">
        <v>0</v>
      </c>
      <c r="N525" s="26" t="n">
        <v>0</v>
      </c>
      <c r="O525" s="26" t="n">
        <v>0</v>
      </c>
      <c r="P525" s="26" t="n">
        <v>0</v>
      </c>
      <c r="Q525" s="26" t="n">
        <v>0</v>
      </c>
      <c r="R525" s="26" t="n">
        <v>0</v>
      </c>
      <c r="S525" s="26" t="n">
        <v>0</v>
      </c>
      <c r="T525" s="26" t="n">
        <v>0</v>
      </c>
      <c r="U525" s="26" t="n">
        <v>0</v>
      </c>
    </row>
    <row r="526" customFormat="false" ht="15" hidden="false" customHeight="true" outlineLevel="0" collapsed="false">
      <c r="A526" s="8" t="s">
        <v>407</v>
      </c>
      <c r="B526" s="8" t="s">
        <v>257</v>
      </c>
      <c r="C526" s="8" t="s">
        <v>991</v>
      </c>
      <c r="D526" s="26" t="n">
        <v>0</v>
      </c>
      <c r="E526" s="26" t="n">
        <v>0</v>
      </c>
      <c r="F526" s="26" t="n">
        <v>234.3</v>
      </c>
      <c r="G526" s="26" t="n">
        <v>0</v>
      </c>
      <c r="H526" s="26" t="n">
        <v>0</v>
      </c>
      <c r="I526" s="26" t="n">
        <v>2203</v>
      </c>
      <c r="J526" s="26" t="n">
        <v>0</v>
      </c>
      <c r="K526" s="26" t="n">
        <v>0</v>
      </c>
      <c r="L526" s="26" t="n">
        <v>0</v>
      </c>
      <c r="M526" s="26" t="n">
        <v>0</v>
      </c>
      <c r="N526" s="26" t="n">
        <v>0</v>
      </c>
      <c r="O526" s="26" t="n">
        <v>0</v>
      </c>
      <c r="P526" s="26" t="n">
        <v>0</v>
      </c>
      <c r="Q526" s="26" t="n">
        <v>2203</v>
      </c>
      <c r="R526" s="26" t="n">
        <v>0</v>
      </c>
      <c r="S526" s="26" t="n">
        <v>0</v>
      </c>
      <c r="T526" s="26" t="n">
        <v>426</v>
      </c>
      <c r="U526" s="26" t="n">
        <v>0</v>
      </c>
    </row>
    <row r="527" customFormat="false" ht="15" hidden="false" customHeight="true" outlineLevel="0" collapsed="false">
      <c r="A527" s="8" t="s">
        <v>407</v>
      </c>
      <c r="B527" s="8" t="s">
        <v>257</v>
      </c>
      <c r="C527" s="8" t="s">
        <v>992</v>
      </c>
      <c r="D527" s="26" t="n">
        <v>0</v>
      </c>
      <c r="E527" s="26" t="n">
        <v>0</v>
      </c>
      <c r="F527" s="26" t="n">
        <v>117.1</v>
      </c>
      <c r="G527" s="26" t="n">
        <v>0</v>
      </c>
      <c r="H527" s="26" t="n">
        <v>0</v>
      </c>
      <c r="I527" s="26" t="n">
        <v>4233.4</v>
      </c>
      <c r="J527" s="26" t="n">
        <v>0</v>
      </c>
      <c r="K527" s="26" t="n">
        <v>0</v>
      </c>
      <c r="L527" s="26" t="n">
        <v>0</v>
      </c>
      <c r="M527" s="26" t="n">
        <v>0</v>
      </c>
      <c r="N527" s="26" t="n">
        <v>0</v>
      </c>
      <c r="O527" s="26" t="n">
        <v>0</v>
      </c>
      <c r="P527" s="26" t="n">
        <v>0</v>
      </c>
      <c r="Q527" s="26" t="n">
        <v>4233.4</v>
      </c>
      <c r="R527" s="26" t="n">
        <v>0</v>
      </c>
      <c r="S527" s="26" t="n">
        <v>0</v>
      </c>
      <c r="T527" s="26" t="n">
        <v>781</v>
      </c>
      <c r="U527" s="26" t="n">
        <v>0</v>
      </c>
    </row>
    <row r="528" customFormat="false" ht="15" hidden="false" customHeight="true" outlineLevel="0" collapsed="false">
      <c r="A528" s="8" t="s">
        <v>407</v>
      </c>
      <c r="B528" s="8" t="s">
        <v>257</v>
      </c>
      <c r="C528" s="8" t="s">
        <v>993</v>
      </c>
      <c r="D528" s="26" t="n">
        <v>0</v>
      </c>
      <c r="E528" s="26" t="n">
        <v>0</v>
      </c>
      <c r="F528" s="26" t="n">
        <v>117.1</v>
      </c>
      <c r="G528" s="26" t="n">
        <v>0</v>
      </c>
      <c r="H528" s="26" t="n">
        <v>0</v>
      </c>
      <c r="I528" s="26" t="n">
        <v>2908.5</v>
      </c>
      <c r="J528" s="26" t="n">
        <v>0</v>
      </c>
      <c r="K528" s="26" t="n">
        <v>0</v>
      </c>
      <c r="L528" s="26" t="n">
        <v>0</v>
      </c>
      <c r="M528" s="26" t="n">
        <v>0</v>
      </c>
      <c r="N528" s="26" t="n">
        <v>0</v>
      </c>
      <c r="O528" s="26" t="n">
        <v>0</v>
      </c>
      <c r="P528" s="26" t="n">
        <v>0</v>
      </c>
      <c r="Q528" s="26" t="n">
        <v>2908.5</v>
      </c>
      <c r="R528" s="26" t="n">
        <v>0</v>
      </c>
      <c r="S528" s="26" t="n">
        <v>0</v>
      </c>
      <c r="T528" s="26" t="n">
        <v>355</v>
      </c>
      <c r="U528" s="26" t="n">
        <v>0</v>
      </c>
    </row>
    <row r="529" customFormat="false" ht="15" hidden="false" customHeight="true" outlineLevel="0" collapsed="false">
      <c r="A529" s="8" t="s">
        <v>407</v>
      </c>
      <c r="B529" s="8" t="s">
        <v>286</v>
      </c>
      <c r="C529" s="8" t="s">
        <v>994</v>
      </c>
      <c r="D529" s="26" t="n">
        <v>0</v>
      </c>
      <c r="E529" s="26" t="n">
        <v>0</v>
      </c>
      <c r="F529" s="26" t="n">
        <v>117.1</v>
      </c>
      <c r="G529" s="26" t="n">
        <v>0</v>
      </c>
      <c r="H529" s="26" t="n">
        <v>0</v>
      </c>
      <c r="I529" s="26" t="n">
        <v>2299.4</v>
      </c>
      <c r="J529" s="26" t="n">
        <v>0</v>
      </c>
      <c r="K529" s="26" t="n">
        <v>0</v>
      </c>
      <c r="L529" s="26" t="n">
        <v>0</v>
      </c>
      <c r="M529" s="26" t="n">
        <v>0</v>
      </c>
      <c r="N529" s="26" t="n">
        <v>0</v>
      </c>
      <c r="O529" s="26" t="n">
        <v>0</v>
      </c>
      <c r="P529" s="26" t="n">
        <v>0</v>
      </c>
      <c r="Q529" s="26" t="n">
        <v>2299.4</v>
      </c>
      <c r="R529" s="26" t="n">
        <v>0</v>
      </c>
      <c r="S529" s="26" t="n">
        <v>0</v>
      </c>
      <c r="T529" s="26" t="n">
        <v>639</v>
      </c>
      <c r="U529" s="26" t="n">
        <v>0</v>
      </c>
    </row>
    <row r="530" customFormat="false" ht="15" hidden="false" customHeight="true" outlineLevel="0" collapsed="false">
      <c r="A530" s="8" t="s">
        <v>407</v>
      </c>
      <c r="B530" s="8" t="s">
        <v>286</v>
      </c>
      <c r="C530" s="8" t="s">
        <v>995</v>
      </c>
      <c r="D530" s="26" t="n">
        <v>0</v>
      </c>
      <c r="E530" s="26" t="n">
        <v>0</v>
      </c>
      <c r="F530" s="26" t="n">
        <v>117.1</v>
      </c>
      <c r="G530" s="26" t="n">
        <v>0</v>
      </c>
      <c r="H530" s="26" t="n">
        <v>0</v>
      </c>
      <c r="I530" s="26" t="n">
        <v>4131.8</v>
      </c>
      <c r="J530" s="26" t="n">
        <v>0</v>
      </c>
      <c r="K530" s="26" t="n">
        <v>0</v>
      </c>
      <c r="L530" s="26" t="n">
        <v>0</v>
      </c>
      <c r="M530" s="26" t="n">
        <v>0</v>
      </c>
      <c r="N530" s="26" t="n">
        <v>0</v>
      </c>
      <c r="O530" s="26" t="n">
        <v>0</v>
      </c>
      <c r="P530" s="26" t="n">
        <v>0</v>
      </c>
      <c r="Q530" s="26" t="n">
        <v>4131.8</v>
      </c>
      <c r="R530" s="26" t="n">
        <v>0</v>
      </c>
      <c r="S530" s="26" t="n">
        <v>0</v>
      </c>
      <c r="T530" s="26" t="n">
        <v>994</v>
      </c>
      <c r="U530" s="26" t="n">
        <v>0</v>
      </c>
    </row>
    <row r="531" customFormat="false" ht="15" hidden="false" customHeight="true" outlineLevel="0" collapsed="false">
      <c r="A531" s="8" t="s">
        <v>407</v>
      </c>
      <c r="B531" s="8" t="s">
        <v>285</v>
      </c>
      <c r="C531" s="8" t="s">
        <v>996</v>
      </c>
      <c r="D531" s="26" t="n">
        <v>0</v>
      </c>
      <c r="E531" s="26" t="n">
        <v>0</v>
      </c>
      <c r="F531" s="26" t="n">
        <v>234.3</v>
      </c>
      <c r="G531" s="26" t="n">
        <v>0</v>
      </c>
      <c r="H531" s="26" t="n">
        <v>0</v>
      </c>
      <c r="I531" s="26" t="n">
        <v>3111.6</v>
      </c>
      <c r="J531" s="26" t="n">
        <v>0</v>
      </c>
      <c r="K531" s="26" t="n">
        <v>0</v>
      </c>
      <c r="L531" s="26" t="n">
        <v>0</v>
      </c>
      <c r="M531" s="26" t="n">
        <v>0</v>
      </c>
      <c r="N531" s="26" t="n">
        <v>0</v>
      </c>
      <c r="O531" s="26" t="n">
        <v>0</v>
      </c>
      <c r="P531" s="26" t="n">
        <v>0</v>
      </c>
      <c r="Q531" s="26" t="n">
        <v>3111.6</v>
      </c>
      <c r="R531" s="26" t="n">
        <v>0</v>
      </c>
      <c r="S531" s="26" t="n">
        <v>0</v>
      </c>
      <c r="T531" s="26" t="n">
        <v>568</v>
      </c>
      <c r="U531" s="26" t="n">
        <v>0</v>
      </c>
    </row>
    <row r="532" customFormat="false" ht="15" hidden="false" customHeight="true" outlineLevel="0" collapsed="false">
      <c r="A532" s="8" t="s">
        <v>407</v>
      </c>
      <c r="B532" s="8" t="s">
        <v>151</v>
      </c>
      <c r="C532" s="8" t="s">
        <v>930</v>
      </c>
      <c r="D532" s="26" t="n">
        <v>0</v>
      </c>
      <c r="E532" s="26" t="n">
        <v>0</v>
      </c>
      <c r="F532" s="26" t="n">
        <v>799.7</v>
      </c>
      <c r="G532" s="26" t="n">
        <v>0</v>
      </c>
      <c r="H532" s="26" t="n">
        <v>0</v>
      </c>
      <c r="I532" s="26" t="n">
        <v>3938.8</v>
      </c>
      <c r="J532" s="26" t="n">
        <v>0</v>
      </c>
      <c r="K532" s="26" t="n">
        <v>0</v>
      </c>
      <c r="L532" s="26" t="n">
        <v>0</v>
      </c>
      <c r="M532" s="26" t="n">
        <v>0</v>
      </c>
      <c r="N532" s="26" t="n">
        <v>0</v>
      </c>
      <c r="O532" s="26" t="n">
        <v>0</v>
      </c>
      <c r="P532" s="26" t="n">
        <v>0</v>
      </c>
      <c r="Q532" s="26" t="n">
        <v>3938.8</v>
      </c>
      <c r="R532" s="26" t="n">
        <v>0</v>
      </c>
      <c r="S532" s="26" t="n">
        <v>0</v>
      </c>
      <c r="T532" s="26" t="n">
        <v>0</v>
      </c>
      <c r="U532" s="26" t="n">
        <v>0</v>
      </c>
    </row>
    <row r="533" customFormat="false" ht="15" hidden="false" customHeight="true" outlineLevel="0" collapsed="false">
      <c r="A533" s="8" t="s">
        <v>407</v>
      </c>
      <c r="B533" s="8" t="s">
        <v>151</v>
      </c>
      <c r="C533" s="8" t="s">
        <v>931</v>
      </c>
      <c r="D533" s="26" t="n">
        <v>0</v>
      </c>
      <c r="E533" s="26" t="n">
        <v>0</v>
      </c>
      <c r="F533" s="26" t="n">
        <v>678.4</v>
      </c>
      <c r="G533" s="26" t="n">
        <v>0</v>
      </c>
      <c r="H533" s="26" t="n">
        <v>0</v>
      </c>
      <c r="I533" s="26" t="n">
        <v>12597.5</v>
      </c>
      <c r="J533" s="26" t="n">
        <v>0</v>
      </c>
      <c r="K533" s="26" t="n">
        <v>0</v>
      </c>
      <c r="L533" s="26" t="n">
        <v>0</v>
      </c>
      <c r="M533" s="26" t="n">
        <v>0</v>
      </c>
      <c r="N533" s="26" t="n">
        <v>0</v>
      </c>
      <c r="O533" s="26" t="n">
        <v>0</v>
      </c>
      <c r="P533" s="26" t="n">
        <v>0</v>
      </c>
      <c r="Q533" s="26" t="n">
        <v>12597.5</v>
      </c>
      <c r="R533" s="26" t="n">
        <v>0</v>
      </c>
      <c r="S533" s="26" t="n">
        <v>0</v>
      </c>
      <c r="T533" s="26" t="n">
        <v>0</v>
      </c>
      <c r="U533" s="26" t="n">
        <v>0</v>
      </c>
    </row>
    <row r="534" customFormat="false" ht="15" hidden="false" customHeight="true" outlineLevel="0" collapsed="false">
      <c r="A534" s="8" t="s">
        <v>407</v>
      </c>
      <c r="B534" s="8" t="s">
        <v>151</v>
      </c>
      <c r="C534" s="8" t="s">
        <v>932</v>
      </c>
      <c r="D534" s="26" t="n">
        <v>0</v>
      </c>
      <c r="E534" s="26" t="n">
        <v>0</v>
      </c>
      <c r="F534" s="26" t="n">
        <v>1253.7</v>
      </c>
      <c r="G534" s="26" t="n">
        <v>0</v>
      </c>
      <c r="H534" s="26" t="n">
        <v>0</v>
      </c>
      <c r="I534" s="26" t="n">
        <v>31090.3</v>
      </c>
      <c r="J534" s="26" t="n">
        <v>0</v>
      </c>
      <c r="K534" s="26" t="n">
        <v>0</v>
      </c>
      <c r="L534" s="26" t="n">
        <v>0</v>
      </c>
      <c r="M534" s="26" t="n">
        <v>0</v>
      </c>
      <c r="N534" s="26" t="n">
        <v>0</v>
      </c>
      <c r="O534" s="26" t="n">
        <v>0</v>
      </c>
      <c r="P534" s="26" t="n">
        <v>0</v>
      </c>
      <c r="Q534" s="26" t="n">
        <v>31090.3</v>
      </c>
      <c r="R534" s="26" t="n">
        <v>0</v>
      </c>
      <c r="S534" s="26" t="n">
        <v>0</v>
      </c>
      <c r="T534" s="26" t="n">
        <v>0</v>
      </c>
      <c r="U534" s="26" t="n">
        <v>0</v>
      </c>
    </row>
    <row r="535" customFormat="false" ht="15" hidden="false" customHeight="true" outlineLevel="0" collapsed="false">
      <c r="A535" s="8" t="s">
        <v>407</v>
      </c>
      <c r="B535" s="8" t="s">
        <v>288</v>
      </c>
      <c r="C535" s="8" t="s">
        <v>933</v>
      </c>
      <c r="D535" s="26" t="n">
        <v>0</v>
      </c>
      <c r="E535" s="26" t="n">
        <v>0</v>
      </c>
      <c r="F535" s="26" t="n">
        <v>773</v>
      </c>
      <c r="G535" s="26" t="n">
        <v>0</v>
      </c>
      <c r="H535" s="26" t="n">
        <v>0</v>
      </c>
      <c r="I535" s="26" t="n">
        <v>3972.8</v>
      </c>
      <c r="J535" s="26" t="n">
        <v>0</v>
      </c>
      <c r="K535" s="26" t="n">
        <v>0</v>
      </c>
      <c r="L535" s="26" t="n">
        <v>0</v>
      </c>
      <c r="M535" s="26" t="n">
        <v>0</v>
      </c>
      <c r="N535" s="26" t="n">
        <v>0</v>
      </c>
      <c r="O535" s="26" t="n">
        <v>0</v>
      </c>
      <c r="P535" s="26" t="n">
        <v>0</v>
      </c>
      <c r="Q535" s="26" t="n">
        <v>3972.8</v>
      </c>
      <c r="R535" s="26" t="n">
        <v>0</v>
      </c>
      <c r="S535" s="26" t="n">
        <v>0</v>
      </c>
      <c r="T535" s="26" t="n">
        <v>0</v>
      </c>
      <c r="U535" s="26" t="n">
        <v>0</v>
      </c>
    </row>
    <row r="536" customFormat="false" ht="15" hidden="false" customHeight="true" outlineLevel="0" collapsed="false">
      <c r="A536" s="8" t="s">
        <v>407</v>
      </c>
      <c r="B536" s="8" t="s">
        <v>171</v>
      </c>
      <c r="C536" s="8" t="s">
        <v>933</v>
      </c>
      <c r="D536" s="26" t="n">
        <v>0</v>
      </c>
      <c r="E536" s="26" t="n">
        <v>0</v>
      </c>
      <c r="F536" s="26" t="n">
        <v>1010.1</v>
      </c>
      <c r="G536" s="26" t="n">
        <v>0</v>
      </c>
      <c r="H536" s="26" t="n">
        <v>0</v>
      </c>
      <c r="I536" s="26" t="n">
        <v>14442.3</v>
      </c>
      <c r="J536" s="26" t="n">
        <v>0</v>
      </c>
      <c r="K536" s="26" t="n">
        <v>0</v>
      </c>
      <c r="L536" s="26" t="n">
        <v>0</v>
      </c>
      <c r="M536" s="26" t="n">
        <v>0</v>
      </c>
      <c r="N536" s="26" t="n">
        <v>0</v>
      </c>
      <c r="O536" s="26" t="n">
        <v>0</v>
      </c>
      <c r="P536" s="26" t="n">
        <v>0</v>
      </c>
      <c r="Q536" s="26" t="n">
        <v>14442.3</v>
      </c>
      <c r="R536" s="26" t="n">
        <v>0</v>
      </c>
      <c r="S536" s="26" t="n">
        <v>0</v>
      </c>
      <c r="T536" s="26" t="n">
        <v>0</v>
      </c>
      <c r="U536" s="26" t="n">
        <v>0</v>
      </c>
    </row>
    <row r="537" customFormat="false" ht="15" hidden="false" customHeight="true" outlineLevel="0" collapsed="false">
      <c r="A537" s="8" t="s">
        <v>407</v>
      </c>
      <c r="B537" s="8" t="s">
        <v>179</v>
      </c>
      <c r="C537" s="8" t="s">
        <v>933</v>
      </c>
      <c r="D537" s="26" t="n">
        <v>0</v>
      </c>
      <c r="E537" s="26" t="n">
        <v>0</v>
      </c>
      <c r="F537" s="26" t="n">
        <v>953.9</v>
      </c>
      <c r="G537" s="26" t="n">
        <v>0</v>
      </c>
      <c r="H537" s="26" t="n">
        <v>0</v>
      </c>
      <c r="I537" s="26" t="n">
        <v>23568.3</v>
      </c>
      <c r="J537" s="26" t="n">
        <v>0</v>
      </c>
      <c r="K537" s="26" t="n">
        <v>0</v>
      </c>
      <c r="L537" s="26" t="n">
        <v>0</v>
      </c>
      <c r="M537" s="26" t="n">
        <v>0</v>
      </c>
      <c r="N537" s="26" t="n">
        <v>0</v>
      </c>
      <c r="O537" s="26" t="n">
        <v>0</v>
      </c>
      <c r="P537" s="26" t="n">
        <v>0</v>
      </c>
      <c r="Q537" s="26" t="n">
        <v>23568.3</v>
      </c>
      <c r="R537" s="26" t="n">
        <v>0</v>
      </c>
      <c r="S537" s="26" t="n">
        <v>0</v>
      </c>
      <c r="T537" s="26" t="n">
        <v>0</v>
      </c>
      <c r="U537" s="26" t="n">
        <v>0</v>
      </c>
    </row>
    <row r="538" customFormat="false" ht="15" hidden="false" customHeight="true" outlineLevel="0" collapsed="false">
      <c r="A538" s="8" t="s">
        <v>407</v>
      </c>
      <c r="B538" s="8" t="s">
        <v>288</v>
      </c>
      <c r="C538" s="8" t="s">
        <v>934</v>
      </c>
      <c r="D538" s="26" t="n">
        <v>0</v>
      </c>
      <c r="E538" s="26" t="n">
        <v>0</v>
      </c>
      <c r="F538" s="26" t="n">
        <v>598.3</v>
      </c>
      <c r="G538" s="26" t="n">
        <v>0</v>
      </c>
      <c r="H538" s="26" t="n">
        <v>0</v>
      </c>
      <c r="I538" s="26" t="n">
        <v>7547.1</v>
      </c>
      <c r="J538" s="26" t="n">
        <v>0</v>
      </c>
      <c r="K538" s="26" t="n">
        <v>0</v>
      </c>
      <c r="L538" s="26" t="n">
        <v>0</v>
      </c>
      <c r="M538" s="26" t="n">
        <v>0</v>
      </c>
      <c r="N538" s="26" t="n">
        <v>0</v>
      </c>
      <c r="O538" s="26" t="n">
        <v>0</v>
      </c>
      <c r="P538" s="26" t="n">
        <v>0</v>
      </c>
      <c r="Q538" s="26" t="n">
        <v>7547.1</v>
      </c>
      <c r="R538" s="26" t="n">
        <v>0</v>
      </c>
      <c r="S538" s="26" t="n">
        <v>0</v>
      </c>
      <c r="T538" s="26" t="n">
        <v>0</v>
      </c>
      <c r="U538" s="26" t="n">
        <v>0</v>
      </c>
    </row>
    <row r="539" customFormat="false" ht="15" hidden="false" customHeight="true" outlineLevel="0" collapsed="false">
      <c r="A539" s="8" t="s">
        <v>407</v>
      </c>
      <c r="B539" s="8" t="s">
        <v>171</v>
      </c>
      <c r="C539" s="8" t="s">
        <v>934</v>
      </c>
      <c r="D539" s="26" t="n">
        <v>0</v>
      </c>
      <c r="E539" s="26" t="n">
        <v>0</v>
      </c>
      <c r="F539" s="26" t="n">
        <v>1609.5</v>
      </c>
      <c r="G539" s="26" t="n">
        <v>0</v>
      </c>
      <c r="H539" s="26" t="n">
        <v>0</v>
      </c>
      <c r="I539" s="26" t="n">
        <v>37871.7</v>
      </c>
      <c r="J539" s="26" t="n">
        <v>0</v>
      </c>
      <c r="K539" s="26" t="n">
        <v>0</v>
      </c>
      <c r="L539" s="26" t="n">
        <v>0</v>
      </c>
      <c r="M539" s="26" t="n">
        <v>0</v>
      </c>
      <c r="N539" s="26" t="n">
        <v>0</v>
      </c>
      <c r="O539" s="26" t="n">
        <v>0</v>
      </c>
      <c r="P539" s="26" t="n">
        <v>0</v>
      </c>
      <c r="Q539" s="26" t="n">
        <v>37871.7</v>
      </c>
      <c r="R539" s="26" t="n">
        <v>0</v>
      </c>
      <c r="S539" s="26" t="n">
        <v>0</v>
      </c>
      <c r="T539" s="26" t="n">
        <v>0</v>
      </c>
      <c r="U539" s="26" t="n">
        <v>0</v>
      </c>
    </row>
    <row r="540" customFormat="false" ht="15" hidden="false" customHeight="true" outlineLevel="0" collapsed="false">
      <c r="A540" s="8" t="s">
        <v>407</v>
      </c>
      <c r="B540" s="8" t="s">
        <v>179</v>
      </c>
      <c r="C540" s="8" t="s">
        <v>934</v>
      </c>
      <c r="D540" s="26" t="n">
        <v>0</v>
      </c>
      <c r="E540" s="26" t="n">
        <v>0</v>
      </c>
      <c r="F540" s="26" t="n">
        <v>1472.5</v>
      </c>
      <c r="G540" s="26" t="n">
        <v>0</v>
      </c>
      <c r="H540" s="26" t="n">
        <v>0</v>
      </c>
      <c r="I540" s="26" t="n">
        <v>55166.1</v>
      </c>
      <c r="J540" s="26" t="n">
        <v>0</v>
      </c>
      <c r="K540" s="26" t="n">
        <v>0</v>
      </c>
      <c r="L540" s="26" t="n">
        <v>0</v>
      </c>
      <c r="M540" s="26" t="n">
        <v>0</v>
      </c>
      <c r="N540" s="26" t="n">
        <v>0</v>
      </c>
      <c r="O540" s="26" t="n">
        <v>0</v>
      </c>
      <c r="P540" s="26" t="n">
        <v>0</v>
      </c>
      <c r="Q540" s="26" t="n">
        <v>55166.1</v>
      </c>
      <c r="R540" s="26" t="n">
        <v>0</v>
      </c>
      <c r="S540" s="26" t="n">
        <v>0</v>
      </c>
      <c r="T540" s="26" t="n">
        <v>0</v>
      </c>
      <c r="U540" s="26" t="n">
        <v>0</v>
      </c>
    </row>
    <row r="541" customFormat="false" ht="15" hidden="false" customHeight="true" outlineLevel="0" collapsed="false">
      <c r="A541" s="8" t="s">
        <v>407</v>
      </c>
      <c r="B541" s="8" t="s">
        <v>394</v>
      </c>
      <c r="C541" s="8" t="s">
        <v>997</v>
      </c>
      <c r="D541" s="26" t="n">
        <v>0</v>
      </c>
      <c r="E541" s="26" t="n">
        <v>0</v>
      </c>
      <c r="F541" s="26" t="n">
        <v>0</v>
      </c>
      <c r="G541" s="26" t="n">
        <v>0</v>
      </c>
      <c r="H541" s="26" t="n">
        <v>0</v>
      </c>
      <c r="I541" s="26" t="n">
        <v>0</v>
      </c>
      <c r="J541" s="26" t="n">
        <v>0</v>
      </c>
      <c r="K541" s="26" t="n">
        <v>0</v>
      </c>
      <c r="L541" s="26" t="n">
        <v>0</v>
      </c>
      <c r="M541" s="26" t="n">
        <v>0</v>
      </c>
      <c r="N541" s="26" t="n">
        <v>0</v>
      </c>
      <c r="O541" s="26" t="n">
        <v>0</v>
      </c>
      <c r="P541" s="26" t="n">
        <v>0</v>
      </c>
      <c r="Q541" s="26" t="n">
        <v>0</v>
      </c>
      <c r="R541" s="26" t="n">
        <v>0</v>
      </c>
      <c r="S541" s="26" t="n">
        <v>0</v>
      </c>
      <c r="T541" s="26" t="n">
        <v>2563.6</v>
      </c>
      <c r="U541" s="26" t="n">
        <v>0</v>
      </c>
    </row>
    <row r="542" customFormat="false" ht="15" hidden="false" customHeight="true" outlineLevel="0" collapsed="false">
      <c r="A542" s="8" t="s">
        <v>407</v>
      </c>
      <c r="B542" s="8" t="s">
        <v>396</v>
      </c>
      <c r="C542" s="8" t="s">
        <v>998</v>
      </c>
      <c r="D542" s="26" t="n">
        <v>0</v>
      </c>
      <c r="E542" s="26" t="n">
        <v>0</v>
      </c>
      <c r="F542" s="26" t="n">
        <v>0</v>
      </c>
      <c r="G542" s="26" t="n">
        <v>0</v>
      </c>
      <c r="H542" s="26" t="n">
        <v>0</v>
      </c>
      <c r="I542" s="26" t="n">
        <v>0</v>
      </c>
      <c r="J542" s="26" t="n">
        <v>0</v>
      </c>
      <c r="K542" s="26" t="n">
        <v>0</v>
      </c>
      <c r="L542" s="26" t="n">
        <v>0</v>
      </c>
      <c r="M542" s="26" t="n">
        <v>0</v>
      </c>
      <c r="N542" s="26" t="n">
        <v>0</v>
      </c>
      <c r="O542" s="26" t="n">
        <v>0</v>
      </c>
      <c r="P542" s="26" t="n">
        <v>0</v>
      </c>
      <c r="Q542" s="26" t="n">
        <v>0</v>
      </c>
      <c r="R542" s="26" t="n">
        <v>0</v>
      </c>
      <c r="S542" s="26" t="n">
        <v>0</v>
      </c>
      <c r="T542" s="26" t="n">
        <v>1496</v>
      </c>
      <c r="U542" s="26" t="n">
        <v>0</v>
      </c>
    </row>
    <row r="543" customFormat="false" ht="15" hidden="false" customHeight="true" outlineLevel="0" collapsed="false">
      <c r="A543" s="8" t="s">
        <v>407</v>
      </c>
      <c r="B543" s="8" t="s">
        <v>400</v>
      </c>
      <c r="C543" s="8" t="s">
        <v>708</v>
      </c>
      <c r="D543" s="26" t="n">
        <v>0</v>
      </c>
      <c r="E543" s="26" t="n">
        <v>0</v>
      </c>
      <c r="F543" s="26" t="n">
        <v>0</v>
      </c>
      <c r="G543" s="26" t="n">
        <v>0</v>
      </c>
      <c r="H543" s="26" t="n">
        <v>0</v>
      </c>
      <c r="I543" s="26" t="n">
        <v>0</v>
      </c>
      <c r="J543" s="26" t="n">
        <v>0</v>
      </c>
      <c r="K543" s="26" t="n">
        <v>0</v>
      </c>
      <c r="L543" s="26" t="n">
        <v>0</v>
      </c>
      <c r="M543" s="26" t="n">
        <v>0</v>
      </c>
      <c r="N543" s="26" t="n">
        <v>0</v>
      </c>
      <c r="O543" s="26" t="n">
        <v>0</v>
      </c>
      <c r="P543" s="26" t="n">
        <v>0</v>
      </c>
      <c r="Q543" s="26" t="n">
        <v>0</v>
      </c>
      <c r="R543" s="26" t="n">
        <v>0</v>
      </c>
      <c r="S543" s="26" t="n">
        <v>0</v>
      </c>
      <c r="T543" s="26" t="n">
        <v>61.5</v>
      </c>
      <c r="U543" s="26" t="n">
        <v>0</v>
      </c>
    </row>
    <row r="544" customFormat="false" ht="15" hidden="false" customHeight="true" outlineLevel="0" collapsed="false">
      <c r="A544" s="8" t="s">
        <v>407</v>
      </c>
      <c r="B544" s="8" t="s">
        <v>196</v>
      </c>
      <c r="C544" s="8" t="s">
        <v>999</v>
      </c>
      <c r="D544" s="26" t="n">
        <v>0</v>
      </c>
      <c r="E544" s="26" t="n">
        <v>0</v>
      </c>
      <c r="F544" s="26" t="n">
        <v>1301.1</v>
      </c>
      <c r="G544" s="26" t="n">
        <v>0</v>
      </c>
      <c r="H544" s="26" t="n">
        <v>0</v>
      </c>
      <c r="I544" s="26" t="n">
        <v>5635.8</v>
      </c>
      <c r="J544" s="26" t="n">
        <v>0</v>
      </c>
      <c r="K544" s="26" t="n">
        <v>0</v>
      </c>
      <c r="L544" s="26" t="n">
        <v>0</v>
      </c>
      <c r="M544" s="26" t="n">
        <v>0</v>
      </c>
      <c r="N544" s="26" t="n">
        <v>0</v>
      </c>
      <c r="O544" s="26" t="n">
        <v>0</v>
      </c>
      <c r="P544" s="26" t="n">
        <v>0</v>
      </c>
      <c r="Q544" s="26" t="n">
        <v>5635.8</v>
      </c>
      <c r="R544" s="26" t="n">
        <v>0</v>
      </c>
      <c r="S544" s="26" t="n">
        <v>0</v>
      </c>
      <c r="T544" s="26" t="n">
        <v>1932</v>
      </c>
      <c r="U544" s="26" t="n">
        <v>0</v>
      </c>
    </row>
    <row r="545" customFormat="false" ht="15" hidden="false" customHeight="true" outlineLevel="0" collapsed="false">
      <c r="A545" s="8" t="s">
        <v>407</v>
      </c>
      <c r="B545" s="8" t="s">
        <v>398</v>
      </c>
      <c r="C545" s="8" t="s">
        <v>1000</v>
      </c>
      <c r="D545" s="26" t="n">
        <v>0</v>
      </c>
      <c r="E545" s="26" t="n">
        <v>0</v>
      </c>
      <c r="F545" s="26" t="n">
        <v>0</v>
      </c>
      <c r="G545" s="26" t="n">
        <v>0</v>
      </c>
      <c r="H545" s="26" t="n">
        <v>0</v>
      </c>
      <c r="I545" s="26" t="n">
        <v>0</v>
      </c>
      <c r="J545" s="26" t="n">
        <v>0</v>
      </c>
      <c r="K545" s="26" t="n">
        <v>0</v>
      </c>
      <c r="L545" s="26" t="n">
        <v>0</v>
      </c>
      <c r="M545" s="26" t="n">
        <v>0</v>
      </c>
      <c r="N545" s="26" t="n">
        <v>0</v>
      </c>
      <c r="O545" s="26" t="n">
        <v>0</v>
      </c>
      <c r="P545" s="26" t="n">
        <v>0</v>
      </c>
      <c r="Q545" s="26" t="n">
        <v>0</v>
      </c>
      <c r="R545" s="26" t="n">
        <v>0</v>
      </c>
      <c r="S545" s="26" t="n">
        <v>0</v>
      </c>
      <c r="T545" s="26" t="n">
        <v>800</v>
      </c>
      <c r="U545" s="26" t="n">
        <v>0</v>
      </c>
    </row>
    <row r="546" customFormat="false" ht="15" hidden="false" customHeight="true" outlineLevel="0" collapsed="false">
      <c r="A546" s="8" t="s">
        <v>407</v>
      </c>
      <c r="B546" s="8" t="s">
        <v>133</v>
      </c>
      <c r="C546" s="8" t="s">
        <v>936</v>
      </c>
      <c r="D546" s="26" t="n">
        <v>0</v>
      </c>
      <c r="E546" s="26" t="n">
        <v>0</v>
      </c>
      <c r="F546" s="26" t="n">
        <v>1132.5</v>
      </c>
      <c r="G546" s="26" t="n">
        <v>0</v>
      </c>
      <c r="H546" s="26" t="n">
        <v>0</v>
      </c>
      <c r="I546" s="26" t="n">
        <v>1293.3</v>
      </c>
      <c r="J546" s="26" t="n">
        <v>0</v>
      </c>
      <c r="K546" s="26" t="n">
        <v>0</v>
      </c>
      <c r="L546" s="26" t="n">
        <v>0</v>
      </c>
      <c r="M546" s="26" t="n">
        <v>0</v>
      </c>
      <c r="N546" s="26" t="n">
        <v>0</v>
      </c>
      <c r="O546" s="26" t="n">
        <v>0</v>
      </c>
      <c r="P546" s="26" t="n">
        <v>0</v>
      </c>
      <c r="Q546" s="26" t="n">
        <v>1293.3</v>
      </c>
      <c r="R546" s="26" t="n">
        <v>0</v>
      </c>
      <c r="S546" s="26" t="n">
        <v>0</v>
      </c>
      <c r="T546" s="26" t="n">
        <v>672</v>
      </c>
      <c r="U546" s="26" t="n">
        <v>0</v>
      </c>
    </row>
    <row r="547" customFormat="false" ht="15" hidden="false" customHeight="true" outlineLevel="0" collapsed="false">
      <c r="A547" s="8" t="s">
        <v>407</v>
      </c>
      <c r="B547" s="8" t="s">
        <v>133</v>
      </c>
      <c r="C547" s="8" t="s">
        <v>937</v>
      </c>
      <c r="D547" s="26" t="n">
        <v>0</v>
      </c>
      <c r="E547" s="26" t="n">
        <v>0</v>
      </c>
      <c r="F547" s="26" t="n">
        <v>1147.2</v>
      </c>
      <c r="G547" s="26" t="n">
        <v>0</v>
      </c>
      <c r="H547" s="26" t="n">
        <v>0</v>
      </c>
      <c r="I547" s="26" t="n">
        <v>1278</v>
      </c>
      <c r="J547" s="26" t="n">
        <v>0</v>
      </c>
      <c r="K547" s="26" t="n">
        <v>0</v>
      </c>
      <c r="L547" s="26" t="n">
        <v>0</v>
      </c>
      <c r="M547" s="26" t="n">
        <v>0</v>
      </c>
      <c r="N547" s="26" t="n">
        <v>0</v>
      </c>
      <c r="O547" s="26" t="n">
        <v>0</v>
      </c>
      <c r="P547" s="26" t="n">
        <v>0</v>
      </c>
      <c r="Q547" s="26" t="n">
        <v>1278</v>
      </c>
      <c r="R547" s="26" t="n">
        <v>0</v>
      </c>
      <c r="S547" s="26" t="n">
        <v>0</v>
      </c>
      <c r="T547" s="26" t="n">
        <v>1134</v>
      </c>
      <c r="U547" s="26" t="n">
        <v>0</v>
      </c>
    </row>
    <row r="548" customFormat="false" ht="15" hidden="false" customHeight="true" outlineLevel="0" collapsed="false">
      <c r="A548" s="8" t="s">
        <v>407</v>
      </c>
      <c r="B548" s="8" t="s">
        <v>238</v>
      </c>
      <c r="C548" s="8" t="s">
        <v>1001</v>
      </c>
      <c r="D548" s="26" t="n">
        <v>0</v>
      </c>
      <c r="E548" s="26" t="n">
        <v>0</v>
      </c>
      <c r="F548" s="26" t="n">
        <v>646.3</v>
      </c>
      <c r="G548" s="26" t="n">
        <v>0</v>
      </c>
      <c r="H548" s="26" t="n">
        <v>0</v>
      </c>
      <c r="I548" s="26" t="n">
        <v>0</v>
      </c>
      <c r="J548" s="26" t="n">
        <v>0</v>
      </c>
      <c r="K548" s="26" t="n">
        <v>0</v>
      </c>
      <c r="L548" s="26" t="n">
        <v>0</v>
      </c>
      <c r="M548" s="26" t="n">
        <v>0</v>
      </c>
      <c r="N548" s="26" t="n">
        <v>0</v>
      </c>
      <c r="O548" s="26" t="n">
        <v>0</v>
      </c>
      <c r="P548" s="26" t="n">
        <v>0</v>
      </c>
      <c r="Q548" s="26" t="n">
        <v>0</v>
      </c>
      <c r="R548" s="26" t="n">
        <v>0</v>
      </c>
      <c r="S548" s="26" t="n">
        <v>0</v>
      </c>
      <c r="T548" s="26" t="n">
        <v>0</v>
      </c>
      <c r="U548" s="26" t="n">
        <v>0</v>
      </c>
    </row>
    <row r="549" customFormat="false" ht="15" hidden="false" customHeight="true" outlineLevel="0" collapsed="false">
      <c r="A549" s="8" t="s">
        <v>407</v>
      </c>
      <c r="B549" s="8" t="s">
        <v>101</v>
      </c>
      <c r="C549" s="8" t="s">
        <v>938</v>
      </c>
      <c r="D549" s="26" t="n">
        <v>0</v>
      </c>
      <c r="E549" s="26" t="n">
        <v>0</v>
      </c>
      <c r="F549" s="26" t="n">
        <v>9873.9</v>
      </c>
      <c r="G549" s="26" t="n">
        <v>0</v>
      </c>
      <c r="H549" s="26" t="n">
        <v>0</v>
      </c>
      <c r="I549" s="26" t="n">
        <v>10680.7</v>
      </c>
      <c r="J549" s="26" t="n">
        <v>0</v>
      </c>
      <c r="K549" s="26" t="n">
        <v>0</v>
      </c>
      <c r="L549" s="26" t="n">
        <v>0</v>
      </c>
      <c r="M549" s="26" t="n">
        <v>0</v>
      </c>
      <c r="N549" s="26" t="n">
        <v>0</v>
      </c>
      <c r="O549" s="26" t="n">
        <v>0</v>
      </c>
      <c r="P549" s="26" t="n">
        <v>0</v>
      </c>
      <c r="Q549" s="26" t="n">
        <v>10680.7</v>
      </c>
      <c r="R549" s="26" t="n">
        <v>0</v>
      </c>
      <c r="S549" s="26" t="n">
        <v>0</v>
      </c>
      <c r="T549" s="26" t="n">
        <v>429.2</v>
      </c>
      <c r="U549" s="26" t="n">
        <v>0</v>
      </c>
    </row>
    <row r="550" customFormat="false" ht="15" hidden="false" customHeight="true" outlineLevel="0" collapsed="false">
      <c r="A550" s="8" t="s">
        <v>407</v>
      </c>
      <c r="B550" s="8" t="s">
        <v>83</v>
      </c>
      <c r="C550" s="8" t="s">
        <v>939</v>
      </c>
      <c r="D550" s="26" t="n">
        <v>0</v>
      </c>
      <c r="E550" s="26" t="n">
        <v>0</v>
      </c>
      <c r="F550" s="26" t="n">
        <v>2943.4</v>
      </c>
      <c r="G550" s="26" t="n">
        <v>0</v>
      </c>
      <c r="H550" s="26" t="n">
        <v>0</v>
      </c>
      <c r="I550" s="26" t="n">
        <v>3043</v>
      </c>
      <c r="J550" s="26" t="n">
        <v>0</v>
      </c>
      <c r="K550" s="26" t="n">
        <v>0</v>
      </c>
      <c r="L550" s="26" t="n">
        <v>0</v>
      </c>
      <c r="M550" s="26" t="n">
        <v>0</v>
      </c>
      <c r="N550" s="26" t="n">
        <v>0</v>
      </c>
      <c r="O550" s="26" t="n">
        <v>0</v>
      </c>
      <c r="P550" s="26" t="n">
        <v>0</v>
      </c>
      <c r="Q550" s="26" t="n">
        <v>3043</v>
      </c>
      <c r="R550" s="26" t="n">
        <v>0</v>
      </c>
      <c r="S550" s="26" t="n">
        <v>0</v>
      </c>
      <c r="T550" s="26" t="n">
        <v>1500</v>
      </c>
      <c r="U550" s="26" t="n">
        <v>0</v>
      </c>
    </row>
    <row r="551" customFormat="false" ht="15" hidden="false" customHeight="true" outlineLevel="0" collapsed="false">
      <c r="A551" s="8" t="s">
        <v>407</v>
      </c>
      <c r="B551" s="8" t="s">
        <v>83</v>
      </c>
      <c r="C551" s="8" t="s">
        <v>940</v>
      </c>
      <c r="D551" s="26" t="n">
        <v>0</v>
      </c>
      <c r="E551" s="26" t="n">
        <v>0</v>
      </c>
      <c r="F551" s="26" t="n">
        <v>4149.5</v>
      </c>
      <c r="G551" s="26" t="n">
        <v>0</v>
      </c>
      <c r="H551" s="26" t="n">
        <v>0</v>
      </c>
      <c r="I551" s="26" t="n">
        <v>3627.8</v>
      </c>
      <c r="J551" s="26" t="n">
        <v>0</v>
      </c>
      <c r="K551" s="26" t="n">
        <v>0</v>
      </c>
      <c r="L551" s="26" t="n">
        <v>0</v>
      </c>
      <c r="M551" s="26" t="n">
        <v>0</v>
      </c>
      <c r="N551" s="26" t="n">
        <v>0</v>
      </c>
      <c r="O551" s="26" t="n">
        <v>0</v>
      </c>
      <c r="P551" s="26" t="n">
        <v>0</v>
      </c>
      <c r="Q551" s="26" t="n">
        <v>3627.8</v>
      </c>
      <c r="R551" s="26" t="n">
        <v>0</v>
      </c>
      <c r="S551" s="26" t="n">
        <v>0</v>
      </c>
      <c r="T551" s="26" t="n">
        <v>0</v>
      </c>
      <c r="U551" s="26" t="n">
        <v>0</v>
      </c>
    </row>
    <row r="552" customFormat="false" ht="15" hidden="false" customHeight="true" outlineLevel="0" collapsed="false">
      <c r="A552" s="8" t="s">
        <v>407</v>
      </c>
      <c r="B552" s="8" t="s">
        <v>83</v>
      </c>
      <c r="C552" s="8" t="s">
        <v>941</v>
      </c>
      <c r="D552" s="26" t="n">
        <v>0</v>
      </c>
      <c r="E552" s="26" t="n">
        <v>0</v>
      </c>
      <c r="F552" s="26" t="n">
        <v>4393.6</v>
      </c>
      <c r="G552" s="26" t="n">
        <v>0</v>
      </c>
      <c r="H552" s="26" t="n">
        <v>0</v>
      </c>
      <c r="I552" s="26" t="n">
        <v>4687.8</v>
      </c>
      <c r="J552" s="26" t="n">
        <v>0</v>
      </c>
      <c r="K552" s="26" t="n">
        <v>0</v>
      </c>
      <c r="L552" s="26" t="n">
        <v>0</v>
      </c>
      <c r="M552" s="26" t="n">
        <v>0</v>
      </c>
      <c r="N552" s="26" t="n">
        <v>0</v>
      </c>
      <c r="O552" s="26" t="n">
        <v>0</v>
      </c>
      <c r="P552" s="26" t="n">
        <v>0</v>
      </c>
      <c r="Q552" s="26" t="n">
        <v>4687.8</v>
      </c>
      <c r="R552" s="26" t="n">
        <v>0</v>
      </c>
      <c r="S552" s="26" t="n">
        <v>0</v>
      </c>
      <c r="T552" s="26" t="n">
        <v>2125</v>
      </c>
      <c r="U552" s="26" t="n">
        <v>0</v>
      </c>
    </row>
    <row r="553" customFormat="false" ht="15" hidden="false" customHeight="true" outlineLevel="0" collapsed="false">
      <c r="A553" s="8" t="s">
        <v>407</v>
      </c>
      <c r="B553" s="8" t="s">
        <v>83</v>
      </c>
      <c r="C553" s="8" t="s">
        <v>942</v>
      </c>
      <c r="D553" s="26" t="n">
        <v>0</v>
      </c>
      <c r="E553" s="26" t="n">
        <v>0</v>
      </c>
      <c r="F553" s="26" t="n">
        <v>5212</v>
      </c>
      <c r="G553" s="26" t="n">
        <v>0</v>
      </c>
      <c r="H553" s="26" t="n">
        <v>0</v>
      </c>
      <c r="I553" s="26" t="n">
        <v>7611.9</v>
      </c>
      <c r="J553" s="26" t="n">
        <v>0</v>
      </c>
      <c r="K553" s="26" t="n">
        <v>0</v>
      </c>
      <c r="L553" s="26" t="n">
        <v>0</v>
      </c>
      <c r="M553" s="26" t="n">
        <v>0</v>
      </c>
      <c r="N553" s="26" t="n">
        <v>0</v>
      </c>
      <c r="O553" s="26" t="n">
        <v>0</v>
      </c>
      <c r="P553" s="26" t="n">
        <v>0</v>
      </c>
      <c r="Q553" s="26" t="n">
        <v>7611.9</v>
      </c>
      <c r="R553" s="26" t="n">
        <v>0</v>
      </c>
      <c r="S553" s="26" t="n">
        <v>0</v>
      </c>
      <c r="T553" s="26" t="n">
        <v>3125</v>
      </c>
      <c r="U553" s="26" t="n">
        <v>0</v>
      </c>
    </row>
    <row r="554" customFormat="false" ht="15" hidden="false" customHeight="true" outlineLevel="0" collapsed="false">
      <c r="A554" s="8" t="s">
        <v>407</v>
      </c>
      <c r="B554" s="8" t="s">
        <v>83</v>
      </c>
      <c r="C554" s="8" t="s">
        <v>943</v>
      </c>
      <c r="D554" s="26" t="n">
        <v>0</v>
      </c>
      <c r="E554" s="26" t="n">
        <v>0</v>
      </c>
      <c r="F554" s="26" t="n">
        <v>4082.8</v>
      </c>
      <c r="G554" s="26" t="n">
        <v>0</v>
      </c>
      <c r="H554" s="26" t="n">
        <v>0</v>
      </c>
      <c r="I554" s="26" t="n">
        <v>5400.5</v>
      </c>
      <c r="J554" s="26" t="n">
        <v>0</v>
      </c>
      <c r="K554" s="26" t="n">
        <v>0</v>
      </c>
      <c r="L554" s="26" t="n">
        <v>0</v>
      </c>
      <c r="M554" s="26" t="n">
        <v>0</v>
      </c>
      <c r="N554" s="26" t="n">
        <v>0</v>
      </c>
      <c r="O554" s="26" t="n">
        <v>0</v>
      </c>
      <c r="P554" s="26" t="n">
        <v>0</v>
      </c>
      <c r="Q554" s="26" t="n">
        <v>5400.5</v>
      </c>
      <c r="R554" s="26" t="n">
        <v>0</v>
      </c>
      <c r="S554" s="26" t="n">
        <v>0</v>
      </c>
      <c r="T554" s="26" t="n">
        <v>3250</v>
      </c>
      <c r="U554" s="26" t="n">
        <v>0</v>
      </c>
    </row>
    <row r="555" customFormat="false" ht="15" hidden="false" customHeight="true" outlineLevel="0" collapsed="false">
      <c r="A555" s="8" t="s">
        <v>407</v>
      </c>
      <c r="B555" s="8" t="s">
        <v>83</v>
      </c>
      <c r="C555" s="8" t="s">
        <v>1002</v>
      </c>
      <c r="D555" s="26" t="n">
        <v>0</v>
      </c>
      <c r="E555" s="26" t="n">
        <v>0</v>
      </c>
      <c r="F555" s="26" t="n">
        <v>2498.3</v>
      </c>
      <c r="G555" s="26" t="n">
        <v>0</v>
      </c>
      <c r="H555" s="26" t="n">
        <v>0</v>
      </c>
      <c r="I555" s="26" t="n">
        <v>2522.1</v>
      </c>
      <c r="J555" s="26" t="n">
        <v>0</v>
      </c>
      <c r="K555" s="26" t="n">
        <v>0</v>
      </c>
      <c r="L555" s="26" t="n">
        <v>0</v>
      </c>
      <c r="M555" s="26" t="n">
        <v>0</v>
      </c>
      <c r="N555" s="26" t="n">
        <v>0</v>
      </c>
      <c r="O555" s="26" t="n">
        <v>0</v>
      </c>
      <c r="P555" s="26" t="n">
        <v>0</v>
      </c>
      <c r="Q555" s="26" t="n">
        <v>2522.1</v>
      </c>
      <c r="R555" s="26" t="n">
        <v>0</v>
      </c>
      <c r="S555" s="26" t="n">
        <v>0</v>
      </c>
      <c r="T555" s="26" t="n">
        <v>2125</v>
      </c>
      <c r="U555" s="26" t="n">
        <v>0</v>
      </c>
    </row>
    <row r="556" customFormat="false" ht="15" hidden="false" customHeight="true" outlineLevel="0" collapsed="false">
      <c r="A556" s="8" t="s">
        <v>944</v>
      </c>
      <c r="B556" s="8" t="s">
        <v>131</v>
      </c>
      <c r="C556" s="8" t="s">
        <v>408</v>
      </c>
      <c r="D556" s="26" t="n">
        <v>0</v>
      </c>
      <c r="E556" s="26" t="n">
        <v>0</v>
      </c>
      <c r="F556" s="26" t="n">
        <v>239</v>
      </c>
      <c r="G556" s="26" t="n">
        <v>0</v>
      </c>
      <c r="H556" s="26" t="n">
        <v>1</v>
      </c>
      <c r="I556" s="26" t="n">
        <v>839</v>
      </c>
      <c r="J556" s="26" t="n">
        <v>0</v>
      </c>
      <c r="K556" s="26" t="n">
        <v>8</v>
      </c>
      <c r="L556" s="26" t="n">
        <v>0</v>
      </c>
      <c r="M556" s="26" t="n">
        <v>0</v>
      </c>
      <c r="N556" s="26" t="n">
        <v>6</v>
      </c>
      <c r="O556" s="26" t="n">
        <v>0</v>
      </c>
      <c r="P556" s="26" t="n">
        <v>-1</v>
      </c>
      <c r="Q556" s="26" t="n">
        <v>742</v>
      </c>
      <c r="R556" s="26" t="n">
        <v>84</v>
      </c>
      <c r="S556" s="26" t="n">
        <v>0</v>
      </c>
      <c r="T556" s="26" t="n">
        <v>61</v>
      </c>
      <c r="U556" s="26" t="n">
        <v>0</v>
      </c>
    </row>
    <row r="557" customFormat="false" ht="15" hidden="false" customHeight="true" outlineLevel="0" collapsed="false">
      <c r="A557" s="8" t="s">
        <v>944</v>
      </c>
      <c r="B557" s="8" t="s">
        <v>131</v>
      </c>
      <c r="C557" s="8" t="s">
        <v>409</v>
      </c>
      <c r="D557" s="26" t="n">
        <v>0</v>
      </c>
      <c r="E557" s="26" t="n">
        <v>0</v>
      </c>
      <c r="F557" s="26" t="n">
        <v>277</v>
      </c>
      <c r="G557" s="26" t="n">
        <v>0</v>
      </c>
      <c r="H557" s="26" t="n">
        <v>0</v>
      </c>
      <c r="I557" s="26" t="n">
        <v>908</v>
      </c>
      <c r="J557" s="26" t="n">
        <v>0</v>
      </c>
      <c r="K557" s="26" t="n">
        <v>15</v>
      </c>
      <c r="L557" s="26" t="n">
        <v>0</v>
      </c>
      <c r="M557" s="26" t="n">
        <v>0</v>
      </c>
      <c r="N557" s="26" t="n">
        <v>11</v>
      </c>
      <c r="O557" s="26" t="n">
        <v>0</v>
      </c>
      <c r="P557" s="26" t="n">
        <v>-2</v>
      </c>
      <c r="Q557" s="26" t="n">
        <v>807</v>
      </c>
      <c r="R557" s="26" t="n">
        <v>77</v>
      </c>
      <c r="S557" s="26" t="n">
        <v>0</v>
      </c>
      <c r="T557" s="26" t="n">
        <v>86</v>
      </c>
      <c r="U557" s="26" t="n">
        <v>0</v>
      </c>
    </row>
    <row r="558" customFormat="false" ht="15" hidden="false" customHeight="true" outlineLevel="0" collapsed="false">
      <c r="A558" s="8" t="s">
        <v>944</v>
      </c>
      <c r="B558" s="8" t="s">
        <v>235</v>
      </c>
      <c r="C558" s="8" t="s">
        <v>410</v>
      </c>
      <c r="D558" s="26" t="n">
        <v>0</v>
      </c>
      <c r="E558" s="26" t="n">
        <v>0</v>
      </c>
      <c r="F558" s="26" t="n">
        <v>181</v>
      </c>
      <c r="G558" s="26" t="n">
        <v>0</v>
      </c>
      <c r="H558" s="26" t="n">
        <v>0</v>
      </c>
      <c r="I558" s="26" t="n">
        <v>163</v>
      </c>
      <c r="J558" s="26" t="n">
        <v>0</v>
      </c>
      <c r="K558" s="26" t="n">
        <v>5</v>
      </c>
      <c r="L558" s="26" t="n">
        <v>0</v>
      </c>
      <c r="M558" s="26" t="n">
        <v>0</v>
      </c>
      <c r="N558" s="26" t="n">
        <v>3</v>
      </c>
      <c r="O558" s="26" t="n">
        <v>6</v>
      </c>
      <c r="P558" s="26" t="n">
        <v>-2</v>
      </c>
      <c r="Q558" s="26" t="n">
        <v>0</v>
      </c>
      <c r="R558" s="26" t="n">
        <v>151</v>
      </c>
      <c r="S558" s="26" t="n">
        <v>0</v>
      </c>
      <c r="T558" s="26" t="n">
        <v>138</v>
      </c>
      <c r="U558" s="26" t="n">
        <v>0</v>
      </c>
    </row>
    <row r="559" customFormat="false" ht="15" hidden="false" customHeight="true" outlineLevel="0" collapsed="false">
      <c r="A559" s="8" t="s">
        <v>944</v>
      </c>
      <c r="B559" s="8" t="s">
        <v>274</v>
      </c>
      <c r="C559" s="8" t="s">
        <v>411</v>
      </c>
      <c r="D559" s="26" t="n">
        <v>0</v>
      </c>
      <c r="E559" s="26" t="n">
        <v>0</v>
      </c>
      <c r="F559" s="26" t="n">
        <v>48</v>
      </c>
      <c r="G559" s="26" t="n">
        <v>0</v>
      </c>
      <c r="H559" s="26" t="n">
        <v>0</v>
      </c>
      <c r="I559" s="26" t="n">
        <v>0</v>
      </c>
      <c r="J559" s="26" t="n">
        <v>0</v>
      </c>
      <c r="K559" s="26" t="n">
        <v>0</v>
      </c>
      <c r="L559" s="26" t="n">
        <v>0</v>
      </c>
      <c r="M559" s="26" t="n">
        <v>0</v>
      </c>
      <c r="N559" s="26" t="n">
        <v>0</v>
      </c>
      <c r="O559" s="26" t="n">
        <v>0</v>
      </c>
      <c r="P559" s="26" t="n">
        <v>0</v>
      </c>
      <c r="Q559" s="26" t="n">
        <v>0</v>
      </c>
      <c r="R559" s="26" t="n">
        <v>0</v>
      </c>
      <c r="S559" s="26" t="n">
        <v>0</v>
      </c>
      <c r="T559" s="26" t="n">
        <v>0</v>
      </c>
      <c r="U559" s="26" t="n">
        <v>0</v>
      </c>
    </row>
    <row r="560" customFormat="false" ht="15" hidden="false" customHeight="true" outlineLevel="0" collapsed="false">
      <c r="A560" s="8" t="s">
        <v>944</v>
      </c>
      <c r="B560" s="8" t="s">
        <v>344</v>
      </c>
      <c r="C560" s="8" t="s">
        <v>412</v>
      </c>
      <c r="D560" s="26" t="n">
        <v>0</v>
      </c>
      <c r="E560" s="26" t="n">
        <v>0</v>
      </c>
      <c r="F560" s="26" t="n">
        <v>21</v>
      </c>
      <c r="G560" s="26" t="n">
        <v>0</v>
      </c>
      <c r="H560" s="26" t="n">
        <v>0</v>
      </c>
      <c r="I560" s="26" t="n">
        <v>0</v>
      </c>
      <c r="J560" s="26" t="n">
        <v>0</v>
      </c>
      <c r="K560" s="26" t="n">
        <v>0</v>
      </c>
      <c r="L560" s="26" t="n">
        <v>0</v>
      </c>
      <c r="M560" s="26" t="n">
        <v>0</v>
      </c>
      <c r="N560" s="26" t="n">
        <v>0</v>
      </c>
      <c r="O560" s="26" t="n">
        <v>0</v>
      </c>
      <c r="P560" s="26" t="n">
        <v>0</v>
      </c>
      <c r="Q560" s="26" t="n">
        <v>0</v>
      </c>
      <c r="R560" s="26" t="n">
        <v>0</v>
      </c>
      <c r="S560" s="26" t="n">
        <v>0</v>
      </c>
      <c r="T560" s="26" t="n">
        <v>0</v>
      </c>
      <c r="U560" s="26" t="n">
        <v>0</v>
      </c>
    </row>
    <row r="561" customFormat="false" ht="15" hidden="false" customHeight="true" outlineLevel="0" collapsed="false">
      <c r="A561" s="8" t="s">
        <v>944</v>
      </c>
      <c r="B561" s="8" t="s">
        <v>355</v>
      </c>
      <c r="C561" s="8" t="s">
        <v>413</v>
      </c>
      <c r="D561" s="26" t="n">
        <v>0</v>
      </c>
      <c r="E561" s="26" t="n">
        <v>0</v>
      </c>
      <c r="F561" s="26" t="n">
        <v>19</v>
      </c>
      <c r="G561" s="26" t="n">
        <v>0</v>
      </c>
      <c r="H561" s="26" t="n">
        <v>0</v>
      </c>
      <c r="I561" s="26" t="n">
        <v>0</v>
      </c>
      <c r="J561" s="26" t="n">
        <v>0</v>
      </c>
      <c r="K561" s="26" t="n">
        <v>0</v>
      </c>
      <c r="L561" s="26" t="n">
        <v>0</v>
      </c>
      <c r="M561" s="26" t="n">
        <v>0</v>
      </c>
      <c r="N561" s="26" t="n">
        <v>0</v>
      </c>
      <c r="O561" s="26" t="n">
        <v>0</v>
      </c>
      <c r="P561" s="26" t="n">
        <v>0</v>
      </c>
      <c r="Q561" s="26" t="n">
        <v>0</v>
      </c>
      <c r="R561" s="26" t="n">
        <v>0</v>
      </c>
      <c r="S561" s="26" t="n">
        <v>0</v>
      </c>
      <c r="T561" s="26" t="n">
        <v>0</v>
      </c>
      <c r="U561" s="26" t="n">
        <v>0</v>
      </c>
    </row>
    <row r="562" customFormat="false" ht="15" hidden="false" customHeight="true" outlineLevel="0" collapsed="false">
      <c r="A562" s="8" t="s">
        <v>944</v>
      </c>
      <c r="B562" s="8" t="s">
        <v>341</v>
      </c>
      <c r="C562" s="8" t="s">
        <v>414</v>
      </c>
      <c r="D562" s="26" t="n">
        <v>0</v>
      </c>
      <c r="E562" s="26" t="n">
        <v>0</v>
      </c>
      <c r="F562" s="26" t="n">
        <v>41</v>
      </c>
      <c r="G562" s="26" t="n">
        <v>0</v>
      </c>
      <c r="H562" s="26" t="n">
        <v>0</v>
      </c>
      <c r="I562" s="26" t="n">
        <v>0</v>
      </c>
      <c r="J562" s="26" t="n">
        <v>0</v>
      </c>
      <c r="K562" s="26" t="n">
        <v>0</v>
      </c>
      <c r="L562" s="26" t="n">
        <v>0</v>
      </c>
      <c r="M562" s="26" t="n">
        <v>0</v>
      </c>
      <c r="N562" s="26" t="n">
        <v>0</v>
      </c>
      <c r="O562" s="26" t="n">
        <v>0</v>
      </c>
      <c r="P562" s="26" t="n">
        <v>0</v>
      </c>
      <c r="Q562" s="26" t="n">
        <v>0</v>
      </c>
      <c r="R562" s="26" t="n">
        <v>0</v>
      </c>
      <c r="S562" s="26" t="n">
        <v>0</v>
      </c>
      <c r="T562" s="26" t="n">
        <v>0</v>
      </c>
      <c r="U562" s="26" t="n">
        <v>0</v>
      </c>
    </row>
    <row r="563" customFormat="false" ht="15" hidden="false" customHeight="true" outlineLevel="0" collapsed="false">
      <c r="A563" s="8" t="s">
        <v>944</v>
      </c>
      <c r="B563" s="8" t="s">
        <v>256</v>
      </c>
      <c r="C563" s="8" t="s">
        <v>415</v>
      </c>
      <c r="D563" s="26" t="n">
        <v>0</v>
      </c>
      <c r="E563" s="26" t="n">
        <v>0</v>
      </c>
      <c r="F563" s="26" t="n">
        <v>105</v>
      </c>
      <c r="G563" s="26" t="n">
        <v>0</v>
      </c>
      <c r="H563" s="26" t="n">
        <v>0</v>
      </c>
      <c r="I563" s="26" t="n">
        <v>125</v>
      </c>
      <c r="J563" s="26" t="n">
        <v>0</v>
      </c>
      <c r="K563" s="26" t="n">
        <v>2</v>
      </c>
      <c r="L563" s="26" t="n">
        <v>0</v>
      </c>
      <c r="M563" s="26" t="n">
        <v>0</v>
      </c>
      <c r="N563" s="26" t="n">
        <v>0</v>
      </c>
      <c r="O563" s="26" t="n">
        <v>0</v>
      </c>
      <c r="P563" s="26" t="n">
        <v>-2</v>
      </c>
      <c r="Q563" s="26" t="n">
        <v>101</v>
      </c>
      <c r="R563" s="26" t="n">
        <v>24</v>
      </c>
      <c r="S563" s="26" t="n">
        <v>0</v>
      </c>
      <c r="T563" s="26" t="n">
        <v>41</v>
      </c>
      <c r="U563" s="26" t="n">
        <v>0</v>
      </c>
    </row>
    <row r="564" customFormat="false" ht="15" hidden="false" customHeight="true" outlineLevel="0" collapsed="false">
      <c r="A564" s="8" t="s">
        <v>944</v>
      </c>
      <c r="B564" s="8" t="s">
        <v>167</v>
      </c>
      <c r="C564" s="8" t="s">
        <v>416</v>
      </c>
      <c r="D564" s="26" t="n">
        <v>0</v>
      </c>
      <c r="E564" s="26" t="n">
        <v>0</v>
      </c>
      <c r="F564" s="26" t="n">
        <v>208</v>
      </c>
      <c r="G564" s="26" t="n">
        <v>0</v>
      </c>
      <c r="H564" s="26" t="n">
        <v>3</v>
      </c>
      <c r="I564" s="26" t="n">
        <v>1386</v>
      </c>
      <c r="J564" s="26" t="n">
        <v>0</v>
      </c>
      <c r="K564" s="26" t="n">
        <v>10</v>
      </c>
      <c r="L564" s="26" t="n">
        <v>0</v>
      </c>
      <c r="M564" s="26" t="n">
        <v>8</v>
      </c>
      <c r="N564" s="26" t="n">
        <v>6</v>
      </c>
      <c r="O564" s="26" t="n">
        <v>0</v>
      </c>
      <c r="P564" s="26" t="n">
        <v>-3</v>
      </c>
      <c r="Q564" s="26" t="n">
        <v>1332</v>
      </c>
      <c r="R564" s="26" t="n">
        <v>33</v>
      </c>
      <c r="S564" s="26" t="n">
        <v>0</v>
      </c>
      <c r="T564" s="26" t="n">
        <v>78</v>
      </c>
      <c r="U564" s="26" t="n">
        <v>-3</v>
      </c>
    </row>
    <row r="565" customFormat="false" ht="15" hidden="false" customHeight="true" outlineLevel="0" collapsed="false">
      <c r="A565" s="8" t="s">
        <v>944</v>
      </c>
      <c r="B565" s="8" t="s">
        <v>393</v>
      </c>
      <c r="C565" s="8" t="s">
        <v>947</v>
      </c>
      <c r="D565" s="26" t="n">
        <v>0</v>
      </c>
      <c r="E565" s="26" t="n">
        <v>0</v>
      </c>
      <c r="F565" s="26" t="n">
        <v>0</v>
      </c>
      <c r="G565" s="26" t="n">
        <v>0</v>
      </c>
      <c r="H565" s="26" t="n">
        <v>0</v>
      </c>
      <c r="I565" s="26" t="n">
        <v>0</v>
      </c>
      <c r="J565" s="26" t="n">
        <v>0</v>
      </c>
      <c r="K565" s="26" t="n">
        <v>0</v>
      </c>
      <c r="L565" s="26" t="n">
        <v>0</v>
      </c>
      <c r="M565" s="26" t="n">
        <v>0</v>
      </c>
      <c r="N565" s="26" t="n">
        <v>0</v>
      </c>
      <c r="O565" s="26" t="n">
        <v>0</v>
      </c>
      <c r="P565" s="26" t="n">
        <v>0</v>
      </c>
      <c r="Q565" s="26" t="n">
        <v>0</v>
      </c>
      <c r="R565" s="26" t="n">
        <v>0</v>
      </c>
      <c r="S565" s="26" t="n">
        <v>0</v>
      </c>
      <c r="T565" s="26" t="n">
        <v>56</v>
      </c>
      <c r="U565" s="26" t="n">
        <v>0</v>
      </c>
    </row>
    <row r="566" customFormat="false" ht="15" hidden="false" customHeight="true" outlineLevel="0" collapsed="false">
      <c r="A566" s="8" t="s">
        <v>944</v>
      </c>
      <c r="B566" s="8" t="s">
        <v>155</v>
      </c>
      <c r="C566" s="8" t="s">
        <v>417</v>
      </c>
      <c r="D566" s="26" t="n">
        <v>0</v>
      </c>
      <c r="E566" s="26" t="n">
        <v>0</v>
      </c>
      <c r="F566" s="26" t="n">
        <v>11</v>
      </c>
      <c r="G566" s="26" t="n">
        <v>0</v>
      </c>
      <c r="H566" s="26" t="n">
        <v>0</v>
      </c>
      <c r="I566" s="26" t="n">
        <v>11</v>
      </c>
      <c r="J566" s="26" t="n">
        <v>0</v>
      </c>
      <c r="K566" s="26" t="n">
        <v>0</v>
      </c>
      <c r="L566" s="26" t="n">
        <v>0</v>
      </c>
      <c r="M566" s="26" t="n">
        <v>0</v>
      </c>
      <c r="N566" s="26" t="n">
        <v>0</v>
      </c>
      <c r="O566" s="26" t="n">
        <v>0</v>
      </c>
      <c r="P566" s="26" t="n">
        <v>-1</v>
      </c>
      <c r="Q566" s="26" t="n">
        <v>7</v>
      </c>
      <c r="R566" s="26" t="n">
        <v>5</v>
      </c>
      <c r="S566" s="26" t="n">
        <v>0</v>
      </c>
      <c r="T566" s="26" t="n">
        <v>2</v>
      </c>
      <c r="U566" s="26" t="n">
        <v>0</v>
      </c>
    </row>
    <row r="567" customFormat="false" ht="15" hidden="false" customHeight="true" outlineLevel="0" collapsed="false">
      <c r="A567" s="8" t="s">
        <v>944</v>
      </c>
      <c r="B567" s="8" t="s">
        <v>155</v>
      </c>
      <c r="C567" s="8" t="s">
        <v>418</v>
      </c>
      <c r="D567" s="26" t="n">
        <v>0</v>
      </c>
      <c r="E567" s="26" t="n">
        <v>0</v>
      </c>
      <c r="F567" s="26" t="n">
        <v>15</v>
      </c>
      <c r="G567" s="26" t="n">
        <v>0</v>
      </c>
      <c r="H567" s="26" t="n">
        <v>0</v>
      </c>
      <c r="I567" s="26" t="n">
        <v>30</v>
      </c>
      <c r="J567" s="26" t="n">
        <v>0</v>
      </c>
      <c r="K567" s="26" t="n">
        <v>0</v>
      </c>
      <c r="L567" s="26" t="n">
        <v>0</v>
      </c>
      <c r="M567" s="26" t="n">
        <v>0</v>
      </c>
      <c r="N567" s="26" t="n">
        <v>0</v>
      </c>
      <c r="O567" s="26" t="n">
        <v>0</v>
      </c>
      <c r="P567" s="26" t="n">
        <v>-2</v>
      </c>
      <c r="Q567" s="26" t="n">
        <v>28</v>
      </c>
      <c r="R567" s="26" t="n">
        <v>4</v>
      </c>
      <c r="S567" s="26" t="n">
        <v>0</v>
      </c>
      <c r="T567" s="26" t="n">
        <v>6</v>
      </c>
      <c r="U567" s="26" t="n">
        <v>0</v>
      </c>
    </row>
    <row r="568" customFormat="false" ht="15" hidden="false" customHeight="true" outlineLevel="0" collapsed="false">
      <c r="A568" s="8" t="s">
        <v>944</v>
      </c>
      <c r="B568" s="8" t="s">
        <v>155</v>
      </c>
      <c r="C568" s="8" t="s">
        <v>419</v>
      </c>
      <c r="D568" s="26" t="n">
        <v>0</v>
      </c>
      <c r="E568" s="26" t="n">
        <v>0</v>
      </c>
      <c r="F568" s="26" t="n">
        <v>23</v>
      </c>
      <c r="G568" s="26" t="n">
        <v>0</v>
      </c>
      <c r="H568" s="26" t="n">
        <v>0</v>
      </c>
      <c r="I568" s="26" t="n">
        <v>32</v>
      </c>
      <c r="J568" s="26" t="n">
        <v>0</v>
      </c>
      <c r="K568" s="26" t="n">
        <v>0</v>
      </c>
      <c r="L568" s="26" t="n">
        <v>0</v>
      </c>
      <c r="M568" s="26" t="n">
        <v>0</v>
      </c>
      <c r="N568" s="26" t="n">
        <v>0</v>
      </c>
      <c r="O568" s="26" t="n">
        <v>0</v>
      </c>
      <c r="P568" s="26" t="n">
        <v>-1</v>
      </c>
      <c r="Q568" s="26" t="n">
        <v>30</v>
      </c>
      <c r="R568" s="26" t="n">
        <v>3</v>
      </c>
      <c r="S568" s="26" t="n">
        <v>0</v>
      </c>
      <c r="T568" s="26" t="n">
        <v>18</v>
      </c>
      <c r="U568" s="26" t="n">
        <v>0</v>
      </c>
    </row>
    <row r="569" customFormat="false" ht="15" hidden="false" customHeight="true" outlineLevel="0" collapsed="false">
      <c r="A569" s="8" t="s">
        <v>944</v>
      </c>
      <c r="B569" s="8" t="s">
        <v>335</v>
      </c>
      <c r="C569" s="8" t="s">
        <v>420</v>
      </c>
      <c r="D569" s="26" t="n">
        <v>0</v>
      </c>
      <c r="E569" s="26" t="n">
        <v>0</v>
      </c>
      <c r="F569" s="26" t="n">
        <v>11</v>
      </c>
      <c r="G569" s="26" t="n">
        <v>0</v>
      </c>
      <c r="H569" s="26" t="n">
        <v>0</v>
      </c>
      <c r="I569" s="26" t="n">
        <v>8</v>
      </c>
      <c r="J569" s="26" t="n">
        <v>0</v>
      </c>
      <c r="K569" s="26" t="n">
        <v>0</v>
      </c>
      <c r="L569" s="26" t="n">
        <v>0</v>
      </c>
      <c r="M569" s="26" t="n">
        <v>0</v>
      </c>
      <c r="N569" s="26" t="n">
        <v>0</v>
      </c>
      <c r="O569" s="26" t="n">
        <v>0</v>
      </c>
      <c r="P569" s="26" t="n">
        <v>0</v>
      </c>
      <c r="Q569" s="26" t="n">
        <v>8</v>
      </c>
      <c r="R569" s="26" t="n">
        <v>0</v>
      </c>
      <c r="S569" s="26" t="n">
        <v>0</v>
      </c>
      <c r="T569" s="26" t="n">
        <v>5</v>
      </c>
      <c r="U569" s="26" t="n">
        <v>0</v>
      </c>
    </row>
    <row r="570" customFormat="false" ht="15" hidden="false" customHeight="true" outlineLevel="0" collapsed="false">
      <c r="A570" s="8" t="s">
        <v>944</v>
      </c>
      <c r="B570" s="8" t="s">
        <v>335</v>
      </c>
      <c r="C570" s="8" t="s">
        <v>421</v>
      </c>
      <c r="D570" s="26" t="n">
        <v>0</v>
      </c>
      <c r="E570" s="26" t="n">
        <v>0</v>
      </c>
      <c r="F570" s="26" t="n">
        <v>4</v>
      </c>
      <c r="G570" s="26" t="n">
        <v>0</v>
      </c>
      <c r="H570" s="26" t="n">
        <v>0</v>
      </c>
      <c r="I570" s="26" t="n">
        <v>-7</v>
      </c>
      <c r="J570" s="26" t="n">
        <v>0</v>
      </c>
      <c r="K570" s="26" t="n">
        <v>0</v>
      </c>
      <c r="L570" s="26" t="n">
        <v>0</v>
      </c>
      <c r="M570" s="26" t="n">
        <v>0</v>
      </c>
      <c r="N570" s="26" t="n">
        <v>0</v>
      </c>
      <c r="O570" s="26" t="n">
        <v>0</v>
      </c>
      <c r="P570" s="26" t="n">
        <v>0</v>
      </c>
      <c r="Q570" s="26" t="n">
        <v>-7</v>
      </c>
      <c r="R570" s="26" t="n">
        <v>0</v>
      </c>
      <c r="S570" s="26" t="n">
        <v>0</v>
      </c>
      <c r="T570" s="26" t="n">
        <v>0</v>
      </c>
      <c r="U570" s="26" t="n">
        <v>0</v>
      </c>
    </row>
    <row r="571" customFormat="false" ht="15" hidden="false" customHeight="true" outlineLevel="0" collapsed="false">
      <c r="A571" s="8" t="s">
        <v>944</v>
      </c>
      <c r="B571" s="8" t="s">
        <v>263</v>
      </c>
      <c r="C571" s="8" t="s">
        <v>422</v>
      </c>
      <c r="D571" s="26" t="n">
        <v>0</v>
      </c>
      <c r="E571" s="26" t="n">
        <v>0</v>
      </c>
      <c r="F571" s="26" t="n">
        <v>0</v>
      </c>
      <c r="G571" s="26" t="n">
        <v>0</v>
      </c>
      <c r="H571" s="26" t="n">
        <v>0</v>
      </c>
      <c r="I571" s="26" t="n">
        <v>18</v>
      </c>
      <c r="J571" s="26" t="n">
        <v>0</v>
      </c>
      <c r="K571" s="26" t="n">
        <v>0</v>
      </c>
      <c r="L571" s="26" t="n">
        <v>0</v>
      </c>
      <c r="M571" s="26" t="n">
        <v>0</v>
      </c>
      <c r="N571" s="26" t="n">
        <v>0</v>
      </c>
      <c r="O571" s="26" t="n">
        <v>0</v>
      </c>
      <c r="P571" s="26" t="n">
        <v>0</v>
      </c>
      <c r="Q571" s="26" t="n">
        <v>18</v>
      </c>
      <c r="R571" s="26" t="n">
        <v>0</v>
      </c>
      <c r="S571" s="26" t="n">
        <v>0</v>
      </c>
      <c r="T571" s="26" t="n">
        <v>3</v>
      </c>
      <c r="U571" s="26" t="n">
        <v>0</v>
      </c>
    </row>
    <row r="572" customFormat="false" ht="15" hidden="false" customHeight="true" outlineLevel="0" collapsed="false">
      <c r="A572" s="8" t="s">
        <v>944</v>
      </c>
      <c r="B572" s="8" t="s">
        <v>304</v>
      </c>
      <c r="C572" s="8" t="s">
        <v>423</v>
      </c>
      <c r="D572" s="26" t="n">
        <v>0</v>
      </c>
      <c r="E572" s="26" t="n">
        <v>0</v>
      </c>
      <c r="F572" s="26" t="n">
        <v>12</v>
      </c>
      <c r="G572" s="26" t="n">
        <v>0</v>
      </c>
      <c r="H572" s="26" t="n">
        <v>0</v>
      </c>
      <c r="I572" s="26" t="n">
        <v>16</v>
      </c>
      <c r="J572" s="26" t="n">
        <v>0</v>
      </c>
      <c r="K572" s="26" t="n">
        <v>0</v>
      </c>
      <c r="L572" s="26" t="n">
        <v>0</v>
      </c>
      <c r="M572" s="26" t="n">
        <v>0</v>
      </c>
      <c r="N572" s="26" t="n">
        <v>0</v>
      </c>
      <c r="O572" s="26" t="n">
        <v>0</v>
      </c>
      <c r="P572" s="26" t="n">
        <v>0</v>
      </c>
      <c r="Q572" s="26" t="n">
        <v>9</v>
      </c>
      <c r="R572" s="26" t="n">
        <v>7</v>
      </c>
      <c r="S572" s="26" t="n">
        <v>0</v>
      </c>
      <c r="T572" s="26" t="n">
        <v>0</v>
      </c>
      <c r="U572" s="26" t="n">
        <v>0</v>
      </c>
    </row>
    <row r="573" customFormat="false" ht="15" hidden="false" customHeight="true" outlineLevel="0" collapsed="false">
      <c r="A573" s="8" t="s">
        <v>944</v>
      </c>
      <c r="B573" s="8" t="s">
        <v>304</v>
      </c>
      <c r="C573" s="8" t="s">
        <v>424</v>
      </c>
      <c r="D573" s="26" t="n">
        <v>0</v>
      </c>
      <c r="E573" s="26" t="n">
        <v>0</v>
      </c>
      <c r="F573" s="26" t="n">
        <v>13</v>
      </c>
      <c r="G573" s="26" t="n">
        <v>0</v>
      </c>
      <c r="H573" s="26" t="n">
        <v>0</v>
      </c>
      <c r="I573" s="26" t="n">
        <v>23</v>
      </c>
      <c r="J573" s="26" t="n">
        <v>0</v>
      </c>
      <c r="K573" s="26" t="n">
        <v>0</v>
      </c>
      <c r="L573" s="26" t="n">
        <v>0</v>
      </c>
      <c r="M573" s="26" t="n">
        <v>0</v>
      </c>
      <c r="N573" s="26" t="n">
        <v>0</v>
      </c>
      <c r="O573" s="26" t="n">
        <v>0</v>
      </c>
      <c r="P573" s="26" t="n">
        <v>-2</v>
      </c>
      <c r="Q573" s="26" t="n">
        <v>17</v>
      </c>
      <c r="R573" s="26" t="n">
        <v>8</v>
      </c>
      <c r="S573" s="26" t="n">
        <v>0</v>
      </c>
      <c r="T573" s="26" t="n">
        <v>0</v>
      </c>
      <c r="U573" s="26" t="n">
        <v>0</v>
      </c>
    </row>
    <row r="574" customFormat="false" ht="15" hidden="false" customHeight="true" outlineLevel="0" collapsed="false">
      <c r="A574" s="8" t="s">
        <v>944</v>
      </c>
      <c r="B574" s="8" t="s">
        <v>304</v>
      </c>
      <c r="C574" s="8" t="s">
        <v>425</v>
      </c>
      <c r="D574" s="26" t="n">
        <v>0</v>
      </c>
      <c r="E574" s="26" t="n">
        <v>0</v>
      </c>
      <c r="F574" s="26" t="n">
        <v>13</v>
      </c>
      <c r="G574" s="26" t="n">
        <v>0</v>
      </c>
      <c r="H574" s="26" t="n">
        <v>0</v>
      </c>
      <c r="I574" s="26" t="n">
        <v>28</v>
      </c>
      <c r="J574" s="26" t="n">
        <v>0</v>
      </c>
      <c r="K574" s="26" t="n">
        <v>0</v>
      </c>
      <c r="L574" s="26" t="n">
        <v>0</v>
      </c>
      <c r="M574" s="26" t="n">
        <v>0</v>
      </c>
      <c r="N574" s="26" t="n">
        <v>0</v>
      </c>
      <c r="O574" s="26" t="n">
        <v>0</v>
      </c>
      <c r="P574" s="26" t="n">
        <v>0</v>
      </c>
      <c r="Q574" s="26" t="n">
        <v>28</v>
      </c>
      <c r="R574" s="26" t="n">
        <v>0</v>
      </c>
      <c r="S574" s="26" t="n">
        <v>0</v>
      </c>
      <c r="T574" s="26" t="n">
        <v>0</v>
      </c>
      <c r="U574" s="26" t="n">
        <v>0</v>
      </c>
    </row>
    <row r="575" customFormat="false" ht="15" hidden="false" customHeight="true" outlineLevel="0" collapsed="false">
      <c r="A575" s="8" t="s">
        <v>944</v>
      </c>
      <c r="B575" s="8" t="s">
        <v>385</v>
      </c>
      <c r="C575" s="8" t="s">
        <v>426</v>
      </c>
      <c r="D575" s="26" t="n">
        <v>0</v>
      </c>
      <c r="E575" s="26" t="n">
        <v>0</v>
      </c>
      <c r="F575" s="26" t="n">
        <v>0</v>
      </c>
      <c r="G575" s="26" t="n">
        <v>0</v>
      </c>
      <c r="H575" s="26" t="n">
        <v>0</v>
      </c>
      <c r="I575" s="26" t="n">
        <v>-1</v>
      </c>
      <c r="J575" s="26" t="n">
        <v>0</v>
      </c>
      <c r="K575" s="26" t="n">
        <v>0</v>
      </c>
      <c r="L575" s="26" t="n">
        <v>0</v>
      </c>
      <c r="M575" s="26" t="n">
        <v>0</v>
      </c>
      <c r="N575" s="26" t="n">
        <v>0</v>
      </c>
      <c r="O575" s="26" t="n">
        <v>0</v>
      </c>
      <c r="P575" s="26" t="n">
        <v>0</v>
      </c>
      <c r="Q575" s="26" t="n">
        <v>-1</v>
      </c>
      <c r="R575" s="26" t="n">
        <v>0</v>
      </c>
      <c r="S575" s="26" t="n">
        <v>0</v>
      </c>
      <c r="T575" s="26" t="n">
        <v>0</v>
      </c>
      <c r="U575" s="26" t="n">
        <v>0</v>
      </c>
    </row>
    <row r="576" customFormat="false" ht="15" hidden="false" customHeight="true" outlineLevel="0" collapsed="false">
      <c r="A576" s="8" t="s">
        <v>944</v>
      </c>
      <c r="B576" s="8" t="s">
        <v>128</v>
      </c>
      <c r="C576" s="8" t="s">
        <v>417</v>
      </c>
      <c r="D576" s="26" t="n">
        <v>0</v>
      </c>
      <c r="E576" s="26" t="n">
        <v>0</v>
      </c>
      <c r="F576" s="26" t="n">
        <v>27</v>
      </c>
      <c r="G576" s="26" t="n">
        <v>0</v>
      </c>
      <c r="H576" s="26" t="n">
        <v>0</v>
      </c>
      <c r="I576" s="26" t="n">
        <v>35</v>
      </c>
      <c r="J576" s="26" t="n">
        <v>0</v>
      </c>
      <c r="K576" s="26" t="n">
        <v>0</v>
      </c>
      <c r="L576" s="26" t="n">
        <v>0</v>
      </c>
      <c r="M576" s="26" t="n">
        <v>0</v>
      </c>
      <c r="N576" s="26" t="n">
        <v>0</v>
      </c>
      <c r="O576" s="26" t="n">
        <v>0</v>
      </c>
      <c r="P576" s="26" t="n">
        <v>-2</v>
      </c>
      <c r="Q576" s="26" t="n">
        <v>37</v>
      </c>
      <c r="R576" s="26" t="n">
        <v>0</v>
      </c>
      <c r="S576" s="26" t="n">
        <v>0</v>
      </c>
      <c r="T576" s="26" t="n">
        <v>7</v>
      </c>
      <c r="U576" s="26" t="n">
        <v>0</v>
      </c>
    </row>
    <row r="577" customFormat="false" ht="15" hidden="false" customHeight="true" outlineLevel="0" collapsed="false">
      <c r="A577" s="8" t="s">
        <v>944</v>
      </c>
      <c r="B577" s="8" t="s">
        <v>128</v>
      </c>
      <c r="C577" s="8" t="s">
        <v>427</v>
      </c>
      <c r="D577" s="26" t="n">
        <v>0</v>
      </c>
      <c r="E577" s="26" t="n">
        <v>0</v>
      </c>
      <c r="F577" s="26" t="n">
        <v>30</v>
      </c>
      <c r="G577" s="26" t="n">
        <v>0</v>
      </c>
      <c r="H577" s="26" t="n">
        <v>31</v>
      </c>
      <c r="I577" s="26" t="n">
        <v>61</v>
      </c>
      <c r="J577" s="26" t="n">
        <v>0</v>
      </c>
      <c r="K577" s="26" t="n">
        <v>0</v>
      </c>
      <c r="L577" s="26" t="n">
        <v>0</v>
      </c>
      <c r="M577" s="26" t="n">
        <v>0</v>
      </c>
      <c r="N577" s="26" t="n">
        <v>0</v>
      </c>
      <c r="O577" s="26" t="n">
        <v>0</v>
      </c>
      <c r="P577" s="26" t="n">
        <v>-3</v>
      </c>
      <c r="Q577" s="26" t="n">
        <v>57</v>
      </c>
      <c r="R577" s="26" t="n">
        <v>7</v>
      </c>
      <c r="S577" s="26" t="n">
        <v>0</v>
      </c>
      <c r="T577" s="26" t="n">
        <v>0</v>
      </c>
      <c r="U577" s="26" t="n">
        <v>0</v>
      </c>
    </row>
    <row r="578" customFormat="false" ht="15" hidden="false" customHeight="true" outlineLevel="0" collapsed="false">
      <c r="A578" s="8" t="s">
        <v>944</v>
      </c>
      <c r="B578" s="8" t="s">
        <v>128</v>
      </c>
      <c r="C578" s="8" t="s">
        <v>428</v>
      </c>
      <c r="D578" s="26" t="n">
        <v>0</v>
      </c>
      <c r="E578" s="26" t="n">
        <v>0</v>
      </c>
      <c r="F578" s="26" t="n">
        <v>47</v>
      </c>
      <c r="G578" s="26" t="n">
        <v>0</v>
      </c>
      <c r="H578" s="26" t="n">
        <v>18</v>
      </c>
      <c r="I578" s="26" t="n">
        <v>82</v>
      </c>
      <c r="J578" s="26" t="n">
        <v>0</v>
      </c>
      <c r="K578" s="26" t="n">
        <v>0</v>
      </c>
      <c r="L578" s="26" t="n">
        <v>0</v>
      </c>
      <c r="M578" s="26" t="n">
        <v>0</v>
      </c>
      <c r="N578" s="26" t="n">
        <v>0</v>
      </c>
      <c r="O578" s="26" t="n">
        <v>0</v>
      </c>
      <c r="P578" s="26" t="n">
        <v>0</v>
      </c>
      <c r="Q578" s="26" t="n">
        <v>82</v>
      </c>
      <c r="R578" s="26" t="n">
        <v>0</v>
      </c>
      <c r="S578" s="26" t="n">
        <v>0</v>
      </c>
      <c r="T578" s="26" t="n">
        <v>18</v>
      </c>
      <c r="U578" s="26" t="n">
        <v>0</v>
      </c>
    </row>
    <row r="579" customFormat="false" ht="15" hidden="false" customHeight="true" outlineLevel="0" collapsed="false">
      <c r="A579" s="8" t="s">
        <v>944</v>
      </c>
      <c r="B579" s="8" t="s">
        <v>170</v>
      </c>
      <c r="C579" s="8" t="s">
        <v>429</v>
      </c>
      <c r="D579" s="26" t="n">
        <v>0</v>
      </c>
      <c r="E579" s="26" t="n">
        <v>0</v>
      </c>
      <c r="F579" s="26" t="n">
        <v>0</v>
      </c>
      <c r="G579" s="26" t="n">
        <v>0</v>
      </c>
      <c r="H579" s="26" t="n">
        <v>0</v>
      </c>
      <c r="I579" s="26" t="n">
        <v>-5</v>
      </c>
      <c r="J579" s="26" t="n">
        <v>0</v>
      </c>
      <c r="K579" s="26" t="n">
        <v>0</v>
      </c>
      <c r="L579" s="26" t="n">
        <v>0</v>
      </c>
      <c r="M579" s="26" t="n">
        <v>0</v>
      </c>
      <c r="N579" s="26" t="n">
        <v>0</v>
      </c>
      <c r="O579" s="26" t="n">
        <v>0</v>
      </c>
      <c r="P579" s="26" t="n">
        <v>0</v>
      </c>
      <c r="Q579" s="26" t="n">
        <v>-5</v>
      </c>
      <c r="R579" s="26" t="n">
        <v>0</v>
      </c>
      <c r="S579" s="26" t="n">
        <v>0</v>
      </c>
      <c r="T579" s="26" t="n">
        <v>0</v>
      </c>
      <c r="U579" s="26" t="n">
        <v>0</v>
      </c>
    </row>
    <row r="580" customFormat="false" ht="15" hidden="false" customHeight="true" outlineLevel="0" collapsed="false">
      <c r="A580" s="8" t="s">
        <v>944</v>
      </c>
      <c r="B580" s="8" t="s">
        <v>170</v>
      </c>
      <c r="C580" s="8" t="s">
        <v>430</v>
      </c>
      <c r="D580" s="26" t="n">
        <v>0</v>
      </c>
      <c r="E580" s="26" t="n">
        <v>0</v>
      </c>
      <c r="F580" s="26" t="n">
        <v>0</v>
      </c>
      <c r="G580" s="26" t="n">
        <v>0</v>
      </c>
      <c r="H580" s="26" t="n">
        <v>0</v>
      </c>
      <c r="I580" s="26" t="n">
        <v>-7</v>
      </c>
      <c r="J580" s="26" t="n">
        <v>0</v>
      </c>
      <c r="K580" s="26" t="n">
        <v>0</v>
      </c>
      <c r="L580" s="26" t="n">
        <v>0</v>
      </c>
      <c r="M580" s="26" t="n">
        <v>0</v>
      </c>
      <c r="N580" s="26" t="n">
        <v>0</v>
      </c>
      <c r="O580" s="26" t="n">
        <v>0</v>
      </c>
      <c r="P580" s="26" t="n">
        <v>-3</v>
      </c>
      <c r="Q580" s="26" t="n">
        <v>-4</v>
      </c>
      <c r="R580" s="26" t="n">
        <v>0</v>
      </c>
      <c r="S580" s="26" t="n">
        <v>0</v>
      </c>
      <c r="T580" s="26" t="n">
        <v>0</v>
      </c>
      <c r="U580" s="26" t="n">
        <v>0</v>
      </c>
    </row>
    <row r="581" customFormat="false" ht="15" hidden="false" customHeight="true" outlineLevel="0" collapsed="false">
      <c r="A581" s="8" t="s">
        <v>944</v>
      </c>
      <c r="B581" s="8" t="s">
        <v>170</v>
      </c>
      <c r="C581" s="8" t="s">
        <v>431</v>
      </c>
      <c r="D581" s="26" t="n">
        <v>0</v>
      </c>
      <c r="E581" s="26" t="n">
        <v>0</v>
      </c>
      <c r="F581" s="26" t="n">
        <v>0</v>
      </c>
      <c r="G581" s="26" t="n">
        <v>0</v>
      </c>
      <c r="H581" s="26" t="n">
        <v>0</v>
      </c>
      <c r="I581" s="26" t="n">
        <v>-1</v>
      </c>
      <c r="J581" s="26" t="n">
        <v>0</v>
      </c>
      <c r="K581" s="26" t="n">
        <v>0</v>
      </c>
      <c r="L581" s="26" t="n">
        <v>0</v>
      </c>
      <c r="M581" s="26" t="n">
        <v>0</v>
      </c>
      <c r="N581" s="26" t="n">
        <v>0</v>
      </c>
      <c r="O581" s="26" t="n">
        <v>0</v>
      </c>
      <c r="P581" s="26" t="n">
        <v>-1</v>
      </c>
      <c r="Q581" s="26" t="n">
        <v>0</v>
      </c>
      <c r="R581" s="26" t="n">
        <v>0</v>
      </c>
      <c r="S581" s="26" t="n">
        <v>0</v>
      </c>
      <c r="T581" s="26" t="n">
        <v>0</v>
      </c>
      <c r="U581" s="26" t="n">
        <v>0</v>
      </c>
    </row>
    <row r="582" customFormat="false" ht="15" hidden="false" customHeight="true" outlineLevel="0" collapsed="false">
      <c r="A582" s="8" t="s">
        <v>944</v>
      </c>
      <c r="B582" s="8" t="s">
        <v>191</v>
      </c>
      <c r="C582" s="8" t="s">
        <v>432</v>
      </c>
      <c r="D582" s="26" t="n">
        <v>0</v>
      </c>
      <c r="E582" s="26" t="n">
        <v>0</v>
      </c>
      <c r="F582" s="26" t="n">
        <v>22</v>
      </c>
      <c r="G582" s="26" t="n">
        <v>0</v>
      </c>
      <c r="H582" s="26" t="n">
        <v>0</v>
      </c>
      <c r="I582" s="26" t="n">
        <v>27</v>
      </c>
      <c r="J582" s="26" t="n">
        <v>0</v>
      </c>
      <c r="K582" s="26" t="n">
        <v>0</v>
      </c>
      <c r="L582" s="26" t="n">
        <v>0</v>
      </c>
      <c r="M582" s="26" t="n">
        <v>0</v>
      </c>
      <c r="N582" s="26" t="n">
        <v>0</v>
      </c>
      <c r="O582" s="26" t="n">
        <v>0</v>
      </c>
      <c r="P582" s="26" t="n">
        <v>0</v>
      </c>
      <c r="Q582" s="26" t="n">
        <v>20</v>
      </c>
      <c r="R582" s="26" t="n">
        <v>7</v>
      </c>
      <c r="S582" s="26" t="n">
        <v>0</v>
      </c>
      <c r="T582" s="26" t="n">
        <v>7</v>
      </c>
      <c r="U582" s="26" t="n">
        <v>0</v>
      </c>
    </row>
    <row r="583" customFormat="false" ht="15" hidden="false" customHeight="true" outlineLevel="0" collapsed="false">
      <c r="A583" s="8" t="s">
        <v>944</v>
      </c>
      <c r="B583" s="8" t="s">
        <v>191</v>
      </c>
      <c r="C583" s="8" t="s">
        <v>433</v>
      </c>
      <c r="D583" s="26" t="n">
        <v>0</v>
      </c>
      <c r="E583" s="26" t="n">
        <v>0</v>
      </c>
      <c r="F583" s="26" t="n">
        <v>44</v>
      </c>
      <c r="G583" s="26" t="n">
        <v>0</v>
      </c>
      <c r="H583" s="26" t="n">
        <v>0</v>
      </c>
      <c r="I583" s="26" t="n">
        <v>71</v>
      </c>
      <c r="J583" s="26" t="n">
        <v>0</v>
      </c>
      <c r="K583" s="26" t="n">
        <v>0</v>
      </c>
      <c r="L583" s="26" t="n">
        <v>0</v>
      </c>
      <c r="M583" s="26" t="n">
        <v>0</v>
      </c>
      <c r="N583" s="26" t="n">
        <v>0</v>
      </c>
      <c r="O583" s="26" t="n">
        <v>0</v>
      </c>
      <c r="P583" s="26" t="n">
        <v>-3</v>
      </c>
      <c r="Q583" s="26" t="n">
        <v>64</v>
      </c>
      <c r="R583" s="26" t="n">
        <v>10</v>
      </c>
      <c r="S583" s="26" t="n">
        <v>0</v>
      </c>
      <c r="T583" s="26" t="n">
        <v>15</v>
      </c>
      <c r="U583" s="26" t="n">
        <v>0</v>
      </c>
    </row>
    <row r="584" customFormat="false" ht="15" hidden="false" customHeight="true" outlineLevel="0" collapsed="false">
      <c r="A584" s="8" t="s">
        <v>944</v>
      </c>
      <c r="B584" s="8" t="s">
        <v>191</v>
      </c>
      <c r="C584" s="8" t="s">
        <v>434</v>
      </c>
      <c r="D584" s="26" t="n">
        <v>0</v>
      </c>
      <c r="E584" s="26" t="n">
        <v>0</v>
      </c>
      <c r="F584" s="26" t="n">
        <v>34</v>
      </c>
      <c r="G584" s="26" t="n">
        <v>0</v>
      </c>
      <c r="H584" s="26" t="n">
        <v>11</v>
      </c>
      <c r="I584" s="26" t="n">
        <v>75</v>
      </c>
      <c r="J584" s="26" t="n">
        <v>0</v>
      </c>
      <c r="K584" s="26" t="n">
        <v>0</v>
      </c>
      <c r="L584" s="26" t="n">
        <v>0</v>
      </c>
      <c r="M584" s="26" t="n">
        <v>0</v>
      </c>
      <c r="N584" s="26" t="n">
        <v>0</v>
      </c>
      <c r="O584" s="26" t="n">
        <v>0</v>
      </c>
      <c r="P584" s="26" t="n">
        <v>0</v>
      </c>
      <c r="Q584" s="26" t="n">
        <v>68</v>
      </c>
      <c r="R584" s="26" t="n">
        <v>7</v>
      </c>
      <c r="S584" s="26" t="n">
        <v>0</v>
      </c>
      <c r="T584" s="26" t="n">
        <v>19</v>
      </c>
      <c r="U584" s="26" t="n">
        <v>0</v>
      </c>
    </row>
    <row r="585" customFormat="false" ht="15" hidden="false" customHeight="true" outlineLevel="0" collapsed="false">
      <c r="A585" s="8" t="s">
        <v>944</v>
      </c>
      <c r="B585" s="8" t="s">
        <v>184</v>
      </c>
      <c r="C585" s="8" t="s">
        <v>440</v>
      </c>
      <c r="D585" s="26" t="n">
        <v>0</v>
      </c>
      <c r="E585" s="26" t="n">
        <v>0</v>
      </c>
      <c r="F585" s="26" t="n">
        <v>0</v>
      </c>
      <c r="G585" s="26" t="n">
        <v>0</v>
      </c>
      <c r="H585" s="26" t="n">
        <v>0</v>
      </c>
      <c r="I585" s="26" t="n">
        <v>-8</v>
      </c>
      <c r="J585" s="26" t="n">
        <v>0</v>
      </c>
      <c r="K585" s="26" t="n">
        <v>0</v>
      </c>
      <c r="L585" s="26" t="n">
        <v>0</v>
      </c>
      <c r="M585" s="26" t="n">
        <v>0</v>
      </c>
      <c r="N585" s="26" t="n">
        <v>0</v>
      </c>
      <c r="O585" s="26" t="n">
        <v>0</v>
      </c>
      <c r="P585" s="26" t="n">
        <v>-2</v>
      </c>
      <c r="Q585" s="26" t="n">
        <v>-6</v>
      </c>
      <c r="R585" s="26" t="n">
        <v>0</v>
      </c>
      <c r="S585" s="26" t="n">
        <v>0</v>
      </c>
      <c r="T585" s="26" t="n">
        <v>0</v>
      </c>
      <c r="U585" s="26" t="n">
        <v>0</v>
      </c>
    </row>
    <row r="586" customFormat="false" ht="15" hidden="false" customHeight="true" outlineLevel="0" collapsed="false">
      <c r="A586" s="8" t="s">
        <v>944</v>
      </c>
      <c r="B586" s="8" t="s">
        <v>184</v>
      </c>
      <c r="C586" s="8" t="s">
        <v>441</v>
      </c>
      <c r="D586" s="26" t="n">
        <v>0</v>
      </c>
      <c r="E586" s="26" t="n">
        <v>0</v>
      </c>
      <c r="F586" s="26" t="n">
        <v>1</v>
      </c>
      <c r="G586" s="26" t="n">
        <v>0</v>
      </c>
      <c r="H586" s="26" t="n">
        <v>0</v>
      </c>
      <c r="I586" s="26" t="n">
        <v>-4</v>
      </c>
      <c r="J586" s="26" t="n">
        <v>0</v>
      </c>
      <c r="K586" s="26" t="n">
        <v>0</v>
      </c>
      <c r="L586" s="26" t="n">
        <v>0</v>
      </c>
      <c r="M586" s="26" t="n">
        <v>0</v>
      </c>
      <c r="N586" s="26" t="n">
        <v>0</v>
      </c>
      <c r="O586" s="26" t="n">
        <v>0</v>
      </c>
      <c r="P586" s="26" t="n">
        <v>-1</v>
      </c>
      <c r="Q586" s="26" t="n">
        <v>-3</v>
      </c>
      <c r="R586" s="26" t="n">
        <v>0</v>
      </c>
      <c r="S586" s="26" t="n">
        <v>0</v>
      </c>
      <c r="T586" s="26" t="n">
        <v>0</v>
      </c>
      <c r="U586" s="26" t="n">
        <v>0</v>
      </c>
    </row>
    <row r="587" customFormat="false" ht="15" hidden="false" customHeight="true" outlineLevel="0" collapsed="false">
      <c r="A587" s="8" t="s">
        <v>944</v>
      </c>
      <c r="B587" s="8" t="s">
        <v>184</v>
      </c>
      <c r="C587" s="8" t="s">
        <v>442</v>
      </c>
      <c r="D587" s="26" t="n">
        <v>0</v>
      </c>
      <c r="E587" s="26" t="n">
        <v>0</v>
      </c>
      <c r="F587" s="26" t="n">
        <v>0</v>
      </c>
      <c r="G587" s="26" t="n">
        <v>0</v>
      </c>
      <c r="H587" s="26" t="n">
        <v>0</v>
      </c>
      <c r="I587" s="26" t="n">
        <v>-3</v>
      </c>
      <c r="J587" s="26" t="n">
        <v>0</v>
      </c>
      <c r="K587" s="26" t="n">
        <v>0</v>
      </c>
      <c r="L587" s="26" t="n">
        <v>0</v>
      </c>
      <c r="M587" s="26" t="n">
        <v>0</v>
      </c>
      <c r="N587" s="26" t="n">
        <v>0</v>
      </c>
      <c r="O587" s="26" t="n">
        <v>0</v>
      </c>
      <c r="P587" s="26" t="n">
        <v>-1</v>
      </c>
      <c r="Q587" s="26" t="n">
        <v>-2</v>
      </c>
      <c r="R587" s="26" t="n">
        <v>0</v>
      </c>
      <c r="S587" s="26" t="n">
        <v>0</v>
      </c>
      <c r="T587" s="26" t="n">
        <v>0</v>
      </c>
      <c r="U587" s="26" t="n">
        <v>0</v>
      </c>
    </row>
    <row r="588" customFormat="false" ht="15" hidden="false" customHeight="true" outlineLevel="0" collapsed="false">
      <c r="A588" s="8" t="s">
        <v>944</v>
      </c>
      <c r="B588" s="8" t="s">
        <v>184</v>
      </c>
      <c r="C588" s="8" t="s">
        <v>443</v>
      </c>
      <c r="D588" s="26" t="n">
        <v>0</v>
      </c>
      <c r="E588" s="26" t="n">
        <v>0</v>
      </c>
      <c r="F588" s="26" t="n">
        <v>1</v>
      </c>
      <c r="G588" s="26" t="n">
        <v>0</v>
      </c>
      <c r="H588" s="26" t="n">
        <v>0</v>
      </c>
      <c r="I588" s="26" t="n">
        <v>-3</v>
      </c>
      <c r="J588" s="26" t="n">
        <v>0</v>
      </c>
      <c r="K588" s="26" t="n">
        <v>0</v>
      </c>
      <c r="L588" s="26" t="n">
        <v>0</v>
      </c>
      <c r="M588" s="26" t="n">
        <v>0</v>
      </c>
      <c r="N588" s="26" t="n">
        <v>0</v>
      </c>
      <c r="O588" s="26" t="n">
        <v>0</v>
      </c>
      <c r="P588" s="26" t="n">
        <v>0</v>
      </c>
      <c r="Q588" s="26" t="n">
        <v>-3</v>
      </c>
      <c r="R588" s="26" t="n">
        <v>0</v>
      </c>
      <c r="S588" s="26" t="n">
        <v>0</v>
      </c>
      <c r="T588" s="26" t="n">
        <v>0</v>
      </c>
      <c r="U588" s="26" t="n">
        <v>0</v>
      </c>
    </row>
    <row r="589" customFormat="false" ht="15" hidden="false" customHeight="true" outlineLevel="0" collapsed="false">
      <c r="A589" s="8" t="s">
        <v>944</v>
      </c>
      <c r="B589" s="8" t="s">
        <v>153</v>
      </c>
      <c r="C589" s="8" t="s">
        <v>445</v>
      </c>
      <c r="D589" s="26" t="n">
        <v>0</v>
      </c>
      <c r="E589" s="26" t="n">
        <v>0</v>
      </c>
      <c r="F589" s="26" t="n">
        <v>1</v>
      </c>
      <c r="G589" s="26" t="n">
        <v>0</v>
      </c>
      <c r="H589" s="26" t="n">
        <v>0</v>
      </c>
      <c r="I589" s="26" t="n">
        <v>0</v>
      </c>
      <c r="J589" s="26" t="n">
        <v>0</v>
      </c>
      <c r="K589" s="26" t="n">
        <v>0</v>
      </c>
      <c r="L589" s="26" t="n">
        <v>0</v>
      </c>
      <c r="M589" s="26" t="n">
        <v>0</v>
      </c>
      <c r="N589" s="26" t="n">
        <v>0</v>
      </c>
      <c r="O589" s="26" t="n">
        <v>0</v>
      </c>
      <c r="P589" s="26" t="n">
        <v>0</v>
      </c>
      <c r="Q589" s="26" t="n">
        <v>0</v>
      </c>
      <c r="R589" s="26" t="n">
        <v>0</v>
      </c>
      <c r="S589" s="26" t="n">
        <v>0</v>
      </c>
      <c r="T589" s="26" t="n">
        <v>0</v>
      </c>
      <c r="U589" s="26" t="n">
        <v>0</v>
      </c>
    </row>
    <row r="590" customFormat="false" ht="15" hidden="false" customHeight="true" outlineLevel="0" collapsed="false">
      <c r="A590" s="8" t="s">
        <v>944</v>
      </c>
      <c r="B590" s="8" t="s">
        <v>153</v>
      </c>
      <c r="C590" s="8" t="s">
        <v>446</v>
      </c>
      <c r="D590" s="26" t="n">
        <v>0</v>
      </c>
      <c r="E590" s="26" t="n">
        <v>0</v>
      </c>
      <c r="F590" s="26" t="n">
        <v>-3</v>
      </c>
      <c r="G590" s="26" t="n">
        <v>0</v>
      </c>
      <c r="H590" s="26" t="n">
        <v>0</v>
      </c>
      <c r="I590" s="26" t="n">
        <v>0</v>
      </c>
      <c r="J590" s="26" t="n">
        <v>0</v>
      </c>
      <c r="K590" s="26" t="n">
        <v>0</v>
      </c>
      <c r="L590" s="26" t="n">
        <v>0</v>
      </c>
      <c r="M590" s="26" t="n">
        <v>0</v>
      </c>
      <c r="N590" s="26" t="n">
        <v>0</v>
      </c>
      <c r="O590" s="26" t="n">
        <v>0</v>
      </c>
      <c r="P590" s="26" t="n">
        <v>0</v>
      </c>
      <c r="Q590" s="26" t="n">
        <v>0</v>
      </c>
      <c r="R590" s="26" t="n">
        <v>0</v>
      </c>
      <c r="S590" s="26" t="n">
        <v>0</v>
      </c>
      <c r="T590" s="26" t="n">
        <v>7</v>
      </c>
      <c r="U590" s="26" t="n">
        <v>0</v>
      </c>
    </row>
    <row r="591" customFormat="false" ht="15" hidden="false" customHeight="true" outlineLevel="0" collapsed="false">
      <c r="A591" s="8" t="s">
        <v>944</v>
      </c>
      <c r="B591" s="8" t="s">
        <v>153</v>
      </c>
      <c r="C591" s="8" t="s">
        <v>447</v>
      </c>
      <c r="D591" s="26" t="n">
        <v>0</v>
      </c>
      <c r="E591" s="26" t="n">
        <v>0</v>
      </c>
      <c r="F591" s="26" t="n">
        <v>-2</v>
      </c>
      <c r="G591" s="26" t="n">
        <v>0</v>
      </c>
      <c r="H591" s="26" t="n">
        <v>0</v>
      </c>
      <c r="I591" s="26" t="n">
        <v>0</v>
      </c>
      <c r="J591" s="26" t="n">
        <v>0</v>
      </c>
      <c r="K591" s="26" t="n">
        <v>0</v>
      </c>
      <c r="L591" s="26" t="n">
        <v>0</v>
      </c>
      <c r="M591" s="26" t="n">
        <v>0</v>
      </c>
      <c r="N591" s="26" t="n">
        <v>0</v>
      </c>
      <c r="O591" s="26" t="n">
        <v>0</v>
      </c>
      <c r="P591" s="26" t="n">
        <v>0</v>
      </c>
      <c r="Q591" s="26" t="n">
        <v>0</v>
      </c>
      <c r="R591" s="26" t="n">
        <v>0</v>
      </c>
      <c r="S591" s="26" t="n">
        <v>0</v>
      </c>
      <c r="T591" s="26" t="n">
        <v>2</v>
      </c>
      <c r="U591" s="26" t="n">
        <v>0</v>
      </c>
    </row>
    <row r="592" customFormat="false" ht="15" hidden="false" customHeight="true" outlineLevel="0" collapsed="false">
      <c r="A592" s="8" t="s">
        <v>944</v>
      </c>
      <c r="B592" s="8" t="s">
        <v>153</v>
      </c>
      <c r="C592" s="8" t="s">
        <v>448</v>
      </c>
      <c r="D592" s="26" t="n">
        <v>0</v>
      </c>
      <c r="E592" s="26" t="n">
        <v>0</v>
      </c>
      <c r="F592" s="26" t="n">
        <v>2</v>
      </c>
      <c r="G592" s="26" t="n">
        <v>0</v>
      </c>
      <c r="H592" s="26" t="n">
        <v>0</v>
      </c>
      <c r="I592" s="26" t="n">
        <v>-1</v>
      </c>
      <c r="J592" s="26" t="n">
        <v>0</v>
      </c>
      <c r="K592" s="26" t="n">
        <v>0</v>
      </c>
      <c r="L592" s="26" t="n">
        <v>0</v>
      </c>
      <c r="M592" s="26" t="n">
        <v>0</v>
      </c>
      <c r="N592" s="26" t="n">
        <v>0</v>
      </c>
      <c r="O592" s="26" t="n">
        <v>0</v>
      </c>
      <c r="P592" s="26" t="n">
        <v>0</v>
      </c>
      <c r="Q592" s="26" t="n">
        <v>-1</v>
      </c>
      <c r="R592" s="26" t="n">
        <v>0</v>
      </c>
      <c r="S592" s="26" t="n">
        <v>0</v>
      </c>
      <c r="T592" s="26" t="n">
        <v>5</v>
      </c>
      <c r="U592" s="26" t="n">
        <v>0</v>
      </c>
    </row>
    <row r="593" customFormat="false" ht="15" hidden="false" customHeight="true" outlineLevel="0" collapsed="false">
      <c r="A593" s="8" t="s">
        <v>944</v>
      </c>
      <c r="B593" s="8" t="s">
        <v>153</v>
      </c>
      <c r="C593" s="8" t="s">
        <v>449</v>
      </c>
      <c r="D593" s="26" t="n">
        <v>0</v>
      </c>
      <c r="E593" s="26" t="n">
        <v>0</v>
      </c>
      <c r="F593" s="26" t="n">
        <v>0</v>
      </c>
      <c r="G593" s="26" t="n">
        <v>0</v>
      </c>
      <c r="H593" s="26" t="n">
        <v>0</v>
      </c>
      <c r="I593" s="26" t="n">
        <v>0</v>
      </c>
      <c r="J593" s="26" t="n">
        <v>0</v>
      </c>
      <c r="K593" s="26" t="n">
        <v>0</v>
      </c>
      <c r="L593" s="26" t="n">
        <v>0</v>
      </c>
      <c r="M593" s="26" t="n">
        <v>0</v>
      </c>
      <c r="N593" s="26" t="n">
        <v>0</v>
      </c>
      <c r="O593" s="26" t="n">
        <v>0</v>
      </c>
      <c r="P593" s="26" t="n">
        <v>0</v>
      </c>
      <c r="Q593" s="26" t="n">
        <v>0</v>
      </c>
      <c r="R593" s="26" t="n">
        <v>0</v>
      </c>
      <c r="S593" s="26" t="n">
        <v>0</v>
      </c>
      <c r="T593" s="26" t="n">
        <v>7</v>
      </c>
      <c r="U593" s="26" t="n">
        <v>0</v>
      </c>
    </row>
    <row r="594" customFormat="false" ht="15" hidden="false" customHeight="true" outlineLevel="0" collapsed="false">
      <c r="A594" s="8" t="s">
        <v>944</v>
      </c>
      <c r="B594" s="8" t="s">
        <v>242</v>
      </c>
      <c r="C594" s="8" t="s">
        <v>451</v>
      </c>
      <c r="D594" s="26" t="n">
        <v>0</v>
      </c>
      <c r="E594" s="26" t="n">
        <v>0</v>
      </c>
      <c r="F594" s="26" t="n">
        <v>0</v>
      </c>
      <c r="G594" s="26" t="n">
        <v>0</v>
      </c>
      <c r="H594" s="26" t="n">
        <v>0</v>
      </c>
      <c r="I594" s="26" t="n">
        <v>-4</v>
      </c>
      <c r="J594" s="26" t="n">
        <v>0</v>
      </c>
      <c r="K594" s="26" t="n">
        <v>0</v>
      </c>
      <c r="L594" s="26" t="n">
        <v>0</v>
      </c>
      <c r="M594" s="26" t="n">
        <v>0</v>
      </c>
      <c r="N594" s="26" t="n">
        <v>0</v>
      </c>
      <c r="O594" s="26" t="n">
        <v>0</v>
      </c>
      <c r="P594" s="26" t="n">
        <v>0</v>
      </c>
      <c r="Q594" s="26" t="n">
        <v>-4</v>
      </c>
      <c r="R594" s="26" t="n">
        <v>0</v>
      </c>
      <c r="S594" s="26" t="n">
        <v>0</v>
      </c>
      <c r="T594" s="26" t="n">
        <v>0</v>
      </c>
      <c r="U594" s="26" t="n">
        <v>0</v>
      </c>
    </row>
    <row r="595" customFormat="false" ht="15" hidden="false" customHeight="true" outlineLevel="0" collapsed="false">
      <c r="A595" s="8" t="s">
        <v>944</v>
      </c>
      <c r="B595" s="8" t="s">
        <v>242</v>
      </c>
      <c r="C595" s="8" t="s">
        <v>452</v>
      </c>
      <c r="D595" s="26" t="n">
        <v>0</v>
      </c>
      <c r="E595" s="26" t="n">
        <v>0</v>
      </c>
      <c r="F595" s="26" t="n">
        <v>16</v>
      </c>
      <c r="G595" s="26" t="n">
        <v>0</v>
      </c>
      <c r="H595" s="26" t="n">
        <v>1</v>
      </c>
      <c r="I595" s="26" t="n">
        <v>17</v>
      </c>
      <c r="J595" s="26" t="n">
        <v>0</v>
      </c>
      <c r="K595" s="26" t="n">
        <v>0</v>
      </c>
      <c r="L595" s="26" t="n">
        <v>0</v>
      </c>
      <c r="M595" s="26" t="n">
        <v>0</v>
      </c>
      <c r="N595" s="26" t="n">
        <v>0</v>
      </c>
      <c r="O595" s="26" t="n">
        <v>0</v>
      </c>
      <c r="P595" s="26" t="n">
        <v>0</v>
      </c>
      <c r="Q595" s="26" t="n">
        <v>14</v>
      </c>
      <c r="R595" s="26" t="n">
        <v>3</v>
      </c>
      <c r="S595" s="26" t="n">
        <v>0</v>
      </c>
      <c r="T595" s="26" t="n">
        <v>0</v>
      </c>
      <c r="U595" s="26" t="n">
        <v>0</v>
      </c>
    </row>
    <row r="596" customFormat="false" ht="15" hidden="false" customHeight="true" outlineLevel="0" collapsed="false">
      <c r="A596" s="8" t="s">
        <v>944</v>
      </c>
      <c r="B596" s="8" t="s">
        <v>242</v>
      </c>
      <c r="C596" s="8" t="s">
        <v>453</v>
      </c>
      <c r="D596" s="26" t="n">
        <v>0</v>
      </c>
      <c r="E596" s="26" t="n">
        <v>0</v>
      </c>
      <c r="F596" s="26" t="n">
        <v>7</v>
      </c>
      <c r="G596" s="26" t="n">
        <v>0</v>
      </c>
      <c r="H596" s="26" t="n">
        <v>1</v>
      </c>
      <c r="I596" s="26" t="n">
        <v>11</v>
      </c>
      <c r="J596" s="26" t="n">
        <v>0</v>
      </c>
      <c r="K596" s="26" t="n">
        <v>0</v>
      </c>
      <c r="L596" s="26" t="n">
        <v>0</v>
      </c>
      <c r="M596" s="26" t="n">
        <v>0</v>
      </c>
      <c r="N596" s="26" t="n">
        <v>0</v>
      </c>
      <c r="O596" s="26" t="n">
        <v>0</v>
      </c>
      <c r="P596" s="26" t="n">
        <v>-1</v>
      </c>
      <c r="Q596" s="26" t="n">
        <v>8</v>
      </c>
      <c r="R596" s="26" t="n">
        <v>4</v>
      </c>
      <c r="S596" s="26" t="n">
        <v>0</v>
      </c>
      <c r="T596" s="26" t="n">
        <v>0</v>
      </c>
      <c r="U596" s="26" t="n">
        <v>0</v>
      </c>
    </row>
    <row r="597" customFormat="false" ht="15" hidden="false" customHeight="true" outlineLevel="0" collapsed="false">
      <c r="A597" s="8" t="s">
        <v>944</v>
      </c>
      <c r="B597" s="8" t="s">
        <v>242</v>
      </c>
      <c r="C597" s="8" t="s">
        <v>454</v>
      </c>
      <c r="D597" s="26" t="n">
        <v>0</v>
      </c>
      <c r="E597" s="26" t="n">
        <v>0</v>
      </c>
      <c r="F597" s="26" t="n">
        <v>12</v>
      </c>
      <c r="G597" s="26" t="n">
        <v>0</v>
      </c>
      <c r="H597" s="26" t="n">
        <v>1</v>
      </c>
      <c r="I597" s="26" t="n">
        <v>33</v>
      </c>
      <c r="J597" s="26" t="n">
        <v>0</v>
      </c>
      <c r="K597" s="26" t="n">
        <v>0</v>
      </c>
      <c r="L597" s="26" t="n">
        <v>0</v>
      </c>
      <c r="M597" s="26" t="n">
        <v>0</v>
      </c>
      <c r="N597" s="26" t="n">
        <v>0</v>
      </c>
      <c r="O597" s="26" t="n">
        <v>0</v>
      </c>
      <c r="P597" s="26" t="n">
        <v>0</v>
      </c>
      <c r="Q597" s="26" t="n">
        <v>27</v>
      </c>
      <c r="R597" s="26" t="n">
        <v>6</v>
      </c>
      <c r="S597" s="26" t="n">
        <v>0</v>
      </c>
      <c r="T597" s="26" t="n">
        <v>0</v>
      </c>
      <c r="U597" s="26" t="n">
        <v>0</v>
      </c>
    </row>
    <row r="598" customFormat="false" ht="15" hidden="false" customHeight="true" outlineLevel="0" collapsed="false">
      <c r="A598" s="8" t="s">
        <v>944</v>
      </c>
      <c r="B598" s="8" t="s">
        <v>242</v>
      </c>
      <c r="C598" s="8" t="s">
        <v>455</v>
      </c>
      <c r="D598" s="26" t="n">
        <v>0</v>
      </c>
      <c r="E598" s="26" t="n">
        <v>0</v>
      </c>
      <c r="F598" s="26" t="n">
        <v>1</v>
      </c>
      <c r="G598" s="26" t="n">
        <v>0</v>
      </c>
      <c r="H598" s="26" t="n">
        <v>0</v>
      </c>
      <c r="I598" s="26" t="n">
        <v>0</v>
      </c>
      <c r="J598" s="26" t="n">
        <v>0</v>
      </c>
      <c r="K598" s="26" t="n">
        <v>0</v>
      </c>
      <c r="L598" s="26" t="n">
        <v>0</v>
      </c>
      <c r="M598" s="26" t="n">
        <v>0</v>
      </c>
      <c r="N598" s="26" t="n">
        <v>0</v>
      </c>
      <c r="O598" s="26" t="n">
        <v>0</v>
      </c>
      <c r="P598" s="26" t="n">
        <v>0</v>
      </c>
      <c r="Q598" s="26" t="n">
        <v>0</v>
      </c>
      <c r="R598" s="26" t="n">
        <v>0</v>
      </c>
      <c r="S598" s="26" t="n">
        <v>0</v>
      </c>
      <c r="T598" s="26" t="n">
        <v>0</v>
      </c>
      <c r="U598" s="26" t="n">
        <v>0</v>
      </c>
    </row>
    <row r="599" customFormat="false" ht="15" hidden="false" customHeight="true" outlineLevel="0" collapsed="false">
      <c r="A599" s="8" t="s">
        <v>944</v>
      </c>
      <c r="B599" s="8" t="s">
        <v>108</v>
      </c>
      <c r="C599" s="8" t="s">
        <v>456</v>
      </c>
      <c r="D599" s="26" t="n">
        <v>0</v>
      </c>
      <c r="E599" s="26" t="n">
        <v>0</v>
      </c>
      <c r="F599" s="26" t="n">
        <v>5</v>
      </c>
      <c r="G599" s="26" t="n">
        <v>0</v>
      </c>
      <c r="H599" s="26" t="n">
        <v>0</v>
      </c>
      <c r="I599" s="26" t="n">
        <v>111</v>
      </c>
      <c r="J599" s="26" t="n">
        <v>0</v>
      </c>
      <c r="K599" s="26" t="n">
        <v>2</v>
      </c>
      <c r="L599" s="26" t="n">
        <v>0</v>
      </c>
      <c r="M599" s="26" t="n">
        <v>0</v>
      </c>
      <c r="N599" s="26" t="n">
        <v>0</v>
      </c>
      <c r="O599" s="26" t="n">
        <v>0</v>
      </c>
      <c r="P599" s="26" t="n">
        <v>-2</v>
      </c>
      <c r="Q599" s="26" t="n">
        <v>92</v>
      </c>
      <c r="R599" s="26" t="n">
        <v>19</v>
      </c>
      <c r="S599" s="26" t="n">
        <v>0</v>
      </c>
      <c r="T599" s="26" t="n">
        <v>2</v>
      </c>
      <c r="U599" s="26" t="n">
        <v>0</v>
      </c>
    </row>
    <row r="600" customFormat="false" ht="15" hidden="false" customHeight="true" outlineLevel="0" collapsed="false">
      <c r="A600" s="8" t="s">
        <v>944</v>
      </c>
      <c r="B600" s="8" t="s">
        <v>108</v>
      </c>
      <c r="C600" s="8" t="s">
        <v>457</v>
      </c>
      <c r="D600" s="26" t="n">
        <v>0</v>
      </c>
      <c r="E600" s="26" t="n">
        <v>0</v>
      </c>
      <c r="F600" s="26" t="n">
        <v>26</v>
      </c>
      <c r="G600" s="26" t="n">
        <v>0</v>
      </c>
      <c r="H600" s="26" t="n">
        <v>0</v>
      </c>
      <c r="I600" s="26" t="n">
        <v>298</v>
      </c>
      <c r="J600" s="26" t="n">
        <v>0</v>
      </c>
      <c r="K600" s="26" t="n">
        <v>2</v>
      </c>
      <c r="L600" s="26" t="n">
        <v>0</v>
      </c>
      <c r="M600" s="26" t="n">
        <v>0</v>
      </c>
      <c r="N600" s="26" t="n">
        <v>0</v>
      </c>
      <c r="O600" s="26" t="n">
        <v>0</v>
      </c>
      <c r="P600" s="26" t="n">
        <v>-6</v>
      </c>
      <c r="Q600" s="26" t="n">
        <v>249</v>
      </c>
      <c r="R600" s="26" t="n">
        <v>53</v>
      </c>
      <c r="S600" s="26" t="n">
        <v>0</v>
      </c>
      <c r="T600" s="26" t="n">
        <v>29</v>
      </c>
      <c r="U600" s="26" t="n">
        <v>-1</v>
      </c>
    </row>
    <row r="601" customFormat="false" ht="15" hidden="false" customHeight="true" outlineLevel="0" collapsed="false">
      <c r="A601" s="8" t="s">
        <v>944</v>
      </c>
      <c r="B601" s="8" t="s">
        <v>108</v>
      </c>
      <c r="C601" s="8" t="s">
        <v>458</v>
      </c>
      <c r="D601" s="26" t="n">
        <v>0</v>
      </c>
      <c r="E601" s="26" t="n">
        <v>0</v>
      </c>
      <c r="F601" s="26" t="n">
        <v>26</v>
      </c>
      <c r="G601" s="26" t="n">
        <v>0</v>
      </c>
      <c r="H601" s="26" t="n">
        <v>0</v>
      </c>
      <c r="I601" s="26" t="n">
        <v>210</v>
      </c>
      <c r="J601" s="26" t="n">
        <v>0</v>
      </c>
      <c r="K601" s="26" t="n">
        <v>2</v>
      </c>
      <c r="L601" s="26" t="n">
        <v>0</v>
      </c>
      <c r="M601" s="26" t="n">
        <v>0</v>
      </c>
      <c r="N601" s="26" t="n">
        <v>0</v>
      </c>
      <c r="O601" s="26" t="n">
        <v>0</v>
      </c>
      <c r="P601" s="26" t="n">
        <v>-4</v>
      </c>
      <c r="Q601" s="26" t="n">
        <v>177</v>
      </c>
      <c r="R601" s="26" t="n">
        <v>35</v>
      </c>
      <c r="S601" s="26" t="n">
        <v>0</v>
      </c>
      <c r="T601" s="26" t="n">
        <v>20</v>
      </c>
      <c r="U601" s="26" t="n">
        <v>-2</v>
      </c>
    </row>
    <row r="602" customFormat="false" ht="15" hidden="false" customHeight="true" outlineLevel="0" collapsed="false">
      <c r="A602" s="8" t="s">
        <v>944</v>
      </c>
      <c r="B602" s="8" t="s">
        <v>108</v>
      </c>
      <c r="C602" s="8" t="s">
        <v>459</v>
      </c>
      <c r="D602" s="26" t="n">
        <v>0</v>
      </c>
      <c r="E602" s="26" t="n">
        <v>0</v>
      </c>
      <c r="F602" s="26" t="n">
        <v>25</v>
      </c>
      <c r="G602" s="26" t="n">
        <v>0</v>
      </c>
      <c r="H602" s="26" t="n">
        <v>0</v>
      </c>
      <c r="I602" s="26" t="n">
        <v>298</v>
      </c>
      <c r="J602" s="26" t="n">
        <v>0</v>
      </c>
      <c r="K602" s="26" t="n">
        <v>1</v>
      </c>
      <c r="L602" s="26" t="n">
        <v>0</v>
      </c>
      <c r="M602" s="26" t="n">
        <v>0</v>
      </c>
      <c r="N602" s="26" t="n">
        <v>0</v>
      </c>
      <c r="O602" s="26" t="n">
        <v>0</v>
      </c>
      <c r="P602" s="26" t="n">
        <v>-5</v>
      </c>
      <c r="Q602" s="26" t="n">
        <v>241</v>
      </c>
      <c r="R602" s="26" t="n">
        <v>61</v>
      </c>
      <c r="S602" s="26" t="n">
        <v>0</v>
      </c>
      <c r="T602" s="26" t="n">
        <v>36</v>
      </c>
      <c r="U602" s="26" t="n">
        <v>-1</v>
      </c>
    </row>
    <row r="603" customFormat="false" ht="15" hidden="false" customHeight="true" outlineLevel="0" collapsed="false">
      <c r="A603" s="8" t="s">
        <v>944</v>
      </c>
      <c r="B603" s="8" t="s">
        <v>108</v>
      </c>
      <c r="C603" s="8" t="s">
        <v>460</v>
      </c>
      <c r="D603" s="26" t="n">
        <v>0</v>
      </c>
      <c r="E603" s="26" t="n">
        <v>0</v>
      </c>
      <c r="F603" s="26" t="n">
        <v>10</v>
      </c>
      <c r="G603" s="26" t="n">
        <v>0</v>
      </c>
      <c r="H603" s="26" t="n">
        <v>0</v>
      </c>
      <c r="I603" s="26" t="n">
        <v>83</v>
      </c>
      <c r="J603" s="26" t="n">
        <v>0</v>
      </c>
      <c r="K603" s="26" t="n">
        <v>1</v>
      </c>
      <c r="L603" s="26" t="n">
        <v>0</v>
      </c>
      <c r="M603" s="26" t="n">
        <v>0</v>
      </c>
      <c r="N603" s="26" t="n">
        <v>0</v>
      </c>
      <c r="O603" s="26" t="n">
        <v>0</v>
      </c>
      <c r="P603" s="26" t="n">
        <v>-3</v>
      </c>
      <c r="Q603" s="26" t="n">
        <v>46</v>
      </c>
      <c r="R603" s="26" t="n">
        <v>39</v>
      </c>
      <c r="S603" s="26" t="n">
        <v>0</v>
      </c>
      <c r="T603" s="26" t="n">
        <v>20</v>
      </c>
      <c r="U603" s="26" t="n">
        <v>0</v>
      </c>
    </row>
    <row r="604" customFormat="false" ht="15" hidden="false" customHeight="true" outlineLevel="0" collapsed="false">
      <c r="A604" s="8" t="s">
        <v>944</v>
      </c>
      <c r="B604" s="8" t="s">
        <v>386</v>
      </c>
      <c r="C604" s="8" t="s">
        <v>948</v>
      </c>
      <c r="D604" s="26" t="n">
        <v>0</v>
      </c>
      <c r="E604" s="26" t="n">
        <v>0</v>
      </c>
      <c r="F604" s="26" t="n">
        <v>0</v>
      </c>
      <c r="G604" s="26" t="n">
        <v>0</v>
      </c>
      <c r="H604" s="26" t="n">
        <v>0</v>
      </c>
      <c r="I604" s="26" t="n">
        <v>-1</v>
      </c>
      <c r="J604" s="26" t="n">
        <v>0</v>
      </c>
      <c r="K604" s="26" t="n">
        <v>0</v>
      </c>
      <c r="L604" s="26" t="n">
        <v>0</v>
      </c>
      <c r="M604" s="26" t="n">
        <v>0</v>
      </c>
      <c r="N604" s="26" t="n">
        <v>0</v>
      </c>
      <c r="O604" s="26" t="n">
        <v>0</v>
      </c>
      <c r="P604" s="26" t="n">
        <v>0</v>
      </c>
      <c r="Q604" s="26" t="n">
        <v>-1</v>
      </c>
      <c r="R604" s="26" t="n">
        <v>0</v>
      </c>
      <c r="S604" s="26" t="n">
        <v>0</v>
      </c>
      <c r="T604" s="26" t="n">
        <v>0</v>
      </c>
      <c r="U604" s="26" t="n">
        <v>0</v>
      </c>
    </row>
    <row r="605" customFormat="false" ht="15" hidden="false" customHeight="true" outlineLevel="0" collapsed="false">
      <c r="A605" s="8" t="s">
        <v>944</v>
      </c>
      <c r="B605" s="8" t="s">
        <v>233</v>
      </c>
      <c r="C605" s="8" t="s">
        <v>949</v>
      </c>
      <c r="D605" s="26" t="n">
        <v>0</v>
      </c>
      <c r="E605" s="26" t="n">
        <v>0</v>
      </c>
      <c r="F605" s="26" t="n">
        <v>-1</v>
      </c>
      <c r="G605" s="26" t="n">
        <v>0</v>
      </c>
      <c r="H605" s="26" t="n">
        <v>0</v>
      </c>
      <c r="I605" s="26" t="n">
        <v>0</v>
      </c>
      <c r="J605" s="26" t="n">
        <v>0</v>
      </c>
      <c r="K605" s="26" t="n">
        <v>0</v>
      </c>
      <c r="L605" s="26" t="n">
        <v>0</v>
      </c>
      <c r="M605" s="26" t="n">
        <v>0</v>
      </c>
      <c r="N605" s="26" t="n">
        <v>0</v>
      </c>
      <c r="O605" s="26" t="n">
        <v>0</v>
      </c>
      <c r="P605" s="26" t="n">
        <v>0</v>
      </c>
      <c r="Q605" s="26" t="n">
        <v>0</v>
      </c>
      <c r="R605" s="26" t="n">
        <v>0</v>
      </c>
      <c r="S605" s="26" t="n">
        <v>0</v>
      </c>
      <c r="T605" s="26" t="n">
        <v>0</v>
      </c>
      <c r="U605" s="26" t="n">
        <v>0</v>
      </c>
    </row>
    <row r="606" customFormat="false" ht="15" hidden="false" customHeight="true" outlineLevel="0" collapsed="false">
      <c r="A606" s="8" t="s">
        <v>944</v>
      </c>
      <c r="B606" s="8" t="s">
        <v>233</v>
      </c>
      <c r="C606" s="8" t="s">
        <v>462</v>
      </c>
      <c r="D606" s="26" t="n">
        <v>0</v>
      </c>
      <c r="E606" s="26" t="n">
        <v>0</v>
      </c>
      <c r="F606" s="26" t="n">
        <v>-1</v>
      </c>
      <c r="G606" s="26" t="n">
        <v>0</v>
      </c>
      <c r="H606" s="26" t="n">
        <v>0</v>
      </c>
      <c r="I606" s="26" t="n">
        <v>-1</v>
      </c>
      <c r="J606" s="26" t="n">
        <v>0</v>
      </c>
      <c r="K606" s="26" t="n">
        <v>0</v>
      </c>
      <c r="L606" s="26" t="n">
        <v>0</v>
      </c>
      <c r="M606" s="26" t="n">
        <v>0</v>
      </c>
      <c r="N606" s="26" t="n">
        <v>0</v>
      </c>
      <c r="O606" s="26" t="n">
        <v>0</v>
      </c>
      <c r="P606" s="26" t="n">
        <v>0</v>
      </c>
      <c r="Q606" s="26" t="n">
        <v>-1</v>
      </c>
      <c r="R606" s="26" t="n">
        <v>0</v>
      </c>
      <c r="S606" s="26" t="n">
        <v>0</v>
      </c>
      <c r="T606" s="26" t="n">
        <v>0</v>
      </c>
      <c r="U606" s="26" t="n">
        <v>0</v>
      </c>
    </row>
    <row r="607" customFormat="false" ht="15" hidden="false" customHeight="true" outlineLevel="0" collapsed="false">
      <c r="A607" s="8" t="s">
        <v>944</v>
      </c>
      <c r="B607" s="8" t="s">
        <v>233</v>
      </c>
      <c r="C607" s="8" t="s">
        <v>950</v>
      </c>
      <c r="D607" s="26" t="n">
        <v>0</v>
      </c>
      <c r="E607" s="26" t="n">
        <v>0</v>
      </c>
      <c r="F607" s="26" t="n">
        <v>-1</v>
      </c>
      <c r="G607" s="26" t="n">
        <v>0</v>
      </c>
      <c r="H607" s="26" t="n">
        <v>0</v>
      </c>
      <c r="I607" s="26" t="n">
        <v>0</v>
      </c>
      <c r="J607" s="26" t="n">
        <v>0</v>
      </c>
      <c r="K607" s="26" t="n">
        <v>0</v>
      </c>
      <c r="L607" s="26" t="n">
        <v>0</v>
      </c>
      <c r="M607" s="26" t="n">
        <v>0</v>
      </c>
      <c r="N607" s="26" t="n">
        <v>0</v>
      </c>
      <c r="O607" s="26" t="n">
        <v>0</v>
      </c>
      <c r="P607" s="26" t="n">
        <v>0</v>
      </c>
      <c r="Q607" s="26" t="n">
        <v>0</v>
      </c>
      <c r="R607" s="26" t="n">
        <v>0</v>
      </c>
      <c r="S607" s="26" t="n">
        <v>0</v>
      </c>
      <c r="T607" s="26" t="n">
        <v>0</v>
      </c>
      <c r="U607" s="26" t="n">
        <v>0</v>
      </c>
    </row>
    <row r="608" customFormat="false" ht="15" hidden="false" customHeight="true" outlineLevel="0" collapsed="false">
      <c r="A608" s="8" t="s">
        <v>944</v>
      </c>
      <c r="B608" s="8" t="s">
        <v>233</v>
      </c>
      <c r="C608" s="8" t="s">
        <v>463</v>
      </c>
      <c r="D608" s="26" t="n">
        <v>0</v>
      </c>
      <c r="E608" s="26" t="n">
        <v>0</v>
      </c>
      <c r="F608" s="26" t="n">
        <v>-1</v>
      </c>
      <c r="G608" s="26" t="n">
        <v>0</v>
      </c>
      <c r="H608" s="26" t="n">
        <v>0</v>
      </c>
      <c r="I608" s="26" t="n">
        <v>-1</v>
      </c>
      <c r="J608" s="26" t="n">
        <v>0</v>
      </c>
      <c r="K608" s="26" t="n">
        <v>0</v>
      </c>
      <c r="L608" s="26" t="n">
        <v>0</v>
      </c>
      <c r="M608" s="26" t="n">
        <v>0</v>
      </c>
      <c r="N608" s="26" t="n">
        <v>0</v>
      </c>
      <c r="O608" s="26" t="n">
        <v>0</v>
      </c>
      <c r="P608" s="26" t="n">
        <v>-1</v>
      </c>
      <c r="Q608" s="26" t="n">
        <v>0</v>
      </c>
      <c r="R608" s="26" t="n">
        <v>0</v>
      </c>
      <c r="S608" s="26" t="n">
        <v>0</v>
      </c>
      <c r="T608" s="26" t="n">
        <v>0</v>
      </c>
      <c r="U608" s="26" t="n">
        <v>0</v>
      </c>
    </row>
    <row r="609" customFormat="false" ht="15" hidden="false" customHeight="true" outlineLevel="0" collapsed="false">
      <c r="A609" s="8" t="s">
        <v>944</v>
      </c>
      <c r="B609" s="8" t="s">
        <v>104</v>
      </c>
      <c r="C609" s="8" t="s">
        <v>464</v>
      </c>
      <c r="D609" s="26" t="n">
        <v>0</v>
      </c>
      <c r="E609" s="26" t="n">
        <v>0</v>
      </c>
      <c r="F609" s="26" t="n">
        <v>94</v>
      </c>
      <c r="G609" s="26" t="n">
        <v>0</v>
      </c>
      <c r="H609" s="26" t="n">
        <v>0</v>
      </c>
      <c r="I609" s="26" t="n">
        <v>207</v>
      </c>
      <c r="J609" s="26" t="n">
        <v>0</v>
      </c>
      <c r="K609" s="26" t="n">
        <v>3</v>
      </c>
      <c r="L609" s="26" t="n">
        <v>0</v>
      </c>
      <c r="M609" s="26" t="n">
        <v>2</v>
      </c>
      <c r="N609" s="26" t="n">
        <v>0</v>
      </c>
      <c r="O609" s="26" t="n">
        <v>2</v>
      </c>
      <c r="P609" s="26" t="n">
        <v>-2</v>
      </c>
      <c r="Q609" s="26" t="n">
        <v>123</v>
      </c>
      <c r="R609" s="26" t="n">
        <v>79</v>
      </c>
      <c r="S609" s="26" t="n">
        <v>0</v>
      </c>
      <c r="T609" s="26" t="n">
        <v>0</v>
      </c>
      <c r="U609" s="26" t="n">
        <v>-1</v>
      </c>
    </row>
    <row r="610" customFormat="false" ht="15" hidden="false" customHeight="true" outlineLevel="0" collapsed="false">
      <c r="A610" s="8" t="s">
        <v>944</v>
      </c>
      <c r="B610" s="8" t="s">
        <v>104</v>
      </c>
      <c r="C610" s="8" t="s">
        <v>465</v>
      </c>
      <c r="D610" s="26" t="n">
        <v>0</v>
      </c>
      <c r="E610" s="26" t="n">
        <v>0</v>
      </c>
      <c r="F610" s="26" t="n">
        <v>103</v>
      </c>
      <c r="G610" s="26" t="n">
        <v>0</v>
      </c>
      <c r="H610" s="26" t="n">
        <v>0</v>
      </c>
      <c r="I610" s="26" t="n">
        <v>240</v>
      </c>
      <c r="J610" s="26" t="n">
        <v>0</v>
      </c>
      <c r="K610" s="26" t="n">
        <v>5</v>
      </c>
      <c r="L610" s="26" t="n">
        <v>0</v>
      </c>
      <c r="M610" s="26" t="n">
        <v>0</v>
      </c>
      <c r="N610" s="26" t="n">
        <v>2</v>
      </c>
      <c r="O610" s="26" t="n">
        <v>1</v>
      </c>
      <c r="P610" s="26" t="n">
        <v>-6</v>
      </c>
      <c r="Q610" s="26" t="n">
        <v>138</v>
      </c>
      <c r="R610" s="26" t="n">
        <v>100</v>
      </c>
      <c r="S610" s="26" t="n">
        <v>0</v>
      </c>
      <c r="T610" s="26" t="n">
        <v>0</v>
      </c>
      <c r="U610" s="26" t="n">
        <v>-2</v>
      </c>
    </row>
    <row r="611" customFormat="false" ht="15" hidden="false" customHeight="true" outlineLevel="0" collapsed="false">
      <c r="A611" s="8" t="s">
        <v>944</v>
      </c>
      <c r="B611" s="8" t="s">
        <v>104</v>
      </c>
      <c r="C611" s="8" t="s">
        <v>466</v>
      </c>
      <c r="D611" s="26" t="n">
        <v>0</v>
      </c>
      <c r="E611" s="26" t="n">
        <v>0</v>
      </c>
      <c r="F611" s="26" t="n">
        <v>52</v>
      </c>
      <c r="G611" s="26" t="n">
        <v>0</v>
      </c>
      <c r="H611" s="26" t="n">
        <v>0</v>
      </c>
      <c r="I611" s="26" t="n">
        <v>169</v>
      </c>
      <c r="J611" s="26" t="n">
        <v>0</v>
      </c>
      <c r="K611" s="26" t="n">
        <v>2</v>
      </c>
      <c r="L611" s="26" t="n">
        <v>0</v>
      </c>
      <c r="M611" s="26" t="n">
        <v>2</v>
      </c>
      <c r="N611" s="26" t="n">
        <v>3</v>
      </c>
      <c r="O611" s="26" t="n">
        <v>1</v>
      </c>
      <c r="P611" s="26" t="n">
        <v>-3</v>
      </c>
      <c r="Q611" s="26" t="n">
        <v>102</v>
      </c>
      <c r="R611" s="26" t="n">
        <v>62</v>
      </c>
      <c r="S611" s="26" t="n">
        <v>0</v>
      </c>
      <c r="T611" s="26" t="n">
        <v>0</v>
      </c>
      <c r="U611" s="26" t="n">
        <v>0</v>
      </c>
    </row>
    <row r="612" customFormat="false" ht="15" hidden="false" customHeight="true" outlineLevel="0" collapsed="false">
      <c r="A612" s="8" t="s">
        <v>944</v>
      </c>
      <c r="B612" s="8" t="s">
        <v>104</v>
      </c>
      <c r="C612" s="8" t="s">
        <v>467</v>
      </c>
      <c r="D612" s="26" t="n">
        <v>0</v>
      </c>
      <c r="E612" s="26" t="n">
        <v>0</v>
      </c>
      <c r="F612" s="26" t="n">
        <v>26</v>
      </c>
      <c r="G612" s="26" t="n">
        <v>0</v>
      </c>
      <c r="H612" s="26" t="n">
        <v>0</v>
      </c>
      <c r="I612" s="26" t="n">
        <v>74</v>
      </c>
      <c r="J612" s="26" t="n">
        <v>0</v>
      </c>
      <c r="K612" s="26" t="n">
        <v>1</v>
      </c>
      <c r="L612" s="26" t="n">
        <v>0</v>
      </c>
      <c r="M612" s="26" t="n">
        <v>2</v>
      </c>
      <c r="N612" s="26" t="n">
        <v>2</v>
      </c>
      <c r="O612" s="26" t="n">
        <v>1</v>
      </c>
      <c r="P612" s="26" t="n">
        <v>-1</v>
      </c>
      <c r="Q612" s="26" t="n">
        <v>37</v>
      </c>
      <c r="R612" s="26" t="n">
        <v>32</v>
      </c>
      <c r="S612" s="26" t="n">
        <v>0</v>
      </c>
      <c r="T612" s="26" t="n">
        <v>0</v>
      </c>
      <c r="U612" s="26" t="n">
        <v>0</v>
      </c>
    </row>
    <row r="613" customFormat="false" ht="15" hidden="false" customHeight="true" outlineLevel="0" collapsed="false">
      <c r="A613" s="8" t="s">
        <v>944</v>
      </c>
      <c r="B613" s="8" t="s">
        <v>104</v>
      </c>
      <c r="C613" s="8" t="s">
        <v>468</v>
      </c>
      <c r="D613" s="26" t="n">
        <v>0</v>
      </c>
      <c r="E613" s="26" t="n">
        <v>0</v>
      </c>
      <c r="F613" s="26" t="n">
        <v>2</v>
      </c>
      <c r="G613" s="26" t="n">
        <v>0</v>
      </c>
      <c r="H613" s="26" t="n">
        <v>0</v>
      </c>
      <c r="I613" s="26" t="n">
        <v>-2</v>
      </c>
      <c r="J613" s="26" t="n">
        <v>0</v>
      </c>
      <c r="K613" s="26" t="n">
        <v>0</v>
      </c>
      <c r="L613" s="26" t="n">
        <v>0</v>
      </c>
      <c r="M613" s="26" t="n">
        <v>0</v>
      </c>
      <c r="N613" s="26" t="n">
        <v>0</v>
      </c>
      <c r="O613" s="26" t="n">
        <v>0</v>
      </c>
      <c r="P613" s="26" t="n">
        <v>0</v>
      </c>
      <c r="Q613" s="26" t="n">
        <v>-2</v>
      </c>
      <c r="R613" s="26" t="n">
        <v>0</v>
      </c>
      <c r="S613" s="26" t="n">
        <v>0</v>
      </c>
      <c r="T613" s="26" t="n">
        <v>0</v>
      </c>
      <c r="U613" s="26" t="n">
        <v>0</v>
      </c>
    </row>
    <row r="614" customFormat="false" ht="15" hidden="false" customHeight="true" outlineLevel="0" collapsed="false">
      <c r="A614" s="8" t="s">
        <v>944</v>
      </c>
      <c r="B614" s="8" t="s">
        <v>78</v>
      </c>
      <c r="C614" s="8" t="s">
        <v>469</v>
      </c>
      <c r="D614" s="26" t="n">
        <v>0</v>
      </c>
      <c r="E614" s="26" t="n">
        <v>0</v>
      </c>
      <c r="F614" s="26" t="n">
        <v>160</v>
      </c>
      <c r="G614" s="26" t="n">
        <v>0</v>
      </c>
      <c r="H614" s="26" t="n">
        <v>0</v>
      </c>
      <c r="I614" s="26" t="n">
        <v>1597</v>
      </c>
      <c r="J614" s="26" t="n">
        <v>0</v>
      </c>
      <c r="K614" s="26" t="n">
        <v>10</v>
      </c>
      <c r="L614" s="26" t="n">
        <v>0</v>
      </c>
      <c r="M614" s="26" t="n">
        <v>0</v>
      </c>
      <c r="N614" s="26" t="n">
        <v>3</v>
      </c>
      <c r="O614" s="26" t="n">
        <v>2</v>
      </c>
      <c r="P614" s="26" t="n">
        <v>-5</v>
      </c>
      <c r="Q614" s="26" t="n">
        <v>1476</v>
      </c>
      <c r="R614" s="26" t="n">
        <v>111</v>
      </c>
      <c r="S614" s="26" t="n">
        <v>0</v>
      </c>
      <c r="T614" s="26" t="n">
        <v>62</v>
      </c>
      <c r="U614" s="26" t="n">
        <v>-1</v>
      </c>
    </row>
    <row r="615" customFormat="false" ht="15" hidden="false" customHeight="true" outlineLevel="0" collapsed="false">
      <c r="A615" s="8" t="s">
        <v>944</v>
      </c>
      <c r="B615" s="8" t="s">
        <v>78</v>
      </c>
      <c r="C615" s="8" t="s">
        <v>470</v>
      </c>
      <c r="D615" s="26" t="n">
        <v>0</v>
      </c>
      <c r="E615" s="26" t="n">
        <v>0</v>
      </c>
      <c r="F615" s="26" t="n">
        <v>289</v>
      </c>
      <c r="G615" s="26" t="n">
        <v>0</v>
      </c>
      <c r="H615" s="26" t="n">
        <v>0</v>
      </c>
      <c r="I615" s="26" t="n">
        <v>1554</v>
      </c>
      <c r="J615" s="26" t="n">
        <v>0</v>
      </c>
      <c r="K615" s="26" t="n">
        <v>9</v>
      </c>
      <c r="L615" s="26" t="n">
        <v>0</v>
      </c>
      <c r="M615" s="26" t="n">
        <v>0</v>
      </c>
      <c r="N615" s="26" t="n">
        <v>3</v>
      </c>
      <c r="O615" s="26" t="n">
        <v>1</v>
      </c>
      <c r="P615" s="26" t="n">
        <v>-1</v>
      </c>
      <c r="Q615" s="26" t="n">
        <v>1439</v>
      </c>
      <c r="R615" s="26" t="n">
        <v>103</v>
      </c>
      <c r="S615" s="26" t="n">
        <v>0</v>
      </c>
      <c r="T615" s="26" t="n">
        <v>120</v>
      </c>
      <c r="U615" s="26" t="n">
        <v>-2</v>
      </c>
    </row>
    <row r="616" customFormat="false" ht="15" hidden="false" customHeight="true" outlineLevel="0" collapsed="false">
      <c r="A616" s="8" t="s">
        <v>944</v>
      </c>
      <c r="B616" s="8" t="s">
        <v>78</v>
      </c>
      <c r="C616" s="8" t="s">
        <v>471</v>
      </c>
      <c r="D616" s="26" t="n">
        <v>0</v>
      </c>
      <c r="E616" s="26" t="n">
        <v>0</v>
      </c>
      <c r="F616" s="26" t="n">
        <v>378</v>
      </c>
      <c r="G616" s="26" t="n">
        <v>0</v>
      </c>
      <c r="H616" s="26" t="n">
        <v>0</v>
      </c>
      <c r="I616" s="26" t="n">
        <v>2188</v>
      </c>
      <c r="J616" s="26" t="n">
        <v>0</v>
      </c>
      <c r="K616" s="26" t="n">
        <v>5</v>
      </c>
      <c r="L616" s="26" t="n">
        <v>0</v>
      </c>
      <c r="M616" s="26" t="n">
        <v>0</v>
      </c>
      <c r="N616" s="26" t="n">
        <v>3</v>
      </c>
      <c r="O616" s="26" t="n">
        <v>1</v>
      </c>
      <c r="P616" s="26" t="n">
        <v>-6</v>
      </c>
      <c r="Q616" s="26" t="n">
        <v>1964</v>
      </c>
      <c r="R616" s="26" t="n">
        <v>221</v>
      </c>
      <c r="S616" s="26" t="n">
        <v>0</v>
      </c>
      <c r="T616" s="26" t="n">
        <v>154</v>
      </c>
      <c r="U616" s="26" t="n">
        <v>-1</v>
      </c>
    </row>
    <row r="617" customFormat="false" ht="15" hidden="false" customHeight="true" outlineLevel="0" collapsed="false">
      <c r="A617" s="8" t="s">
        <v>944</v>
      </c>
      <c r="B617" s="8" t="s">
        <v>78</v>
      </c>
      <c r="C617" s="8" t="s">
        <v>472</v>
      </c>
      <c r="D617" s="26" t="n">
        <v>0</v>
      </c>
      <c r="E617" s="26" t="n">
        <v>0</v>
      </c>
      <c r="F617" s="26" t="n">
        <v>115</v>
      </c>
      <c r="G617" s="26" t="n">
        <v>0</v>
      </c>
      <c r="H617" s="26" t="n">
        <v>0</v>
      </c>
      <c r="I617" s="26" t="n">
        <v>666</v>
      </c>
      <c r="J617" s="26" t="n">
        <v>0</v>
      </c>
      <c r="K617" s="26" t="n">
        <v>11</v>
      </c>
      <c r="L617" s="26" t="n">
        <v>0</v>
      </c>
      <c r="M617" s="26" t="n">
        <v>0</v>
      </c>
      <c r="N617" s="26" t="n">
        <v>3</v>
      </c>
      <c r="O617" s="26" t="n">
        <v>2</v>
      </c>
      <c r="P617" s="26" t="n">
        <v>-4</v>
      </c>
      <c r="Q617" s="26" t="n">
        <v>579</v>
      </c>
      <c r="R617" s="26" t="n">
        <v>75</v>
      </c>
      <c r="S617" s="26" t="n">
        <v>0</v>
      </c>
      <c r="T617" s="26" t="n">
        <v>46</v>
      </c>
      <c r="U617" s="26" t="n">
        <v>-5</v>
      </c>
    </row>
    <row r="618" customFormat="false" ht="15" hidden="false" customHeight="true" outlineLevel="0" collapsed="false">
      <c r="A618" s="8" t="s">
        <v>944</v>
      </c>
      <c r="B618" s="8" t="s">
        <v>280</v>
      </c>
      <c r="C618" s="8" t="s">
        <v>474</v>
      </c>
      <c r="D618" s="26" t="n">
        <v>0</v>
      </c>
      <c r="E618" s="26" t="n">
        <v>0</v>
      </c>
      <c r="F618" s="26" t="n">
        <v>0</v>
      </c>
      <c r="G618" s="26" t="n">
        <v>0</v>
      </c>
      <c r="H618" s="26" t="n">
        <v>0</v>
      </c>
      <c r="I618" s="26" t="n">
        <v>-1</v>
      </c>
      <c r="J618" s="26" t="n">
        <v>0</v>
      </c>
      <c r="K618" s="26" t="n">
        <v>0</v>
      </c>
      <c r="L618" s="26" t="n">
        <v>0</v>
      </c>
      <c r="M618" s="26" t="n">
        <v>0</v>
      </c>
      <c r="N618" s="26" t="n">
        <v>0</v>
      </c>
      <c r="O618" s="26" t="n">
        <v>0</v>
      </c>
      <c r="P618" s="26" t="n">
        <v>0</v>
      </c>
      <c r="Q618" s="26" t="n">
        <v>-1</v>
      </c>
      <c r="R618" s="26" t="n">
        <v>0</v>
      </c>
      <c r="S618" s="26" t="n">
        <v>0</v>
      </c>
      <c r="T618" s="26" t="n">
        <v>0</v>
      </c>
      <c r="U618" s="26" t="n">
        <v>0</v>
      </c>
    </row>
    <row r="619" customFormat="false" ht="15" hidden="false" customHeight="true" outlineLevel="0" collapsed="false">
      <c r="A619" s="8" t="s">
        <v>944</v>
      </c>
      <c r="B619" s="8" t="s">
        <v>280</v>
      </c>
      <c r="C619" s="8" t="s">
        <v>476</v>
      </c>
      <c r="D619" s="26" t="n">
        <v>0</v>
      </c>
      <c r="E619" s="26" t="n">
        <v>0</v>
      </c>
      <c r="F619" s="26" t="n">
        <v>-1</v>
      </c>
      <c r="G619" s="26" t="n">
        <v>0</v>
      </c>
      <c r="H619" s="26" t="n">
        <v>0</v>
      </c>
      <c r="I619" s="26" t="n">
        <v>-2</v>
      </c>
      <c r="J619" s="26" t="n">
        <v>0</v>
      </c>
      <c r="K619" s="26" t="n">
        <v>0</v>
      </c>
      <c r="L619" s="26" t="n">
        <v>0</v>
      </c>
      <c r="M619" s="26" t="n">
        <v>0</v>
      </c>
      <c r="N619" s="26" t="n">
        <v>0</v>
      </c>
      <c r="O619" s="26" t="n">
        <v>0</v>
      </c>
      <c r="P619" s="26" t="n">
        <v>-1</v>
      </c>
      <c r="Q619" s="26" t="n">
        <v>-1</v>
      </c>
      <c r="R619" s="26" t="n">
        <v>0</v>
      </c>
      <c r="S619" s="26" t="n">
        <v>0</v>
      </c>
      <c r="T619" s="26" t="n">
        <v>0</v>
      </c>
      <c r="U619" s="26" t="n">
        <v>0</v>
      </c>
    </row>
    <row r="620" customFormat="false" ht="15" hidden="false" customHeight="true" outlineLevel="0" collapsed="false">
      <c r="A620" s="8" t="s">
        <v>944</v>
      </c>
      <c r="B620" s="8" t="s">
        <v>305</v>
      </c>
      <c r="C620" s="8" t="s">
        <v>477</v>
      </c>
      <c r="D620" s="26" t="n">
        <v>0</v>
      </c>
      <c r="E620" s="26" t="n">
        <v>0</v>
      </c>
      <c r="F620" s="26" t="n">
        <v>2</v>
      </c>
      <c r="G620" s="26" t="n">
        <v>0</v>
      </c>
      <c r="H620" s="26" t="n">
        <v>0</v>
      </c>
      <c r="I620" s="26" t="n">
        <v>0</v>
      </c>
      <c r="J620" s="26" t="n">
        <v>0</v>
      </c>
      <c r="K620" s="26" t="n">
        <v>0</v>
      </c>
      <c r="L620" s="26" t="n">
        <v>0</v>
      </c>
      <c r="M620" s="26" t="n">
        <v>0</v>
      </c>
      <c r="N620" s="26" t="n">
        <v>0</v>
      </c>
      <c r="O620" s="26" t="n">
        <v>0</v>
      </c>
      <c r="P620" s="26" t="n">
        <v>0</v>
      </c>
      <c r="Q620" s="26" t="n">
        <v>0</v>
      </c>
      <c r="R620" s="26" t="n">
        <v>0</v>
      </c>
      <c r="S620" s="26" t="n">
        <v>0</v>
      </c>
      <c r="T620" s="26" t="n">
        <v>0</v>
      </c>
      <c r="U620" s="26" t="n">
        <v>0</v>
      </c>
    </row>
    <row r="621" customFormat="false" ht="15" hidden="false" customHeight="true" outlineLevel="0" collapsed="false">
      <c r="A621" s="8" t="s">
        <v>944</v>
      </c>
      <c r="B621" s="8" t="s">
        <v>264</v>
      </c>
      <c r="C621" s="8" t="s">
        <v>478</v>
      </c>
      <c r="D621" s="26" t="n">
        <v>0</v>
      </c>
      <c r="E621" s="26" t="n">
        <v>0</v>
      </c>
      <c r="F621" s="26" t="n">
        <v>0</v>
      </c>
      <c r="G621" s="26" t="n">
        <v>0</v>
      </c>
      <c r="H621" s="26" t="n">
        <v>0</v>
      </c>
      <c r="I621" s="26" t="n">
        <v>6</v>
      </c>
      <c r="J621" s="26" t="n">
        <v>0</v>
      </c>
      <c r="K621" s="26" t="n">
        <v>0</v>
      </c>
      <c r="L621" s="26" t="n">
        <v>0</v>
      </c>
      <c r="M621" s="26" t="n">
        <v>0</v>
      </c>
      <c r="N621" s="26" t="n">
        <v>0</v>
      </c>
      <c r="O621" s="26" t="n">
        <v>0</v>
      </c>
      <c r="P621" s="26" t="n">
        <v>0</v>
      </c>
      <c r="Q621" s="26" t="n">
        <v>0</v>
      </c>
      <c r="R621" s="26" t="n">
        <v>6</v>
      </c>
      <c r="S621" s="26" t="n">
        <v>0</v>
      </c>
      <c r="T621" s="26" t="n">
        <v>0</v>
      </c>
      <c r="U621" s="26" t="n">
        <v>0</v>
      </c>
    </row>
    <row r="622" customFormat="false" ht="15" hidden="false" customHeight="true" outlineLevel="0" collapsed="false">
      <c r="A622" s="8" t="s">
        <v>944</v>
      </c>
      <c r="B622" s="8" t="s">
        <v>264</v>
      </c>
      <c r="C622" s="8" t="s">
        <v>479</v>
      </c>
      <c r="D622" s="26" t="n">
        <v>0</v>
      </c>
      <c r="E622" s="26" t="n">
        <v>0</v>
      </c>
      <c r="F622" s="26" t="n">
        <v>3</v>
      </c>
      <c r="G622" s="26" t="n">
        <v>0</v>
      </c>
      <c r="H622" s="26" t="n">
        <v>0</v>
      </c>
      <c r="I622" s="26" t="n">
        <v>0</v>
      </c>
      <c r="J622" s="26" t="n">
        <v>0</v>
      </c>
      <c r="K622" s="26" t="n">
        <v>0</v>
      </c>
      <c r="L622" s="26" t="n">
        <v>0</v>
      </c>
      <c r="M622" s="26" t="n">
        <v>0</v>
      </c>
      <c r="N622" s="26" t="n">
        <v>0</v>
      </c>
      <c r="O622" s="26" t="n">
        <v>0</v>
      </c>
      <c r="P622" s="26" t="n">
        <v>0</v>
      </c>
      <c r="Q622" s="26" t="n">
        <v>0</v>
      </c>
      <c r="R622" s="26" t="n">
        <v>0</v>
      </c>
      <c r="S622" s="26" t="n">
        <v>0</v>
      </c>
      <c r="T622" s="26" t="n">
        <v>2</v>
      </c>
      <c r="U622" s="26" t="n">
        <v>0</v>
      </c>
    </row>
    <row r="623" customFormat="false" ht="15" hidden="false" customHeight="true" outlineLevel="0" collapsed="false">
      <c r="A623" s="8" t="s">
        <v>944</v>
      </c>
      <c r="B623" s="8" t="s">
        <v>264</v>
      </c>
      <c r="C623" s="8" t="s">
        <v>480</v>
      </c>
      <c r="D623" s="26" t="n">
        <v>0</v>
      </c>
      <c r="E623" s="26" t="n">
        <v>0</v>
      </c>
      <c r="F623" s="26" t="n">
        <v>1</v>
      </c>
      <c r="G623" s="26" t="n">
        <v>0</v>
      </c>
      <c r="H623" s="26" t="n">
        <v>0</v>
      </c>
      <c r="I623" s="26" t="n">
        <v>2</v>
      </c>
      <c r="J623" s="26" t="n">
        <v>0</v>
      </c>
      <c r="K623" s="26" t="n">
        <v>0</v>
      </c>
      <c r="L623" s="26" t="n">
        <v>0</v>
      </c>
      <c r="M623" s="26" t="n">
        <v>0</v>
      </c>
      <c r="N623" s="26" t="n">
        <v>0</v>
      </c>
      <c r="O623" s="26" t="n">
        <v>0</v>
      </c>
      <c r="P623" s="26" t="n">
        <v>0</v>
      </c>
      <c r="Q623" s="26" t="n">
        <v>0</v>
      </c>
      <c r="R623" s="26" t="n">
        <v>2</v>
      </c>
      <c r="S623" s="26" t="n">
        <v>0</v>
      </c>
      <c r="T623" s="26" t="n">
        <v>3</v>
      </c>
      <c r="U623" s="26" t="n">
        <v>0</v>
      </c>
    </row>
    <row r="624" customFormat="false" ht="15" hidden="false" customHeight="true" outlineLevel="0" collapsed="false">
      <c r="A624" s="8" t="s">
        <v>944</v>
      </c>
      <c r="B624" s="8" t="s">
        <v>264</v>
      </c>
      <c r="C624" s="8" t="s">
        <v>481</v>
      </c>
      <c r="D624" s="26" t="n">
        <v>0</v>
      </c>
      <c r="E624" s="26" t="n">
        <v>0</v>
      </c>
      <c r="F624" s="26" t="n">
        <v>1</v>
      </c>
      <c r="G624" s="26" t="n">
        <v>0</v>
      </c>
      <c r="H624" s="26" t="n">
        <v>0</v>
      </c>
      <c r="I624" s="26" t="n">
        <v>1</v>
      </c>
      <c r="J624" s="26" t="n">
        <v>0</v>
      </c>
      <c r="K624" s="26" t="n">
        <v>0</v>
      </c>
      <c r="L624" s="26" t="n">
        <v>0</v>
      </c>
      <c r="M624" s="26" t="n">
        <v>0</v>
      </c>
      <c r="N624" s="26" t="n">
        <v>0</v>
      </c>
      <c r="O624" s="26" t="n">
        <v>0</v>
      </c>
      <c r="P624" s="26" t="n">
        <v>0</v>
      </c>
      <c r="Q624" s="26" t="n">
        <v>0</v>
      </c>
      <c r="R624" s="26" t="n">
        <v>1</v>
      </c>
      <c r="S624" s="26" t="n">
        <v>0</v>
      </c>
      <c r="T624" s="26" t="n">
        <v>2</v>
      </c>
      <c r="U624" s="26" t="n">
        <v>0</v>
      </c>
    </row>
    <row r="625" customFormat="false" ht="15" hidden="false" customHeight="true" outlineLevel="0" collapsed="false">
      <c r="A625" s="8" t="s">
        <v>944</v>
      </c>
      <c r="B625" s="8" t="s">
        <v>302</v>
      </c>
      <c r="C625" s="8" t="s">
        <v>951</v>
      </c>
      <c r="D625" s="26" t="n">
        <v>0</v>
      </c>
      <c r="E625" s="26" t="n">
        <v>0</v>
      </c>
      <c r="F625" s="26" t="n">
        <v>1</v>
      </c>
      <c r="G625" s="26" t="n">
        <v>0</v>
      </c>
      <c r="H625" s="26" t="n">
        <v>0</v>
      </c>
      <c r="I625" s="26" t="n">
        <v>-1</v>
      </c>
      <c r="J625" s="26" t="n">
        <v>0</v>
      </c>
      <c r="K625" s="26" t="n">
        <v>0</v>
      </c>
      <c r="L625" s="26" t="n">
        <v>0</v>
      </c>
      <c r="M625" s="26" t="n">
        <v>0</v>
      </c>
      <c r="N625" s="26" t="n">
        <v>0</v>
      </c>
      <c r="O625" s="26" t="n">
        <v>0</v>
      </c>
      <c r="P625" s="26" t="n">
        <v>0</v>
      </c>
      <c r="Q625" s="26" t="n">
        <v>-1</v>
      </c>
      <c r="R625" s="26" t="n">
        <v>0</v>
      </c>
      <c r="S625" s="26" t="n">
        <v>0</v>
      </c>
      <c r="T625" s="26" t="n">
        <v>2</v>
      </c>
      <c r="U625" s="26" t="n">
        <v>0</v>
      </c>
    </row>
    <row r="626" customFormat="false" ht="15" hidden="false" customHeight="true" outlineLevel="0" collapsed="false">
      <c r="A626" s="8" t="s">
        <v>944</v>
      </c>
      <c r="B626" s="8" t="s">
        <v>302</v>
      </c>
      <c r="C626" s="8" t="s">
        <v>482</v>
      </c>
      <c r="D626" s="26" t="n">
        <v>0</v>
      </c>
      <c r="E626" s="26" t="n">
        <v>0</v>
      </c>
      <c r="F626" s="26" t="n">
        <v>3</v>
      </c>
      <c r="G626" s="26" t="n">
        <v>0</v>
      </c>
      <c r="H626" s="26" t="n">
        <v>0</v>
      </c>
      <c r="I626" s="26" t="n">
        <v>1</v>
      </c>
      <c r="J626" s="26" t="n">
        <v>0</v>
      </c>
      <c r="K626" s="26" t="n">
        <v>0</v>
      </c>
      <c r="L626" s="26" t="n">
        <v>0</v>
      </c>
      <c r="M626" s="26" t="n">
        <v>0</v>
      </c>
      <c r="N626" s="26" t="n">
        <v>0</v>
      </c>
      <c r="O626" s="26" t="n">
        <v>0</v>
      </c>
      <c r="P626" s="26" t="n">
        <v>0</v>
      </c>
      <c r="Q626" s="26" t="n">
        <v>1</v>
      </c>
      <c r="R626" s="26" t="n">
        <v>0</v>
      </c>
      <c r="S626" s="26" t="n">
        <v>0</v>
      </c>
      <c r="T626" s="26" t="n">
        <v>7</v>
      </c>
      <c r="U626" s="26" t="n">
        <v>0</v>
      </c>
    </row>
    <row r="627" customFormat="false" ht="15" hidden="false" customHeight="true" outlineLevel="0" collapsed="false">
      <c r="A627" s="8" t="s">
        <v>944</v>
      </c>
      <c r="B627" s="8" t="s">
        <v>302</v>
      </c>
      <c r="C627" s="8" t="s">
        <v>483</v>
      </c>
      <c r="D627" s="26" t="n">
        <v>0</v>
      </c>
      <c r="E627" s="26" t="n">
        <v>0</v>
      </c>
      <c r="F627" s="26" t="n">
        <v>2</v>
      </c>
      <c r="G627" s="26" t="n">
        <v>0</v>
      </c>
      <c r="H627" s="26" t="n">
        <v>0</v>
      </c>
      <c r="I627" s="26" t="n">
        <v>0</v>
      </c>
      <c r="J627" s="26" t="n">
        <v>0</v>
      </c>
      <c r="K627" s="26" t="n">
        <v>0</v>
      </c>
      <c r="L627" s="26" t="n">
        <v>0</v>
      </c>
      <c r="M627" s="26" t="n">
        <v>0</v>
      </c>
      <c r="N627" s="26" t="n">
        <v>0</v>
      </c>
      <c r="O627" s="26" t="n">
        <v>0</v>
      </c>
      <c r="P627" s="26" t="n">
        <v>0</v>
      </c>
      <c r="Q627" s="26" t="n">
        <v>0</v>
      </c>
      <c r="R627" s="26" t="n">
        <v>0</v>
      </c>
      <c r="S627" s="26" t="n">
        <v>0</v>
      </c>
      <c r="T627" s="26" t="n">
        <v>1</v>
      </c>
      <c r="U627" s="26" t="n">
        <v>0</v>
      </c>
    </row>
    <row r="628" customFormat="false" ht="15" hidden="false" customHeight="true" outlineLevel="0" collapsed="false">
      <c r="A628" s="8" t="s">
        <v>944</v>
      </c>
      <c r="B628" s="8" t="s">
        <v>302</v>
      </c>
      <c r="C628" s="8" t="s">
        <v>952</v>
      </c>
      <c r="D628" s="26" t="n">
        <v>0</v>
      </c>
      <c r="E628" s="26" t="n">
        <v>0</v>
      </c>
      <c r="F628" s="26" t="n">
        <v>1</v>
      </c>
      <c r="G628" s="26" t="n">
        <v>0</v>
      </c>
      <c r="H628" s="26" t="n">
        <v>0</v>
      </c>
      <c r="I628" s="26" t="n">
        <v>1</v>
      </c>
      <c r="J628" s="26" t="n">
        <v>0</v>
      </c>
      <c r="K628" s="26" t="n">
        <v>0</v>
      </c>
      <c r="L628" s="26" t="n">
        <v>0</v>
      </c>
      <c r="M628" s="26" t="n">
        <v>0</v>
      </c>
      <c r="N628" s="26" t="n">
        <v>0</v>
      </c>
      <c r="O628" s="26" t="n">
        <v>0</v>
      </c>
      <c r="P628" s="26" t="n">
        <v>0</v>
      </c>
      <c r="Q628" s="26" t="n">
        <v>0</v>
      </c>
      <c r="R628" s="26" t="n">
        <v>1</v>
      </c>
      <c r="S628" s="26" t="n">
        <v>0</v>
      </c>
      <c r="T628" s="26" t="n">
        <v>0</v>
      </c>
      <c r="U628" s="26" t="n">
        <v>0</v>
      </c>
    </row>
    <row r="629" customFormat="false" ht="15" hidden="false" customHeight="true" outlineLevel="0" collapsed="false">
      <c r="A629" s="8" t="s">
        <v>944</v>
      </c>
      <c r="B629" s="8" t="s">
        <v>192</v>
      </c>
      <c r="C629" s="8" t="s">
        <v>485</v>
      </c>
      <c r="D629" s="26" t="n">
        <v>0</v>
      </c>
      <c r="E629" s="26" t="n">
        <v>0</v>
      </c>
      <c r="F629" s="26" t="n">
        <v>4</v>
      </c>
      <c r="G629" s="26" t="n">
        <v>0</v>
      </c>
      <c r="H629" s="26" t="n">
        <v>0</v>
      </c>
      <c r="I629" s="26" t="n">
        <v>0</v>
      </c>
      <c r="J629" s="26" t="n">
        <v>0</v>
      </c>
      <c r="K629" s="26" t="n">
        <v>0</v>
      </c>
      <c r="L629" s="26" t="n">
        <v>0</v>
      </c>
      <c r="M629" s="26" t="n">
        <v>0</v>
      </c>
      <c r="N629" s="26" t="n">
        <v>0</v>
      </c>
      <c r="O629" s="26" t="n">
        <v>0</v>
      </c>
      <c r="P629" s="26" t="n">
        <v>0</v>
      </c>
      <c r="Q629" s="26" t="n">
        <v>0</v>
      </c>
      <c r="R629" s="26" t="n">
        <v>0</v>
      </c>
      <c r="S629" s="26" t="n">
        <v>0</v>
      </c>
      <c r="T629" s="26" t="n">
        <v>3</v>
      </c>
      <c r="U629" s="26" t="n">
        <v>0</v>
      </c>
    </row>
    <row r="630" customFormat="false" ht="15" hidden="false" customHeight="true" outlineLevel="0" collapsed="false">
      <c r="A630" s="8" t="s">
        <v>944</v>
      </c>
      <c r="B630" s="8" t="s">
        <v>192</v>
      </c>
      <c r="C630" s="8" t="s">
        <v>486</v>
      </c>
      <c r="D630" s="26" t="n">
        <v>0</v>
      </c>
      <c r="E630" s="26" t="n">
        <v>0</v>
      </c>
      <c r="F630" s="26" t="n">
        <v>6</v>
      </c>
      <c r="G630" s="26" t="n">
        <v>0</v>
      </c>
      <c r="H630" s="26" t="n">
        <v>0</v>
      </c>
      <c r="I630" s="26" t="n">
        <v>1</v>
      </c>
      <c r="J630" s="26" t="n">
        <v>0</v>
      </c>
      <c r="K630" s="26" t="n">
        <v>0</v>
      </c>
      <c r="L630" s="26" t="n">
        <v>0</v>
      </c>
      <c r="M630" s="26" t="n">
        <v>0</v>
      </c>
      <c r="N630" s="26" t="n">
        <v>0</v>
      </c>
      <c r="O630" s="26" t="n">
        <v>0</v>
      </c>
      <c r="P630" s="26" t="n">
        <v>0</v>
      </c>
      <c r="Q630" s="26" t="n">
        <v>0</v>
      </c>
      <c r="R630" s="26" t="n">
        <v>1</v>
      </c>
      <c r="S630" s="26" t="n">
        <v>0</v>
      </c>
      <c r="T630" s="26" t="n">
        <v>10</v>
      </c>
      <c r="U630" s="26" t="n">
        <v>0</v>
      </c>
    </row>
    <row r="631" customFormat="false" ht="15" hidden="false" customHeight="true" outlineLevel="0" collapsed="false">
      <c r="A631" s="8" t="s">
        <v>944</v>
      </c>
      <c r="B631" s="8" t="s">
        <v>192</v>
      </c>
      <c r="C631" s="8" t="s">
        <v>487</v>
      </c>
      <c r="D631" s="26" t="n">
        <v>0</v>
      </c>
      <c r="E631" s="26" t="n">
        <v>0</v>
      </c>
      <c r="F631" s="26" t="n">
        <v>2</v>
      </c>
      <c r="G631" s="26" t="n">
        <v>0</v>
      </c>
      <c r="H631" s="26" t="n">
        <v>0</v>
      </c>
      <c r="I631" s="26" t="n">
        <v>0</v>
      </c>
      <c r="J631" s="26" t="n">
        <v>0</v>
      </c>
      <c r="K631" s="26" t="n">
        <v>0</v>
      </c>
      <c r="L631" s="26" t="n">
        <v>0</v>
      </c>
      <c r="M631" s="26" t="n">
        <v>0</v>
      </c>
      <c r="N631" s="26" t="n">
        <v>0</v>
      </c>
      <c r="O631" s="26" t="n">
        <v>0</v>
      </c>
      <c r="P631" s="26" t="n">
        <v>0</v>
      </c>
      <c r="Q631" s="26" t="n">
        <v>0</v>
      </c>
      <c r="R631" s="26" t="n">
        <v>0</v>
      </c>
      <c r="S631" s="26" t="n">
        <v>0</v>
      </c>
      <c r="T631" s="26" t="n">
        <v>0</v>
      </c>
      <c r="U631" s="26" t="n">
        <v>0</v>
      </c>
    </row>
    <row r="632" customFormat="false" ht="15" hidden="false" customHeight="true" outlineLevel="0" collapsed="false">
      <c r="A632" s="8" t="s">
        <v>944</v>
      </c>
      <c r="B632" s="8" t="s">
        <v>317</v>
      </c>
      <c r="C632" s="8" t="s">
        <v>488</v>
      </c>
      <c r="D632" s="26" t="n">
        <v>0</v>
      </c>
      <c r="E632" s="26" t="n">
        <v>0</v>
      </c>
      <c r="F632" s="26" t="n">
        <v>2</v>
      </c>
      <c r="G632" s="26" t="n">
        <v>0</v>
      </c>
      <c r="H632" s="26" t="n">
        <v>0</v>
      </c>
      <c r="I632" s="26" t="n">
        <v>0</v>
      </c>
      <c r="J632" s="26" t="n">
        <v>0</v>
      </c>
      <c r="K632" s="26" t="n">
        <v>0</v>
      </c>
      <c r="L632" s="26" t="n">
        <v>0</v>
      </c>
      <c r="M632" s="26" t="n">
        <v>0</v>
      </c>
      <c r="N632" s="26" t="n">
        <v>0</v>
      </c>
      <c r="O632" s="26" t="n">
        <v>0</v>
      </c>
      <c r="P632" s="26" t="n">
        <v>0</v>
      </c>
      <c r="Q632" s="26" t="n">
        <v>0</v>
      </c>
      <c r="R632" s="26" t="n">
        <v>0</v>
      </c>
      <c r="S632" s="26" t="n">
        <v>0</v>
      </c>
      <c r="T632" s="26" t="n">
        <v>0</v>
      </c>
      <c r="U632" s="26" t="n">
        <v>0</v>
      </c>
    </row>
    <row r="633" customFormat="false" ht="15" hidden="false" customHeight="true" outlineLevel="0" collapsed="false">
      <c r="A633" s="8" t="s">
        <v>944</v>
      </c>
      <c r="B633" s="8" t="s">
        <v>388</v>
      </c>
      <c r="C633" s="8" t="s">
        <v>488</v>
      </c>
      <c r="D633" s="26" t="n">
        <v>0</v>
      </c>
      <c r="E633" s="26" t="n">
        <v>0</v>
      </c>
      <c r="F633" s="26" t="n">
        <v>0</v>
      </c>
      <c r="G633" s="26" t="n">
        <v>0</v>
      </c>
      <c r="H633" s="26" t="n">
        <v>0</v>
      </c>
      <c r="I633" s="26" t="n">
        <v>-1</v>
      </c>
      <c r="J633" s="26" t="n">
        <v>0</v>
      </c>
      <c r="K633" s="26" t="n">
        <v>0</v>
      </c>
      <c r="L633" s="26" t="n">
        <v>0</v>
      </c>
      <c r="M633" s="26" t="n">
        <v>0</v>
      </c>
      <c r="N633" s="26" t="n">
        <v>0</v>
      </c>
      <c r="O633" s="26" t="n">
        <v>0</v>
      </c>
      <c r="P633" s="26" t="n">
        <v>0</v>
      </c>
      <c r="Q633" s="26" t="n">
        <v>-1</v>
      </c>
      <c r="R633" s="26" t="n">
        <v>0</v>
      </c>
      <c r="S633" s="26" t="n">
        <v>0</v>
      </c>
      <c r="T633" s="26" t="n">
        <v>0</v>
      </c>
      <c r="U633" s="26" t="n">
        <v>0</v>
      </c>
    </row>
    <row r="634" customFormat="false" ht="15" hidden="false" customHeight="true" outlineLevel="0" collapsed="false">
      <c r="A634" s="8" t="s">
        <v>944</v>
      </c>
      <c r="B634" s="8" t="s">
        <v>319</v>
      </c>
      <c r="C634" s="8" t="s">
        <v>488</v>
      </c>
      <c r="D634" s="26" t="n">
        <v>0</v>
      </c>
      <c r="E634" s="26" t="n">
        <v>0</v>
      </c>
      <c r="F634" s="26" t="n">
        <v>1</v>
      </c>
      <c r="G634" s="26" t="n">
        <v>0</v>
      </c>
      <c r="H634" s="26" t="n">
        <v>0</v>
      </c>
      <c r="I634" s="26" t="n">
        <v>0</v>
      </c>
      <c r="J634" s="26" t="n">
        <v>0</v>
      </c>
      <c r="K634" s="26" t="n">
        <v>0</v>
      </c>
      <c r="L634" s="26" t="n">
        <v>0</v>
      </c>
      <c r="M634" s="26" t="n">
        <v>0</v>
      </c>
      <c r="N634" s="26" t="n">
        <v>0</v>
      </c>
      <c r="O634" s="26" t="n">
        <v>0</v>
      </c>
      <c r="P634" s="26" t="n">
        <v>0</v>
      </c>
      <c r="Q634" s="26" t="n">
        <v>0</v>
      </c>
      <c r="R634" s="26" t="n">
        <v>0</v>
      </c>
      <c r="S634" s="26" t="n">
        <v>0</v>
      </c>
      <c r="T634" s="26" t="n">
        <v>0</v>
      </c>
      <c r="U634" s="26" t="n">
        <v>0</v>
      </c>
    </row>
    <row r="635" customFormat="false" ht="15" hidden="false" customHeight="true" outlineLevel="0" collapsed="false">
      <c r="A635" s="8" t="s">
        <v>944</v>
      </c>
      <c r="B635" s="8" t="s">
        <v>208</v>
      </c>
      <c r="C635" s="8" t="s">
        <v>490</v>
      </c>
      <c r="D635" s="26" t="n">
        <v>0</v>
      </c>
      <c r="E635" s="26" t="n">
        <v>0</v>
      </c>
      <c r="F635" s="26" t="n">
        <v>11</v>
      </c>
      <c r="G635" s="26" t="n">
        <v>0</v>
      </c>
      <c r="H635" s="26" t="n">
        <v>0</v>
      </c>
      <c r="I635" s="26" t="n">
        <v>-31</v>
      </c>
      <c r="J635" s="26" t="n">
        <v>0</v>
      </c>
      <c r="K635" s="26" t="n">
        <v>0</v>
      </c>
      <c r="L635" s="26" t="n">
        <v>0</v>
      </c>
      <c r="M635" s="26" t="n">
        <v>0</v>
      </c>
      <c r="N635" s="26" t="n">
        <v>0</v>
      </c>
      <c r="O635" s="26" t="n">
        <v>0</v>
      </c>
      <c r="P635" s="26" t="n">
        <v>-6</v>
      </c>
      <c r="Q635" s="26" t="n">
        <v>-25</v>
      </c>
      <c r="R635" s="26" t="n">
        <v>0</v>
      </c>
      <c r="S635" s="26" t="n">
        <v>0</v>
      </c>
      <c r="T635" s="26" t="n">
        <v>0</v>
      </c>
      <c r="U635" s="26" t="n">
        <v>0</v>
      </c>
    </row>
    <row r="636" customFormat="false" ht="15" hidden="false" customHeight="true" outlineLevel="0" collapsed="false">
      <c r="A636" s="8" t="s">
        <v>944</v>
      </c>
      <c r="B636" s="8" t="s">
        <v>234</v>
      </c>
      <c r="C636" s="8" t="s">
        <v>491</v>
      </c>
      <c r="D636" s="26" t="n">
        <v>0</v>
      </c>
      <c r="E636" s="26" t="n">
        <v>0</v>
      </c>
      <c r="F636" s="26" t="n">
        <v>1</v>
      </c>
      <c r="G636" s="26" t="n">
        <v>0</v>
      </c>
      <c r="H636" s="26" t="n">
        <v>0</v>
      </c>
      <c r="I636" s="26" t="n">
        <v>0</v>
      </c>
      <c r="J636" s="26" t="n">
        <v>0</v>
      </c>
      <c r="K636" s="26" t="n">
        <v>0</v>
      </c>
      <c r="L636" s="26" t="n">
        <v>0</v>
      </c>
      <c r="M636" s="26" t="n">
        <v>0</v>
      </c>
      <c r="N636" s="26" t="n">
        <v>0</v>
      </c>
      <c r="O636" s="26" t="n">
        <v>0</v>
      </c>
      <c r="P636" s="26" t="n">
        <v>0</v>
      </c>
      <c r="Q636" s="26" t="n">
        <v>-1</v>
      </c>
      <c r="R636" s="26" t="n">
        <v>1</v>
      </c>
      <c r="S636" s="26" t="n">
        <v>0</v>
      </c>
      <c r="T636" s="26" t="n">
        <v>0</v>
      </c>
      <c r="U636" s="26" t="n">
        <v>0</v>
      </c>
    </row>
    <row r="637" customFormat="false" ht="15" hidden="false" customHeight="true" outlineLevel="0" collapsed="false">
      <c r="A637" s="8" t="s">
        <v>944</v>
      </c>
      <c r="B637" s="8" t="s">
        <v>234</v>
      </c>
      <c r="C637" s="8" t="s">
        <v>492</v>
      </c>
      <c r="D637" s="26" t="n">
        <v>0</v>
      </c>
      <c r="E637" s="26" t="n">
        <v>0</v>
      </c>
      <c r="F637" s="26" t="n">
        <v>4</v>
      </c>
      <c r="G637" s="26" t="n">
        <v>0</v>
      </c>
      <c r="H637" s="26" t="n">
        <v>0</v>
      </c>
      <c r="I637" s="26" t="n">
        <v>4</v>
      </c>
      <c r="J637" s="26" t="n">
        <v>0</v>
      </c>
      <c r="K637" s="26" t="n">
        <v>0</v>
      </c>
      <c r="L637" s="26" t="n">
        <v>0</v>
      </c>
      <c r="M637" s="26" t="n">
        <v>0</v>
      </c>
      <c r="N637" s="26" t="n">
        <v>0</v>
      </c>
      <c r="O637" s="26" t="n">
        <v>0</v>
      </c>
      <c r="P637" s="26" t="n">
        <v>0</v>
      </c>
      <c r="Q637" s="26" t="n">
        <v>2</v>
      </c>
      <c r="R637" s="26" t="n">
        <v>2</v>
      </c>
      <c r="S637" s="26" t="n">
        <v>0</v>
      </c>
      <c r="T637" s="26" t="n">
        <v>0</v>
      </c>
      <c r="U637" s="26" t="n">
        <v>0</v>
      </c>
    </row>
    <row r="638" customFormat="false" ht="15" hidden="false" customHeight="true" outlineLevel="0" collapsed="false">
      <c r="A638" s="8" t="s">
        <v>944</v>
      </c>
      <c r="B638" s="8" t="s">
        <v>234</v>
      </c>
      <c r="C638" s="8" t="s">
        <v>493</v>
      </c>
      <c r="D638" s="26" t="n">
        <v>0</v>
      </c>
      <c r="E638" s="26" t="n">
        <v>0</v>
      </c>
      <c r="F638" s="26" t="n">
        <v>2</v>
      </c>
      <c r="G638" s="26" t="n">
        <v>0</v>
      </c>
      <c r="H638" s="26" t="n">
        <v>0</v>
      </c>
      <c r="I638" s="26" t="n">
        <v>7</v>
      </c>
      <c r="J638" s="26" t="n">
        <v>0</v>
      </c>
      <c r="K638" s="26" t="n">
        <v>0</v>
      </c>
      <c r="L638" s="26" t="n">
        <v>0</v>
      </c>
      <c r="M638" s="26" t="n">
        <v>0</v>
      </c>
      <c r="N638" s="26" t="n">
        <v>0</v>
      </c>
      <c r="O638" s="26" t="n">
        <v>0</v>
      </c>
      <c r="P638" s="26" t="n">
        <v>0</v>
      </c>
      <c r="Q638" s="26" t="n">
        <v>5</v>
      </c>
      <c r="R638" s="26" t="n">
        <v>2</v>
      </c>
      <c r="S638" s="26" t="n">
        <v>0</v>
      </c>
      <c r="T638" s="26" t="n">
        <v>0</v>
      </c>
      <c r="U638" s="26" t="n">
        <v>0</v>
      </c>
    </row>
    <row r="639" customFormat="false" ht="15" hidden="false" customHeight="true" outlineLevel="0" collapsed="false">
      <c r="A639" s="8" t="s">
        <v>944</v>
      </c>
      <c r="B639" s="8" t="s">
        <v>234</v>
      </c>
      <c r="C639" s="8" t="s">
        <v>494</v>
      </c>
      <c r="D639" s="26" t="n">
        <v>0</v>
      </c>
      <c r="E639" s="26" t="n">
        <v>0</v>
      </c>
      <c r="F639" s="26" t="n">
        <v>5</v>
      </c>
      <c r="G639" s="26" t="n">
        <v>0</v>
      </c>
      <c r="H639" s="26" t="n">
        <v>2</v>
      </c>
      <c r="I639" s="26" t="n">
        <v>5</v>
      </c>
      <c r="J639" s="26" t="n">
        <v>0</v>
      </c>
      <c r="K639" s="26" t="n">
        <v>0</v>
      </c>
      <c r="L639" s="26" t="n">
        <v>0</v>
      </c>
      <c r="M639" s="26" t="n">
        <v>0</v>
      </c>
      <c r="N639" s="26" t="n">
        <v>0</v>
      </c>
      <c r="O639" s="26" t="n">
        <v>0</v>
      </c>
      <c r="P639" s="26" t="n">
        <v>0</v>
      </c>
      <c r="Q639" s="26" t="n">
        <v>3</v>
      </c>
      <c r="R639" s="26" t="n">
        <v>2</v>
      </c>
      <c r="S639" s="26" t="n">
        <v>0</v>
      </c>
      <c r="T639" s="26" t="n">
        <v>0</v>
      </c>
      <c r="U639" s="26" t="n">
        <v>0</v>
      </c>
    </row>
    <row r="640" customFormat="false" ht="15" hidden="false" customHeight="true" outlineLevel="0" collapsed="false">
      <c r="A640" s="8" t="s">
        <v>944</v>
      </c>
      <c r="B640" s="8" t="s">
        <v>234</v>
      </c>
      <c r="C640" s="8" t="s">
        <v>495</v>
      </c>
      <c r="D640" s="26" t="n">
        <v>0</v>
      </c>
      <c r="E640" s="26" t="n">
        <v>0</v>
      </c>
      <c r="F640" s="26" t="n">
        <v>4</v>
      </c>
      <c r="G640" s="26" t="n">
        <v>0</v>
      </c>
      <c r="H640" s="26" t="n">
        <v>1</v>
      </c>
      <c r="I640" s="26" t="n">
        <v>0</v>
      </c>
      <c r="J640" s="26" t="n">
        <v>0</v>
      </c>
      <c r="K640" s="26" t="n">
        <v>0</v>
      </c>
      <c r="L640" s="26" t="n">
        <v>0</v>
      </c>
      <c r="M640" s="26" t="n">
        <v>0</v>
      </c>
      <c r="N640" s="26" t="n">
        <v>0</v>
      </c>
      <c r="O640" s="26" t="n">
        <v>0</v>
      </c>
      <c r="P640" s="26" t="n">
        <v>-1</v>
      </c>
      <c r="Q640" s="26" t="n">
        <v>-1</v>
      </c>
      <c r="R640" s="26" t="n">
        <v>2</v>
      </c>
      <c r="S640" s="26" t="n">
        <v>0</v>
      </c>
      <c r="T640" s="26" t="n">
        <v>0</v>
      </c>
      <c r="U640" s="26" t="n">
        <v>0</v>
      </c>
    </row>
    <row r="641" customFormat="false" ht="15" hidden="false" customHeight="true" outlineLevel="0" collapsed="false">
      <c r="A641" s="8" t="s">
        <v>944</v>
      </c>
      <c r="B641" s="8" t="s">
        <v>214</v>
      </c>
      <c r="C641" s="8" t="s">
        <v>496</v>
      </c>
      <c r="D641" s="26" t="n">
        <v>0</v>
      </c>
      <c r="E641" s="26" t="n">
        <v>0</v>
      </c>
      <c r="F641" s="26" t="n">
        <v>60</v>
      </c>
      <c r="G641" s="26" t="n">
        <v>0</v>
      </c>
      <c r="H641" s="26" t="n">
        <v>0</v>
      </c>
      <c r="I641" s="26" t="n">
        <v>136</v>
      </c>
      <c r="J641" s="26" t="n">
        <v>0</v>
      </c>
      <c r="K641" s="26" t="n">
        <v>10</v>
      </c>
      <c r="L641" s="26" t="n">
        <v>0</v>
      </c>
      <c r="M641" s="26" t="n">
        <v>0</v>
      </c>
      <c r="N641" s="26" t="n">
        <v>1</v>
      </c>
      <c r="O641" s="26" t="n">
        <v>0</v>
      </c>
      <c r="P641" s="26" t="n">
        <v>-1</v>
      </c>
      <c r="Q641" s="26" t="n">
        <v>108</v>
      </c>
      <c r="R641" s="26" t="n">
        <v>18</v>
      </c>
      <c r="S641" s="26" t="n">
        <v>0</v>
      </c>
      <c r="T641" s="26" t="n">
        <v>0</v>
      </c>
      <c r="U641" s="26" t="n">
        <v>0</v>
      </c>
    </row>
    <row r="642" customFormat="false" ht="15" hidden="false" customHeight="true" outlineLevel="0" collapsed="false">
      <c r="A642" s="8" t="s">
        <v>944</v>
      </c>
      <c r="B642" s="8" t="s">
        <v>214</v>
      </c>
      <c r="C642" s="8" t="s">
        <v>497</v>
      </c>
      <c r="D642" s="26" t="n">
        <v>0</v>
      </c>
      <c r="E642" s="26" t="n">
        <v>0</v>
      </c>
      <c r="F642" s="26" t="n">
        <v>60</v>
      </c>
      <c r="G642" s="26" t="n">
        <v>0</v>
      </c>
      <c r="H642" s="26" t="n">
        <v>0</v>
      </c>
      <c r="I642" s="26" t="n">
        <v>99</v>
      </c>
      <c r="J642" s="26" t="n">
        <v>0</v>
      </c>
      <c r="K642" s="26" t="n">
        <v>2</v>
      </c>
      <c r="L642" s="26" t="n">
        <v>0</v>
      </c>
      <c r="M642" s="26" t="n">
        <v>0</v>
      </c>
      <c r="N642" s="26" t="n">
        <v>1</v>
      </c>
      <c r="O642" s="26" t="n">
        <v>1</v>
      </c>
      <c r="P642" s="26" t="n">
        <v>-1</v>
      </c>
      <c r="Q642" s="26" t="n">
        <v>77</v>
      </c>
      <c r="R642" s="26" t="n">
        <v>19</v>
      </c>
      <c r="S642" s="26" t="n">
        <v>0</v>
      </c>
      <c r="T642" s="26" t="n">
        <v>0</v>
      </c>
      <c r="U642" s="26" t="n">
        <v>0</v>
      </c>
    </row>
    <row r="643" customFormat="false" ht="15" hidden="false" customHeight="true" outlineLevel="0" collapsed="false">
      <c r="A643" s="8" t="s">
        <v>944</v>
      </c>
      <c r="B643" s="8" t="s">
        <v>138</v>
      </c>
      <c r="C643" s="8" t="s">
        <v>498</v>
      </c>
      <c r="D643" s="26" t="n">
        <v>0</v>
      </c>
      <c r="E643" s="26" t="n">
        <v>0</v>
      </c>
      <c r="F643" s="26" t="n">
        <v>52</v>
      </c>
      <c r="G643" s="26" t="n">
        <v>0</v>
      </c>
      <c r="H643" s="26" t="n">
        <v>0</v>
      </c>
      <c r="I643" s="26" t="n">
        <v>58</v>
      </c>
      <c r="J643" s="26" t="n">
        <v>0</v>
      </c>
      <c r="K643" s="26" t="n">
        <v>0</v>
      </c>
      <c r="L643" s="26" t="n">
        <v>0</v>
      </c>
      <c r="M643" s="26" t="n">
        <v>0</v>
      </c>
      <c r="N643" s="26" t="n">
        <v>0</v>
      </c>
      <c r="O643" s="26" t="n">
        <v>0</v>
      </c>
      <c r="P643" s="26" t="n">
        <v>0</v>
      </c>
      <c r="Q643" s="26" t="n">
        <v>58</v>
      </c>
      <c r="R643" s="26" t="n">
        <v>0</v>
      </c>
      <c r="S643" s="26" t="n">
        <v>0</v>
      </c>
      <c r="T643" s="26" t="n">
        <v>0</v>
      </c>
      <c r="U643" s="26" t="n">
        <v>-20</v>
      </c>
    </row>
    <row r="644" customFormat="false" ht="15" hidden="false" customHeight="true" outlineLevel="0" collapsed="false">
      <c r="A644" s="8" t="s">
        <v>944</v>
      </c>
      <c r="B644" s="8" t="s">
        <v>138</v>
      </c>
      <c r="C644" s="8" t="s">
        <v>499</v>
      </c>
      <c r="D644" s="26" t="n">
        <v>0</v>
      </c>
      <c r="E644" s="26" t="n">
        <v>0</v>
      </c>
      <c r="F644" s="26" t="n">
        <v>37</v>
      </c>
      <c r="G644" s="26" t="n">
        <v>0</v>
      </c>
      <c r="H644" s="26" t="n">
        <v>0</v>
      </c>
      <c r="I644" s="26" t="n">
        <v>60</v>
      </c>
      <c r="J644" s="26" t="n">
        <v>0</v>
      </c>
      <c r="K644" s="26" t="n">
        <v>0</v>
      </c>
      <c r="L644" s="26" t="n">
        <v>0</v>
      </c>
      <c r="M644" s="26" t="n">
        <v>0</v>
      </c>
      <c r="N644" s="26" t="n">
        <v>0</v>
      </c>
      <c r="O644" s="26" t="n">
        <v>0</v>
      </c>
      <c r="P644" s="26" t="n">
        <v>0</v>
      </c>
      <c r="Q644" s="26" t="n">
        <v>60</v>
      </c>
      <c r="R644" s="26" t="n">
        <v>0</v>
      </c>
      <c r="S644" s="26" t="n">
        <v>0</v>
      </c>
      <c r="T644" s="26" t="n">
        <v>0</v>
      </c>
      <c r="U644" s="26" t="n">
        <v>0</v>
      </c>
    </row>
    <row r="645" customFormat="false" ht="15" hidden="false" customHeight="true" outlineLevel="0" collapsed="false">
      <c r="A645" s="8" t="s">
        <v>944</v>
      </c>
      <c r="B645" s="8" t="s">
        <v>96</v>
      </c>
      <c r="C645" s="8" t="s">
        <v>500</v>
      </c>
      <c r="D645" s="26" t="n">
        <v>0</v>
      </c>
      <c r="E645" s="26" t="n">
        <v>0</v>
      </c>
      <c r="F645" s="26" t="n">
        <v>295</v>
      </c>
      <c r="G645" s="26" t="n">
        <v>0</v>
      </c>
      <c r="H645" s="26" t="n">
        <v>0</v>
      </c>
      <c r="I645" s="26" t="n">
        <v>3578</v>
      </c>
      <c r="J645" s="26" t="n">
        <v>0</v>
      </c>
      <c r="K645" s="26" t="n">
        <v>13</v>
      </c>
      <c r="L645" s="26" t="n">
        <v>0</v>
      </c>
      <c r="M645" s="26" t="n">
        <v>3</v>
      </c>
      <c r="N645" s="26" t="n">
        <v>2</v>
      </c>
      <c r="O645" s="26" t="n">
        <v>6</v>
      </c>
      <c r="P645" s="26" t="n">
        <v>-5</v>
      </c>
      <c r="Q645" s="26" t="n">
        <v>3316</v>
      </c>
      <c r="R645" s="26" t="n">
        <v>243</v>
      </c>
      <c r="S645" s="26" t="n">
        <v>0</v>
      </c>
      <c r="T645" s="26" t="n">
        <v>0</v>
      </c>
      <c r="U645" s="26" t="n">
        <v>-1</v>
      </c>
    </row>
    <row r="646" customFormat="false" ht="15" hidden="false" customHeight="true" outlineLevel="0" collapsed="false">
      <c r="A646" s="8" t="s">
        <v>944</v>
      </c>
      <c r="B646" s="8" t="s">
        <v>125</v>
      </c>
      <c r="C646" s="8" t="s">
        <v>500</v>
      </c>
      <c r="D646" s="26" t="n">
        <v>0</v>
      </c>
      <c r="E646" s="26" t="n">
        <v>0</v>
      </c>
      <c r="F646" s="26" t="n">
        <v>338</v>
      </c>
      <c r="G646" s="26" t="n">
        <v>0</v>
      </c>
      <c r="H646" s="26" t="n">
        <v>0</v>
      </c>
      <c r="I646" s="26" t="n">
        <v>4378</v>
      </c>
      <c r="J646" s="26" t="n">
        <v>0</v>
      </c>
      <c r="K646" s="26" t="n">
        <v>22</v>
      </c>
      <c r="L646" s="26" t="n">
        <v>0</v>
      </c>
      <c r="M646" s="26" t="n">
        <v>5</v>
      </c>
      <c r="N646" s="26" t="n">
        <v>3</v>
      </c>
      <c r="O646" s="26" t="n">
        <v>6</v>
      </c>
      <c r="P646" s="26" t="n">
        <v>-3</v>
      </c>
      <c r="Q646" s="26" t="n">
        <v>4087</v>
      </c>
      <c r="R646" s="26" t="n">
        <v>258</v>
      </c>
      <c r="S646" s="26" t="n">
        <v>3</v>
      </c>
      <c r="T646" s="26" t="n">
        <v>0</v>
      </c>
      <c r="U646" s="26" t="n">
        <v>-2</v>
      </c>
    </row>
    <row r="647" customFormat="false" ht="15" hidden="false" customHeight="true" outlineLevel="0" collapsed="false">
      <c r="A647" s="8" t="s">
        <v>944</v>
      </c>
      <c r="B647" s="8" t="s">
        <v>296</v>
      </c>
      <c r="C647" s="8" t="s">
        <v>953</v>
      </c>
      <c r="D647" s="26" t="n">
        <v>0</v>
      </c>
      <c r="E647" s="26" t="n">
        <v>0</v>
      </c>
      <c r="F647" s="26" t="n">
        <v>0</v>
      </c>
      <c r="G647" s="26" t="n">
        <v>0</v>
      </c>
      <c r="H647" s="26" t="n">
        <v>0</v>
      </c>
      <c r="I647" s="26" t="n">
        <v>-2</v>
      </c>
      <c r="J647" s="26" t="n">
        <v>0</v>
      </c>
      <c r="K647" s="26" t="n">
        <v>0</v>
      </c>
      <c r="L647" s="26" t="n">
        <v>0</v>
      </c>
      <c r="M647" s="26" t="n">
        <v>0</v>
      </c>
      <c r="N647" s="26" t="n">
        <v>0</v>
      </c>
      <c r="O647" s="26" t="n">
        <v>0</v>
      </c>
      <c r="P647" s="26" t="n">
        <v>-1</v>
      </c>
      <c r="Q647" s="26" t="n">
        <v>-1</v>
      </c>
      <c r="R647" s="26" t="n">
        <v>0</v>
      </c>
      <c r="S647" s="26" t="n">
        <v>0</v>
      </c>
      <c r="T647" s="26" t="n">
        <v>0</v>
      </c>
      <c r="U647" s="26" t="n">
        <v>0</v>
      </c>
    </row>
    <row r="648" customFormat="false" ht="15" hidden="false" customHeight="true" outlineLevel="0" collapsed="false">
      <c r="A648" s="8" t="s">
        <v>944</v>
      </c>
      <c r="B648" s="8" t="s">
        <v>137</v>
      </c>
      <c r="C648" s="8" t="s">
        <v>503</v>
      </c>
      <c r="D648" s="26" t="n">
        <v>0</v>
      </c>
      <c r="E648" s="26" t="n">
        <v>0</v>
      </c>
      <c r="F648" s="26" t="n">
        <v>1</v>
      </c>
      <c r="G648" s="26" t="n">
        <v>0</v>
      </c>
      <c r="H648" s="26" t="n">
        <v>0</v>
      </c>
      <c r="I648" s="26" t="n">
        <v>0</v>
      </c>
      <c r="J648" s="26" t="n">
        <v>0</v>
      </c>
      <c r="K648" s="26" t="n">
        <v>0</v>
      </c>
      <c r="L648" s="26" t="n">
        <v>0</v>
      </c>
      <c r="M648" s="26" t="n">
        <v>0</v>
      </c>
      <c r="N648" s="26" t="n">
        <v>0</v>
      </c>
      <c r="O648" s="26" t="n">
        <v>0</v>
      </c>
      <c r="P648" s="26" t="n">
        <v>0</v>
      </c>
      <c r="Q648" s="26" t="n">
        <v>0</v>
      </c>
      <c r="R648" s="26" t="n">
        <v>0</v>
      </c>
      <c r="S648" s="26" t="n">
        <v>0</v>
      </c>
      <c r="T648" s="26" t="n">
        <v>0</v>
      </c>
      <c r="U648" s="26" t="n">
        <v>0</v>
      </c>
    </row>
    <row r="649" customFormat="false" ht="15" hidden="false" customHeight="true" outlineLevel="0" collapsed="false">
      <c r="A649" s="8" t="s">
        <v>944</v>
      </c>
      <c r="B649" s="8" t="s">
        <v>137</v>
      </c>
      <c r="C649" s="8" t="s">
        <v>504</v>
      </c>
      <c r="D649" s="26" t="n">
        <v>0</v>
      </c>
      <c r="E649" s="26" t="n">
        <v>0</v>
      </c>
      <c r="F649" s="26" t="n">
        <v>6</v>
      </c>
      <c r="G649" s="26" t="n">
        <v>0</v>
      </c>
      <c r="H649" s="26" t="n">
        <v>0</v>
      </c>
      <c r="I649" s="26" t="n">
        <v>14</v>
      </c>
      <c r="J649" s="26" t="n">
        <v>0</v>
      </c>
      <c r="K649" s="26" t="n">
        <v>0</v>
      </c>
      <c r="L649" s="26" t="n">
        <v>0</v>
      </c>
      <c r="M649" s="26" t="n">
        <v>0</v>
      </c>
      <c r="N649" s="26" t="n">
        <v>0</v>
      </c>
      <c r="O649" s="26" t="n">
        <v>0</v>
      </c>
      <c r="P649" s="26" t="n">
        <v>0</v>
      </c>
      <c r="Q649" s="26" t="n">
        <v>14</v>
      </c>
      <c r="R649" s="26" t="n">
        <v>0</v>
      </c>
      <c r="S649" s="26" t="n">
        <v>0</v>
      </c>
      <c r="T649" s="26" t="n">
        <v>0</v>
      </c>
      <c r="U649" s="26" t="n">
        <v>0</v>
      </c>
    </row>
    <row r="650" customFormat="false" ht="15" hidden="false" customHeight="true" outlineLevel="0" collapsed="false">
      <c r="A650" s="8" t="s">
        <v>944</v>
      </c>
      <c r="B650" s="8" t="s">
        <v>137</v>
      </c>
      <c r="C650" s="8" t="s">
        <v>505</v>
      </c>
      <c r="D650" s="26" t="n">
        <v>0</v>
      </c>
      <c r="E650" s="26" t="n">
        <v>0</v>
      </c>
      <c r="F650" s="26" t="n">
        <v>10</v>
      </c>
      <c r="G650" s="26" t="n">
        <v>0</v>
      </c>
      <c r="H650" s="26" t="n">
        <v>0</v>
      </c>
      <c r="I650" s="26" t="n">
        <v>24</v>
      </c>
      <c r="J650" s="26" t="n">
        <v>0</v>
      </c>
      <c r="K650" s="26" t="n">
        <v>0</v>
      </c>
      <c r="L650" s="26" t="n">
        <v>0</v>
      </c>
      <c r="M650" s="26" t="n">
        <v>0</v>
      </c>
      <c r="N650" s="26" t="n">
        <v>0</v>
      </c>
      <c r="O650" s="26" t="n">
        <v>0</v>
      </c>
      <c r="P650" s="26" t="n">
        <v>-1</v>
      </c>
      <c r="Q650" s="26" t="n">
        <v>0</v>
      </c>
      <c r="R650" s="26" t="n">
        <v>25</v>
      </c>
      <c r="S650" s="26" t="n">
        <v>0</v>
      </c>
      <c r="T650" s="26" t="n">
        <v>0</v>
      </c>
      <c r="U650" s="26" t="n">
        <v>0</v>
      </c>
    </row>
    <row r="651" customFormat="false" ht="15" hidden="false" customHeight="true" outlineLevel="0" collapsed="false">
      <c r="A651" s="8" t="s">
        <v>944</v>
      </c>
      <c r="B651" s="8" t="s">
        <v>137</v>
      </c>
      <c r="C651" s="8" t="s">
        <v>506</v>
      </c>
      <c r="D651" s="26" t="n">
        <v>0</v>
      </c>
      <c r="E651" s="26" t="n">
        <v>0</v>
      </c>
      <c r="F651" s="26" t="n">
        <v>9</v>
      </c>
      <c r="G651" s="26" t="n">
        <v>0</v>
      </c>
      <c r="H651" s="26" t="n">
        <v>0</v>
      </c>
      <c r="I651" s="26" t="n">
        <v>0</v>
      </c>
      <c r="J651" s="26" t="n">
        <v>0</v>
      </c>
      <c r="K651" s="26" t="n">
        <v>0</v>
      </c>
      <c r="L651" s="26" t="n">
        <v>0</v>
      </c>
      <c r="M651" s="26" t="n">
        <v>0</v>
      </c>
      <c r="N651" s="26" t="n">
        <v>0</v>
      </c>
      <c r="O651" s="26" t="n">
        <v>0</v>
      </c>
      <c r="P651" s="26" t="n">
        <v>0</v>
      </c>
      <c r="Q651" s="26" t="n">
        <v>0</v>
      </c>
      <c r="R651" s="26" t="n">
        <v>0</v>
      </c>
      <c r="S651" s="26" t="n">
        <v>0</v>
      </c>
      <c r="T651" s="26" t="n">
        <v>0</v>
      </c>
      <c r="U651" s="26" t="n">
        <v>0</v>
      </c>
    </row>
    <row r="652" customFormat="false" ht="15" hidden="false" customHeight="true" outlineLevel="0" collapsed="false">
      <c r="A652" s="8" t="s">
        <v>944</v>
      </c>
      <c r="B652" s="8" t="s">
        <v>273</v>
      </c>
      <c r="C652" s="8" t="s">
        <v>507</v>
      </c>
      <c r="D652" s="26" t="n">
        <v>0</v>
      </c>
      <c r="E652" s="26" t="n">
        <v>0</v>
      </c>
      <c r="F652" s="26" t="n">
        <v>1</v>
      </c>
      <c r="G652" s="26" t="n">
        <v>0</v>
      </c>
      <c r="H652" s="26" t="n">
        <v>0</v>
      </c>
      <c r="I652" s="26" t="n">
        <v>0</v>
      </c>
      <c r="J652" s="26" t="n">
        <v>0</v>
      </c>
      <c r="K652" s="26" t="n">
        <v>0</v>
      </c>
      <c r="L652" s="26" t="n">
        <v>0</v>
      </c>
      <c r="M652" s="26" t="n">
        <v>0</v>
      </c>
      <c r="N652" s="26" t="n">
        <v>0</v>
      </c>
      <c r="O652" s="26" t="n">
        <v>0</v>
      </c>
      <c r="P652" s="26" t="n">
        <v>0</v>
      </c>
      <c r="Q652" s="26" t="n">
        <v>0</v>
      </c>
      <c r="R652" s="26" t="n">
        <v>0</v>
      </c>
      <c r="S652" s="26" t="n">
        <v>0</v>
      </c>
      <c r="T652" s="26" t="n">
        <v>0</v>
      </c>
      <c r="U652" s="26" t="n">
        <v>0</v>
      </c>
    </row>
    <row r="653" customFormat="false" ht="15" hidden="false" customHeight="true" outlineLevel="0" collapsed="false">
      <c r="A653" s="8" t="s">
        <v>944</v>
      </c>
      <c r="B653" s="8" t="s">
        <v>273</v>
      </c>
      <c r="C653" s="8" t="s">
        <v>508</v>
      </c>
      <c r="D653" s="26" t="n">
        <v>0</v>
      </c>
      <c r="E653" s="26" t="n">
        <v>0</v>
      </c>
      <c r="F653" s="26" t="n">
        <v>1</v>
      </c>
      <c r="G653" s="26" t="n">
        <v>0</v>
      </c>
      <c r="H653" s="26" t="n">
        <v>0</v>
      </c>
      <c r="I653" s="26" t="n">
        <v>0</v>
      </c>
      <c r="J653" s="26" t="n">
        <v>0</v>
      </c>
      <c r="K653" s="26" t="n">
        <v>0</v>
      </c>
      <c r="L653" s="26" t="n">
        <v>0</v>
      </c>
      <c r="M653" s="26" t="n">
        <v>0</v>
      </c>
      <c r="N653" s="26" t="n">
        <v>0</v>
      </c>
      <c r="O653" s="26" t="n">
        <v>0</v>
      </c>
      <c r="P653" s="26" t="n">
        <v>0</v>
      </c>
      <c r="Q653" s="26" t="n">
        <v>0</v>
      </c>
      <c r="R653" s="26" t="n">
        <v>0</v>
      </c>
      <c r="S653" s="26" t="n">
        <v>0</v>
      </c>
      <c r="T653" s="26" t="n">
        <v>0</v>
      </c>
      <c r="U653" s="26" t="n">
        <v>0</v>
      </c>
    </row>
    <row r="654" customFormat="false" ht="15" hidden="false" customHeight="true" outlineLevel="0" collapsed="false">
      <c r="A654" s="8" t="s">
        <v>944</v>
      </c>
      <c r="B654" s="8" t="s">
        <v>320</v>
      </c>
      <c r="C654" s="8" t="s">
        <v>954</v>
      </c>
      <c r="D654" s="26" t="n">
        <v>0</v>
      </c>
      <c r="E654" s="26" t="n">
        <v>0</v>
      </c>
      <c r="F654" s="26" t="n">
        <v>-1</v>
      </c>
      <c r="G654" s="26" t="n">
        <v>0</v>
      </c>
      <c r="H654" s="26" t="n">
        <v>0</v>
      </c>
      <c r="I654" s="26" t="n">
        <v>0</v>
      </c>
      <c r="J654" s="26" t="n">
        <v>0</v>
      </c>
      <c r="K654" s="26" t="n">
        <v>0</v>
      </c>
      <c r="L654" s="26" t="n">
        <v>0</v>
      </c>
      <c r="M654" s="26" t="n">
        <v>0</v>
      </c>
      <c r="N654" s="26" t="n">
        <v>0</v>
      </c>
      <c r="O654" s="26" t="n">
        <v>0</v>
      </c>
      <c r="P654" s="26" t="n">
        <v>0</v>
      </c>
      <c r="Q654" s="26" t="n">
        <v>0</v>
      </c>
      <c r="R654" s="26" t="n">
        <v>0</v>
      </c>
      <c r="S654" s="26" t="n">
        <v>0</v>
      </c>
      <c r="T654" s="26" t="n">
        <v>0</v>
      </c>
      <c r="U654" s="26" t="n">
        <v>0</v>
      </c>
    </row>
    <row r="655" customFormat="false" ht="15" hidden="false" customHeight="true" outlineLevel="0" collapsed="false">
      <c r="A655" s="8" t="s">
        <v>944</v>
      </c>
      <c r="B655" s="8" t="s">
        <v>320</v>
      </c>
      <c r="C655" s="8" t="s">
        <v>955</v>
      </c>
      <c r="D655" s="26" t="n">
        <v>0</v>
      </c>
      <c r="E655" s="26" t="n">
        <v>0</v>
      </c>
      <c r="F655" s="26" t="n">
        <v>1</v>
      </c>
      <c r="G655" s="26" t="n">
        <v>0</v>
      </c>
      <c r="H655" s="26" t="n">
        <v>0</v>
      </c>
      <c r="I655" s="26" t="n">
        <v>0</v>
      </c>
      <c r="J655" s="26" t="n">
        <v>0</v>
      </c>
      <c r="K655" s="26" t="n">
        <v>0</v>
      </c>
      <c r="L655" s="26" t="n">
        <v>0</v>
      </c>
      <c r="M655" s="26" t="n">
        <v>0</v>
      </c>
      <c r="N655" s="26" t="n">
        <v>0</v>
      </c>
      <c r="O655" s="26" t="n">
        <v>0</v>
      </c>
      <c r="P655" s="26" t="n">
        <v>0</v>
      </c>
      <c r="Q655" s="26" t="n">
        <v>0</v>
      </c>
      <c r="R655" s="26" t="n">
        <v>0</v>
      </c>
      <c r="S655" s="26" t="n">
        <v>0</v>
      </c>
      <c r="T655" s="26" t="n">
        <v>0</v>
      </c>
      <c r="U655" s="26" t="n">
        <v>0</v>
      </c>
    </row>
    <row r="656" customFormat="false" ht="15" hidden="false" customHeight="true" outlineLevel="0" collapsed="false">
      <c r="A656" s="8" t="s">
        <v>944</v>
      </c>
      <c r="B656" s="8" t="s">
        <v>137</v>
      </c>
      <c r="C656" s="8" t="s">
        <v>512</v>
      </c>
      <c r="D656" s="26" t="n">
        <v>0</v>
      </c>
      <c r="E656" s="26" t="n">
        <v>0</v>
      </c>
      <c r="F656" s="26" t="n">
        <v>18</v>
      </c>
      <c r="G656" s="26" t="n">
        <v>0</v>
      </c>
      <c r="H656" s="26" t="n">
        <v>0</v>
      </c>
      <c r="I656" s="26" t="n">
        <v>65</v>
      </c>
      <c r="J656" s="26" t="n">
        <v>0</v>
      </c>
      <c r="K656" s="26" t="n">
        <v>0</v>
      </c>
      <c r="L656" s="26" t="n">
        <v>0</v>
      </c>
      <c r="M656" s="26" t="n">
        <v>0</v>
      </c>
      <c r="N656" s="26" t="n">
        <v>0</v>
      </c>
      <c r="O656" s="26" t="n">
        <v>0</v>
      </c>
      <c r="P656" s="26" t="n">
        <v>-2</v>
      </c>
      <c r="Q656" s="26" t="n">
        <v>0</v>
      </c>
      <c r="R656" s="26" t="n">
        <v>67</v>
      </c>
      <c r="S656" s="26" t="n">
        <v>0</v>
      </c>
      <c r="T656" s="26" t="n">
        <v>0</v>
      </c>
      <c r="U656" s="26" t="n">
        <v>0</v>
      </c>
    </row>
    <row r="657" customFormat="false" ht="15" hidden="false" customHeight="true" outlineLevel="0" collapsed="false">
      <c r="A657" s="8" t="s">
        <v>944</v>
      </c>
      <c r="B657" s="8" t="s">
        <v>172</v>
      </c>
      <c r="C657" s="8" t="s">
        <v>513</v>
      </c>
      <c r="D657" s="26" t="n">
        <v>0</v>
      </c>
      <c r="E657" s="26" t="n">
        <v>0</v>
      </c>
      <c r="F657" s="26" t="n">
        <v>8</v>
      </c>
      <c r="G657" s="26" t="n">
        <v>0</v>
      </c>
      <c r="H657" s="26" t="n">
        <v>0</v>
      </c>
      <c r="I657" s="26" t="n">
        <v>0</v>
      </c>
      <c r="J657" s="26" t="n">
        <v>0</v>
      </c>
      <c r="K657" s="26" t="n">
        <v>0</v>
      </c>
      <c r="L657" s="26" t="n">
        <v>0</v>
      </c>
      <c r="M657" s="26" t="n">
        <v>0</v>
      </c>
      <c r="N657" s="26" t="n">
        <v>0</v>
      </c>
      <c r="O657" s="26" t="n">
        <v>0</v>
      </c>
      <c r="P657" s="26" t="n">
        <v>0</v>
      </c>
      <c r="Q657" s="26" t="n">
        <v>0</v>
      </c>
      <c r="R657" s="26" t="n">
        <v>0</v>
      </c>
      <c r="S657" s="26" t="n">
        <v>0</v>
      </c>
      <c r="T657" s="26" t="n">
        <v>0</v>
      </c>
      <c r="U657" s="26" t="n">
        <v>0</v>
      </c>
    </row>
    <row r="658" customFormat="false" ht="15" hidden="false" customHeight="true" outlineLevel="0" collapsed="false">
      <c r="A658" s="8" t="s">
        <v>944</v>
      </c>
      <c r="B658" s="8" t="s">
        <v>172</v>
      </c>
      <c r="C658" s="8" t="s">
        <v>514</v>
      </c>
      <c r="D658" s="26" t="n">
        <v>0</v>
      </c>
      <c r="E658" s="26" t="n">
        <v>0</v>
      </c>
      <c r="F658" s="26" t="n">
        <v>8</v>
      </c>
      <c r="G658" s="26" t="n">
        <v>0</v>
      </c>
      <c r="H658" s="26" t="n">
        <v>0</v>
      </c>
      <c r="I658" s="26" t="n">
        <v>0</v>
      </c>
      <c r="J658" s="26" t="n">
        <v>0</v>
      </c>
      <c r="K658" s="26" t="n">
        <v>0</v>
      </c>
      <c r="L658" s="26" t="n">
        <v>0</v>
      </c>
      <c r="M658" s="26" t="n">
        <v>0</v>
      </c>
      <c r="N658" s="26" t="n">
        <v>0</v>
      </c>
      <c r="O658" s="26" t="n">
        <v>0</v>
      </c>
      <c r="P658" s="26" t="n">
        <v>0</v>
      </c>
      <c r="Q658" s="26" t="n">
        <v>0</v>
      </c>
      <c r="R658" s="26" t="n">
        <v>0</v>
      </c>
      <c r="S658" s="26" t="n">
        <v>0</v>
      </c>
      <c r="T658" s="26" t="n">
        <v>0</v>
      </c>
      <c r="U658" s="26" t="n">
        <v>0</v>
      </c>
    </row>
    <row r="659" customFormat="false" ht="15" hidden="false" customHeight="true" outlineLevel="0" collapsed="false">
      <c r="A659" s="8" t="s">
        <v>944</v>
      </c>
      <c r="B659" s="8" t="s">
        <v>266</v>
      </c>
      <c r="C659" s="8" t="s">
        <v>518</v>
      </c>
      <c r="D659" s="26" t="n">
        <v>0</v>
      </c>
      <c r="E659" s="26" t="n">
        <v>0</v>
      </c>
      <c r="F659" s="26" t="n">
        <v>0</v>
      </c>
      <c r="G659" s="26" t="n">
        <v>0</v>
      </c>
      <c r="H659" s="26" t="n">
        <v>0</v>
      </c>
      <c r="I659" s="26" t="n">
        <v>1</v>
      </c>
      <c r="J659" s="26" t="n">
        <v>0</v>
      </c>
      <c r="K659" s="26" t="n">
        <v>0</v>
      </c>
      <c r="L659" s="26" t="n">
        <v>0</v>
      </c>
      <c r="M659" s="26" t="n">
        <v>0</v>
      </c>
      <c r="N659" s="26" t="n">
        <v>0</v>
      </c>
      <c r="O659" s="26" t="n">
        <v>0</v>
      </c>
      <c r="P659" s="26" t="n">
        <v>0</v>
      </c>
      <c r="Q659" s="26" t="n">
        <v>1</v>
      </c>
      <c r="R659" s="26" t="n">
        <v>0</v>
      </c>
      <c r="S659" s="26" t="n">
        <v>0</v>
      </c>
      <c r="T659" s="26" t="n">
        <v>0</v>
      </c>
      <c r="U659" s="26" t="n">
        <v>0</v>
      </c>
    </row>
    <row r="660" customFormat="false" ht="15" hidden="false" customHeight="true" outlineLevel="0" collapsed="false">
      <c r="A660" s="8" t="s">
        <v>944</v>
      </c>
      <c r="B660" s="8" t="s">
        <v>266</v>
      </c>
      <c r="C660" s="8" t="s">
        <v>520</v>
      </c>
      <c r="D660" s="26" t="n">
        <v>0</v>
      </c>
      <c r="E660" s="26" t="n">
        <v>0</v>
      </c>
      <c r="F660" s="26" t="n">
        <v>1</v>
      </c>
      <c r="G660" s="26" t="n">
        <v>0</v>
      </c>
      <c r="H660" s="26" t="n">
        <v>0</v>
      </c>
      <c r="I660" s="26" t="n">
        <v>0</v>
      </c>
      <c r="J660" s="26" t="n">
        <v>0</v>
      </c>
      <c r="K660" s="26" t="n">
        <v>0</v>
      </c>
      <c r="L660" s="26" t="n">
        <v>0</v>
      </c>
      <c r="M660" s="26" t="n">
        <v>0</v>
      </c>
      <c r="N660" s="26" t="n">
        <v>0</v>
      </c>
      <c r="O660" s="26" t="n">
        <v>0</v>
      </c>
      <c r="P660" s="26" t="n">
        <v>0</v>
      </c>
      <c r="Q660" s="26" t="n">
        <v>0</v>
      </c>
      <c r="R660" s="26" t="n">
        <v>0</v>
      </c>
      <c r="S660" s="26" t="n">
        <v>0</v>
      </c>
      <c r="T660" s="26" t="n">
        <v>0</v>
      </c>
      <c r="U660" s="26" t="n">
        <v>0</v>
      </c>
    </row>
    <row r="661" customFormat="false" ht="15" hidden="false" customHeight="true" outlineLevel="0" collapsed="false">
      <c r="A661" s="8" t="s">
        <v>944</v>
      </c>
      <c r="B661" s="8" t="s">
        <v>266</v>
      </c>
      <c r="C661" s="8" t="s">
        <v>522</v>
      </c>
      <c r="D661" s="26" t="n">
        <v>0</v>
      </c>
      <c r="E661" s="26" t="n">
        <v>0</v>
      </c>
      <c r="F661" s="26" t="n">
        <v>1</v>
      </c>
      <c r="G661" s="26" t="n">
        <v>0</v>
      </c>
      <c r="H661" s="26" t="n">
        <v>0</v>
      </c>
      <c r="I661" s="26" t="n">
        <v>3</v>
      </c>
      <c r="J661" s="26" t="n">
        <v>0</v>
      </c>
      <c r="K661" s="26" t="n">
        <v>0</v>
      </c>
      <c r="L661" s="26" t="n">
        <v>0</v>
      </c>
      <c r="M661" s="26" t="n">
        <v>0</v>
      </c>
      <c r="N661" s="26" t="n">
        <v>0</v>
      </c>
      <c r="O661" s="26" t="n">
        <v>0</v>
      </c>
      <c r="P661" s="26" t="n">
        <v>0</v>
      </c>
      <c r="Q661" s="26" t="n">
        <v>0</v>
      </c>
      <c r="R661" s="26" t="n">
        <v>3</v>
      </c>
      <c r="S661" s="26" t="n">
        <v>0</v>
      </c>
      <c r="T661" s="26" t="n">
        <v>0</v>
      </c>
      <c r="U661" s="26" t="n">
        <v>0</v>
      </c>
    </row>
    <row r="662" customFormat="false" ht="15" hidden="false" customHeight="true" outlineLevel="0" collapsed="false">
      <c r="A662" s="8" t="s">
        <v>944</v>
      </c>
      <c r="B662" s="8" t="s">
        <v>226</v>
      </c>
      <c r="C662" s="8" t="s">
        <v>523</v>
      </c>
      <c r="D662" s="26" t="n">
        <v>0</v>
      </c>
      <c r="E662" s="26" t="n">
        <v>0</v>
      </c>
      <c r="F662" s="26" t="n">
        <v>0</v>
      </c>
      <c r="G662" s="26" t="n">
        <v>0</v>
      </c>
      <c r="H662" s="26" t="n">
        <v>0</v>
      </c>
      <c r="I662" s="26" t="n">
        <v>11</v>
      </c>
      <c r="J662" s="26" t="n">
        <v>0</v>
      </c>
      <c r="K662" s="26" t="n">
        <v>1</v>
      </c>
      <c r="L662" s="26" t="n">
        <v>0</v>
      </c>
      <c r="M662" s="26" t="n">
        <v>0</v>
      </c>
      <c r="N662" s="26" t="n">
        <v>0</v>
      </c>
      <c r="O662" s="26" t="n">
        <v>0</v>
      </c>
      <c r="P662" s="26" t="n">
        <v>-2</v>
      </c>
      <c r="Q662" s="26" t="n">
        <v>-1</v>
      </c>
      <c r="R662" s="26" t="n">
        <v>13</v>
      </c>
      <c r="S662" s="26" t="n">
        <v>0</v>
      </c>
      <c r="T662" s="26" t="n">
        <v>0</v>
      </c>
      <c r="U662" s="26" t="n">
        <v>0</v>
      </c>
    </row>
    <row r="663" customFormat="false" ht="15" hidden="false" customHeight="true" outlineLevel="0" collapsed="false">
      <c r="A663" s="8" t="s">
        <v>944</v>
      </c>
      <c r="B663" s="8" t="s">
        <v>226</v>
      </c>
      <c r="C663" s="8" t="s">
        <v>524</v>
      </c>
      <c r="D663" s="26" t="n">
        <v>0</v>
      </c>
      <c r="E663" s="26" t="n">
        <v>0</v>
      </c>
      <c r="F663" s="26" t="n">
        <v>0</v>
      </c>
      <c r="G663" s="26" t="n">
        <v>0</v>
      </c>
      <c r="H663" s="26" t="n">
        <v>0</v>
      </c>
      <c r="I663" s="26" t="n">
        <v>36</v>
      </c>
      <c r="J663" s="26" t="n">
        <v>0</v>
      </c>
      <c r="K663" s="26" t="n">
        <v>1</v>
      </c>
      <c r="L663" s="26" t="n">
        <v>0</v>
      </c>
      <c r="M663" s="26" t="n">
        <v>0</v>
      </c>
      <c r="N663" s="26" t="n">
        <v>0</v>
      </c>
      <c r="O663" s="26" t="n">
        <v>0</v>
      </c>
      <c r="P663" s="26" t="n">
        <v>-2</v>
      </c>
      <c r="Q663" s="26" t="n">
        <v>9</v>
      </c>
      <c r="R663" s="26" t="n">
        <v>28</v>
      </c>
      <c r="S663" s="26" t="n">
        <v>0</v>
      </c>
      <c r="T663" s="26" t="n">
        <v>1</v>
      </c>
      <c r="U663" s="26" t="n">
        <v>0</v>
      </c>
    </row>
    <row r="664" customFormat="false" ht="15" hidden="false" customHeight="true" outlineLevel="0" collapsed="false">
      <c r="A664" s="8" t="s">
        <v>944</v>
      </c>
      <c r="B664" s="8" t="s">
        <v>226</v>
      </c>
      <c r="C664" s="8" t="s">
        <v>525</v>
      </c>
      <c r="D664" s="26" t="n">
        <v>0</v>
      </c>
      <c r="E664" s="26" t="n">
        <v>0</v>
      </c>
      <c r="F664" s="26" t="n">
        <v>6</v>
      </c>
      <c r="G664" s="26" t="n">
        <v>0</v>
      </c>
      <c r="H664" s="26" t="n">
        <v>0</v>
      </c>
      <c r="I664" s="26" t="n">
        <v>72</v>
      </c>
      <c r="J664" s="26" t="n">
        <v>0</v>
      </c>
      <c r="K664" s="26" t="n">
        <v>0</v>
      </c>
      <c r="L664" s="26" t="n">
        <v>0</v>
      </c>
      <c r="M664" s="26" t="n">
        <v>0</v>
      </c>
      <c r="N664" s="26" t="n">
        <v>0</v>
      </c>
      <c r="O664" s="26" t="n">
        <v>0</v>
      </c>
      <c r="P664" s="26" t="n">
        <v>-2</v>
      </c>
      <c r="Q664" s="26" t="n">
        <v>23</v>
      </c>
      <c r="R664" s="26" t="n">
        <v>51</v>
      </c>
      <c r="S664" s="26" t="n">
        <v>0</v>
      </c>
      <c r="T664" s="26" t="n">
        <v>10</v>
      </c>
      <c r="U664" s="26" t="n">
        <v>0</v>
      </c>
    </row>
    <row r="665" customFormat="false" ht="15" hidden="false" customHeight="true" outlineLevel="0" collapsed="false">
      <c r="A665" s="8" t="s">
        <v>944</v>
      </c>
      <c r="B665" s="8" t="s">
        <v>226</v>
      </c>
      <c r="C665" s="8" t="s">
        <v>526</v>
      </c>
      <c r="D665" s="26" t="n">
        <v>0</v>
      </c>
      <c r="E665" s="26" t="n">
        <v>0</v>
      </c>
      <c r="F665" s="26" t="n">
        <v>11</v>
      </c>
      <c r="G665" s="26" t="n">
        <v>0</v>
      </c>
      <c r="H665" s="26" t="n">
        <v>0</v>
      </c>
      <c r="I665" s="26" t="n">
        <v>81</v>
      </c>
      <c r="J665" s="26" t="n">
        <v>0</v>
      </c>
      <c r="K665" s="26" t="n">
        <v>4</v>
      </c>
      <c r="L665" s="26" t="n">
        <v>0</v>
      </c>
      <c r="M665" s="26" t="n">
        <v>0</v>
      </c>
      <c r="N665" s="26" t="n">
        <v>0</v>
      </c>
      <c r="O665" s="26" t="n">
        <v>0</v>
      </c>
      <c r="P665" s="26" t="n">
        <v>-3</v>
      </c>
      <c r="Q665" s="26" t="n">
        <v>22</v>
      </c>
      <c r="R665" s="26" t="n">
        <v>58</v>
      </c>
      <c r="S665" s="26" t="n">
        <v>0</v>
      </c>
      <c r="T665" s="26" t="n">
        <v>4</v>
      </c>
      <c r="U665" s="26" t="n">
        <v>0</v>
      </c>
    </row>
    <row r="666" customFormat="false" ht="15" hidden="false" customHeight="true" outlineLevel="0" collapsed="false">
      <c r="A666" s="8" t="s">
        <v>944</v>
      </c>
      <c r="B666" s="8" t="s">
        <v>226</v>
      </c>
      <c r="C666" s="8" t="s">
        <v>527</v>
      </c>
      <c r="D666" s="26" t="n">
        <v>0</v>
      </c>
      <c r="E666" s="26" t="n">
        <v>0</v>
      </c>
      <c r="F666" s="26" t="n">
        <v>5</v>
      </c>
      <c r="G666" s="26" t="n">
        <v>0</v>
      </c>
      <c r="H666" s="26" t="n">
        <v>0</v>
      </c>
      <c r="I666" s="26" t="n">
        <v>124</v>
      </c>
      <c r="J666" s="26" t="n">
        <v>0</v>
      </c>
      <c r="K666" s="26" t="n">
        <v>1</v>
      </c>
      <c r="L666" s="26" t="n">
        <v>0</v>
      </c>
      <c r="M666" s="26" t="n">
        <v>0</v>
      </c>
      <c r="N666" s="26" t="n">
        <v>0</v>
      </c>
      <c r="O666" s="26" t="n">
        <v>0</v>
      </c>
      <c r="P666" s="26" t="n">
        <v>-5</v>
      </c>
      <c r="Q666" s="26" t="n">
        <v>41</v>
      </c>
      <c r="R666" s="26" t="n">
        <v>87</v>
      </c>
      <c r="S666" s="26" t="n">
        <v>0</v>
      </c>
      <c r="T666" s="26" t="n">
        <v>7</v>
      </c>
      <c r="U666" s="26" t="n">
        <v>0</v>
      </c>
    </row>
    <row r="667" customFormat="false" ht="15" hidden="false" customHeight="true" outlineLevel="0" collapsed="false">
      <c r="A667" s="8" t="s">
        <v>944</v>
      </c>
      <c r="B667" s="8" t="s">
        <v>221</v>
      </c>
      <c r="C667" s="8" t="s">
        <v>530</v>
      </c>
      <c r="D667" s="26" t="n">
        <v>0</v>
      </c>
      <c r="E667" s="26" t="n">
        <v>0</v>
      </c>
      <c r="F667" s="26" t="n">
        <v>0</v>
      </c>
      <c r="G667" s="26" t="n">
        <v>0</v>
      </c>
      <c r="H667" s="26" t="n">
        <v>0</v>
      </c>
      <c r="I667" s="26" t="n">
        <v>-1</v>
      </c>
      <c r="J667" s="26" t="n">
        <v>0</v>
      </c>
      <c r="K667" s="26" t="n">
        <v>0</v>
      </c>
      <c r="L667" s="26" t="n">
        <v>0</v>
      </c>
      <c r="M667" s="26" t="n">
        <v>0</v>
      </c>
      <c r="N667" s="26" t="n">
        <v>0</v>
      </c>
      <c r="O667" s="26" t="n">
        <v>0</v>
      </c>
      <c r="P667" s="26" t="n">
        <v>0</v>
      </c>
      <c r="Q667" s="26" t="n">
        <v>-1</v>
      </c>
      <c r="R667" s="26" t="n">
        <v>0</v>
      </c>
      <c r="S667" s="26" t="n">
        <v>0</v>
      </c>
      <c r="T667" s="26" t="n">
        <v>0</v>
      </c>
      <c r="U667" s="26" t="n">
        <v>0</v>
      </c>
    </row>
    <row r="668" customFormat="false" ht="15" hidden="false" customHeight="true" outlineLevel="0" collapsed="false">
      <c r="A668" s="8" t="s">
        <v>944</v>
      </c>
      <c r="B668" s="8" t="s">
        <v>221</v>
      </c>
      <c r="C668" s="8" t="s">
        <v>531</v>
      </c>
      <c r="D668" s="26" t="n">
        <v>0</v>
      </c>
      <c r="E668" s="26" t="n">
        <v>0</v>
      </c>
      <c r="F668" s="26" t="n">
        <v>1</v>
      </c>
      <c r="G668" s="26" t="n">
        <v>0</v>
      </c>
      <c r="H668" s="26" t="n">
        <v>0</v>
      </c>
      <c r="I668" s="26" t="n">
        <v>0</v>
      </c>
      <c r="J668" s="26" t="n">
        <v>0</v>
      </c>
      <c r="K668" s="26" t="n">
        <v>0</v>
      </c>
      <c r="L668" s="26" t="n">
        <v>0</v>
      </c>
      <c r="M668" s="26" t="n">
        <v>0</v>
      </c>
      <c r="N668" s="26" t="n">
        <v>0</v>
      </c>
      <c r="O668" s="26" t="n">
        <v>0</v>
      </c>
      <c r="P668" s="26" t="n">
        <v>0</v>
      </c>
      <c r="Q668" s="26" t="n">
        <v>0</v>
      </c>
      <c r="R668" s="26" t="n">
        <v>0</v>
      </c>
      <c r="S668" s="26" t="n">
        <v>0</v>
      </c>
      <c r="T668" s="26" t="n">
        <v>0</v>
      </c>
      <c r="U668" s="26" t="n">
        <v>0</v>
      </c>
    </row>
    <row r="669" customFormat="false" ht="15" hidden="false" customHeight="true" outlineLevel="0" collapsed="false">
      <c r="A669" s="8" t="s">
        <v>944</v>
      </c>
      <c r="B669" s="8" t="s">
        <v>221</v>
      </c>
      <c r="C669" s="8" t="s">
        <v>532</v>
      </c>
      <c r="D669" s="26" t="n">
        <v>0</v>
      </c>
      <c r="E669" s="26" t="n">
        <v>0</v>
      </c>
      <c r="F669" s="26" t="n">
        <v>1</v>
      </c>
      <c r="G669" s="26" t="n">
        <v>0</v>
      </c>
      <c r="H669" s="26" t="n">
        <v>0</v>
      </c>
      <c r="I669" s="26" t="n">
        <v>0</v>
      </c>
      <c r="J669" s="26" t="n">
        <v>0</v>
      </c>
      <c r="K669" s="26" t="n">
        <v>0</v>
      </c>
      <c r="L669" s="26" t="n">
        <v>0</v>
      </c>
      <c r="M669" s="26" t="n">
        <v>0</v>
      </c>
      <c r="N669" s="26" t="n">
        <v>0</v>
      </c>
      <c r="O669" s="26" t="n">
        <v>0</v>
      </c>
      <c r="P669" s="26" t="n">
        <v>0</v>
      </c>
      <c r="Q669" s="26" t="n">
        <v>0</v>
      </c>
      <c r="R669" s="26" t="n">
        <v>0</v>
      </c>
      <c r="S669" s="26" t="n">
        <v>0</v>
      </c>
      <c r="T669" s="26" t="n">
        <v>0</v>
      </c>
      <c r="U669" s="26" t="n">
        <v>0</v>
      </c>
    </row>
    <row r="670" customFormat="false" ht="15" hidden="false" customHeight="true" outlineLevel="0" collapsed="false">
      <c r="A670" s="8" t="s">
        <v>944</v>
      </c>
      <c r="B670" s="8" t="s">
        <v>121</v>
      </c>
      <c r="C670" s="8" t="s">
        <v>533</v>
      </c>
      <c r="D670" s="26" t="n">
        <v>0</v>
      </c>
      <c r="E670" s="26" t="n">
        <v>0</v>
      </c>
      <c r="F670" s="26" t="n">
        <v>32</v>
      </c>
      <c r="G670" s="26" t="n">
        <v>0</v>
      </c>
      <c r="H670" s="26" t="n">
        <v>1</v>
      </c>
      <c r="I670" s="26" t="n">
        <v>36</v>
      </c>
      <c r="J670" s="26" t="n">
        <v>0</v>
      </c>
      <c r="K670" s="26" t="n">
        <v>0</v>
      </c>
      <c r="L670" s="26" t="n">
        <v>0</v>
      </c>
      <c r="M670" s="26" t="n">
        <v>0</v>
      </c>
      <c r="N670" s="26" t="n">
        <v>0</v>
      </c>
      <c r="O670" s="26" t="n">
        <v>0</v>
      </c>
      <c r="P670" s="26" t="n">
        <v>0</v>
      </c>
      <c r="Q670" s="26" t="n">
        <v>36</v>
      </c>
      <c r="R670" s="26" t="n">
        <v>0</v>
      </c>
      <c r="S670" s="26" t="n">
        <v>0</v>
      </c>
      <c r="T670" s="26" t="n">
        <v>35</v>
      </c>
      <c r="U670" s="26" t="n">
        <v>0</v>
      </c>
    </row>
    <row r="671" customFormat="false" ht="15" hidden="false" customHeight="true" outlineLevel="0" collapsed="false">
      <c r="A671" s="8" t="s">
        <v>944</v>
      </c>
      <c r="B671" s="8" t="s">
        <v>105</v>
      </c>
      <c r="C671" s="8" t="s">
        <v>534</v>
      </c>
      <c r="D671" s="26" t="n">
        <v>0</v>
      </c>
      <c r="E671" s="26" t="n">
        <v>0</v>
      </c>
      <c r="F671" s="26" t="n">
        <v>55</v>
      </c>
      <c r="G671" s="26" t="n">
        <v>0</v>
      </c>
      <c r="H671" s="26" t="n">
        <v>0</v>
      </c>
      <c r="I671" s="26" t="n">
        <v>82</v>
      </c>
      <c r="J671" s="26" t="n">
        <v>0</v>
      </c>
      <c r="K671" s="26" t="n">
        <v>0</v>
      </c>
      <c r="L671" s="26" t="n">
        <v>0</v>
      </c>
      <c r="M671" s="26" t="n">
        <v>0</v>
      </c>
      <c r="N671" s="26" t="n">
        <v>0</v>
      </c>
      <c r="O671" s="26" t="n">
        <v>0</v>
      </c>
      <c r="P671" s="26" t="n">
        <v>0</v>
      </c>
      <c r="Q671" s="26" t="n">
        <v>82</v>
      </c>
      <c r="R671" s="26" t="n">
        <v>0</v>
      </c>
      <c r="S671" s="26" t="n">
        <v>0</v>
      </c>
      <c r="T671" s="26" t="n">
        <v>69</v>
      </c>
      <c r="U671" s="26" t="n">
        <v>0</v>
      </c>
    </row>
    <row r="672" customFormat="false" ht="15" hidden="false" customHeight="true" outlineLevel="0" collapsed="false">
      <c r="A672" s="8" t="s">
        <v>944</v>
      </c>
      <c r="B672" s="8" t="s">
        <v>232</v>
      </c>
      <c r="C672" s="8" t="s">
        <v>535</v>
      </c>
      <c r="D672" s="26" t="n">
        <v>0</v>
      </c>
      <c r="E672" s="26" t="n">
        <v>0</v>
      </c>
      <c r="F672" s="26" t="n">
        <v>3</v>
      </c>
      <c r="G672" s="26" t="n">
        <v>0</v>
      </c>
      <c r="H672" s="26" t="n">
        <v>0</v>
      </c>
      <c r="I672" s="26" t="n">
        <v>13</v>
      </c>
      <c r="J672" s="26" t="n">
        <v>0</v>
      </c>
      <c r="K672" s="26" t="n">
        <v>0</v>
      </c>
      <c r="L672" s="26" t="n">
        <v>0</v>
      </c>
      <c r="M672" s="26" t="n">
        <v>0</v>
      </c>
      <c r="N672" s="26" t="n">
        <v>0</v>
      </c>
      <c r="O672" s="26" t="n">
        <v>0</v>
      </c>
      <c r="P672" s="26" t="n">
        <v>0</v>
      </c>
      <c r="Q672" s="26" t="n">
        <v>11</v>
      </c>
      <c r="R672" s="26" t="n">
        <v>2</v>
      </c>
      <c r="S672" s="26" t="n">
        <v>0</v>
      </c>
      <c r="T672" s="26" t="n">
        <v>3</v>
      </c>
      <c r="U672" s="26" t="n">
        <v>0</v>
      </c>
    </row>
    <row r="673" customFormat="false" ht="15" hidden="false" customHeight="true" outlineLevel="0" collapsed="false">
      <c r="A673" s="8" t="s">
        <v>944</v>
      </c>
      <c r="B673" s="8" t="s">
        <v>82</v>
      </c>
      <c r="C673" s="8" t="s">
        <v>536</v>
      </c>
      <c r="D673" s="26" t="n">
        <v>0</v>
      </c>
      <c r="E673" s="26" t="n">
        <v>0</v>
      </c>
      <c r="F673" s="26" t="n">
        <v>797</v>
      </c>
      <c r="G673" s="26" t="n">
        <v>0</v>
      </c>
      <c r="H673" s="26" t="n">
        <v>0</v>
      </c>
      <c r="I673" s="26" t="n">
        <v>27</v>
      </c>
      <c r="J673" s="26" t="n">
        <v>0</v>
      </c>
      <c r="K673" s="26" t="n">
        <v>4</v>
      </c>
      <c r="L673" s="26" t="n">
        <v>0</v>
      </c>
      <c r="M673" s="26" t="n">
        <v>5</v>
      </c>
      <c r="N673" s="26" t="n">
        <v>0</v>
      </c>
      <c r="O673" s="26" t="n">
        <v>4</v>
      </c>
      <c r="P673" s="26" t="n">
        <v>0</v>
      </c>
      <c r="Q673" s="26" t="n">
        <v>0</v>
      </c>
      <c r="R673" s="26" t="n">
        <v>14</v>
      </c>
      <c r="S673" s="26" t="n">
        <v>0</v>
      </c>
      <c r="T673" s="26" t="n">
        <v>0</v>
      </c>
      <c r="U673" s="26" t="n">
        <v>0</v>
      </c>
    </row>
    <row r="674" customFormat="false" ht="15" hidden="false" customHeight="true" outlineLevel="0" collapsed="false">
      <c r="A674" s="8" t="s">
        <v>944</v>
      </c>
      <c r="B674" s="8" t="s">
        <v>140</v>
      </c>
      <c r="C674" s="8" t="s">
        <v>537</v>
      </c>
      <c r="D674" s="26" t="n">
        <v>0</v>
      </c>
      <c r="E674" s="26" t="n">
        <v>0</v>
      </c>
      <c r="F674" s="26" t="n">
        <v>161</v>
      </c>
      <c r="G674" s="26" t="n">
        <v>0</v>
      </c>
      <c r="H674" s="26" t="n">
        <v>0</v>
      </c>
      <c r="I674" s="26" t="n">
        <v>2</v>
      </c>
      <c r="J674" s="26" t="n">
        <v>0</v>
      </c>
      <c r="K674" s="26" t="n">
        <v>0</v>
      </c>
      <c r="L674" s="26" t="n">
        <v>0</v>
      </c>
      <c r="M674" s="26" t="n">
        <v>0</v>
      </c>
      <c r="N674" s="26" t="n">
        <v>0</v>
      </c>
      <c r="O674" s="26" t="n">
        <v>2</v>
      </c>
      <c r="P674" s="26" t="n">
        <v>0</v>
      </c>
      <c r="Q674" s="26" t="n">
        <v>0</v>
      </c>
      <c r="R674" s="26" t="n">
        <v>0</v>
      </c>
      <c r="S674" s="26" t="n">
        <v>0</v>
      </c>
      <c r="T674" s="26" t="n">
        <v>0</v>
      </c>
      <c r="U674" s="26" t="n">
        <v>0</v>
      </c>
    </row>
    <row r="675" customFormat="false" ht="15" hidden="false" customHeight="true" outlineLevel="0" collapsed="false">
      <c r="A675" s="8" t="s">
        <v>944</v>
      </c>
      <c r="B675" s="8" t="s">
        <v>102</v>
      </c>
      <c r="C675" s="8" t="s">
        <v>538</v>
      </c>
      <c r="D675" s="26" t="n">
        <v>0</v>
      </c>
      <c r="E675" s="26" t="n">
        <v>0</v>
      </c>
      <c r="F675" s="26" t="n">
        <v>792</v>
      </c>
      <c r="G675" s="26" t="n">
        <v>0</v>
      </c>
      <c r="H675" s="26" t="n">
        <v>0</v>
      </c>
      <c r="I675" s="26" t="n">
        <v>54</v>
      </c>
      <c r="J675" s="26" t="n">
        <v>0</v>
      </c>
      <c r="K675" s="26" t="n">
        <v>0</v>
      </c>
      <c r="L675" s="26" t="n">
        <v>0</v>
      </c>
      <c r="M675" s="26" t="n">
        <v>7</v>
      </c>
      <c r="N675" s="26" t="n">
        <v>2</v>
      </c>
      <c r="O675" s="26" t="n">
        <v>0</v>
      </c>
      <c r="P675" s="26" t="n">
        <v>0</v>
      </c>
      <c r="Q675" s="26" t="n">
        <v>0</v>
      </c>
      <c r="R675" s="26" t="n">
        <v>45</v>
      </c>
      <c r="S675" s="26" t="n">
        <v>0</v>
      </c>
      <c r="T675" s="26" t="n">
        <v>0</v>
      </c>
      <c r="U675" s="26" t="n">
        <v>0</v>
      </c>
    </row>
    <row r="676" customFormat="false" ht="15" hidden="false" customHeight="true" outlineLevel="0" collapsed="false">
      <c r="A676" s="8" t="s">
        <v>944</v>
      </c>
      <c r="B676" s="8" t="s">
        <v>162</v>
      </c>
      <c r="C676" s="8" t="s">
        <v>539</v>
      </c>
      <c r="D676" s="26" t="n">
        <v>0</v>
      </c>
      <c r="E676" s="26" t="n">
        <v>0</v>
      </c>
      <c r="F676" s="26" t="n">
        <v>316</v>
      </c>
      <c r="G676" s="26" t="n">
        <v>0</v>
      </c>
      <c r="H676" s="26" t="n">
        <v>0</v>
      </c>
      <c r="I676" s="26" t="n">
        <v>687</v>
      </c>
      <c r="J676" s="26" t="n">
        <v>0</v>
      </c>
      <c r="K676" s="26" t="n">
        <v>19</v>
      </c>
      <c r="L676" s="26" t="n">
        <v>0</v>
      </c>
      <c r="M676" s="26" t="n">
        <v>0</v>
      </c>
      <c r="N676" s="26" t="n">
        <v>0</v>
      </c>
      <c r="O676" s="26" t="n">
        <v>4</v>
      </c>
      <c r="P676" s="26" t="n">
        <v>0</v>
      </c>
      <c r="Q676" s="26" t="n">
        <v>571</v>
      </c>
      <c r="R676" s="26" t="n">
        <v>93</v>
      </c>
      <c r="S676" s="26" t="n">
        <v>0</v>
      </c>
      <c r="T676" s="26" t="n">
        <v>0</v>
      </c>
      <c r="U676" s="26" t="n">
        <v>-2</v>
      </c>
    </row>
    <row r="677" customFormat="false" ht="15" hidden="false" customHeight="true" outlineLevel="0" collapsed="false">
      <c r="A677" s="8" t="s">
        <v>944</v>
      </c>
      <c r="B677" s="8" t="s">
        <v>189</v>
      </c>
      <c r="C677" s="8" t="s">
        <v>533</v>
      </c>
      <c r="D677" s="26" t="n">
        <v>0</v>
      </c>
      <c r="E677" s="26" t="n">
        <v>0</v>
      </c>
      <c r="F677" s="26" t="n">
        <v>8</v>
      </c>
      <c r="G677" s="26" t="n">
        <v>0</v>
      </c>
      <c r="H677" s="26" t="n">
        <v>0</v>
      </c>
      <c r="I677" s="26" t="n">
        <v>3</v>
      </c>
      <c r="J677" s="26" t="n">
        <v>0</v>
      </c>
      <c r="K677" s="26" t="n">
        <v>0</v>
      </c>
      <c r="L677" s="26" t="n">
        <v>0</v>
      </c>
      <c r="M677" s="26" t="n">
        <v>0</v>
      </c>
      <c r="N677" s="26" t="n">
        <v>0</v>
      </c>
      <c r="O677" s="26" t="n">
        <v>0</v>
      </c>
      <c r="P677" s="26" t="n">
        <v>0</v>
      </c>
      <c r="Q677" s="26" t="n">
        <v>3</v>
      </c>
      <c r="R677" s="26" t="n">
        <v>0</v>
      </c>
      <c r="S677" s="26" t="n">
        <v>0</v>
      </c>
      <c r="T677" s="26" t="n">
        <v>4</v>
      </c>
      <c r="U677" s="26" t="n">
        <v>0</v>
      </c>
    </row>
    <row r="678" customFormat="false" ht="15" hidden="false" customHeight="true" outlineLevel="0" collapsed="false">
      <c r="A678" s="8" t="s">
        <v>944</v>
      </c>
      <c r="B678" s="8" t="s">
        <v>112</v>
      </c>
      <c r="C678" s="8" t="s">
        <v>533</v>
      </c>
      <c r="D678" s="26" t="n">
        <v>0</v>
      </c>
      <c r="E678" s="26" t="n">
        <v>0</v>
      </c>
      <c r="F678" s="26" t="n">
        <v>52</v>
      </c>
      <c r="G678" s="26" t="n">
        <v>0</v>
      </c>
      <c r="H678" s="26" t="n">
        <v>0</v>
      </c>
      <c r="I678" s="26" t="n">
        <v>42</v>
      </c>
      <c r="J678" s="26" t="n">
        <v>0</v>
      </c>
      <c r="K678" s="26" t="n">
        <v>0</v>
      </c>
      <c r="L678" s="26" t="n">
        <v>0</v>
      </c>
      <c r="M678" s="26" t="n">
        <v>0</v>
      </c>
      <c r="N678" s="26" t="n">
        <v>0</v>
      </c>
      <c r="O678" s="26" t="n">
        <v>0</v>
      </c>
      <c r="P678" s="26" t="n">
        <v>0</v>
      </c>
      <c r="Q678" s="26" t="n">
        <v>42</v>
      </c>
      <c r="R678" s="26" t="n">
        <v>0</v>
      </c>
      <c r="S678" s="26" t="n">
        <v>0</v>
      </c>
      <c r="T678" s="26" t="n">
        <v>54</v>
      </c>
      <c r="U678" s="26" t="n">
        <v>0</v>
      </c>
    </row>
    <row r="679" customFormat="false" ht="15" hidden="false" customHeight="true" outlineLevel="0" collapsed="false">
      <c r="A679" s="8" t="s">
        <v>944</v>
      </c>
      <c r="B679" s="8" t="s">
        <v>159</v>
      </c>
      <c r="C679" s="8" t="s">
        <v>540</v>
      </c>
      <c r="D679" s="26" t="n">
        <v>0</v>
      </c>
      <c r="E679" s="26" t="n">
        <v>0</v>
      </c>
      <c r="F679" s="26" t="n">
        <v>325</v>
      </c>
      <c r="G679" s="26" t="n">
        <v>0</v>
      </c>
      <c r="H679" s="26" t="n">
        <v>0</v>
      </c>
      <c r="I679" s="26" t="n">
        <v>111</v>
      </c>
      <c r="J679" s="26" t="n">
        <v>0</v>
      </c>
      <c r="K679" s="26" t="n">
        <v>19</v>
      </c>
      <c r="L679" s="26" t="n">
        <v>0</v>
      </c>
      <c r="M679" s="26" t="n">
        <v>0</v>
      </c>
      <c r="N679" s="26" t="n">
        <v>12</v>
      </c>
      <c r="O679" s="26" t="n">
        <v>3</v>
      </c>
      <c r="P679" s="26" t="n">
        <v>-1</v>
      </c>
      <c r="Q679" s="26" t="n">
        <v>-2</v>
      </c>
      <c r="R679" s="26" t="n">
        <v>80</v>
      </c>
      <c r="S679" s="26" t="n">
        <v>0</v>
      </c>
      <c r="T679" s="26" t="n">
        <v>138</v>
      </c>
      <c r="U679" s="26" t="n">
        <v>0</v>
      </c>
    </row>
    <row r="680" customFormat="false" ht="15" hidden="false" customHeight="true" outlineLevel="0" collapsed="false">
      <c r="A680" s="8" t="s">
        <v>944</v>
      </c>
      <c r="B680" s="8" t="s">
        <v>159</v>
      </c>
      <c r="C680" s="8" t="s">
        <v>541</v>
      </c>
      <c r="D680" s="26" t="n">
        <v>0</v>
      </c>
      <c r="E680" s="26" t="n">
        <v>0</v>
      </c>
      <c r="F680" s="26" t="n">
        <v>134</v>
      </c>
      <c r="G680" s="26" t="n">
        <v>0</v>
      </c>
      <c r="H680" s="26" t="n">
        <v>0</v>
      </c>
      <c r="I680" s="26" t="n">
        <v>217</v>
      </c>
      <c r="J680" s="26" t="n">
        <v>0</v>
      </c>
      <c r="K680" s="26" t="n">
        <v>9</v>
      </c>
      <c r="L680" s="26" t="n">
        <v>0</v>
      </c>
      <c r="M680" s="26" t="n">
        <v>0</v>
      </c>
      <c r="N680" s="26" t="n">
        <v>9</v>
      </c>
      <c r="O680" s="26" t="n">
        <v>2</v>
      </c>
      <c r="P680" s="26" t="n">
        <v>0</v>
      </c>
      <c r="Q680" s="26" t="n">
        <v>133</v>
      </c>
      <c r="R680" s="26" t="n">
        <v>64</v>
      </c>
      <c r="S680" s="26" t="n">
        <v>0</v>
      </c>
      <c r="T680" s="26" t="n">
        <v>26</v>
      </c>
      <c r="U680" s="26" t="n">
        <v>-3</v>
      </c>
    </row>
    <row r="681" customFormat="false" ht="15" hidden="false" customHeight="true" outlineLevel="0" collapsed="false">
      <c r="A681" s="8" t="s">
        <v>944</v>
      </c>
      <c r="B681" s="8" t="s">
        <v>230</v>
      </c>
      <c r="C681" s="8" t="s">
        <v>542</v>
      </c>
      <c r="D681" s="26" t="n">
        <v>0</v>
      </c>
      <c r="E681" s="26" t="n">
        <v>0</v>
      </c>
      <c r="F681" s="26" t="n">
        <v>-4</v>
      </c>
      <c r="G681" s="26" t="n">
        <v>0</v>
      </c>
      <c r="H681" s="26" t="n">
        <v>0</v>
      </c>
      <c r="I681" s="26" t="n">
        <v>-8</v>
      </c>
      <c r="J681" s="26" t="n">
        <v>0</v>
      </c>
      <c r="K681" s="26" t="n">
        <v>0</v>
      </c>
      <c r="L681" s="26" t="n">
        <v>0</v>
      </c>
      <c r="M681" s="26" t="n">
        <v>0</v>
      </c>
      <c r="N681" s="26" t="n">
        <v>0</v>
      </c>
      <c r="O681" s="26" t="n">
        <v>0</v>
      </c>
      <c r="P681" s="26" t="n">
        <v>-6</v>
      </c>
      <c r="Q681" s="26" t="n">
        <v>-2</v>
      </c>
      <c r="R681" s="26" t="n">
        <v>0</v>
      </c>
      <c r="S681" s="26" t="n">
        <v>0</v>
      </c>
      <c r="T681" s="26" t="n">
        <v>0</v>
      </c>
      <c r="U681" s="26" t="n">
        <v>0</v>
      </c>
    </row>
    <row r="682" customFormat="false" ht="15" hidden="false" customHeight="true" outlineLevel="0" collapsed="false">
      <c r="A682" s="8" t="s">
        <v>944</v>
      </c>
      <c r="B682" s="8" t="s">
        <v>106</v>
      </c>
      <c r="C682" s="8" t="s">
        <v>544</v>
      </c>
      <c r="D682" s="26" t="n">
        <v>0</v>
      </c>
      <c r="E682" s="26" t="n">
        <v>0</v>
      </c>
      <c r="F682" s="26" t="n">
        <v>261</v>
      </c>
      <c r="G682" s="26" t="n">
        <v>0</v>
      </c>
      <c r="H682" s="26" t="n">
        <v>11</v>
      </c>
      <c r="I682" s="26" t="n">
        <v>1303</v>
      </c>
      <c r="J682" s="26" t="n">
        <v>0</v>
      </c>
      <c r="K682" s="26" t="n">
        <v>79</v>
      </c>
      <c r="L682" s="26" t="n">
        <v>0</v>
      </c>
      <c r="M682" s="26" t="n">
        <v>3</v>
      </c>
      <c r="N682" s="26" t="n">
        <v>3</v>
      </c>
      <c r="O682" s="26" t="n">
        <v>29</v>
      </c>
      <c r="P682" s="26" t="n">
        <v>-15</v>
      </c>
      <c r="Q682" s="26" t="n">
        <v>562</v>
      </c>
      <c r="R682" s="26" t="n">
        <v>642</v>
      </c>
      <c r="S682" s="26" t="n">
        <v>0</v>
      </c>
      <c r="T682" s="26" t="n">
        <v>276</v>
      </c>
      <c r="U682" s="26" t="n">
        <v>0</v>
      </c>
    </row>
    <row r="683" customFormat="false" ht="15" hidden="false" customHeight="true" outlineLevel="0" collapsed="false">
      <c r="A683" s="8" t="s">
        <v>944</v>
      </c>
      <c r="B683" s="8" t="s">
        <v>141</v>
      </c>
      <c r="C683" s="8" t="s">
        <v>545</v>
      </c>
      <c r="D683" s="26" t="n">
        <v>0</v>
      </c>
      <c r="E683" s="26" t="n">
        <v>0</v>
      </c>
      <c r="F683" s="26" t="n">
        <v>164</v>
      </c>
      <c r="G683" s="26" t="n">
        <v>0</v>
      </c>
      <c r="H683" s="26" t="n">
        <v>0</v>
      </c>
      <c r="I683" s="26" t="n">
        <v>1832</v>
      </c>
      <c r="J683" s="26" t="n">
        <v>0</v>
      </c>
      <c r="K683" s="26" t="n">
        <v>16</v>
      </c>
      <c r="L683" s="26" t="n">
        <v>0</v>
      </c>
      <c r="M683" s="26" t="n">
        <v>0</v>
      </c>
      <c r="N683" s="26" t="n">
        <v>0</v>
      </c>
      <c r="O683" s="26" t="n">
        <v>2</v>
      </c>
      <c r="P683" s="26" t="n">
        <v>0</v>
      </c>
      <c r="Q683" s="26" t="n">
        <v>1727</v>
      </c>
      <c r="R683" s="26" t="n">
        <v>87</v>
      </c>
      <c r="S683" s="26" t="n">
        <v>0</v>
      </c>
      <c r="T683" s="26" t="n">
        <v>76</v>
      </c>
      <c r="U683" s="26" t="n">
        <v>0</v>
      </c>
    </row>
    <row r="684" customFormat="false" ht="15" hidden="false" customHeight="true" outlineLevel="0" collapsed="false">
      <c r="A684" s="8" t="s">
        <v>944</v>
      </c>
      <c r="B684" s="8" t="s">
        <v>169</v>
      </c>
      <c r="C684" s="8" t="s">
        <v>546</v>
      </c>
      <c r="D684" s="26" t="n">
        <v>0</v>
      </c>
      <c r="E684" s="26" t="n">
        <v>0</v>
      </c>
      <c r="F684" s="26" t="n">
        <v>133</v>
      </c>
      <c r="G684" s="26" t="n">
        <v>0</v>
      </c>
      <c r="H684" s="26" t="n">
        <v>0</v>
      </c>
      <c r="I684" s="26" t="n">
        <v>261</v>
      </c>
      <c r="J684" s="26" t="n">
        <v>0</v>
      </c>
      <c r="K684" s="26" t="n">
        <v>20</v>
      </c>
      <c r="L684" s="26" t="n">
        <v>0</v>
      </c>
      <c r="M684" s="26" t="n">
        <v>2</v>
      </c>
      <c r="N684" s="26" t="n">
        <v>1</v>
      </c>
      <c r="O684" s="26" t="n">
        <v>2</v>
      </c>
      <c r="P684" s="26" t="n">
        <v>-2</v>
      </c>
      <c r="Q684" s="26" t="n">
        <v>177</v>
      </c>
      <c r="R684" s="26" t="n">
        <v>61</v>
      </c>
      <c r="S684" s="26" t="n">
        <v>0</v>
      </c>
      <c r="T684" s="26" t="n">
        <v>57</v>
      </c>
      <c r="U684" s="26" t="n">
        <v>0</v>
      </c>
    </row>
    <row r="685" customFormat="false" ht="15" hidden="false" customHeight="true" outlineLevel="0" collapsed="false">
      <c r="A685" s="8" t="s">
        <v>944</v>
      </c>
      <c r="B685" s="8" t="s">
        <v>244</v>
      </c>
      <c r="C685" s="8" t="s">
        <v>548</v>
      </c>
      <c r="D685" s="26" t="n">
        <v>0</v>
      </c>
      <c r="E685" s="26" t="n">
        <v>0</v>
      </c>
      <c r="F685" s="26" t="n">
        <v>36</v>
      </c>
      <c r="G685" s="26" t="n">
        <v>0</v>
      </c>
      <c r="H685" s="26" t="n">
        <v>0</v>
      </c>
      <c r="I685" s="26" t="n">
        <v>67</v>
      </c>
      <c r="J685" s="26" t="n">
        <v>0</v>
      </c>
      <c r="K685" s="26" t="n">
        <v>0</v>
      </c>
      <c r="L685" s="26" t="n">
        <v>0</v>
      </c>
      <c r="M685" s="26" t="n">
        <v>0</v>
      </c>
      <c r="N685" s="26" t="n">
        <v>0</v>
      </c>
      <c r="O685" s="26" t="n">
        <v>0</v>
      </c>
      <c r="P685" s="26" t="n">
        <v>0</v>
      </c>
      <c r="Q685" s="26" t="n">
        <v>67</v>
      </c>
      <c r="R685" s="26" t="n">
        <v>0</v>
      </c>
      <c r="S685" s="26" t="n">
        <v>0</v>
      </c>
      <c r="T685" s="26" t="n">
        <v>18</v>
      </c>
      <c r="U685" s="26" t="n">
        <v>0</v>
      </c>
    </row>
    <row r="686" customFormat="false" ht="15" hidden="false" customHeight="true" outlineLevel="0" collapsed="false">
      <c r="A686" s="8" t="s">
        <v>944</v>
      </c>
      <c r="B686" s="8" t="s">
        <v>158</v>
      </c>
      <c r="C686" s="8" t="s">
        <v>549</v>
      </c>
      <c r="D686" s="26" t="n">
        <v>0</v>
      </c>
      <c r="E686" s="26" t="n">
        <v>0</v>
      </c>
      <c r="F686" s="26" t="n">
        <v>0</v>
      </c>
      <c r="G686" s="26" t="n">
        <v>0</v>
      </c>
      <c r="H686" s="26" t="n">
        <v>0</v>
      </c>
      <c r="I686" s="26" t="n">
        <v>-11</v>
      </c>
      <c r="J686" s="26" t="n">
        <v>0</v>
      </c>
      <c r="K686" s="26" t="n">
        <v>0</v>
      </c>
      <c r="L686" s="26" t="n">
        <v>0</v>
      </c>
      <c r="M686" s="26" t="n">
        <v>0</v>
      </c>
      <c r="N686" s="26" t="n">
        <v>0</v>
      </c>
      <c r="O686" s="26" t="n">
        <v>0</v>
      </c>
      <c r="P686" s="26" t="n">
        <v>-3</v>
      </c>
      <c r="Q686" s="26" t="n">
        <v>-8</v>
      </c>
      <c r="R686" s="26" t="n">
        <v>0</v>
      </c>
      <c r="S686" s="26" t="n">
        <v>0</v>
      </c>
      <c r="T686" s="26" t="n">
        <v>0</v>
      </c>
      <c r="U686" s="26" t="n">
        <v>0</v>
      </c>
    </row>
    <row r="687" customFormat="false" ht="15" hidden="false" customHeight="true" outlineLevel="0" collapsed="false">
      <c r="A687" s="8" t="s">
        <v>944</v>
      </c>
      <c r="B687" s="8" t="s">
        <v>158</v>
      </c>
      <c r="C687" s="8" t="s">
        <v>550</v>
      </c>
      <c r="D687" s="26" t="n">
        <v>0</v>
      </c>
      <c r="E687" s="26" t="n">
        <v>0</v>
      </c>
      <c r="F687" s="26" t="n">
        <v>0</v>
      </c>
      <c r="G687" s="26" t="n">
        <v>0</v>
      </c>
      <c r="H687" s="26" t="n">
        <v>0</v>
      </c>
      <c r="I687" s="26" t="n">
        <v>-9</v>
      </c>
      <c r="J687" s="26" t="n">
        <v>0</v>
      </c>
      <c r="K687" s="26" t="n">
        <v>0</v>
      </c>
      <c r="L687" s="26" t="n">
        <v>0</v>
      </c>
      <c r="M687" s="26" t="n">
        <v>0</v>
      </c>
      <c r="N687" s="26" t="n">
        <v>0</v>
      </c>
      <c r="O687" s="26" t="n">
        <v>0</v>
      </c>
      <c r="P687" s="26" t="n">
        <v>-2</v>
      </c>
      <c r="Q687" s="26" t="n">
        <v>-7</v>
      </c>
      <c r="R687" s="26" t="n">
        <v>0</v>
      </c>
      <c r="S687" s="26" t="n">
        <v>0</v>
      </c>
      <c r="T687" s="26" t="n">
        <v>0</v>
      </c>
      <c r="U687" s="26" t="n">
        <v>0</v>
      </c>
    </row>
    <row r="688" customFormat="false" ht="15" hidden="false" customHeight="true" outlineLevel="0" collapsed="false">
      <c r="A688" s="8" t="s">
        <v>944</v>
      </c>
      <c r="B688" s="8" t="s">
        <v>158</v>
      </c>
      <c r="C688" s="8" t="s">
        <v>551</v>
      </c>
      <c r="D688" s="26" t="n">
        <v>0</v>
      </c>
      <c r="E688" s="26" t="n">
        <v>0</v>
      </c>
      <c r="F688" s="26" t="n">
        <v>0</v>
      </c>
      <c r="G688" s="26" t="n">
        <v>0</v>
      </c>
      <c r="H688" s="26" t="n">
        <v>0</v>
      </c>
      <c r="I688" s="26" t="n">
        <v>-11</v>
      </c>
      <c r="J688" s="26" t="n">
        <v>0</v>
      </c>
      <c r="K688" s="26" t="n">
        <v>0</v>
      </c>
      <c r="L688" s="26" t="n">
        <v>0</v>
      </c>
      <c r="M688" s="26" t="n">
        <v>0</v>
      </c>
      <c r="N688" s="26" t="n">
        <v>0</v>
      </c>
      <c r="O688" s="26" t="n">
        <v>0</v>
      </c>
      <c r="P688" s="26" t="n">
        <v>-2</v>
      </c>
      <c r="Q688" s="26" t="n">
        <v>-9</v>
      </c>
      <c r="R688" s="26" t="n">
        <v>0</v>
      </c>
      <c r="S688" s="26" t="n">
        <v>0</v>
      </c>
      <c r="T688" s="26" t="n">
        <v>0</v>
      </c>
      <c r="U688" s="26" t="n">
        <v>0</v>
      </c>
    </row>
    <row r="689" customFormat="false" ht="15" hidden="false" customHeight="true" outlineLevel="0" collapsed="false">
      <c r="A689" s="8" t="s">
        <v>944</v>
      </c>
      <c r="B689" s="8" t="s">
        <v>158</v>
      </c>
      <c r="C689" s="8" t="s">
        <v>552</v>
      </c>
      <c r="D689" s="26" t="n">
        <v>0</v>
      </c>
      <c r="E689" s="26" t="n">
        <v>0</v>
      </c>
      <c r="F689" s="26" t="n">
        <v>0</v>
      </c>
      <c r="G689" s="26" t="n">
        <v>0</v>
      </c>
      <c r="H689" s="26" t="n">
        <v>0</v>
      </c>
      <c r="I689" s="26" t="n">
        <v>-12</v>
      </c>
      <c r="J689" s="26" t="n">
        <v>0</v>
      </c>
      <c r="K689" s="26" t="n">
        <v>0</v>
      </c>
      <c r="L689" s="26" t="n">
        <v>0</v>
      </c>
      <c r="M689" s="26" t="n">
        <v>0</v>
      </c>
      <c r="N689" s="26" t="n">
        <v>0</v>
      </c>
      <c r="O689" s="26" t="n">
        <v>0</v>
      </c>
      <c r="P689" s="26" t="n">
        <v>-1</v>
      </c>
      <c r="Q689" s="26" t="n">
        <v>-11</v>
      </c>
      <c r="R689" s="26" t="n">
        <v>0</v>
      </c>
      <c r="S689" s="26" t="n">
        <v>0</v>
      </c>
      <c r="T689" s="26" t="n">
        <v>0</v>
      </c>
      <c r="U689" s="26" t="n">
        <v>0</v>
      </c>
    </row>
    <row r="690" customFormat="false" ht="15" hidden="false" customHeight="true" outlineLevel="0" collapsed="false">
      <c r="A690" s="8" t="s">
        <v>944</v>
      </c>
      <c r="B690" s="8" t="s">
        <v>158</v>
      </c>
      <c r="C690" s="8" t="s">
        <v>553</v>
      </c>
      <c r="D690" s="26" t="n">
        <v>0</v>
      </c>
      <c r="E690" s="26" t="n">
        <v>0</v>
      </c>
      <c r="F690" s="26" t="n">
        <v>0</v>
      </c>
      <c r="G690" s="26" t="n">
        <v>0</v>
      </c>
      <c r="H690" s="26" t="n">
        <v>0</v>
      </c>
      <c r="I690" s="26" t="n">
        <v>-2</v>
      </c>
      <c r="J690" s="26" t="n">
        <v>0</v>
      </c>
      <c r="K690" s="26" t="n">
        <v>0</v>
      </c>
      <c r="L690" s="26" t="n">
        <v>0</v>
      </c>
      <c r="M690" s="26" t="n">
        <v>0</v>
      </c>
      <c r="N690" s="26" t="n">
        <v>0</v>
      </c>
      <c r="O690" s="26" t="n">
        <v>0</v>
      </c>
      <c r="P690" s="26" t="n">
        <v>-1</v>
      </c>
      <c r="Q690" s="26" t="n">
        <v>-1</v>
      </c>
      <c r="R690" s="26" t="n">
        <v>0</v>
      </c>
      <c r="S690" s="26" t="n">
        <v>0</v>
      </c>
      <c r="T690" s="26" t="n">
        <v>0</v>
      </c>
      <c r="U690" s="26" t="n">
        <v>0</v>
      </c>
    </row>
    <row r="691" customFormat="false" ht="15" hidden="false" customHeight="true" outlineLevel="0" collapsed="false">
      <c r="A691" s="8" t="s">
        <v>944</v>
      </c>
      <c r="B691" s="8" t="s">
        <v>366</v>
      </c>
      <c r="C691" s="8" t="s">
        <v>554</v>
      </c>
      <c r="D691" s="26" t="n">
        <v>0</v>
      </c>
      <c r="E691" s="26" t="n">
        <v>0</v>
      </c>
      <c r="F691" s="26" t="n">
        <v>0</v>
      </c>
      <c r="G691" s="26" t="n">
        <v>0</v>
      </c>
      <c r="H691" s="26" t="n">
        <v>0</v>
      </c>
      <c r="I691" s="26" t="n">
        <v>-1</v>
      </c>
      <c r="J691" s="26" t="n">
        <v>0</v>
      </c>
      <c r="K691" s="26" t="n">
        <v>0</v>
      </c>
      <c r="L691" s="26" t="n">
        <v>0</v>
      </c>
      <c r="M691" s="26" t="n">
        <v>0</v>
      </c>
      <c r="N691" s="26" t="n">
        <v>0</v>
      </c>
      <c r="O691" s="26" t="n">
        <v>0</v>
      </c>
      <c r="P691" s="26" t="n">
        <v>-1</v>
      </c>
      <c r="Q691" s="26" t="n">
        <v>0</v>
      </c>
      <c r="R691" s="26" t="n">
        <v>0</v>
      </c>
      <c r="S691" s="26" t="n">
        <v>0</v>
      </c>
      <c r="T691" s="26" t="n">
        <v>0</v>
      </c>
      <c r="U691" s="26" t="n">
        <v>0</v>
      </c>
    </row>
    <row r="692" customFormat="false" ht="15" hidden="false" customHeight="true" outlineLevel="0" collapsed="false">
      <c r="A692" s="8" t="s">
        <v>944</v>
      </c>
      <c r="B692" s="8" t="s">
        <v>181</v>
      </c>
      <c r="C692" s="8" t="s">
        <v>556</v>
      </c>
      <c r="D692" s="26" t="n">
        <v>0</v>
      </c>
      <c r="E692" s="26" t="n">
        <v>0</v>
      </c>
      <c r="F692" s="26" t="n">
        <v>3</v>
      </c>
      <c r="G692" s="26" t="n">
        <v>0</v>
      </c>
      <c r="H692" s="26" t="n">
        <v>0</v>
      </c>
      <c r="I692" s="26" t="n">
        <v>0</v>
      </c>
      <c r="J692" s="26" t="n">
        <v>0</v>
      </c>
      <c r="K692" s="26" t="n">
        <v>0</v>
      </c>
      <c r="L692" s="26" t="n">
        <v>0</v>
      </c>
      <c r="M692" s="26" t="n">
        <v>0</v>
      </c>
      <c r="N692" s="26" t="n">
        <v>0</v>
      </c>
      <c r="O692" s="26" t="n">
        <v>0</v>
      </c>
      <c r="P692" s="26" t="n">
        <v>0</v>
      </c>
      <c r="Q692" s="26" t="n">
        <v>0</v>
      </c>
      <c r="R692" s="26" t="n">
        <v>0</v>
      </c>
      <c r="S692" s="26" t="n">
        <v>0</v>
      </c>
      <c r="T692" s="26" t="n">
        <v>0</v>
      </c>
      <c r="U692" s="26" t="n">
        <v>0</v>
      </c>
    </row>
    <row r="693" customFormat="false" ht="15" hidden="false" customHeight="true" outlineLevel="0" collapsed="false">
      <c r="A693" s="8" t="s">
        <v>944</v>
      </c>
      <c r="B693" s="8" t="s">
        <v>181</v>
      </c>
      <c r="C693" s="8" t="s">
        <v>557</v>
      </c>
      <c r="D693" s="26" t="n">
        <v>0</v>
      </c>
      <c r="E693" s="26" t="n">
        <v>0</v>
      </c>
      <c r="F693" s="26" t="n">
        <v>-1</v>
      </c>
      <c r="G693" s="26" t="n">
        <v>0</v>
      </c>
      <c r="H693" s="26" t="n">
        <v>0</v>
      </c>
      <c r="I693" s="26" t="n">
        <v>0</v>
      </c>
      <c r="J693" s="26" t="n">
        <v>0</v>
      </c>
      <c r="K693" s="26" t="n">
        <v>0</v>
      </c>
      <c r="L693" s="26" t="n">
        <v>0</v>
      </c>
      <c r="M693" s="26" t="n">
        <v>0</v>
      </c>
      <c r="N693" s="26" t="n">
        <v>0</v>
      </c>
      <c r="O693" s="26" t="n">
        <v>0</v>
      </c>
      <c r="P693" s="26" t="n">
        <v>0</v>
      </c>
      <c r="Q693" s="26" t="n">
        <v>0</v>
      </c>
      <c r="R693" s="26" t="n">
        <v>0</v>
      </c>
      <c r="S693" s="26" t="n">
        <v>0</v>
      </c>
      <c r="T693" s="26" t="n">
        <v>0</v>
      </c>
      <c r="U693" s="26" t="n">
        <v>0</v>
      </c>
    </row>
    <row r="694" customFormat="false" ht="15" hidden="false" customHeight="true" outlineLevel="0" collapsed="false">
      <c r="A694" s="8" t="s">
        <v>944</v>
      </c>
      <c r="B694" s="8" t="s">
        <v>181</v>
      </c>
      <c r="C694" s="8" t="s">
        <v>558</v>
      </c>
      <c r="D694" s="26" t="n">
        <v>0</v>
      </c>
      <c r="E694" s="26" t="n">
        <v>0</v>
      </c>
      <c r="F694" s="26" t="n">
        <v>0</v>
      </c>
      <c r="G694" s="26" t="n">
        <v>0</v>
      </c>
      <c r="H694" s="26" t="n">
        <v>0</v>
      </c>
      <c r="I694" s="26" t="n">
        <v>1</v>
      </c>
      <c r="J694" s="26" t="n">
        <v>0</v>
      </c>
      <c r="K694" s="26" t="n">
        <v>0</v>
      </c>
      <c r="L694" s="26" t="n">
        <v>0</v>
      </c>
      <c r="M694" s="26" t="n">
        <v>0</v>
      </c>
      <c r="N694" s="26" t="n">
        <v>0</v>
      </c>
      <c r="O694" s="26" t="n">
        <v>0</v>
      </c>
      <c r="P694" s="26" t="n">
        <v>0</v>
      </c>
      <c r="Q694" s="26" t="n">
        <v>0</v>
      </c>
      <c r="R694" s="26" t="n">
        <v>1</v>
      </c>
      <c r="S694" s="26" t="n">
        <v>0</v>
      </c>
      <c r="T694" s="26" t="n">
        <v>0</v>
      </c>
      <c r="U694" s="26" t="n">
        <v>0</v>
      </c>
    </row>
    <row r="695" customFormat="false" ht="15" hidden="false" customHeight="true" outlineLevel="0" collapsed="false">
      <c r="A695" s="8" t="s">
        <v>944</v>
      </c>
      <c r="B695" s="8" t="s">
        <v>181</v>
      </c>
      <c r="C695" s="8" t="s">
        <v>559</v>
      </c>
      <c r="D695" s="26" t="n">
        <v>0</v>
      </c>
      <c r="E695" s="26" t="n">
        <v>0</v>
      </c>
      <c r="F695" s="26" t="n">
        <v>-1</v>
      </c>
      <c r="G695" s="26" t="n">
        <v>0</v>
      </c>
      <c r="H695" s="26" t="n">
        <v>0</v>
      </c>
      <c r="I695" s="26" t="n">
        <v>0</v>
      </c>
      <c r="J695" s="26" t="n">
        <v>0</v>
      </c>
      <c r="K695" s="26" t="n">
        <v>0</v>
      </c>
      <c r="L695" s="26" t="n">
        <v>0</v>
      </c>
      <c r="M695" s="26" t="n">
        <v>0</v>
      </c>
      <c r="N695" s="26" t="n">
        <v>0</v>
      </c>
      <c r="O695" s="26" t="n">
        <v>0</v>
      </c>
      <c r="P695" s="26" t="n">
        <v>0</v>
      </c>
      <c r="Q695" s="26" t="n">
        <v>0</v>
      </c>
      <c r="R695" s="26" t="n">
        <v>0</v>
      </c>
      <c r="S695" s="26" t="n">
        <v>0</v>
      </c>
      <c r="T695" s="26" t="n">
        <v>0</v>
      </c>
      <c r="U695" s="26" t="n">
        <v>0</v>
      </c>
    </row>
    <row r="696" customFormat="false" ht="15" hidden="false" customHeight="true" outlineLevel="0" collapsed="false">
      <c r="A696" s="8" t="s">
        <v>944</v>
      </c>
      <c r="B696" s="8" t="s">
        <v>181</v>
      </c>
      <c r="C696" s="8" t="s">
        <v>560</v>
      </c>
      <c r="D696" s="26" t="n">
        <v>0</v>
      </c>
      <c r="E696" s="26" t="n">
        <v>0</v>
      </c>
      <c r="F696" s="26" t="n">
        <v>2</v>
      </c>
      <c r="G696" s="26" t="n">
        <v>0</v>
      </c>
      <c r="H696" s="26" t="n">
        <v>0</v>
      </c>
      <c r="I696" s="26" t="n">
        <v>0</v>
      </c>
      <c r="J696" s="26" t="n">
        <v>0</v>
      </c>
      <c r="K696" s="26" t="n">
        <v>0</v>
      </c>
      <c r="L696" s="26" t="n">
        <v>0</v>
      </c>
      <c r="M696" s="26" t="n">
        <v>0</v>
      </c>
      <c r="N696" s="26" t="n">
        <v>0</v>
      </c>
      <c r="O696" s="26" t="n">
        <v>0</v>
      </c>
      <c r="P696" s="26" t="n">
        <v>0</v>
      </c>
      <c r="Q696" s="26" t="n">
        <v>0</v>
      </c>
      <c r="R696" s="26" t="n">
        <v>0</v>
      </c>
      <c r="S696" s="26" t="n">
        <v>0</v>
      </c>
      <c r="T696" s="26" t="n">
        <v>0</v>
      </c>
      <c r="U696" s="26" t="n">
        <v>0</v>
      </c>
    </row>
    <row r="697" customFormat="false" ht="15" hidden="false" customHeight="true" outlineLevel="0" collapsed="false">
      <c r="A697" s="8" t="s">
        <v>944</v>
      </c>
      <c r="B697" s="8" t="s">
        <v>132</v>
      </c>
      <c r="C697" s="8" t="s">
        <v>561</v>
      </c>
      <c r="D697" s="26" t="n">
        <v>0</v>
      </c>
      <c r="E697" s="26" t="n">
        <v>0</v>
      </c>
      <c r="F697" s="26" t="n">
        <v>433</v>
      </c>
      <c r="G697" s="26" t="n">
        <v>0</v>
      </c>
      <c r="H697" s="26" t="n">
        <v>0</v>
      </c>
      <c r="I697" s="26" t="n">
        <v>3276</v>
      </c>
      <c r="J697" s="26" t="n">
        <v>0</v>
      </c>
      <c r="K697" s="26" t="n">
        <v>18</v>
      </c>
      <c r="L697" s="26" t="n">
        <v>0</v>
      </c>
      <c r="M697" s="26" t="n">
        <v>5</v>
      </c>
      <c r="N697" s="26" t="n">
        <v>5</v>
      </c>
      <c r="O697" s="26" t="n">
        <v>3</v>
      </c>
      <c r="P697" s="26" t="n">
        <v>-3</v>
      </c>
      <c r="Q697" s="26" t="n">
        <v>2898</v>
      </c>
      <c r="R697" s="26" t="n">
        <v>350</v>
      </c>
      <c r="S697" s="26" t="n">
        <v>0</v>
      </c>
      <c r="T697" s="26" t="n">
        <v>90</v>
      </c>
      <c r="U697" s="26" t="n">
        <v>0</v>
      </c>
    </row>
    <row r="698" customFormat="false" ht="15" hidden="false" customHeight="true" outlineLevel="0" collapsed="false">
      <c r="A698" s="8" t="s">
        <v>944</v>
      </c>
      <c r="B698" s="8" t="s">
        <v>201</v>
      </c>
      <c r="C698" s="8" t="s">
        <v>562</v>
      </c>
      <c r="D698" s="26" t="n">
        <v>0</v>
      </c>
      <c r="E698" s="26" t="n">
        <v>0</v>
      </c>
      <c r="F698" s="26" t="n">
        <v>56</v>
      </c>
      <c r="G698" s="26" t="n">
        <v>0</v>
      </c>
      <c r="H698" s="26" t="n">
        <v>0</v>
      </c>
      <c r="I698" s="26" t="n">
        <v>143</v>
      </c>
      <c r="J698" s="26" t="n">
        <v>0</v>
      </c>
      <c r="K698" s="26" t="n">
        <v>1</v>
      </c>
      <c r="L698" s="26" t="n">
        <v>0</v>
      </c>
      <c r="M698" s="26" t="n">
        <v>0</v>
      </c>
      <c r="N698" s="26" t="n">
        <v>3</v>
      </c>
      <c r="O698" s="26" t="n">
        <v>3</v>
      </c>
      <c r="P698" s="26" t="n">
        <v>-2</v>
      </c>
      <c r="Q698" s="26" t="n">
        <v>102</v>
      </c>
      <c r="R698" s="26" t="n">
        <v>36</v>
      </c>
      <c r="S698" s="26" t="n">
        <v>0</v>
      </c>
      <c r="T698" s="26" t="n">
        <v>43</v>
      </c>
      <c r="U698" s="26" t="n">
        <v>0</v>
      </c>
    </row>
    <row r="699" customFormat="false" ht="15" hidden="false" customHeight="true" outlineLevel="0" collapsed="false">
      <c r="A699" s="8" t="s">
        <v>944</v>
      </c>
      <c r="B699" s="8" t="s">
        <v>93</v>
      </c>
      <c r="C699" s="8" t="s">
        <v>563</v>
      </c>
      <c r="D699" s="26" t="n">
        <v>0</v>
      </c>
      <c r="E699" s="26" t="n">
        <v>0</v>
      </c>
      <c r="F699" s="26" t="n">
        <v>95</v>
      </c>
      <c r="G699" s="26" t="n">
        <v>0</v>
      </c>
      <c r="H699" s="26" t="n">
        <v>0</v>
      </c>
      <c r="I699" s="26" t="n">
        <v>1388</v>
      </c>
      <c r="J699" s="26" t="n">
        <v>0</v>
      </c>
      <c r="K699" s="26" t="n">
        <v>2</v>
      </c>
      <c r="L699" s="26" t="n">
        <v>0</v>
      </c>
      <c r="M699" s="26" t="n">
        <v>0</v>
      </c>
      <c r="N699" s="26" t="n">
        <v>1</v>
      </c>
      <c r="O699" s="26" t="n">
        <v>0</v>
      </c>
      <c r="P699" s="26" t="n">
        <v>-3</v>
      </c>
      <c r="Q699" s="26" t="n">
        <v>1281</v>
      </c>
      <c r="R699" s="26" t="n">
        <v>107</v>
      </c>
      <c r="S699" s="26" t="n">
        <v>0</v>
      </c>
      <c r="T699" s="26" t="n">
        <v>124</v>
      </c>
      <c r="U699" s="26" t="n">
        <v>-2</v>
      </c>
    </row>
    <row r="700" customFormat="false" ht="15" hidden="false" customHeight="true" outlineLevel="0" collapsed="false">
      <c r="A700" s="8" t="s">
        <v>944</v>
      </c>
      <c r="B700" s="8" t="s">
        <v>93</v>
      </c>
      <c r="C700" s="8" t="s">
        <v>564</v>
      </c>
      <c r="D700" s="26" t="n">
        <v>0</v>
      </c>
      <c r="E700" s="26" t="n">
        <v>0</v>
      </c>
      <c r="F700" s="26" t="n">
        <v>45</v>
      </c>
      <c r="G700" s="26" t="n">
        <v>0</v>
      </c>
      <c r="H700" s="26" t="n">
        <v>0</v>
      </c>
      <c r="I700" s="26" t="n">
        <v>892</v>
      </c>
      <c r="J700" s="26" t="n">
        <v>0</v>
      </c>
      <c r="K700" s="26" t="n">
        <v>8</v>
      </c>
      <c r="L700" s="26" t="n">
        <v>0</v>
      </c>
      <c r="M700" s="26" t="n">
        <v>0</v>
      </c>
      <c r="N700" s="26" t="n">
        <v>4</v>
      </c>
      <c r="O700" s="26" t="n">
        <v>0</v>
      </c>
      <c r="P700" s="26" t="n">
        <v>-5</v>
      </c>
      <c r="Q700" s="26" t="n">
        <v>817</v>
      </c>
      <c r="R700" s="26" t="n">
        <v>68</v>
      </c>
      <c r="S700" s="26" t="n">
        <v>0</v>
      </c>
      <c r="T700" s="26" t="n">
        <v>47</v>
      </c>
      <c r="U700" s="26" t="n">
        <v>0</v>
      </c>
    </row>
    <row r="701" customFormat="false" ht="15" hidden="false" customHeight="true" outlineLevel="0" collapsed="false">
      <c r="A701" s="8" t="s">
        <v>944</v>
      </c>
      <c r="B701" s="8" t="s">
        <v>93</v>
      </c>
      <c r="C701" s="8" t="s">
        <v>565</v>
      </c>
      <c r="D701" s="26" t="n">
        <v>0</v>
      </c>
      <c r="E701" s="26" t="n">
        <v>0</v>
      </c>
      <c r="F701" s="26" t="n">
        <v>117</v>
      </c>
      <c r="G701" s="26" t="n">
        <v>0</v>
      </c>
      <c r="H701" s="26" t="n">
        <v>0</v>
      </c>
      <c r="I701" s="26" t="n">
        <v>1371</v>
      </c>
      <c r="J701" s="26" t="n">
        <v>0</v>
      </c>
      <c r="K701" s="26" t="n">
        <v>9</v>
      </c>
      <c r="L701" s="26" t="n">
        <v>0</v>
      </c>
      <c r="M701" s="26" t="n">
        <v>0</v>
      </c>
      <c r="N701" s="26" t="n">
        <v>1</v>
      </c>
      <c r="O701" s="26" t="n">
        <v>5</v>
      </c>
      <c r="P701" s="26" t="n">
        <v>-4</v>
      </c>
      <c r="Q701" s="26" t="n">
        <v>1253</v>
      </c>
      <c r="R701" s="26" t="n">
        <v>107</v>
      </c>
      <c r="S701" s="26" t="n">
        <v>0</v>
      </c>
      <c r="T701" s="26" t="n">
        <v>106</v>
      </c>
      <c r="U701" s="26" t="n">
        <v>0</v>
      </c>
    </row>
    <row r="702" customFormat="false" ht="15" hidden="false" customHeight="true" outlineLevel="0" collapsed="false">
      <c r="A702" s="8" t="s">
        <v>944</v>
      </c>
      <c r="B702" s="8" t="s">
        <v>93</v>
      </c>
      <c r="C702" s="8" t="s">
        <v>566</v>
      </c>
      <c r="D702" s="26" t="n">
        <v>0</v>
      </c>
      <c r="E702" s="26" t="n">
        <v>0</v>
      </c>
      <c r="F702" s="26" t="n">
        <v>71</v>
      </c>
      <c r="G702" s="26" t="n">
        <v>0</v>
      </c>
      <c r="H702" s="26" t="n">
        <v>0</v>
      </c>
      <c r="I702" s="26" t="n">
        <v>876</v>
      </c>
      <c r="J702" s="26" t="n">
        <v>0</v>
      </c>
      <c r="K702" s="26" t="n">
        <v>4</v>
      </c>
      <c r="L702" s="26" t="n">
        <v>0</v>
      </c>
      <c r="M702" s="26" t="n">
        <v>0</v>
      </c>
      <c r="N702" s="26" t="n">
        <v>0</v>
      </c>
      <c r="O702" s="26" t="n">
        <v>4</v>
      </c>
      <c r="P702" s="26" t="n">
        <v>-4</v>
      </c>
      <c r="Q702" s="26" t="n">
        <v>813</v>
      </c>
      <c r="R702" s="26" t="n">
        <v>59</v>
      </c>
      <c r="S702" s="26" t="n">
        <v>0</v>
      </c>
      <c r="T702" s="26" t="n">
        <v>87</v>
      </c>
      <c r="U702" s="26" t="n">
        <v>-1</v>
      </c>
    </row>
    <row r="703" customFormat="false" ht="15" hidden="false" customHeight="true" outlineLevel="0" collapsed="false">
      <c r="A703" s="8" t="s">
        <v>944</v>
      </c>
      <c r="B703" s="8" t="s">
        <v>93</v>
      </c>
      <c r="C703" s="8" t="s">
        <v>568</v>
      </c>
      <c r="D703" s="26" t="n">
        <v>0</v>
      </c>
      <c r="E703" s="26" t="n">
        <v>0</v>
      </c>
      <c r="F703" s="26" t="n">
        <v>17</v>
      </c>
      <c r="G703" s="26" t="n">
        <v>0</v>
      </c>
      <c r="H703" s="26" t="n">
        <v>0</v>
      </c>
      <c r="I703" s="26" t="n">
        <v>82</v>
      </c>
      <c r="J703" s="26" t="n">
        <v>0</v>
      </c>
      <c r="K703" s="26" t="n">
        <v>6</v>
      </c>
      <c r="L703" s="26" t="n">
        <v>0</v>
      </c>
      <c r="M703" s="26" t="n">
        <v>0</v>
      </c>
      <c r="N703" s="26" t="n">
        <v>0</v>
      </c>
      <c r="O703" s="26" t="n">
        <v>0</v>
      </c>
      <c r="P703" s="26" t="n">
        <v>-7</v>
      </c>
      <c r="Q703" s="26" t="n">
        <v>36</v>
      </c>
      <c r="R703" s="26" t="n">
        <v>47</v>
      </c>
      <c r="S703" s="26" t="n">
        <v>0</v>
      </c>
      <c r="T703" s="26" t="n">
        <v>27</v>
      </c>
      <c r="U703" s="26" t="n">
        <v>0</v>
      </c>
    </row>
    <row r="704" customFormat="false" ht="15" hidden="false" customHeight="true" outlineLevel="0" collapsed="false">
      <c r="A704" s="8" t="s">
        <v>944</v>
      </c>
      <c r="B704" s="8" t="s">
        <v>99</v>
      </c>
      <c r="C704" s="8" t="s">
        <v>569</v>
      </c>
      <c r="D704" s="26" t="n">
        <v>0</v>
      </c>
      <c r="E704" s="26" t="n">
        <v>0</v>
      </c>
      <c r="F704" s="26" t="n">
        <v>48</v>
      </c>
      <c r="G704" s="26" t="n">
        <v>0</v>
      </c>
      <c r="H704" s="26" t="n">
        <v>0</v>
      </c>
      <c r="I704" s="26" t="n">
        <v>898</v>
      </c>
      <c r="J704" s="26" t="n">
        <v>0</v>
      </c>
      <c r="K704" s="26" t="n">
        <v>8</v>
      </c>
      <c r="L704" s="26" t="n">
        <v>0</v>
      </c>
      <c r="M704" s="26" t="n">
        <v>0</v>
      </c>
      <c r="N704" s="26" t="n">
        <v>3</v>
      </c>
      <c r="O704" s="26" t="n">
        <v>2</v>
      </c>
      <c r="P704" s="26" t="n">
        <v>-14</v>
      </c>
      <c r="Q704" s="26" t="n">
        <v>804</v>
      </c>
      <c r="R704" s="26" t="n">
        <v>95</v>
      </c>
      <c r="S704" s="26" t="n">
        <v>0</v>
      </c>
      <c r="T704" s="26" t="n">
        <v>36</v>
      </c>
      <c r="U704" s="26" t="n">
        <v>-1</v>
      </c>
    </row>
    <row r="705" customFormat="false" ht="15" hidden="false" customHeight="true" outlineLevel="0" collapsed="false">
      <c r="A705" s="8" t="s">
        <v>944</v>
      </c>
      <c r="B705" s="8" t="s">
        <v>99</v>
      </c>
      <c r="C705" s="8" t="s">
        <v>570</v>
      </c>
      <c r="D705" s="26" t="n">
        <v>0</v>
      </c>
      <c r="E705" s="26" t="n">
        <v>0</v>
      </c>
      <c r="F705" s="26" t="n">
        <v>133</v>
      </c>
      <c r="G705" s="26" t="n">
        <v>0</v>
      </c>
      <c r="H705" s="26" t="n">
        <v>0</v>
      </c>
      <c r="I705" s="26" t="n">
        <v>1287</v>
      </c>
      <c r="J705" s="26" t="n">
        <v>0</v>
      </c>
      <c r="K705" s="26" t="n">
        <v>4</v>
      </c>
      <c r="L705" s="26" t="n">
        <v>0</v>
      </c>
      <c r="M705" s="26" t="n">
        <v>0</v>
      </c>
      <c r="N705" s="26" t="n">
        <v>3</v>
      </c>
      <c r="O705" s="26" t="n">
        <v>1</v>
      </c>
      <c r="P705" s="26" t="n">
        <v>-6</v>
      </c>
      <c r="Q705" s="26" t="n">
        <v>1121</v>
      </c>
      <c r="R705" s="26" t="n">
        <v>164</v>
      </c>
      <c r="S705" s="26" t="n">
        <v>0</v>
      </c>
      <c r="T705" s="26" t="n">
        <v>89</v>
      </c>
      <c r="U705" s="26" t="n">
        <v>-2</v>
      </c>
    </row>
    <row r="706" customFormat="false" ht="15" hidden="false" customHeight="true" outlineLevel="0" collapsed="false">
      <c r="A706" s="8" t="s">
        <v>944</v>
      </c>
      <c r="B706" s="8" t="s">
        <v>99</v>
      </c>
      <c r="C706" s="8" t="s">
        <v>571</v>
      </c>
      <c r="D706" s="26" t="n">
        <v>0</v>
      </c>
      <c r="E706" s="26" t="n">
        <v>0</v>
      </c>
      <c r="F706" s="26" t="n">
        <v>132</v>
      </c>
      <c r="G706" s="26" t="n">
        <v>0</v>
      </c>
      <c r="H706" s="26" t="n">
        <v>0</v>
      </c>
      <c r="I706" s="26" t="n">
        <v>1272</v>
      </c>
      <c r="J706" s="26" t="n">
        <v>0</v>
      </c>
      <c r="K706" s="26" t="n">
        <v>12</v>
      </c>
      <c r="L706" s="26" t="n">
        <v>0</v>
      </c>
      <c r="M706" s="26" t="n">
        <v>0</v>
      </c>
      <c r="N706" s="26" t="n">
        <v>3</v>
      </c>
      <c r="O706" s="26" t="n">
        <v>3</v>
      </c>
      <c r="P706" s="26" t="n">
        <v>-5</v>
      </c>
      <c r="Q706" s="26" t="n">
        <v>1124</v>
      </c>
      <c r="R706" s="26" t="n">
        <v>135</v>
      </c>
      <c r="S706" s="26" t="n">
        <v>0</v>
      </c>
      <c r="T706" s="26" t="n">
        <v>92</v>
      </c>
      <c r="U706" s="26" t="n">
        <v>-1</v>
      </c>
    </row>
    <row r="707" customFormat="false" ht="15" hidden="false" customHeight="true" outlineLevel="0" collapsed="false">
      <c r="A707" s="8" t="s">
        <v>944</v>
      </c>
      <c r="B707" s="8" t="s">
        <v>99</v>
      </c>
      <c r="C707" s="8" t="s">
        <v>572</v>
      </c>
      <c r="D707" s="26" t="n">
        <v>0</v>
      </c>
      <c r="E707" s="26" t="n">
        <v>0</v>
      </c>
      <c r="F707" s="26" t="n">
        <v>89</v>
      </c>
      <c r="G707" s="26" t="n">
        <v>0</v>
      </c>
      <c r="H707" s="26" t="n">
        <v>0</v>
      </c>
      <c r="I707" s="26" t="n">
        <v>887</v>
      </c>
      <c r="J707" s="26" t="n">
        <v>0</v>
      </c>
      <c r="K707" s="26" t="n">
        <v>5</v>
      </c>
      <c r="L707" s="26" t="n">
        <v>0</v>
      </c>
      <c r="M707" s="26" t="n">
        <v>0</v>
      </c>
      <c r="N707" s="26" t="n">
        <v>3</v>
      </c>
      <c r="O707" s="26" t="n">
        <v>1</v>
      </c>
      <c r="P707" s="26" t="n">
        <v>-2</v>
      </c>
      <c r="Q707" s="26" t="n">
        <v>766</v>
      </c>
      <c r="R707" s="26" t="n">
        <v>114</v>
      </c>
      <c r="S707" s="26" t="n">
        <v>0</v>
      </c>
      <c r="T707" s="26" t="n">
        <v>93</v>
      </c>
      <c r="U707" s="26" t="n">
        <v>0</v>
      </c>
    </row>
    <row r="708" customFormat="false" ht="15" hidden="false" customHeight="true" outlineLevel="0" collapsed="false">
      <c r="A708" s="8" t="s">
        <v>944</v>
      </c>
      <c r="B708" s="8" t="s">
        <v>99</v>
      </c>
      <c r="C708" s="8" t="s">
        <v>573</v>
      </c>
      <c r="D708" s="26" t="n">
        <v>0</v>
      </c>
      <c r="E708" s="26" t="n">
        <v>0</v>
      </c>
      <c r="F708" s="26" t="n">
        <v>36</v>
      </c>
      <c r="G708" s="26" t="n">
        <v>0</v>
      </c>
      <c r="H708" s="26" t="n">
        <v>1</v>
      </c>
      <c r="I708" s="26" t="n">
        <v>152</v>
      </c>
      <c r="J708" s="26" t="n">
        <v>0</v>
      </c>
      <c r="K708" s="26" t="n">
        <v>5</v>
      </c>
      <c r="L708" s="26" t="n">
        <v>0</v>
      </c>
      <c r="M708" s="26" t="n">
        <v>0</v>
      </c>
      <c r="N708" s="26" t="n">
        <v>0</v>
      </c>
      <c r="O708" s="26" t="n">
        <v>0</v>
      </c>
      <c r="P708" s="26" t="n">
        <v>-1</v>
      </c>
      <c r="Q708" s="26" t="n">
        <v>74</v>
      </c>
      <c r="R708" s="26" t="n">
        <v>74</v>
      </c>
      <c r="S708" s="26" t="n">
        <v>0</v>
      </c>
      <c r="T708" s="26" t="n">
        <v>11</v>
      </c>
      <c r="U708" s="26" t="n">
        <v>0</v>
      </c>
    </row>
    <row r="709" customFormat="false" ht="15" hidden="false" customHeight="true" outlineLevel="0" collapsed="false">
      <c r="A709" s="8" t="s">
        <v>944</v>
      </c>
      <c r="B709" s="8" t="s">
        <v>94</v>
      </c>
      <c r="C709" s="8" t="s">
        <v>574</v>
      </c>
      <c r="D709" s="26" t="n">
        <v>0</v>
      </c>
      <c r="E709" s="26" t="n">
        <v>0</v>
      </c>
      <c r="F709" s="26" t="n">
        <v>124</v>
      </c>
      <c r="G709" s="26" t="n">
        <v>0</v>
      </c>
      <c r="H709" s="26" t="n">
        <v>0</v>
      </c>
      <c r="I709" s="26" t="n">
        <v>1483</v>
      </c>
      <c r="J709" s="26" t="n">
        <v>0</v>
      </c>
      <c r="K709" s="26" t="n">
        <v>4</v>
      </c>
      <c r="L709" s="26" t="n">
        <v>0</v>
      </c>
      <c r="M709" s="26" t="n">
        <v>1</v>
      </c>
      <c r="N709" s="26" t="n">
        <v>1</v>
      </c>
      <c r="O709" s="26" t="n">
        <v>2</v>
      </c>
      <c r="P709" s="26" t="n">
        <v>-5</v>
      </c>
      <c r="Q709" s="26" t="n">
        <v>1364</v>
      </c>
      <c r="R709" s="26" t="n">
        <v>116</v>
      </c>
      <c r="S709" s="26" t="n">
        <v>0</v>
      </c>
      <c r="T709" s="26" t="n">
        <v>0</v>
      </c>
      <c r="U709" s="26" t="n">
        <v>-1</v>
      </c>
    </row>
    <row r="710" customFormat="false" ht="15" hidden="false" customHeight="true" outlineLevel="0" collapsed="false">
      <c r="A710" s="8" t="s">
        <v>944</v>
      </c>
      <c r="B710" s="8" t="s">
        <v>94</v>
      </c>
      <c r="C710" s="8" t="s">
        <v>575</v>
      </c>
      <c r="D710" s="26" t="n">
        <v>0</v>
      </c>
      <c r="E710" s="26" t="n">
        <v>0</v>
      </c>
      <c r="F710" s="26" t="n">
        <v>294</v>
      </c>
      <c r="G710" s="26" t="n">
        <v>0</v>
      </c>
      <c r="H710" s="26" t="n">
        <v>0</v>
      </c>
      <c r="I710" s="26" t="n">
        <v>2187</v>
      </c>
      <c r="J710" s="26" t="n">
        <v>0</v>
      </c>
      <c r="K710" s="26" t="n">
        <v>15</v>
      </c>
      <c r="L710" s="26" t="n">
        <v>0</v>
      </c>
      <c r="M710" s="26" t="n">
        <v>1</v>
      </c>
      <c r="N710" s="26" t="n">
        <v>1</v>
      </c>
      <c r="O710" s="26" t="n">
        <v>6</v>
      </c>
      <c r="P710" s="26" t="n">
        <v>-3</v>
      </c>
      <c r="Q710" s="26" t="n">
        <v>1979</v>
      </c>
      <c r="R710" s="26" t="n">
        <v>188</v>
      </c>
      <c r="S710" s="26" t="n">
        <v>0</v>
      </c>
      <c r="T710" s="26" t="n">
        <v>0</v>
      </c>
      <c r="U710" s="26" t="n">
        <v>-2</v>
      </c>
    </row>
    <row r="711" customFormat="false" ht="15" hidden="false" customHeight="true" outlineLevel="0" collapsed="false">
      <c r="A711" s="8" t="s">
        <v>944</v>
      </c>
      <c r="B711" s="8" t="s">
        <v>94</v>
      </c>
      <c r="C711" s="8" t="s">
        <v>576</v>
      </c>
      <c r="D711" s="26" t="n">
        <v>0</v>
      </c>
      <c r="E711" s="26" t="n">
        <v>0</v>
      </c>
      <c r="F711" s="26" t="n">
        <v>294</v>
      </c>
      <c r="G711" s="26" t="n">
        <v>0</v>
      </c>
      <c r="H711" s="26" t="n">
        <v>0</v>
      </c>
      <c r="I711" s="26" t="n">
        <v>2646</v>
      </c>
      <c r="J711" s="26" t="n">
        <v>0</v>
      </c>
      <c r="K711" s="26" t="n">
        <v>12</v>
      </c>
      <c r="L711" s="26" t="n">
        <v>0</v>
      </c>
      <c r="M711" s="26" t="n">
        <v>1</v>
      </c>
      <c r="N711" s="26" t="n">
        <v>1</v>
      </c>
      <c r="O711" s="26" t="n">
        <v>4</v>
      </c>
      <c r="P711" s="26" t="n">
        <v>-3</v>
      </c>
      <c r="Q711" s="26" t="n">
        <v>2393</v>
      </c>
      <c r="R711" s="26" t="n">
        <v>238</v>
      </c>
      <c r="S711" s="26" t="n">
        <v>0</v>
      </c>
      <c r="T711" s="26" t="n">
        <v>0</v>
      </c>
      <c r="U711" s="26" t="n">
        <v>-2</v>
      </c>
    </row>
    <row r="712" customFormat="false" ht="15" hidden="false" customHeight="true" outlineLevel="0" collapsed="false">
      <c r="A712" s="8" t="s">
        <v>944</v>
      </c>
      <c r="B712" s="8" t="s">
        <v>94</v>
      </c>
      <c r="C712" s="8" t="s">
        <v>577</v>
      </c>
      <c r="D712" s="26" t="n">
        <v>0</v>
      </c>
      <c r="E712" s="26" t="n">
        <v>0</v>
      </c>
      <c r="F712" s="26" t="n">
        <v>161</v>
      </c>
      <c r="G712" s="26" t="n">
        <v>0</v>
      </c>
      <c r="H712" s="26" t="n">
        <v>0</v>
      </c>
      <c r="I712" s="26" t="n">
        <v>1430</v>
      </c>
      <c r="J712" s="26" t="n">
        <v>0</v>
      </c>
      <c r="K712" s="26" t="n">
        <v>3</v>
      </c>
      <c r="L712" s="26" t="n">
        <v>0</v>
      </c>
      <c r="M712" s="26" t="n">
        <v>1</v>
      </c>
      <c r="N712" s="26" t="n">
        <v>1</v>
      </c>
      <c r="O712" s="26" t="n">
        <v>2</v>
      </c>
      <c r="P712" s="26" t="n">
        <v>-3</v>
      </c>
      <c r="Q712" s="26" t="n">
        <v>1271</v>
      </c>
      <c r="R712" s="26" t="n">
        <v>155</v>
      </c>
      <c r="S712" s="26" t="n">
        <v>0</v>
      </c>
      <c r="T712" s="26" t="n">
        <v>0</v>
      </c>
      <c r="U712" s="26" t="n">
        <v>-3</v>
      </c>
    </row>
    <row r="713" customFormat="false" ht="15" hidden="false" customHeight="true" outlineLevel="0" collapsed="false">
      <c r="A713" s="8" t="s">
        <v>944</v>
      </c>
      <c r="B713" s="8" t="s">
        <v>218</v>
      </c>
      <c r="C713" s="8" t="s">
        <v>578</v>
      </c>
      <c r="D713" s="26" t="n">
        <v>0</v>
      </c>
      <c r="E713" s="26" t="n">
        <v>0</v>
      </c>
      <c r="F713" s="26" t="n">
        <v>35</v>
      </c>
      <c r="G713" s="26" t="n">
        <v>0</v>
      </c>
      <c r="H713" s="26" t="n">
        <v>0</v>
      </c>
      <c r="I713" s="26" t="n">
        <v>37</v>
      </c>
      <c r="J713" s="26" t="n">
        <v>0</v>
      </c>
      <c r="K713" s="26" t="n">
        <v>5</v>
      </c>
      <c r="L713" s="26" t="n">
        <v>0</v>
      </c>
      <c r="M713" s="26" t="n">
        <v>0</v>
      </c>
      <c r="N713" s="26" t="n">
        <v>0</v>
      </c>
      <c r="O713" s="26" t="n">
        <v>0</v>
      </c>
      <c r="P713" s="26" t="n">
        <v>-1</v>
      </c>
      <c r="Q713" s="26" t="n">
        <v>13</v>
      </c>
      <c r="R713" s="26" t="n">
        <v>20</v>
      </c>
      <c r="S713" s="26" t="n">
        <v>0</v>
      </c>
      <c r="T713" s="26" t="n">
        <v>17</v>
      </c>
      <c r="U713" s="26" t="n">
        <v>0</v>
      </c>
    </row>
    <row r="714" customFormat="false" ht="15" hidden="false" customHeight="true" outlineLevel="0" collapsed="false">
      <c r="A714" s="8" t="s">
        <v>944</v>
      </c>
      <c r="B714" s="8" t="s">
        <v>219</v>
      </c>
      <c r="C714" s="8" t="s">
        <v>579</v>
      </c>
      <c r="D714" s="26" t="n">
        <v>0</v>
      </c>
      <c r="E714" s="26" t="n">
        <v>0</v>
      </c>
      <c r="F714" s="26" t="n">
        <v>80</v>
      </c>
      <c r="G714" s="26" t="n">
        <v>0</v>
      </c>
      <c r="H714" s="26" t="n">
        <v>0</v>
      </c>
      <c r="I714" s="26" t="n">
        <v>459</v>
      </c>
      <c r="J714" s="26" t="n">
        <v>0</v>
      </c>
      <c r="K714" s="26" t="n">
        <v>7</v>
      </c>
      <c r="L714" s="26" t="n">
        <v>0</v>
      </c>
      <c r="M714" s="26" t="n">
        <v>0</v>
      </c>
      <c r="N714" s="26" t="n">
        <v>3</v>
      </c>
      <c r="O714" s="26" t="n">
        <v>0</v>
      </c>
      <c r="P714" s="26" t="n">
        <v>-2</v>
      </c>
      <c r="Q714" s="26" t="n">
        <v>409</v>
      </c>
      <c r="R714" s="26" t="n">
        <v>42</v>
      </c>
      <c r="S714" s="26" t="n">
        <v>0</v>
      </c>
      <c r="T714" s="26" t="n">
        <v>36</v>
      </c>
      <c r="U714" s="26" t="n">
        <v>0</v>
      </c>
    </row>
    <row r="715" customFormat="false" ht="15" hidden="false" customHeight="true" outlineLevel="0" collapsed="false">
      <c r="A715" s="8" t="s">
        <v>944</v>
      </c>
      <c r="B715" s="8" t="s">
        <v>130</v>
      </c>
      <c r="C715" s="8" t="s">
        <v>580</v>
      </c>
      <c r="D715" s="26" t="n">
        <v>0</v>
      </c>
      <c r="E715" s="26" t="n">
        <v>0</v>
      </c>
      <c r="F715" s="26" t="n">
        <v>623</v>
      </c>
      <c r="G715" s="26" t="n">
        <v>0</v>
      </c>
      <c r="H715" s="26" t="n">
        <v>18</v>
      </c>
      <c r="I715" s="26" t="n">
        <v>545</v>
      </c>
      <c r="J715" s="26" t="n">
        <v>0</v>
      </c>
      <c r="K715" s="26" t="n">
        <v>36</v>
      </c>
      <c r="L715" s="26" t="n">
        <v>0</v>
      </c>
      <c r="M715" s="26" t="n">
        <v>3</v>
      </c>
      <c r="N715" s="26" t="n">
        <v>19</v>
      </c>
      <c r="O715" s="26" t="n">
        <v>14</v>
      </c>
      <c r="P715" s="26" t="n">
        <v>-4</v>
      </c>
      <c r="Q715" s="26" t="n">
        <v>0</v>
      </c>
      <c r="R715" s="26" t="n">
        <v>477</v>
      </c>
      <c r="S715" s="26" t="n">
        <v>0</v>
      </c>
      <c r="T715" s="26" t="n">
        <v>183</v>
      </c>
      <c r="U715" s="26" t="n">
        <v>0</v>
      </c>
    </row>
    <row r="716" customFormat="false" ht="15" hidden="false" customHeight="true" outlineLevel="0" collapsed="false">
      <c r="A716" s="8" t="s">
        <v>944</v>
      </c>
      <c r="B716" s="8" t="s">
        <v>206</v>
      </c>
      <c r="C716" s="8" t="s">
        <v>581</v>
      </c>
      <c r="D716" s="26" t="n">
        <v>0</v>
      </c>
      <c r="E716" s="26" t="n">
        <v>0</v>
      </c>
      <c r="F716" s="26" t="n">
        <v>432</v>
      </c>
      <c r="G716" s="26" t="n">
        <v>0</v>
      </c>
      <c r="H716" s="26" t="n">
        <v>0</v>
      </c>
      <c r="I716" s="26" t="n">
        <v>221</v>
      </c>
      <c r="J716" s="26" t="n">
        <v>0</v>
      </c>
      <c r="K716" s="26" t="n">
        <v>5</v>
      </c>
      <c r="L716" s="26" t="n">
        <v>0</v>
      </c>
      <c r="M716" s="26" t="n">
        <v>0</v>
      </c>
      <c r="N716" s="26" t="n">
        <v>6</v>
      </c>
      <c r="O716" s="26" t="n">
        <v>7</v>
      </c>
      <c r="P716" s="26" t="n">
        <v>-6</v>
      </c>
      <c r="Q716" s="26" t="n">
        <v>-2</v>
      </c>
      <c r="R716" s="26" t="n">
        <v>211</v>
      </c>
      <c r="S716" s="26" t="n">
        <v>0</v>
      </c>
      <c r="T716" s="26" t="n">
        <v>136</v>
      </c>
      <c r="U716" s="26" t="n">
        <v>0</v>
      </c>
    </row>
    <row r="717" customFormat="false" ht="15" hidden="false" customHeight="true" outlineLevel="0" collapsed="false">
      <c r="A717" s="8" t="s">
        <v>944</v>
      </c>
      <c r="B717" s="8" t="s">
        <v>161</v>
      </c>
      <c r="C717" s="8" t="s">
        <v>582</v>
      </c>
      <c r="D717" s="26" t="n">
        <v>0</v>
      </c>
      <c r="E717" s="26" t="n">
        <v>0</v>
      </c>
      <c r="F717" s="26" t="n">
        <v>46</v>
      </c>
      <c r="G717" s="26" t="n">
        <v>0</v>
      </c>
      <c r="H717" s="26" t="n">
        <v>0</v>
      </c>
      <c r="I717" s="26" t="n">
        <v>25</v>
      </c>
      <c r="J717" s="26" t="n">
        <v>0</v>
      </c>
      <c r="K717" s="26" t="n">
        <v>5</v>
      </c>
      <c r="L717" s="26" t="n">
        <v>0</v>
      </c>
      <c r="M717" s="26" t="n">
        <v>0</v>
      </c>
      <c r="N717" s="26" t="n">
        <v>0</v>
      </c>
      <c r="O717" s="26" t="n">
        <v>0</v>
      </c>
      <c r="P717" s="26" t="n">
        <v>0</v>
      </c>
      <c r="Q717" s="26" t="n">
        <v>0</v>
      </c>
      <c r="R717" s="26" t="n">
        <v>20</v>
      </c>
      <c r="S717" s="26" t="n">
        <v>0</v>
      </c>
      <c r="T717" s="26" t="n">
        <v>0</v>
      </c>
      <c r="U717" s="26" t="n">
        <v>0</v>
      </c>
    </row>
    <row r="718" customFormat="false" ht="15" hidden="false" customHeight="true" outlineLevel="0" collapsed="false">
      <c r="A718" s="8" t="s">
        <v>944</v>
      </c>
      <c r="B718" s="8" t="s">
        <v>198</v>
      </c>
      <c r="C718" s="8" t="s">
        <v>583</v>
      </c>
      <c r="D718" s="26" t="n">
        <v>0</v>
      </c>
      <c r="E718" s="26" t="n">
        <v>0</v>
      </c>
      <c r="F718" s="26" t="n">
        <v>178</v>
      </c>
      <c r="G718" s="26" t="n">
        <v>0</v>
      </c>
      <c r="H718" s="26" t="n">
        <v>4</v>
      </c>
      <c r="I718" s="26" t="n">
        <v>73</v>
      </c>
      <c r="J718" s="26" t="n">
        <v>0</v>
      </c>
      <c r="K718" s="26" t="n">
        <v>7</v>
      </c>
      <c r="L718" s="26" t="n">
        <v>0</v>
      </c>
      <c r="M718" s="26" t="n">
        <v>0</v>
      </c>
      <c r="N718" s="26" t="n">
        <v>6</v>
      </c>
      <c r="O718" s="26" t="n">
        <v>8</v>
      </c>
      <c r="P718" s="26" t="n">
        <v>0</v>
      </c>
      <c r="Q718" s="26" t="n">
        <v>0</v>
      </c>
      <c r="R718" s="26" t="n">
        <v>52</v>
      </c>
      <c r="S718" s="26" t="n">
        <v>0</v>
      </c>
      <c r="T718" s="26" t="n">
        <v>75</v>
      </c>
      <c r="U718" s="26" t="n">
        <v>-3</v>
      </c>
    </row>
    <row r="719" customFormat="false" ht="15" hidden="false" customHeight="true" outlineLevel="0" collapsed="false">
      <c r="A719" s="8" t="s">
        <v>944</v>
      </c>
      <c r="B719" s="8" t="s">
        <v>190</v>
      </c>
      <c r="C719" s="8" t="s">
        <v>584</v>
      </c>
      <c r="D719" s="26" t="n">
        <v>0</v>
      </c>
      <c r="E719" s="26" t="n">
        <v>0</v>
      </c>
      <c r="F719" s="26" t="n">
        <v>60</v>
      </c>
      <c r="G719" s="26" t="n">
        <v>0</v>
      </c>
      <c r="H719" s="26" t="n">
        <v>5</v>
      </c>
      <c r="I719" s="26" t="n">
        <v>29</v>
      </c>
      <c r="J719" s="26" t="n">
        <v>0</v>
      </c>
      <c r="K719" s="26" t="n">
        <v>0</v>
      </c>
      <c r="L719" s="26" t="n">
        <v>0</v>
      </c>
      <c r="M719" s="26" t="n">
        <v>0</v>
      </c>
      <c r="N719" s="26" t="n">
        <v>3</v>
      </c>
      <c r="O719" s="26" t="n">
        <v>0</v>
      </c>
      <c r="P719" s="26" t="n">
        <v>-4</v>
      </c>
      <c r="Q719" s="26" t="n">
        <v>0</v>
      </c>
      <c r="R719" s="26" t="n">
        <v>30</v>
      </c>
      <c r="S719" s="26" t="n">
        <v>0</v>
      </c>
      <c r="T719" s="26" t="n">
        <v>31</v>
      </c>
      <c r="U719" s="26" t="n">
        <v>0</v>
      </c>
    </row>
    <row r="720" customFormat="false" ht="15" hidden="false" customHeight="true" outlineLevel="0" collapsed="false">
      <c r="A720" s="8" t="s">
        <v>944</v>
      </c>
      <c r="B720" s="8" t="s">
        <v>316</v>
      </c>
      <c r="C720" s="8" t="s">
        <v>585</v>
      </c>
      <c r="D720" s="26" t="n">
        <v>0</v>
      </c>
      <c r="E720" s="26" t="n">
        <v>0</v>
      </c>
      <c r="F720" s="26" t="n">
        <v>0</v>
      </c>
      <c r="G720" s="26" t="n">
        <v>0</v>
      </c>
      <c r="H720" s="26" t="n">
        <v>0</v>
      </c>
      <c r="I720" s="26" t="n">
        <v>-3</v>
      </c>
      <c r="J720" s="26" t="n">
        <v>0</v>
      </c>
      <c r="K720" s="26" t="n">
        <v>0</v>
      </c>
      <c r="L720" s="26" t="n">
        <v>0</v>
      </c>
      <c r="M720" s="26" t="n">
        <v>0</v>
      </c>
      <c r="N720" s="26" t="n">
        <v>0</v>
      </c>
      <c r="O720" s="26" t="n">
        <v>0</v>
      </c>
      <c r="P720" s="26" t="n">
        <v>0</v>
      </c>
      <c r="Q720" s="26" t="n">
        <v>-3</v>
      </c>
      <c r="R720" s="26" t="n">
        <v>0</v>
      </c>
      <c r="S720" s="26" t="n">
        <v>0</v>
      </c>
      <c r="T720" s="26" t="n">
        <v>0</v>
      </c>
      <c r="U720" s="26" t="n">
        <v>0</v>
      </c>
    </row>
    <row r="721" customFormat="false" ht="15" hidden="false" customHeight="true" outlineLevel="0" collapsed="false">
      <c r="A721" s="8" t="s">
        <v>944</v>
      </c>
      <c r="B721" s="8" t="s">
        <v>339</v>
      </c>
      <c r="C721" s="8" t="s">
        <v>585</v>
      </c>
      <c r="D721" s="26" t="n">
        <v>0</v>
      </c>
      <c r="E721" s="26" t="n">
        <v>0</v>
      </c>
      <c r="F721" s="26" t="n">
        <v>0</v>
      </c>
      <c r="G721" s="26" t="n">
        <v>0</v>
      </c>
      <c r="H721" s="26" t="n">
        <v>0</v>
      </c>
      <c r="I721" s="26" t="n">
        <v>-4</v>
      </c>
      <c r="J721" s="26" t="n">
        <v>0</v>
      </c>
      <c r="K721" s="26" t="n">
        <v>0</v>
      </c>
      <c r="L721" s="26" t="n">
        <v>0</v>
      </c>
      <c r="M721" s="26" t="n">
        <v>0</v>
      </c>
      <c r="N721" s="26" t="n">
        <v>0</v>
      </c>
      <c r="O721" s="26" t="n">
        <v>0</v>
      </c>
      <c r="P721" s="26" t="n">
        <v>0</v>
      </c>
      <c r="Q721" s="26" t="n">
        <v>-4</v>
      </c>
      <c r="R721" s="26" t="n">
        <v>0</v>
      </c>
      <c r="S721" s="26" t="n">
        <v>0</v>
      </c>
      <c r="T721" s="26" t="n">
        <v>0</v>
      </c>
      <c r="U721" s="26" t="n">
        <v>0</v>
      </c>
    </row>
    <row r="722" customFormat="false" ht="15" hidden="false" customHeight="true" outlineLevel="0" collapsed="false">
      <c r="A722" s="8" t="s">
        <v>944</v>
      </c>
      <c r="B722" s="8" t="s">
        <v>205</v>
      </c>
      <c r="C722" s="8" t="s">
        <v>586</v>
      </c>
      <c r="D722" s="26" t="n">
        <v>0</v>
      </c>
      <c r="E722" s="26" t="n">
        <v>0</v>
      </c>
      <c r="F722" s="26" t="n">
        <v>0</v>
      </c>
      <c r="G722" s="26" t="n">
        <v>0</v>
      </c>
      <c r="H722" s="26" t="n">
        <v>0</v>
      </c>
      <c r="I722" s="26" t="n">
        <v>4</v>
      </c>
      <c r="J722" s="26" t="n">
        <v>0</v>
      </c>
      <c r="K722" s="26" t="n">
        <v>0</v>
      </c>
      <c r="L722" s="26" t="n">
        <v>0</v>
      </c>
      <c r="M722" s="26" t="n">
        <v>0</v>
      </c>
      <c r="N722" s="26" t="n">
        <v>0</v>
      </c>
      <c r="O722" s="26" t="n">
        <v>0</v>
      </c>
      <c r="P722" s="26" t="n">
        <v>0</v>
      </c>
      <c r="Q722" s="26" t="n">
        <v>0</v>
      </c>
      <c r="R722" s="26" t="n">
        <v>4</v>
      </c>
      <c r="S722" s="26" t="n">
        <v>0</v>
      </c>
      <c r="T722" s="26" t="n">
        <v>4</v>
      </c>
      <c r="U722" s="26" t="n">
        <v>0</v>
      </c>
    </row>
    <row r="723" customFormat="false" ht="15" hidden="false" customHeight="true" outlineLevel="0" collapsed="false">
      <c r="A723" s="8" t="s">
        <v>944</v>
      </c>
      <c r="B723" s="8" t="s">
        <v>205</v>
      </c>
      <c r="C723" s="8" t="s">
        <v>587</v>
      </c>
      <c r="D723" s="26" t="n">
        <v>0</v>
      </c>
      <c r="E723" s="26" t="n">
        <v>0</v>
      </c>
      <c r="F723" s="26" t="n">
        <v>7</v>
      </c>
      <c r="G723" s="26" t="n">
        <v>0</v>
      </c>
      <c r="H723" s="26" t="n">
        <v>0</v>
      </c>
      <c r="I723" s="26" t="n">
        <v>3</v>
      </c>
      <c r="J723" s="26" t="n">
        <v>0</v>
      </c>
      <c r="K723" s="26" t="n">
        <v>0</v>
      </c>
      <c r="L723" s="26" t="n">
        <v>0</v>
      </c>
      <c r="M723" s="26" t="n">
        <v>0</v>
      </c>
      <c r="N723" s="26" t="n">
        <v>0</v>
      </c>
      <c r="O723" s="26" t="n">
        <v>0</v>
      </c>
      <c r="P723" s="26" t="n">
        <v>0</v>
      </c>
      <c r="Q723" s="26" t="n">
        <v>2</v>
      </c>
      <c r="R723" s="26" t="n">
        <v>1</v>
      </c>
      <c r="S723" s="26" t="n">
        <v>0</v>
      </c>
      <c r="T723" s="26" t="n">
        <v>0</v>
      </c>
      <c r="U723" s="26" t="n">
        <v>0</v>
      </c>
    </row>
    <row r="724" customFormat="false" ht="15" hidden="false" customHeight="true" outlineLevel="0" collapsed="false">
      <c r="A724" s="8" t="s">
        <v>944</v>
      </c>
      <c r="B724" s="8" t="s">
        <v>205</v>
      </c>
      <c r="C724" s="8" t="s">
        <v>588</v>
      </c>
      <c r="D724" s="26" t="n">
        <v>0</v>
      </c>
      <c r="E724" s="26" t="n">
        <v>0</v>
      </c>
      <c r="F724" s="26" t="n">
        <v>6</v>
      </c>
      <c r="G724" s="26" t="n">
        <v>0</v>
      </c>
      <c r="H724" s="26" t="n">
        <v>0</v>
      </c>
      <c r="I724" s="26" t="n">
        <v>2</v>
      </c>
      <c r="J724" s="26" t="n">
        <v>0</v>
      </c>
      <c r="K724" s="26" t="n">
        <v>0</v>
      </c>
      <c r="L724" s="26" t="n">
        <v>0</v>
      </c>
      <c r="M724" s="26" t="n">
        <v>0</v>
      </c>
      <c r="N724" s="26" t="n">
        <v>0</v>
      </c>
      <c r="O724" s="26" t="n">
        <v>0</v>
      </c>
      <c r="P724" s="26" t="n">
        <v>-2</v>
      </c>
      <c r="Q724" s="26" t="n">
        <v>2</v>
      </c>
      <c r="R724" s="26" t="n">
        <v>2</v>
      </c>
      <c r="S724" s="26" t="n">
        <v>0</v>
      </c>
      <c r="T724" s="26" t="n">
        <v>0</v>
      </c>
      <c r="U724" s="26" t="n">
        <v>0</v>
      </c>
    </row>
    <row r="725" customFormat="false" ht="15" hidden="false" customHeight="true" outlineLevel="0" collapsed="false">
      <c r="A725" s="8" t="s">
        <v>944</v>
      </c>
      <c r="B725" s="8" t="s">
        <v>205</v>
      </c>
      <c r="C725" s="8" t="s">
        <v>589</v>
      </c>
      <c r="D725" s="26" t="n">
        <v>0</v>
      </c>
      <c r="E725" s="26" t="n">
        <v>0</v>
      </c>
      <c r="F725" s="26" t="n">
        <v>6</v>
      </c>
      <c r="G725" s="26" t="n">
        <v>0</v>
      </c>
      <c r="H725" s="26" t="n">
        <v>0</v>
      </c>
      <c r="I725" s="26" t="n">
        <v>1</v>
      </c>
      <c r="J725" s="26" t="n">
        <v>0</v>
      </c>
      <c r="K725" s="26" t="n">
        <v>0</v>
      </c>
      <c r="L725" s="26" t="n">
        <v>0</v>
      </c>
      <c r="M725" s="26" t="n">
        <v>0</v>
      </c>
      <c r="N725" s="26" t="n">
        <v>0</v>
      </c>
      <c r="O725" s="26" t="n">
        <v>0</v>
      </c>
      <c r="P725" s="26" t="n">
        <v>-1</v>
      </c>
      <c r="Q725" s="26" t="n">
        <v>-1</v>
      </c>
      <c r="R725" s="26" t="n">
        <v>3</v>
      </c>
      <c r="S725" s="26" t="n">
        <v>0</v>
      </c>
      <c r="T725" s="26" t="n">
        <v>0</v>
      </c>
      <c r="U725" s="26" t="n">
        <v>0</v>
      </c>
    </row>
    <row r="726" customFormat="false" ht="15" hidden="false" customHeight="true" outlineLevel="0" collapsed="false">
      <c r="A726" s="8" t="s">
        <v>944</v>
      </c>
      <c r="B726" s="8" t="s">
        <v>279</v>
      </c>
      <c r="C726" s="8" t="s">
        <v>590</v>
      </c>
      <c r="D726" s="26" t="n">
        <v>0</v>
      </c>
      <c r="E726" s="26" t="n">
        <v>0</v>
      </c>
      <c r="F726" s="26" t="n">
        <v>3</v>
      </c>
      <c r="G726" s="26" t="n">
        <v>0</v>
      </c>
      <c r="H726" s="26" t="n">
        <v>0</v>
      </c>
      <c r="I726" s="26" t="n">
        <v>-1</v>
      </c>
      <c r="J726" s="26" t="n">
        <v>0</v>
      </c>
      <c r="K726" s="26" t="n">
        <v>0</v>
      </c>
      <c r="L726" s="26" t="n">
        <v>0</v>
      </c>
      <c r="M726" s="26" t="n">
        <v>0</v>
      </c>
      <c r="N726" s="26" t="n">
        <v>0</v>
      </c>
      <c r="O726" s="26" t="n">
        <v>0</v>
      </c>
      <c r="P726" s="26" t="n">
        <v>-1</v>
      </c>
      <c r="Q726" s="26" t="n">
        <v>0</v>
      </c>
      <c r="R726" s="26" t="n">
        <v>0</v>
      </c>
      <c r="S726" s="26" t="n">
        <v>0</v>
      </c>
      <c r="T726" s="26" t="n">
        <v>0</v>
      </c>
      <c r="U726" s="26" t="n">
        <v>0</v>
      </c>
    </row>
    <row r="727" customFormat="false" ht="15" hidden="false" customHeight="true" outlineLevel="0" collapsed="false">
      <c r="A727" s="8" t="s">
        <v>944</v>
      </c>
      <c r="B727" s="8" t="s">
        <v>279</v>
      </c>
      <c r="C727" s="8" t="s">
        <v>956</v>
      </c>
      <c r="D727" s="26" t="n">
        <v>0</v>
      </c>
      <c r="E727" s="26" t="n">
        <v>0</v>
      </c>
      <c r="F727" s="26" t="n">
        <v>1</v>
      </c>
      <c r="G727" s="26" t="n">
        <v>0</v>
      </c>
      <c r="H727" s="26" t="n">
        <v>0</v>
      </c>
      <c r="I727" s="26" t="n">
        <v>-2</v>
      </c>
      <c r="J727" s="26" t="n">
        <v>0</v>
      </c>
      <c r="K727" s="26" t="n">
        <v>0</v>
      </c>
      <c r="L727" s="26" t="n">
        <v>0</v>
      </c>
      <c r="M727" s="26" t="n">
        <v>0</v>
      </c>
      <c r="N727" s="26" t="n">
        <v>0</v>
      </c>
      <c r="O727" s="26" t="n">
        <v>0</v>
      </c>
      <c r="P727" s="26" t="n">
        <v>-2</v>
      </c>
      <c r="Q727" s="26" t="n">
        <v>0</v>
      </c>
      <c r="R727" s="26" t="n">
        <v>0</v>
      </c>
      <c r="S727" s="26" t="n">
        <v>0</v>
      </c>
      <c r="T727" s="26" t="n">
        <v>0</v>
      </c>
      <c r="U727" s="26" t="n">
        <v>0</v>
      </c>
    </row>
    <row r="728" customFormat="false" ht="15" hidden="false" customHeight="true" outlineLevel="0" collapsed="false">
      <c r="A728" s="8" t="s">
        <v>944</v>
      </c>
      <c r="B728" s="8" t="s">
        <v>279</v>
      </c>
      <c r="C728" s="8" t="s">
        <v>591</v>
      </c>
      <c r="D728" s="26" t="n">
        <v>0</v>
      </c>
      <c r="E728" s="26" t="n">
        <v>0</v>
      </c>
      <c r="F728" s="26" t="n">
        <v>0</v>
      </c>
      <c r="G728" s="26" t="n">
        <v>0</v>
      </c>
      <c r="H728" s="26" t="n">
        <v>0</v>
      </c>
      <c r="I728" s="26" t="n">
        <v>-1</v>
      </c>
      <c r="J728" s="26" t="n">
        <v>0</v>
      </c>
      <c r="K728" s="26" t="n">
        <v>0</v>
      </c>
      <c r="L728" s="26" t="n">
        <v>0</v>
      </c>
      <c r="M728" s="26" t="n">
        <v>0</v>
      </c>
      <c r="N728" s="26" t="n">
        <v>0</v>
      </c>
      <c r="O728" s="26" t="n">
        <v>0</v>
      </c>
      <c r="P728" s="26" t="n">
        <v>0</v>
      </c>
      <c r="Q728" s="26" t="n">
        <v>-1</v>
      </c>
      <c r="R728" s="26" t="n">
        <v>0</v>
      </c>
      <c r="S728" s="26" t="n">
        <v>0</v>
      </c>
      <c r="T728" s="26" t="n">
        <v>0</v>
      </c>
      <c r="U728" s="26" t="n">
        <v>0</v>
      </c>
    </row>
    <row r="729" customFormat="false" ht="15" hidden="false" customHeight="true" outlineLevel="0" collapsed="false">
      <c r="A729" s="8" t="s">
        <v>944</v>
      </c>
      <c r="B729" s="8" t="s">
        <v>279</v>
      </c>
      <c r="C729" s="8" t="s">
        <v>592</v>
      </c>
      <c r="D729" s="26" t="n">
        <v>0</v>
      </c>
      <c r="E729" s="26" t="n">
        <v>0</v>
      </c>
      <c r="F729" s="26" t="n">
        <v>2</v>
      </c>
      <c r="G729" s="26" t="n">
        <v>0</v>
      </c>
      <c r="H729" s="26" t="n">
        <v>0</v>
      </c>
      <c r="I729" s="26" t="n">
        <v>-1</v>
      </c>
      <c r="J729" s="26" t="n">
        <v>0</v>
      </c>
      <c r="K729" s="26" t="n">
        <v>0</v>
      </c>
      <c r="L729" s="26" t="n">
        <v>0</v>
      </c>
      <c r="M729" s="26" t="n">
        <v>0</v>
      </c>
      <c r="N729" s="26" t="n">
        <v>0</v>
      </c>
      <c r="O729" s="26" t="n">
        <v>0</v>
      </c>
      <c r="P729" s="26" t="n">
        <v>0</v>
      </c>
      <c r="Q729" s="26" t="n">
        <v>-1</v>
      </c>
      <c r="R729" s="26" t="n">
        <v>0</v>
      </c>
      <c r="S729" s="26" t="n">
        <v>0</v>
      </c>
      <c r="T729" s="26" t="n">
        <v>0</v>
      </c>
      <c r="U729" s="26" t="n">
        <v>0</v>
      </c>
    </row>
    <row r="730" customFormat="false" ht="15" hidden="false" customHeight="true" outlineLevel="0" collapsed="false">
      <c r="A730" s="8" t="s">
        <v>944</v>
      </c>
      <c r="B730" s="8" t="s">
        <v>152</v>
      </c>
      <c r="C730" s="8" t="s">
        <v>593</v>
      </c>
      <c r="D730" s="26" t="n">
        <v>0</v>
      </c>
      <c r="E730" s="26" t="n">
        <v>0</v>
      </c>
      <c r="F730" s="26" t="n">
        <v>0</v>
      </c>
      <c r="G730" s="26" t="n">
        <v>0</v>
      </c>
      <c r="H730" s="26" t="n">
        <v>0</v>
      </c>
      <c r="I730" s="26" t="n">
        <v>-2</v>
      </c>
      <c r="J730" s="26" t="n">
        <v>0</v>
      </c>
      <c r="K730" s="26" t="n">
        <v>0</v>
      </c>
      <c r="L730" s="26" t="n">
        <v>0</v>
      </c>
      <c r="M730" s="26" t="n">
        <v>0</v>
      </c>
      <c r="N730" s="26" t="n">
        <v>0</v>
      </c>
      <c r="O730" s="26" t="n">
        <v>0</v>
      </c>
      <c r="P730" s="26" t="n">
        <v>0</v>
      </c>
      <c r="Q730" s="26" t="n">
        <v>-2</v>
      </c>
      <c r="R730" s="26" t="n">
        <v>0</v>
      </c>
      <c r="S730" s="26" t="n">
        <v>0</v>
      </c>
      <c r="T730" s="26" t="n">
        <v>0</v>
      </c>
      <c r="U730" s="26" t="n">
        <v>0</v>
      </c>
    </row>
    <row r="731" customFormat="false" ht="15" hidden="false" customHeight="true" outlineLevel="0" collapsed="false">
      <c r="A731" s="8" t="s">
        <v>944</v>
      </c>
      <c r="B731" s="8" t="s">
        <v>152</v>
      </c>
      <c r="C731" s="8" t="s">
        <v>594</v>
      </c>
      <c r="D731" s="26" t="n">
        <v>0</v>
      </c>
      <c r="E731" s="26" t="n">
        <v>0</v>
      </c>
      <c r="F731" s="26" t="n">
        <v>0</v>
      </c>
      <c r="G731" s="26" t="n">
        <v>0</v>
      </c>
      <c r="H731" s="26" t="n">
        <v>0</v>
      </c>
      <c r="I731" s="26" t="n">
        <v>-3</v>
      </c>
      <c r="J731" s="26" t="n">
        <v>0</v>
      </c>
      <c r="K731" s="26" t="n">
        <v>0</v>
      </c>
      <c r="L731" s="26" t="n">
        <v>0</v>
      </c>
      <c r="M731" s="26" t="n">
        <v>0</v>
      </c>
      <c r="N731" s="26" t="n">
        <v>0</v>
      </c>
      <c r="O731" s="26" t="n">
        <v>0</v>
      </c>
      <c r="P731" s="26" t="n">
        <v>0</v>
      </c>
      <c r="Q731" s="26" t="n">
        <v>-3</v>
      </c>
      <c r="R731" s="26" t="n">
        <v>0</v>
      </c>
      <c r="S731" s="26" t="n">
        <v>0</v>
      </c>
      <c r="T731" s="26" t="n">
        <v>0</v>
      </c>
      <c r="U731" s="26" t="n">
        <v>0</v>
      </c>
    </row>
    <row r="732" customFormat="false" ht="15" hidden="false" customHeight="true" outlineLevel="0" collapsed="false">
      <c r="A732" s="8" t="s">
        <v>944</v>
      </c>
      <c r="B732" s="8" t="s">
        <v>152</v>
      </c>
      <c r="C732" s="8" t="s">
        <v>595</v>
      </c>
      <c r="D732" s="26" t="n">
        <v>0</v>
      </c>
      <c r="E732" s="26" t="n">
        <v>0</v>
      </c>
      <c r="F732" s="26" t="n">
        <v>2</v>
      </c>
      <c r="G732" s="26" t="n">
        <v>0</v>
      </c>
      <c r="H732" s="26" t="n">
        <v>0</v>
      </c>
      <c r="I732" s="26" t="n">
        <v>-2</v>
      </c>
      <c r="J732" s="26" t="n">
        <v>0</v>
      </c>
      <c r="K732" s="26" t="n">
        <v>0</v>
      </c>
      <c r="L732" s="26" t="n">
        <v>0</v>
      </c>
      <c r="M732" s="26" t="n">
        <v>0</v>
      </c>
      <c r="N732" s="26" t="n">
        <v>0</v>
      </c>
      <c r="O732" s="26" t="n">
        <v>0</v>
      </c>
      <c r="P732" s="26" t="n">
        <v>0</v>
      </c>
      <c r="Q732" s="26" t="n">
        <v>-2</v>
      </c>
      <c r="R732" s="26" t="n">
        <v>0</v>
      </c>
      <c r="S732" s="26" t="n">
        <v>0</v>
      </c>
      <c r="T732" s="26" t="n">
        <v>0</v>
      </c>
      <c r="U732" s="26" t="n">
        <v>0</v>
      </c>
    </row>
    <row r="733" customFormat="false" ht="15" hidden="false" customHeight="true" outlineLevel="0" collapsed="false">
      <c r="A733" s="8" t="s">
        <v>944</v>
      </c>
      <c r="B733" s="8" t="s">
        <v>152</v>
      </c>
      <c r="C733" s="8" t="s">
        <v>596</v>
      </c>
      <c r="D733" s="26" t="n">
        <v>0</v>
      </c>
      <c r="E733" s="26" t="n">
        <v>0</v>
      </c>
      <c r="F733" s="26" t="n">
        <v>0</v>
      </c>
      <c r="G733" s="26" t="n">
        <v>0</v>
      </c>
      <c r="H733" s="26" t="n">
        <v>0</v>
      </c>
      <c r="I733" s="26" t="n">
        <v>-1</v>
      </c>
      <c r="J733" s="26" t="n">
        <v>0</v>
      </c>
      <c r="K733" s="26" t="n">
        <v>0</v>
      </c>
      <c r="L733" s="26" t="n">
        <v>0</v>
      </c>
      <c r="M733" s="26" t="n">
        <v>0</v>
      </c>
      <c r="N733" s="26" t="n">
        <v>0</v>
      </c>
      <c r="O733" s="26" t="n">
        <v>0</v>
      </c>
      <c r="P733" s="26" t="n">
        <v>0</v>
      </c>
      <c r="Q733" s="26" t="n">
        <v>-1</v>
      </c>
      <c r="R733" s="26" t="n">
        <v>0</v>
      </c>
      <c r="S733" s="26" t="n">
        <v>0</v>
      </c>
      <c r="T733" s="26" t="n">
        <v>0</v>
      </c>
      <c r="U733" s="26" t="n">
        <v>0</v>
      </c>
    </row>
    <row r="734" customFormat="false" ht="15" hidden="false" customHeight="true" outlineLevel="0" collapsed="false">
      <c r="A734" s="8" t="s">
        <v>944</v>
      </c>
      <c r="B734" s="8" t="s">
        <v>152</v>
      </c>
      <c r="C734" s="8" t="s">
        <v>597</v>
      </c>
      <c r="D734" s="26" t="n">
        <v>0</v>
      </c>
      <c r="E734" s="26" t="n">
        <v>0</v>
      </c>
      <c r="F734" s="26" t="n">
        <v>0</v>
      </c>
      <c r="G734" s="26" t="n">
        <v>0</v>
      </c>
      <c r="H734" s="26" t="n">
        <v>0</v>
      </c>
      <c r="I734" s="26" t="n">
        <v>-1</v>
      </c>
      <c r="J734" s="26" t="n">
        <v>0</v>
      </c>
      <c r="K734" s="26" t="n">
        <v>0</v>
      </c>
      <c r="L734" s="26" t="n">
        <v>0</v>
      </c>
      <c r="M734" s="26" t="n">
        <v>0</v>
      </c>
      <c r="N734" s="26" t="n">
        <v>0</v>
      </c>
      <c r="O734" s="26" t="n">
        <v>0</v>
      </c>
      <c r="P734" s="26" t="n">
        <v>0</v>
      </c>
      <c r="Q734" s="26" t="n">
        <v>-1</v>
      </c>
      <c r="R734" s="26" t="n">
        <v>0</v>
      </c>
      <c r="S734" s="26" t="n">
        <v>0</v>
      </c>
      <c r="T734" s="26" t="n">
        <v>0</v>
      </c>
      <c r="U734" s="26" t="n">
        <v>0</v>
      </c>
    </row>
    <row r="735" customFormat="false" ht="15" hidden="false" customHeight="true" outlineLevel="0" collapsed="false">
      <c r="A735" s="8" t="s">
        <v>944</v>
      </c>
      <c r="B735" s="8" t="s">
        <v>100</v>
      </c>
      <c r="C735" s="8" t="s">
        <v>598</v>
      </c>
      <c r="D735" s="26" t="n">
        <v>0</v>
      </c>
      <c r="E735" s="26" t="n">
        <v>0</v>
      </c>
      <c r="F735" s="26" t="n">
        <v>237</v>
      </c>
      <c r="G735" s="26" t="n">
        <v>0</v>
      </c>
      <c r="H735" s="26" t="n">
        <v>0</v>
      </c>
      <c r="I735" s="26" t="n">
        <v>1190</v>
      </c>
      <c r="J735" s="26" t="n">
        <v>0</v>
      </c>
      <c r="K735" s="26" t="n">
        <v>9</v>
      </c>
      <c r="L735" s="26" t="n">
        <v>0</v>
      </c>
      <c r="M735" s="26" t="n">
        <v>0</v>
      </c>
      <c r="N735" s="26" t="n">
        <v>3</v>
      </c>
      <c r="O735" s="26" t="n">
        <v>1</v>
      </c>
      <c r="P735" s="26" t="n">
        <v>-4</v>
      </c>
      <c r="Q735" s="26" t="n">
        <v>1045</v>
      </c>
      <c r="R735" s="26" t="n">
        <v>136</v>
      </c>
      <c r="S735" s="26" t="n">
        <v>0</v>
      </c>
      <c r="T735" s="26" t="n">
        <v>212</v>
      </c>
      <c r="U735" s="26" t="n">
        <v>0</v>
      </c>
    </row>
    <row r="736" customFormat="false" ht="15" hidden="false" customHeight="true" outlineLevel="0" collapsed="false">
      <c r="A736" s="8" t="s">
        <v>944</v>
      </c>
      <c r="B736" s="8" t="s">
        <v>100</v>
      </c>
      <c r="C736" s="8" t="s">
        <v>599</v>
      </c>
      <c r="D736" s="26" t="n">
        <v>0</v>
      </c>
      <c r="E736" s="26" t="n">
        <v>0</v>
      </c>
      <c r="F736" s="26" t="n">
        <v>182</v>
      </c>
      <c r="G736" s="26" t="n">
        <v>0</v>
      </c>
      <c r="H736" s="26" t="n">
        <v>0</v>
      </c>
      <c r="I736" s="26" t="n">
        <v>1181</v>
      </c>
      <c r="J736" s="26" t="n">
        <v>0</v>
      </c>
      <c r="K736" s="26" t="n">
        <v>13</v>
      </c>
      <c r="L736" s="26" t="n">
        <v>0</v>
      </c>
      <c r="M736" s="26" t="n">
        <v>0</v>
      </c>
      <c r="N736" s="26" t="n">
        <v>3</v>
      </c>
      <c r="O736" s="26" t="n">
        <v>1</v>
      </c>
      <c r="P736" s="26" t="n">
        <v>-2</v>
      </c>
      <c r="Q736" s="26" t="n">
        <v>1027</v>
      </c>
      <c r="R736" s="26" t="n">
        <v>139</v>
      </c>
      <c r="S736" s="26" t="n">
        <v>0</v>
      </c>
      <c r="T736" s="26" t="n">
        <v>180</v>
      </c>
      <c r="U736" s="26" t="n">
        <v>0</v>
      </c>
    </row>
    <row r="737" customFormat="false" ht="15" hidden="false" customHeight="true" outlineLevel="0" collapsed="false">
      <c r="A737" s="8" t="s">
        <v>944</v>
      </c>
      <c r="B737" s="8" t="s">
        <v>100</v>
      </c>
      <c r="C737" s="8" t="s">
        <v>600</v>
      </c>
      <c r="D737" s="26" t="n">
        <v>0</v>
      </c>
      <c r="E737" s="26" t="n">
        <v>0</v>
      </c>
      <c r="F737" s="26" t="n">
        <v>69</v>
      </c>
      <c r="G737" s="26" t="n">
        <v>0</v>
      </c>
      <c r="H737" s="26" t="n">
        <v>0</v>
      </c>
      <c r="I737" s="26" t="n">
        <v>652</v>
      </c>
      <c r="J737" s="26" t="n">
        <v>0</v>
      </c>
      <c r="K737" s="26" t="n">
        <v>3</v>
      </c>
      <c r="L737" s="26" t="n">
        <v>0</v>
      </c>
      <c r="M737" s="26" t="n">
        <v>0</v>
      </c>
      <c r="N737" s="26" t="n">
        <v>3</v>
      </c>
      <c r="O737" s="26" t="n">
        <v>1</v>
      </c>
      <c r="P737" s="26" t="n">
        <v>-5</v>
      </c>
      <c r="Q737" s="26" t="n">
        <v>589</v>
      </c>
      <c r="R737" s="26" t="n">
        <v>61</v>
      </c>
      <c r="S737" s="26" t="n">
        <v>0</v>
      </c>
      <c r="T737" s="26" t="n">
        <v>47</v>
      </c>
      <c r="U737" s="26" t="n">
        <v>0</v>
      </c>
    </row>
    <row r="738" customFormat="false" ht="15" hidden="false" customHeight="true" outlineLevel="0" collapsed="false">
      <c r="A738" s="8" t="s">
        <v>944</v>
      </c>
      <c r="B738" s="8" t="s">
        <v>100</v>
      </c>
      <c r="C738" s="8" t="s">
        <v>601</v>
      </c>
      <c r="D738" s="26" t="n">
        <v>0</v>
      </c>
      <c r="E738" s="26" t="n">
        <v>0</v>
      </c>
      <c r="F738" s="26" t="n">
        <v>169</v>
      </c>
      <c r="G738" s="26" t="n">
        <v>0</v>
      </c>
      <c r="H738" s="26" t="n">
        <v>1</v>
      </c>
      <c r="I738" s="26" t="n">
        <v>727</v>
      </c>
      <c r="J738" s="26" t="n">
        <v>0</v>
      </c>
      <c r="K738" s="26" t="n">
        <v>5</v>
      </c>
      <c r="L738" s="26" t="n">
        <v>0</v>
      </c>
      <c r="M738" s="26" t="n">
        <v>0</v>
      </c>
      <c r="N738" s="26" t="n">
        <v>3</v>
      </c>
      <c r="O738" s="26" t="n">
        <v>1</v>
      </c>
      <c r="P738" s="26" t="n">
        <v>-4</v>
      </c>
      <c r="Q738" s="26" t="n">
        <v>638</v>
      </c>
      <c r="R738" s="26" t="n">
        <v>84</v>
      </c>
      <c r="S738" s="26" t="n">
        <v>0</v>
      </c>
      <c r="T738" s="26" t="n">
        <v>131</v>
      </c>
      <c r="U738" s="26" t="n">
        <v>0</v>
      </c>
    </row>
    <row r="739" customFormat="false" ht="15" hidden="false" customHeight="true" outlineLevel="0" collapsed="false">
      <c r="A739" s="8" t="s">
        <v>944</v>
      </c>
      <c r="B739" s="8" t="s">
        <v>100</v>
      </c>
      <c r="C739" s="8" t="s">
        <v>602</v>
      </c>
      <c r="D739" s="26" t="n">
        <v>0</v>
      </c>
      <c r="E739" s="26" t="n">
        <v>0</v>
      </c>
      <c r="F739" s="26" t="n">
        <v>81</v>
      </c>
      <c r="G739" s="26" t="n">
        <v>0</v>
      </c>
      <c r="H739" s="26" t="n">
        <v>0</v>
      </c>
      <c r="I739" s="26" t="n">
        <v>256</v>
      </c>
      <c r="J739" s="26" t="n">
        <v>0</v>
      </c>
      <c r="K739" s="26" t="n">
        <v>5</v>
      </c>
      <c r="L739" s="26" t="n">
        <v>0</v>
      </c>
      <c r="M739" s="26" t="n">
        <v>0</v>
      </c>
      <c r="N739" s="26" t="n">
        <v>0</v>
      </c>
      <c r="O739" s="26" t="n">
        <v>1</v>
      </c>
      <c r="P739" s="26" t="n">
        <v>-2</v>
      </c>
      <c r="Q739" s="26" t="n">
        <v>176</v>
      </c>
      <c r="R739" s="26" t="n">
        <v>76</v>
      </c>
      <c r="S739" s="26" t="n">
        <v>0</v>
      </c>
      <c r="T739" s="26" t="n">
        <v>47</v>
      </c>
      <c r="U739" s="26" t="n">
        <v>0</v>
      </c>
    </row>
    <row r="740" customFormat="false" ht="15" hidden="false" customHeight="true" outlineLevel="0" collapsed="false">
      <c r="A740" s="8" t="s">
        <v>944</v>
      </c>
      <c r="B740" s="8" t="s">
        <v>87</v>
      </c>
      <c r="C740" s="8" t="s">
        <v>603</v>
      </c>
      <c r="D740" s="26" t="n">
        <v>0</v>
      </c>
      <c r="E740" s="26" t="n">
        <v>0</v>
      </c>
      <c r="F740" s="26" t="n">
        <v>101</v>
      </c>
      <c r="G740" s="26" t="n">
        <v>0</v>
      </c>
      <c r="H740" s="26" t="n">
        <v>0</v>
      </c>
      <c r="I740" s="26" t="n">
        <v>1365</v>
      </c>
      <c r="J740" s="26" t="n">
        <v>0</v>
      </c>
      <c r="K740" s="26" t="n">
        <v>10</v>
      </c>
      <c r="L740" s="26" t="n">
        <v>0</v>
      </c>
      <c r="M740" s="26" t="n">
        <v>1</v>
      </c>
      <c r="N740" s="26" t="n">
        <v>1</v>
      </c>
      <c r="O740" s="26" t="n">
        <v>2</v>
      </c>
      <c r="P740" s="26" t="n">
        <v>-3</v>
      </c>
      <c r="Q740" s="26" t="n">
        <v>1268</v>
      </c>
      <c r="R740" s="26" t="n">
        <v>86</v>
      </c>
      <c r="S740" s="26" t="n">
        <v>0</v>
      </c>
      <c r="T740" s="26" t="n">
        <v>0</v>
      </c>
      <c r="U740" s="26" t="n">
        <v>0</v>
      </c>
    </row>
    <row r="741" customFormat="false" ht="15" hidden="false" customHeight="true" outlineLevel="0" collapsed="false">
      <c r="A741" s="8" t="s">
        <v>944</v>
      </c>
      <c r="B741" s="8" t="s">
        <v>87</v>
      </c>
      <c r="C741" s="8" t="s">
        <v>604</v>
      </c>
      <c r="D741" s="26" t="n">
        <v>0</v>
      </c>
      <c r="E741" s="26" t="n">
        <v>0</v>
      </c>
      <c r="F741" s="26" t="n">
        <v>279</v>
      </c>
      <c r="G741" s="26" t="n">
        <v>0</v>
      </c>
      <c r="H741" s="26" t="n">
        <v>4</v>
      </c>
      <c r="I741" s="26" t="n">
        <v>2202</v>
      </c>
      <c r="J741" s="26" t="n">
        <v>0</v>
      </c>
      <c r="K741" s="26" t="n">
        <v>22</v>
      </c>
      <c r="L741" s="26" t="n">
        <v>0</v>
      </c>
      <c r="M741" s="26" t="n">
        <v>0</v>
      </c>
      <c r="N741" s="26" t="n">
        <v>1</v>
      </c>
      <c r="O741" s="26" t="n">
        <v>3</v>
      </c>
      <c r="P741" s="26" t="n">
        <v>-3</v>
      </c>
      <c r="Q741" s="26" t="n">
        <v>1997</v>
      </c>
      <c r="R741" s="26" t="n">
        <v>182</v>
      </c>
      <c r="S741" s="26" t="n">
        <v>0</v>
      </c>
      <c r="T741" s="26" t="n">
        <v>0</v>
      </c>
      <c r="U741" s="26" t="n">
        <v>0</v>
      </c>
    </row>
    <row r="742" customFormat="false" ht="15" hidden="false" customHeight="true" outlineLevel="0" collapsed="false">
      <c r="A742" s="8" t="s">
        <v>944</v>
      </c>
      <c r="B742" s="8" t="s">
        <v>87</v>
      </c>
      <c r="C742" s="8" t="s">
        <v>605</v>
      </c>
      <c r="D742" s="26" t="n">
        <v>0</v>
      </c>
      <c r="E742" s="26" t="n">
        <v>0</v>
      </c>
      <c r="F742" s="26" t="n">
        <v>240</v>
      </c>
      <c r="G742" s="26" t="n">
        <v>0</v>
      </c>
      <c r="H742" s="26" t="n">
        <v>0</v>
      </c>
      <c r="I742" s="26" t="n">
        <v>2636</v>
      </c>
      <c r="J742" s="26" t="n">
        <v>0</v>
      </c>
      <c r="K742" s="26" t="n">
        <v>25</v>
      </c>
      <c r="L742" s="26" t="n">
        <v>0</v>
      </c>
      <c r="M742" s="26" t="n">
        <v>1</v>
      </c>
      <c r="N742" s="26" t="n">
        <v>1</v>
      </c>
      <c r="O742" s="26" t="n">
        <v>3</v>
      </c>
      <c r="P742" s="26" t="n">
        <v>-7</v>
      </c>
      <c r="Q742" s="26" t="n">
        <v>2418</v>
      </c>
      <c r="R742" s="26" t="n">
        <v>195</v>
      </c>
      <c r="S742" s="26" t="n">
        <v>0</v>
      </c>
      <c r="T742" s="26" t="n">
        <v>0</v>
      </c>
      <c r="U742" s="26" t="n">
        <v>-1</v>
      </c>
    </row>
    <row r="743" customFormat="false" ht="15" hidden="false" customHeight="true" outlineLevel="0" collapsed="false">
      <c r="A743" s="8" t="s">
        <v>944</v>
      </c>
      <c r="B743" s="8" t="s">
        <v>87</v>
      </c>
      <c r="C743" s="8" t="s">
        <v>606</v>
      </c>
      <c r="D743" s="26" t="n">
        <v>0</v>
      </c>
      <c r="E743" s="26" t="n">
        <v>0</v>
      </c>
      <c r="F743" s="26" t="n">
        <v>256</v>
      </c>
      <c r="G743" s="26" t="n">
        <v>0</v>
      </c>
      <c r="H743" s="26" t="n">
        <v>2</v>
      </c>
      <c r="I743" s="26" t="n">
        <v>1810</v>
      </c>
      <c r="J743" s="26" t="n">
        <v>0</v>
      </c>
      <c r="K743" s="26" t="n">
        <v>10</v>
      </c>
      <c r="L743" s="26" t="n">
        <v>0</v>
      </c>
      <c r="M743" s="26" t="n">
        <v>1</v>
      </c>
      <c r="N743" s="26" t="n">
        <v>1</v>
      </c>
      <c r="O743" s="26" t="n">
        <v>1</v>
      </c>
      <c r="P743" s="26" t="n">
        <v>-4</v>
      </c>
      <c r="Q743" s="26" t="n">
        <v>1648</v>
      </c>
      <c r="R743" s="26" t="n">
        <v>153</v>
      </c>
      <c r="S743" s="26" t="n">
        <v>0</v>
      </c>
      <c r="T743" s="26" t="n">
        <v>0</v>
      </c>
      <c r="U743" s="26" t="n">
        <v>0</v>
      </c>
    </row>
    <row r="744" customFormat="false" ht="15" hidden="false" customHeight="true" outlineLevel="0" collapsed="false">
      <c r="A744" s="8" t="s">
        <v>944</v>
      </c>
      <c r="B744" s="8" t="s">
        <v>114</v>
      </c>
      <c r="C744" s="8" t="s">
        <v>607</v>
      </c>
      <c r="D744" s="26" t="n">
        <v>0</v>
      </c>
      <c r="E744" s="26" t="n">
        <v>0</v>
      </c>
      <c r="F744" s="26" t="n">
        <v>29</v>
      </c>
      <c r="G744" s="26" t="n">
        <v>0</v>
      </c>
      <c r="H744" s="26" t="n">
        <v>0</v>
      </c>
      <c r="I744" s="26" t="n">
        <v>365</v>
      </c>
      <c r="J744" s="26" t="n">
        <v>0</v>
      </c>
      <c r="K744" s="26" t="n">
        <v>4</v>
      </c>
      <c r="L744" s="26" t="n">
        <v>0</v>
      </c>
      <c r="M744" s="26" t="n">
        <v>0</v>
      </c>
      <c r="N744" s="26" t="n">
        <v>0</v>
      </c>
      <c r="O744" s="26" t="n">
        <v>1</v>
      </c>
      <c r="P744" s="26" t="n">
        <v>-3</v>
      </c>
      <c r="Q744" s="26" t="n">
        <v>306</v>
      </c>
      <c r="R744" s="26" t="n">
        <v>57</v>
      </c>
      <c r="S744" s="26" t="n">
        <v>0</v>
      </c>
      <c r="T744" s="26" t="n">
        <v>39</v>
      </c>
      <c r="U744" s="26" t="n">
        <v>-1</v>
      </c>
    </row>
    <row r="745" customFormat="false" ht="15" hidden="false" customHeight="true" outlineLevel="0" collapsed="false">
      <c r="A745" s="8" t="s">
        <v>944</v>
      </c>
      <c r="B745" s="8" t="s">
        <v>114</v>
      </c>
      <c r="C745" s="8" t="s">
        <v>608</v>
      </c>
      <c r="D745" s="26" t="n">
        <v>0</v>
      </c>
      <c r="E745" s="26" t="n">
        <v>0</v>
      </c>
      <c r="F745" s="26" t="n">
        <v>86</v>
      </c>
      <c r="G745" s="26" t="n">
        <v>0</v>
      </c>
      <c r="H745" s="26" t="n">
        <v>5</v>
      </c>
      <c r="I745" s="26" t="n">
        <v>1004</v>
      </c>
      <c r="J745" s="26" t="n">
        <v>0</v>
      </c>
      <c r="K745" s="26" t="n">
        <v>14</v>
      </c>
      <c r="L745" s="26" t="n">
        <v>0</v>
      </c>
      <c r="M745" s="26" t="n">
        <v>0</v>
      </c>
      <c r="N745" s="26" t="n">
        <v>0</v>
      </c>
      <c r="O745" s="26" t="n">
        <v>2</v>
      </c>
      <c r="P745" s="26" t="n">
        <v>-3</v>
      </c>
      <c r="Q745" s="26" t="n">
        <v>786</v>
      </c>
      <c r="R745" s="26" t="n">
        <v>205</v>
      </c>
      <c r="S745" s="26" t="n">
        <v>0</v>
      </c>
      <c r="T745" s="26" t="n">
        <v>104</v>
      </c>
      <c r="U745" s="26" t="n">
        <v>-1</v>
      </c>
    </row>
    <row r="746" customFormat="false" ht="15" hidden="false" customHeight="true" outlineLevel="0" collapsed="false">
      <c r="A746" s="8" t="s">
        <v>944</v>
      </c>
      <c r="B746" s="8" t="s">
        <v>114</v>
      </c>
      <c r="C746" s="8" t="s">
        <v>609</v>
      </c>
      <c r="D746" s="26" t="n">
        <v>0</v>
      </c>
      <c r="E746" s="26" t="n">
        <v>0</v>
      </c>
      <c r="F746" s="26" t="n">
        <v>62</v>
      </c>
      <c r="G746" s="26" t="n">
        <v>0</v>
      </c>
      <c r="H746" s="26" t="n">
        <v>5</v>
      </c>
      <c r="I746" s="26" t="n">
        <v>999</v>
      </c>
      <c r="J746" s="26" t="n">
        <v>0</v>
      </c>
      <c r="K746" s="26" t="n">
        <v>10</v>
      </c>
      <c r="L746" s="26" t="n">
        <v>0</v>
      </c>
      <c r="M746" s="26" t="n">
        <v>0</v>
      </c>
      <c r="N746" s="26" t="n">
        <v>0</v>
      </c>
      <c r="O746" s="26" t="n">
        <v>1</v>
      </c>
      <c r="P746" s="26" t="n">
        <v>-2</v>
      </c>
      <c r="Q746" s="26" t="n">
        <v>844</v>
      </c>
      <c r="R746" s="26" t="n">
        <v>146</v>
      </c>
      <c r="S746" s="26" t="n">
        <v>1</v>
      </c>
      <c r="T746" s="26" t="n">
        <v>140</v>
      </c>
      <c r="U746" s="26" t="n">
        <v>-1</v>
      </c>
    </row>
    <row r="747" customFormat="false" ht="15" hidden="false" customHeight="true" outlineLevel="0" collapsed="false">
      <c r="A747" s="8" t="s">
        <v>944</v>
      </c>
      <c r="B747" s="8" t="s">
        <v>114</v>
      </c>
      <c r="C747" s="8" t="s">
        <v>610</v>
      </c>
      <c r="D747" s="26" t="n">
        <v>0</v>
      </c>
      <c r="E747" s="26" t="n">
        <v>0</v>
      </c>
      <c r="F747" s="26" t="n">
        <v>67</v>
      </c>
      <c r="G747" s="26" t="n">
        <v>0</v>
      </c>
      <c r="H747" s="26" t="n">
        <v>0</v>
      </c>
      <c r="I747" s="26" t="n">
        <v>784</v>
      </c>
      <c r="J747" s="26" t="n">
        <v>0</v>
      </c>
      <c r="K747" s="26" t="n">
        <v>7</v>
      </c>
      <c r="L747" s="26" t="n">
        <v>0</v>
      </c>
      <c r="M747" s="26" t="n">
        <v>0</v>
      </c>
      <c r="N747" s="26" t="n">
        <v>0</v>
      </c>
      <c r="O747" s="26" t="n">
        <v>4</v>
      </c>
      <c r="P747" s="26" t="n">
        <v>-5</v>
      </c>
      <c r="Q747" s="26" t="n">
        <v>641</v>
      </c>
      <c r="R747" s="26" t="n">
        <v>137</v>
      </c>
      <c r="S747" s="26" t="n">
        <v>0</v>
      </c>
      <c r="T747" s="26" t="n">
        <v>118</v>
      </c>
      <c r="U747" s="26" t="n">
        <v>0</v>
      </c>
    </row>
    <row r="748" customFormat="false" ht="15" hidden="false" customHeight="true" outlineLevel="0" collapsed="false">
      <c r="A748" s="8" t="s">
        <v>944</v>
      </c>
      <c r="B748" s="8" t="s">
        <v>114</v>
      </c>
      <c r="C748" s="8" t="s">
        <v>611</v>
      </c>
      <c r="D748" s="26" t="n">
        <v>0</v>
      </c>
      <c r="E748" s="26" t="n">
        <v>0</v>
      </c>
      <c r="F748" s="26" t="n">
        <v>31</v>
      </c>
      <c r="G748" s="26" t="n">
        <v>0</v>
      </c>
      <c r="H748" s="26" t="n">
        <v>0</v>
      </c>
      <c r="I748" s="26" t="n">
        <v>172</v>
      </c>
      <c r="J748" s="26" t="n">
        <v>0</v>
      </c>
      <c r="K748" s="26" t="n">
        <v>4</v>
      </c>
      <c r="L748" s="26" t="n">
        <v>0</v>
      </c>
      <c r="M748" s="26" t="n">
        <v>0</v>
      </c>
      <c r="N748" s="26" t="n">
        <v>0</v>
      </c>
      <c r="O748" s="26" t="n">
        <v>0</v>
      </c>
      <c r="P748" s="26" t="n">
        <v>-14</v>
      </c>
      <c r="Q748" s="26" t="n">
        <v>98</v>
      </c>
      <c r="R748" s="26" t="n">
        <v>84</v>
      </c>
      <c r="S748" s="26" t="n">
        <v>0</v>
      </c>
      <c r="T748" s="26" t="n">
        <v>41</v>
      </c>
      <c r="U748" s="26" t="n">
        <v>0</v>
      </c>
    </row>
    <row r="749" customFormat="false" ht="15" hidden="false" customHeight="true" outlineLevel="0" collapsed="false">
      <c r="A749" s="8" t="s">
        <v>944</v>
      </c>
      <c r="B749" s="8" t="s">
        <v>187</v>
      </c>
      <c r="C749" s="8" t="s">
        <v>612</v>
      </c>
      <c r="D749" s="26" t="n">
        <v>0</v>
      </c>
      <c r="E749" s="26" t="n">
        <v>0</v>
      </c>
      <c r="F749" s="26" t="n">
        <v>1</v>
      </c>
      <c r="G749" s="26" t="n">
        <v>0</v>
      </c>
      <c r="H749" s="26" t="n">
        <v>0</v>
      </c>
      <c r="I749" s="26" t="n">
        <v>0</v>
      </c>
      <c r="J749" s="26" t="n">
        <v>0</v>
      </c>
      <c r="K749" s="26" t="n">
        <v>0</v>
      </c>
      <c r="L749" s="26" t="n">
        <v>0</v>
      </c>
      <c r="M749" s="26" t="n">
        <v>0</v>
      </c>
      <c r="N749" s="26" t="n">
        <v>0</v>
      </c>
      <c r="O749" s="26" t="n">
        <v>0</v>
      </c>
      <c r="P749" s="26" t="n">
        <v>0</v>
      </c>
      <c r="Q749" s="26" t="n">
        <v>0</v>
      </c>
      <c r="R749" s="26" t="n">
        <v>0</v>
      </c>
      <c r="S749" s="26" t="n">
        <v>0</v>
      </c>
      <c r="T749" s="26" t="n">
        <v>0</v>
      </c>
      <c r="U749" s="26" t="n">
        <v>0</v>
      </c>
    </row>
    <row r="750" customFormat="false" ht="15" hidden="false" customHeight="true" outlineLevel="0" collapsed="false">
      <c r="A750" s="8" t="s">
        <v>944</v>
      </c>
      <c r="B750" s="8" t="s">
        <v>187</v>
      </c>
      <c r="C750" s="8" t="s">
        <v>613</v>
      </c>
      <c r="D750" s="26" t="n">
        <v>0</v>
      </c>
      <c r="E750" s="26" t="n">
        <v>0</v>
      </c>
      <c r="F750" s="26" t="n">
        <v>3</v>
      </c>
      <c r="G750" s="26" t="n">
        <v>0</v>
      </c>
      <c r="H750" s="26" t="n">
        <v>0</v>
      </c>
      <c r="I750" s="26" t="n">
        <v>5</v>
      </c>
      <c r="J750" s="26" t="n">
        <v>0</v>
      </c>
      <c r="K750" s="26" t="n">
        <v>0</v>
      </c>
      <c r="L750" s="26" t="n">
        <v>0</v>
      </c>
      <c r="M750" s="26" t="n">
        <v>0</v>
      </c>
      <c r="N750" s="26" t="n">
        <v>0</v>
      </c>
      <c r="O750" s="26" t="n">
        <v>0</v>
      </c>
      <c r="P750" s="26" t="n">
        <v>0</v>
      </c>
      <c r="Q750" s="26" t="n">
        <v>5</v>
      </c>
      <c r="R750" s="26" t="n">
        <v>0</v>
      </c>
      <c r="S750" s="26" t="n">
        <v>0</v>
      </c>
      <c r="T750" s="26" t="n">
        <v>0</v>
      </c>
      <c r="U750" s="26" t="n">
        <v>0</v>
      </c>
    </row>
    <row r="751" customFormat="false" ht="15" hidden="false" customHeight="true" outlineLevel="0" collapsed="false">
      <c r="A751" s="8" t="s">
        <v>944</v>
      </c>
      <c r="B751" s="8" t="s">
        <v>187</v>
      </c>
      <c r="C751" s="8" t="s">
        <v>614</v>
      </c>
      <c r="D751" s="26" t="n">
        <v>0</v>
      </c>
      <c r="E751" s="26" t="n">
        <v>0</v>
      </c>
      <c r="F751" s="26" t="n">
        <v>2</v>
      </c>
      <c r="G751" s="26" t="n">
        <v>0</v>
      </c>
      <c r="H751" s="26" t="n">
        <v>0</v>
      </c>
      <c r="I751" s="26" t="n">
        <v>3</v>
      </c>
      <c r="J751" s="26" t="n">
        <v>0</v>
      </c>
      <c r="K751" s="26" t="n">
        <v>0</v>
      </c>
      <c r="L751" s="26" t="n">
        <v>0</v>
      </c>
      <c r="M751" s="26" t="n">
        <v>0</v>
      </c>
      <c r="N751" s="26" t="n">
        <v>0</v>
      </c>
      <c r="O751" s="26" t="n">
        <v>0</v>
      </c>
      <c r="P751" s="26" t="n">
        <v>0</v>
      </c>
      <c r="Q751" s="26" t="n">
        <v>3</v>
      </c>
      <c r="R751" s="26" t="n">
        <v>0</v>
      </c>
      <c r="S751" s="26" t="n">
        <v>0</v>
      </c>
      <c r="T751" s="26" t="n">
        <v>0</v>
      </c>
      <c r="U751" s="26" t="n">
        <v>0</v>
      </c>
    </row>
    <row r="752" customFormat="false" ht="15" hidden="false" customHeight="true" outlineLevel="0" collapsed="false">
      <c r="A752" s="8" t="s">
        <v>944</v>
      </c>
      <c r="B752" s="8" t="s">
        <v>187</v>
      </c>
      <c r="C752" s="8" t="s">
        <v>615</v>
      </c>
      <c r="D752" s="26" t="n">
        <v>0</v>
      </c>
      <c r="E752" s="26" t="n">
        <v>0</v>
      </c>
      <c r="F752" s="26" t="n">
        <v>1</v>
      </c>
      <c r="G752" s="26" t="n">
        <v>0</v>
      </c>
      <c r="H752" s="26" t="n">
        <v>0</v>
      </c>
      <c r="I752" s="26" t="n">
        <v>0</v>
      </c>
      <c r="J752" s="26" t="n">
        <v>0</v>
      </c>
      <c r="K752" s="26" t="n">
        <v>0</v>
      </c>
      <c r="L752" s="26" t="n">
        <v>0</v>
      </c>
      <c r="M752" s="26" t="n">
        <v>0</v>
      </c>
      <c r="N752" s="26" t="n">
        <v>0</v>
      </c>
      <c r="O752" s="26" t="n">
        <v>0</v>
      </c>
      <c r="P752" s="26" t="n">
        <v>0</v>
      </c>
      <c r="Q752" s="26" t="n">
        <v>0</v>
      </c>
      <c r="R752" s="26" t="n">
        <v>0</v>
      </c>
      <c r="S752" s="26" t="n">
        <v>0</v>
      </c>
      <c r="T752" s="26" t="n">
        <v>0</v>
      </c>
      <c r="U752" s="26" t="n">
        <v>0</v>
      </c>
    </row>
    <row r="753" customFormat="false" ht="15" hidden="false" customHeight="true" outlineLevel="0" collapsed="false">
      <c r="A753" s="8" t="s">
        <v>944</v>
      </c>
      <c r="B753" s="8" t="s">
        <v>168</v>
      </c>
      <c r="C753" s="8" t="s">
        <v>617</v>
      </c>
      <c r="D753" s="26" t="n">
        <v>0</v>
      </c>
      <c r="E753" s="26" t="n">
        <v>0</v>
      </c>
      <c r="F753" s="26" t="n">
        <v>6</v>
      </c>
      <c r="G753" s="26" t="n">
        <v>0</v>
      </c>
      <c r="H753" s="26" t="n">
        <v>0</v>
      </c>
      <c r="I753" s="26" t="n">
        <v>12</v>
      </c>
      <c r="J753" s="26" t="n">
        <v>0</v>
      </c>
      <c r="K753" s="26" t="n">
        <v>0</v>
      </c>
      <c r="L753" s="26" t="n">
        <v>0</v>
      </c>
      <c r="M753" s="26" t="n">
        <v>0</v>
      </c>
      <c r="N753" s="26" t="n">
        <v>0</v>
      </c>
      <c r="O753" s="26" t="n">
        <v>0</v>
      </c>
      <c r="P753" s="26" t="n">
        <v>0</v>
      </c>
      <c r="Q753" s="26" t="n">
        <v>12</v>
      </c>
      <c r="R753" s="26" t="n">
        <v>0</v>
      </c>
      <c r="S753" s="26" t="n">
        <v>0</v>
      </c>
      <c r="T753" s="26" t="n">
        <v>1</v>
      </c>
      <c r="U753" s="26" t="n">
        <v>0</v>
      </c>
    </row>
    <row r="754" customFormat="false" ht="15" hidden="false" customHeight="true" outlineLevel="0" collapsed="false">
      <c r="A754" s="8" t="s">
        <v>944</v>
      </c>
      <c r="B754" s="8" t="s">
        <v>168</v>
      </c>
      <c r="C754" s="8" t="s">
        <v>618</v>
      </c>
      <c r="D754" s="26" t="n">
        <v>0</v>
      </c>
      <c r="E754" s="26" t="n">
        <v>0</v>
      </c>
      <c r="F754" s="26" t="n">
        <v>23</v>
      </c>
      <c r="G754" s="26" t="n">
        <v>0</v>
      </c>
      <c r="H754" s="26" t="n">
        <v>0</v>
      </c>
      <c r="I754" s="26" t="n">
        <v>45</v>
      </c>
      <c r="J754" s="26" t="n">
        <v>0</v>
      </c>
      <c r="K754" s="26" t="n">
        <v>0</v>
      </c>
      <c r="L754" s="26" t="n">
        <v>0</v>
      </c>
      <c r="M754" s="26" t="n">
        <v>0</v>
      </c>
      <c r="N754" s="26" t="n">
        <v>0</v>
      </c>
      <c r="O754" s="26" t="n">
        <v>0</v>
      </c>
      <c r="P754" s="26" t="n">
        <v>-3</v>
      </c>
      <c r="Q754" s="26" t="n">
        <v>29</v>
      </c>
      <c r="R754" s="26" t="n">
        <v>19</v>
      </c>
      <c r="S754" s="26" t="n">
        <v>0</v>
      </c>
      <c r="T754" s="26" t="n">
        <v>9</v>
      </c>
      <c r="U754" s="26" t="n">
        <v>0</v>
      </c>
    </row>
    <row r="755" customFormat="false" ht="15" hidden="false" customHeight="true" outlineLevel="0" collapsed="false">
      <c r="A755" s="8" t="s">
        <v>944</v>
      </c>
      <c r="B755" s="8" t="s">
        <v>168</v>
      </c>
      <c r="C755" s="8" t="s">
        <v>619</v>
      </c>
      <c r="D755" s="26" t="n">
        <v>0</v>
      </c>
      <c r="E755" s="26" t="n">
        <v>0</v>
      </c>
      <c r="F755" s="26" t="n">
        <v>7</v>
      </c>
      <c r="G755" s="26" t="n">
        <v>0</v>
      </c>
      <c r="H755" s="26" t="n">
        <v>0</v>
      </c>
      <c r="I755" s="26" t="n">
        <v>35</v>
      </c>
      <c r="J755" s="26" t="n">
        <v>0</v>
      </c>
      <c r="K755" s="26" t="n">
        <v>0</v>
      </c>
      <c r="L755" s="26" t="n">
        <v>0</v>
      </c>
      <c r="M755" s="26" t="n">
        <v>0</v>
      </c>
      <c r="N755" s="26" t="n">
        <v>0</v>
      </c>
      <c r="O755" s="26" t="n">
        <v>0</v>
      </c>
      <c r="P755" s="26" t="n">
        <v>0</v>
      </c>
      <c r="Q755" s="26" t="n">
        <v>23</v>
      </c>
      <c r="R755" s="26" t="n">
        <v>12</v>
      </c>
      <c r="S755" s="26" t="n">
        <v>0</v>
      </c>
      <c r="T755" s="26" t="n">
        <v>0</v>
      </c>
      <c r="U755" s="26" t="n">
        <v>0</v>
      </c>
    </row>
    <row r="756" customFormat="false" ht="15" hidden="false" customHeight="true" outlineLevel="0" collapsed="false">
      <c r="A756" s="8" t="s">
        <v>944</v>
      </c>
      <c r="B756" s="8" t="s">
        <v>168</v>
      </c>
      <c r="C756" s="8" t="s">
        <v>620</v>
      </c>
      <c r="D756" s="26" t="n">
        <v>0</v>
      </c>
      <c r="E756" s="26" t="n">
        <v>0</v>
      </c>
      <c r="F756" s="26" t="n">
        <v>12</v>
      </c>
      <c r="G756" s="26" t="n">
        <v>0</v>
      </c>
      <c r="H756" s="26" t="n">
        <v>0</v>
      </c>
      <c r="I756" s="26" t="n">
        <v>49</v>
      </c>
      <c r="J756" s="26" t="n">
        <v>0</v>
      </c>
      <c r="K756" s="26" t="n">
        <v>0</v>
      </c>
      <c r="L756" s="26" t="n">
        <v>0</v>
      </c>
      <c r="M756" s="26" t="n">
        <v>0</v>
      </c>
      <c r="N756" s="26" t="n">
        <v>0</v>
      </c>
      <c r="O756" s="26" t="n">
        <v>0</v>
      </c>
      <c r="P756" s="26" t="n">
        <v>-1</v>
      </c>
      <c r="Q756" s="26" t="n">
        <v>37</v>
      </c>
      <c r="R756" s="26" t="n">
        <v>13</v>
      </c>
      <c r="S756" s="26" t="n">
        <v>0</v>
      </c>
      <c r="T756" s="26" t="n">
        <v>11</v>
      </c>
      <c r="U756" s="26" t="n">
        <v>0</v>
      </c>
    </row>
    <row r="757" customFormat="false" ht="15" hidden="false" customHeight="true" outlineLevel="0" collapsed="false">
      <c r="A757" s="8" t="s">
        <v>944</v>
      </c>
      <c r="B757" s="8" t="s">
        <v>168</v>
      </c>
      <c r="C757" s="8" t="s">
        <v>621</v>
      </c>
      <c r="D757" s="26" t="n">
        <v>0</v>
      </c>
      <c r="E757" s="26" t="n">
        <v>0</v>
      </c>
      <c r="F757" s="26" t="n">
        <v>5</v>
      </c>
      <c r="G757" s="26" t="n">
        <v>0</v>
      </c>
      <c r="H757" s="26" t="n">
        <v>0</v>
      </c>
      <c r="I757" s="26" t="n">
        <v>2</v>
      </c>
      <c r="J757" s="26" t="n">
        <v>0</v>
      </c>
      <c r="K757" s="26" t="n">
        <v>0</v>
      </c>
      <c r="L757" s="26" t="n">
        <v>0</v>
      </c>
      <c r="M757" s="26" t="n">
        <v>0</v>
      </c>
      <c r="N757" s="26" t="n">
        <v>0</v>
      </c>
      <c r="O757" s="26" t="n">
        <v>0</v>
      </c>
      <c r="P757" s="26" t="n">
        <v>0</v>
      </c>
      <c r="Q757" s="26" t="n">
        <v>2</v>
      </c>
      <c r="R757" s="26" t="n">
        <v>0</v>
      </c>
      <c r="S757" s="26" t="n">
        <v>0</v>
      </c>
      <c r="T757" s="26" t="n">
        <v>0</v>
      </c>
      <c r="U757" s="26" t="n">
        <v>0</v>
      </c>
    </row>
    <row r="758" customFormat="false" ht="15" hidden="false" customHeight="true" outlineLevel="0" collapsed="false">
      <c r="A758" s="8" t="s">
        <v>944</v>
      </c>
      <c r="B758" s="8" t="s">
        <v>203</v>
      </c>
      <c r="C758" s="8" t="s">
        <v>957</v>
      </c>
      <c r="D758" s="26" t="n">
        <v>0</v>
      </c>
      <c r="E758" s="26" t="n">
        <v>0</v>
      </c>
      <c r="F758" s="26" t="n">
        <v>-1</v>
      </c>
      <c r="G758" s="26" t="n">
        <v>0</v>
      </c>
      <c r="H758" s="26" t="n">
        <v>0</v>
      </c>
      <c r="I758" s="26" t="n">
        <v>0</v>
      </c>
      <c r="J758" s="26" t="n">
        <v>0</v>
      </c>
      <c r="K758" s="26" t="n">
        <v>0</v>
      </c>
      <c r="L758" s="26" t="n">
        <v>0</v>
      </c>
      <c r="M758" s="26" t="n">
        <v>0</v>
      </c>
      <c r="N758" s="26" t="n">
        <v>0</v>
      </c>
      <c r="O758" s="26" t="n">
        <v>0</v>
      </c>
      <c r="P758" s="26" t="n">
        <v>0</v>
      </c>
      <c r="Q758" s="26" t="n">
        <v>0</v>
      </c>
      <c r="R758" s="26" t="n">
        <v>0</v>
      </c>
      <c r="S758" s="26" t="n">
        <v>0</v>
      </c>
      <c r="T758" s="26" t="n">
        <v>0</v>
      </c>
      <c r="U758" s="26" t="n">
        <v>0</v>
      </c>
    </row>
    <row r="759" customFormat="false" ht="15" hidden="false" customHeight="true" outlineLevel="0" collapsed="false">
      <c r="A759" s="8" t="s">
        <v>944</v>
      </c>
      <c r="B759" s="8" t="s">
        <v>203</v>
      </c>
      <c r="C759" s="8" t="s">
        <v>622</v>
      </c>
      <c r="D759" s="26" t="n">
        <v>0</v>
      </c>
      <c r="E759" s="26" t="n">
        <v>0</v>
      </c>
      <c r="F759" s="26" t="n">
        <v>4</v>
      </c>
      <c r="G759" s="26" t="n">
        <v>0</v>
      </c>
      <c r="H759" s="26" t="n">
        <v>0</v>
      </c>
      <c r="I759" s="26" t="n">
        <v>-2</v>
      </c>
      <c r="J759" s="26" t="n">
        <v>0</v>
      </c>
      <c r="K759" s="26" t="n">
        <v>0</v>
      </c>
      <c r="L759" s="26" t="n">
        <v>-1</v>
      </c>
      <c r="M759" s="26" t="n">
        <v>0</v>
      </c>
      <c r="N759" s="26" t="n">
        <v>0</v>
      </c>
      <c r="O759" s="26" t="n">
        <v>0</v>
      </c>
      <c r="P759" s="26" t="n">
        <v>0</v>
      </c>
      <c r="Q759" s="26" t="n">
        <v>-1</v>
      </c>
      <c r="R759" s="26" t="n">
        <v>0</v>
      </c>
      <c r="S759" s="26" t="n">
        <v>0</v>
      </c>
      <c r="T759" s="26" t="n">
        <v>0</v>
      </c>
      <c r="U759" s="26" t="n">
        <v>0</v>
      </c>
    </row>
    <row r="760" customFormat="false" ht="15" hidden="false" customHeight="true" outlineLevel="0" collapsed="false">
      <c r="A760" s="8" t="s">
        <v>944</v>
      </c>
      <c r="B760" s="8" t="s">
        <v>203</v>
      </c>
      <c r="C760" s="8" t="s">
        <v>623</v>
      </c>
      <c r="D760" s="26" t="n">
        <v>0</v>
      </c>
      <c r="E760" s="26" t="n">
        <v>0</v>
      </c>
      <c r="F760" s="26" t="n">
        <v>1</v>
      </c>
      <c r="G760" s="26" t="n">
        <v>0</v>
      </c>
      <c r="H760" s="26" t="n">
        <v>0</v>
      </c>
      <c r="I760" s="26" t="n">
        <v>0</v>
      </c>
      <c r="J760" s="26" t="n">
        <v>0</v>
      </c>
      <c r="K760" s="26" t="n">
        <v>0</v>
      </c>
      <c r="L760" s="26" t="n">
        <v>0</v>
      </c>
      <c r="M760" s="26" t="n">
        <v>0</v>
      </c>
      <c r="N760" s="26" t="n">
        <v>0</v>
      </c>
      <c r="O760" s="26" t="n">
        <v>0</v>
      </c>
      <c r="P760" s="26" t="n">
        <v>0</v>
      </c>
      <c r="Q760" s="26" t="n">
        <v>0</v>
      </c>
      <c r="R760" s="26" t="n">
        <v>0</v>
      </c>
      <c r="S760" s="26" t="n">
        <v>0</v>
      </c>
      <c r="T760" s="26" t="n">
        <v>0</v>
      </c>
      <c r="U760" s="26" t="n">
        <v>0</v>
      </c>
    </row>
    <row r="761" customFormat="false" ht="15" hidden="false" customHeight="true" outlineLevel="0" collapsed="false">
      <c r="A761" s="8" t="s">
        <v>944</v>
      </c>
      <c r="B761" s="8" t="s">
        <v>203</v>
      </c>
      <c r="C761" s="8" t="s">
        <v>624</v>
      </c>
      <c r="D761" s="26" t="n">
        <v>0</v>
      </c>
      <c r="E761" s="26" t="n">
        <v>0</v>
      </c>
      <c r="F761" s="26" t="n">
        <v>1</v>
      </c>
      <c r="G761" s="26" t="n">
        <v>0</v>
      </c>
      <c r="H761" s="26" t="n">
        <v>0</v>
      </c>
      <c r="I761" s="26" t="n">
        <v>-1</v>
      </c>
      <c r="J761" s="26" t="n">
        <v>0</v>
      </c>
      <c r="K761" s="26" t="n">
        <v>0</v>
      </c>
      <c r="L761" s="26" t="n">
        <v>0</v>
      </c>
      <c r="M761" s="26" t="n">
        <v>0</v>
      </c>
      <c r="N761" s="26" t="n">
        <v>0</v>
      </c>
      <c r="O761" s="26" t="n">
        <v>0</v>
      </c>
      <c r="P761" s="26" t="n">
        <v>0</v>
      </c>
      <c r="Q761" s="26" t="n">
        <v>-1</v>
      </c>
      <c r="R761" s="26" t="n">
        <v>0</v>
      </c>
      <c r="S761" s="26" t="n">
        <v>0</v>
      </c>
      <c r="T761" s="26" t="n">
        <v>0</v>
      </c>
      <c r="U761" s="26" t="n">
        <v>0</v>
      </c>
    </row>
    <row r="762" customFormat="false" ht="15" hidden="false" customHeight="true" outlineLevel="0" collapsed="false">
      <c r="A762" s="8" t="s">
        <v>944</v>
      </c>
      <c r="B762" s="8" t="s">
        <v>313</v>
      </c>
      <c r="C762" s="8" t="s">
        <v>626</v>
      </c>
      <c r="D762" s="26" t="n">
        <v>0</v>
      </c>
      <c r="E762" s="26" t="n">
        <v>0</v>
      </c>
      <c r="F762" s="26" t="n">
        <v>3</v>
      </c>
      <c r="G762" s="26" t="n">
        <v>0</v>
      </c>
      <c r="H762" s="26" t="n">
        <v>0</v>
      </c>
      <c r="I762" s="26" t="n">
        <v>0</v>
      </c>
      <c r="J762" s="26" t="n">
        <v>0</v>
      </c>
      <c r="K762" s="26" t="n">
        <v>0</v>
      </c>
      <c r="L762" s="26" t="n">
        <v>0</v>
      </c>
      <c r="M762" s="26" t="n">
        <v>0</v>
      </c>
      <c r="N762" s="26" t="n">
        <v>0</v>
      </c>
      <c r="O762" s="26" t="n">
        <v>0</v>
      </c>
      <c r="P762" s="26" t="n">
        <v>0</v>
      </c>
      <c r="Q762" s="26" t="n">
        <v>0</v>
      </c>
      <c r="R762" s="26" t="n">
        <v>0</v>
      </c>
      <c r="S762" s="26" t="n">
        <v>0</v>
      </c>
      <c r="T762" s="26" t="n">
        <v>0</v>
      </c>
      <c r="U762" s="26" t="n">
        <v>0</v>
      </c>
    </row>
    <row r="763" customFormat="false" ht="15" hidden="false" customHeight="true" outlineLevel="0" collapsed="false">
      <c r="A763" s="8" t="s">
        <v>944</v>
      </c>
      <c r="B763" s="8" t="s">
        <v>313</v>
      </c>
      <c r="C763" s="8" t="s">
        <v>627</v>
      </c>
      <c r="D763" s="26" t="n">
        <v>0</v>
      </c>
      <c r="E763" s="26" t="n">
        <v>0</v>
      </c>
      <c r="F763" s="26" t="n">
        <v>-1</v>
      </c>
      <c r="G763" s="26" t="n">
        <v>0</v>
      </c>
      <c r="H763" s="26" t="n">
        <v>0</v>
      </c>
      <c r="I763" s="26" t="n">
        <v>0</v>
      </c>
      <c r="J763" s="26" t="n">
        <v>0</v>
      </c>
      <c r="K763" s="26" t="n">
        <v>0</v>
      </c>
      <c r="L763" s="26" t="n">
        <v>0</v>
      </c>
      <c r="M763" s="26" t="n">
        <v>0</v>
      </c>
      <c r="N763" s="26" t="n">
        <v>0</v>
      </c>
      <c r="O763" s="26" t="n">
        <v>0</v>
      </c>
      <c r="P763" s="26" t="n">
        <v>0</v>
      </c>
      <c r="Q763" s="26" t="n">
        <v>0</v>
      </c>
      <c r="R763" s="26" t="n">
        <v>0</v>
      </c>
      <c r="S763" s="26" t="n">
        <v>0</v>
      </c>
      <c r="T763" s="26" t="n">
        <v>0</v>
      </c>
      <c r="U763" s="26" t="n">
        <v>0</v>
      </c>
    </row>
    <row r="764" customFormat="false" ht="15" hidden="false" customHeight="true" outlineLevel="0" collapsed="false">
      <c r="A764" s="8" t="s">
        <v>944</v>
      </c>
      <c r="B764" s="8" t="s">
        <v>313</v>
      </c>
      <c r="C764" s="8" t="s">
        <v>958</v>
      </c>
      <c r="D764" s="26" t="n">
        <v>0</v>
      </c>
      <c r="E764" s="26" t="n">
        <v>0</v>
      </c>
      <c r="F764" s="26" t="n">
        <v>1</v>
      </c>
      <c r="G764" s="26" t="n">
        <v>0</v>
      </c>
      <c r="H764" s="26" t="n">
        <v>0</v>
      </c>
      <c r="I764" s="26" t="n">
        <v>0</v>
      </c>
      <c r="J764" s="26" t="n">
        <v>0</v>
      </c>
      <c r="K764" s="26" t="n">
        <v>0</v>
      </c>
      <c r="L764" s="26" t="n">
        <v>0</v>
      </c>
      <c r="M764" s="26" t="n">
        <v>0</v>
      </c>
      <c r="N764" s="26" t="n">
        <v>0</v>
      </c>
      <c r="O764" s="26" t="n">
        <v>0</v>
      </c>
      <c r="P764" s="26" t="n">
        <v>0</v>
      </c>
      <c r="Q764" s="26" t="n">
        <v>0</v>
      </c>
      <c r="R764" s="26" t="n">
        <v>0</v>
      </c>
      <c r="S764" s="26" t="n">
        <v>0</v>
      </c>
      <c r="T764" s="26" t="n">
        <v>0</v>
      </c>
      <c r="U764" s="26" t="n">
        <v>0</v>
      </c>
    </row>
    <row r="765" customFormat="false" ht="15" hidden="false" customHeight="true" outlineLevel="0" collapsed="false">
      <c r="A765" s="8" t="s">
        <v>944</v>
      </c>
      <c r="B765" s="8" t="s">
        <v>122</v>
      </c>
      <c r="C765" s="8" t="s">
        <v>628</v>
      </c>
      <c r="D765" s="26" t="n">
        <v>0</v>
      </c>
      <c r="E765" s="26" t="n">
        <v>0</v>
      </c>
      <c r="F765" s="26" t="n">
        <v>5</v>
      </c>
      <c r="G765" s="26" t="n">
        <v>0</v>
      </c>
      <c r="H765" s="26" t="n">
        <v>0</v>
      </c>
      <c r="I765" s="26" t="n">
        <v>22</v>
      </c>
      <c r="J765" s="26" t="n">
        <v>0</v>
      </c>
      <c r="K765" s="26" t="n">
        <v>0</v>
      </c>
      <c r="L765" s="26" t="n">
        <v>0</v>
      </c>
      <c r="M765" s="26" t="n">
        <v>0</v>
      </c>
      <c r="N765" s="26" t="n">
        <v>0</v>
      </c>
      <c r="O765" s="26" t="n">
        <v>0</v>
      </c>
      <c r="P765" s="26" t="n">
        <v>-4</v>
      </c>
      <c r="Q765" s="26" t="n">
        <v>14</v>
      </c>
      <c r="R765" s="26" t="n">
        <v>12</v>
      </c>
      <c r="S765" s="26" t="n">
        <v>0</v>
      </c>
      <c r="T765" s="26" t="n">
        <v>0</v>
      </c>
      <c r="U765" s="26" t="n">
        <v>0</v>
      </c>
    </row>
    <row r="766" customFormat="false" ht="15" hidden="false" customHeight="true" outlineLevel="0" collapsed="false">
      <c r="A766" s="8" t="s">
        <v>944</v>
      </c>
      <c r="B766" s="8" t="s">
        <v>122</v>
      </c>
      <c r="C766" s="8" t="s">
        <v>629</v>
      </c>
      <c r="D766" s="26" t="n">
        <v>0</v>
      </c>
      <c r="E766" s="26" t="n">
        <v>0</v>
      </c>
      <c r="F766" s="26" t="n">
        <v>16</v>
      </c>
      <c r="G766" s="26" t="n">
        <v>0</v>
      </c>
      <c r="H766" s="26" t="n">
        <v>0</v>
      </c>
      <c r="I766" s="26" t="n">
        <v>57</v>
      </c>
      <c r="J766" s="26" t="n">
        <v>0</v>
      </c>
      <c r="K766" s="26" t="n">
        <v>2</v>
      </c>
      <c r="L766" s="26" t="n">
        <v>0</v>
      </c>
      <c r="M766" s="26" t="n">
        <v>0</v>
      </c>
      <c r="N766" s="26" t="n">
        <v>0</v>
      </c>
      <c r="O766" s="26" t="n">
        <v>0</v>
      </c>
      <c r="P766" s="26" t="n">
        <v>-2</v>
      </c>
      <c r="Q766" s="26" t="n">
        <v>15</v>
      </c>
      <c r="R766" s="26" t="n">
        <v>42</v>
      </c>
      <c r="S766" s="26" t="n">
        <v>0</v>
      </c>
      <c r="T766" s="26" t="n">
        <v>0</v>
      </c>
      <c r="U766" s="26" t="n">
        <v>0</v>
      </c>
    </row>
    <row r="767" customFormat="false" ht="15" hidden="false" customHeight="true" outlineLevel="0" collapsed="false">
      <c r="A767" s="8" t="s">
        <v>944</v>
      </c>
      <c r="B767" s="8" t="s">
        <v>122</v>
      </c>
      <c r="C767" s="8" t="s">
        <v>630</v>
      </c>
      <c r="D767" s="26" t="n">
        <v>0</v>
      </c>
      <c r="E767" s="26" t="n">
        <v>0</v>
      </c>
      <c r="F767" s="26" t="n">
        <v>7</v>
      </c>
      <c r="G767" s="26" t="n">
        <v>0</v>
      </c>
      <c r="H767" s="26" t="n">
        <v>1</v>
      </c>
      <c r="I767" s="26" t="n">
        <v>62</v>
      </c>
      <c r="J767" s="26" t="n">
        <v>0</v>
      </c>
      <c r="K767" s="26" t="n">
        <v>1</v>
      </c>
      <c r="L767" s="26" t="n">
        <v>0</v>
      </c>
      <c r="M767" s="26" t="n">
        <v>0</v>
      </c>
      <c r="N767" s="26" t="n">
        <v>0</v>
      </c>
      <c r="O767" s="26" t="n">
        <v>0</v>
      </c>
      <c r="P767" s="26" t="n">
        <v>-4</v>
      </c>
      <c r="Q767" s="26" t="n">
        <v>25</v>
      </c>
      <c r="R767" s="26" t="n">
        <v>40</v>
      </c>
      <c r="S767" s="26" t="n">
        <v>0</v>
      </c>
      <c r="T767" s="26" t="n">
        <v>0</v>
      </c>
      <c r="U767" s="26" t="n">
        <v>-1</v>
      </c>
    </row>
    <row r="768" customFormat="false" ht="15" hidden="false" customHeight="true" outlineLevel="0" collapsed="false">
      <c r="A768" s="8" t="s">
        <v>944</v>
      </c>
      <c r="B768" s="8" t="s">
        <v>122</v>
      </c>
      <c r="C768" s="8" t="s">
        <v>631</v>
      </c>
      <c r="D768" s="26" t="n">
        <v>0</v>
      </c>
      <c r="E768" s="26" t="n">
        <v>0</v>
      </c>
      <c r="F768" s="26" t="n">
        <v>2</v>
      </c>
      <c r="G768" s="26" t="n">
        <v>0</v>
      </c>
      <c r="H768" s="26" t="n">
        <v>0</v>
      </c>
      <c r="I768" s="26" t="n">
        <v>14</v>
      </c>
      <c r="J768" s="26" t="n">
        <v>0</v>
      </c>
      <c r="K768" s="26" t="n">
        <v>0</v>
      </c>
      <c r="L768" s="26" t="n">
        <v>0</v>
      </c>
      <c r="M768" s="26" t="n">
        <v>0</v>
      </c>
      <c r="N768" s="26" t="n">
        <v>0</v>
      </c>
      <c r="O768" s="26" t="n">
        <v>0</v>
      </c>
      <c r="P768" s="26" t="n">
        <v>-6</v>
      </c>
      <c r="Q768" s="26" t="n">
        <v>-1</v>
      </c>
      <c r="R768" s="26" t="n">
        <v>21</v>
      </c>
      <c r="S768" s="26" t="n">
        <v>0</v>
      </c>
      <c r="T768" s="26" t="n">
        <v>0</v>
      </c>
      <c r="U768" s="26" t="n">
        <v>0</v>
      </c>
    </row>
    <row r="769" customFormat="false" ht="15" hidden="false" customHeight="true" outlineLevel="0" collapsed="false">
      <c r="A769" s="8" t="s">
        <v>944</v>
      </c>
      <c r="B769" s="8" t="s">
        <v>122</v>
      </c>
      <c r="C769" s="8" t="s">
        <v>632</v>
      </c>
      <c r="D769" s="26" t="n">
        <v>0</v>
      </c>
      <c r="E769" s="26" t="n">
        <v>0</v>
      </c>
      <c r="F769" s="26" t="n">
        <v>2</v>
      </c>
      <c r="G769" s="26" t="n">
        <v>0</v>
      </c>
      <c r="H769" s="26" t="n">
        <v>0</v>
      </c>
      <c r="I769" s="26" t="n">
        <v>16</v>
      </c>
      <c r="J769" s="26" t="n">
        <v>0</v>
      </c>
      <c r="K769" s="26" t="n">
        <v>2</v>
      </c>
      <c r="L769" s="26" t="n">
        <v>-2</v>
      </c>
      <c r="M769" s="26" t="n">
        <v>0</v>
      </c>
      <c r="N769" s="26" t="n">
        <v>0</v>
      </c>
      <c r="O769" s="26" t="n">
        <v>0</v>
      </c>
      <c r="P769" s="26" t="n">
        <v>-3</v>
      </c>
      <c r="Q769" s="26" t="n">
        <v>-1</v>
      </c>
      <c r="R769" s="26" t="n">
        <v>20</v>
      </c>
      <c r="S769" s="26" t="n">
        <v>0</v>
      </c>
      <c r="T769" s="26" t="n">
        <v>0</v>
      </c>
      <c r="U769" s="26" t="n">
        <v>0</v>
      </c>
    </row>
    <row r="770" customFormat="false" ht="15" hidden="false" customHeight="true" outlineLevel="0" collapsed="false">
      <c r="A770" s="8" t="s">
        <v>944</v>
      </c>
      <c r="B770" s="8" t="s">
        <v>124</v>
      </c>
      <c r="C770" s="8" t="s">
        <v>633</v>
      </c>
      <c r="D770" s="26" t="n">
        <v>0</v>
      </c>
      <c r="E770" s="26" t="n">
        <v>0</v>
      </c>
      <c r="F770" s="26" t="n">
        <v>9</v>
      </c>
      <c r="G770" s="26" t="n">
        <v>0</v>
      </c>
      <c r="H770" s="26" t="n">
        <v>0</v>
      </c>
      <c r="I770" s="26" t="n">
        <v>1</v>
      </c>
      <c r="J770" s="26" t="n">
        <v>0</v>
      </c>
      <c r="K770" s="26" t="n">
        <v>0</v>
      </c>
      <c r="L770" s="26" t="n">
        <v>0</v>
      </c>
      <c r="M770" s="26" t="n">
        <v>0</v>
      </c>
      <c r="N770" s="26" t="n">
        <v>0</v>
      </c>
      <c r="O770" s="26" t="n">
        <v>0</v>
      </c>
      <c r="P770" s="26" t="n">
        <v>0</v>
      </c>
      <c r="Q770" s="26" t="n">
        <v>1</v>
      </c>
      <c r="R770" s="26" t="n">
        <v>0</v>
      </c>
      <c r="S770" s="26" t="n">
        <v>0</v>
      </c>
      <c r="T770" s="26" t="n">
        <v>4</v>
      </c>
      <c r="U770" s="26" t="n">
        <v>0</v>
      </c>
    </row>
    <row r="771" customFormat="false" ht="15" hidden="false" customHeight="true" outlineLevel="0" collapsed="false">
      <c r="A771" s="8" t="s">
        <v>944</v>
      </c>
      <c r="B771" s="8" t="s">
        <v>124</v>
      </c>
      <c r="C771" s="8" t="s">
        <v>634</v>
      </c>
      <c r="D771" s="26" t="n">
        <v>0</v>
      </c>
      <c r="E771" s="26" t="n">
        <v>0</v>
      </c>
      <c r="F771" s="26" t="n">
        <v>20</v>
      </c>
      <c r="G771" s="26" t="n">
        <v>0</v>
      </c>
      <c r="H771" s="26" t="n">
        <v>0</v>
      </c>
      <c r="I771" s="26" t="n">
        <v>9</v>
      </c>
      <c r="J771" s="26" t="n">
        <v>0</v>
      </c>
      <c r="K771" s="26" t="n">
        <v>0</v>
      </c>
      <c r="L771" s="26" t="n">
        <v>0</v>
      </c>
      <c r="M771" s="26" t="n">
        <v>0</v>
      </c>
      <c r="N771" s="26" t="n">
        <v>0</v>
      </c>
      <c r="O771" s="26" t="n">
        <v>0</v>
      </c>
      <c r="P771" s="26" t="n">
        <v>0</v>
      </c>
      <c r="Q771" s="26" t="n">
        <v>5</v>
      </c>
      <c r="R771" s="26" t="n">
        <v>4</v>
      </c>
      <c r="S771" s="26" t="n">
        <v>0</v>
      </c>
      <c r="T771" s="26" t="n">
        <v>2</v>
      </c>
      <c r="U771" s="26" t="n">
        <v>0</v>
      </c>
    </row>
    <row r="772" customFormat="false" ht="15" hidden="false" customHeight="true" outlineLevel="0" collapsed="false">
      <c r="A772" s="8" t="s">
        <v>944</v>
      </c>
      <c r="B772" s="8" t="s">
        <v>124</v>
      </c>
      <c r="C772" s="8" t="s">
        <v>635</v>
      </c>
      <c r="D772" s="26" t="n">
        <v>0</v>
      </c>
      <c r="E772" s="26" t="n">
        <v>0</v>
      </c>
      <c r="F772" s="26" t="n">
        <v>17</v>
      </c>
      <c r="G772" s="26" t="n">
        <v>0</v>
      </c>
      <c r="H772" s="26" t="n">
        <v>0</v>
      </c>
      <c r="I772" s="26" t="n">
        <v>14</v>
      </c>
      <c r="J772" s="26" t="n">
        <v>0</v>
      </c>
      <c r="K772" s="26" t="n">
        <v>0</v>
      </c>
      <c r="L772" s="26" t="n">
        <v>0</v>
      </c>
      <c r="M772" s="26" t="n">
        <v>0</v>
      </c>
      <c r="N772" s="26" t="n">
        <v>0</v>
      </c>
      <c r="O772" s="26" t="n">
        <v>0</v>
      </c>
      <c r="P772" s="26" t="n">
        <v>0</v>
      </c>
      <c r="Q772" s="26" t="n">
        <v>12</v>
      </c>
      <c r="R772" s="26" t="n">
        <v>2</v>
      </c>
      <c r="S772" s="26" t="n">
        <v>0</v>
      </c>
      <c r="T772" s="26" t="n">
        <v>6</v>
      </c>
      <c r="U772" s="26" t="n">
        <v>0</v>
      </c>
    </row>
    <row r="773" customFormat="false" ht="15" hidden="false" customHeight="true" outlineLevel="0" collapsed="false">
      <c r="A773" s="8" t="s">
        <v>944</v>
      </c>
      <c r="B773" s="8" t="s">
        <v>124</v>
      </c>
      <c r="C773" s="8" t="s">
        <v>636</v>
      </c>
      <c r="D773" s="26" t="n">
        <v>0</v>
      </c>
      <c r="E773" s="26" t="n">
        <v>0</v>
      </c>
      <c r="F773" s="26" t="n">
        <v>14</v>
      </c>
      <c r="G773" s="26" t="n">
        <v>0</v>
      </c>
      <c r="H773" s="26" t="n">
        <v>0</v>
      </c>
      <c r="I773" s="26" t="n">
        <v>9</v>
      </c>
      <c r="J773" s="26" t="n">
        <v>0</v>
      </c>
      <c r="K773" s="26" t="n">
        <v>0</v>
      </c>
      <c r="L773" s="26" t="n">
        <v>0</v>
      </c>
      <c r="M773" s="26" t="n">
        <v>0</v>
      </c>
      <c r="N773" s="26" t="n">
        <v>0</v>
      </c>
      <c r="O773" s="26" t="n">
        <v>0</v>
      </c>
      <c r="P773" s="26" t="n">
        <v>0</v>
      </c>
      <c r="Q773" s="26" t="n">
        <v>9</v>
      </c>
      <c r="R773" s="26" t="n">
        <v>0</v>
      </c>
      <c r="S773" s="26" t="n">
        <v>0</v>
      </c>
      <c r="T773" s="26" t="n">
        <v>7</v>
      </c>
      <c r="U773" s="26" t="n">
        <v>0</v>
      </c>
    </row>
    <row r="774" customFormat="false" ht="15" hidden="false" customHeight="true" outlineLevel="0" collapsed="false">
      <c r="A774" s="8" t="s">
        <v>944</v>
      </c>
      <c r="B774" s="8" t="s">
        <v>91</v>
      </c>
      <c r="C774" s="8" t="s">
        <v>637</v>
      </c>
      <c r="D774" s="26" t="n">
        <v>0</v>
      </c>
      <c r="E774" s="26" t="n">
        <v>0</v>
      </c>
      <c r="F774" s="26" t="n">
        <v>136</v>
      </c>
      <c r="G774" s="26" t="n">
        <v>0</v>
      </c>
      <c r="H774" s="26" t="n">
        <v>1</v>
      </c>
      <c r="I774" s="26" t="n">
        <v>672</v>
      </c>
      <c r="J774" s="26" t="n">
        <v>0</v>
      </c>
      <c r="K774" s="26" t="n">
        <v>2</v>
      </c>
      <c r="L774" s="26" t="n">
        <v>0</v>
      </c>
      <c r="M774" s="26" t="n">
        <v>0</v>
      </c>
      <c r="N774" s="26" t="n">
        <v>0</v>
      </c>
      <c r="O774" s="26" t="n">
        <v>1</v>
      </c>
      <c r="P774" s="26" t="n">
        <v>-11</v>
      </c>
      <c r="Q774" s="26" t="n">
        <v>465</v>
      </c>
      <c r="R774" s="26" t="n">
        <v>215</v>
      </c>
      <c r="S774" s="26" t="n">
        <v>0</v>
      </c>
      <c r="T774" s="26" t="n">
        <v>126</v>
      </c>
      <c r="U774" s="26" t="n">
        <v>-1</v>
      </c>
    </row>
    <row r="775" customFormat="false" ht="15" hidden="false" customHeight="true" outlineLevel="0" collapsed="false">
      <c r="A775" s="8" t="s">
        <v>944</v>
      </c>
      <c r="B775" s="8" t="s">
        <v>91</v>
      </c>
      <c r="C775" s="8" t="s">
        <v>638</v>
      </c>
      <c r="D775" s="26" t="n">
        <v>0</v>
      </c>
      <c r="E775" s="26" t="n">
        <v>0</v>
      </c>
      <c r="F775" s="26" t="n">
        <v>105</v>
      </c>
      <c r="G775" s="26" t="n">
        <v>0</v>
      </c>
      <c r="H775" s="26" t="n">
        <v>0</v>
      </c>
      <c r="I775" s="26" t="n">
        <v>570</v>
      </c>
      <c r="J775" s="26" t="n">
        <v>0</v>
      </c>
      <c r="K775" s="26" t="n">
        <v>5</v>
      </c>
      <c r="L775" s="26" t="n">
        <v>0</v>
      </c>
      <c r="M775" s="26" t="n">
        <v>0</v>
      </c>
      <c r="N775" s="26" t="n">
        <v>0</v>
      </c>
      <c r="O775" s="26" t="n">
        <v>1</v>
      </c>
      <c r="P775" s="26" t="n">
        <v>-2</v>
      </c>
      <c r="Q775" s="26" t="n">
        <v>446</v>
      </c>
      <c r="R775" s="26" t="n">
        <v>120</v>
      </c>
      <c r="S775" s="26" t="n">
        <v>0</v>
      </c>
      <c r="T775" s="26" t="n">
        <v>88</v>
      </c>
      <c r="U775" s="26" t="n">
        <v>-1</v>
      </c>
    </row>
    <row r="776" customFormat="false" ht="15" hidden="false" customHeight="true" outlineLevel="0" collapsed="false">
      <c r="A776" s="8" t="s">
        <v>944</v>
      </c>
      <c r="B776" s="8" t="s">
        <v>91</v>
      </c>
      <c r="C776" s="8" t="s">
        <v>639</v>
      </c>
      <c r="D776" s="26" t="n">
        <v>0</v>
      </c>
      <c r="E776" s="26" t="n">
        <v>0</v>
      </c>
      <c r="F776" s="26" t="n">
        <v>39</v>
      </c>
      <c r="G776" s="26" t="n">
        <v>0</v>
      </c>
      <c r="H776" s="26" t="n">
        <v>0</v>
      </c>
      <c r="I776" s="26" t="n">
        <v>286</v>
      </c>
      <c r="J776" s="26" t="n">
        <v>0</v>
      </c>
      <c r="K776" s="26" t="n">
        <v>5</v>
      </c>
      <c r="L776" s="26" t="n">
        <v>0</v>
      </c>
      <c r="M776" s="26" t="n">
        <v>0</v>
      </c>
      <c r="N776" s="26" t="n">
        <v>0</v>
      </c>
      <c r="O776" s="26" t="n">
        <v>0</v>
      </c>
      <c r="P776" s="26" t="n">
        <v>-2</v>
      </c>
      <c r="Q776" s="26" t="n">
        <v>207</v>
      </c>
      <c r="R776" s="26" t="n">
        <v>76</v>
      </c>
      <c r="S776" s="26" t="n">
        <v>0</v>
      </c>
      <c r="T776" s="26" t="n">
        <v>55</v>
      </c>
      <c r="U776" s="26" t="n">
        <v>-2</v>
      </c>
    </row>
    <row r="777" customFormat="false" ht="15" hidden="false" customHeight="true" outlineLevel="0" collapsed="false">
      <c r="A777" s="8" t="s">
        <v>944</v>
      </c>
      <c r="B777" s="8" t="s">
        <v>91</v>
      </c>
      <c r="C777" s="8" t="s">
        <v>640</v>
      </c>
      <c r="D777" s="26" t="n">
        <v>0</v>
      </c>
      <c r="E777" s="26" t="n">
        <v>0</v>
      </c>
      <c r="F777" s="26" t="n">
        <v>65</v>
      </c>
      <c r="G777" s="26" t="n">
        <v>0</v>
      </c>
      <c r="H777" s="26" t="n">
        <v>1</v>
      </c>
      <c r="I777" s="26" t="n">
        <v>365</v>
      </c>
      <c r="J777" s="26" t="n">
        <v>0</v>
      </c>
      <c r="K777" s="26" t="n">
        <v>1</v>
      </c>
      <c r="L777" s="26" t="n">
        <v>0</v>
      </c>
      <c r="M777" s="26" t="n">
        <v>0</v>
      </c>
      <c r="N777" s="26" t="n">
        <v>0</v>
      </c>
      <c r="O777" s="26" t="n">
        <v>1</v>
      </c>
      <c r="P777" s="26" t="n">
        <v>-4</v>
      </c>
      <c r="Q777" s="26" t="n">
        <v>263</v>
      </c>
      <c r="R777" s="26" t="n">
        <v>104</v>
      </c>
      <c r="S777" s="26" t="n">
        <v>0</v>
      </c>
      <c r="T777" s="26" t="n">
        <v>54</v>
      </c>
      <c r="U777" s="26" t="n">
        <v>0</v>
      </c>
    </row>
    <row r="778" customFormat="false" ht="15" hidden="false" customHeight="true" outlineLevel="0" collapsed="false">
      <c r="A778" s="8" t="s">
        <v>944</v>
      </c>
      <c r="B778" s="8" t="s">
        <v>136</v>
      </c>
      <c r="C778" s="8" t="s">
        <v>641</v>
      </c>
      <c r="D778" s="26" t="n">
        <v>0</v>
      </c>
      <c r="E778" s="26" t="n">
        <v>0</v>
      </c>
      <c r="F778" s="26" t="n">
        <v>92</v>
      </c>
      <c r="G778" s="26" t="n">
        <v>0</v>
      </c>
      <c r="H778" s="26" t="n">
        <v>1</v>
      </c>
      <c r="I778" s="26" t="n">
        <v>299</v>
      </c>
      <c r="J778" s="26" t="n">
        <v>0</v>
      </c>
      <c r="K778" s="26" t="n">
        <v>11</v>
      </c>
      <c r="L778" s="26" t="n">
        <v>0</v>
      </c>
      <c r="M778" s="26" t="n">
        <v>0</v>
      </c>
      <c r="N778" s="26" t="n">
        <v>4</v>
      </c>
      <c r="O778" s="26" t="n">
        <v>1</v>
      </c>
      <c r="P778" s="26" t="n">
        <v>-4</v>
      </c>
      <c r="Q778" s="26" t="n">
        <v>214</v>
      </c>
      <c r="R778" s="26" t="n">
        <v>73</v>
      </c>
      <c r="S778" s="26" t="n">
        <v>0</v>
      </c>
      <c r="T778" s="26" t="n">
        <v>58</v>
      </c>
      <c r="U778" s="26" t="n">
        <v>0</v>
      </c>
    </row>
    <row r="779" customFormat="false" ht="15" hidden="false" customHeight="true" outlineLevel="0" collapsed="false">
      <c r="A779" s="8" t="s">
        <v>944</v>
      </c>
      <c r="B779" s="8" t="s">
        <v>136</v>
      </c>
      <c r="C779" s="8" t="s">
        <v>642</v>
      </c>
      <c r="D779" s="26" t="n">
        <v>0</v>
      </c>
      <c r="E779" s="26" t="n">
        <v>0</v>
      </c>
      <c r="F779" s="26" t="n">
        <v>106</v>
      </c>
      <c r="G779" s="26" t="n">
        <v>0</v>
      </c>
      <c r="H779" s="26" t="n">
        <v>0</v>
      </c>
      <c r="I779" s="26" t="n">
        <v>410</v>
      </c>
      <c r="J779" s="26" t="n">
        <v>0</v>
      </c>
      <c r="K779" s="26" t="n">
        <v>4</v>
      </c>
      <c r="L779" s="26" t="n">
        <v>0</v>
      </c>
      <c r="M779" s="26" t="n">
        <v>0</v>
      </c>
      <c r="N779" s="26" t="n">
        <v>4</v>
      </c>
      <c r="O779" s="26" t="n">
        <v>0</v>
      </c>
      <c r="P779" s="26" t="n">
        <v>-5</v>
      </c>
      <c r="Q779" s="26" t="n">
        <v>332</v>
      </c>
      <c r="R779" s="26" t="n">
        <v>75</v>
      </c>
      <c r="S779" s="26" t="n">
        <v>0</v>
      </c>
      <c r="T779" s="26" t="n">
        <v>82</v>
      </c>
      <c r="U779" s="26" t="n">
        <v>-1</v>
      </c>
    </row>
    <row r="780" customFormat="false" ht="15" hidden="false" customHeight="true" outlineLevel="0" collapsed="false">
      <c r="A780" s="8" t="s">
        <v>944</v>
      </c>
      <c r="B780" s="8" t="s">
        <v>136</v>
      </c>
      <c r="C780" s="8" t="s">
        <v>643</v>
      </c>
      <c r="D780" s="26" t="n">
        <v>0</v>
      </c>
      <c r="E780" s="26" t="n">
        <v>0</v>
      </c>
      <c r="F780" s="26" t="n">
        <v>81</v>
      </c>
      <c r="G780" s="26" t="n">
        <v>0</v>
      </c>
      <c r="H780" s="26" t="n">
        <v>0</v>
      </c>
      <c r="I780" s="26" t="n">
        <v>296</v>
      </c>
      <c r="J780" s="26" t="n">
        <v>0</v>
      </c>
      <c r="K780" s="26" t="n">
        <v>7</v>
      </c>
      <c r="L780" s="26" t="n">
        <v>0</v>
      </c>
      <c r="M780" s="26" t="n">
        <v>0</v>
      </c>
      <c r="N780" s="26" t="n">
        <v>3</v>
      </c>
      <c r="O780" s="26" t="n">
        <v>1</v>
      </c>
      <c r="P780" s="26" t="n">
        <v>-5</v>
      </c>
      <c r="Q780" s="26" t="n">
        <v>229</v>
      </c>
      <c r="R780" s="26" t="n">
        <v>61</v>
      </c>
      <c r="S780" s="26" t="n">
        <v>0</v>
      </c>
      <c r="T780" s="26" t="n">
        <v>98</v>
      </c>
      <c r="U780" s="26" t="n">
        <v>-20</v>
      </c>
    </row>
    <row r="781" customFormat="false" ht="15" hidden="false" customHeight="true" outlineLevel="0" collapsed="false">
      <c r="A781" s="8" t="s">
        <v>944</v>
      </c>
      <c r="B781" s="8" t="s">
        <v>136</v>
      </c>
      <c r="C781" s="8" t="s">
        <v>644</v>
      </c>
      <c r="D781" s="26" t="n">
        <v>0</v>
      </c>
      <c r="E781" s="26" t="n">
        <v>0</v>
      </c>
      <c r="F781" s="26" t="n">
        <v>30</v>
      </c>
      <c r="G781" s="26" t="n">
        <v>0</v>
      </c>
      <c r="H781" s="26" t="n">
        <v>0</v>
      </c>
      <c r="I781" s="26" t="n">
        <v>151</v>
      </c>
      <c r="J781" s="26" t="n">
        <v>0</v>
      </c>
      <c r="K781" s="26" t="n">
        <v>0</v>
      </c>
      <c r="L781" s="26" t="n">
        <v>0</v>
      </c>
      <c r="M781" s="26" t="n">
        <v>0</v>
      </c>
      <c r="N781" s="26" t="n">
        <v>4</v>
      </c>
      <c r="O781" s="26" t="n">
        <v>2</v>
      </c>
      <c r="P781" s="26" t="n">
        <v>-7</v>
      </c>
      <c r="Q781" s="26" t="n">
        <v>99</v>
      </c>
      <c r="R781" s="26" t="n">
        <v>53</v>
      </c>
      <c r="S781" s="26" t="n">
        <v>0</v>
      </c>
      <c r="T781" s="26" t="n">
        <v>30</v>
      </c>
      <c r="U781" s="26" t="n">
        <v>-2</v>
      </c>
    </row>
    <row r="782" customFormat="false" ht="15" hidden="false" customHeight="true" outlineLevel="0" collapsed="false">
      <c r="A782" s="8" t="s">
        <v>944</v>
      </c>
      <c r="B782" s="8" t="s">
        <v>136</v>
      </c>
      <c r="C782" s="8" t="s">
        <v>645</v>
      </c>
      <c r="D782" s="26" t="n">
        <v>0</v>
      </c>
      <c r="E782" s="26" t="n">
        <v>0</v>
      </c>
      <c r="F782" s="26" t="n">
        <v>23</v>
      </c>
      <c r="G782" s="26" t="n">
        <v>0</v>
      </c>
      <c r="H782" s="26" t="n">
        <v>0</v>
      </c>
      <c r="I782" s="26" t="n">
        <v>32</v>
      </c>
      <c r="J782" s="26" t="n">
        <v>0</v>
      </c>
      <c r="K782" s="26" t="n">
        <v>0</v>
      </c>
      <c r="L782" s="26" t="n">
        <v>0</v>
      </c>
      <c r="M782" s="26" t="n">
        <v>0</v>
      </c>
      <c r="N782" s="26" t="n">
        <v>0</v>
      </c>
      <c r="O782" s="26" t="n">
        <v>0</v>
      </c>
      <c r="P782" s="26" t="n">
        <v>0</v>
      </c>
      <c r="Q782" s="26" t="n">
        <v>32</v>
      </c>
      <c r="R782" s="26" t="n">
        <v>0</v>
      </c>
      <c r="S782" s="26" t="n">
        <v>0</v>
      </c>
      <c r="T782" s="26" t="n">
        <v>4</v>
      </c>
      <c r="U782" s="26" t="n">
        <v>0</v>
      </c>
    </row>
    <row r="783" customFormat="false" ht="15" hidden="false" customHeight="true" outlineLevel="0" collapsed="false">
      <c r="A783" s="8" t="s">
        <v>944</v>
      </c>
      <c r="B783" s="8" t="s">
        <v>136</v>
      </c>
      <c r="C783" s="8" t="s">
        <v>646</v>
      </c>
      <c r="D783" s="26" t="n">
        <v>0</v>
      </c>
      <c r="E783" s="26" t="n">
        <v>0</v>
      </c>
      <c r="F783" s="26" t="n">
        <v>5</v>
      </c>
      <c r="G783" s="26" t="n">
        <v>0</v>
      </c>
      <c r="H783" s="26" t="n">
        <v>0</v>
      </c>
      <c r="I783" s="26" t="n">
        <v>5</v>
      </c>
      <c r="J783" s="26" t="n">
        <v>0</v>
      </c>
      <c r="K783" s="26" t="n">
        <v>0</v>
      </c>
      <c r="L783" s="26" t="n">
        <v>0</v>
      </c>
      <c r="M783" s="26" t="n">
        <v>0</v>
      </c>
      <c r="N783" s="26" t="n">
        <v>0</v>
      </c>
      <c r="O783" s="26" t="n">
        <v>0</v>
      </c>
      <c r="P783" s="26" t="n">
        <v>0</v>
      </c>
      <c r="Q783" s="26" t="n">
        <v>5</v>
      </c>
      <c r="R783" s="26" t="n">
        <v>0</v>
      </c>
      <c r="S783" s="26" t="n">
        <v>0</v>
      </c>
      <c r="T783" s="26" t="n">
        <v>1</v>
      </c>
      <c r="U783" s="26" t="n">
        <v>0</v>
      </c>
    </row>
    <row r="784" customFormat="false" ht="15" hidden="false" customHeight="true" outlineLevel="0" collapsed="false">
      <c r="A784" s="8" t="s">
        <v>944</v>
      </c>
      <c r="B784" s="8" t="s">
        <v>389</v>
      </c>
      <c r="C784" s="8" t="s">
        <v>1003</v>
      </c>
      <c r="D784" s="26" t="n">
        <v>0</v>
      </c>
      <c r="E784" s="26" t="n">
        <v>0</v>
      </c>
      <c r="F784" s="26" t="n">
        <v>0</v>
      </c>
      <c r="G784" s="26" t="n">
        <v>0</v>
      </c>
      <c r="H784" s="26" t="n">
        <v>0</v>
      </c>
      <c r="I784" s="26" t="n">
        <v>-1</v>
      </c>
      <c r="J784" s="26" t="n">
        <v>0</v>
      </c>
      <c r="K784" s="26" t="n">
        <v>0</v>
      </c>
      <c r="L784" s="26" t="n">
        <v>0</v>
      </c>
      <c r="M784" s="26" t="n">
        <v>0</v>
      </c>
      <c r="N784" s="26" t="n">
        <v>0</v>
      </c>
      <c r="O784" s="26" t="n">
        <v>0</v>
      </c>
      <c r="P784" s="26" t="n">
        <v>0</v>
      </c>
      <c r="Q784" s="26" t="n">
        <v>-1</v>
      </c>
      <c r="R784" s="26" t="n">
        <v>0</v>
      </c>
      <c r="S784" s="26" t="n">
        <v>0</v>
      </c>
      <c r="T784" s="26" t="n">
        <v>0</v>
      </c>
      <c r="U784" s="26" t="n">
        <v>0</v>
      </c>
    </row>
    <row r="785" customFormat="false" ht="15" hidden="false" customHeight="true" outlineLevel="0" collapsed="false">
      <c r="A785" s="8" t="s">
        <v>944</v>
      </c>
      <c r="B785" s="8" t="s">
        <v>143</v>
      </c>
      <c r="C785" s="8" t="s">
        <v>647</v>
      </c>
      <c r="D785" s="26" t="n">
        <v>0</v>
      </c>
      <c r="E785" s="26" t="n">
        <v>0</v>
      </c>
      <c r="F785" s="26" t="n">
        <v>95</v>
      </c>
      <c r="G785" s="26" t="n">
        <v>0</v>
      </c>
      <c r="H785" s="26" t="n">
        <v>0</v>
      </c>
      <c r="I785" s="26" t="n">
        <v>477</v>
      </c>
      <c r="J785" s="26" t="n">
        <v>0</v>
      </c>
      <c r="K785" s="26" t="n">
        <v>1</v>
      </c>
      <c r="L785" s="26" t="n">
        <v>0</v>
      </c>
      <c r="M785" s="26" t="n">
        <v>0</v>
      </c>
      <c r="N785" s="26" t="n">
        <v>0</v>
      </c>
      <c r="O785" s="26" t="n">
        <v>4</v>
      </c>
      <c r="P785" s="26" t="n">
        <v>0</v>
      </c>
      <c r="Q785" s="26" t="n">
        <v>320</v>
      </c>
      <c r="R785" s="26" t="n">
        <v>152</v>
      </c>
      <c r="S785" s="26" t="n">
        <v>0</v>
      </c>
      <c r="T785" s="26" t="n">
        <v>33</v>
      </c>
      <c r="U785" s="26" t="n">
        <v>0</v>
      </c>
    </row>
    <row r="786" customFormat="false" ht="15" hidden="false" customHeight="true" outlineLevel="0" collapsed="false">
      <c r="A786" s="8" t="s">
        <v>944</v>
      </c>
      <c r="B786" s="8" t="s">
        <v>227</v>
      </c>
      <c r="C786" s="8" t="s">
        <v>648</v>
      </c>
      <c r="D786" s="26" t="n">
        <v>0</v>
      </c>
      <c r="E786" s="26" t="n">
        <v>0</v>
      </c>
      <c r="F786" s="26" t="n">
        <v>73</v>
      </c>
      <c r="G786" s="26" t="n">
        <v>0</v>
      </c>
      <c r="H786" s="26" t="n">
        <v>0</v>
      </c>
      <c r="I786" s="26" t="n">
        <v>96</v>
      </c>
      <c r="J786" s="26" t="n">
        <v>0</v>
      </c>
      <c r="K786" s="26" t="n">
        <v>5</v>
      </c>
      <c r="L786" s="26" t="n">
        <v>0</v>
      </c>
      <c r="M786" s="26" t="n">
        <v>0</v>
      </c>
      <c r="N786" s="26" t="n">
        <v>0</v>
      </c>
      <c r="O786" s="26" t="n">
        <v>0</v>
      </c>
      <c r="P786" s="26" t="n">
        <v>-3</v>
      </c>
      <c r="Q786" s="26" t="n">
        <v>50</v>
      </c>
      <c r="R786" s="26" t="n">
        <v>44</v>
      </c>
      <c r="S786" s="26" t="n">
        <v>0</v>
      </c>
      <c r="T786" s="26" t="n">
        <v>48</v>
      </c>
      <c r="U786" s="26" t="n">
        <v>0</v>
      </c>
    </row>
    <row r="787" customFormat="false" ht="15" hidden="false" customHeight="true" outlineLevel="0" collapsed="false">
      <c r="A787" s="8" t="s">
        <v>944</v>
      </c>
      <c r="B787" s="8" t="s">
        <v>111</v>
      </c>
      <c r="C787" s="8" t="s">
        <v>649</v>
      </c>
      <c r="D787" s="26" t="n">
        <v>0</v>
      </c>
      <c r="E787" s="26" t="n">
        <v>0</v>
      </c>
      <c r="F787" s="26" t="n">
        <v>-2</v>
      </c>
      <c r="G787" s="26" t="n">
        <v>0</v>
      </c>
      <c r="H787" s="26" t="n">
        <v>0</v>
      </c>
      <c r="I787" s="26" t="n">
        <v>-11</v>
      </c>
      <c r="J787" s="26" t="n">
        <v>0</v>
      </c>
      <c r="K787" s="26" t="n">
        <v>0</v>
      </c>
      <c r="L787" s="26" t="n">
        <v>0</v>
      </c>
      <c r="M787" s="26" t="n">
        <v>0</v>
      </c>
      <c r="N787" s="26" t="n">
        <v>0</v>
      </c>
      <c r="O787" s="26" t="n">
        <v>0</v>
      </c>
      <c r="P787" s="26" t="n">
        <v>-1</v>
      </c>
      <c r="Q787" s="26" t="n">
        <v>-13</v>
      </c>
      <c r="R787" s="26" t="n">
        <v>3</v>
      </c>
      <c r="S787" s="26" t="n">
        <v>0</v>
      </c>
      <c r="T787" s="26" t="n">
        <v>0</v>
      </c>
      <c r="U787" s="26" t="n">
        <v>0</v>
      </c>
    </row>
    <row r="788" customFormat="false" ht="15" hidden="false" customHeight="true" outlineLevel="0" collapsed="false">
      <c r="A788" s="8" t="s">
        <v>944</v>
      </c>
      <c r="B788" s="8" t="s">
        <v>111</v>
      </c>
      <c r="C788" s="8" t="s">
        <v>650</v>
      </c>
      <c r="D788" s="26" t="n">
        <v>0</v>
      </c>
      <c r="E788" s="26" t="n">
        <v>0</v>
      </c>
      <c r="F788" s="26" t="n">
        <v>3</v>
      </c>
      <c r="G788" s="26" t="n">
        <v>0</v>
      </c>
      <c r="H788" s="26" t="n">
        <v>0</v>
      </c>
      <c r="I788" s="26" t="n">
        <v>20</v>
      </c>
      <c r="J788" s="26" t="n">
        <v>0</v>
      </c>
      <c r="K788" s="26" t="n">
        <v>0</v>
      </c>
      <c r="L788" s="26" t="n">
        <v>0</v>
      </c>
      <c r="M788" s="26" t="n">
        <v>0</v>
      </c>
      <c r="N788" s="26" t="n">
        <v>0</v>
      </c>
      <c r="O788" s="26" t="n">
        <v>0</v>
      </c>
      <c r="P788" s="26" t="n">
        <v>0</v>
      </c>
      <c r="Q788" s="26" t="n">
        <v>15</v>
      </c>
      <c r="R788" s="26" t="n">
        <v>5</v>
      </c>
      <c r="S788" s="26" t="n">
        <v>0</v>
      </c>
      <c r="T788" s="26" t="n">
        <v>0</v>
      </c>
      <c r="U788" s="26" t="n">
        <v>0</v>
      </c>
    </row>
    <row r="789" customFormat="false" ht="15" hidden="false" customHeight="true" outlineLevel="0" collapsed="false">
      <c r="A789" s="8" t="s">
        <v>944</v>
      </c>
      <c r="B789" s="8" t="s">
        <v>111</v>
      </c>
      <c r="C789" s="8" t="s">
        <v>651</v>
      </c>
      <c r="D789" s="26" t="n">
        <v>0</v>
      </c>
      <c r="E789" s="26" t="n">
        <v>0</v>
      </c>
      <c r="F789" s="26" t="n">
        <v>2</v>
      </c>
      <c r="G789" s="26" t="n">
        <v>0</v>
      </c>
      <c r="H789" s="26" t="n">
        <v>0</v>
      </c>
      <c r="I789" s="26" t="n">
        <v>26</v>
      </c>
      <c r="J789" s="26" t="n">
        <v>0</v>
      </c>
      <c r="K789" s="26" t="n">
        <v>0</v>
      </c>
      <c r="L789" s="26" t="n">
        <v>0</v>
      </c>
      <c r="M789" s="26" t="n">
        <v>0</v>
      </c>
      <c r="N789" s="26" t="n">
        <v>0</v>
      </c>
      <c r="O789" s="26" t="n">
        <v>0</v>
      </c>
      <c r="P789" s="26" t="n">
        <v>0</v>
      </c>
      <c r="Q789" s="26" t="n">
        <v>19</v>
      </c>
      <c r="R789" s="26" t="n">
        <v>7</v>
      </c>
      <c r="S789" s="26" t="n">
        <v>0</v>
      </c>
      <c r="T789" s="26" t="n">
        <v>0</v>
      </c>
      <c r="U789" s="26" t="n">
        <v>0</v>
      </c>
    </row>
    <row r="790" customFormat="false" ht="15" hidden="false" customHeight="true" outlineLevel="0" collapsed="false">
      <c r="A790" s="8" t="s">
        <v>944</v>
      </c>
      <c r="B790" s="8" t="s">
        <v>111</v>
      </c>
      <c r="C790" s="8" t="s">
        <v>652</v>
      </c>
      <c r="D790" s="26" t="n">
        <v>0</v>
      </c>
      <c r="E790" s="26" t="n">
        <v>0</v>
      </c>
      <c r="F790" s="26" t="n">
        <v>16</v>
      </c>
      <c r="G790" s="26" t="n">
        <v>0</v>
      </c>
      <c r="H790" s="26" t="n">
        <v>0</v>
      </c>
      <c r="I790" s="26" t="n">
        <v>103</v>
      </c>
      <c r="J790" s="26" t="n">
        <v>0</v>
      </c>
      <c r="K790" s="26" t="n">
        <v>0</v>
      </c>
      <c r="L790" s="26" t="n">
        <v>0</v>
      </c>
      <c r="M790" s="26" t="n">
        <v>0</v>
      </c>
      <c r="N790" s="26" t="n">
        <v>0</v>
      </c>
      <c r="O790" s="26" t="n">
        <v>0</v>
      </c>
      <c r="P790" s="26" t="n">
        <v>-2</v>
      </c>
      <c r="Q790" s="26" t="n">
        <v>97</v>
      </c>
      <c r="R790" s="26" t="n">
        <v>8</v>
      </c>
      <c r="S790" s="26" t="n">
        <v>0</v>
      </c>
      <c r="T790" s="26" t="n">
        <v>0</v>
      </c>
      <c r="U790" s="26" t="n">
        <v>0</v>
      </c>
    </row>
    <row r="791" customFormat="false" ht="15" hidden="false" customHeight="true" outlineLevel="0" collapsed="false">
      <c r="A791" s="8" t="s">
        <v>944</v>
      </c>
      <c r="B791" s="8" t="s">
        <v>111</v>
      </c>
      <c r="C791" s="8" t="s">
        <v>653</v>
      </c>
      <c r="D791" s="26" t="n">
        <v>0</v>
      </c>
      <c r="E791" s="26" t="n">
        <v>0</v>
      </c>
      <c r="F791" s="26" t="n">
        <v>18</v>
      </c>
      <c r="G791" s="26" t="n">
        <v>0</v>
      </c>
      <c r="H791" s="26" t="n">
        <v>0</v>
      </c>
      <c r="I791" s="26" t="n">
        <v>113</v>
      </c>
      <c r="J791" s="26" t="n">
        <v>0</v>
      </c>
      <c r="K791" s="26" t="n">
        <v>0</v>
      </c>
      <c r="L791" s="26" t="n">
        <v>0</v>
      </c>
      <c r="M791" s="26" t="n">
        <v>0</v>
      </c>
      <c r="N791" s="26" t="n">
        <v>0</v>
      </c>
      <c r="O791" s="26" t="n">
        <v>0</v>
      </c>
      <c r="P791" s="26" t="n">
        <v>0</v>
      </c>
      <c r="Q791" s="26" t="n">
        <v>105</v>
      </c>
      <c r="R791" s="26" t="n">
        <v>8</v>
      </c>
      <c r="S791" s="26" t="n">
        <v>0</v>
      </c>
      <c r="T791" s="26" t="n">
        <v>0</v>
      </c>
      <c r="U791" s="26" t="n">
        <v>0</v>
      </c>
    </row>
    <row r="792" customFormat="false" ht="15" hidden="false" customHeight="true" outlineLevel="0" collapsed="false">
      <c r="A792" s="8" t="s">
        <v>944</v>
      </c>
      <c r="B792" s="8" t="s">
        <v>111</v>
      </c>
      <c r="C792" s="8" t="s">
        <v>654</v>
      </c>
      <c r="D792" s="26" t="n">
        <v>0</v>
      </c>
      <c r="E792" s="26" t="n">
        <v>0</v>
      </c>
      <c r="F792" s="26" t="n">
        <v>19</v>
      </c>
      <c r="G792" s="26" t="n">
        <v>0</v>
      </c>
      <c r="H792" s="26" t="n">
        <v>0</v>
      </c>
      <c r="I792" s="26" t="n">
        <v>136</v>
      </c>
      <c r="J792" s="26" t="n">
        <v>0</v>
      </c>
      <c r="K792" s="26" t="n">
        <v>3</v>
      </c>
      <c r="L792" s="26" t="n">
        <v>0</v>
      </c>
      <c r="M792" s="26" t="n">
        <v>0</v>
      </c>
      <c r="N792" s="26" t="n">
        <v>0</v>
      </c>
      <c r="O792" s="26" t="n">
        <v>0</v>
      </c>
      <c r="P792" s="26" t="n">
        <v>-1</v>
      </c>
      <c r="Q792" s="26" t="n">
        <v>124</v>
      </c>
      <c r="R792" s="26" t="n">
        <v>10</v>
      </c>
      <c r="S792" s="26" t="n">
        <v>0</v>
      </c>
      <c r="T792" s="26" t="n">
        <v>0</v>
      </c>
      <c r="U792" s="26" t="n">
        <v>0</v>
      </c>
    </row>
    <row r="793" customFormat="false" ht="15" hidden="false" customHeight="true" outlineLevel="0" collapsed="false">
      <c r="A793" s="8" t="s">
        <v>944</v>
      </c>
      <c r="B793" s="8" t="s">
        <v>139</v>
      </c>
      <c r="C793" s="8" t="s">
        <v>655</v>
      </c>
      <c r="D793" s="26" t="n">
        <v>0</v>
      </c>
      <c r="E793" s="26" t="n">
        <v>0</v>
      </c>
      <c r="F793" s="26" t="n">
        <v>12</v>
      </c>
      <c r="G793" s="26" t="n">
        <v>0</v>
      </c>
      <c r="H793" s="26" t="n">
        <v>0</v>
      </c>
      <c r="I793" s="26" t="n">
        <v>38</v>
      </c>
      <c r="J793" s="26" t="n">
        <v>0</v>
      </c>
      <c r="K793" s="26" t="n">
        <v>0</v>
      </c>
      <c r="L793" s="26" t="n">
        <v>0</v>
      </c>
      <c r="M793" s="26" t="n">
        <v>0</v>
      </c>
      <c r="N793" s="26" t="n">
        <v>0</v>
      </c>
      <c r="O793" s="26" t="n">
        <v>0</v>
      </c>
      <c r="P793" s="26" t="n">
        <v>0</v>
      </c>
      <c r="Q793" s="26" t="n">
        <v>38</v>
      </c>
      <c r="R793" s="26" t="n">
        <v>0</v>
      </c>
      <c r="S793" s="26" t="n">
        <v>0</v>
      </c>
      <c r="T793" s="26" t="n">
        <v>23</v>
      </c>
      <c r="U793" s="26" t="n">
        <v>0</v>
      </c>
    </row>
    <row r="794" customFormat="false" ht="15" hidden="false" customHeight="true" outlineLevel="0" collapsed="false">
      <c r="A794" s="8" t="s">
        <v>944</v>
      </c>
      <c r="B794" s="8" t="s">
        <v>139</v>
      </c>
      <c r="C794" s="8" t="s">
        <v>656</v>
      </c>
      <c r="D794" s="26" t="n">
        <v>0</v>
      </c>
      <c r="E794" s="26" t="n">
        <v>0</v>
      </c>
      <c r="F794" s="26" t="n">
        <v>28</v>
      </c>
      <c r="G794" s="26" t="n">
        <v>0</v>
      </c>
      <c r="H794" s="26" t="n">
        <v>0</v>
      </c>
      <c r="I794" s="26" t="n">
        <v>226</v>
      </c>
      <c r="J794" s="26" t="n">
        <v>0</v>
      </c>
      <c r="K794" s="26" t="n">
        <v>11</v>
      </c>
      <c r="L794" s="26" t="n">
        <v>0</v>
      </c>
      <c r="M794" s="26" t="n">
        <v>0</v>
      </c>
      <c r="N794" s="26" t="n">
        <v>0</v>
      </c>
      <c r="O794" s="26" t="n">
        <v>0</v>
      </c>
      <c r="P794" s="26" t="n">
        <v>-1</v>
      </c>
      <c r="Q794" s="26" t="n">
        <v>83</v>
      </c>
      <c r="R794" s="26" t="n">
        <v>133</v>
      </c>
      <c r="S794" s="26" t="n">
        <v>0</v>
      </c>
      <c r="T794" s="26" t="n">
        <v>43</v>
      </c>
      <c r="U794" s="26" t="n">
        <v>0</v>
      </c>
    </row>
    <row r="795" customFormat="false" ht="15" hidden="false" customHeight="true" outlineLevel="0" collapsed="false">
      <c r="A795" s="8" t="s">
        <v>944</v>
      </c>
      <c r="B795" s="8" t="s">
        <v>139</v>
      </c>
      <c r="C795" s="8" t="s">
        <v>657</v>
      </c>
      <c r="D795" s="26" t="n">
        <v>0</v>
      </c>
      <c r="E795" s="26" t="n">
        <v>0</v>
      </c>
      <c r="F795" s="26" t="n">
        <v>59</v>
      </c>
      <c r="G795" s="26" t="n">
        <v>0</v>
      </c>
      <c r="H795" s="26" t="n">
        <v>0</v>
      </c>
      <c r="I795" s="26" t="n">
        <v>202</v>
      </c>
      <c r="J795" s="26" t="n">
        <v>0</v>
      </c>
      <c r="K795" s="26" t="n">
        <v>8</v>
      </c>
      <c r="L795" s="26" t="n">
        <v>0</v>
      </c>
      <c r="M795" s="26" t="n">
        <v>0</v>
      </c>
      <c r="N795" s="26" t="n">
        <v>0</v>
      </c>
      <c r="O795" s="26" t="n">
        <v>0</v>
      </c>
      <c r="P795" s="26" t="n">
        <v>-3</v>
      </c>
      <c r="Q795" s="26" t="n">
        <v>70</v>
      </c>
      <c r="R795" s="26" t="n">
        <v>127</v>
      </c>
      <c r="S795" s="26" t="n">
        <v>0</v>
      </c>
      <c r="T795" s="26" t="n">
        <v>53</v>
      </c>
      <c r="U795" s="26" t="n">
        <v>0</v>
      </c>
    </row>
    <row r="796" customFormat="false" ht="15" hidden="false" customHeight="true" outlineLevel="0" collapsed="false">
      <c r="A796" s="8" t="s">
        <v>944</v>
      </c>
      <c r="B796" s="8" t="s">
        <v>188</v>
      </c>
      <c r="C796" s="8" t="s">
        <v>658</v>
      </c>
      <c r="D796" s="26" t="n">
        <v>0</v>
      </c>
      <c r="E796" s="26" t="n">
        <v>0</v>
      </c>
      <c r="F796" s="26" t="n">
        <v>24</v>
      </c>
      <c r="G796" s="26" t="n">
        <v>0</v>
      </c>
      <c r="H796" s="26" t="n">
        <v>0</v>
      </c>
      <c r="I796" s="26" t="n">
        <v>169</v>
      </c>
      <c r="J796" s="26" t="n">
        <v>0</v>
      </c>
      <c r="K796" s="26" t="n">
        <v>3</v>
      </c>
      <c r="L796" s="26" t="n">
        <v>0</v>
      </c>
      <c r="M796" s="26" t="n">
        <v>0</v>
      </c>
      <c r="N796" s="26" t="n">
        <v>0</v>
      </c>
      <c r="O796" s="26" t="n">
        <v>0</v>
      </c>
      <c r="P796" s="26" t="n">
        <v>-1</v>
      </c>
      <c r="Q796" s="26" t="n">
        <v>59</v>
      </c>
      <c r="R796" s="26" t="n">
        <v>108</v>
      </c>
      <c r="S796" s="26" t="n">
        <v>0</v>
      </c>
      <c r="T796" s="26" t="n">
        <v>23</v>
      </c>
      <c r="U796" s="26" t="n">
        <v>0</v>
      </c>
    </row>
    <row r="797" customFormat="false" ht="15" hidden="false" customHeight="true" outlineLevel="0" collapsed="false">
      <c r="A797" s="8" t="s">
        <v>944</v>
      </c>
      <c r="B797" s="8" t="s">
        <v>308</v>
      </c>
      <c r="C797" s="8" t="s">
        <v>959</v>
      </c>
      <c r="D797" s="26" t="n">
        <v>0</v>
      </c>
      <c r="E797" s="26" t="n">
        <v>0</v>
      </c>
      <c r="F797" s="26" t="n">
        <v>1</v>
      </c>
      <c r="G797" s="26" t="n">
        <v>0</v>
      </c>
      <c r="H797" s="26" t="n">
        <v>0</v>
      </c>
      <c r="I797" s="26" t="n">
        <v>0</v>
      </c>
      <c r="J797" s="26" t="n">
        <v>0</v>
      </c>
      <c r="K797" s="26" t="n">
        <v>0</v>
      </c>
      <c r="L797" s="26" t="n">
        <v>0</v>
      </c>
      <c r="M797" s="26" t="n">
        <v>0</v>
      </c>
      <c r="N797" s="26" t="n">
        <v>0</v>
      </c>
      <c r="O797" s="26" t="n">
        <v>0</v>
      </c>
      <c r="P797" s="26" t="n">
        <v>0</v>
      </c>
      <c r="Q797" s="26" t="n">
        <v>0</v>
      </c>
      <c r="R797" s="26" t="n">
        <v>0</v>
      </c>
      <c r="S797" s="26" t="n">
        <v>0</v>
      </c>
      <c r="T797" s="26" t="n">
        <v>0</v>
      </c>
      <c r="U797" s="26" t="n">
        <v>0</v>
      </c>
    </row>
    <row r="798" customFormat="false" ht="15" hidden="false" customHeight="true" outlineLevel="0" collapsed="false">
      <c r="A798" s="8" t="s">
        <v>944</v>
      </c>
      <c r="B798" s="8" t="s">
        <v>222</v>
      </c>
      <c r="C798" s="8" t="s">
        <v>663</v>
      </c>
      <c r="D798" s="26" t="n">
        <v>0</v>
      </c>
      <c r="E798" s="26" t="n">
        <v>0</v>
      </c>
      <c r="F798" s="26" t="n">
        <v>0</v>
      </c>
      <c r="G798" s="26" t="n">
        <v>0</v>
      </c>
      <c r="H798" s="26" t="n">
        <v>0</v>
      </c>
      <c r="I798" s="26" t="n">
        <v>-1</v>
      </c>
      <c r="J798" s="26" t="n">
        <v>0</v>
      </c>
      <c r="K798" s="26" t="n">
        <v>0</v>
      </c>
      <c r="L798" s="26" t="n">
        <v>0</v>
      </c>
      <c r="M798" s="26" t="n">
        <v>0</v>
      </c>
      <c r="N798" s="26" t="n">
        <v>0</v>
      </c>
      <c r="O798" s="26" t="n">
        <v>0</v>
      </c>
      <c r="P798" s="26" t="n">
        <v>0</v>
      </c>
      <c r="Q798" s="26" t="n">
        <v>-1</v>
      </c>
      <c r="R798" s="26" t="n">
        <v>0</v>
      </c>
      <c r="S798" s="26" t="n">
        <v>0</v>
      </c>
      <c r="T798" s="26" t="n">
        <v>0</v>
      </c>
      <c r="U798" s="26" t="n">
        <v>0</v>
      </c>
    </row>
    <row r="799" customFormat="false" ht="15" hidden="false" customHeight="true" outlineLevel="0" collapsed="false">
      <c r="A799" s="8" t="s">
        <v>944</v>
      </c>
      <c r="B799" s="8" t="s">
        <v>277</v>
      </c>
      <c r="C799" s="8" t="s">
        <v>667</v>
      </c>
      <c r="D799" s="26" t="n">
        <v>0</v>
      </c>
      <c r="E799" s="26" t="n">
        <v>0</v>
      </c>
      <c r="F799" s="26" t="n">
        <v>1</v>
      </c>
      <c r="G799" s="26" t="n">
        <v>0</v>
      </c>
      <c r="H799" s="26" t="n">
        <v>0</v>
      </c>
      <c r="I799" s="26" t="n">
        <v>0</v>
      </c>
      <c r="J799" s="26" t="n">
        <v>0</v>
      </c>
      <c r="K799" s="26" t="n">
        <v>0</v>
      </c>
      <c r="L799" s="26" t="n">
        <v>0</v>
      </c>
      <c r="M799" s="26" t="n">
        <v>0</v>
      </c>
      <c r="N799" s="26" t="n">
        <v>0</v>
      </c>
      <c r="O799" s="26" t="n">
        <v>0</v>
      </c>
      <c r="P799" s="26" t="n">
        <v>0</v>
      </c>
      <c r="Q799" s="26" t="n">
        <v>0</v>
      </c>
      <c r="R799" s="26" t="n">
        <v>0</v>
      </c>
      <c r="S799" s="26" t="n">
        <v>0</v>
      </c>
      <c r="T799" s="26" t="n">
        <v>0</v>
      </c>
      <c r="U799" s="26" t="n">
        <v>0</v>
      </c>
    </row>
    <row r="800" customFormat="false" ht="15" hidden="false" customHeight="true" outlineLevel="0" collapsed="false">
      <c r="A800" s="8" t="s">
        <v>944</v>
      </c>
      <c r="B800" s="8" t="s">
        <v>277</v>
      </c>
      <c r="C800" s="8" t="s">
        <v>668</v>
      </c>
      <c r="D800" s="26" t="n">
        <v>0</v>
      </c>
      <c r="E800" s="26" t="n">
        <v>0</v>
      </c>
      <c r="F800" s="26" t="n">
        <v>1</v>
      </c>
      <c r="G800" s="26" t="n">
        <v>0</v>
      </c>
      <c r="H800" s="26" t="n">
        <v>0</v>
      </c>
      <c r="I800" s="26" t="n">
        <v>0</v>
      </c>
      <c r="J800" s="26" t="n">
        <v>0</v>
      </c>
      <c r="K800" s="26" t="n">
        <v>0</v>
      </c>
      <c r="L800" s="26" t="n">
        <v>0</v>
      </c>
      <c r="M800" s="26" t="n">
        <v>0</v>
      </c>
      <c r="N800" s="26" t="n">
        <v>0</v>
      </c>
      <c r="O800" s="26" t="n">
        <v>0</v>
      </c>
      <c r="P800" s="26" t="n">
        <v>0</v>
      </c>
      <c r="Q800" s="26" t="n">
        <v>0</v>
      </c>
      <c r="R800" s="26" t="n">
        <v>0</v>
      </c>
      <c r="S800" s="26" t="n">
        <v>0</v>
      </c>
      <c r="T800" s="26" t="n">
        <v>0</v>
      </c>
      <c r="U800" s="26" t="n">
        <v>0</v>
      </c>
    </row>
    <row r="801" customFormat="false" ht="15" hidden="false" customHeight="true" outlineLevel="0" collapsed="false">
      <c r="A801" s="8" t="s">
        <v>944</v>
      </c>
      <c r="B801" s="8" t="s">
        <v>277</v>
      </c>
      <c r="C801" s="8" t="s">
        <v>669</v>
      </c>
      <c r="D801" s="26" t="n">
        <v>0</v>
      </c>
      <c r="E801" s="26" t="n">
        <v>0</v>
      </c>
      <c r="F801" s="26" t="n">
        <v>2</v>
      </c>
      <c r="G801" s="26" t="n">
        <v>0</v>
      </c>
      <c r="H801" s="26" t="n">
        <v>0</v>
      </c>
      <c r="I801" s="26" t="n">
        <v>0</v>
      </c>
      <c r="J801" s="26" t="n">
        <v>0</v>
      </c>
      <c r="K801" s="26" t="n">
        <v>0</v>
      </c>
      <c r="L801" s="26" t="n">
        <v>0</v>
      </c>
      <c r="M801" s="26" t="n">
        <v>0</v>
      </c>
      <c r="N801" s="26" t="n">
        <v>0</v>
      </c>
      <c r="O801" s="26" t="n">
        <v>0</v>
      </c>
      <c r="P801" s="26" t="n">
        <v>0</v>
      </c>
      <c r="Q801" s="26" t="n">
        <v>0</v>
      </c>
      <c r="R801" s="26" t="n">
        <v>0</v>
      </c>
      <c r="S801" s="26" t="n">
        <v>0</v>
      </c>
      <c r="T801" s="26" t="n">
        <v>0</v>
      </c>
      <c r="U801" s="26" t="n">
        <v>0</v>
      </c>
    </row>
    <row r="802" customFormat="false" ht="15" hidden="false" customHeight="true" outlineLevel="0" collapsed="false">
      <c r="A802" s="8" t="s">
        <v>944</v>
      </c>
      <c r="B802" s="8" t="s">
        <v>224</v>
      </c>
      <c r="C802" s="8" t="s">
        <v>672</v>
      </c>
      <c r="D802" s="26" t="n">
        <v>0</v>
      </c>
      <c r="E802" s="26" t="n">
        <v>0</v>
      </c>
      <c r="F802" s="26" t="n">
        <v>0</v>
      </c>
      <c r="G802" s="26" t="n">
        <v>0</v>
      </c>
      <c r="H802" s="26" t="n">
        <v>0</v>
      </c>
      <c r="I802" s="26" t="n">
        <v>1</v>
      </c>
      <c r="J802" s="26" t="n">
        <v>0</v>
      </c>
      <c r="K802" s="26" t="n">
        <v>0</v>
      </c>
      <c r="L802" s="26" t="n">
        <v>0</v>
      </c>
      <c r="M802" s="26" t="n">
        <v>0</v>
      </c>
      <c r="N802" s="26" t="n">
        <v>0</v>
      </c>
      <c r="O802" s="26" t="n">
        <v>0</v>
      </c>
      <c r="P802" s="26" t="n">
        <v>0</v>
      </c>
      <c r="Q802" s="26" t="n">
        <v>0</v>
      </c>
      <c r="R802" s="26" t="n">
        <v>1</v>
      </c>
      <c r="S802" s="26" t="n">
        <v>0</v>
      </c>
      <c r="T802" s="26" t="n">
        <v>0</v>
      </c>
      <c r="U802" s="26" t="n">
        <v>0</v>
      </c>
    </row>
    <row r="803" customFormat="false" ht="15" hidden="false" customHeight="true" outlineLevel="0" collapsed="false">
      <c r="A803" s="8" t="s">
        <v>944</v>
      </c>
      <c r="B803" s="8" t="s">
        <v>272</v>
      </c>
      <c r="C803" s="8" t="s">
        <v>674</v>
      </c>
      <c r="D803" s="26" t="n">
        <v>0</v>
      </c>
      <c r="E803" s="26" t="n">
        <v>0</v>
      </c>
      <c r="F803" s="26" t="n">
        <v>0</v>
      </c>
      <c r="G803" s="26" t="n">
        <v>0</v>
      </c>
      <c r="H803" s="26" t="n">
        <v>0</v>
      </c>
      <c r="I803" s="26" t="n">
        <v>9</v>
      </c>
      <c r="J803" s="26" t="n">
        <v>0</v>
      </c>
      <c r="K803" s="26" t="n">
        <v>0</v>
      </c>
      <c r="L803" s="26" t="n">
        <v>0</v>
      </c>
      <c r="M803" s="26" t="n">
        <v>0</v>
      </c>
      <c r="N803" s="26" t="n">
        <v>0</v>
      </c>
      <c r="O803" s="26" t="n">
        <v>0</v>
      </c>
      <c r="P803" s="26" t="n">
        <v>0</v>
      </c>
      <c r="Q803" s="26" t="n">
        <v>7</v>
      </c>
      <c r="R803" s="26" t="n">
        <v>2</v>
      </c>
      <c r="S803" s="26" t="n">
        <v>0</v>
      </c>
      <c r="T803" s="26" t="n">
        <v>0</v>
      </c>
      <c r="U803" s="26" t="n">
        <v>0</v>
      </c>
    </row>
    <row r="804" customFormat="false" ht="15" hidden="false" customHeight="true" outlineLevel="0" collapsed="false">
      <c r="A804" s="8" t="s">
        <v>944</v>
      </c>
      <c r="B804" s="8" t="s">
        <v>251</v>
      </c>
      <c r="C804" s="8" t="s">
        <v>675</v>
      </c>
      <c r="D804" s="26" t="n">
        <v>0</v>
      </c>
      <c r="E804" s="26" t="n">
        <v>0</v>
      </c>
      <c r="F804" s="26" t="n">
        <v>2</v>
      </c>
      <c r="G804" s="26" t="n">
        <v>0</v>
      </c>
      <c r="H804" s="26" t="n">
        <v>0</v>
      </c>
      <c r="I804" s="26" t="n">
        <v>48</v>
      </c>
      <c r="J804" s="26" t="n">
        <v>0</v>
      </c>
      <c r="K804" s="26" t="n">
        <v>3</v>
      </c>
      <c r="L804" s="26" t="n">
        <v>0</v>
      </c>
      <c r="M804" s="26" t="n">
        <v>0</v>
      </c>
      <c r="N804" s="26" t="n">
        <v>0</v>
      </c>
      <c r="O804" s="26" t="n">
        <v>0</v>
      </c>
      <c r="P804" s="26" t="n">
        <v>0</v>
      </c>
      <c r="Q804" s="26" t="n">
        <v>33</v>
      </c>
      <c r="R804" s="26" t="n">
        <v>12</v>
      </c>
      <c r="S804" s="26" t="n">
        <v>0</v>
      </c>
      <c r="T804" s="26" t="n">
        <v>0</v>
      </c>
      <c r="U804" s="26" t="n">
        <v>0</v>
      </c>
    </row>
    <row r="805" customFormat="false" ht="15" hidden="false" customHeight="true" outlineLevel="0" collapsed="false">
      <c r="A805" s="8" t="s">
        <v>944</v>
      </c>
      <c r="B805" s="8" t="s">
        <v>251</v>
      </c>
      <c r="C805" s="8" t="s">
        <v>676</v>
      </c>
      <c r="D805" s="26" t="n">
        <v>0</v>
      </c>
      <c r="E805" s="26" t="n">
        <v>0</v>
      </c>
      <c r="F805" s="26" t="n">
        <v>1</v>
      </c>
      <c r="G805" s="26" t="n">
        <v>0</v>
      </c>
      <c r="H805" s="26" t="n">
        <v>0</v>
      </c>
      <c r="I805" s="26" t="n">
        <v>35</v>
      </c>
      <c r="J805" s="26" t="n">
        <v>0</v>
      </c>
      <c r="K805" s="26" t="n">
        <v>0</v>
      </c>
      <c r="L805" s="26" t="n">
        <v>0</v>
      </c>
      <c r="M805" s="26" t="n">
        <v>0</v>
      </c>
      <c r="N805" s="26" t="n">
        <v>0</v>
      </c>
      <c r="O805" s="26" t="n">
        <v>0</v>
      </c>
      <c r="P805" s="26" t="n">
        <v>0</v>
      </c>
      <c r="Q805" s="26" t="n">
        <v>29</v>
      </c>
      <c r="R805" s="26" t="n">
        <v>6</v>
      </c>
      <c r="S805" s="26" t="n">
        <v>0</v>
      </c>
      <c r="T805" s="26" t="n">
        <v>0</v>
      </c>
      <c r="U805" s="26" t="n">
        <v>0</v>
      </c>
    </row>
    <row r="806" customFormat="false" ht="15" hidden="false" customHeight="true" outlineLevel="0" collapsed="false">
      <c r="A806" s="8" t="s">
        <v>944</v>
      </c>
      <c r="B806" s="8" t="s">
        <v>251</v>
      </c>
      <c r="C806" s="8" t="s">
        <v>677</v>
      </c>
      <c r="D806" s="26" t="n">
        <v>0</v>
      </c>
      <c r="E806" s="26" t="n">
        <v>0</v>
      </c>
      <c r="F806" s="26" t="n">
        <v>2</v>
      </c>
      <c r="G806" s="26" t="n">
        <v>0</v>
      </c>
      <c r="H806" s="26" t="n">
        <v>0</v>
      </c>
      <c r="I806" s="26" t="n">
        <v>49</v>
      </c>
      <c r="J806" s="26" t="n">
        <v>0</v>
      </c>
      <c r="K806" s="26" t="n">
        <v>1</v>
      </c>
      <c r="L806" s="26" t="n">
        <v>0</v>
      </c>
      <c r="M806" s="26" t="n">
        <v>0</v>
      </c>
      <c r="N806" s="26" t="n">
        <v>0</v>
      </c>
      <c r="O806" s="26" t="n">
        <v>0</v>
      </c>
      <c r="P806" s="26" t="n">
        <v>0</v>
      </c>
      <c r="Q806" s="26" t="n">
        <v>40</v>
      </c>
      <c r="R806" s="26" t="n">
        <v>8</v>
      </c>
      <c r="S806" s="26" t="n">
        <v>0</v>
      </c>
      <c r="T806" s="26" t="n">
        <v>0</v>
      </c>
      <c r="U806" s="26" t="n">
        <v>0</v>
      </c>
    </row>
    <row r="807" customFormat="false" ht="15" hidden="false" customHeight="true" outlineLevel="0" collapsed="false">
      <c r="A807" s="8" t="s">
        <v>944</v>
      </c>
      <c r="B807" s="8" t="s">
        <v>376</v>
      </c>
      <c r="C807" s="8" t="s">
        <v>960</v>
      </c>
      <c r="D807" s="26" t="n">
        <v>0</v>
      </c>
      <c r="E807" s="26" t="n">
        <v>0</v>
      </c>
      <c r="F807" s="26" t="n">
        <v>0</v>
      </c>
      <c r="G807" s="26" t="n">
        <v>0</v>
      </c>
      <c r="H807" s="26" t="n">
        <v>0</v>
      </c>
      <c r="I807" s="26" t="n">
        <v>-1</v>
      </c>
      <c r="J807" s="26" t="n">
        <v>0</v>
      </c>
      <c r="K807" s="26" t="n">
        <v>0</v>
      </c>
      <c r="L807" s="26" t="n">
        <v>0</v>
      </c>
      <c r="M807" s="26" t="n">
        <v>0</v>
      </c>
      <c r="N807" s="26" t="n">
        <v>0</v>
      </c>
      <c r="O807" s="26" t="n">
        <v>0</v>
      </c>
      <c r="P807" s="26" t="n">
        <v>0</v>
      </c>
      <c r="Q807" s="26" t="n">
        <v>-1</v>
      </c>
      <c r="R807" s="26" t="n">
        <v>0</v>
      </c>
      <c r="S807" s="26" t="n">
        <v>0</v>
      </c>
      <c r="T807" s="26" t="n">
        <v>0</v>
      </c>
      <c r="U807" s="26" t="n">
        <v>0</v>
      </c>
    </row>
    <row r="808" customFormat="false" ht="15" hidden="false" customHeight="true" outlineLevel="0" collapsed="false">
      <c r="A808" s="8" t="s">
        <v>944</v>
      </c>
      <c r="B808" s="8" t="s">
        <v>270</v>
      </c>
      <c r="C808" s="8" t="s">
        <v>678</v>
      </c>
      <c r="D808" s="26" t="n">
        <v>0</v>
      </c>
      <c r="E808" s="26" t="n">
        <v>0</v>
      </c>
      <c r="F808" s="26" t="n">
        <v>4</v>
      </c>
      <c r="G808" s="26" t="n">
        <v>0</v>
      </c>
      <c r="H808" s="26" t="n">
        <v>0</v>
      </c>
      <c r="I808" s="26" t="n">
        <v>19</v>
      </c>
      <c r="J808" s="26" t="n">
        <v>0</v>
      </c>
      <c r="K808" s="26" t="n">
        <v>0</v>
      </c>
      <c r="L808" s="26" t="n">
        <v>0</v>
      </c>
      <c r="M808" s="26" t="n">
        <v>0</v>
      </c>
      <c r="N808" s="26" t="n">
        <v>0</v>
      </c>
      <c r="O808" s="26" t="n">
        <v>0</v>
      </c>
      <c r="P808" s="26" t="n">
        <v>0</v>
      </c>
      <c r="Q808" s="26" t="n">
        <v>17</v>
      </c>
      <c r="R808" s="26" t="n">
        <v>2</v>
      </c>
      <c r="S808" s="26" t="n">
        <v>0</v>
      </c>
      <c r="T808" s="26" t="n">
        <v>4</v>
      </c>
      <c r="U808" s="26" t="n">
        <v>0</v>
      </c>
    </row>
    <row r="809" customFormat="false" ht="15" hidden="false" customHeight="true" outlineLevel="0" collapsed="false">
      <c r="A809" s="8" t="s">
        <v>944</v>
      </c>
      <c r="B809" s="8" t="s">
        <v>270</v>
      </c>
      <c r="C809" s="8" t="s">
        <v>679</v>
      </c>
      <c r="D809" s="26" t="n">
        <v>0</v>
      </c>
      <c r="E809" s="26" t="n">
        <v>0</v>
      </c>
      <c r="F809" s="26" t="n">
        <v>11</v>
      </c>
      <c r="G809" s="26" t="n">
        <v>0</v>
      </c>
      <c r="H809" s="26" t="n">
        <v>0</v>
      </c>
      <c r="I809" s="26" t="n">
        <v>110</v>
      </c>
      <c r="J809" s="26" t="n">
        <v>0</v>
      </c>
      <c r="K809" s="26" t="n">
        <v>0</v>
      </c>
      <c r="L809" s="26" t="n">
        <v>0</v>
      </c>
      <c r="M809" s="26" t="n">
        <v>0</v>
      </c>
      <c r="N809" s="26" t="n">
        <v>0</v>
      </c>
      <c r="O809" s="26" t="n">
        <v>0</v>
      </c>
      <c r="P809" s="26" t="n">
        <v>0</v>
      </c>
      <c r="Q809" s="26" t="n">
        <v>105</v>
      </c>
      <c r="R809" s="26" t="n">
        <v>5</v>
      </c>
      <c r="S809" s="26" t="n">
        <v>0</v>
      </c>
      <c r="T809" s="26" t="n">
        <v>21</v>
      </c>
      <c r="U809" s="26" t="n">
        <v>0</v>
      </c>
    </row>
    <row r="810" customFormat="false" ht="15" hidden="false" customHeight="true" outlineLevel="0" collapsed="false">
      <c r="A810" s="8" t="s">
        <v>944</v>
      </c>
      <c r="B810" s="8" t="s">
        <v>270</v>
      </c>
      <c r="C810" s="8" t="s">
        <v>680</v>
      </c>
      <c r="D810" s="26" t="n">
        <v>0</v>
      </c>
      <c r="E810" s="26" t="n">
        <v>0</v>
      </c>
      <c r="F810" s="26" t="n">
        <v>27</v>
      </c>
      <c r="G810" s="26" t="n">
        <v>0</v>
      </c>
      <c r="H810" s="26" t="n">
        <v>0</v>
      </c>
      <c r="I810" s="26" t="n">
        <v>138</v>
      </c>
      <c r="J810" s="26" t="n">
        <v>0</v>
      </c>
      <c r="K810" s="26" t="n">
        <v>0</v>
      </c>
      <c r="L810" s="26" t="n">
        <v>0</v>
      </c>
      <c r="M810" s="26" t="n">
        <v>0</v>
      </c>
      <c r="N810" s="26" t="n">
        <v>0</v>
      </c>
      <c r="O810" s="26" t="n">
        <v>0</v>
      </c>
      <c r="P810" s="26" t="n">
        <v>0</v>
      </c>
      <c r="Q810" s="26" t="n">
        <v>128</v>
      </c>
      <c r="R810" s="26" t="n">
        <v>10</v>
      </c>
      <c r="S810" s="26" t="n">
        <v>0</v>
      </c>
      <c r="T810" s="26" t="n">
        <v>19</v>
      </c>
      <c r="U810" s="26" t="n">
        <v>0</v>
      </c>
    </row>
    <row r="811" customFormat="false" ht="15" hidden="false" customHeight="true" outlineLevel="0" collapsed="false">
      <c r="A811" s="8" t="s">
        <v>944</v>
      </c>
      <c r="B811" s="8" t="s">
        <v>270</v>
      </c>
      <c r="C811" s="8" t="s">
        <v>681</v>
      </c>
      <c r="D811" s="26" t="n">
        <v>0</v>
      </c>
      <c r="E811" s="26" t="n">
        <v>0</v>
      </c>
      <c r="F811" s="26" t="n">
        <v>14</v>
      </c>
      <c r="G811" s="26" t="n">
        <v>0</v>
      </c>
      <c r="H811" s="26" t="n">
        <v>0</v>
      </c>
      <c r="I811" s="26" t="n">
        <v>143</v>
      </c>
      <c r="J811" s="26" t="n">
        <v>0</v>
      </c>
      <c r="K811" s="26" t="n">
        <v>0</v>
      </c>
      <c r="L811" s="26" t="n">
        <v>0</v>
      </c>
      <c r="M811" s="26" t="n">
        <v>0</v>
      </c>
      <c r="N811" s="26" t="n">
        <v>0</v>
      </c>
      <c r="O811" s="26" t="n">
        <v>0</v>
      </c>
      <c r="P811" s="26" t="n">
        <v>0</v>
      </c>
      <c r="Q811" s="26" t="n">
        <v>134</v>
      </c>
      <c r="R811" s="26" t="n">
        <v>9</v>
      </c>
      <c r="S811" s="26" t="n">
        <v>0</v>
      </c>
      <c r="T811" s="26" t="n">
        <v>14</v>
      </c>
      <c r="U811" s="26" t="n">
        <v>0</v>
      </c>
    </row>
    <row r="812" customFormat="false" ht="15" hidden="false" customHeight="true" outlineLevel="0" collapsed="false">
      <c r="A812" s="8" t="s">
        <v>944</v>
      </c>
      <c r="B812" s="8" t="s">
        <v>270</v>
      </c>
      <c r="C812" s="8" t="s">
        <v>682</v>
      </c>
      <c r="D812" s="26" t="n">
        <v>0</v>
      </c>
      <c r="E812" s="26" t="n">
        <v>0</v>
      </c>
      <c r="F812" s="26" t="n">
        <v>7</v>
      </c>
      <c r="G812" s="26" t="n">
        <v>0</v>
      </c>
      <c r="H812" s="26" t="n">
        <v>0</v>
      </c>
      <c r="I812" s="26" t="n">
        <v>53</v>
      </c>
      <c r="J812" s="26" t="n">
        <v>0</v>
      </c>
      <c r="K812" s="26" t="n">
        <v>0</v>
      </c>
      <c r="L812" s="26" t="n">
        <v>0</v>
      </c>
      <c r="M812" s="26" t="n">
        <v>0</v>
      </c>
      <c r="N812" s="26" t="n">
        <v>0</v>
      </c>
      <c r="O812" s="26" t="n">
        <v>0</v>
      </c>
      <c r="P812" s="26" t="n">
        <v>0</v>
      </c>
      <c r="Q812" s="26" t="n">
        <v>50</v>
      </c>
      <c r="R812" s="26" t="n">
        <v>3</v>
      </c>
      <c r="S812" s="26" t="n">
        <v>0</v>
      </c>
      <c r="T812" s="26" t="n">
        <v>7</v>
      </c>
      <c r="U812" s="26" t="n">
        <v>0</v>
      </c>
    </row>
    <row r="813" customFormat="false" ht="15" hidden="false" customHeight="true" outlineLevel="0" collapsed="false">
      <c r="A813" s="8" t="s">
        <v>944</v>
      </c>
      <c r="B813" s="8" t="s">
        <v>332</v>
      </c>
      <c r="C813" s="8" t="s">
        <v>683</v>
      </c>
      <c r="D813" s="26" t="n">
        <v>0</v>
      </c>
      <c r="E813" s="26" t="n">
        <v>0</v>
      </c>
      <c r="F813" s="26" t="n">
        <v>1</v>
      </c>
      <c r="G813" s="26" t="n">
        <v>0</v>
      </c>
      <c r="H813" s="26" t="n">
        <v>0</v>
      </c>
      <c r="I813" s="26" t="n">
        <v>0</v>
      </c>
      <c r="J813" s="26" t="n">
        <v>0</v>
      </c>
      <c r="K813" s="26" t="n">
        <v>0</v>
      </c>
      <c r="L813" s="26" t="n">
        <v>0</v>
      </c>
      <c r="M813" s="26" t="n">
        <v>0</v>
      </c>
      <c r="N813" s="26" t="n">
        <v>0</v>
      </c>
      <c r="O813" s="26" t="n">
        <v>0</v>
      </c>
      <c r="P813" s="26" t="n">
        <v>0</v>
      </c>
      <c r="Q813" s="26" t="n">
        <v>0</v>
      </c>
      <c r="R813" s="26" t="n">
        <v>0</v>
      </c>
      <c r="S813" s="26" t="n">
        <v>0</v>
      </c>
      <c r="T813" s="26" t="n">
        <v>0</v>
      </c>
      <c r="U813" s="26" t="n">
        <v>0</v>
      </c>
    </row>
    <row r="814" customFormat="false" ht="15" hidden="false" customHeight="true" outlineLevel="0" collapsed="false">
      <c r="A814" s="8" t="s">
        <v>944</v>
      </c>
      <c r="B814" s="8" t="s">
        <v>255</v>
      </c>
      <c r="C814" s="8" t="s">
        <v>688</v>
      </c>
      <c r="D814" s="26" t="n">
        <v>0</v>
      </c>
      <c r="E814" s="26" t="n">
        <v>0</v>
      </c>
      <c r="F814" s="26" t="n">
        <v>1</v>
      </c>
      <c r="G814" s="26" t="n">
        <v>0</v>
      </c>
      <c r="H814" s="26" t="n">
        <v>0</v>
      </c>
      <c r="I814" s="26" t="n">
        <v>0</v>
      </c>
      <c r="J814" s="26" t="n">
        <v>0</v>
      </c>
      <c r="K814" s="26" t="n">
        <v>0</v>
      </c>
      <c r="L814" s="26" t="n">
        <v>0</v>
      </c>
      <c r="M814" s="26" t="n">
        <v>0</v>
      </c>
      <c r="N814" s="26" t="n">
        <v>0</v>
      </c>
      <c r="O814" s="26" t="n">
        <v>0</v>
      </c>
      <c r="P814" s="26" t="n">
        <v>0</v>
      </c>
      <c r="Q814" s="26" t="n">
        <v>0</v>
      </c>
      <c r="R814" s="26" t="n">
        <v>0</v>
      </c>
      <c r="S814" s="26" t="n">
        <v>0</v>
      </c>
      <c r="T814" s="26" t="n">
        <v>0</v>
      </c>
      <c r="U814" s="26" t="n">
        <v>0</v>
      </c>
    </row>
    <row r="815" customFormat="false" ht="15" hidden="false" customHeight="true" outlineLevel="0" collapsed="false">
      <c r="A815" s="8" t="s">
        <v>944</v>
      </c>
      <c r="B815" s="8" t="s">
        <v>325</v>
      </c>
      <c r="C815" s="8" t="s">
        <v>961</v>
      </c>
      <c r="D815" s="26" t="n">
        <v>0</v>
      </c>
      <c r="E815" s="26" t="n">
        <v>0</v>
      </c>
      <c r="F815" s="26" t="n">
        <v>1</v>
      </c>
      <c r="G815" s="26" t="n">
        <v>0</v>
      </c>
      <c r="H815" s="26" t="n">
        <v>0</v>
      </c>
      <c r="I815" s="26" t="n">
        <v>0</v>
      </c>
      <c r="J815" s="26" t="n">
        <v>0</v>
      </c>
      <c r="K815" s="26" t="n">
        <v>0</v>
      </c>
      <c r="L815" s="26" t="n">
        <v>0</v>
      </c>
      <c r="M815" s="26" t="n">
        <v>0</v>
      </c>
      <c r="N815" s="26" t="n">
        <v>0</v>
      </c>
      <c r="O815" s="26" t="n">
        <v>0</v>
      </c>
      <c r="P815" s="26" t="n">
        <v>0</v>
      </c>
      <c r="Q815" s="26" t="n">
        <v>0</v>
      </c>
      <c r="R815" s="26" t="n">
        <v>0</v>
      </c>
      <c r="S815" s="26" t="n">
        <v>0</v>
      </c>
      <c r="T815" s="26" t="n">
        <v>0</v>
      </c>
      <c r="U815" s="26" t="n">
        <v>0</v>
      </c>
    </row>
    <row r="816" customFormat="false" ht="15" hidden="false" customHeight="true" outlineLevel="0" collapsed="false">
      <c r="A816" s="8" t="s">
        <v>944</v>
      </c>
      <c r="B816" s="8" t="s">
        <v>312</v>
      </c>
      <c r="C816" s="8" t="s">
        <v>692</v>
      </c>
      <c r="D816" s="26" t="n">
        <v>0</v>
      </c>
      <c r="E816" s="26" t="n">
        <v>0</v>
      </c>
      <c r="F816" s="26" t="n">
        <v>4</v>
      </c>
      <c r="G816" s="26" t="n">
        <v>0</v>
      </c>
      <c r="H816" s="26" t="n">
        <v>0</v>
      </c>
      <c r="I816" s="26" t="n">
        <v>7</v>
      </c>
      <c r="J816" s="26" t="n">
        <v>0</v>
      </c>
      <c r="K816" s="26" t="n">
        <v>0</v>
      </c>
      <c r="L816" s="26" t="n">
        <v>0</v>
      </c>
      <c r="M816" s="26" t="n">
        <v>0</v>
      </c>
      <c r="N816" s="26" t="n">
        <v>0</v>
      </c>
      <c r="O816" s="26" t="n">
        <v>0</v>
      </c>
      <c r="P816" s="26" t="n">
        <v>-2</v>
      </c>
      <c r="Q816" s="26" t="n">
        <v>3</v>
      </c>
      <c r="R816" s="26" t="n">
        <v>6</v>
      </c>
      <c r="S816" s="26" t="n">
        <v>0</v>
      </c>
      <c r="T816" s="26" t="n">
        <v>0</v>
      </c>
      <c r="U816" s="26" t="n">
        <v>0</v>
      </c>
    </row>
    <row r="817" customFormat="false" ht="15" hidden="false" customHeight="true" outlineLevel="0" collapsed="false">
      <c r="A817" s="8" t="s">
        <v>944</v>
      </c>
      <c r="B817" s="8" t="s">
        <v>312</v>
      </c>
      <c r="C817" s="8" t="s">
        <v>693</v>
      </c>
      <c r="D817" s="26" t="n">
        <v>0</v>
      </c>
      <c r="E817" s="26" t="n">
        <v>0</v>
      </c>
      <c r="F817" s="26" t="n">
        <v>2</v>
      </c>
      <c r="G817" s="26" t="n">
        <v>0</v>
      </c>
      <c r="H817" s="26" t="n">
        <v>0</v>
      </c>
      <c r="I817" s="26" t="n">
        <v>1</v>
      </c>
      <c r="J817" s="26" t="n">
        <v>0</v>
      </c>
      <c r="K817" s="26" t="n">
        <v>0</v>
      </c>
      <c r="L817" s="26" t="n">
        <v>0</v>
      </c>
      <c r="M817" s="26" t="n">
        <v>0</v>
      </c>
      <c r="N817" s="26" t="n">
        <v>0</v>
      </c>
      <c r="O817" s="26" t="n">
        <v>0</v>
      </c>
      <c r="P817" s="26" t="n">
        <v>0</v>
      </c>
      <c r="Q817" s="26" t="n">
        <v>-3</v>
      </c>
      <c r="R817" s="26" t="n">
        <v>4</v>
      </c>
      <c r="S817" s="26" t="n">
        <v>0</v>
      </c>
      <c r="T817" s="26" t="n">
        <v>1</v>
      </c>
      <c r="U817" s="26" t="n">
        <v>0</v>
      </c>
    </row>
    <row r="818" customFormat="false" ht="15" hidden="false" customHeight="true" outlineLevel="0" collapsed="false">
      <c r="A818" s="8" t="s">
        <v>944</v>
      </c>
      <c r="B818" s="8" t="s">
        <v>312</v>
      </c>
      <c r="C818" s="8" t="s">
        <v>694</v>
      </c>
      <c r="D818" s="26" t="n">
        <v>0</v>
      </c>
      <c r="E818" s="26" t="n">
        <v>0</v>
      </c>
      <c r="F818" s="26" t="n">
        <v>1</v>
      </c>
      <c r="G818" s="26" t="n">
        <v>0</v>
      </c>
      <c r="H818" s="26" t="n">
        <v>0</v>
      </c>
      <c r="I818" s="26" t="n">
        <v>3</v>
      </c>
      <c r="J818" s="26" t="n">
        <v>0</v>
      </c>
      <c r="K818" s="26" t="n">
        <v>0</v>
      </c>
      <c r="L818" s="26" t="n">
        <v>0</v>
      </c>
      <c r="M818" s="26" t="n">
        <v>0</v>
      </c>
      <c r="N818" s="26" t="n">
        <v>0</v>
      </c>
      <c r="O818" s="26" t="n">
        <v>0</v>
      </c>
      <c r="P818" s="26" t="n">
        <v>0</v>
      </c>
      <c r="Q818" s="26" t="n">
        <v>3</v>
      </c>
      <c r="R818" s="26" t="n">
        <v>0</v>
      </c>
      <c r="S818" s="26" t="n">
        <v>0</v>
      </c>
      <c r="T818" s="26" t="n">
        <v>0</v>
      </c>
      <c r="U818" s="26" t="n">
        <v>0</v>
      </c>
    </row>
    <row r="819" customFormat="false" ht="15" hidden="false" customHeight="true" outlineLevel="0" collapsed="false">
      <c r="A819" s="8" t="s">
        <v>944</v>
      </c>
      <c r="B819" s="8" t="s">
        <v>352</v>
      </c>
      <c r="C819" s="8" t="s">
        <v>698</v>
      </c>
      <c r="D819" s="26" t="n">
        <v>0</v>
      </c>
      <c r="E819" s="26" t="n">
        <v>0</v>
      </c>
      <c r="F819" s="26" t="n">
        <v>0</v>
      </c>
      <c r="G819" s="26" t="n">
        <v>0</v>
      </c>
      <c r="H819" s="26" t="n">
        <v>0</v>
      </c>
      <c r="I819" s="26" t="n">
        <v>-3</v>
      </c>
      <c r="J819" s="26" t="n">
        <v>0</v>
      </c>
      <c r="K819" s="26" t="n">
        <v>0</v>
      </c>
      <c r="L819" s="26" t="n">
        <v>0</v>
      </c>
      <c r="M819" s="26" t="n">
        <v>0</v>
      </c>
      <c r="N819" s="26" t="n">
        <v>0</v>
      </c>
      <c r="O819" s="26" t="n">
        <v>0</v>
      </c>
      <c r="P819" s="26" t="n">
        <v>-3</v>
      </c>
      <c r="Q819" s="26" t="n">
        <v>0</v>
      </c>
      <c r="R819" s="26" t="n">
        <v>0</v>
      </c>
      <c r="S819" s="26" t="n">
        <v>0</v>
      </c>
      <c r="T819" s="26" t="n">
        <v>0</v>
      </c>
      <c r="U819" s="26" t="n">
        <v>0</v>
      </c>
    </row>
    <row r="820" customFormat="false" ht="15" hidden="false" customHeight="true" outlineLevel="0" collapsed="false">
      <c r="A820" s="8" t="s">
        <v>944</v>
      </c>
      <c r="B820" s="8" t="s">
        <v>352</v>
      </c>
      <c r="C820" s="8" t="s">
        <v>699</v>
      </c>
      <c r="D820" s="26" t="n">
        <v>0</v>
      </c>
      <c r="E820" s="26" t="n">
        <v>0</v>
      </c>
      <c r="F820" s="26" t="n">
        <v>2</v>
      </c>
      <c r="G820" s="26" t="n">
        <v>0</v>
      </c>
      <c r="H820" s="26" t="n">
        <v>0</v>
      </c>
      <c r="I820" s="26" t="n">
        <v>0</v>
      </c>
      <c r="J820" s="26" t="n">
        <v>0</v>
      </c>
      <c r="K820" s="26" t="n">
        <v>0</v>
      </c>
      <c r="L820" s="26" t="n">
        <v>0</v>
      </c>
      <c r="M820" s="26" t="n">
        <v>0</v>
      </c>
      <c r="N820" s="26" t="n">
        <v>0</v>
      </c>
      <c r="O820" s="26" t="n">
        <v>0</v>
      </c>
      <c r="P820" s="26" t="n">
        <v>0</v>
      </c>
      <c r="Q820" s="26" t="n">
        <v>0</v>
      </c>
      <c r="R820" s="26" t="n">
        <v>0</v>
      </c>
      <c r="S820" s="26" t="n">
        <v>0</v>
      </c>
      <c r="T820" s="26" t="n">
        <v>0</v>
      </c>
      <c r="U820" s="26" t="n">
        <v>0</v>
      </c>
    </row>
    <row r="821" customFormat="false" ht="15" hidden="false" customHeight="true" outlineLevel="0" collapsed="false">
      <c r="A821" s="8" t="s">
        <v>944</v>
      </c>
      <c r="B821" s="8" t="s">
        <v>111</v>
      </c>
      <c r="C821" s="8" t="s">
        <v>700</v>
      </c>
      <c r="D821" s="26" t="n">
        <v>0</v>
      </c>
      <c r="E821" s="26" t="n">
        <v>0</v>
      </c>
      <c r="F821" s="26" t="n">
        <v>0</v>
      </c>
      <c r="G821" s="26" t="n">
        <v>0</v>
      </c>
      <c r="H821" s="26" t="n">
        <v>0</v>
      </c>
      <c r="I821" s="26" t="n">
        <v>-1</v>
      </c>
      <c r="J821" s="26" t="n">
        <v>0</v>
      </c>
      <c r="K821" s="26" t="n">
        <v>0</v>
      </c>
      <c r="L821" s="26" t="n">
        <v>0</v>
      </c>
      <c r="M821" s="26" t="n">
        <v>0</v>
      </c>
      <c r="N821" s="26" t="n">
        <v>0</v>
      </c>
      <c r="O821" s="26" t="n">
        <v>0</v>
      </c>
      <c r="P821" s="26" t="n">
        <v>-1</v>
      </c>
      <c r="Q821" s="26" t="n">
        <v>0</v>
      </c>
      <c r="R821" s="26" t="n">
        <v>0</v>
      </c>
      <c r="S821" s="26" t="n">
        <v>0</v>
      </c>
      <c r="T821" s="26" t="n">
        <v>0</v>
      </c>
      <c r="U821" s="26" t="n">
        <v>0</v>
      </c>
    </row>
    <row r="822" customFormat="false" ht="15" hidden="false" customHeight="true" outlineLevel="0" collapsed="false">
      <c r="A822" s="8" t="s">
        <v>944</v>
      </c>
      <c r="B822" s="8" t="s">
        <v>272</v>
      </c>
      <c r="C822" s="8" t="s">
        <v>701</v>
      </c>
      <c r="D822" s="26" t="n">
        <v>0</v>
      </c>
      <c r="E822" s="26" t="n">
        <v>0</v>
      </c>
      <c r="F822" s="26" t="n">
        <v>3</v>
      </c>
      <c r="G822" s="26" t="n">
        <v>0</v>
      </c>
      <c r="H822" s="26" t="n">
        <v>0</v>
      </c>
      <c r="I822" s="26" t="n">
        <v>17</v>
      </c>
      <c r="J822" s="26" t="n">
        <v>0</v>
      </c>
      <c r="K822" s="26" t="n">
        <v>0</v>
      </c>
      <c r="L822" s="26" t="n">
        <v>0</v>
      </c>
      <c r="M822" s="26" t="n">
        <v>0</v>
      </c>
      <c r="N822" s="26" t="n">
        <v>0</v>
      </c>
      <c r="O822" s="26" t="n">
        <v>0</v>
      </c>
      <c r="P822" s="26" t="n">
        <v>0</v>
      </c>
      <c r="Q822" s="26" t="n">
        <v>17</v>
      </c>
      <c r="R822" s="26" t="n">
        <v>0</v>
      </c>
      <c r="S822" s="26" t="n">
        <v>0</v>
      </c>
      <c r="T822" s="26" t="n">
        <v>0</v>
      </c>
      <c r="U822" s="26" t="n">
        <v>0</v>
      </c>
    </row>
    <row r="823" customFormat="false" ht="15" hidden="false" customHeight="true" outlineLevel="0" collapsed="false">
      <c r="A823" s="8" t="s">
        <v>944</v>
      </c>
      <c r="B823" s="8" t="s">
        <v>268</v>
      </c>
      <c r="C823" s="8" t="s">
        <v>702</v>
      </c>
      <c r="D823" s="26" t="n">
        <v>0</v>
      </c>
      <c r="E823" s="26" t="n">
        <v>0</v>
      </c>
      <c r="F823" s="26" t="n">
        <v>0</v>
      </c>
      <c r="G823" s="26" t="n">
        <v>0</v>
      </c>
      <c r="H823" s="26" t="n">
        <v>0</v>
      </c>
      <c r="I823" s="26" t="n">
        <v>0</v>
      </c>
      <c r="J823" s="26" t="n">
        <v>0</v>
      </c>
      <c r="K823" s="26" t="n">
        <v>0</v>
      </c>
      <c r="L823" s="26" t="n">
        <v>0</v>
      </c>
      <c r="M823" s="26" t="n">
        <v>0</v>
      </c>
      <c r="N823" s="26" t="n">
        <v>0</v>
      </c>
      <c r="O823" s="26" t="n">
        <v>0</v>
      </c>
      <c r="P823" s="26" t="n">
        <v>0</v>
      </c>
      <c r="Q823" s="26" t="n">
        <v>0</v>
      </c>
      <c r="R823" s="26" t="n">
        <v>0</v>
      </c>
      <c r="S823" s="26" t="n">
        <v>0</v>
      </c>
      <c r="T823" s="26" t="n">
        <v>4</v>
      </c>
      <c r="U823" s="26" t="n">
        <v>0</v>
      </c>
    </row>
    <row r="824" customFormat="false" ht="15" hidden="false" customHeight="true" outlineLevel="0" collapsed="false">
      <c r="A824" s="8" t="s">
        <v>944</v>
      </c>
      <c r="B824" s="8" t="s">
        <v>182</v>
      </c>
      <c r="C824" s="8" t="s">
        <v>703</v>
      </c>
      <c r="D824" s="26" t="n">
        <v>0</v>
      </c>
      <c r="E824" s="26" t="n">
        <v>0</v>
      </c>
      <c r="F824" s="26" t="n">
        <v>74</v>
      </c>
      <c r="G824" s="26" t="n">
        <v>0</v>
      </c>
      <c r="H824" s="26" t="n">
        <v>0</v>
      </c>
      <c r="I824" s="26" t="n">
        <v>740</v>
      </c>
      <c r="J824" s="26" t="n">
        <v>0</v>
      </c>
      <c r="K824" s="26" t="n">
        <v>7</v>
      </c>
      <c r="L824" s="26" t="n">
        <v>0</v>
      </c>
      <c r="M824" s="26" t="n">
        <v>2</v>
      </c>
      <c r="N824" s="26" t="n">
        <v>5</v>
      </c>
      <c r="O824" s="26" t="n">
        <v>0</v>
      </c>
      <c r="P824" s="26" t="n">
        <v>-7</v>
      </c>
      <c r="Q824" s="26" t="n">
        <v>673</v>
      </c>
      <c r="R824" s="26" t="n">
        <v>60</v>
      </c>
      <c r="S824" s="26" t="n">
        <v>0</v>
      </c>
      <c r="T824" s="26" t="n">
        <v>62</v>
      </c>
      <c r="U824" s="26" t="n">
        <v>0</v>
      </c>
    </row>
    <row r="825" customFormat="false" ht="15" hidden="false" customHeight="true" outlineLevel="0" collapsed="false">
      <c r="A825" s="8" t="s">
        <v>944</v>
      </c>
      <c r="B825" s="8" t="s">
        <v>229</v>
      </c>
      <c r="C825" s="8" t="s">
        <v>705</v>
      </c>
      <c r="D825" s="26" t="n">
        <v>0</v>
      </c>
      <c r="E825" s="26" t="n">
        <v>0</v>
      </c>
      <c r="F825" s="26" t="n">
        <v>326</v>
      </c>
      <c r="G825" s="26" t="n">
        <v>0</v>
      </c>
      <c r="H825" s="26" t="n">
        <v>0</v>
      </c>
      <c r="I825" s="26" t="n">
        <v>9</v>
      </c>
      <c r="J825" s="26" t="n">
        <v>0</v>
      </c>
      <c r="K825" s="26" t="n">
        <v>0</v>
      </c>
      <c r="L825" s="26" t="n">
        <v>0</v>
      </c>
      <c r="M825" s="26" t="n">
        <v>5</v>
      </c>
      <c r="N825" s="26" t="n">
        <v>4</v>
      </c>
      <c r="O825" s="26" t="n">
        <v>0</v>
      </c>
      <c r="P825" s="26" t="n">
        <v>0</v>
      </c>
      <c r="Q825" s="26" t="n">
        <v>0</v>
      </c>
      <c r="R825" s="26" t="n">
        <v>0</v>
      </c>
      <c r="S825" s="26" t="n">
        <v>0</v>
      </c>
      <c r="T825" s="26" t="n">
        <v>0</v>
      </c>
      <c r="U825" s="26" t="n">
        <v>0</v>
      </c>
    </row>
    <row r="826" customFormat="false" ht="15" hidden="false" customHeight="true" outlineLevel="0" collapsed="false">
      <c r="A826" s="8" t="s">
        <v>944</v>
      </c>
      <c r="B826" s="8" t="s">
        <v>154</v>
      </c>
      <c r="C826" s="8" t="s">
        <v>706</v>
      </c>
      <c r="D826" s="26" t="n">
        <v>0</v>
      </c>
      <c r="E826" s="26" t="n">
        <v>0</v>
      </c>
      <c r="F826" s="26" t="n">
        <v>73</v>
      </c>
      <c r="G826" s="26" t="n">
        <v>0</v>
      </c>
      <c r="H826" s="26" t="n">
        <v>0</v>
      </c>
      <c r="I826" s="26" t="n">
        <v>22</v>
      </c>
      <c r="J826" s="26" t="n">
        <v>0</v>
      </c>
      <c r="K826" s="26" t="n">
        <v>2</v>
      </c>
      <c r="L826" s="26" t="n">
        <v>0</v>
      </c>
      <c r="M826" s="26" t="n">
        <v>0</v>
      </c>
      <c r="N826" s="26" t="n">
        <v>0</v>
      </c>
      <c r="O826" s="26" t="n">
        <v>0</v>
      </c>
      <c r="P826" s="26" t="n">
        <v>0</v>
      </c>
      <c r="Q826" s="26" t="n">
        <v>0</v>
      </c>
      <c r="R826" s="26" t="n">
        <v>20</v>
      </c>
      <c r="S826" s="26" t="n">
        <v>0</v>
      </c>
      <c r="T826" s="26" t="n">
        <v>0</v>
      </c>
      <c r="U826" s="26" t="n">
        <v>0</v>
      </c>
    </row>
    <row r="827" customFormat="false" ht="15" hidden="false" customHeight="true" outlineLevel="0" collapsed="false">
      <c r="A827" s="8" t="s">
        <v>944</v>
      </c>
      <c r="B827" s="8" t="s">
        <v>146</v>
      </c>
      <c r="C827" s="8" t="s">
        <v>707</v>
      </c>
      <c r="D827" s="26" t="n">
        <v>0</v>
      </c>
      <c r="E827" s="26" t="n">
        <v>0</v>
      </c>
      <c r="F827" s="26" t="n">
        <v>480</v>
      </c>
      <c r="G827" s="26" t="n">
        <v>0</v>
      </c>
      <c r="H827" s="26" t="n">
        <v>0</v>
      </c>
      <c r="I827" s="26" t="n">
        <v>496</v>
      </c>
      <c r="J827" s="26" t="n">
        <v>0</v>
      </c>
      <c r="K827" s="26" t="n">
        <v>0</v>
      </c>
      <c r="L827" s="26" t="n">
        <v>0</v>
      </c>
      <c r="M827" s="26" t="n">
        <v>16</v>
      </c>
      <c r="N827" s="26" t="n">
        <v>0</v>
      </c>
      <c r="O827" s="26" t="n">
        <v>0</v>
      </c>
      <c r="P827" s="26" t="n">
        <v>0</v>
      </c>
      <c r="Q827" s="26" t="n">
        <v>480</v>
      </c>
      <c r="R827" s="26" t="n">
        <v>0</v>
      </c>
      <c r="S827" s="26" t="n">
        <v>0</v>
      </c>
      <c r="T827" s="26" t="n">
        <v>0</v>
      </c>
      <c r="U827" s="26" t="n">
        <v>0</v>
      </c>
    </row>
    <row r="828" customFormat="false" ht="15" hidden="false" customHeight="true" outlineLevel="0" collapsed="false">
      <c r="A828" s="8" t="s">
        <v>944</v>
      </c>
      <c r="B828" s="8" t="s">
        <v>321</v>
      </c>
      <c r="C828" s="8" t="s">
        <v>708</v>
      </c>
      <c r="D828" s="26" t="n">
        <v>0</v>
      </c>
      <c r="E828" s="26" t="n">
        <v>0</v>
      </c>
      <c r="F828" s="26" t="n">
        <v>22</v>
      </c>
      <c r="G828" s="26" t="n">
        <v>0</v>
      </c>
      <c r="H828" s="26" t="n">
        <v>0</v>
      </c>
      <c r="I828" s="26" t="n">
        <v>0</v>
      </c>
      <c r="J828" s="26" t="n">
        <v>0</v>
      </c>
      <c r="K828" s="26" t="n">
        <v>0</v>
      </c>
      <c r="L828" s="26" t="n">
        <v>0</v>
      </c>
      <c r="M828" s="26" t="n">
        <v>0</v>
      </c>
      <c r="N828" s="26" t="n">
        <v>0</v>
      </c>
      <c r="O828" s="26" t="n">
        <v>0</v>
      </c>
      <c r="P828" s="26" t="n">
        <v>0</v>
      </c>
      <c r="Q828" s="26" t="n">
        <v>0</v>
      </c>
      <c r="R828" s="26" t="n">
        <v>0</v>
      </c>
      <c r="S828" s="26" t="n">
        <v>0</v>
      </c>
      <c r="T828" s="26" t="n">
        <v>0</v>
      </c>
      <c r="U828" s="26" t="n">
        <v>0</v>
      </c>
    </row>
    <row r="829" customFormat="false" ht="15" hidden="false" customHeight="true" outlineLevel="0" collapsed="false">
      <c r="A829" s="8" t="s">
        <v>944</v>
      </c>
      <c r="B829" s="8" t="s">
        <v>160</v>
      </c>
      <c r="C829" s="8" t="s">
        <v>709</v>
      </c>
      <c r="D829" s="26" t="n">
        <v>0</v>
      </c>
      <c r="E829" s="26" t="n">
        <v>0</v>
      </c>
      <c r="F829" s="26" t="n">
        <v>155</v>
      </c>
      <c r="G829" s="26" t="n">
        <v>0</v>
      </c>
      <c r="H829" s="26" t="n">
        <v>0</v>
      </c>
      <c r="I829" s="26" t="n">
        <v>3</v>
      </c>
      <c r="J829" s="26" t="n">
        <v>0</v>
      </c>
      <c r="K829" s="26" t="n">
        <v>0</v>
      </c>
      <c r="L829" s="26" t="n">
        <v>0</v>
      </c>
      <c r="M829" s="26" t="n">
        <v>3</v>
      </c>
      <c r="N829" s="26" t="n">
        <v>0</v>
      </c>
      <c r="O829" s="26" t="n">
        <v>0</v>
      </c>
      <c r="P829" s="26" t="n">
        <v>0</v>
      </c>
      <c r="Q829" s="26" t="n">
        <v>0</v>
      </c>
      <c r="R829" s="26" t="n">
        <v>0</v>
      </c>
      <c r="S829" s="26" t="n">
        <v>0</v>
      </c>
      <c r="T829" s="26" t="n">
        <v>0</v>
      </c>
      <c r="U829" s="26" t="n">
        <v>0</v>
      </c>
    </row>
    <row r="830" customFormat="false" ht="15" hidden="false" customHeight="true" outlineLevel="0" collapsed="false">
      <c r="A830" s="8" t="s">
        <v>944</v>
      </c>
      <c r="B830" s="8" t="s">
        <v>100</v>
      </c>
      <c r="C830" s="8" t="s">
        <v>710</v>
      </c>
      <c r="D830" s="26" t="n">
        <v>0</v>
      </c>
      <c r="E830" s="26" t="n">
        <v>0</v>
      </c>
      <c r="F830" s="26" t="n">
        <v>7</v>
      </c>
      <c r="G830" s="26" t="n">
        <v>0</v>
      </c>
      <c r="H830" s="26" t="n">
        <v>0</v>
      </c>
      <c r="I830" s="26" t="n">
        <v>0</v>
      </c>
      <c r="J830" s="26" t="n">
        <v>0</v>
      </c>
      <c r="K830" s="26" t="n">
        <v>0</v>
      </c>
      <c r="L830" s="26" t="n">
        <v>0</v>
      </c>
      <c r="M830" s="26" t="n">
        <v>0</v>
      </c>
      <c r="N830" s="26" t="n">
        <v>0</v>
      </c>
      <c r="O830" s="26" t="n">
        <v>0</v>
      </c>
      <c r="P830" s="26" t="n">
        <v>0</v>
      </c>
      <c r="Q830" s="26" t="n">
        <v>0</v>
      </c>
      <c r="R830" s="26" t="n">
        <v>0</v>
      </c>
      <c r="S830" s="26" t="n">
        <v>0</v>
      </c>
      <c r="T830" s="26" t="n">
        <v>0</v>
      </c>
      <c r="U830" s="26" t="n">
        <v>0</v>
      </c>
    </row>
    <row r="831" customFormat="false" ht="15" hidden="false" customHeight="true" outlineLevel="0" collapsed="false">
      <c r="A831" s="8" t="s">
        <v>944</v>
      </c>
      <c r="B831" s="8" t="s">
        <v>249</v>
      </c>
      <c r="C831" s="8" t="s">
        <v>711</v>
      </c>
      <c r="D831" s="26" t="n">
        <v>0</v>
      </c>
      <c r="E831" s="26" t="n">
        <v>0</v>
      </c>
      <c r="F831" s="26" t="n">
        <v>20</v>
      </c>
      <c r="G831" s="26" t="n">
        <v>0</v>
      </c>
      <c r="H831" s="26" t="n">
        <v>0</v>
      </c>
      <c r="I831" s="26" t="n">
        <v>65</v>
      </c>
      <c r="J831" s="26" t="n">
        <v>0</v>
      </c>
      <c r="K831" s="26" t="n">
        <v>2</v>
      </c>
      <c r="L831" s="26" t="n">
        <v>0</v>
      </c>
      <c r="M831" s="26" t="n">
        <v>0</v>
      </c>
      <c r="N831" s="26" t="n">
        <v>0</v>
      </c>
      <c r="O831" s="26" t="n">
        <v>0</v>
      </c>
      <c r="P831" s="26" t="n">
        <v>-1</v>
      </c>
      <c r="Q831" s="26" t="n">
        <v>57</v>
      </c>
      <c r="R831" s="26" t="n">
        <v>7</v>
      </c>
      <c r="S831" s="26" t="n">
        <v>0</v>
      </c>
      <c r="T831" s="26" t="n">
        <v>16</v>
      </c>
      <c r="U831" s="26" t="n">
        <v>0</v>
      </c>
    </row>
    <row r="832" customFormat="false" ht="15" hidden="false" customHeight="true" outlineLevel="0" collapsed="false">
      <c r="A832" s="8" t="s">
        <v>944</v>
      </c>
      <c r="B832" s="8" t="s">
        <v>109</v>
      </c>
      <c r="C832" s="8" t="s">
        <v>716</v>
      </c>
      <c r="D832" s="26" t="n">
        <v>0</v>
      </c>
      <c r="E832" s="26" t="n">
        <v>0</v>
      </c>
      <c r="F832" s="26" t="n">
        <v>419</v>
      </c>
      <c r="G832" s="26" t="n">
        <v>0</v>
      </c>
      <c r="H832" s="26" t="n">
        <v>0</v>
      </c>
      <c r="I832" s="26" t="n">
        <v>1600</v>
      </c>
      <c r="J832" s="26" t="n">
        <v>0</v>
      </c>
      <c r="K832" s="26" t="n">
        <v>6</v>
      </c>
      <c r="L832" s="26" t="n">
        <v>0</v>
      </c>
      <c r="M832" s="26" t="n">
        <v>0</v>
      </c>
      <c r="N832" s="26" t="n">
        <v>6</v>
      </c>
      <c r="O832" s="26" t="n">
        <v>0</v>
      </c>
      <c r="P832" s="26" t="n">
        <v>-3</v>
      </c>
      <c r="Q832" s="26" t="n">
        <v>1430</v>
      </c>
      <c r="R832" s="26" t="n">
        <v>161</v>
      </c>
      <c r="S832" s="26" t="n">
        <v>0</v>
      </c>
      <c r="T832" s="26" t="n">
        <v>0</v>
      </c>
      <c r="U832" s="26" t="n">
        <v>0</v>
      </c>
    </row>
    <row r="833" customFormat="false" ht="15" hidden="false" customHeight="true" outlineLevel="0" collapsed="false">
      <c r="A833" s="8" t="s">
        <v>944</v>
      </c>
      <c r="B833" s="8" t="s">
        <v>85</v>
      </c>
      <c r="C833" s="8" t="s">
        <v>717</v>
      </c>
      <c r="D833" s="26" t="n">
        <v>0</v>
      </c>
      <c r="E833" s="26" t="n">
        <v>0</v>
      </c>
      <c r="F833" s="26" t="n">
        <v>61</v>
      </c>
      <c r="G833" s="26" t="n">
        <v>0</v>
      </c>
      <c r="H833" s="26" t="n">
        <v>0</v>
      </c>
      <c r="I833" s="26" t="n">
        <v>369</v>
      </c>
      <c r="J833" s="26" t="n">
        <v>0</v>
      </c>
      <c r="K833" s="26" t="n">
        <v>0</v>
      </c>
      <c r="L833" s="26" t="n">
        <v>0</v>
      </c>
      <c r="M833" s="26" t="n">
        <v>0</v>
      </c>
      <c r="N833" s="26" t="n">
        <v>0</v>
      </c>
      <c r="O833" s="26" t="n">
        <v>0</v>
      </c>
      <c r="P833" s="26" t="n">
        <v>-2</v>
      </c>
      <c r="Q833" s="26" t="n">
        <v>312</v>
      </c>
      <c r="R833" s="26" t="n">
        <v>59</v>
      </c>
      <c r="S833" s="26" t="n">
        <v>0</v>
      </c>
      <c r="T833" s="26" t="n">
        <v>0</v>
      </c>
      <c r="U833" s="26" t="n">
        <v>-1</v>
      </c>
    </row>
    <row r="834" customFormat="false" ht="15" hidden="false" customHeight="true" outlineLevel="0" collapsed="false">
      <c r="A834" s="8" t="s">
        <v>944</v>
      </c>
      <c r="B834" s="8" t="s">
        <v>85</v>
      </c>
      <c r="C834" s="8" t="s">
        <v>718</v>
      </c>
      <c r="D834" s="26" t="n">
        <v>0</v>
      </c>
      <c r="E834" s="26" t="n">
        <v>0</v>
      </c>
      <c r="F834" s="26" t="n">
        <v>41</v>
      </c>
      <c r="G834" s="26" t="n">
        <v>0</v>
      </c>
      <c r="H834" s="26" t="n">
        <v>0</v>
      </c>
      <c r="I834" s="26" t="n">
        <v>444</v>
      </c>
      <c r="J834" s="26" t="n">
        <v>0</v>
      </c>
      <c r="K834" s="26" t="n">
        <v>3</v>
      </c>
      <c r="L834" s="26" t="n">
        <v>0</v>
      </c>
      <c r="M834" s="26" t="n">
        <v>0</v>
      </c>
      <c r="N834" s="26" t="n">
        <v>0</v>
      </c>
      <c r="O834" s="26" t="n">
        <v>1</v>
      </c>
      <c r="P834" s="26" t="n">
        <v>-4</v>
      </c>
      <c r="Q834" s="26" t="n">
        <v>385</v>
      </c>
      <c r="R834" s="26" t="n">
        <v>59</v>
      </c>
      <c r="S834" s="26" t="n">
        <v>0</v>
      </c>
      <c r="T834" s="26" t="n">
        <v>0</v>
      </c>
      <c r="U834" s="26" t="n">
        <v>-2</v>
      </c>
    </row>
    <row r="835" customFormat="false" ht="15" hidden="false" customHeight="true" outlineLevel="0" collapsed="false">
      <c r="A835" s="8" t="s">
        <v>944</v>
      </c>
      <c r="B835" s="8" t="s">
        <v>85</v>
      </c>
      <c r="C835" s="8" t="s">
        <v>719</v>
      </c>
      <c r="D835" s="26" t="n">
        <v>0</v>
      </c>
      <c r="E835" s="26" t="n">
        <v>0</v>
      </c>
      <c r="F835" s="26" t="n">
        <v>28</v>
      </c>
      <c r="G835" s="26" t="n">
        <v>0</v>
      </c>
      <c r="H835" s="26" t="n">
        <v>0</v>
      </c>
      <c r="I835" s="26" t="n">
        <v>318</v>
      </c>
      <c r="J835" s="26" t="n">
        <v>0</v>
      </c>
      <c r="K835" s="26" t="n">
        <v>0</v>
      </c>
      <c r="L835" s="26" t="n">
        <v>0</v>
      </c>
      <c r="M835" s="26" t="n">
        <v>0</v>
      </c>
      <c r="N835" s="26" t="n">
        <v>0</v>
      </c>
      <c r="O835" s="26" t="n">
        <v>0</v>
      </c>
      <c r="P835" s="26" t="n">
        <v>-2</v>
      </c>
      <c r="Q835" s="26" t="n">
        <v>278</v>
      </c>
      <c r="R835" s="26" t="n">
        <v>42</v>
      </c>
      <c r="S835" s="26" t="n">
        <v>0</v>
      </c>
      <c r="T835" s="26" t="n">
        <v>0</v>
      </c>
      <c r="U835" s="26" t="n">
        <v>0</v>
      </c>
    </row>
    <row r="836" customFormat="false" ht="15" hidden="false" customHeight="true" outlineLevel="0" collapsed="false">
      <c r="A836" s="8" t="s">
        <v>944</v>
      </c>
      <c r="B836" s="8" t="s">
        <v>85</v>
      </c>
      <c r="C836" s="8" t="s">
        <v>720</v>
      </c>
      <c r="D836" s="26" t="n">
        <v>0</v>
      </c>
      <c r="E836" s="26" t="n">
        <v>0</v>
      </c>
      <c r="F836" s="26" t="n">
        <v>29</v>
      </c>
      <c r="G836" s="26" t="n">
        <v>0</v>
      </c>
      <c r="H836" s="26" t="n">
        <v>0</v>
      </c>
      <c r="I836" s="26" t="n">
        <v>230</v>
      </c>
      <c r="J836" s="26" t="n">
        <v>0</v>
      </c>
      <c r="K836" s="26" t="n">
        <v>4</v>
      </c>
      <c r="L836" s="26" t="n">
        <v>0</v>
      </c>
      <c r="M836" s="26" t="n">
        <v>0</v>
      </c>
      <c r="N836" s="26" t="n">
        <v>0</v>
      </c>
      <c r="O836" s="26" t="n">
        <v>0</v>
      </c>
      <c r="P836" s="26" t="n">
        <v>-1</v>
      </c>
      <c r="Q836" s="26" t="n">
        <v>197</v>
      </c>
      <c r="R836" s="26" t="n">
        <v>30</v>
      </c>
      <c r="S836" s="26" t="n">
        <v>0</v>
      </c>
      <c r="T836" s="26" t="n">
        <v>0</v>
      </c>
      <c r="U836" s="26" t="n">
        <v>-1</v>
      </c>
    </row>
    <row r="837" customFormat="false" ht="15" hidden="false" customHeight="true" outlineLevel="0" collapsed="false">
      <c r="A837" s="8" t="s">
        <v>944</v>
      </c>
      <c r="B837" s="8" t="s">
        <v>85</v>
      </c>
      <c r="C837" s="8" t="s">
        <v>721</v>
      </c>
      <c r="D837" s="26" t="n">
        <v>0</v>
      </c>
      <c r="E837" s="26" t="n">
        <v>0</v>
      </c>
      <c r="F837" s="26" t="n">
        <v>2</v>
      </c>
      <c r="G837" s="26" t="n">
        <v>0</v>
      </c>
      <c r="H837" s="26" t="n">
        <v>0</v>
      </c>
      <c r="I837" s="26" t="n">
        <v>0</v>
      </c>
      <c r="J837" s="26" t="n">
        <v>0</v>
      </c>
      <c r="K837" s="26" t="n">
        <v>0</v>
      </c>
      <c r="L837" s="26" t="n">
        <v>0</v>
      </c>
      <c r="M837" s="26" t="n">
        <v>0</v>
      </c>
      <c r="N837" s="26" t="n">
        <v>0</v>
      </c>
      <c r="O837" s="26" t="n">
        <v>0</v>
      </c>
      <c r="P837" s="26" t="n">
        <v>0</v>
      </c>
      <c r="Q837" s="26" t="n">
        <v>0</v>
      </c>
      <c r="R837" s="26" t="n">
        <v>0</v>
      </c>
      <c r="S837" s="26" t="n">
        <v>0</v>
      </c>
      <c r="T837" s="26" t="n">
        <v>0</v>
      </c>
      <c r="U837" s="26" t="n">
        <v>0</v>
      </c>
    </row>
    <row r="838" customFormat="false" ht="15" hidden="false" customHeight="true" outlineLevel="0" collapsed="false">
      <c r="A838" s="8" t="s">
        <v>944</v>
      </c>
      <c r="B838" s="8" t="s">
        <v>89</v>
      </c>
      <c r="C838" s="8" t="s">
        <v>722</v>
      </c>
      <c r="D838" s="26" t="n">
        <v>0</v>
      </c>
      <c r="E838" s="26" t="n">
        <v>0</v>
      </c>
      <c r="F838" s="26" t="n">
        <v>32</v>
      </c>
      <c r="G838" s="26" t="n">
        <v>0</v>
      </c>
      <c r="H838" s="26" t="n">
        <v>0</v>
      </c>
      <c r="I838" s="26" t="n">
        <v>349</v>
      </c>
      <c r="J838" s="26" t="n">
        <v>0</v>
      </c>
      <c r="K838" s="26" t="n">
        <v>2</v>
      </c>
      <c r="L838" s="26" t="n">
        <v>0</v>
      </c>
      <c r="M838" s="26" t="n">
        <v>0</v>
      </c>
      <c r="N838" s="26" t="n">
        <v>0</v>
      </c>
      <c r="O838" s="26" t="n">
        <v>0</v>
      </c>
      <c r="P838" s="26" t="n">
        <v>-2</v>
      </c>
      <c r="Q838" s="26" t="n">
        <v>301</v>
      </c>
      <c r="R838" s="26" t="n">
        <v>48</v>
      </c>
      <c r="S838" s="26" t="n">
        <v>0</v>
      </c>
      <c r="T838" s="26" t="n">
        <v>0</v>
      </c>
      <c r="U838" s="26" t="n">
        <v>0</v>
      </c>
    </row>
    <row r="839" customFormat="false" ht="15" hidden="false" customHeight="true" outlineLevel="0" collapsed="false">
      <c r="A839" s="8" t="s">
        <v>944</v>
      </c>
      <c r="B839" s="8" t="s">
        <v>89</v>
      </c>
      <c r="C839" s="8" t="s">
        <v>723</v>
      </c>
      <c r="D839" s="26" t="n">
        <v>0</v>
      </c>
      <c r="E839" s="26" t="n">
        <v>0</v>
      </c>
      <c r="F839" s="26" t="n">
        <v>45</v>
      </c>
      <c r="G839" s="26" t="n">
        <v>0</v>
      </c>
      <c r="H839" s="26" t="n">
        <v>0</v>
      </c>
      <c r="I839" s="26" t="n">
        <v>528</v>
      </c>
      <c r="J839" s="26" t="n">
        <v>0</v>
      </c>
      <c r="K839" s="26" t="n">
        <v>2</v>
      </c>
      <c r="L839" s="26" t="n">
        <v>0</v>
      </c>
      <c r="M839" s="26" t="n">
        <v>0</v>
      </c>
      <c r="N839" s="26" t="n">
        <v>0</v>
      </c>
      <c r="O839" s="26" t="n">
        <v>0</v>
      </c>
      <c r="P839" s="26" t="n">
        <v>-18</v>
      </c>
      <c r="Q839" s="26" t="n">
        <v>471</v>
      </c>
      <c r="R839" s="26" t="n">
        <v>73</v>
      </c>
      <c r="S839" s="26" t="n">
        <v>0</v>
      </c>
      <c r="T839" s="26" t="n">
        <v>0</v>
      </c>
      <c r="U839" s="26" t="n">
        <v>0</v>
      </c>
    </row>
    <row r="840" customFormat="false" ht="15" hidden="false" customHeight="true" outlineLevel="0" collapsed="false">
      <c r="A840" s="8" t="s">
        <v>944</v>
      </c>
      <c r="B840" s="8" t="s">
        <v>89</v>
      </c>
      <c r="C840" s="8" t="s">
        <v>724</v>
      </c>
      <c r="D840" s="26" t="n">
        <v>0</v>
      </c>
      <c r="E840" s="26" t="n">
        <v>0</v>
      </c>
      <c r="F840" s="26" t="n">
        <v>13</v>
      </c>
      <c r="G840" s="26" t="n">
        <v>0</v>
      </c>
      <c r="H840" s="26" t="n">
        <v>0</v>
      </c>
      <c r="I840" s="26" t="n">
        <v>502</v>
      </c>
      <c r="J840" s="26" t="n">
        <v>0</v>
      </c>
      <c r="K840" s="26" t="n">
        <v>0</v>
      </c>
      <c r="L840" s="26" t="n">
        <v>0</v>
      </c>
      <c r="M840" s="26" t="n">
        <v>0</v>
      </c>
      <c r="N840" s="26" t="n">
        <v>0</v>
      </c>
      <c r="O840" s="26" t="n">
        <v>0</v>
      </c>
      <c r="P840" s="26" t="n">
        <v>-1</v>
      </c>
      <c r="Q840" s="26" t="n">
        <v>441</v>
      </c>
      <c r="R840" s="26" t="n">
        <v>62</v>
      </c>
      <c r="S840" s="26" t="n">
        <v>0</v>
      </c>
      <c r="T840" s="26" t="n">
        <v>0</v>
      </c>
      <c r="U840" s="26" t="n">
        <v>0</v>
      </c>
    </row>
    <row r="841" customFormat="false" ht="15" hidden="false" customHeight="true" outlineLevel="0" collapsed="false">
      <c r="A841" s="8" t="s">
        <v>944</v>
      </c>
      <c r="B841" s="8" t="s">
        <v>89</v>
      </c>
      <c r="C841" s="8" t="s">
        <v>725</v>
      </c>
      <c r="D841" s="26" t="n">
        <v>0</v>
      </c>
      <c r="E841" s="26" t="n">
        <v>0</v>
      </c>
      <c r="F841" s="26" t="n">
        <v>18</v>
      </c>
      <c r="G841" s="26" t="n">
        <v>0</v>
      </c>
      <c r="H841" s="26" t="n">
        <v>1</v>
      </c>
      <c r="I841" s="26" t="n">
        <v>42</v>
      </c>
      <c r="J841" s="26" t="n">
        <v>0</v>
      </c>
      <c r="K841" s="26" t="n">
        <v>0</v>
      </c>
      <c r="L841" s="26" t="n">
        <v>0</v>
      </c>
      <c r="M841" s="26" t="n">
        <v>0</v>
      </c>
      <c r="N841" s="26" t="n">
        <v>0</v>
      </c>
      <c r="O841" s="26" t="n">
        <v>0</v>
      </c>
      <c r="P841" s="26" t="n">
        <v>-3</v>
      </c>
      <c r="Q841" s="26" t="n">
        <v>27</v>
      </c>
      <c r="R841" s="26" t="n">
        <v>18</v>
      </c>
      <c r="S841" s="26" t="n">
        <v>0</v>
      </c>
      <c r="T841" s="26" t="n">
        <v>0</v>
      </c>
      <c r="U841" s="26" t="n">
        <v>0</v>
      </c>
    </row>
    <row r="842" customFormat="false" ht="15" hidden="false" customHeight="true" outlineLevel="0" collapsed="false">
      <c r="A842" s="8" t="s">
        <v>944</v>
      </c>
      <c r="B842" s="8" t="s">
        <v>290</v>
      </c>
      <c r="C842" s="8" t="s">
        <v>962</v>
      </c>
      <c r="D842" s="26" t="n">
        <v>0</v>
      </c>
      <c r="E842" s="26" t="n">
        <v>0</v>
      </c>
      <c r="F842" s="26" t="n">
        <v>2</v>
      </c>
      <c r="G842" s="26" t="n">
        <v>0</v>
      </c>
      <c r="H842" s="26" t="n">
        <v>0</v>
      </c>
      <c r="I842" s="26" t="n">
        <v>0</v>
      </c>
      <c r="J842" s="26" t="n">
        <v>0</v>
      </c>
      <c r="K842" s="26" t="n">
        <v>0</v>
      </c>
      <c r="L842" s="26" t="n">
        <v>0</v>
      </c>
      <c r="M842" s="26" t="n">
        <v>0</v>
      </c>
      <c r="N842" s="26" t="n">
        <v>0</v>
      </c>
      <c r="O842" s="26" t="n">
        <v>0</v>
      </c>
      <c r="P842" s="26" t="n">
        <v>0</v>
      </c>
      <c r="Q842" s="26" t="n">
        <v>0</v>
      </c>
      <c r="R842" s="26" t="n">
        <v>0</v>
      </c>
      <c r="S842" s="26" t="n">
        <v>0</v>
      </c>
      <c r="T842" s="26" t="n">
        <v>0</v>
      </c>
      <c r="U842" s="26" t="n">
        <v>0</v>
      </c>
    </row>
    <row r="843" customFormat="false" ht="15" hidden="false" customHeight="true" outlineLevel="0" collapsed="false">
      <c r="A843" s="8" t="s">
        <v>944</v>
      </c>
      <c r="B843" s="8" t="s">
        <v>281</v>
      </c>
      <c r="C843" s="8" t="s">
        <v>727</v>
      </c>
      <c r="D843" s="26" t="n">
        <v>2</v>
      </c>
      <c r="E843" s="26" t="n">
        <v>0</v>
      </c>
      <c r="F843" s="26" t="n">
        <v>7</v>
      </c>
      <c r="G843" s="26" t="n">
        <v>0</v>
      </c>
      <c r="H843" s="26" t="n">
        <v>0</v>
      </c>
      <c r="I843" s="26" t="n">
        <v>4</v>
      </c>
      <c r="J843" s="26" t="n">
        <v>0</v>
      </c>
      <c r="K843" s="26" t="n">
        <v>0</v>
      </c>
      <c r="L843" s="26" t="n">
        <v>0</v>
      </c>
      <c r="M843" s="26" t="n">
        <v>0</v>
      </c>
      <c r="N843" s="26" t="n">
        <v>0</v>
      </c>
      <c r="O843" s="26" t="n">
        <v>0</v>
      </c>
      <c r="P843" s="26" t="n">
        <v>0</v>
      </c>
      <c r="Q843" s="26" t="n">
        <v>4</v>
      </c>
      <c r="R843" s="26" t="n">
        <v>0</v>
      </c>
      <c r="S843" s="26" t="n">
        <v>0</v>
      </c>
      <c r="T843" s="26" t="n">
        <v>7</v>
      </c>
      <c r="U843" s="26" t="n">
        <v>0</v>
      </c>
    </row>
    <row r="844" customFormat="false" ht="15" hidden="false" customHeight="true" outlineLevel="0" collapsed="false">
      <c r="A844" s="8" t="s">
        <v>944</v>
      </c>
      <c r="B844" s="8" t="s">
        <v>301</v>
      </c>
      <c r="C844" s="8" t="s">
        <v>728</v>
      </c>
      <c r="D844" s="26" t="n">
        <v>0</v>
      </c>
      <c r="E844" s="26" t="n">
        <v>0</v>
      </c>
      <c r="F844" s="26" t="n">
        <v>0</v>
      </c>
      <c r="G844" s="26" t="n">
        <v>0</v>
      </c>
      <c r="H844" s="26" t="n">
        <v>0</v>
      </c>
      <c r="I844" s="26" t="n">
        <v>7</v>
      </c>
      <c r="J844" s="26" t="n">
        <v>0</v>
      </c>
      <c r="K844" s="26" t="n">
        <v>0</v>
      </c>
      <c r="L844" s="26" t="n">
        <v>0</v>
      </c>
      <c r="M844" s="26" t="n">
        <v>0</v>
      </c>
      <c r="N844" s="26" t="n">
        <v>0</v>
      </c>
      <c r="O844" s="26" t="n">
        <v>0</v>
      </c>
      <c r="P844" s="26" t="n">
        <v>-3</v>
      </c>
      <c r="Q844" s="26" t="n">
        <v>0</v>
      </c>
      <c r="R844" s="26" t="n">
        <v>10</v>
      </c>
      <c r="S844" s="26" t="n">
        <v>0</v>
      </c>
      <c r="T844" s="26" t="n">
        <v>0</v>
      </c>
      <c r="U844" s="26" t="n">
        <v>0</v>
      </c>
    </row>
    <row r="845" customFormat="false" ht="15" hidden="false" customHeight="true" outlineLevel="0" collapsed="false">
      <c r="A845" s="8" t="s">
        <v>944</v>
      </c>
      <c r="B845" s="8" t="s">
        <v>116</v>
      </c>
      <c r="C845" s="8" t="s">
        <v>729</v>
      </c>
      <c r="D845" s="26" t="n">
        <v>0</v>
      </c>
      <c r="E845" s="26" t="n">
        <v>0</v>
      </c>
      <c r="F845" s="26" t="n">
        <v>197</v>
      </c>
      <c r="G845" s="26" t="n">
        <v>0</v>
      </c>
      <c r="H845" s="26" t="n">
        <v>0</v>
      </c>
      <c r="I845" s="26" t="n">
        <v>24</v>
      </c>
      <c r="J845" s="26" t="n">
        <v>0</v>
      </c>
      <c r="K845" s="26" t="n">
        <v>0</v>
      </c>
      <c r="L845" s="26" t="n">
        <v>0</v>
      </c>
      <c r="M845" s="26" t="n">
        <v>2</v>
      </c>
      <c r="N845" s="26" t="n">
        <v>0</v>
      </c>
      <c r="O845" s="26" t="n">
        <v>0</v>
      </c>
      <c r="P845" s="26" t="n">
        <v>-2</v>
      </c>
      <c r="Q845" s="26" t="n">
        <v>0</v>
      </c>
      <c r="R845" s="26" t="n">
        <v>24</v>
      </c>
      <c r="S845" s="26" t="n">
        <v>0</v>
      </c>
      <c r="T845" s="26" t="n">
        <v>0</v>
      </c>
      <c r="U845" s="26" t="n">
        <v>0</v>
      </c>
    </row>
    <row r="846" customFormat="false" ht="15" hidden="false" customHeight="true" outlineLevel="0" collapsed="false">
      <c r="A846" s="8" t="s">
        <v>944</v>
      </c>
      <c r="B846" s="8" t="s">
        <v>135</v>
      </c>
      <c r="C846" s="8" t="s">
        <v>730</v>
      </c>
      <c r="D846" s="26" t="n">
        <v>0</v>
      </c>
      <c r="E846" s="26" t="n">
        <v>0</v>
      </c>
      <c r="F846" s="26" t="n">
        <v>278</v>
      </c>
      <c r="G846" s="26" t="n">
        <v>0</v>
      </c>
      <c r="H846" s="26" t="n">
        <v>0</v>
      </c>
      <c r="I846" s="26" t="n">
        <v>28</v>
      </c>
      <c r="J846" s="26" t="n">
        <v>0</v>
      </c>
      <c r="K846" s="26" t="n">
        <v>0</v>
      </c>
      <c r="L846" s="26" t="n">
        <v>0</v>
      </c>
      <c r="M846" s="26" t="n">
        <v>2</v>
      </c>
      <c r="N846" s="26" t="n">
        <v>0</v>
      </c>
      <c r="O846" s="26" t="n">
        <v>2</v>
      </c>
      <c r="P846" s="26" t="n">
        <v>0</v>
      </c>
      <c r="Q846" s="26" t="n">
        <v>0</v>
      </c>
      <c r="R846" s="26" t="n">
        <v>24</v>
      </c>
      <c r="S846" s="26" t="n">
        <v>0</v>
      </c>
      <c r="T846" s="26" t="n">
        <v>0</v>
      </c>
      <c r="U846" s="26" t="n">
        <v>0</v>
      </c>
    </row>
    <row r="847" customFormat="false" ht="15" hidden="false" customHeight="true" outlineLevel="0" collapsed="false">
      <c r="A847" s="8" t="s">
        <v>944</v>
      </c>
      <c r="B847" s="8" t="s">
        <v>119</v>
      </c>
      <c r="C847" s="8" t="s">
        <v>731</v>
      </c>
      <c r="D847" s="26" t="n">
        <v>0</v>
      </c>
      <c r="E847" s="26" t="n">
        <v>0</v>
      </c>
      <c r="F847" s="26" t="n">
        <v>446</v>
      </c>
      <c r="G847" s="26" t="n">
        <v>0</v>
      </c>
      <c r="H847" s="26" t="n">
        <v>0</v>
      </c>
      <c r="I847" s="26" t="n">
        <v>190</v>
      </c>
      <c r="J847" s="26" t="n">
        <v>0</v>
      </c>
      <c r="K847" s="26" t="n">
        <v>0</v>
      </c>
      <c r="L847" s="26" t="n">
        <v>0</v>
      </c>
      <c r="M847" s="26" t="n">
        <v>3</v>
      </c>
      <c r="N847" s="26" t="n">
        <v>1</v>
      </c>
      <c r="O847" s="26" t="n">
        <v>0</v>
      </c>
      <c r="P847" s="26" t="n">
        <v>0</v>
      </c>
      <c r="Q847" s="26" t="n">
        <v>141</v>
      </c>
      <c r="R847" s="26" t="n">
        <v>45</v>
      </c>
      <c r="S847" s="26" t="n">
        <v>1</v>
      </c>
      <c r="T847" s="26" t="n">
        <v>167</v>
      </c>
      <c r="U847" s="26" t="n">
        <v>0</v>
      </c>
    </row>
    <row r="848" customFormat="false" ht="15" hidden="false" customHeight="true" outlineLevel="0" collapsed="false">
      <c r="A848" s="8" t="s">
        <v>944</v>
      </c>
      <c r="B848" s="8" t="s">
        <v>291</v>
      </c>
      <c r="C848" s="8" t="s">
        <v>733</v>
      </c>
      <c r="D848" s="26" t="n">
        <v>0</v>
      </c>
      <c r="E848" s="26" t="n">
        <v>0</v>
      </c>
      <c r="F848" s="26" t="n">
        <v>3</v>
      </c>
      <c r="G848" s="26" t="n">
        <v>0</v>
      </c>
      <c r="H848" s="26" t="n">
        <v>0</v>
      </c>
      <c r="I848" s="26" t="n">
        <v>0</v>
      </c>
      <c r="J848" s="26" t="n">
        <v>0</v>
      </c>
      <c r="K848" s="26" t="n">
        <v>0</v>
      </c>
      <c r="L848" s="26" t="n">
        <v>0</v>
      </c>
      <c r="M848" s="26" t="n">
        <v>0</v>
      </c>
      <c r="N848" s="26" t="n">
        <v>0</v>
      </c>
      <c r="O848" s="26" t="n">
        <v>0</v>
      </c>
      <c r="P848" s="26" t="n">
        <v>0</v>
      </c>
      <c r="Q848" s="26" t="n">
        <v>0</v>
      </c>
      <c r="R848" s="26" t="n">
        <v>0</v>
      </c>
      <c r="S848" s="26" t="n">
        <v>0</v>
      </c>
      <c r="T848" s="26" t="n">
        <v>0</v>
      </c>
      <c r="U848" s="26" t="n">
        <v>0</v>
      </c>
    </row>
    <row r="849" customFormat="false" ht="15" hidden="false" customHeight="true" outlineLevel="0" collapsed="false">
      <c r="A849" s="8" t="s">
        <v>944</v>
      </c>
      <c r="B849" s="8" t="s">
        <v>262</v>
      </c>
      <c r="C849" s="8" t="s">
        <v>734</v>
      </c>
      <c r="D849" s="26" t="n">
        <v>0</v>
      </c>
      <c r="E849" s="26" t="n">
        <v>0</v>
      </c>
      <c r="F849" s="26" t="n">
        <v>5</v>
      </c>
      <c r="G849" s="26" t="n">
        <v>0</v>
      </c>
      <c r="H849" s="26" t="n">
        <v>0</v>
      </c>
      <c r="I849" s="26" t="n">
        <v>0</v>
      </c>
      <c r="J849" s="26" t="n">
        <v>0</v>
      </c>
      <c r="K849" s="26" t="n">
        <v>0</v>
      </c>
      <c r="L849" s="26" t="n">
        <v>0</v>
      </c>
      <c r="M849" s="26" t="n">
        <v>0</v>
      </c>
      <c r="N849" s="26" t="n">
        <v>0</v>
      </c>
      <c r="O849" s="26" t="n">
        <v>0</v>
      </c>
      <c r="P849" s="26" t="n">
        <v>0</v>
      </c>
      <c r="Q849" s="26" t="n">
        <v>0</v>
      </c>
      <c r="R849" s="26" t="n">
        <v>0</v>
      </c>
      <c r="S849" s="26" t="n">
        <v>0</v>
      </c>
      <c r="T849" s="26" t="n">
        <v>0</v>
      </c>
      <c r="U849" s="26" t="n">
        <v>0</v>
      </c>
    </row>
    <row r="850" customFormat="false" ht="15" hidden="false" customHeight="true" outlineLevel="0" collapsed="false">
      <c r="A850" s="8" t="s">
        <v>944</v>
      </c>
      <c r="B850" s="8" t="s">
        <v>262</v>
      </c>
      <c r="C850" s="8" t="s">
        <v>735</v>
      </c>
      <c r="D850" s="26" t="n">
        <v>0</v>
      </c>
      <c r="E850" s="26" t="n">
        <v>0</v>
      </c>
      <c r="F850" s="26" t="n">
        <v>0</v>
      </c>
      <c r="G850" s="26" t="n">
        <v>0</v>
      </c>
      <c r="H850" s="26" t="n">
        <v>0</v>
      </c>
      <c r="I850" s="26" t="n">
        <v>-1</v>
      </c>
      <c r="J850" s="26" t="n">
        <v>0</v>
      </c>
      <c r="K850" s="26" t="n">
        <v>0</v>
      </c>
      <c r="L850" s="26" t="n">
        <v>0</v>
      </c>
      <c r="M850" s="26" t="n">
        <v>0</v>
      </c>
      <c r="N850" s="26" t="n">
        <v>0</v>
      </c>
      <c r="O850" s="26" t="n">
        <v>0</v>
      </c>
      <c r="P850" s="26" t="n">
        <v>0</v>
      </c>
      <c r="Q850" s="26" t="n">
        <v>-1</v>
      </c>
      <c r="R850" s="26" t="n">
        <v>0</v>
      </c>
      <c r="S850" s="26" t="n">
        <v>0</v>
      </c>
      <c r="T850" s="26" t="n">
        <v>0</v>
      </c>
      <c r="U850" s="26" t="n">
        <v>0</v>
      </c>
    </row>
    <row r="851" customFormat="false" ht="15" hidden="false" customHeight="true" outlineLevel="0" collapsed="false">
      <c r="A851" s="8" t="s">
        <v>944</v>
      </c>
      <c r="B851" s="8" t="s">
        <v>262</v>
      </c>
      <c r="C851" s="8" t="s">
        <v>733</v>
      </c>
      <c r="D851" s="26" t="n">
        <v>0</v>
      </c>
      <c r="E851" s="26" t="n">
        <v>0</v>
      </c>
      <c r="F851" s="26" t="n">
        <v>1</v>
      </c>
      <c r="G851" s="26" t="n">
        <v>0</v>
      </c>
      <c r="H851" s="26" t="n">
        <v>0</v>
      </c>
      <c r="I851" s="26" t="n">
        <v>0</v>
      </c>
      <c r="J851" s="26" t="n">
        <v>0</v>
      </c>
      <c r="K851" s="26" t="n">
        <v>0</v>
      </c>
      <c r="L851" s="26" t="n">
        <v>0</v>
      </c>
      <c r="M851" s="26" t="n">
        <v>0</v>
      </c>
      <c r="N851" s="26" t="n">
        <v>0</v>
      </c>
      <c r="O851" s="26" t="n">
        <v>0</v>
      </c>
      <c r="P851" s="26" t="n">
        <v>0</v>
      </c>
      <c r="Q851" s="26" t="n">
        <v>0</v>
      </c>
      <c r="R851" s="26" t="n">
        <v>0</v>
      </c>
      <c r="S851" s="26" t="n">
        <v>0</v>
      </c>
      <c r="T851" s="26" t="n">
        <v>0</v>
      </c>
      <c r="U851" s="26" t="n">
        <v>0</v>
      </c>
    </row>
    <row r="852" customFormat="false" ht="15" hidden="false" customHeight="true" outlineLevel="0" collapsed="false">
      <c r="A852" s="8" t="s">
        <v>944</v>
      </c>
      <c r="B852" s="8" t="s">
        <v>195</v>
      </c>
      <c r="C852" s="8" t="s">
        <v>736</v>
      </c>
      <c r="D852" s="26" t="n">
        <v>0</v>
      </c>
      <c r="E852" s="26" t="n">
        <v>0</v>
      </c>
      <c r="F852" s="26" t="n">
        <v>39</v>
      </c>
      <c r="G852" s="26" t="n">
        <v>0</v>
      </c>
      <c r="H852" s="26" t="n">
        <v>0</v>
      </c>
      <c r="I852" s="26" t="n">
        <v>1503</v>
      </c>
      <c r="J852" s="26" t="n">
        <v>0</v>
      </c>
      <c r="K852" s="26" t="n">
        <v>1</v>
      </c>
      <c r="L852" s="26" t="n">
        <v>0</v>
      </c>
      <c r="M852" s="26" t="n">
        <v>0</v>
      </c>
      <c r="N852" s="26" t="n">
        <v>0</v>
      </c>
      <c r="O852" s="26" t="n">
        <v>0</v>
      </c>
      <c r="P852" s="26" t="n">
        <v>-10</v>
      </c>
      <c r="Q852" s="26" t="n">
        <v>1351</v>
      </c>
      <c r="R852" s="26" t="n">
        <v>161</v>
      </c>
      <c r="S852" s="26" t="n">
        <v>0</v>
      </c>
      <c r="T852" s="26" t="n">
        <v>0</v>
      </c>
      <c r="U852" s="26" t="n">
        <v>-3</v>
      </c>
    </row>
    <row r="853" customFormat="false" ht="15" hidden="false" customHeight="true" outlineLevel="0" collapsed="false">
      <c r="A853" s="8" t="s">
        <v>944</v>
      </c>
      <c r="B853" s="8" t="s">
        <v>195</v>
      </c>
      <c r="C853" s="8" t="s">
        <v>737</v>
      </c>
      <c r="D853" s="26" t="n">
        <v>0</v>
      </c>
      <c r="E853" s="26" t="n">
        <v>0</v>
      </c>
      <c r="F853" s="26" t="n">
        <v>33</v>
      </c>
      <c r="G853" s="26" t="n">
        <v>0</v>
      </c>
      <c r="H853" s="26" t="n">
        <v>0</v>
      </c>
      <c r="I853" s="26" t="n">
        <v>839</v>
      </c>
      <c r="J853" s="26" t="n">
        <v>0</v>
      </c>
      <c r="K853" s="26" t="n">
        <v>5</v>
      </c>
      <c r="L853" s="26" t="n">
        <v>0</v>
      </c>
      <c r="M853" s="26" t="n">
        <v>0</v>
      </c>
      <c r="N853" s="26" t="n">
        <v>0</v>
      </c>
      <c r="O853" s="26" t="n">
        <v>2</v>
      </c>
      <c r="P853" s="26" t="n">
        <v>0</v>
      </c>
      <c r="Q853" s="26" t="n">
        <v>819</v>
      </c>
      <c r="R853" s="26" t="n">
        <v>13</v>
      </c>
      <c r="S853" s="26" t="n">
        <v>0</v>
      </c>
      <c r="T853" s="26" t="n">
        <v>0</v>
      </c>
      <c r="U853" s="26" t="n">
        <v>0</v>
      </c>
    </row>
    <row r="854" customFormat="false" ht="15" hidden="false" customHeight="true" outlineLevel="0" collapsed="false">
      <c r="A854" s="8" t="s">
        <v>944</v>
      </c>
      <c r="B854" s="8" t="s">
        <v>166</v>
      </c>
      <c r="C854" s="8" t="s">
        <v>736</v>
      </c>
      <c r="D854" s="26" t="n">
        <v>0</v>
      </c>
      <c r="E854" s="26" t="n">
        <v>0</v>
      </c>
      <c r="F854" s="26" t="n">
        <v>63</v>
      </c>
      <c r="G854" s="26" t="n">
        <v>0</v>
      </c>
      <c r="H854" s="26" t="n">
        <v>0</v>
      </c>
      <c r="I854" s="26" t="n">
        <v>215</v>
      </c>
      <c r="J854" s="26" t="n">
        <v>0</v>
      </c>
      <c r="K854" s="26" t="n">
        <v>0</v>
      </c>
      <c r="L854" s="26" t="n">
        <v>0</v>
      </c>
      <c r="M854" s="26" t="n">
        <v>0</v>
      </c>
      <c r="N854" s="26" t="n">
        <v>0</v>
      </c>
      <c r="O854" s="26" t="n">
        <v>0</v>
      </c>
      <c r="P854" s="26" t="n">
        <v>0</v>
      </c>
      <c r="Q854" s="26" t="n">
        <v>215</v>
      </c>
      <c r="R854" s="26" t="n">
        <v>0</v>
      </c>
      <c r="S854" s="26" t="n">
        <v>0</v>
      </c>
      <c r="T854" s="26" t="n">
        <v>0</v>
      </c>
      <c r="U854" s="26" t="n">
        <v>0</v>
      </c>
    </row>
    <row r="855" customFormat="false" ht="15" hidden="false" customHeight="true" outlineLevel="0" collapsed="false">
      <c r="A855" s="8" t="s">
        <v>944</v>
      </c>
      <c r="B855" s="8" t="s">
        <v>166</v>
      </c>
      <c r="C855" s="8" t="s">
        <v>737</v>
      </c>
      <c r="D855" s="26" t="n">
        <v>0</v>
      </c>
      <c r="E855" s="26" t="n">
        <v>0</v>
      </c>
      <c r="F855" s="26" t="n">
        <v>38</v>
      </c>
      <c r="G855" s="26" t="n">
        <v>0</v>
      </c>
      <c r="H855" s="26" t="n">
        <v>0</v>
      </c>
      <c r="I855" s="26" t="n">
        <v>145</v>
      </c>
      <c r="J855" s="26" t="n">
        <v>0</v>
      </c>
      <c r="K855" s="26" t="n">
        <v>0</v>
      </c>
      <c r="L855" s="26" t="n">
        <v>0</v>
      </c>
      <c r="M855" s="26" t="n">
        <v>0</v>
      </c>
      <c r="N855" s="26" t="n">
        <v>0</v>
      </c>
      <c r="O855" s="26" t="n">
        <v>0</v>
      </c>
      <c r="P855" s="26" t="n">
        <v>0</v>
      </c>
      <c r="Q855" s="26" t="n">
        <v>145</v>
      </c>
      <c r="R855" s="26" t="n">
        <v>0</v>
      </c>
      <c r="S855" s="26" t="n">
        <v>0</v>
      </c>
      <c r="T855" s="26" t="n">
        <v>0</v>
      </c>
      <c r="U855" s="26" t="n">
        <v>0</v>
      </c>
    </row>
    <row r="856" customFormat="false" ht="15" hidden="false" customHeight="true" outlineLevel="0" collapsed="false">
      <c r="A856" s="8" t="s">
        <v>944</v>
      </c>
      <c r="B856" s="8" t="s">
        <v>228</v>
      </c>
      <c r="C856" s="8" t="s">
        <v>738</v>
      </c>
      <c r="D856" s="26" t="n">
        <v>0</v>
      </c>
      <c r="E856" s="26" t="n">
        <v>0</v>
      </c>
      <c r="F856" s="26" t="n">
        <v>109</v>
      </c>
      <c r="G856" s="26" t="n">
        <v>0</v>
      </c>
      <c r="H856" s="26" t="n">
        <v>10</v>
      </c>
      <c r="I856" s="26" t="n">
        <v>73</v>
      </c>
      <c r="J856" s="26" t="n">
        <v>0</v>
      </c>
      <c r="K856" s="26" t="n">
        <v>2</v>
      </c>
      <c r="L856" s="26" t="n">
        <v>0</v>
      </c>
      <c r="M856" s="26" t="n">
        <v>0</v>
      </c>
      <c r="N856" s="26" t="n">
        <v>0</v>
      </c>
      <c r="O856" s="26" t="n">
        <v>0</v>
      </c>
      <c r="P856" s="26" t="n">
        <v>-7</v>
      </c>
      <c r="Q856" s="26" t="n">
        <v>50</v>
      </c>
      <c r="R856" s="26" t="n">
        <v>28</v>
      </c>
      <c r="S856" s="26" t="n">
        <v>0</v>
      </c>
      <c r="T856" s="26" t="n">
        <v>17</v>
      </c>
      <c r="U856" s="26" t="n">
        <v>0</v>
      </c>
    </row>
    <row r="857" customFormat="false" ht="15" hidden="false" customHeight="true" outlineLevel="0" collapsed="false">
      <c r="A857" s="8" t="s">
        <v>944</v>
      </c>
      <c r="B857" s="8" t="s">
        <v>265</v>
      </c>
      <c r="C857" s="8" t="s">
        <v>741</v>
      </c>
      <c r="D857" s="26" t="n">
        <v>0</v>
      </c>
      <c r="E857" s="26" t="n">
        <v>0</v>
      </c>
      <c r="F857" s="26" t="n">
        <v>0</v>
      </c>
      <c r="G857" s="26" t="n">
        <v>0</v>
      </c>
      <c r="H857" s="26" t="n">
        <v>0</v>
      </c>
      <c r="I857" s="26" t="n">
        <v>-1</v>
      </c>
      <c r="J857" s="26" t="n">
        <v>0</v>
      </c>
      <c r="K857" s="26" t="n">
        <v>0</v>
      </c>
      <c r="L857" s="26" t="n">
        <v>0</v>
      </c>
      <c r="M857" s="26" t="n">
        <v>0</v>
      </c>
      <c r="N857" s="26" t="n">
        <v>0</v>
      </c>
      <c r="O857" s="26" t="n">
        <v>0</v>
      </c>
      <c r="P857" s="26" t="n">
        <v>0</v>
      </c>
      <c r="Q857" s="26" t="n">
        <v>-1</v>
      </c>
      <c r="R857" s="26" t="n">
        <v>0</v>
      </c>
      <c r="S857" s="26" t="n">
        <v>0</v>
      </c>
      <c r="T857" s="26" t="n">
        <v>0</v>
      </c>
      <c r="U857" s="26" t="n">
        <v>0</v>
      </c>
    </row>
    <row r="858" customFormat="false" ht="15" hidden="false" customHeight="true" outlineLevel="0" collapsed="false">
      <c r="A858" s="8" t="s">
        <v>944</v>
      </c>
      <c r="B858" s="8" t="s">
        <v>265</v>
      </c>
      <c r="C858" s="8" t="s">
        <v>963</v>
      </c>
      <c r="D858" s="26" t="n">
        <v>0</v>
      </c>
      <c r="E858" s="26" t="n">
        <v>0</v>
      </c>
      <c r="F858" s="26" t="n">
        <v>-2</v>
      </c>
      <c r="G858" s="26" t="n">
        <v>0</v>
      </c>
      <c r="H858" s="26" t="n">
        <v>0</v>
      </c>
      <c r="I858" s="26" t="n">
        <v>0</v>
      </c>
      <c r="J858" s="26" t="n">
        <v>0</v>
      </c>
      <c r="K858" s="26" t="n">
        <v>0</v>
      </c>
      <c r="L858" s="26" t="n">
        <v>0</v>
      </c>
      <c r="M858" s="26" t="n">
        <v>0</v>
      </c>
      <c r="N858" s="26" t="n">
        <v>0</v>
      </c>
      <c r="O858" s="26" t="n">
        <v>0</v>
      </c>
      <c r="P858" s="26" t="n">
        <v>0</v>
      </c>
      <c r="Q858" s="26" t="n">
        <v>0</v>
      </c>
      <c r="R858" s="26" t="n">
        <v>0</v>
      </c>
      <c r="S858" s="26" t="n">
        <v>0</v>
      </c>
      <c r="T858" s="26" t="n">
        <v>0</v>
      </c>
      <c r="U858" s="26" t="n">
        <v>0</v>
      </c>
    </row>
    <row r="859" customFormat="false" ht="15" hidden="false" customHeight="true" outlineLevel="0" collapsed="false">
      <c r="A859" s="8" t="s">
        <v>944</v>
      </c>
      <c r="B859" s="8" t="s">
        <v>381</v>
      </c>
      <c r="C859" s="8" t="s">
        <v>964</v>
      </c>
      <c r="D859" s="26" t="n">
        <v>0</v>
      </c>
      <c r="E859" s="26" t="n">
        <v>0</v>
      </c>
      <c r="F859" s="26" t="n">
        <v>0</v>
      </c>
      <c r="G859" s="26" t="n">
        <v>0</v>
      </c>
      <c r="H859" s="26" t="n">
        <v>0</v>
      </c>
      <c r="I859" s="26" t="n">
        <v>-1</v>
      </c>
      <c r="J859" s="26" t="n">
        <v>0</v>
      </c>
      <c r="K859" s="26" t="n">
        <v>0</v>
      </c>
      <c r="L859" s="26" t="n">
        <v>0</v>
      </c>
      <c r="M859" s="26" t="n">
        <v>0</v>
      </c>
      <c r="N859" s="26" t="n">
        <v>0</v>
      </c>
      <c r="O859" s="26" t="n">
        <v>0</v>
      </c>
      <c r="P859" s="26" t="n">
        <v>0</v>
      </c>
      <c r="Q859" s="26" t="n">
        <v>-1</v>
      </c>
      <c r="R859" s="26" t="n">
        <v>0</v>
      </c>
      <c r="S859" s="26" t="n">
        <v>0</v>
      </c>
      <c r="T859" s="26" t="n">
        <v>0</v>
      </c>
      <c r="U859" s="26" t="n">
        <v>0</v>
      </c>
    </row>
    <row r="860" customFormat="false" ht="15" hidden="false" customHeight="true" outlineLevel="0" collapsed="false">
      <c r="A860" s="8" t="s">
        <v>944</v>
      </c>
      <c r="B860" s="8" t="s">
        <v>387</v>
      </c>
      <c r="C860" s="8" t="s">
        <v>1004</v>
      </c>
      <c r="D860" s="26" t="n">
        <v>0</v>
      </c>
      <c r="E860" s="26" t="n">
        <v>0</v>
      </c>
      <c r="F860" s="26" t="n">
        <v>0</v>
      </c>
      <c r="G860" s="26" t="n">
        <v>0</v>
      </c>
      <c r="H860" s="26" t="n">
        <v>0</v>
      </c>
      <c r="I860" s="26" t="n">
        <v>-1</v>
      </c>
      <c r="J860" s="26" t="n">
        <v>0</v>
      </c>
      <c r="K860" s="26" t="n">
        <v>0</v>
      </c>
      <c r="L860" s="26" t="n">
        <v>0</v>
      </c>
      <c r="M860" s="26" t="n">
        <v>0</v>
      </c>
      <c r="N860" s="26" t="n">
        <v>0</v>
      </c>
      <c r="O860" s="26" t="n">
        <v>0</v>
      </c>
      <c r="P860" s="26" t="n">
        <v>0</v>
      </c>
      <c r="Q860" s="26" t="n">
        <v>-1</v>
      </c>
      <c r="R860" s="26" t="n">
        <v>0</v>
      </c>
      <c r="S860" s="26" t="n">
        <v>0</v>
      </c>
      <c r="T860" s="26" t="n">
        <v>0</v>
      </c>
      <c r="U860" s="26" t="n">
        <v>0</v>
      </c>
    </row>
    <row r="861" customFormat="false" ht="15" hidden="false" customHeight="true" outlineLevel="0" collapsed="false">
      <c r="A861" s="8" t="s">
        <v>944</v>
      </c>
      <c r="B861" s="8" t="s">
        <v>84</v>
      </c>
      <c r="C861" s="8" t="s">
        <v>745</v>
      </c>
      <c r="D861" s="26" t="n">
        <v>0</v>
      </c>
      <c r="E861" s="26" t="n">
        <v>0</v>
      </c>
      <c r="F861" s="26" t="n">
        <v>74</v>
      </c>
      <c r="G861" s="26" t="n">
        <v>0</v>
      </c>
      <c r="H861" s="26" t="n">
        <v>0</v>
      </c>
      <c r="I861" s="26" t="n">
        <v>408</v>
      </c>
      <c r="J861" s="26" t="n">
        <v>0</v>
      </c>
      <c r="K861" s="26" t="n">
        <v>9</v>
      </c>
      <c r="L861" s="26" t="n">
        <v>0</v>
      </c>
      <c r="M861" s="26" t="n">
        <v>0</v>
      </c>
      <c r="N861" s="26" t="n">
        <v>0</v>
      </c>
      <c r="O861" s="26" t="n">
        <v>3</v>
      </c>
      <c r="P861" s="26" t="n">
        <v>-2</v>
      </c>
      <c r="Q861" s="26" t="n">
        <v>301</v>
      </c>
      <c r="R861" s="26" t="n">
        <v>97</v>
      </c>
      <c r="S861" s="26" t="n">
        <v>0</v>
      </c>
      <c r="T861" s="26" t="n">
        <v>85</v>
      </c>
      <c r="U861" s="26" t="n">
        <v>0</v>
      </c>
    </row>
    <row r="862" customFormat="false" ht="15" hidden="false" customHeight="true" outlineLevel="0" collapsed="false">
      <c r="A862" s="8" t="s">
        <v>944</v>
      </c>
      <c r="B862" s="8" t="s">
        <v>84</v>
      </c>
      <c r="C862" s="8" t="s">
        <v>746</v>
      </c>
      <c r="D862" s="26" t="n">
        <v>0</v>
      </c>
      <c r="E862" s="26" t="n">
        <v>0</v>
      </c>
      <c r="F862" s="26" t="n">
        <v>84</v>
      </c>
      <c r="G862" s="26" t="n">
        <v>0</v>
      </c>
      <c r="H862" s="26" t="n">
        <v>1</v>
      </c>
      <c r="I862" s="26" t="n">
        <v>398</v>
      </c>
      <c r="J862" s="26" t="n">
        <v>0</v>
      </c>
      <c r="K862" s="26" t="n">
        <v>9</v>
      </c>
      <c r="L862" s="26" t="n">
        <v>0</v>
      </c>
      <c r="M862" s="26" t="n">
        <v>0</v>
      </c>
      <c r="N862" s="26" t="n">
        <v>5</v>
      </c>
      <c r="O862" s="26" t="n">
        <v>1</v>
      </c>
      <c r="P862" s="26" t="n">
        <v>-6</v>
      </c>
      <c r="Q862" s="26" t="n">
        <v>305</v>
      </c>
      <c r="R862" s="26" t="n">
        <v>84</v>
      </c>
      <c r="S862" s="26" t="n">
        <v>0</v>
      </c>
      <c r="T862" s="26" t="n">
        <v>87</v>
      </c>
      <c r="U862" s="26" t="n">
        <v>0</v>
      </c>
    </row>
    <row r="863" customFormat="false" ht="15" hidden="false" customHeight="true" outlineLevel="0" collapsed="false">
      <c r="A863" s="8" t="s">
        <v>944</v>
      </c>
      <c r="B863" s="8" t="s">
        <v>84</v>
      </c>
      <c r="C863" s="8" t="s">
        <v>747</v>
      </c>
      <c r="D863" s="26" t="n">
        <v>0</v>
      </c>
      <c r="E863" s="26" t="n">
        <v>0</v>
      </c>
      <c r="F863" s="26" t="n">
        <v>16</v>
      </c>
      <c r="G863" s="26" t="n">
        <v>0</v>
      </c>
      <c r="H863" s="26" t="n">
        <v>0</v>
      </c>
      <c r="I863" s="26" t="n">
        <v>136</v>
      </c>
      <c r="J863" s="26" t="n">
        <v>0</v>
      </c>
      <c r="K863" s="26" t="n">
        <v>6</v>
      </c>
      <c r="L863" s="26" t="n">
        <v>0</v>
      </c>
      <c r="M863" s="26" t="n">
        <v>0</v>
      </c>
      <c r="N863" s="26" t="n">
        <v>2</v>
      </c>
      <c r="O863" s="26" t="n">
        <v>0</v>
      </c>
      <c r="P863" s="26" t="n">
        <v>-4</v>
      </c>
      <c r="Q863" s="26" t="n">
        <v>102</v>
      </c>
      <c r="R863" s="26" t="n">
        <v>30</v>
      </c>
      <c r="S863" s="26" t="n">
        <v>0</v>
      </c>
      <c r="T863" s="26" t="n">
        <v>23</v>
      </c>
      <c r="U863" s="26" t="n">
        <v>0</v>
      </c>
    </row>
    <row r="864" customFormat="false" ht="15" hidden="false" customHeight="true" outlineLevel="0" collapsed="false">
      <c r="A864" s="8" t="s">
        <v>944</v>
      </c>
      <c r="B864" s="8" t="s">
        <v>123</v>
      </c>
      <c r="C864" s="8" t="s">
        <v>748</v>
      </c>
      <c r="D864" s="26" t="n">
        <v>0</v>
      </c>
      <c r="E864" s="26" t="n">
        <v>0</v>
      </c>
      <c r="F864" s="26" t="n">
        <v>75</v>
      </c>
      <c r="G864" s="26" t="n">
        <v>0</v>
      </c>
      <c r="H864" s="26" t="n">
        <v>0</v>
      </c>
      <c r="I864" s="26" t="n">
        <v>91</v>
      </c>
      <c r="J864" s="26" t="n">
        <v>0</v>
      </c>
      <c r="K864" s="26" t="n">
        <v>9</v>
      </c>
      <c r="L864" s="26" t="n">
        <v>0</v>
      </c>
      <c r="M864" s="26" t="n">
        <v>0</v>
      </c>
      <c r="N864" s="26" t="n">
        <v>0</v>
      </c>
      <c r="O864" s="26" t="n">
        <v>1</v>
      </c>
      <c r="P864" s="26" t="n">
        <v>-5</v>
      </c>
      <c r="Q864" s="26" t="n">
        <v>-2</v>
      </c>
      <c r="R864" s="26" t="n">
        <v>88</v>
      </c>
      <c r="S864" s="26" t="n">
        <v>0</v>
      </c>
      <c r="T864" s="26" t="n">
        <v>0</v>
      </c>
      <c r="U864" s="26" t="n">
        <v>0</v>
      </c>
    </row>
    <row r="865" customFormat="false" ht="15" hidden="false" customHeight="true" outlineLevel="0" collapsed="false">
      <c r="A865" s="8" t="s">
        <v>944</v>
      </c>
      <c r="B865" s="8" t="s">
        <v>123</v>
      </c>
      <c r="C865" s="8" t="s">
        <v>749</v>
      </c>
      <c r="D865" s="26" t="n">
        <v>0</v>
      </c>
      <c r="E865" s="26" t="n">
        <v>0</v>
      </c>
      <c r="F865" s="26" t="n">
        <v>70</v>
      </c>
      <c r="G865" s="26" t="n">
        <v>0</v>
      </c>
      <c r="H865" s="26" t="n">
        <v>0</v>
      </c>
      <c r="I865" s="26" t="n">
        <v>91</v>
      </c>
      <c r="J865" s="26" t="n">
        <v>0</v>
      </c>
      <c r="K865" s="26" t="n">
        <v>1</v>
      </c>
      <c r="L865" s="26" t="n">
        <v>0</v>
      </c>
      <c r="M865" s="26" t="n">
        <v>0</v>
      </c>
      <c r="N865" s="26" t="n">
        <v>0</v>
      </c>
      <c r="O865" s="26" t="n">
        <v>0</v>
      </c>
      <c r="P865" s="26" t="n">
        <v>-2</v>
      </c>
      <c r="Q865" s="26" t="n">
        <v>0</v>
      </c>
      <c r="R865" s="26" t="n">
        <v>92</v>
      </c>
      <c r="S865" s="26" t="n">
        <v>0</v>
      </c>
      <c r="T865" s="26" t="n">
        <v>0</v>
      </c>
      <c r="U865" s="26" t="n">
        <v>0</v>
      </c>
    </row>
    <row r="866" customFormat="false" ht="15" hidden="false" customHeight="true" outlineLevel="0" collapsed="false">
      <c r="A866" s="8" t="s">
        <v>944</v>
      </c>
      <c r="B866" s="8" t="s">
        <v>123</v>
      </c>
      <c r="C866" s="8" t="s">
        <v>750</v>
      </c>
      <c r="D866" s="26" t="n">
        <v>0</v>
      </c>
      <c r="E866" s="26" t="n">
        <v>0</v>
      </c>
      <c r="F866" s="26" t="n">
        <v>-1</v>
      </c>
      <c r="G866" s="26" t="n">
        <v>0</v>
      </c>
      <c r="H866" s="26" t="n">
        <v>0</v>
      </c>
      <c r="I866" s="26" t="n">
        <v>-3</v>
      </c>
      <c r="J866" s="26" t="n">
        <v>0</v>
      </c>
      <c r="K866" s="26" t="n">
        <v>0</v>
      </c>
      <c r="L866" s="26" t="n">
        <v>0</v>
      </c>
      <c r="M866" s="26" t="n">
        <v>0</v>
      </c>
      <c r="N866" s="26" t="n">
        <v>0</v>
      </c>
      <c r="O866" s="26" t="n">
        <v>0</v>
      </c>
      <c r="P866" s="26" t="n">
        <v>-2</v>
      </c>
      <c r="Q866" s="26" t="n">
        <v>-1</v>
      </c>
      <c r="R866" s="26" t="n">
        <v>0</v>
      </c>
      <c r="S866" s="26" t="n">
        <v>0</v>
      </c>
      <c r="T866" s="26" t="n">
        <v>0</v>
      </c>
      <c r="U866" s="26" t="n">
        <v>0</v>
      </c>
    </row>
    <row r="867" customFormat="false" ht="15" hidden="false" customHeight="true" outlineLevel="0" collapsed="false">
      <c r="A867" s="8" t="s">
        <v>944</v>
      </c>
      <c r="B867" s="8" t="s">
        <v>180</v>
      </c>
      <c r="C867" s="8" t="s">
        <v>648</v>
      </c>
      <c r="D867" s="26" t="n">
        <v>0</v>
      </c>
      <c r="E867" s="26" t="n">
        <v>0</v>
      </c>
      <c r="F867" s="26" t="n">
        <v>144</v>
      </c>
      <c r="G867" s="26" t="n">
        <v>0</v>
      </c>
      <c r="H867" s="26" t="n">
        <v>0</v>
      </c>
      <c r="I867" s="26" t="n">
        <v>101</v>
      </c>
      <c r="J867" s="26" t="n">
        <v>0</v>
      </c>
      <c r="K867" s="26" t="n">
        <v>6</v>
      </c>
      <c r="L867" s="26" t="n">
        <v>0</v>
      </c>
      <c r="M867" s="26" t="n">
        <v>0</v>
      </c>
      <c r="N867" s="26" t="n">
        <v>2</v>
      </c>
      <c r="O867" s="26" t="n">
        <v>0</v>
      </c>
      <c r="P867" s="26" t="n">
        <v>-5</v>
      </c>
      <c r="Q867" s="26" t="n">
        <v>-4</v>
      </c>
      <c r="R867" s="26" t="n">
        <v>102</v>
      </c>
      <c r="S867" s="26" t="n">
        <v>0</v>
      </c>
      <c r="T867" s="26" t="n">
        <v>46</v>
      </c>
      <c r="U867" s="26" t="n">
        <v>0</v>
      </c>
    </row>
    <row r="868" customFormat="false" ht="15" hidden="false" customHeight="true" outlineLevel="0" collapsed="false">
      <c r="A868" s="8" t="s">
        <v>944</v>
      </c>
      <c r="B868" s="8" t="s">
        <v>86</v>
      </c>
      <c r="C868" s="8" t="s">
        <v>753</v>
      </c>
      <c r="D868" s="26" t="n">
        <v>0</v>
      </c>
      <c r="E868" s="26" t="n">
        <v>0</v>
      </c>
      <c r="F868" s="26" t="n">
        <v>87</v>
      </c>
      <c r="G868" s="26" t="n">
        <v>0</v>
      </c>
      <c r="H868" s="26" t="n">
        <v>0</v>
      </c>
      <c r="I868" s="26" t="n">
        <v>508</v>
      </c>
      <c r="J868" s="26" t="n">
        <v>0</v>
      </c>
      <c r="K868" s="26" t="n">
        <v>3</v>
      </c>
      <c r="L868" s="26" t="n">
        <v>0</v>
      </c>
      <c r="M868" s="26" t="n">
        <v>0</v>
      </c>
      <c r="N868" s="26" t="n">
        <v>0</v>
      </c>
      <c r="O868" s="26" t="n">
        <v>2</v>
      </c>
      <c r="P868" s="26" t="n">
        <v>-1</v>
      </c>
      <c r="Q868" s="26" t="n">
        <v>431</v>
      </c>
      <c r="R868" s="26" t="n">
        <v>73</v>
      </c>
      <c r="S868" s="26" t="n">
        <v>0</v>
      </c>
      <c r="T868" s="26" t="n">
        <v>0</v>
      </c>
      <c r="U868" s="26" t="n">
        <v>0</v>
      </c>
    </row>
    <row r="869" customFormat="false" ht="15" hidden="false" customHeight="true" outlineLevel="0" collapsed="false">
      <c r="A869" s="8" t="s">
        <v>944</v>
      </c>
      <c r="B869" s="8" t="s">
        <v>86</v>
      </c>
      <c r="C869" s="8" t="s">
        <v>754</v>
      </c>
      <c r="D869" s="26" t="n">
        <v>0</v>
      </c>
      <c r="E869" s="26" t="n">
        <v>0</v>
      </c>
      <c r="F869" s="26" t="n">
        <v>55</v>
      </c>
      <c r="G869" s="26" t="n">
        <v>0</v>
      </c>
      <c r="H869" s="26" t="n">
        <v>0</v>
      </c>
      <c r="I869" s="26" t="n">
        <v>480</v>
      </c>
      <c r="J869" s="26" t="n">
        <v>0</v>
      </c>
      <c r="K869" s="26" t="n">
        <v>1</v>
      </c>
      <c r="L869" s="26" t="n">
        <v>0</v>
      </c>
      <c r="M869" s="26" t="n">
        <v>0</v>
      </c>
      <c r="N869" s="26" t="n">
        <v>0</v>
      </c>
      <c r="O869" s="26" t="n">
        <v>0</v>
      </c>
      <c r="P869" s="26" t="n">
        <v>-1</v>
      </c>
      <c r="Q869" s="26" t="n">
        <v>408</v>
      </c>
      <c r="R869" s="26" t="n">
        <v>72</v>
      </c>
      <c r="S869" s="26" t="n">
        <v>0</v>
      </c>
      <c r="T869" s="26" t="n">
        <v>0</v>
      </c>
      <c r="U869" s="26" t="n">
        <v>0</v>
      </c>
    </row>
    <row r="870" customFormat="false" ht="15" hidden="false" customHeight="true" outlineLevel="0" collapsed="false">
      <c r="A870" s="8" t="s">
        <v>944</v>
      </c>
      <c r="B870" s="8" t="s">
        <v>86</v>
      </c>
      <c r="C870" s="8" t="s">
        <v>755</v>
      </c>
      <c r="D870" s="26" t="n">
        <v>0</v>
      </c>
      <c r="E870" s="26" t="n">
        <v>0</v>
      </c>
      <c r="F870" s="26" t="n">
        <v>37</v>
      </c>
      <c r="G870" s="26" t="n">
        <v>0</v>
      </c>
      <c r="H870" s="26" t="n">
        <v>0</v>
      </c>
      <c r="I870" s="26" t="n">
        <v>316</v>
      </c>
      <c r="J870" s="26" t="n">
        <v>0</v>
      </c>
      <c r="K870" s="26" t="n">
        <v>1</v>
      </c>
      <c r="L870" s="26" t="n">
        <v>0</v>
      </c>
      <c r="M870" s="26" t="n">
        <v>0</v>
      </c>
      <c r="N870" s="26" t="n">
        <v>0</v>
      </c>
      <c r="O870" s="26" t="n">
        <v>0</v>
      </c>
      <c r="P870" s="26" t="n">
        <v>-2</v>
      </c>
      <c r="Q870" s="26" t="n">
        <v>268</v>
      </c>
      <c r="R870" s="26" t="n">
        <v>49</v>
      </c>
      <c r="S870" s="26" t="n">
        <v>0</v>
      </c>
      <c r="T870" s="26" t="n">
        <v>0</v>
      </c>
      <c r="U870" s="26" t="n">
        <v>0</v>
      </c>
    </row>
    <row r="871" customFormat="false" ht="15" hidden="false" customHeight="true" outlineLevel="0" collapsed="false">
      <c r="A871" s="8" t="s">
        <v>944</v>
      </c>
      <c r="B871" s="8" t="s">
        <v>86</v>
      </c>
      <c r="C871" s="8" t="s">
        <v>756</v>
      </c>
      <c r="D871" s="26" t="n">
        <v>0</v>
      </c>
      <c r="E871" s="26" t="n">
        <v>0</v>
      </c>
      <c r="F871" s="26" t="n">
        <v>48</v>
      </c>
      <c r="G871" s="26" t="n">
        <v>0</v>
      </c>
      <c r="H871" s="26" t="n">
        <v>0</v>
      </c>
      <c r="I871" s="26" t="n">
        <v>371</v>
      </c>
      <c r="J871" s="26" t="n">
        <v>0</v>
      </c>
      <c r="K871" s="26" t="n">
        <v>0</v>
      </c>
      <c r="L871" s="26" t="n">
        <v>0</v>
      </c>
      <c r="M871" s="26" t="n">
        <v>0</v>
      </c>
      <c r="N871" s="26" t="n">
        <v>0</v>
      </c>
      <c r="O871" s="26" t="n">
        <v>1</v>
      </c>
      <c r="P871" s="26" t="n">
        <v>-1</v>
      </c>
      <c r="Q871" s="26" t="n">
        <v>305</v>
      </c>
      <c r="R871" s="26" t="n">
        <v>66</v>
      </c>
      <c r="S871" s="26" t="n">
        <v>0</v>
      </c>
      <c r="T871" s="26" t="n">
        <v>0</v>
      </c>
      <c r="U871" s="26" t="n">
        <v>0</v>
      </c>
    </row>
    <row r="872" customFormat="false" ht="15" hidden="false" customHeight="true" outlineLevel="0" collapsed="false">
      <c r="A872" s="8" t="s">
        <v>944</v>
      </c>
      <c r="B872" s="8" t="s">
        <v>360</v>
      </c>
      <c r="C872" s="8" t="s">
        <v>758</v>
      </c>
      <c r="D872" s="26" t="n">
        <v>0</v>
      </c>
      <c r="E872" s="26" t="n">
        <v>0</v>
      </c>
      <c r="F872" s="26" t="n">
        <v>1</v>
      </c>
      <c r="G872" s="26" t="n">
        <v>0</v>
      </c>
      <c r="H872" s="26" t="n">
        <v>0</v>
      </c>
      <c r="I872" s="26" t="n">
        <v>0</v>
      </c>
      <c r="J872" s="26" t="n">
        <v>0</v>
      </c>
      <c r="K872" s="26" t="n">
        <v>0</v>
      </c>
      <c r="L872" s="26" t="n">
        <v>0</v>
      </c>
      <c r="M872" s="26" t="n">
        <v>0</v>
      </c>
      <c r="N872" s="26" t="n">
        <v>0</v>
      </c>
      <c r="O872" s="26" t="n">
        <v>0</v>
      </c>
      <c r="P872" s="26" t="n">
        <v>0</v>
      </c>
      <c r="Q872" s="26" t="n">
        <v>0</v>
      </c>
      <c r="R872" s="26" t="n">
        <v>0</v>
      </c>
      <c r="S872" s="26" t="n">
        <v>0</v>
      </c>
      <c r="T872" s="26" t="n">
        <v>0</v>
      </c>
      <c r="U872" s="26" t="n">
        <v>0</v>
      </c>
    </row>
    <row r="873" customFormat="false" ht="15" hidden="false" customHeight="true" outlineLevel="0" collapsed="false">
      <c r="A873" s="8" t="s">
        <v>944</v>
      </c>
      <c r="B873" s="8" t="s">
        <v>115</v>
      </c>
      <c r="C873" s="8" t="s">
        <v>763</v>
      </c>
      <c r="D873" s="26" t="n">
        <v>0</v>
      </c>
      <c r="E873" s="26" t="n">
        <v>0</v>
      </c>
      <c r="F873" s="26" t="n">
        <v>531</v>
      </c>
      <c r="G873" s="26" t="n">
        <v>0</v>
      </c>
      <c r="H873" s="26" t="n">
        <v>0</v>
      </c>
      <c r="I873" s="26" t="n">
        <v>515</v>
      </c>
      <c r="J873" s="26" t="n">
        <v>0</v>
      </c>
      <c r="K873" s="26" t="n">
        <v>137</v>
      </c>
      <c r="L873" s="26" t="n">
        <v>0</v>
      </c>
      <c r="M873" s="26" t="n">
        <v>0</v>
      </c>
      <c r="N873" s="26" t="n">
        <v>3</v>
      </c>
      <c r="O873" s="26" t="n">
        <v>5</v>
      </c>
      <c r="P873" s="26" t="n">
        <v>-4</v>
      </c>
      <c r="Q873" s="26" t="n">
        <v>-2</v>
      </c>
      <c r="R873" s="26" t="n">
        <v>376</v>
      </c>
      <c r="S873" s="26" t="n">
        <v>0</v>
      </c>
      <c r="T873" s="26" t="n">
        <v>290</v>
      </c>
      <c r="U873" s="26" t="n">
        <v>0</v>
      </c>
    </row>
    <row r="874" customFormat="false" ht="15" hidden="false" customHeight="true" outlineLevel="0" collapsed="false">
      <c r="A874" s="8" t="s">
        <v>944</v>
      </c>
      <c r="B874" s="8" t="s">
        <v>241</v>
      </c>
      <c r="C874" s="8" t="s">
        <v>764</v>
      </c>
      <c r="D874" s="26" t="n">
        <v>0</v>
      </c>
      <c r="E874" s="26" t="n">
        <v>0</v>
      </c>
      <c r="F874" s="26" t="n">
        <v>-4</v>
      </c>
      <c r="G874" s="26" t="n">
        <v>0</v>
      </c>
      <c r="H874" s="26" t="n">
        <v>0</v>
      </c>
      <c r="I874" s="26" t="n">
        <v>0</v>
      </c>
      <c r="J874" s="26" t="n">
        <v>0</v>
      </c>
      <c r="K874" s="26" t="n">
        <v>0</v>
      </c>
      <c r="L874" s="26" t="n">
        <v>0</v>
      </c>
      <c r="M874" s="26" t="n">
        <v>0</v>
      </c>
      <c r="N874" s="26" t="n">
        <v>0</v>
      </c>
      <c r="O874" s="26" t="n">
        <v>0</v>
      </c>
      <c r="P874" s="26" t="n">
        <v>0</v>
      </c>
      <c r="Q874" s="26" t="n">
        <v>0</v>
      </c>
      <c r="R874" s="26" t="n">
        <v>0</v>
      </c>
      <c r="S874" s="26" t="n">
        <v>0</v>
      </c>
      <c r="T874" s="26" t="n">
        <v>0</v>
      </c>
      <c r="U874" s="26" t="n">
        <v>0</v>
      </c>
    </row>
    <row r="875" customFormat="false" ht="15" hidden="false" customHeight="true" outlineLevel="0" collapsed="false">
      <c r="A875" s="8" t="s">
        <v>944</v>
      </c>
      <c r="B875" s="8" t="s">
        <v>207</v>
      </c>
      <c r="C875" s="8" t="s">
        <v>765</v>
      </c>
      <c r="D875" s="26" t="n">
        <v>0</v>
      </c>
      <c r="E875" s="26" t="n">
        <v>0</v>
      </c>
      <c r="F875" s="26" t="n">
        <v>305</v>
      </c>
      <c r="G875" s="26" t="n">
        <v>0</v>
      </c>
      <c r="H875" s="26" t="n">
        <v>0</v>
      </c>
      <c r="I875" s="26" t="n">
        <v>214</v>
      </c>
      <c r="J875" s="26" t="n">
        <v>0</v>
      </c>
      <c r="K875" s="26" t="n">
        <v>36</v>
      </c>
      <c r="L875" s="26" t="n">
        <v>0</v>
      </c>
      <c r="M875" s="26" t="n">
        <v>14</v>
      </c>
      <c r="N875" s="26" t="n">
        <v>0</v>
      </c>
      <c r="O875" s="26" t="n">
        <v>6</v>
      </c>
      <c r="P875" s="26" t="n">
        <v>-4</v>
      </c>
      <c r="Q875" s="26" t="n">
        <v>0</v>
      </c>
      <c r="R875" s="26" t="n">
        <v>162</v>
      </c>
      <c r="S875" s="26" t="n">
        <v>0</v>
      </c>
      <c r="T875" s="26" t="n">
        <v>100</v>
      </c>
      <c r="U875" s="26" t="n">
        <v>0</v>
      </c>
    </row>
    <row r="876" customFormat="false" ht="15" hidden="false" customHeight="true" outlineLevel="0" collapsed="false">
      <c r="A876" s="8" t="s">
        <v>944</v>
      </c>
      <c r="B876" s="8" t="s">
        <v>237</v>
      </c>
      <c r="C876" s="8" t="s">
        <v>766</v>
      </c>
      <c r="D876" s="26" t="n">
        <v>0</v>
      </c>
      <c r="E876" s="26" t="n">
        <v>0</v>
      </c>
      <c r="F876" s="26" t="n">
        <v>89</v>
      </c>
      <c r="G876" s="26" t="n">
        <v>0</v>
      </c>
      <c r="H876" s="26" t="n">
        <v>0</v>
      </c>
      <c r="I876" s="26" t="n">
        <v>62</v>
      </c>
      <c r="J876" s="26" t="n">
        <v>0</v>
      </c>
      <c r="K876" s="26" t="n">
        <v>4</v>
      </c>
      <c r="L876" s="26" t="n">
        <v>0</v>
      </c>
      <c r="M876" s="26" t="n">
        <v>0</v>
      </c>
      <c r="N876" s="26" t="n">
        <v>0</v>
      </c>
      <c r="O876" s="26" t="n">
        <v>0</v>
      </c>
      <c r="P876" s="26" t="n">
        <v>0</v>
      </c>
      <c r="Q876" s="26" t="n">
        <v>28</v>
      </c>
      <c r="R876" s="26" t="n">
        <v>30</v>
      </c>
      <c r="S876" s="26" t="n">
        <v>0</v>
      </c>
      <c r="T876" s="26" t="n">
        <v>0</v>
      </c>
      <c r="U876" s="26" t="n">
        <v>0</v>
      </c>
    </row>
    <row r="877" customFormat="false" ht="15" hidden="false" customHeight="true" outlineLevel="0" collapsed="false">
      <c r="A877" s="8" t="s">
        <v>944</v>
      </c>
      <c r="B877" s="8" t="s">
        <v>148</v>
      </c>
      <c r="C877" s="8" t="s">
        <v>767</v>
      </c>
      <c r="D877" s="26" t="n">
        <v>0</v>
      </c>
      <c r="E877" s="26" t="n">
        <v>0</v>
      </c>
      <c r="F877" s="26" t="n">
        <v>360</v>
      </c>
      <c r="G877" s="26" t="n">
        <v>0</v>
      </c>
      <c r="H877" s="26" t="n">
        <v>20</v>
      </c>
      <c r="I877" s="26" t="n">
        <v>157</v>
      </c>
      <c r="J877" s="26" t="n">
        <v>0</v>
      </c>
      <c r="K877" s="26" t="n">
        <v>41</v>
      </c>
      <c r="L877" s="26" t="n">
        <v>0</v>
      </c>
      <c r="M877" s="26" t="n">
        <v>6</v>
      </c>
      <c r="N877" s="26" t="n">
        <v>0</v>
      </c>
      <c r="O877" s="26" t="n">
        <v>0</v>
      </c>
      <c r="P877" s="26" t="n">
        <v>-2</v>
      </c>
      <c r="Q877" s="26" t="n">
        <v>0</v>
      </c>
      <c r="R877" s="26" t="n">
        <v>112</v>
      </c>
      <c r="S877" s="26" t="n">
        <v>0</v>
      </c>
      <c r="T877" s="26" t="n">
        <v>188</v>
      </c>
      <c r="U877" s="26" t="n">
        <v>0</v>
      </c>
    </row>
    <row r="878" customFormat="false" ht="15" hidden="false" customHeight="true" outlineLevel="0" collapsed="false">
      <c r="A878" s="8" t="s">
        <v>944</v>
      </c>
      <c r="B878" s="8" t="s">
        <v>202</v>
      </c>
      <c r="C878" s="8" t="s">
        <v>768</v>
      </c>
      <c r="D878" s="26" t="n">
        <v>0</v>
      </c>
      <c r="E878" s="26" t="n">
        <v>0</v>
      </c>
      <c r="F878" s="26" t="n">
        <v>204</v>
      </c>
      <c r="G878" s="26" t="n">
        <v>0</v>
      </c>
      <c r="H878" s="26" t="n">
        <v>0</v>
      </c>
      <c r="I878" s="26" t="n">
        <v>105</v>
      </c>
      <c r="J878" s="26" t="n">
        <v>0</v>
      </c>
      <c r="K878" s="26" t="n">
        <v>20</v>
      </c>
      <c r="L878" s="26" t="n">
        <v>0</v>
      </c>
      <c r="M878" s="26" t="n">
        <v>4</v>
      </c>
      <c r="N878" s="26" t="n">
        <v>0</v>
      </c>
      <c r="O878" s="26" t="n">
        <v>0</v>
      </c>
      <c r="P878" s="26" t="n">
        <v>-4</v>
      </c>
      <c r="Q878" s="26" t="n">
        <v>0</v>
      </c>
      <c r="R878" s="26" t="n">
        <v>85</v>
      </c>
      <c r="S878" s="26" t="n">
        <v>0</v>
      </c>
      <c r="T878" s="26" t="n">
        <v>44</v>
      </c>
      <c r="U878" s="26" t="n">
        <v>0</v>
      </c>
    </row>
    <row r="879" customFormat="false" ht="15" hidden="false" customHeight="true" outlineLevel="0" collapsed="false">
      <c r="A879" s="8" t="s">
        <v>944</v>
      </c>
      <c r="B879" s="8" t="s">
        <v>236</v>
      </c>
      <c r="C879" s="8" t="s">
        <v>769</v>
      </c>
      <c r="D879" s="26" t="n">
        <v>0</v>
      </c>
      <c r="E879" s="26" t="n">
        <v>0</v>
      </c>
      <c r="F879" s="26" t="n">
        <v>1</v>
      </c>
      <c r="G879" s="26" t="n">
        <v>0</v>
      </c>
      <c r="H879" s="26" t="n">
        <v>0</v>
      </c>
      <c r="I879" s="26" t="n">
        <v>0</v>
      </c>
      <c r="J879" s="26" t="n">
        <v>0</v>
      </c>
      <c r="K879" s="26" t="n">
        <v>0</v>
      </c>
      <c r="L879" s="26" t="n">
        <v>0</v>
      </c>
      <c r="M879" s="26" t="n">
        <v>0</v>
      </c>
      <c r="N879" s="26" t="n">
        <v>0</v>
      </c>
      <c r="O879" s="26" t="n">
        <v>0</v>
      </c>
      <c r="P879" s="26" t="n">
        <v>0</v>
      </c>
      <c r="Q879" s="26" t="n">
        <v>0</v>
      </c>
      <c r="R879" s="26" t="n">
        <v>0</v>
      </c>
      <c r="S879" s="26" t="n">
        <v>0</v>
      </c>
      <c r="T879" s="26" t="n">
        <v>0</v>
      </c>
      <c r="U879" s="26" t="n">
        <v>0</v>
      </c>
    </row>
    <row r="880" customFormat="false" ht="15" hidden="false" customHeight="true" outlineLevel="0" collapsed="false">
      <c r="A880" s="8" t="s">
        <v>944</v>
      </c>
      <c r="B880" s="8" t="s">
        <v>236</v>
      </c>
      <c r="C880" s="8" t="s">
        <v>770</v>
      </c>
      <c r="D880" s="26" t="n">
        <v>0</v>
      </c>
      <c r="E880" s="26" t="n">
        <v>0</v>
      </c>
      <c r="F880" s="26" t="n">
        <v>0</v>
      </c>
      <c r="G880" s="26" t="n">
        <v>0</v>
      </c>
      <c r="H880" s="26" t="n">
        <v>0</v>
      </c>
      <c r="I880" s="26" t="n">
        <v>-2</v>
      </c>
      <c r="J880" s="26" t="n">
        <v>0</v>
      </c>
      <c r="K880" s="26" t="n">
        <v>0</v>
      </c>
      <c r="L880" s="26" t="n">
        <v>0</v>
      </c>
      <c r="M880" s="26" t="n">
        <v>0</v>
      </c>
      <c r="N880" s="26" t="n">
        <v>0</v>
      </c>
      <c r="O880" s="26" t="n">
        <v>0</v>
      </c>
      <c r="P880" s="26" t="n">
        <v>0</v>
      </c>
      <c r="Q880" s="26" t="n">
        <v>-2</v>
      </c>
      <c r="R880" s="26" t="n">
        <v>0</v>
      </c>
      <c r="S880" s="26" t="n">
        <v>0</v>
      </c>
      <c r="T880" s="26" t="n">
        <v>0</v>
      </c>
      <c r="U880" s="26" t="n">
        <v>0</v>
      </c>
    </row>
    <row r="881" customFormat="false" ht="15" hidden="false" customHeight="true" outlineLevel="0" collapsed="false">
      <c r="A881" s="8" t="s">
        <v>944</v>
      </c>
      <c r="B881" s="8" t="s">
        <v>236</v>
      </c>
      <c r="C881" s="8" t="s">
        <v>771</v>
      </c>
      <c r="D881" s="26" t="n">
        <v>0</v>
      </c>
      <c r="E881" s="26" t="n">
        <v>0</v>
      </c>
      <c r="F881" s="26" t="n">
        <v>0</v>
      </c>
      <c r="G881" s="26" t="n">
        <v>0</v>
      </c>
      <c r="H881" s="26" t="n">
        <v>0</v>
      </c>
      <c r="I881" s="26" t="n">
        <v>-1</v>
      </c>
      <c r="J881" s="26" t="n">
        <v>0</v>
      </c>
      <c r="K881" s="26" t="n">
        <v>0</v>
      </c>
      <c r="L881" s="26" t="n">
        <v>0</v>
      </c>
      <c r="M881" s="26" t="n">
        <v>0</v>
      </c>
      <c r="N881" s="26" t="n">
        <v>0</v>
      </c>
      <c r="O881" s="26" t="n">
        <v>0</v>
      </c>
      <c r="P881" s="26" t="n">
        <v>0</v>
      </c>
      <c r="Q881" s="26" t="n">
        <v>-1</v>
      </c>
      <c r="R881" s="26" t="n">
        <v>0</v>
      </c>
      <c r="S881" s="26" t="n">
        <v>0</v>
      </c>
      <c r="T881" s="26" t="n">
        <v>0</v>
      </c>
      <c r="U881" s="26" t="n">
        <v>0</v>
      </c>
    </row>
    <row r="882" customFormat="false" ht="15" hidden="false" customHeight="true" outlineLevel="0" collapsed="false">
      <c r="A882" s="8" t="s">
        <v>944</v>
      </c>
      <c r="B882" s="8" t="s">
        <v>236</v>
      </c>
      <c r="C882" s="8" t="s">
        <v>773</v>
      </c>
      <c r="D882" s="26" t="n">
        <v>0</v>
      </c>
      <c r="E882" s="26" t="n">
        <v>0</v>
      </c>
      <c r="F882" s="26" t="n">
        <v>-1</v>
      </c>
      <c r="G882" s="26" t="n">
        <v>0</v>
      </c>
      <c r="H882" s="26" t="n">
        <v>0</v>
      </c>
      <c r="I882" s="26" t="n">
        <v>0</v>
      </c>
      <c r="J882" s="26" t="n">
        <v>0</v>
      </c>
      <c r="K882" s="26" t="n">
        <v>0</v>
      </c>
      <c r="L882" s="26" t="n">
        <v>0</v>
      </c>
      <c r="M882" s="26" t="n">
        <v>0</v>
      </c>
      <c r="N882" s="26" t="n">
        <v>0</v>
      </c>
      <c r="O882" s="26" t="n">
        <v>0</v>
      </c>
      <c r="P882" s="26" t="n">
        <v>0</v>
      </c>
      <c r="Q882" s="26" t="n">
        <v>0</v>
      </c>
      <c r="R882" s="26" t="n">
        <v>0</v>
      </c>
      <c r="S882" s="26" t="n">
        <v>0</v>
      </c>
      <c r="T882" s="26" t="n">
        <v>0</v>
      </c>
      <c r="U882" s="26" t="n">
        <v>0</v>
      </c>
    </row>
    <row r="883" customFormat="false" ht="15" hidden="false" customHeight="true" outlineLevel="0" collapsed="false">
      <c r="A883" s="8" t="s">
        <v>944</v>
      </c>
      <c r="B883" s="8" t="s">
        <v>236</v>
      </c>
      <c r="C883" s="8" t="s">
        <v>965</v>
      </c>
      <c r="D883" s="26" t="n">
        <v>0</v>
      </c>
      <c r="E883" s="26" t="n">
        <v>0</v>
      </c>
      <c r="F883" s="26" t="n">
        <v>-1</v>
      </c>
      <c r="G883" s="26" t="n">
        <v>0</v>
      </c>
      <c r="H883" s="26" t="n">
        <v>0</v>
      </c>
      <c r="I883" s="26" t="n">
        <v>0</v>
      </c>
      <c r="J883" s="26" t="n">
        <v>0</v>
      </c>
      <c r="K883" s="26" t="n">
        <v>0</v>
      </c>
      <c r="L883" s="26" t="n">
        <v>0</v>
      </c>
      <c r="M883" s="26" t="n">
        <v>0</v>
      </c>
      <c r="N883" s="26" t="n">
        <v>0</v>
      </c>
      <c r="O883" s="26" t="n">
        <v>0</v>
      </c>
      <c r="P883" s="26" t="n">
        <v>0</v>
      </c>
      <c r="Q883" s="26" t="n">
        <v>0</v>
      </c>
      <c r="R883" s="26" t="n">
        <v>0</v>
      </c>
      <c r="S883" s="26" t="n">
        <v>0</v>
      </c>
      <c r="T883" s="26" t="n">
        <v>0</v>
      </c>
      <c r="U883" s="26" t="n">
        <v>0</v>
      </c>
    </row>
    <row r="884" customFormat="false" ht="15" hidden="false" customHeight="true" outlineLevel="0" collapsed="false">
      <c r="A884" s="8" t="s">
        <v>944</v>
      </c>
      <c r="B884" s="8" t="s">
        <v>236</v>
      </c>
      <c r="C884" s="8" t="s">
        <v>774</v>
      </c>
      <c r="D884" s="26" t="n">
        <v>0</v>
      </c>
      <c r="E884" s="26" t="n">
        <v>0</v>
      </c>
      <c r="F884" s="26" t="n">
        <v>0</v>
      </c>
      <c r="G884" s="26" t="n">
        <v>0</v>
      </c>
      <c r="H884" s="26" t="n">
        <v>0</v>
      </c>
      <c r="I884" s="26" t="n">
        <v>-1</v>
      </c>
      <c r="J884" s="26" t="n">
        <v>0</v>
      </c>
      <c r="K884" s="26" t="n">
        <v>0</v>
      </c>
      <c r="L884" s="26" t="n">
        <v>0</v>
      </c>
      <c r="M884" s="26" t="n">
        <v>0</v>
      </c>
      <c r="N884" s="26" t="n">
        <v>0</v>
      </c>
      <c r="O884" s="26" t="n">
        <v>0</v>
      </c>
      <c r="P884" s="26" t="n">
        <v>0</v>
      </c>
      <c r="Q884" s="26" t="n">
        <v>-1</v>
      </c>
      <c r="R884" s="26" t="n">
        <v>0</v>
      </c>
      <c r="S884" s="26" t="n">
        <v>0</v>
      </c>
      <c r="T884" s="26" t="n">
        <v>0</v>
      </c>
      <c r="U884" s="26" t="n">
        <v>0</v>
      </c>
    </row>
    <row r="885" customFormat="false" ht="15" hidden="false" customHeight="true" outlineLevel="0" collapsed="false">
      <c r="A885" s="8" t="s">
        <v>944</v>
      </c>
      <c r="B885" s="8" t="s">
        <v>236</v>
      </c>
      <c r="C885" s="8" t="s">
        <v>776</v>
      </c>
      <c r="D885" s="26" t="n">
        <v>0</v>
      </c>
      <c r="E885" s="26" t="n">
        <v>0</v>
      </c>
      <c r="F885" s="26" t="n">
        <v>-1</v>
      </c>
      <c r="G885" s="26" t="n">
        <v>0</v>
      </c>
      <c r="H885" s="26" t="n">
        <v>0</v>
      </c>
      <c r="I885" s="26" t="n">
        <v>-1</v>
      </c>
      <c r="J885" s="26" t="n">
        <v>0</v>
      </c>
      <c r="K885" s="26" t="n">
        <v>0</v>
      </c>
      <c r="L885" s="26" t="n">
        <v>0</v>
      </c>
      <c r="M885" s="26" t="n">
        <v>0</v>
      </c>
      <c r="N885" s="26" t="n">
        <v>0</v>
      </c>
      <c r="O885" s="26" t="n">
        <v>0</v>
      </c>
      <c r="P885" s="26" t="n">
        <v>0</v>
      </c>
      <c r="Q885" s="26" t="n">
        <v>-1</v>
      </c>
      <c r="R885" s="26" t="n">
        <v>0</v>
      </c>
      <c r="S885" s="26" t="n">
        <v>0</v>
      </c>
      <c r="T885" s="26" t="n">
        <v>0</v>
      </c>
      <c r="U885" s="26" t="n">
        <v>0</v>
      </c>
    </row>
    <row r="886" customFormat="false" ht="15" hidden="false" customHeight="true" outlineLevel="0" collapsed="false">
      <c r="A886" s="8" t="s">
        <v>944</v>
      </c>
      <c r="B886" s="8" t="s">
        <v>236</v>
      </c>
      <c r="C886" s="8" t="s">
        <v>779</v>
      </c>
      <c r="D886" s="26" t="n">
        <v>0</v>
      </c>
      <c r="E886" s="26" t="n">
        <v>0</v>
      </c>
      <c r="F886" s="26" t="n">
        <v>0</v>
      </c>
      <c r="G886" s="26" t="n">
        <v>0</v>
      </c>
      <c r="H886" s="26" t="n">
        <v>0</v>
      </c>
      <c r="I886" s="26" t="n">
        <v>-1</v>
      </c>
      <c r="J886" s="26" t="n">
        <v>0</v>
      </c>
      <c r="K886" s="26" t="n">
        <v>0</v>
      </c>
      <c r="L886" s="26" t="n">
        <v>0</v>
      </c>
      <c r="M886" s="26" t="n">
        <v>0</v>
      </c>
      <c r="N886" s="26" t="n">
        <v>0</v>
      </c>
      <c r="O886" s="26" t="n">
        <v>0</v>
      </c>
      <c r="P886" s="26" t="n">
        <v>0</v>
      </c>
      <c r="Q886" s="26" t="n">
        <v>-1</v>
      </c>
      <c r="R886" s="26" t="n">
        <v>0</v>
      </c>
      <c r="S886" s="26" t="n">
        <v>0</v>
      </c>
      <c r="T886" s="26" t="n">
        <v>0</v>
      </c>
      <c r="U886" s="26" t="n">
        <v>0</v>
      </c>
    </row>
    <row r="887" customFormat="false" ht="15" hidden="false" customHeight="true" outlineLevel="0" collapsed="false">
      <c r="A887" s="8" t="s">
        <v>944</v>
      </c>
      <c r="B887" s="8" t="s">
        <v>287</v>
      </c>
      <c r="C887" s="8" t="s">
        <v>780</v>
      </c>
      <c r="D887" s="26" t="n">
        <v>0</v>
      </c>
      <c r="E887" s="26" t="n">
        <v>0</v>
      </c>
      <c r="F887" s="26" t="n">
        <v>41</v>
      </c>
      <c r="G887" s="26" t="n">
        <v>0</v>
      </c>
      <c r="H887" s="26" t="n">
        <v>0</v>
      </c>
      <c r="I887" s="26" t="n">
        <v>494</v>
      </c>
      <c r="J887" s="26" t="n">
        <v>0</v>
      </c>
      <c r="K887" s="26" t="n">
        <v>2</v>
      </c>
      <c r="L887" s="26" t="n">
        <v>0</v>
      </c>
      <c r="M887" s="26" t="n">
        <v>0</v>
      </c>
      <c r="N887" s="26" t="n">
        <v>0</v>
      </c>
      <c r="O887" s="26" t="n">
        <v>0</v>
      </c>
      <c r="P887" s="26" t="n">
        <v>0</v>
      </c>
      <c r="Q887" s="26" t="n">
        <v>461</v>
      </c>
      <c r="R887" s="26" t="n">
        <v>31</v>
      </c>
      <c r="S887" s="26" t="n">
        <v>0</v>
      </c>
      <c r="T887" s="26" t="n">
        <v>21</v>
      </c>
      <c r="U887" s="26" t="n">
        <v>0</v>
      </c>
    </row>
    <row r="888" customFormat="false" ht="15" hidden="false" customHeight="true" outlineLevel="0" collapsed="false">
      <c r="A888" s="8" t="s">
        <v>944</v>
      </c>
      <c r="B888" s="8" t="s">
        <v>209</v>
      </c>
      <c r="C888" s="8" t="s">
        <v>781</v>
      </c>
      <c r="D888" s="26" t="n">
        <v>0</v>
      </c>
      <c r="E888" s="26" t="n">
        <v>0</v>
      </c>
      <c r="F888" s="26" t="n">
        <v>23</v>
      </c>
      <c r="G888" s="26" t="n">
        <v>0</v>
      </c>
      <c r="H888" s="26" t="n">
        <v>0</v>
      </c>
      <c r="I888" s="26" t="n">
        <v>12</v>
      </c>
      <c r="J888" s="26" t="n">
        <v>0</v>
      </c>
      <c r="K888" s="26" t="n">
        <v>0</v>
      </c>
      <c r="L888" s="26" t="n">
        <v>0</v>
      </c>
      <c r="M888" s="26" t="n">
        <v>0</v>
      </c>
      <c r="N888" s="26" t="n">
        <v>0</v>
      </c>
      <c r="O888" s="26" t="n">
        <v>0</v>
      </c>
      <c r="P888" s="26" t="n">
        <v>0</v>
      </c>
      <c r="Q888" s="26" t="n">
        <v>12</v>
      </c>
      <c r="R888" s="26" t="n">
        <v>0</v>
      </c>
      <c r="S888" s="26" t="n">
        <v>0</v>
      </c>
      <c r="T888" s="26" t="n">
        <v>16</v>
      </c>
      <c r="U888" s="26" t="n">
        <v>0</v>
      </c>
    </row>
    <row r="889" customFormat="false" ht="15" hidden="false" customHeight="true" outlineLevel="0" collapsed="false">
      <c r="A889" s="8" t="s">
        <v>944</v>
      </c>
      <c r="B889" s="8" t="s">
        <v>329</v>
      </c>
      <c r="C889" s="8" t="s">
        <v>782</v>
      </c>
      <c r="D889" s="26" t="n">
        <v>0</v>
      </c>
      <c r="E889" s="26" t="n">
        <v>0</v>
      </c>
      <c r="F889" s="26" t="n">
        <v>0</v>
      </c>
      <c r="G889" s="26" t="n">
        <v>0</v>
      </c>
      <c r="H889" s="26" t="n">
        <v>0</v>
      </c>
      <c r="I889" s="26" t="n">
        <v>0</v>
      </c>
      <c r="J889" s="26" t="n">
        <v>0</v>
      </c>
      <c r="K889" s="26" t="n">
        <v>0</v>
      </c>
      <c r="L889" s="26" t="n">
        <v>0</v>
      </c>
      <c r="M889" s="26" t="n">
        <v>0</v>
      </c>
      <c r="N889" s="26" t="n">
        <v>0</v>
      </c>
      <c r="O889" s="26" t="n">
        <v>0</v>
      </c>
      <c r="P889" s="26" t="n">
        <v>0</v>
      </c>
      <c r="Q889" s="26" t="n">
        <v>0</v>
      </c>
      <c r="R889" s="26" t="n">
        <v>0</v>
      </c>
      <c r="S889" s="26" t="n">
        <v>0</v>
      </c>
      <c r="T889" s="26" t="n">
        <v>2</v>
      </c>
      <c r="U889" s="26" t="n">
        <v>0</v>
      </c>
    </row>
    <row r="890" customFormat="false" ht="15" hidden="false" customHeight="true" outlineLevel="0" collapsed="false">
      <c r="A890" s="8" t="s">
        <v>944</v>
      </c>
      <c r="B890" s="8" t="s">
        <v>365</v>
      </c>
      <c r="C890" s="8" t="s">
        <v>783</v>
      </c>
      <c r="D890" s="26" t="n">
        <v>0</v>
      </c>
      <c r="E890" s="26" t="n">
        <v>0</v>
      </c>
      <c r="F890" s="26" t="n">
        <v>0</v>
      </c>
      <c r="G890" s="26" t="n">
        <v>0</v>
      </c>
      <c r="H890" s="26" t="n">
        <v>0</v>
      </c>
      <c r="I890" s="26" t="n">
        <v>-1</v>
      </c>
      <c r="J890" s="26" t="n">
        <v>0</v>
      </c>
      <c r="K890" s="26" t="n">
        <v>0</v>
      </c>
      <c r="L890" s="26" t="n">
        <v>0</v>
      </c>
      <c r="M890" s="26" t="n">
        <v>0</v>
      </c>
      <c r="N890" s="26" t="n">
        <v>0</v>
      </c>
      <c r="O890" s="26" t="n">
        <v>0</v>
      </c>
      <c r="P890" s="26" t="n">
        <v>0</v>
      </c>
      <c r="Q890" s="26" t="n">
        <v>-1</v>
      </c>
      <c r="R890" s="26" t="n">
        <v>0</v>
      </c>
      <c r="S890" s="26" t="n">
        <v>0</v>
      </c>
      <c r="T890" s="26" t="n">
        <v>0</v>
      </c>
      <c r="U890" s="26" t="n">
        <v>0</v>
      </c>
    </row>
    <row r="891" customFormat="false" ht="15" hidden="false" customHeight="true" outlineLevel="0" collapsed="false">
      <c r="A891" s="8" t="s">
        <v>944</v>
      </c>
      <c r="B891" s="8" t="s">
        <v>384</v>
      </c>
      <c r="C891" s="8" t="s">
        <v>785</v>
      </c>
      <c r="D891" s="26" t="n">
        <v>0</v>
      </c>
      <c r="E891" s="26" t="n">
        <v>0</v>
      </c>
      <c r="F891" s="26" t="n">
        <v>0</v>
      </c>
      <c r="G891" s="26" t="n">
        <v>0</v>
      </c>
      <c r="H891" s="26" t="n">
        <v>0</v>
      </c>
      <c r="I891" s="26" t="n">
        <v>-2</v>
      </c>
      <c r="J891" s="26" t="n">
        <v>0</v>
      </c>
      <c r="K891" s="26" t="n">
        <v>0</v>
      </c>
      <c r="L891" s="26" t="n">
        <v>0</v>
      </c>
      <c r="M891" s="26" t="n">
        <v>0</v>
      </c>
      <c r="N891" s="26" t="n">
        <v>0</v>
      </c>
      <c r="O891" s="26" t="n">
        <v>0</v>
      </c>
      <c r="P891" s="26" t="n">
        <v>0</v>
      </c>
      <c r="Q891" s="26" t="n">
        <v>-2</v>
      </c>
      <c r="R891" s="26" t="n">
        <v>0</v>
      </c>
      <c r="S891" s="26" t="n">
        <v>0</v>
      </c>
      <c r="T891" s="26" t="n">
        <v>0</v>
      </c>
      <c r="U891" s="26" t="n">
        <v>0</v>
      </c>
    </row>
    <row r="892" customFormat="false" ht="15" hidden="false" customHeight="true" outlineLevel="0" collapsed="false">
      <c r="A892" s="8" t="s">
        <v>944</v>
      </c>
      <c r="B892" s="8" t="s">
        <v>358</v>
      </c>
      <c r="C892" s="8" t="s">
        <v>786</v>
      </c>
      <c r="D892" s="26" t="n">
        <v>0</v>
      </c>
      <c r="E892" s="26" t="n">
        <v>0</v>
      </c>
      <c r="F892" s="26" t="n">
        <v>78</v>
      </c>
      <c r="G892" s="26" t="n">
        <v>0</v>
      </c>
      <c r="H892" s="26" t="n">
        <v>0</v>
      </c>
      <c r="I892" s="26" t="n">
        <v>91</v>
      </c>
      <c r="J892" s="26" t="n">
        <v>0</v>
      </c>
      <c r="K892" s="26" t="n">
        <v>4</v>
      </c>
      <c r="L892" s="26" t="n">
        <v>0</v>
      </c>
      <c r="M892" s="26" t="n">
        <v>0</v>
      </c>
      <c r="N892" s="26" t="n">
        <v>0</v>
      </c>
      <c r="O892" s="26" t="n">
        <v>1</v>
      </c>
      <c r="P892" s="26" t="n">
        <v>-4</v>
      </c>
      <c r="Q892" s="26" t="n">
        <v>0</v>
      </c>
      <c r="R892" s="26" t="n">
        <v>90</v>
      </c>
      <c r="S892" s="26" t="n">
        <v>0</v>
      </c>
      <c r="T892" s="26" t="n">
        <v>9</v>
      </c>
      <c r="U892" s="26" t="n">
        <v>0</v>
      </c>
    </row>
    <row r="893" customFormat="false" ht="15" hidden="false" customHeight="true" outlineLevel="0" collapsed="false">
      <c r="A893" s="8" t="s">
        <v>944</v>
      </c>
      <c r="B893" s="8" t="s">
        <v>300</v>
      </c>
      <c r="C893" s="8" t="s">
        <v>787</v>
      </c>
      <c r="D893" s="26" t="n">
        <v>0</v>
      </c>
      <c r="E893" s="26" t="n">
        <v>0</v>
      </c>
      <c r="F893" s="26" t="n">
        <v>-1</v>
      </c>
      <c r="G893" s="26" t="n">
        <v>0</v>
      </c>
      <c r="H893" s="26" t="n">
        <v>0</v>
      </c>
      <c r="I893" s="26" t="n">
        <v>8</v>
      </c>
      <c r="J893" s="26" t="n">
        <v>0</v>
      </c>
      <c r="K893" s="26" t="n">
        <v>5</v>
      </c>
      <c r="L893" s="26" t="n">
        <v>0</v>
      </c>
      <c r="M893" s="26" t="n">
        <v>0</v>
      </c>
      <c r="N893" s="26" t="n">
        <v>0</v>
      </c>
      <c r="O893" s="26" t="n">
        <v>0</v>
      </c>
      <c r="P893" s="26" t="n">
        <v>-2</v>
      </c>
      <c r="Q893" s="26" t="n">
        <v>1</v>
      </c>
      <c r="R893" s="26" t="n">
        <v>4</v>
      </c>
      <c r="S893" s="26" t="n">
        <v>0</v>
      </c>
      <c r="T893" s="26" t="n">
        <v>0</v>
      </c>
      <c r="U893" s="26" t="n">
        <v>0</v>
      </c>
    </row>
    <row r="894" customFormat="false" ht="15" hidden="false" customHeight="true" outlineLevel="0" collapsed="false">
      <c r="A894" s="8" t="s">
        <v>944</v>
      </c>
      <c r="B894" s="8" t="s">
        <v>259</v>
      </c>
      <c r="C894" s="8" t="s">
        <v>788</v>
      </c>
      <c r="D894" s="26" t="n">
        <v>0</v>
      </c>
      <c r="E894" s="26" t="n">
        <v>0</v>
      </c>
      <c r="F894" s="26" t="n">
        <v>32</v>
      </c>
      <c r="G894" s="26" t="n">
        <v>0</v>
      </c>
      <c r="H894" s="26" t="n">
        <v>0</v>
      </c>
      <c r="I894" s="26" t="n">
        <v>18</v>
      </c>
      <c r="J894" s="26" t="n">
        <v>0</v>
      </c>
      <c r="K894" s="26" t="n">
        <v>0</v>
      </c>
      <c r="L894" s="26" t="n">
        <v>0</v>
      </c>
      <c r="M894" s="26" t="n">
        <v>0</v>
      </c>
      <c r="N894" s="26" t="n">
        <v>0</v>
      </c>
      <c r="O894" s="26" t="n">
        <v>0</v>
      </c>
      <c r="P894" s="26" t="n">
        <v>-2</v>
      </c>
      <c r="Q894" s="26" t="n">
        <v>0</v>
      </c>
      <c r="R894" s="26" t="n">
        <v>20</v>
      </c>
      <c r="S894" s="26" t="n">
        <v>0</v>
      </c>
      <c r="T894" s="26" t="n">
        <v>15</v>
      </c>
      <c r="U894" s="26" t="n">
        <v>0</v>
      </c>
    </row>
    <row r="895" customFormat="false" ht="15" hidden="false" customHeight="true" outlineLevel="0" collapsed="false">
      <c r="A895" s="8" t="s">
        <v>944</v>
      </c>
      <c r="B895" s="8" t="s">
        <v>225</v>
      </c>
      <c r="C895" s="8" t="s">
        <v>789</v>
      </c>
      <c r="D895" s="26" t="n">
        <v>0</v>
      </c>
      <c r="E895" s="26" t="n">
        <v>0</v>
      </c>
      <c r="F895" s="26" t="n">
        <v>11</v>
      </c>
      <c r="G895" s="26" t="n">
        <v>0</v>
      </c>
      <c r="H895" s="26" t="n">
        <v>0</v>
      </c>
      <c r="I895" s="26" t="n">
        <v>41</v>
      </c>
      <c r="J895" s="26" t="n">
        <v>0</v>
      </c>
      <c r="K895" s="26" t="n">
        <v>3</v>
      </c>
      <c r="L895" s="26" t="n">
        <v>0</v>
      </c>
      <c r="M895" s="26" t="n">
        <v>0</v>
      </c>
      <c r="N895" s="26" t="n">
        <v>0</v>
      </c>
      <c r="O895" s="26" t="n">
        <v>0</v>
      </c>
      <c r="P895" s="26" t="n">
        <v>-6</v>
      </c>
      <c r="Q895" s="26" t="n">
        <v>-3</v>
      </c>
      <c r="R895" s="26" t="n">
        <v>47</v>
      </c>
      <c r="S895" s="26" t="n">
        <v>0</v>
      </c>
      <c r="T895" s="26" t="n">
        <v>11</v>
      </c>
      <c r="U895" s="26" t="n">
        <v>0</v>
      </c>
    </row>
    <row r="896" customFormat="false" ht="15" hidden="false" customHeight="true" outlineLevel="0" collapsed="false">
      <c r="A896" s="8" t="s">
        <v>944</v>
      </c>
      <c r="B896" s="8" t="s">
        <v>97</v>
      </c>
      <c r="C896" s="8" t="s">
        <v>790</v>
      </c>
      <c r="D896" s="26" t="n">
        <v>0</v>
      </c>
      <c r="E896" s="26" t="n">
        <v>0</v>
      </c>
      <c r="F896" s="26" t="n">
        <v>1054</v>
      </c>
      <c r="G896" s="26" t="n">
        <v>0</v>
      </c>
      <c r="H896" s="26" t="n">
        <v>0</v>
      </c>
      <c r="I896" s="26" t="n">
        <v>638</v>
      </c>
      <c r="J896" s="26" t="n">
        <v>0</v>
      </c>
      <c r="K896" s="26" t="n">
        <v>30</v>
      </c>
      <c r="L896" s="26" t="n">
        <v>0</v>
      </c>
      <c r="M896" s="26" t="n">
        <v>3</v>
      </c>
      <c r="N896" s="26" t="n">
        <v>18</v>
      </c>
      <c r="O896" s="26" t="n">
        <v>14</v>
      </c>
      <c r="P896" s="26" t="n">
        <v>-3</v>
      </c>
      <c r="Q896" s="26" t="n">
        <v>0</v>
      </c>
      <c r="R896" s="26" t="n">
        <v>576</v>
      </c>
      <c r="S896" s="26" t="n">
        <v>0</v>
      </c>
      <c r="T896" s="26" t="n">
        <v>298</v>
      </c>
      <c r="U896" s="26" t="n">
        <v>-3</v>
      </c>
    </row>
    <row r="897" customFormat="false" ht="15" hidden="false" customHeight="true" outlineLevel="0" collapsed="false">
      <c r="A897" s="8" t="s">
        <v>944</v>
      </c>
      <c r="B897" s="8" t="s">
        <v>144</v>
      </c>
      <c r="C897" s="8" t="s">
        <v>791</v>
      </c>
      <c r="D897" s="26" t="n">
        <v>0</v>
      </c>
      <c r="E897" s="26" t="n">
        <v>0</v>
      </c>
      <c r="F897" s="26" t="n">
        <v>90</v>
      </c>
      <c r="G897" s="26" t="n">
        <v>0</v>
      </c>
      <c r="H897" s="26" t="n">
        <v>0</v>
      </c>
      <c r="I897" s="26" t="n">
        <v>769</v>
      </c>
      <c r="J897" s="26" t="n">
        <v>0</v>
      </c>
      <c r="K897" s="26" t="n">
        <v>2</v>
      </c>
      <c r="L897" s="26" t="n">
        <v>0</v>
      </c>
      <c r="M897" s="26" t="n">
        <v>0</v>
      </c>
      <c r="N897" s="26" t="n">
        <v>2</v>
      </c>
      <c r="O897" s="26" t="n">
        <v>1</v>
      </c>
      <c r="P897" s="26" t="n">
        <v>-2</v>
      </c>
      <c r="Q897" s="26" t="n">
        <v>724</v>
      </c>
      <c r="R897" s="26" t="n">
        <v>42</v>
      </c>
      <c r="S897" s="26" t="n">
        <v>0</v>
      </c>
      <c r="T897" s="26" t="n">
        <v>47</v>
      </c>
      <c r="U897" s="26" t="n">
        <v>0</v>
      </c>
    </row>
    <row r="898" customFormat="false" ht="15" hidden="false" customHeight="true" outlineLevel="0" collapsed="false">
      <c r="A898" s="8" t="s">
        <v>944</v>
      </c>
      <c r="B898" s="8" t="s">
        <v>343</v>
      </c>
      <c r="C898" s="8" t="s">
        <v>792</v>
      </c>
      <c r="D898" s="26" t="n">
        <v>0</v>
      </c>
      <c r="E898" s="26" t="n">
        <v>0</v>
      </c>
      <c r="F898" s="26" t="n">
        <v>112</v>
      </c>
      <c r="G898" s="26" t="n">
        <v>0</v>
      </c>
      <c r="H898" s="26" t="n">
        <v>0</v>
      </c>
      <c r="I898" s="26" t="n">
        <v>527</v>
      </c>
      <c r="J898" s="26" t="n">
        <v>0</v>
      </c>
      <c r="K898" s="26" t="n">
        <v>11</v>
      </c>
      <c r="L898" s="26" t="n">
        <v>0</v>
      </c>
      <c r="M898" s="26" t="n">
        <v>6</v>
      </c>
      <c r="N898" s="26" t="n">
        <v>6</v>
      </c>
      <c r="O898" s="26" t="n">
        <v>0</v>
      </c>
      <c r="P898" s="26" t="n">
        <v>0</v>
      </c>
      <c r="Q898" s="26" t="n">
        <v>428</v>
      </c>
      <c r="R898" s="26" t="n">
        <v>76</v>
      </c>
      <c r="S898" s="26" t="n">
        <v>0</v>
      </c>
      <c r="T898" s="26" t="n">
        <v>65</v>
      </c>
      <c r="U898" s="26" t="n">
        <v>0</v>
      </c>
    </row>
    <row r="899" customFormat="false" ht="15" hidden="false" customHeight="true" outlineLevel="0" collapsed="false">
      <c r="A899" s="8" t="s">
        <v>944</v>
      </c>
      <c r="B899" s="8" t="s">
        <v>120</v>
      </c>
      <c r="C899" s="8" t="s">
        <v>794</v>
      </c>
      <c r="D899" s="26" t="n">
        <v>0</v>
      </c>
      <c r="E899" s="26" t="n">
        <v>0</v>
      </c>
      <c r="F899" s="26" t="n">
        <v>5</v>
      </c>
      <c r="G899" s="26" t="n">
        <v>0</v>
      </c>
      <c r="H899" s="26" t="n">
        <v>0</v>
      </c>
      <c r="I899" s="26" t="n">
        <v>0</v>
      </c>
      <c r="J899" s="26" t="n">
        <v>0</v>
      </c>
      <c r="K899" s="26" t="n">
        <v>0</v>
      </c>
      <c r="L899" s="26" t="n">
        <v>0</v>
      </c>
      <c r="M899" s="26" t="n">
        <v>0</v>
      </c>
      <c r="N899" s="26" t="n">
        <v>0</v>
      </c>
      <c r="O899" s="26" t="n">
        <v>0</v>
      </c>
      <c r="P899" s="26" t="n">
        <v>0</v>
      </c>
      <c r="Q899" s="26" t="n">
        <v>0</v>
      </c>
      <c r="R899" s="26" t="n">
        <v>0</v>
      </c>
      <c r="S899" s="26" t="n">
        <v>0</v>
      </c>
      <c r="T899" s="26" t="n">
        <v>0</v>
      </c>
      <c r="U899" s="26" t="n">
        <v>0</v>
      </c>
    </row>
    <row r="900" customFormat="false" ht="15" hidden="false" customHeight="true" outlineLevel="0" collapsed="false">
      <c r="A900" s="8" t="s">
        <v>944</v>
      </c>
      <c r="B900" s="8" t="s">
        <v>120</v>
      </c>
      <c r="C900" s="8" t="s">
        <v>795</v>
      </c>
      <c r="D900" s="26" t="n">
        <v>0</v>
      </c>
      <c r="E900" s="26" t="n">
        <v>0</v>
      </c>
      <c r="F900" s="26" t="n">
        <v>15</v>
      </c>
      <c r="G900" s="26" t="n">
        <v>0</v>
      </c>
      <c r="H900" s="26" t="n">
        <v>0</v>
      </c>
      <c r="I900" s="26" t="n">
        <v>8</v>
      </c>
      <c r="J900" s="26" t="n">
        <v>0</v>
      </c>
      <c r="K900" s="26" t="n">
        <v>0</v>
      </c>
      <c r="L900" s="26" t="n">
        <v>0</v>
      </c>
      <c r="M900" s="26" t="n">
        <v>0</v>
      </c>
      <c r="N900" s="26" t="n">
        <v>0</v>
      </c>
      <c r="O900" s="26" t="n">
        <v>0</v>
      </c>
      <c r="P900" s="26" t="n">
        <v>0</v>
      </c>
      <c r="Q900" s="26" t="n">
        <v>6</v>
      </c>
      <c r="R900" s="26" t="n">
        <v>2</v>
      </c>
      <c r="S900" s="26" t="n">
        <v>0</v>
      </c>
      <c r="T900" s="26" t="n">
        <v>6</v>
      </c>
      <c r="U900" s="26" t="n">
        <v>0</v>
      </c>
    </row>
    <row r="901" customFormat="false" ht="15" hidden="false" customHeight="true" outlineLevel="0" collapsed="false">
      <c r="A901" s="8" t="s">
        <v>944</v>
      </c>
      <c r="B901" s="8" t="s">
        <v>120</v>
      </c>
      <c r="C901" s="8" t="s">
        <v>796</v>
      </c>
      <c r="D901" s="26" t="n">
        <v>0</v>
      </c>
      <c r="E901" s="26" t="n">
        <v>0</v>
      </c>
      <c r="F901" s="26" t="n">
        <v>25</v>
      </c>
      <c r="G901" s="26" t="n">
        <v>0</v>
      </c>
      <c r="H901" s="26" t="n">
        <v>0</v>
      </c>
      <c r="I901" s="26" t="n">
        <v>8</v>
      </c>
      <c r="J901" s="26" t="n">
        <v>0</v>
      </c>
      <c r="K901" s="26" t="n">
        <v>0</v>
      </c>
      <c r="L901" s="26" t="n">
        <v>0</v>
      </c>
      <c r="M901" s="26" t="n">
        <v>0</v>
      </c>
      <c r="N901" s="26" t="n">
        <v>0</v>
      </c>
      <c r="O901" s="26" t="n">
        <v>0</v>
      </c>
      <c r="P901" s="26" t="n">
        <v>0</v>
      </c>
      <c r="Q901" s="26" t="n">
        <v>6</v>
      </c>
      <c r="R901" s="26" t="n">
        <v>2</v>
      </c>
      <c r="S901" s="26" t="n">
        <v>0</v>
      </c>
      <c r="T901" s="26" t="n">
        <v>8</v>
      </c>
      <c r="U901" s="26" t="n">
        <v>0</v>
      </c>
    </row>
    <row r="902" customFormat="false" ht="15" hidden="false" customHeight="true" outlineLevel="0" collapsed="false">
      <c r="A902" s="8" t="s">
        <v>944</v>
      </c>
      <c r="B902" s="8" t="s">
        <v>120</v>
      </c>
      <c r="C902" s="8" t="s">
        <v>797</v>
      </c>
      <c r="D902" s="26" t="n">
        <v>0</v>
      </c>
      <c r="E902" s="26" t="n">
        <v>0</v>
      </c>
      <c r="F902" s="26" t="n">
        <v>19</v>
      </c>
      <c r="G902" s="26" t="n">
        <v>0</v>
      </c>
      <c r="H902" s="26" t="n">
        <v>0</v>
      </c>
      <c r="I902" s="26" t="n">
        <v>6</v>
      </c>
      <c r="J902" s="26" t="n">
        <v>0</v>
      </c>
      <c r="K902" s="26" t="n">
        <v>0</v>
      </c>
      <c r="L902" s="26" t="n">
        <v>0</v>
      </c>
      <c r="M902" s="26" t="n">
        <v>0</v>
      </c>
      <c r="N902" s="26" t="n">
        <v>0</v>
      </c>
      <c r="O902" s="26" t="n">
        <v>0</v>
      </c>
      <c r="P902" s="26" t="n">
        <v>0</v>
      </c>
      <c r="Q902" s="26" t="n">
        <v>6</v>
      </c>
      <c r="R902" s="26" t="n">
        <v>0</v>
      </c>
      <c r="S902" s="26" t="n">
        <v>0</v>
      </c>
      <c r="T902" s="26" t="n">
        <v>2</v>
      </c>
      <c r="U902" s="26" t="n">
        <v>0</v>
      </c>
    </row>
    <row r="903" customFormat="false" ht="15" hidden="false" customHeight="true" outlineLevel="0" collapsed="false">
      <c r="A903" s="8" t="s">
        <v>944</v>
      </c>
      <c r="B903" s="8" t="s">
        <v>120</v>
      </c>
      <c r="C903" s="8" t="s">
        <v>798</v>
      </c>
      <c r="D903" s="26" t="n">
        <v>0</v>
      </c>
      <c r="E903" s="26" t="n">
        <v>0</v>
      </c>
      <c r="F903" s="26" t="n">
        <v>3</v>
      </c>
      <c r="G903" s="26" t="n">
        <v>0</v>
      </c>
      <c r="H903" s="26" t="n">
        <v>0</v>
      </c>
      <c r="I903" s="26" t="n">
        <v>0</v>
      </c>
      <c r="J903" s="26" t="n">
        <v>0</v>
      </c>
      <c r="K903" s="26" t="n">
        <v>0</v>
      </c>
      <c r="L903" s="26" t="n">
        <v>0</v>
      </c>
      <c r="M903" s="26" t="n">
        <v>0</v>
      </c>
      <c r="N903" s="26" t="n">
        <v>0</v>
      </c>
      <c r="O903" s="26" t="n">
        <v>0</v>
      </c>
      <c r="P903" s="26" t="n">
        <v>0</v>
      </c>
      <c r="Q903" s="26" t="n">
        <v>0</v>
      </c>
      <c r="R903" s="26" t="n">
        <v>0</v>
      </c>
      <c r="S903" s="26" t="n">
        <v>0</v>
      </c>
      <c r="T903" s="26" t="n">
        <v>0</v>
      </c>
      <c r="U903" s="26" t="n">
        <v>0</v>
      </c>
    </row>
    <row r="904" customFormat="false" ht="15" hidden="false" customHeight="true" outlineLevel="0" collapsed="false">
      <c r="A904" s="8" t="s">
        <v>944</v>
      </c>
      <c r="B904" s="8" t="s">
        <v>88</v>
      </c>
      <c r="C904" s="8" t="s">
        <v>799</v>
      </c>
      <c r="D904" s="26" t="n">
        <v>0</v>
      </c>
      <c r="E904" s="26" t="n">
        <v>0</v>
      </c>
      <c r="F904" s="26" t="n">
        <v>337</v>
      </c>
      <c r="G904" s="26" t="n">
        <v>0</v>
      </c>
      <c r="H904" s="26" t="n">
        <v>0</v>
      </c>
      <c r="I904" s="26" t="n">
        <v>3963</v>
      </c>
      <c r="J904" s="26" t="n">
        <v>0</v>
      </c>
      <c r="K904" s="26" t="n">
        <v>12</v>
      </c>
      <c r="L904" s="26" t="n">
        <v>0</v>
      </c>
      <c r="M904" s="26" t="n">
        <v>0</v>
      </c>
      <c r="N904" s="26" t="n">
        <v>0</v>
      </c>
      <c r="O904" s="26" t="n">
        <v>0</v>
      </c>
      <c r="P904" s="26" t="n">
        <v>-2</v>
      </c>
      <c r="Q904" s="26" t="n">
        <v>3632</v>
      </c>
      <c r="R904" s="26" t="n">
        <v>321</v>
      </c>
      <c r="S904" s="26" t="n">
        <v>0</v>
      </c>
      <c r="T904" s="26" t="n">
        <v>648</v>
      </c>
      <c r="U904" s="26" t="n">
        <v>-1</v>
      </c>
    </row>
    <row r="905" customFormat="false" ht="15" hidden="false" customHeight="true" outlineLevel="0" collapsed="false">
      <c r="A905" s="8" t="s">
        <v>944</v>
      </c>
      <c r="B905" s="8" t="s">
        <v>185</v>
      </c>
      <c r="C905" s="8" t="s">
        <v>731</v>
      </c>
      <c r="D905" s="26" t="n">
        <v>0</v>
      </c>
      <c r="E905" s="26" t="n">
        <v>0</v>
      </c>
      <c r="F905" s="26" t="n">
        <v>105</v>
      </c>
      <c r="G905" s="26" t="n">
        <v>0</v>
      </c>
      <c r="H905" s="26" t="n">
        <v>0</v>
      </c>
      <c r="I905" s="26" t="n">
        <v>158</v>
      </c>
      <c r="J905" s="26" t="n">
        <v>0</v>
      </c>
      <c r="K905" s="26" t="n">
        <v>3</v>
      </c>
      <c r="L905" s="26" t="n">
        <v>0</v>
      </c>
      <c r="M905" s="26" t="n">
        <v>0</v>
      </c>
      <c r="N905" s="26" t="n">
        <v>0</v>
      </c>
      <c r="O905" s="26" t="n">
        <v>0</v>
      </c>
      <c r="P905" s="26" t="n">
        <v>-1</v>
      </c>
      <c r="Q905" s="26" t="n">
        <v>128</v>
      </c>
      <c r="R905" s="26" t="n">
        <v>28</v>
      </c>
      <c r="S905" s="26" t="n">
        <v>0</v>
      </c>
      <c r="T905" s="26" t="n">
        <v>274</v>
      </c>
      <c r="U905" s="26" t="n">
        <v>0</v>
      </c>
    </row>
    <row r="906" customFormat="false" ht="15" hidden="false" customHeight="true" outlineLevel="0" collapsed="false">
      <c r="A906" s="8" t="s">
        <v>944</v>
      </c>
      <c r="B906" s="8" t="s">
        <v>79</v>
      </c>
      <c r="C906" s="8" t="s">
        <v>800</v>
      </c>
      <c r="D906" s="26" t="n">
        <v>0</v>
      </c>
      <c r="E906" s="26" t="n">
        <v>0</v>
      </c>
      <c r="F906" s="26" t="n">
        <v>-1</v>
      </c>
      <c r="G906" s="26" t="n">
        <v>0</v>
      </c>
      <c r="H906" s="26" t="n">
        <v>0</v>
      </c>
      <c r="I906" s="26" t="n">
        <v>-7</v>
      </c>
      <c r="J906" s="26" t="n">
        <v>0</v>
      </c>
      <c r="K906" s="26" t="n">
        <v>0</v>
      </c>
      <c r="L906" s="26" t="n">
        <v>0</v>
      </c>
      <c r="M906" s="26" t="n">
        <v>0</v>
      </c>
      <c r="N906" s="26" t="n">
        <v>0</v>
      </c>
      <c r="O906" s="26" t="n">
        <v>0</v>
      </c>
      <c r="P906" s="26" t="n">
        <v>-2</v>
      </c>
      <c r="Q906" s="26" t="n">
        <v>-5</v>
      </c>
      <c r="R906" s="26" t="n">
        <v>0</v>
      </c>
      <c r="S906" s="26" t="n">
        <v>0</v>
      </c>
      <c r="T906" s="26" t="n">
        <v>0</v>
      </c>
      <c r="U906" s="26" t="n">
        <v>0</v>
      </c>
    </row>
    <row r="907" customFormat="false" ht="15" hidden="false" customHeight="true" outlineLevel="0" collapsed="false">
      <c r="A907" s="8" t="s">
        <v>944</v>
      </c>
      <c r="B907" s="8" t="s">
        <v>79</v>
      </c>
      <c r="C907" s="8" t="s">
        <v>801</v>
      </c>
      <c r="D907" s="26" t="n">
        <v>0</v>
      </c>
      <c r="E907" s="26" t="n">
        <v>0</v>
      </c>
      <c r="F907" s="26" t="n">
        <v>2</v>
      </c>
      <c r="G907" s="26" t="n">
        <v>0</v>
      </c>
      <c r="H907" s="26" t="n">
        <v>0</v>
      </c>
      <c r="I907" s="26" t="n">
        <v>2</v>
      </c>
      <c r="J907" s="26" t="n">
        <v>0</v>
      </c>
      <c r="K907" s="26" t="n">
        <v>0</v>
      </c>
      <c r="L907" s="26" t="n">
        <v>0</v>
      </c>
      <c r="M907" s="26" t="n">
        <v>0</v>
      </c>
      <c r="N907" s="26" t="n">
        <v>0</v>
      </c>
      <c r="O907" s="26" t="n">
        <v>0</v>
      </c>
      <c r="P907" s="26" t="n">
        <v>-3</v>
      </c>
      <c r="Q907" s="26" t="n">
        <v>-3</v>
      </c>
      <c r="R907" s="26" t="n">
        <v>8</v>
      </c>
      <c r="S907" s="26" t="n">
        <v>0</v>
      </c>
      <c r="T907" s="26" t="n">
        <v>0</v>
      </c>
      <c r="U907" s="26" t="n">
        <v>0</v>
      </c>
    </row>
    <row r="908" customFormat="false" ht="15" hidden="false" customHeight="true" outlineLevel="0" collapsed="false">
      <c r="A908" s="8" t="s">
        <v>944</v>
      </c>
      <c r="B908" s="8" t="s">
        <v>79</v>
      </c>
      <c r="C908" s="8" t="s">
        <v>802</v>
      </c>
      <c r="D908" s="26" t="n">
        <v>0</v>
      </c>
      <c r="E908" s="26" t="n">
        <v>0</v>
      </c>
      <c r="F908" s="26" t="n">
        <v>-3</v>
      </c>
      <c r="G908" s="26" t="n">
        <v>0</v>
      </c>
      <c r="H908" s="26" t="n">
        <v>0</v>
      </c>
      <c r="I908" s="26" t="n">
        <v>-4</v>
      </c>
      <c r="J908" s="26" t="n">
        <v>0</v>
      </c>
      <c r="K908" s="26" t="n">
        <v>0</v>
      </c>
      <c r="L908" s="26" t="n">
        <v>0</v>
      </c>
      <c r="M908" s="26" t="n">
        <v>0</v>
      </c>
      <c r="N908" s="26" t="n">
        <v>0</v>
      </c>
      <c r="O908" s="26" t="n">
        <v>0</v>
      </c>
      <c r="P908" s="26" t="n">
        <v>-2</v>
      </c>
      <c r="Q908" s="26" t="n">
        <v>-2</v>
      </c>
      <c r="R908" s="26" t="n">
        <v>0</v>
      </c>
      <c r="S908" s="26" t="n">
        <v>0</v>
      </c>
      <c r="T908" s="26" t="n">
        <v>0</v>
      </c>
      <c r="U908" s="26" t="n">
        <v>0</v>
      </c>
    </row>
    <row r="909" customFormat="false" ht="15" hidden="false" customHeight="true" outlineLevel="0" collapsed="false">
      <c r="A909" s="8" t="s">
        <v>944</v>
      </c>
      <c r="B909" s="8" t="s">
        <v>337</v>
      </c>
      <c r="C909" s="8" t="s">
        <v>803</v>
      </c>
      <c r="D909" s="26" t="n">
        <v>0</v>
      </c>
      <c r="E909" s="26" t="n">
        <v>0</v>
      </c>
      <c r="F909" s="26" t="n">
        <v>5</v>
      </c>
      <c r="G909" s="26" t="n">
        <v>0</v>
      </c>
      <c r="H909" s="26" t="n">
        <v>0</v>
      </c>
      <c r="I909" s="26" t="n">
        <v>0</v>
      </c>
      <c r="J909" s="26" t="n">
        <v>0</v>
      </c>
      <c r="K909" s="26" t="n">
        <v>0</v>
      </c>
      <c r="L909" s="26" t="n">
        <v>0</v>
      </c>
      <c r="M909" s="26" t="n">
        <v>0</v>
      </c>
      <c r="N909" s="26" t="n">
        <v>0</v>
      </c>
      <c r="O909" s="26" t="n">
        <v>0</v>
      </c>
      <c r="P909" s="26" t="n">
        <v>0</v>
      </c>
      <c r="Q909" s="26" t="n">
        <v>0</v>
      </c>
      <c r="R909" s="26" t="n">
        <v>0</v>
      </c>
      <c r="S909" s="26" t="n">
        <v>0</v>
      </c>
      <c r="T909" s="26" t="n">
        <v>0</v>
      </c>
      <c r="U909" s="26" t="n">
        <v>0</v>
      </c>
    </row>
    <row r="910" customFormat="false" ht="15" hidden="false" customHeight="true" outlineLevel="0" collapsed="false">
      <c r="A910" s="8" t="s">
        <v>944</v>
      </c>
      <c r="B910" s="8" t="s">
        <v>353</v>
      </c>
      <c r="C910" s="8" t="s">
        <v>804</v>
      </c>
      <c r="D910" s="26" t="n">
        <v>0</v>
      </c>
      <c r="E910" s="26" t="n">
        <v>0</v>
      </c>
      <c r="F910" s="26" t="n">
        <v>5</v>
      </c>
      <c r="G910" s="26" t="n">
        <v>0</v>
      </c>
      <c r="H910" s="26" t="n">
        <v>0</v>
      </c>
      <c r="I910" s="26" t="n">
        <v>290</v>
      </c>
      <c r="J910" s="26" t="n">
        <v>0</v>
      </c>
      <c r="K910" s="26" t="n">
        <v>2</v>
      </c>
      <c r="L910" s="26" t="n">
        <v>0</v>
      </c>
      <c r="M910" s="26" t="n">
        <v>0</v>
      </c>
      <c r="N910" s="26" t="n">
        <v>0</v>
      </c>
      <c r="O910" s="26" t="n">
        <v>0</v>
      </c>
      <c r="P910" s="26" t="n">
        <v>-2</v>
      </c>
      <c r="Q910" s="26" t="n">
        <v>263</v>
      </c>
      <c r="R910" s="26" t="n">
        <v>27</v>
      </c>
      <c r="S910" s="26" t="n">
        <v>0</v>
      </c>
      <c r="T910" s="26" t="n">
        <v>5</v>
      </c>
      <c r="U910" s="26" t="n">
        <v>0</v>
      </c>
    </row>
    <row r="911" customFormat="false" ht="15" hidden="false" customHeight="true" outlineLevel="0" collapsed="false">
      <c r="A911" s="8" t="s">
        <v>944</v>
      </c>
      <c r="B911" s="8" t="s">
        <v>349</v>
      </c>
      <c r="C911" s="8" t="s">
        <v>804</v>
      </c>
      <c r="D911" s="26" t="n">
        <v>0</v>
      </c>
      <c r="E911" s="26" t="n">
        <v>0</v>
      </c>
      <c r="F911" s="26" t="n">
        <v>29</v>
      </c>
      <c r="G911" s="26" t="n">
        <v>0</v>
      </c>
      <c r="H911" s="26" t="n">
        <v>0</v>
      </c>
      <c r="I911" s="26" t="n">
        <v>866</v>
      </c>
      <c r="J911" s="26" t="n">
        <v>0</v>
      </c>
      <c r="K911" s="26" t="n">
        <v>2</v>
      </c>
      <c r="L911" s="26" t="n">
        <v>0</v>
      </c>
      <c r="M911" s="26" t="n">
        <v>0</v>
      </c>
      <c r="N911" s="26" t="n">
        <v>0</v>
      </c>
      <c r="O911" s="26" t="n">
        <v>0</v>
      </c>
      <c r="P911" s="26" t="n">
        <v>-5</v>
      </c>
      <c r="Q911" s="26" t="n">
        <v>807</v>
      </c>
      <c r="R911" s="26" t="n">
        <v>62</v>
      </c>
      <c r="S911" s="26" t="n">
        <v>0</v>
      </c>
      <c r="T911" s="26" t="n">
        <v>30</v>
      </c>
      <c r="U911" s="26" t="n">
        <v>-2</v>
      </c>
    </row>
    <row r="912" customFormat="false" ht="15" hidden="false" customHeight="true" outlineLevel="0" collapsed="false">
      <c r="A912" s="8" t="s">
        <v>944</v>
      </c>
      <c r="B912" s="8" t="s">
        <v>231</v>
      </c>
      <c r="C912" s="8" t="s">
        <v>804</v>
      </c>
      <c r="D912" s="26" t="n">
        <v>0</v>
      </c>
      <c r="E912" s="26" t="n">
        <v>0</v>
      </c>
      <c r="F912" s="26" t="n">
        <v>43</v>
      </c>
      <c r="G912" s="26" t="n">
        <v>0</v>
      </c>
      <c r="H912" s="26" t="n">
        <v>0</v>
      </c>
      <c r="I912" s="26" t="n">
        <v>1326</v>
      </c>
      <c r="J912" s="26" t="n">
        <v>0</v>
      </c>
      <c r="K912" s="26" t="n">
        <v>15</v>
      </c>
      <c r="L912" s="26" t="n">
        <v>0</v>
      </c>
      <c r="M912" s="26" t="n">
        <v>0</v>
      </c>
      <c r="N912" s="26" t="n">
        <v>0</v>
      </c>
      <c r="O912" s="26" t="n">
        <v>0</v>
      </c>
      <c r="P912" s="26" t="n">
        <v>-5</v>
      </c>
      <c r="Q912" s="26" t="n">
        <v>1180</v>
      </c>
      <c r="R912" s="26" t="n">
        <v>136</v>
      </c>
      <c r="S912" s="26" t="n">
        <v>0</v>
      </c>
      <c r="T912" s="26" t="n">
        <v>102</v>
      </c>
      <c r="U912" s="26" t="n">
        <v>0</v>
      </c>
    </row>
    <row r="913" customFormat="false" ht="15" hidden="false" customHeight="true" outlineLevel="0" collapsed="false">
      <c r="A913" s="8" t="s">
        <v>944</v>
      </c>
      <c r="B913" s="8" t="s">
        <v>173</v>
      </c>
      <c r="C913" s="8" t="s">
        <v>805</v>
      </c>
      <c r="D913" s="26" t="n">
        <v>0</v>
      </c>
      <c r="E913" s="26" t="n">
        <v>0</v>
      </c>
      <c r="F913" s="26" t="n">
        <v>37</v>
      </c>
      <c r="G913" s="26" t="n">
        <v>0</v>
      </c>
      <c r="H913" s="26" t="n">
        <v>0</v>
      </c>
      <c r="I913" s="26" t="n">
        <v>1002</v>
      </c>
      <c r="J913" s="26" t="n">
        <v>0</v>
      </c>
      <c r="K913" s="26" t="n">
        <v>3</v>
      </c>
      <c r="L913" s="26" t="n">
        <v>0</v>
      </c>
      <c r="M913" s="26" t="n">
        <v>0</v>
      </c>
      <c r="N913" s="26" t="n">
        <v>0</v>
      </c>
      <c r="O913" s="26" t="n">
        <v>0</v>
      </c>
      <c r="P913" s="26" t="n">
        <v>-3</v>
      </c>
      <c r="Q913" s="26" t="n">
        <v>892</v>
      </c>
      <c r="R913" s="26" t="n">
        <v>110</v>
      </c>
      <c r="S913" s="26" t="n">
        <v>0</v>
      </c>
      <c r="T913" s="26" t="n">
        <v>54</v>
      </c>
      <c r="U913" s="26" t="n">
        <v>-2</v>
      </c>
    </row>
    <row r="914" customFormat="false" ht="15" hidden="false" customHeight="true" outlineLevel="0" collapsed="false">
      <c r="A914" s="8" t="s">
        <v>944</v>
      </c>
      <c r="B914" s="8" t="s">
        <v>175</v>
      </c>
      <c r="C914" s="8" t="s">
        <v>805</v>
      </c>
      <c r="D914" s="26" t="n">
        <v>0</v>
      </c>
      <c r="E914" s="26" t="n">
        <v>0</v>
      </c>
      <c r="F914" s="26" t="n">
        <v>22</v>
      </c>
      <c r="G914" s="26" t="n">
        <v>0</v>
      </c>
      <c r="H914" s="26" t="n">
        <v>0</v>
      </c>
      <c r="I914" s="26" t="n">
        <v>141</v>
      </c>
      <c r="J914" s="26" t="n">
        <v>0</v>
      </c>
      <c r="K914" s="26" t="n">
        <v>3</v>
      </c>
      <c r="L914" s="26" t="n">
        <v>0</v>
      </c>
      <c r="M914" s="26" t="n">
        <v>0</v>
      </c>
      <c r="N914" s="26" t="n">
        <v>0</v>
      </c>
      <c r="O914" s="26" t="n">
        <v>0</v>
      </c>
      <c r="P914" s="26" t="n">
        <v>-3</v>
      </c>
      <c r="Q914" s="26" t="n">
        <v>95</v>
      </c>
      <c r="R914" s="26" t="n">
        <v>46</v>
      </c>
      <c r="S914" s="26" t="n">
        <v>0</v>
      </c>
      <c r="T914" s="26" t="n">
        <v>39</v>
      </c>
      <c r="U914" s="26" t="n">
        <v>0</v>
      </c>
    </row>
    <row r="915" customFormat="false" ht="15" hidden="false" customHeight="true" outlineLevel="0" collapsed="false">
      <c r="A915" s="8" t="s">
        <v>944</v>
      </c>
      <c r="B915" s="8" t="s">
        <v>299</v>
      </c>
      <c r="C915" s="8" t="s">
        <v>807</v>
      </c>
      <c r="D915" s="26" t="n">
        <v>0</v>
      </c>
      <c r="E915" s="26" t="n">
        <v>0</v>
      </c>
      <c r="F915" s="26" t="n">
        <v>0</v>
      </c>
      <c r="G915" s="26" t="n">
        <v>0</v>
      </c>
      <c r="H915" s="26" t="n">
        <v>0</v>
      </c>
      <c r="I915" s="26" t="n">
        <v>2</v>
      </c>
      <c r="J915" s="26" t="n">
        <v>0</v>
      </c>
      <c r="K915" s="26" t="n">
        <v>0</v>
      </c>
      <c r="L915" s="26" t="n">
        <v>0</v>
      </c>
      <c r="M915" s="26" t="n">
        <v>0</v>
      </c>
      <c r="N915" s="26" t="n">
        <v>0</v>
      </c>
      <c r="O915" s="26" t="n">
        <v>0</v>
      </c>
      <c r="P915" s="26" t="n">
        <v>0</v>
      </c>
      <c r="Q915" s="26" t="n">
        <v>2</v>
      </c>
      <c r="R915" s="26" t="n">
        <v>0</v>
      </c>
      <c r="S915" s="26" t="n">
        <v>0</v>
      </c>
      <c r="T915" s="26" t="n">
        <v>0</v>
      </c>
      <c r="U915" s="26" t="n">
        <v>0</v>
      </c>
    </row>
    <row r="916" customFormat="false" ht="15" hidden="false" customHeight="true" outlineLevel="0" collapsed="false">
      <c r="A916" s="8" t="s">
        <v>944</v>
      </c>
      <c r="B916" s="8" t="s">
        <v>327</v>
      </c>
      <c r="C916" s="8" t="s">
        <v>807</v>
      </c>
      <c r="D916" s="26" t="n">
        <v>0</v>
      </c>
      <c r="E916" s="26" t="n">
        <v>0</v>
      </c>
      <c r="F916" s="26" t="n">
        <v>0</v>
      </c>
      <c r="G916" s="26" t="n">
        <v>0</v>
      </c>
      <c r="H916" s="26" t="n">
        <v>0</v>
      </c>
      <c r="I916" s="26" t="n">
        <v>1</v>
      </c>
      <c r="J916" s="26" t="n">
        <v>0</v>
      </c>
      <c r="K916" s="26" t="n">
        <v>0</v>
      </c>
      <c r="L916" s="26" t="n">
        <v>0</v>
      </c>
      <c r="M916" s="26" t="n">
        <v>0</v>
      </c>
      <c r="N916" s="26" t="n">
        <v>0</v>
      </c>
      <c r="O916" s="26" t="n">
        <v>0</v>
      </c>
      <c r="P916" s="26" t="n">
        <v>0</v>
      </c>
      <c r="Q916" s="26" t="n">
        <v>1</v>
      </c>
      <c r="R916" s="26" t="n">
        <v>0</v>
      </c>
      <c r="S916" s="26" t="n">
        <v>0</v>
      </c>
      <c r="T916" s="26" t="n">
        <v>0</v>
      </c>
      <c r="U916" s="26" t="n">
        <v>0</v>
      </c>
    </row>
    <row r="917" customFormat="false" ht="15" hidden="false" customHeight="true" outlineLevel="0" collapsed="false">
      <c r="A917" s="8" t="s">
        <v>944</v>
      </c>
      <c r="B917" s="8" t="s">
        <v>303</v>
      </c>
      <c r="C917" s="8" t="s">
        <v>808</v>
      </c>
      <c r="D917" s="26" t="n">
        <v>0</v>
      </c>
      <c r="E917" s="26" t="n">
        <v>0</v>
      </c>
      <c r="F917" s="26" t="n">
        <v>-1</v>
      </c>
      <c r="G917" s="26" t="n">
        <v>0</v>
      </c>
      <c r="H917" s="26" t="n">
        <v>0</v>
      </c>
      <c r="I917" s="26" t="n">
        <v>0</v>
      </c>
      <c r="J917" s="26" t="n">
        <v>0</v>
      </c>
      <c r="K917" s="26" t="n">
        <v>0</v>
      </c>
      <c r="L917" s="26" t="n">
        <v>0</v>
      </c>
      <c r="M917" s="26" t="n">
        <v>0</v>
      </c>
      <c r="N917" s="26" t="n">
        <v>0</v>
      </c>
      <c r="O917" s="26" t="n">
        <v>0</v>
      </c>
      <c r="P917" s="26" t="n">
        <v>0</v>
      </c>
      <c r="Q917" s="26" t="n">
        <v>0</v>
      </c>
      <c r="R917" s="26" t="n">
        <v>0</v>
      </c>
      <c r="S917" s="26" t="n">
        <v>0</v>
      </c>
      <c r="T917" s="26" t="n">
        <v>0</v>
      </c>
      <c r="U917" s="26" t="n">
        <v>0</v>
      </c>
    </row>
    <row r="918" customFormat="false" ht="15" hidden="false" customHeight="true" outlineLevel="0" collapsed="false">
      <c r="A918" s="8" t="s">
        <v>944</v>
      </c>
      <c r="B918" s="8" t="s">
        <v>240</v>
      </c>
      <c r="C918" s="8" t="s">
        <v>809</v>
      </c>
      <c r="D918" s="26" t="n">
        <v>0</v>
      </c>
      <c r="E918" s="26" t="n">
        <v>0</v>
      </c>
      <c r="F918" s="26" t="n">
        <v>5</v>
      </c>
      <c r="G918" s="26" t="n">
        <v>0</v>
      </c>
      <c r="H918" s="26" t="n">
        <v>0</v>
      </c>
      <c r="I918" s="26" t="n">
        <v>0</v>
      </c>
      <c r="J918" s="26" t="n">
        <v>0</v>
      </c>
      <c r="K918" s="26" t="n">
        <v>0</v>
      </c>
      <c r="L918" s="26" t="n">
        <v>0</v>
      </c>
      <c r="M918" s="26" t="n">
        <v>0</v>
      </c>
      <c r="N918" s="26" t="n">
        <v>0</v>
      </c>
      <c r="O918" s="26" t="n">
        <v>0</v>
      </c>
      <c r="P918" s="26" t="n">
        <v>0</v>
      </c>
      <c r="Q918" s="26" t="n">
        <v>0</v>
      </c>
      <c r="R918" s="26" t="n">
        <v>0</v>
      </c>
      <c r="S918" s="26" t="n">
        <v>0</v>
      </c>
      <c r="T918" s="26" t="n">
        <v>0</v>
      </c>
      <c r="U918" s="26" t="n">
        <v>0</v>
      </c>
    </row>
    <row r="919" customFormat="false" ht="15" hidden="false" customHeight="true" outlineLevel="0" collapsed="false">
      <c r="A919" s="8" t="s">
        <v>944</v>
      </c>
      <c r="B919" s="8" t="s">
        <v>324</v>
      </c>
      <c r="C919" s="8" t="s">
        <v>810</v>
      </c>
      <c r="D919" s="26" t="n">
        <v>0</v>
      </c>
      <c r="E919" s="26" t="n">
        <v>0</v>
      </c>
      <c r="F919" s="26" t="n">
        <v>0</v>
      </c>
      <c r="G919" s="26" t="n">
        <v>0</v>
      </c>
      <c r="H919" s="26" t="n">
        <v>0</v>
      </c>
      <c r="I919" s="26" t="n">
        <v>-1</v>
      </c>
      <c r="J919" s="26" t="n">
        <v>0</v>
      </c>
      <c r="K919" s="26" t="n">
        <v>0</v>
      </c>
      <c r="L919" s="26" t="n">
        <v>0</v>
      </c>
      <c r="M919" s="26" t="n">
        <v>0</v>
      </c>
      <c r="N919" s="26" t="n">
        <v>0</v>
      </c>
      <c r="O919" s="26" t="n">
        <v>0</v>
      </c>
      <c r="P919" s="26" t="n">
        <v>0</v>
      </c>
      <c r="Q919" s="26" t="n">
        <v>-1</v>
      </c>
      <c r="R919" s="26" t="n">
        <v>0</v>
      </c>
      <c r="S919" s="26" t="n">
        <v>0</v>
      </c>
      <c r="T919" s="26" t="n">
        <v>0</v>
      </c>
      <c r="U919" s="26" t="n">
        <v>0</v>
      </c>
    </row>
    <row r="920" customFormat="false" ht="15" hidden="false" customHeight="true" outlineLevel="0" collapsed="false">
      <c r="A920" s="8" t="s">
        <v>944</v>
      </c>
      <c r="B920" s="8" t="s">
        <v>278</v>
      </c>
      <c r="C920" s="8" t="s">
        <v>966</v>
      </c>
      <c r="D920" s="26" t="n">
        <v>0</v>
      </c>
      <c r="E920" s="26" t="n">
        <v>0</v>
      </c>
      <c r="F920" s="26" t="n">
        <v>-2</v>
      </c>
      <c r="G920" s="26" t="n">
        <v>0</v>
      </c>
      <c r="H920" s="26" t="n">
        <v>0</v>
      </c>
      <c r="I920" s="26" t="n">
        <v>0</v>
      </c>
      <c r="J920" s="26" t="n">
        <v>0</v>
      </c>
      <c r="K920" s="26" t="n">
        <v>0</v>
      </c>
      <c r="L920" s="26" t="n">
        <v>0</v>
      </c>
      <c r="M920" s="26" t="n">
        <v>0</v>
      </c>
      <c r="N920" s="26" t="n">
        <v>0</v>
      </c>
      <c r="O920" s="26" t="n">
        <v>0</v>
      </c>
      <c r="P920" s="26" t="n">
        <v>0</v>
      </c>
      <c r="Q920" s="26" t="n">
        <v>0</v>
      </c>
      <c r="R920" s="26" t="n">
        <v>0</v>
      </c>
      <c r="S920" s="26" t="n">
        <v>0</v>
      </c>
      <c r="T920" s="26" t="n">
        <v>0</v>
      </c>
      <c r="U920" s="26" t="n">
        <v>0</v>
      </c>
    </row>
    <row r="921" customFormat="false" ht="15" hidden="false" customHeight="true" outlineLevel="0" collapsed="false">
      <c r="A921" s="8" t="s">
        <v>944</v>
      </c>
      <c r="B921" s="8" t="s">
        <v>323</v>
      </c>
      <c r="C921" s="8" t="s">
        <v>809</v>
      </c>
      <c r="D921" s="26" t="n">
        <v>0</v>
      </c>
      <c r="E921" s="26" t="n">
        <v>0</v>
      </c>
      <c r="F921" s="26" t="n">
        <v>2</v>
      </c>
      <c r="G921" s="26" t="n">
        <v>0</v>
      </c>
      <c r="H921" s="26" t="n">
        <v>0</v>
      </c>
      <c r="I921" s="26" t="n">
        <v>0</v>
      </c>
      <c r="J921" s="26" t="n">
        <v>0</v>
      </c>
      <c r="K921" s="26" t="n">
        <v>0</v>
      </c>
      <c r="L921" s="26" t="n">
        <v>0</v>
      </c>
      <c r="M921" s="26" t="n">
        <v>0</v>
      </c>
      <c r="N921" s="26" t="n">
        <v>0</v>
      </c>
      <c r="O921" s="26" t="n">
        <v>0</v>
      </c>
      <c r="P921" s="26" t="n">
        <v>0</v>
      </c>
      <c r="Q921" s="26" t="n">
        <v>0</v>
      </c>
      <c r="R921" s="26" t="n">
        <v>0</v>
      </c>
      <c r="S921" s="26" t="n">
        <v>0</v>
      </c>
      <c r="T921" s="26" t="n">
        <v>0</v>
      </c>
      <c r="U921" s="26" t="n">
        <v>0</v>
      </c>
    </row>
    <row r="922" customFormat="false" ht="15" hidden="false" customHeight="true" outlineLevel="0" collapsed="false">
      <c r="A922" s="8" t="s">
        <v>944</v>
      </c>
      <c r="B922" s="8" t="s">
        <v>176</v>
      </c>
      <c r="C922" s="8" t="s">
        <v>811</v>
      </c>
      <c r="D922" s="26" t="n">
        <v>0</v>
      </c>
      <c r="E922" s="26" t="n">
        <v>0</v>
      </c>
      <c r="F922" s="26" t="n">
        <v>17</v>
      </c>
      <c r="G922" s="26" t="n">
        <v>0</v>
      </c>
      <c r="H922" s="26" t="n">
        <v>0</v>
      </c>
      <c r="I922" s="26" t="n">
        <v>40</v>
      </c>
      <c r="J922" s="26" t="n">
        <v>0</v>
      </c>
      <c r="K922" s="26" t="n">
        <v>0</v>
      </c>
      <c r="L922" s="26" t="n">
        <v>0</v>
      </c>
      <c r="M922" s="26" t="n">
        <v>0</v>
      </c>
      <c r="N922" s="26" t="n">
        <v>0</v>
      </c>
      <c r="O922" s="26" t="n">
        <v>0</v>
      </c>
      <c r="P922" s="26" t="n">
        <v>-1</v>
      </c>
      <c r="Q922" s="26" t="n">
        <v>30</v>
      </c>
      <c r="R922" s="26" t="n">
        <v>11</v>
      </c>
      <c r="S922" s="26" t="n">
        <v>0</v>
      </c>
      <c r="T922" s="26" t="n">
        <v>31</v>
      </c>
      <c r="U922" s="26" t="n">
        <v>0</v>
      </c>
    </row>
    <row r="923" customFormat="false" ht="15" hidden="false" customHeight="true" outlineLevel="0" collapsed="false">
      <c r="A923" s="8" t="s">
        <v>944</v>
      </c>
      <c r="B923" s="8" t="s">
        <v>176</v>
      </c>
      <c r="C923" s="8" t="s">
        <v>812</v>
      </c>
      <c r="D923" s="26" t="n">
        <v>0</v>
      </c>
      <c r="E923" s="26" t="n">
        <v>0</v>
      </c>
      <c r="F923" s="26" t="n">
        <v>10</v>
      </c>
      <c r="G923" s="26" t="n">
        <v>0</v>
      </c>
      <c r="H923" s="26" t="n">
        <v>0</v>
      </c>
      <c r="I923" s="26" t="n">
        <v>26</v>
      </c>
      <c r="J923" s="26" t="n">
        <v>0</v>
      </c>
      <c r="K923" s="26" t="n">
        <v>0</v>
      </c>
      <c r="L923" s="26" t="n">
        <v>0</v>
      </c>
      <c r="M923" s="26" t="n">
        <v>0</v>
      </c>
      <c r="N923" s="26" t="n">
        <v>2</v>
      </c>
      <c r="O923" s="26" t="n">
        <v>0</v>
      </c>
      <c r="P923" s="26" t="n">
        <v>0</v>
      </c>
      <c r="Q923" s="26" t="n">
        <v>14</v>
      </c>
      <c r="R923" s="26" t="n">
        <v>10</v>
      </c>
      <c r="S923" s="26" t="n">
        <v>0</v>
      </c>
      <c r="T923" s="26" t="n">
        <v>17</v>
      </c>
      <c r="U923" s="26" t="n">
        <v>0</v>
      </c>
    </row>
    <row r="924" customFormat="false" ht="15" hidden="false" customHeight="true" outlineLevel="0" collapsed="false">
      <c r="A924" s="8" t="s">
        <v>944</v>
      </c>
      <c r="B924" s="8" t="s">
        <v>176</v>
      </c>
      <c r="C924" s="8" t="s">
        <v>813</v>
      </c>
      <c r="D924" s="26" t="n">
        <v>0</v>
      </c>
      <c r="E924" s="26" t="n">
        <v>0</v>
      </c>
      <c r="F924" s="26" t="n">
        <v>4</v>
      </c>
      <c r="G924" s="26" t="n">
        <v>0</v>
      </c>
      <c r="H924" s="26" t="n">
        <v>0</v>
      </c>
      <c r="I924" s="26" t="n">
        <v>0</v>
      </c>
      <c r="J924" s="26" t="n">
        <v>0</v>
      </c>
      <c r="K924" s="26" t="n">
        <v>0</v>
      </c>
      <c r="L924" s="26" t="n">
        <v>0</v>
      </c>
      <c r="M924" s="26" t="n">
        <v>0</v>
      </c>
      <c r="N924" s="26" t="n">
        <v>0</v>
      </c>
      <c r="O924" s="26" t="n">
        <v>0</v>
      </c>
      <c r="P924" s="26" t="n">
        <v>0</v>
      </c>
      <c r="Q924" s="26" t="n">
        <v>0</v>
      </c>
      <c r="R924" s="26" t="n">
        <v>0</v>
      </c>
      <c r="S924" s="26" t="n">
        <v>0</v>
      </c>
      <c r="T924" s="26" t="n">
        <v>2</v>
      </c>
      <c r="U924" s="26" t="n">
        <v>0</v>
      </c>
    </row>
    <row r="925" customFormat="false" ht="15" hidden="false" customHeight="true" outlineLevel="0" collapsed="false">
      <c r="A925" s="8" t="s">
        <v>944</v>
      </c>
      <c r="B925" s="8" t="s">
        <v>297</v>
      </c>
      <c r="C925" s="8" t="s">
        <v>815</v>
      </c>
      <c r="D925" s="26" t="n">
        <v>0</v>
      </c>
      <c r="E925" s="26" t="n">
        <v>0</v>
      </c>
      <c r="F925" s="26" t="n">
        <v>1</v>
      </c>
      <c r="G925" s="26" t="n">
        <v>0</v>
      </c>
      <c r="H925" s="26" t="n">
        <v>0</v>
      </c>
      <c r="I925" s="26" t="n">
        <v>-3</v>
      </c>
      <c r="J925" s="26" t="n">
        <v>0</v>
      </c>
      <c r="K925" s="26" t="n">
        <v>0</v>
      </c>
      <c r="L925" s="26" t="n">
        <v>0</v>
      </c>
      <c r="M925" s="26" t="n">
        <v>0</v>
      </c>
      <c r="N925" s="26" t="n">
        <v>0</v>
      </c>
      <c r="O925" s="26" t="n">
        <v>0</v>
      </c>
      <c r="P925" s="26" t="n">
        <v>-1</v>
      </c>
      <c r="Q925" s="26" t="n">
        <v>-2</v>
      </c>
      <c r="R925" s="26" t="n">
        <v>0</v>
      </c>
      <c r="S925" s="26" t="n">
        <v>0</v>
      </c>
      <c r="T925" s="26" t="n">
        <v>0</v>
      </c>
      <c r="U925" s="26" t="n">
        <v>-1</v>
      </c>
    </row>
    <row r="926" customFormat="false" ht="15" hidden="false" customHeight="true" outlineLevel="0" collapsed="false">
      <c r="A926" s="8" t="s">
        <v>944</v>
      </c>
      <c r="B926" s="8" t="s">
        <v>297</v>
      </c>
      <c r="C926" s="8" t="s">
        <v>816</v>
      </c>
      <c r="D926" s="26" t="n">
        <v>0</v>
      </c>
      <c r="E926" s="26" t="n">
        <v>0</v>
      </c>
      <c r="F926" s="26" t="n">
        <v>1</v>
      </c>
      <c r="G926" s="26" t="n">
        <v>0</v>
      </c>
      <c r="H926" s="26" t="n">
        <v>0</v>
      </c>
      <c r="I926" s="26" t="n">
        <v>-17</v>
      </c>
      <c r="J926" s="26" t="n">
        <v>0</v>
      </c>
      <c r="K926" s="26" t="n">
        <v>0</v>
      </c>
      <c r="L926" s="26" t="n">
        <v>0</v>
      </c>
      <c r="M926" s="26" t="n">
        <v>0</v>
      </c>
      <c r="N926" s="26" t="n">
        <v>0</v>
      </c>
      <c r="O926" s="26" t="n">
        <v>0</v>
      </c>
      <c r="P926" s="26" t="n">
        <v>-3</v>
      </c>
      <c r="Q926" s="26" t="n">
        <v>-14</v>
      </c>
      <c r="R926" s="26" t="n">
        <v>0</v>
      </c>
      <c r="S926" s="26" t="n">
        <v>0</v>
      </c>
      <c r="T926" s="26" t="n">
        <v>0</v>
      </c>
      <c r="U926" s="26" t="n">
        <v>0</v>
      </c>
    </row>
    <row r="927" customFormat="false" ht="15" hidden="false" customHeight="true" outlineLevel="0" collapsed="false">
      <c r="A927" s="8" t="s">
        <v>944</v>
      </c>
      <c r="B927" s="8" t="s">
        <v>297</v>
      </c>
      <c r="C927" s="8" t="s">
        <v>817</v>
      </c>
      <c r="D927" s="26" t="n">
        <v>0</v>
      </c>
      <c r="E927" s="26" t="n">
        <v>0</v>
      </c>
      <c r="F927" s="26" t="n">
        <v>0</v>
      </c>
      <c r="G927" s="26" t="n">
        <v>0</v>
      </c>
      <c r="H927" s="26" t="n">
        <v>0</v>
      </c>
      <c r="I927" s="26" t="n">
        <v>-2</v>
      </c>
      <c r="J927" s="26" t="n">
        <v>0</v>
      </c>
      <c r="K927" s="26" t="n">
        <v>0</v>
      </c>
      <c r="L927" s="26" t="n">
        <v>0</v>
      </c>
      <c r="M927" s="26" t="n">
        <v>0</v>
      </c>
      <c r="N927" s="26" t="n">
        <v>0</v>
      </c>
      <c r="O927" s="26" t="n">
        <v>0</v>
      </c>
      <c r="P927" s="26" t="n">
        <v>-1</v>
      </c>
      <c r="Q927" s="26" t="n">
        <v>-1</v>
      </c>
      <c r="R927" s="26" t="n">
        <v>0</v>
      </c>
      <c r="S927" s="26" t="n">
        <v>0</v>
      </c>
      <c r="T927" s="26" t="n">
        <v>0</v>
      </c>
      <c r="U927" s="26" t="n">
        <v>0</v>
      </c>
    </row>
    <row r="928" customFormat="false" ht="15" hidden="false" customHeight="true" outlineLevel="0" collapsed="false">
      <c r="A928" s="8" t="s">
        <v>944</v>
      </c>
      <c r="B928" s="8" t="s">
        <v>383</v>
      </c>
      <c r="C928" s="8" t="s">
        <v>967</v>
      </c>
      <c r="D928" s="26" t="n">
        <v>0</v>
      </c>
      <c r="E928" s="26" t="n">
        <v>0</v>
      </c>
      <c r="F928" s="26" t="n">
        <v>0</v>
      </c>
      <c r="G928" s="26" t="n">
        <v>0</v>
      </c>
      <c r="H928" s="26" t="n">
        <v>0</v>
      </c>
      <c r="I928" s="26" t="n">
        <v>-1</v>
      </c>
      <c r="J928" s="26" t="n">
        <v>0</v>
      </c>
      <c r="K928" s="26" t="n">
        <v>0</v>
      </c>
      <c r="L928" s="26" t="n">
        <v>0</v>
      </c>
      <c r="M928" s="26" t="n">
        <v>0</v>
      </c>
      <c r="N928" s="26" t="n">
        <v>0</v>
      </c>
      <c r="O928" s="26" t="n">
        <v>0</v>
      </c>
      <c r="P928" s="26" t="n">
        <v>0</v>
      </c>
      <c r="Q928" s="26" t="n">
        <v>-1</v>
      </c>
      <c r="R928" s="26" t="n">
        <v>0</v>
      </c>
      <c r="S928" s="26" t="n">
        <v>0</v>
      </c>
      <c r="T928" s="26" t="n">
        <v>0</v>
      </c>
      <c r="U928" s="26" t="n">
        <v>0</v>
      </c>
    </row>
    <row r="929" customFormat="false" ht="15" hidden="false" customHeight="true" outlineLevel="0" collapsed="false">
      <c r="A929" s="8" t="s">
        <v>944</v>
      </c>
      <c r="B929" s="8" t="s">
        <v>172</v>
      </c>
      <c r="C929" s="8" t="s">
        <v>818</v>
      </c>
      <c r="D929" s="26" t="n">
        <v>0</v>
      </c>
      <c r="E929" s="26" t="n">
        <v>0</v>
      </c>
      <c r="F929" s="26" t="n">
        <v>3</v>
      </c>
      <c r="G929" s="26" t="n">
        <v>0</v>
      </c>
      <c r="H929" s="26" t="n">
        <v>0</v>
      </c>
      <c r="I929" s="26" t="n">
        <v>0</v>
      </c>
      <c r="J929" s="26" t="n">
        <v>0</v>
      </c>
      <c r="K929" s="26" t="n">
        <v>0</v>
      </c>
      <c r="L929" s="26" t="n">
        <v>0</v>
      </c>
      <c r="M929" s="26" t="n">
        <v>0</v>
      </c>
      <c r="N929" s="26" t="n">
        <v>0</v>
      </c>
      <c r="O929" s="26" t="n">
        <v>0</v>
      </c>
      <c r="P929" s="26" t="n">
        <v>0</v>
      </c>
      <c r="Q929" s="26" t="n">
        <v>0</v>
      </c>
      <c r="R929" s="26" t="n">
        <v>0</v>
      </c>
      <c r="S929" s="26" t="n">
        <v>0</v>
      </c>
      <c r="T929" s="26" t="n">
        <v>0</v>
      </c>
      <c r="U929" s="26" t="n">
        <v>0</v>
      </c>
    </row>
    <row r="930" customFormat="false" ht="15" hidden="false" customHeight="true" outlineLevel="0" collapsed="false">
      <c r="A930" s="8" t="s">
        <v>944</v>
      </c>
      <c r="B930" s="8" t="s">
        <v>354</v>
      </c>
      <c r="C930" s="8" t="s">
        <v>819</v>
      </c>
      <c r="D930" s="26" t="n">
        <v>0</v>
      </c>
      <c r="E930" s="26" t="n">
        <v>0</v>
      </c>
      <c r="F930" s="26" t="n">
        <v>5</v>
      </c>
      <c r="G930" s="26" t="n">
        <v>0</v>
      </c>
      <c r="H930" s="26" t="n">
        <v>0</v>
      </c>
      <c r="I930" s="26" t="n">
        <v>3</v>
      </c>
      <c r="J930" s="26" t="n">
        <v>0</v>
      </c>
      <c r="K930" s="26" t="n">
        <v>0</v>
      </c>
      <c r="L930" s="26" t="n">
        <v>0</v>
      </c>
      <c r="M930" s="26" t="n">
        <v>0</v>
      </c>
      <c r="N930" s="26" t="n">
        <v>3</v>
      </c>
      <c r="O930" s="26" t="n">
        <v>0</v>
      </c>
      <c r="P930" s="26" t="n">
        <v>0</v>
      </c>
      <c r="Q930" s="26" t="n">
        <v>0</v>
      </c>
      <c r="R930" s="26" t="n">
        <v>0</v>
      </c>
      <c r="S930" s="26" t="n">
        <v>0</v>
      </c>
      <c r="T930" s="26" t="n">
        <v>0</v>
      </c>
      <c r="U930" s="26" t="n">
        <v>0</v>
      </c>
    </row>
    <row r="931" customFormat="false" ht="15" hidden="false" customHeight="true" outlineLevel="0" collapsed="false">
      <c r="A931" s="8" t="s">
        <v>944</v>
      </c>
      <c r="B931" s="8" t="s">
        <v>248</v>
      </c>
      <c r="C931" s="8" t="s">
        <v>819</v>
      </c>
      <c r="D931" s="26" t="n">
        <v>0</v>
      </c>
      <c r="E931" s="26" t="n">
        <v>0</v>
      </c>
      <c r="F931" s="26" t="n">
        <v>56</v>
      </c>
      <c r="G931" s="26" t="n">
        <v>0</v>
      </c>
      <c r="H931" s="26" t="n">
        <v>0</v>
      </c>
      <c r="I931" s="26" t="n">
        <v>189</v>
      </c>
      <c r="J931" s="26" t="n">
        <v>0</v>
      </c>
      <c r="K931" s="26" t="n">
        <v>11</v>
      </c>
      <c r="L931" s="26" t="n">
        <v>0</v>
      </c>
      <c r="M931" s="26" t="n">
        <v>0</v>
      </c>
      <c r="N931" s="26" t="n">
        <v>0</v>
      </c>
      <c r="O931" s="26" t="n">
        <v>0</v>
      </c>
      <c r="P931" s="26" t="n">
        <v>-1</v>
      </c>
      <c r="Q931" s="26" t="n">
        <v>0</v>
      </c>
      <c r="R931" s="26" t="n">
        <v>179</v>
      </c>
      <c r="S931" s="26" t="n">
        <v>0</v>
      </c>
      <c r="T931" s="26" t="n">
        <v>0</v>
      </c>
      <c r="U931" s="26" t="n">
        <v>0</v>
      </c>
    </row>
    <row r="932" customFormat="false" ht="15" hidden="false" customHeight="true" outlineLevel="0" collapsed="false">
      <c r="A932" s="8" t="s">
        <v>944</v>
      </c>
      <c r="B932" s="8" t="s">
        <v>356</v>
      </c>
      <c r="C932" s="8" t="s">
        <v>819</v>
      </c>
      <c r="D932" s="26" t="n">
        <v>0</v>
      </c>
      <c r="E932" s="26" t="n">
        <v>0</v>
      </c>
      <c r="F932" s="26" t="n">
        <v>35</v>
      </c>
      <c r="G932" s="26" t="n">
        <v>0</v>
      </c>
      <c r="H932" s="26" t="n">
        <v>0</v>
      </c>
      <c r="I932" s="26" t="n">
        <v>0</v>
      </c>
      <c r="J932" s="26" t="n">
        <v>0</v>
      </c>
      <c r="K932" s="26" t="n">
        <v>0</v>
      </c>
      <c r="L932" s="26" t="n">
        <v>0</v>
      </c>
      <c r="M932" s="26" t="n">
        <v>0</v>
      </c>
      <c r="N932" s="26" t="n">
        <v>0</v>
      </c>
      <c r="O932" s="26" t="n">
        <v>0</v>
      </c>
      <c r="P932" s="26" t="n">
        <v>0</v>
      </c>
      <c r="Q932" s="26" t="n">
        <v>0</v>
      </c>
      <c r="R932" s="26" t="n">
        <v>0</v>
      </c>
      <c r="S932" s="26" t="n">
        <v>0</v>
      </c>
      <c r="T932" s="26" t="n">
        <v>0</v>
      </c>
      <c r="U932" s="26" t="n">
        <v>0</v>
      </c>
    </row>
    <row r="933" customFormat="false" ht="15" hidden="false" customHeight="true" outlineLevel="0" collapsed="false">
      <c r="A933" s="8" t="s">
        <v>944</v>
      </c>
      <c r="B933" s="8" t="s">
        <v>269</v>
      </c>
      <c r="C933" s="8" t="s">
        <v>819</v>
      </c>
      <c r="D933" s="26" t="n">
        <v>0</v>
      </c>
      <c r="E933" s="26" t="n">
        <v>0</v>
      </c>
      <c r="F933" s="26" t="n">
        <v>26</v>
      </c>
      <c r="G933" s="26" t="n">
        <v>0</v>
      </c>
      <c r="H933" s="26" t="n">
        <v>0</v>
      </c>
      <c r="I933" s="26" t="n">
        <v>168</v>
      </c>
      <c r="J933" s="26" t="n">
        <v>0</v>
      </c>
      <c r="K933" s="26" t="n">
        <v>18</v>
      </c>
      <c r="L933" s="26" t="n">
        <v>0</v>
      </c>
      <c r="M933" s="26" t="n">
        <v>0</v>
      </c>
      <c r="N933" s="26" t="n">
        <v>0</v>
      </c>
      <c r="O933" s="26" t="n">
        <v>0</v>
      </c>
      <c r="P933" s="26" t="n">
        <v>0</v>
      </c>
      <c r="Q933" s="26" t="n">
        <v>0</v>
      </c>
      <c r="R933" s="26" t="n">
        <v>150</v>
      </c>
      <c r="S933" s="26" t="n">
        <v>0</v>
      </c>
      <c r="T933" s="26" t="n">
        <v>0</v>
      </c>
      <c r="U933" s="26" t="n">
        <v>0</v>
      </c>
    </row>
    <row r="934" customFormat="false" ht="15" hidden="false" customHeight="true" outlineLevel="0" collapsed="false">
      <c r="A934" s="8" t="s">
        <v>944</v>
      </c>
      <c r="B934" s="8" t="s">
        <v>117</v>
      </c>
      <c r="C934" s="8" t="s">
        <v>820</v>
      </c>
      <c r="D934" s="26" t="n">
        <v>0</v>
      </c>
      <c r="E934" s="26" t="n">
        <v>0</v>
      </c>
      <c r="F934" s="26" t="n">
        <v>60</v>
      </c>
      <c r="G934" s="26" t="n">
        <v>0</v>
      </c>
      <c r="H934" s="26" t="n">
        <v>0</v>
      </c>
      <c r="I934" s="26" t="n">
        <v>563</v>
      </c>
      <c r="J934" s="26" t="n">
        <v>0</v>
      </c>
      <c r="K934" s="26" t="n">
        <v>17</v>
      </c>
      <c r="L934" s="26" t="n">
        <v>0</v>
      </c>
      <c r="M934" s="26" t="n">
        <v>0</v>
      </c>
      <c r="N934" s="26" t="n">
        <v>3</v>
      </c>
      <c r="O934" s="26" t="n">
        <v>0</v>
      </c>
      <c r="P934" s="26" t="n">
        <v>-2</v>
      </c>
      <c r="Q934" s="26" t="n">
        <v>387</v>
      </c>
      <c r="R934" s="26" t="n">
        <v>158</v>
      </c>
      <c r="S934" s="26" t="n">
        <v>0</v>
      </c>
      <c r="T934" s="26" t="n">
        <v>31</v>
      </c>
      <c r="U934" s="26" t="n">
        <v>0</v>
      </c>
    </row>
    <row r="935" customFormat="false" ht="15" hidden="false" customHeight="true" outlineLevel="0" collapsed="false">
      <c r="A935" s="8" t="s">
        <v>944</v>
      </c>
      <c r="B935" s="8" t="s">
        <v>107</v>
      </c>
      <c r="C935" s="8" t="s">
        <v>820</v>
      </c>
      <c r="D935" s="26" t="n">
        <v>0</v>
      </c>
      <c r="E935" s="26" t="n">
        <v>0</v>
      </c>
      <c r="F935" s="26" t="n">
        <v>117</v>
      </c>
      <c r="G935" s="26" t="n">
        <v>0</v>
      </c>
      <c r="H935" s="26" t="n">
        <v>0</v>
      </c>
      <c r="I935" s="26" t="n">
        <v>711</v>
      </c>
      <c r="J935" s="26" t="n">
        <v>0</v>
      </c>
      <c r="K935" s="26" t="n">
        <v>0</v>
      </c>
      <c r="L935" s="26" t="n">
        <v>0</v>
      </c>
      <c r="M935" s="26" t="n">
        <v>0</v>
      </c>
      <c r="N935" s="26" t="n">
        <v>0</v>
      </c>
      <c r="O935" s="26" t="n">
        <v>0</v>
      </c>
      <c r="P935" s="26" t="n">
        <v>0</v>
      </c>
      <c r="Q935" s="26" t="n">
        <v>711</v>
      </c>
      <c r="R935" s="26" t="n">
        <v>0</v>
      </c>
      <c r="S935" s="26" t="n">
        <v>0</v>
      </c>
      <c r="T935" s="26" t="n">
        <v>35</v>
      </c>
      <c r="U935" s="26" t="n">
        <v>0</v>
      </c>
    </row>
    <row r="936" customFormat="false" ht="15" hidden="false" customHeight="true" outlineLevel="0" collapsed="false">
      <c r="A936" s="8" t="s">
        <v>944</v>
      </c>
      <c r="B936" s="8" t="s">
        <v>118</v>
      </c>
      <c r="C936" s="8" t="s">
        <v>820</v>
      </c>
      <c r="D936" s="26" t="n">
        <v>0</v>
      </c>
      <c r="E936" s="26" t="n">
        <v>0</v>
      </c>
      <c r="F936" s="26" t="n">
        <v>278</v>
      </c>
      <c r="G936" s="26" t="n">
        <v>0</v>
      </c>
      <c r="H936" s="26" t="n">
        <v>0</v>
      </c>
      <c r="I936" s="26" t="n">
        <v>779</v>
      </c>
      <c r="J936" s="26" t="n">
        <v>0</v>
      </c>
      <c r="K936" s="26" t="n">
        <v>0</v>
      </c>
      <c r="L936" s="26" t="n">
        <v>0</v>
      </c>
      <c r="M936" s="26" t="n">
        <v>0</v>
      </c>
      <c r="N936" s="26" t="n">
        <v>0</v>
      </c>
      <c r="O936" s="26" t="n">
        <v>0</v>
      </c>
      <c r="P936" s="26" t="n">
        <v>0</v>
      </c>
      <c r="Q936" s="26" t="n">
        <v>779</v>
      </c>
      <c r="R936" s="26" t="n">
        <v>0</v>
      </c>
      <c r="S936" s="26" t="n">
        <v>0</v>
      </c>
      <c r="T936" s="26" t="n">
        <v>57</v>
      </c>
      <c r="U936" s="26" t="n">
        <v>0</v>
      </c>
    </row>
    <row r="937" customFormat="false" ht="15" hidden="false" customHeight="true" outlineLevel="0" collapsed="false">
      <c r="A937" s="8" t="s">
        <v>944</v>
      </c>
      <c r="B937" s="8" t="s">
        <v>126</v>
      </c>
      <c r="C937" s="8" t="s">
        <v>820</v>
      </c>
      <c r="D937" s="26" t="n">
        <v>0</v>
      </c>
      <c r="E937" s="26" t="n">
        <v>0</v>
      </c>
      <c r="F937" s="26" t="n">
        <v>180</v>
      </c>
      <c r="G937" s="26" t="n">
        <v>0</v>
      </c>
      <c r="H937" s="26" t="n">
        <v>0</v>
      </c>
      <c r="I937" s="26" t="n">
        <v>704</v>
      </c>
      <c r="J937" s="26" t="n">
        <v>0</v>
      </c>
      <c r="K937" s="26" t="n">
        <v>0</v>
      </c>
      <c r="L937" s="26" t="n">
        <v>0</v>
      </c>
      <c r="M937" s="26" t="n">
        <v>0</v>
      </c>
      <c r="N937" s="26" t="n">
        <v>0</v>
      </c>
      <c r="O937" s="26" t="n">
        <v>0</v>
      </c>
      <c r="P937" s="26" t="n">
        <v>-1</v>
      </c>
      <c r="Q937" s="26" t="n">
        <v>705</v>
      </c>
      <c r="R937" s="26" t="n">
        <v>0</v>
      </c>
      <c r="S937" s="26" t="n">
        <v>0</v>
      </c>
      <c r="T937" s="26" t="n">
        <v>60</v>
      </c>
      <c r="U937" s="26" t="n">
        <v>0</v>
      </c>
    </row>
    <row r="938" customFormat="false" ht="15" hidden="false" customHeight="true" outlineLevel="0" collapsed="false">
      <c r="A938" s="8" t="s">
        <v>944</v>
      </c>
      <c r="B938" s="8" t="s">
        <v>84</v>
      </c>
      <c r="C938" s="8" t="s">
        <v>821</v>
      </c>
      <c r="D938" s="26" t="n">
        <v>0</v>
      </c>
      <c r="E938" s="26" t="n">
        <v>0</v>
      </c>
      <c r="F938" s="26" t="n">
        <v>56</v>
      </c>
      <c r="G938" s="26" t="n">
        <v>0</v>
      </c>
      <c r="H938" s="26" t="n">
        <v>0</v>
      </c>
      <c r="I938" s="26" t="n">
        <v>277</v>
      </c>
      <c r="J938" s="26" t="n">
        <v>0</v>
      </c>
      <c r="K938" s="26" t="n">
        <v>7</v>
      </c>
      <c r="L938" s="26" t="n">
        <v>0</v>
      </c>
      <c r="M938" s="26" t="n">
        <v>0</v>
      </c>
      <c r="N938" s="26" t="n">
        <v>0</v>
      </c>
      <c r="O938" s="26" t="n">
        <v>0</v>
      </c>
      <c r="P938" s="26" t="n">
        <v>-3</v>
      </c>
      <c r="Q938" s="26" t="n">
        <v>216</v>
      </c>
      <c r="R938" s="26" t="n">
        <v>57</v>
      </c>
      <c r="S938" s="26" t="n">
        <v>0</v>
      </c>
      <c r="T938" s="26" t="n">
        <v>38</v>
      </c>
      <c r="U938" s="26" t="n">
        <v>0</v>
      </c>
    </row>
    <row r="939" customFormat="false" ht="15" hidden="false" customHeight="true" outlineLevel="0" collapsed="false">
      <c r="A939" s="8" t="s">
        <v>944</v>
      </c>
      <c r="B939" s="8" t="s">
        <v>81</v>
      </c>
      <c r="C939" s="8" t="s">
        <v>822</v>
      </c>
      <c r="D939" s="26" t="n">
        <v>0</v>
      </c>
      <c r="E939" s="26" t="n">
        <v>0</v>
      </c>
      <c r="F939" s="26" t="n">
        <v>257</v>
      </c>
      <c r="G939" s="26" t="n">
        <v>0</v>
      </c>
      <c r="H939" s="26" t="n">
        <v>0</v>
      </c>
      <c r="I939" s="26" t="n">
        <v>140</v>
      </c>
      <c r="J939" s="26" t="n">
        <v>0</v>
      </c>
      <c r="K939" s="26" t="n">
        <v>28</v>
      </c>
      <c r="L939" s="26" t="n">
        <v>-2</v>
      </c>
      <c r="M939" s="26" t="n">
        <v>-2</v>
      </c>
      <c r="N939" s="26" t="n">
        <v>0</v>
      </c>
      <c r="O939" s="26" t="n">
        <v>8</v>
      </c>
      <c r="P939" s="26" t="n">
        <v>-17</v>
      </c>
      <c r="Q939" s="26" t="n">
        <v>0</v>
      </c>
      <c r="R939" s="26" t="n">
        <v>125</v>
      </c>
      <c r="S939" s="26" t="n">
        <v>0</v>
      </c>
      <c r="T939" s="26" t="n">
        <v>77</v>
      </c>
      <c r="U939" s="26" t="n">
        <v>0</v>
      </c>
    </row>
    <row r="940" customFormat="false" ht="15" hidden="false" customHeight="true" outlineLevel="0" collapsed="false">
      <c r="A940" s="8" t="s">
        <v>944</v>
      </c>
      <c r="B940" s="8" t="s">
        <v>113</v>
      </c>
      <c r="C940" s="8" t="s">
        <v>823</v>
      </c>
      <c r="D940" s="26" t="n">
        <v>0</v>
      </c>
      <c r="E940" s="26" t="n">
        <v>0</v>
      </c>
      <c r="F940" s="26" t="n">
        <v>130</v>
      </c>
      <c r="G940" s="26" t="n">
        <v>0</v>
      </c>
      <c r="H940" s="26" t="n">
        <v>0</v>
      </c>
      <c r="I940" s="26" t="n">
        <v>815</v>
      </c>
      <c r="J940" s="26" t="n">
        <v>0</v>
      </c>
      <c r="K940" s="26" t="n">
        <v>11</v>
      </c>
      <c r="L940" s="26" t="n">
        <v>0</v>
      </c>
      <c r="M940" s="26" t="n">
        <v>0</v>
      </c>
      <c r="N940" s="26" t="n">
        <v>1</v>
      </c>
      <c r="O940" s="26" t="n">
        <v>0</v>
      </c>
      <c r="P940" s="26" t="n">
        <v>-24</v>
      </c>
      <c r="Q940" s="26" t="n">
        <v>687</v>
      </c>
      <c r="R940" s="26" t="n">
        <v>140</v>
      </c>
      <c r="S940" s="26" t="n">
        <v>0</v>
      </c>
      <c r="T940" s="26" t="n">
        <v>0</v>
      </c>
      <c r="U940" s="26" t="n">
        <v>-2</v>
      </c>
    </row>
    <row r="941" customFormat="false" ht="15" hidden="false" customHeight="true" outlineLevel="0" collapsed="false">
      <c r="A941" s="8" t="s">
        <v>944</v>
      </c>
      <c r="B941" s="8" t="s">
        <v>113</v>
      </c>
      <c r="C941" s="8" t="s">
        <v>824</v>
      </c>
      <c r="D941" s="26" t="n">
        <v>0</v>
      </c>
      <c r="E941" s="26" t="n">
        <v>0</v>
      </c>
      <c r="F941" s="26" t="n">
        <v>93</v>
      </c>
      <c r="G941" s="26" t="n">
        <v>0</v>
      </c>
      <c r="H941" s="26" t="n">
        <v>0</v>
      </c>
      <c r="I941" s="26" t="n">
        <v>527</v>
      </c>
      <c r="J941" s="26" t="n">
        <v>0</v>
      </c>
      <c r="K941" s="26" t="n">
        <v>2</v>
      </c>
      <c r="L941" s="26" t="n">
        <v>0</v>
      </c>
      <c r="M941" s="26" t="n">
        <v>0</v>
      </c>
      <c r="N941" s="26" t="n">
        <v>1</v>
      </c>
      <c r="O941" s="26" t="n">
        <v>0</v>
      </c>
      <c r="P941" s="26" t="n">
        <v>-2</v>
      </c>
      <c r="Q941" s="26" t="n">
        <v>450</v>
      </c>
      <c r="R941" s="26" t="n">
        <v>76</v>
      </c>
      <c r="S941" s="26" t="n">
        <v>0</v>
      </c>
      <c r="T941" s="26" t="n">
        <v>0</v>
      </c>
      <c r="U941" s="26" t="n">
        <v>-10</v>
      </c>
    </row>
    <row r="942" customFormat="false" ht="15" hidden="false" customHeight="true" outlineLevel="0" collapsed="false">
      <c r="A942" s="8" t="s">
        <v>944</v>
      </c>
      <c r="B942" s="8" t="s">
        <v>113</v>
      </c>
      <c r="C942" s="8" t="s">
        <v>825</v>
      </c>
      <c r="D942" s="26" t="n">
        <v>0</v>
      </c>
      <c r="E942" s="26" t="n">
        <v>0</v>
      </c>
      <c r="F942" s="26" t="n">
        <v>80</v>
      </c>
      <c r="G942" s="26" t="n">
        <v>0</v>
      </c>
      <c r="H942" s="26" t="n">
        <v>0</v>
      </c>
      <c r="I942" s="26" t="n">
        <v>668</v>
      </c>
      <c r="J942" s="26" t="n">
        <v>0</v>
      </c>
      <c r="K942" s="26" t="n">
        <v>5</v>
      </c>
      <c r="L942" s="26" t="n">
        <v>0</v>
      </c>
      <c r="M942" s="26" t="n">
        <v>0</v>
      </c>
      <c r="N942" s="26" t="n">
        <v>1</v>
      </c>
      <c r="O942" s="26" t="n">
        <v>0</v>
      </c>
      <c r="P942" s="26" t="n">
        <v>-4</v>
      </c>
      <c r="Q942" s="26" t="n">
        <v>579</v>
      </c>
      <c r="R942" s="26" t="n">
        <v>87</v>
      </c>
      <c r="S942" s="26" t="n">
        <v>0</v>
      </c>
      <c r="T942" s="26" t="n">
        <v>0</v>
      </c>
      <c r="U942" s="26" t="n">
        <v>0</v>
      </c>
    </row>
    <row r="943" customFormat="false" ht="15" hidden="false" customHeight="true" outlineLevel="0" collapsed="false">
      <c r="A943" s="8" t="s">
        <v>944</v>
      </c>
      <c r="B943" s="8" t="s">
        <v>113</v>
      </c>
      <c r="C943" s="8" t="s">
        <v>826</v>
      </c>
      <c r="D943" s="26" t="n">
        <v>0</v>
      </c>
      <c r="E943" s="26" t="n">
        <v>0</v>
      </c>
      <c r="F943" s="26" t="n">
        <v>35</v>
      </c>
      <c r="G943" s="26" t="n">
        <v>0</v>
      </c>
      <c r="H943" s="26" t="n">
        <v>0</v>
      </c>
      <c r="I943" s="26" t="n">
        <v>270</v>
      </c>
      <c r="J943" s="26" t="n">
        <v>0</v>
      </c>
      <c r="K943" s="26" t="n">
        <v>0</v>
      </c>
      <c r="L943" s="26" t="n">
        <v>0</v>
      </c>
      <c r="M943" s="26" t="n">
        <v>0</v>
      </c>
      <c r="N943" s="26" t="n">
        <v>0</v>
      </c>
      <c r="O943" s="26" t="n">
        <v>0</v>
      </c>
      <c r="P943" s="26" t="n">
        <v>-2</v>
      </c>
      <c r="Q943" s="26" t="n">
        <v>227</v>
      </c>
      <c r="R943" s="26" t="n">
        <v>45</v>
      </c>
      <c r="S943" s="26" t="n">
        <v>0</v>
      </c>
      <c r="T943" s="26" t="n">
        <v>0</v>
      </c>
      <c r="U943" s="26" t="n">
        <v>0</v>
      </c>
    </row>
    <row r="944" customFormat="false" ht="15" hidden="false" customHeight="true" outlineLevel="0" collapsed="false">
      <c r="A944" s="8" t="s">
        <v>944</v>
      </c>
      <c r="B944" s="8" t="s">
        <v>113</v>
      </c>
      <c r="C944" s="8" t="s">
        <v>827</v>
      </c>
      <c r="D944" s="26" t="n">
        <v>0</v>
      </c>
      <c r="E944" s="26" t="n">
        <v>0</v>
      </c>
      <c r="F944" s="26" t="n">
        <v>10</v>
      </c>
      <c r="G944" s="26" t="n">
        <v>0</v>
      </c>
      <c r="H944" s="26" t="n">
        <v>0</v>
      </c>
      <c r="I944" s="26" t="n">
        <v>44</v>
      </c>
      <c r="J944" s="26" t="n">
        <v>0</v>
      </c>
      <c r="K944" s="26" t="n">
        <v>0</v>
      </c>
      <c r="L944" s="26" t="n">
        <v>0</v>
      </c>
      <c r="M944" s="26" t="n">
        <v>0</v>
      </c>
      <c r="N944" s="26" t="n">
        <v>0</v>
      </c>
      <c r="O944" s="26" t="n">
        <v>0</v>
      </c>
      <c r="P944" s="26" t="n">
        <v>-2</v>
      </c>
      <c r="Q944" s="26" t="n">
        <v>0</v>
      </c>
      <c r="R944" s="26" t="n">
        <v>46</v>
      </c>
      <c r="S944" s="26" t="n">
        <v>0</v>
      </c>
      <c r="T944" s="26" t="n">
        <v>0</v>
      </c>
      <c r="U944" s="26" t="n">
        <v>0</v>
      </c>
    </row>
    <row r="945" customFormat="false" ht="15" hidden="false" customHeight="true" outlineLevel="0" collapsed="false">
      <c r="A945" s="8" t="s">
        <v>944</v>
      </c>
      <c r="B945" s="8" t="s">
        <v>113</v>
      </c>
      <c r="C945" s="8" t="s">
        <v>828</v>
      </c>
      <c r="D945" s="26" t="n">
        <v>0</v>
      </c>
      <c r="E945" s="26" t="n">
        <v>0</v>
      </c>
      <c r="F945" s="26" t="n">
        <v>7</v>
      </c>
      <c r="G945" s="26" t="n">
        <v>0</v>
      </c>
      <c r="H945" s="26" t="n">
        <v>0</v>
      </c>
      <c r="I945" s="26" t="n">
        <v>0</v>
      </c>
      <c r="J945" s="26" t="n">
        <v>0</v>
      </c>
      <c r="K945" s="26" t="n">
        <v>0</v>
      </c>
      <c r="L945" s="26" t="n">
        <v>0</v>
      </c>
      <c r="M945" s="26" t="n">
        <v>0</v>
      </c>
      <c r="N945" s="26" t="n">
        <v>0</v>
      </c>
      <c r="O945" s="26" t="n">
        <v>0</v>
      </c>
      <c r="P945" s="26" t="n">
        <v>0</v>
      </c>
      <c r="Q945" s="26" t="n">
        <v>0</v>
      </c>
      <c r="R945" s="26" t="n">
        <v>0</v>
      </c>
      <c r="S945" s="26" t="n">
        <v>0</v>
      </c>
      <c r="T945" s="26" t="n">
        <v>0</v>
      </c>
      <c r="U945" s="26" t="n">
        <v>0</v>
      </c>
    </row>
    <row r="946" customFormat="false" ht="15" hidden="false" customHeight="true" outlineLevel="0" collapsed="false">
      <c r="A946" s="8" t="s">
        <v>944</v>
      </c>
      <c r="B946" s="8" t="s">
        <v>127</v>
      </c>
      <c r="C946" s="8" t="s">
        <v>829</v>
      </c>
      <c r="D946" s="26" t="n">
        <v>0</v>
      </c>
      <c r="E946" s="26" t="n">
        <v>0</v>
      </c>
      <c r="F946" s="26" t="n">
        <v>177</v>
      </c>
      <c r="G946" s="26" t="n">
        <v>0</v>
      </c>
      <c r="H946" s="26" t="n">
        <v>0</v>
      </c>
      <c r="I946" s="26" t="n">
        <v>1490</v>
      </c>
      <c r="J946" s="26" t="n">
        <v>0</v>
      </c>
      <c r="K946" s="26" t="n">
        <v>22</v>
      </c>
      <c r="L946" s="26" t="n">
        <v>0</v>
      </c>
      <c r="M946" s="26" t="n">
        <v>2</v>
      </c>
      <c r="N946" s="26" t="n">
        <v>0</v>
      </c>
      <c r="O946" s="26" t="n">
        <v>0</v>
      </c>
      <c r="P946" s="26" t="n">
        <v>-2</v>
      </c>
      <c r="Q946" s="26" t="n">
        <v>1418</v>
      </c>
      <c r="R946" s="26" t="n">
        <v>50</v>
      </c>
      <c r="S946" s="26" t="n">
        <v>0</v>
      </c>
      <c r="T946" s="26" t="n">
        <v>81</v>
      </c>
      <c r="U946" s="26" t="n">
        <v>0</v>
      </c>
    </row>
    <row r="947" customFormat="false" ht="15" hidden="false" customHeight="true" outlineLevel="0" collapsed="false">
      <c r="A947" s="8" t="s">
        <v>944</v>
      </c>
      <c r="B947" s="8" t="s">
        <v>306</v>
      </c>
      <c r="C947" s="8" t="s">
        <v>830</v>
      </c>
      <c r="D947" s="26" t="n">
        <v>0</v>
      </c>
      <c r="E947" s="26" t="n">
        <v>0</v>
      </c>
      <c r="F947" s="26" t="n">
        <v>51</v>
      </c>
      <c r="G947" s="26" t="n">
        <v>0</v>
      </c>
      <c r="H947" s="26" t="n">
        <v>0</v>
      </c>
      <c r="I947" s="26" t="n">
        <v>104</v>
      </c>
      <c r="J947" s="26" t="n">
        <v>0</v>
      </c>
      <c r="K947" s="26" t="n">
        <v>3</v>
      </c>
      <c r="L947" s="26" t="n">
        <v>0</v>
      </c>
      <c r="M947" s="26" t="n">
        <v>0</v>
      </c>
      <c r="N947" s="26" t="n">
        <v>3</v>
      </c>
      <c r="O947" s="26" t="n">
        <v>0</v>
      </c>
      <c r="P947" s="26" t="n">
        <v>0</v>
      </c>
      <c r="Q947" s="26" t="n">
        <v>69</v>
      </c>
      <c r="R947" s="26" t="n">
        <v>29</v>
      </c>
      <c r="S947" s="26" t="n">
        <v>0</v>
      </c>
      <c r="T947" s="26" t="n">
        <v>41</v>
      </c>
      <c r="U947" s="26" t="n">
        <v>0</v>
      </c>
    </row>
    <row r="948" customFormat="false" ht="15" hidden="false" customHeight="true" outlineLevel="0" collapsed="false">
      <c r="A948" s="8" t="s">
        <v>944</v>
      </c>
      <c r="B948" s="8" t="s">
        <v>81</v>
      </c>
      <c r="C948" s="8" t="s">
        <v>831</v>
      </c>
      <c r="D948" s="26" t="n">
        <v>0</v>
      </c>
      <c r="E948" s="26" t="n">
        <v>0</v>
      </c>
      <c r="F948" s="26" t="n">
        <v>126</v>
      </c>
      <c r="G948" s="26" t="n">
        <v>0</v>
      </c>
      <c r="H948" s="26" t="n">
        <v>0</v>
      </c>
      <c r="I948" s="26" t="n">
        <v>79</v>
      </c>
      <c r="J948" s="26" t="n">
        <v>0</v>
      </c>
      <c r="K948" s="26" t="n">
        <v>5</v>
      </c>
      <c r="L948" s="26" t="n">
        <v>0</v>
      </c>
      <c r="M948" s="26" t="n">
        <v>-3</v>
      </c>
      <c r="N948" s="26" t="n">
        <v>0</v>
      </c>
      <c r="O948" s="26" t="n">
        <v>4</v>
      </c>
      <c r="P948" s="26" t="n">
        <v>-13</v>
      </c>
      <c r="Q948" s="26" t="n">
        <v>0</v>
      </c>
      <c r="R948" s="26" t="n">
        <v>86</v>
      </c>
      <c r="S948" s="26" t="n">
        <v>0</v>
      </c>
      <c r="T948" s="26" t="n">
        <v>65</v>
      </c>
      <c r="U948" s="26" t="n">
        <v>0</v>
      </c>
    </row>
    <row r="949" customFormat="false" ht="15" hidden="false" customHeight="true" outlineLevel="0" collapsed="false">
      <c r="A949" s="8" t="s">
        <v>944</v>
      </c>
      <c r="B949" s="8" t="s">
        <v>194</v>
      </c>
      <c r="C949" s="8" t="s">
        <v>832</v>
      </c>
      <c r="D949" s="26" t="n">
        <v>0</v>
      </c>
      <c r="E949" s="26" t="n">
        <v>0</v>
      </c>
      <c r="F949" s="26" t="n">
        <v>42</v>
      </c>
      <c r="G949" s="26" t="n">
        <v>0</v>
      </c>
      <c r="H949" s="26" t="n">
        <v>0</v>
      </c>
      <c r="I949" s="26" t="n">
        <v>827</v>
      </c>
      <c r="J949" s="26" t="n">
        <v>0</v>
      </c>
      <c r="K949" s="26" t="n">
        <v>0</v>
      </c>
      <c r="L949" s="26" t="n">
        <v>0</v>
      </c>
      <c r="M949" s="26" t="n">
        <v>0</v>
      </c>
      <c r="N949" s="26" t="n">
        <v>0</v>
      </c>
      <c r="O949" s="26" t="n">
        <v>0</v>
      </c>
      <c r="P949" s="26" t="n">
        <v>0</v>
      </c>
      <c r="Q949" s="26" t="n">
        <v>827</v>
      </c>
      <c r="R949" s="26" t="n">
        <v>0</v>
      </c>
      <c r="S949" s="26" t="n">
        <v>0</v>
      </c>
      <c r="T949" s="26" t="n">
        <v>0</v>
      </c>
      <c r="U949" s="26" t="n">
        <v>0</v>
      </c>
    </row>
    <row r="950" customFormat="false" ht="15" hidden="false" customHeight="true" outlineLevel="0" collapsed="false">
      <c r="A950" s="8" t="s">
        <v>944</v>
      </c>
      <c r="B950" s="8" t="s">
        <v>194</v>
      </c>
      <c r="C950" s="8" t="s">
        <v>833</v>
      </c>
      <c r="D950" s="26" t="n">
        <v>0</v>
      </c>
      <c r="E950" s="26" t="n">
        <v>0</v>
      </c>
      <c r="F950" s="26" t="n">
        <v>98</v>
      </c>
      <c r="G950" s="26" t="n">
        <v>0</v>
      </c>
      <c r="H950" s="26" t="n">
        <v>0</v>
      </c>
      <c r="I950" s="26" t="n">
        <v>2153</v>
      </c>
      <c r="J950" s="26" t="n">
        <v>0</v>
      </c>
      <c r="K950" s="26" t="n">
        <v>0</v>
      </c>
      <c r="L950" s="26" t="n">
        <v>0</v>
      </c>
      <c r="M950" s="26" t="n">
        <v>0</v>
      </c>
      <c r="N950" s="26" t="n">
        <v>0</v>
      </c>
      <c r="O950" s="26" t="n">
        <v>0</v>
      </c>
      <c r="P950" s="26" t="n">
        <v>0</v>
      </c>
      <c r="Q950" s="26" t="n">
        <v>2153</v>
      </c>
      <c r="R950" s="26" t="n">
        <v>0</v>
      </c>
      <c r="S950" s="26" t="n">
        <v>0</v>
      </c>
      <c r="T950" s="26" t="n">
        <v>0</v>
      </c>
      <c r="U950" s="26" t="n">
        <v>0</v>
      </c>
    </row>
    <row r="951" customFormat="false" ht="15" hidden="false" customHeight="true" outlineLevel="0" collapsed="false">
      <c r="A951" s="8" t="s">
        <v>944</v>
      </c>
      <c r="B951" s="8" t="s">
        <v>194</v>
      </c>
      <c r="C951" s="8" t="s">
        <v>834</v>
      </c>
      <c r="D951" s="26" t="n">
        <v>0</v>
      </c>
      <c r="E951" s="26" t="n">
        <v>0</v>
      </c>
      <c r="F951" s="26" t="n">
        <v>120</v>
      </c>
      <c r="G951" s="26" t="n">
        <v>0</v>
      </c>
      <c r="H951" s="26" t="n">
        <v>0</v>
      </c>
      <c r="I951" s="26" t="n">
        <v>2295</v>
      </c>
      <c r="J951" s="26" t="n">
        <v>0</v>
      </c>
      <c r="K951" s="26" t="n">
        <v>0</v>
      </c>
      <c r="L951" s="26" t="n">
        <v>0</v>
      </c>
      <c r="M951" s="26" t="n">
        <v>0</v>
      </c>
      <c r="N951" s="26" t="n">
        <v>0</v>
      </c>
      <c r="O951" s="26" t="n">
        <v>0</v>
      </c>
      <c r="P951" s="26" t="n">
        <v>0</v>
      </c>
      <c r="Q951" s="26" t="n">
        <v>2295</v>
      </c>
      <c r="R951" s="26" t="n">
        <v>0</v>
      </c>
      <c r="S951" s="26" t="n">
        <v>0</v>
      </c>
      <c r="T951" s="26" t="n">
        <v>0</v>
      </c>
      <c r="U951" s="26" t="n">
        <v>0</v>
      </c>
    </row>
    <row r="952" customFormat="false" ht="15" hidden="false" customHeight="true" outlineLevel="0" collapsed="false">
      <c r="A952" s="8" t="s">
        <v>944</v>
      </c>
      <c r="B952" s="8" t="s">
        <v>194</v>
      </c>
      <c r="C952" s="8" t="s">
        <v>835</v>
      </c>
      <c r="D952" s="26" t="n">
        <v>0</v>
      </c>
      <c r="E952" s="26" t="n">
        <v>0</v>
      </c>
      <c r="F952" s="26" t="n">
        <v>94</v>
      </c>
      <c r="G952" s="26" t="n">
        <v>0</v>
      </c>
      <c r="H952" s="26" t="n">
        <v>0</v>
      </c>
      <c r="I952" s="26" t="n">
        <v>1686</v>
      </c>
      <c r="J952" s="26" t="n">
        <v>0</v>
      </c>
      <c r="K952" s="26" t="n">
        <v>0</v>
      </c>
      <c r="L952" s="26" t="n">
        <v>0</v>
      </c>
      <c r="M952" s="26" t="n">
        <v>0</v>
      </c>
      <c r="N952" s="26" t="n">
        <v>0</v>
      </c>
      <c r="O952" s="26" t="n">
        <v>0</v>
      </c>
      <c r="P952" s="26" t="n">
        <v>0</v>
      </c>
      <c r="Q952" s="26" t="n">
        <v>1686</v>
      </c>
      <c r="R952" s="26" t="n">
        <v>0</v>
      </c>
      <c r="S952" s="26" t="n">
        <v>0</v>
      </c>
      <c r="T952" s="26" t="n">
        <v>0</v>
      </c>
      <c r="U952" s="26" t="n">
        <v>0</v>
      </c>
    </row>
    <row r="953" customFormat="false" ht="15" hidden="false" customHeight="true" outlineLevel="0" collapsed="false">
      <c r="A953" s="8" t="s">
        <v>944</v>
      </c>
      <c r="B953" s="8" t="s">
        <v>194</v>
      </c>
      <c r="C953" s="8" t="s">
        <v>836</v>
      </c>
      <c r="D953" s="26" t="n">
        <v>0</v>
      </c>
      <c r="E953" s="26" t="n">
        <v>0</v>
      </c>
      <c r="F953" s="26" t="n">
        <v>55</v>
      </c>
      <c r="G953" s="26" t="n">
        <v>0</v>
      </c>
      <c r="H953" s="26" t="n">
        <v>0</v>
      </c>
      <c r="I953" s="26" t="n">
        <v>169</v>
      </c>
      <c r="J953" s="26" t="n">
        <v>0</v>
      </c>
      <c r="K953" s="26" t="n">
        <v>0</v>
      </c>
      <c r="L953" s="26" t="n">
        <v>0</v>
      </c>
      <c r="M953" s="26" t="n">
        <v>0</v>
      </c>
      <c r="N953" s="26" t="n">
        <v>0</v>
      </c>
      <c r="O953" s="26" t="n">
        <v>0</v>
      </c>
      <c r="P953" s="26" t="n">
        <v>0</v>
      </c>
      <c r="Q953" s="26" t="n">
        <v>169</v>
      </c>
      <c r="R953" s="26" t="n">
        <v>0</v>
      </c>
      <c r="S953" s="26" t="n">
        <v>0</v>
      </c>
      <c r="T953" s="26" t="n">
        <v>0</v>
      </c>
      <c r="U953" s="26" t="n">
        <v>0</v>
      </c>
    </row>
    <row r="954" customFormat="false" ht="15" hidden="false" customHeight="true" outlineLevel="0" collapsed="false">
      <c r="A954" s="8" t="s">
        <v>944</v>
      </c>
      <c r="B954" s="8" t="s">
        <v>78</v>
      </c>
      <c r="C954" s="8" t="s">
        <v>837</v>
      </c>
      <c r="D954" s="26" t="n">
        <v>0</v>
      </c>
      <c r="E954" s="26" t="n">
        <v>0</v>
      </c>
      <c r="F954" s="26" t="n">
        <v>1</v>
      </c>
      <c r="G954" s="26" t="n">
        <v>0</v>
      </c>
      <c r="H954" s="26" t="n">
        <v>0</v>
      </c>
      <c r="I954" s="26" t="n">
        <v>0</v>
      </c>
      <c r="J954" s="26" t="n">
        <v>0</v>
      </c>
      <c r="K954" s="26" t="n">
        <v>0</v>
      </c>
      <c r="L954" s="26" t="n">
        <v>0</v>
      </c>
      <c r="M954" s="26" t="n">
        <v>0</v>
      </c>
      <c r="N954" s="26" t="n">
        <v>0</v>
      </c>
      <c r="O954" s="26" t="n">
        <v>0</v>
      </c>
      <c r="P954" s="26" t="n">
        <v>0</v>
      </c>
      <c r="Q954" s="26" t="n">
        <v>0</v>
      </c>
      <c r="R954" s="26" t="n">
        <v>0</v>
      </c>
      <c r="S954" s="26" t="n">
        <v>0</v>
      </c>
      <c r="T954" s="26" t="n">
        <v>0</v>
      </c>
      <c r="U954" s="26" t="n">
        <v>0</v>
      </c>
    </row>
    <row r="955" customFormat="false" ht="15" hidden="false" customHeight="true" outlineLevel="0" collapsed="false">
      <c r="A955" s="8" t="s">
        <v>944</v>
      </c>
      <c r="B955" s="8" t="s">
        <v>310</v>
      </c>
      <c r="C955" s="8" t="s">
        <v>838</v>
      </c>
      <c r="D955" s="26" t="n">
        <v>0</v>
      </c>
      <c r="E955" s="26" t="n">
        <v>0</v>
      </c>
      <c r="F955" s="26" t="n">
        <v>0</v>
      </c>
      <c r="G955" s="26" t="n">
        <v>0</v>
      </c>
      <c r="H955" s="26" t="n">
        <v>0</v>
      </c>
      <c r="I955" s="26" t="n">
        <v>-1</v>
      </c>
      <c r="J955" s="26" t="n">
        <v>0</v>
      </c>
      <c r="K955" s="26" t="n">
        <v>0</v>
      </c>
      <c r="L955" s="26" t="n">
        <v>0</v>
      </c>
      <c r="M955" s="26" t="n">
        <v>0</v>
      </c>
      <c r="N955" s="26" t="n">
        <v>0</v>
      </c>
      <c r="O955" s="26" t="n">
        <v>0</v>
      </c>
      <c r="P955" s="26" t="n">
        <v>0</v>
      </c>
      <c r="Q955" s="26" t="n">
        <v>-1</v>
      </c>
      <c r="R955" s="26" t="n">
        <v>0</v>
      </c>
      <c r="S955" s="26" t="n">
        <v>0</v>
      </c>
      <c r="T955" s="26" t="n">
        <v>0</v>
      </c>
      <c r="U955" s="26" t="n">
        <v>0</v>
      </c>
    </row>
    <row r="956" customFormat="false" ht="15" hidden="false" customHeight="true" outlineLevel="0" collapsed="false">
      <c r="A956" s="8" t="s">
        <v>944</v>
      </c>
      <c r="B956" s="8" t="s">
        <v>217</v>
      </c>
      <c r="C956" s="8" t="s">
        <v>839</v>
      </c>
      <c r="D956" s="26" t="n">
        <v>0</v>
      </c>
      <c r="E956" s="26" t="n">
        <v>0</v>
      </c>
      <c r="F956" s="26" t="n">
        <v>215</v>
      </c>
      <c r="G956" s="26" t="n">
        <v>0</v>
      </c>
      <c r="H956" s="26" t="n">
        <v>0</v>
      </c>
      <c r="I956" s="26" t="n">
        <v>1904</v>
      </c>
      <c r="J956" s="26" t="n">
        <v>0</v>
      </c>
      <c r="K956" s="26" t="n">
        <v>10</v>
      </c>
      <c r="L956" s="26" t="n">
        <v>0</v>
      </c>
      <c r="M956" s="26" t="n">
        <v>2</v>
      </c>
      <c r="N956" s="26" t="n">
        <v>4</v>
      </c>
      <c r="O956" s="26" t="n">
        <v>0</v>
      </c>
      <c r="P956" s="26" t="n">
        <v>-3</v>
      </c>
      <c r="Q956" s="26" t="n">
        <v>1525</v>
      </c>
      <c r="R956" s="26" t="n">
        <v>366</v>
      </c>
      <c r="S956" s="26" t="n">
        <v>0</v>
      </c>
      <c r="T956" s="26" t="n">
        <v>0</v>
      </c>
      <c r="U956" s="26" t="n">
        <v>0</v>
      </c>
    </row>
    <row r="957" customFormat="false" ht="15" hidden="false" customHeight="true" outlineLevel="0" collapsed="false">
      <c r="A957" s="8" t="s">
        <v>944</v>
      </c>
      <c r="B957" s="8" t="s">
        <v>250</v>
      </c>
      <c r="C957" s="8" t="s">
        <v>839</v>
      </c>
      <c r="D957" s="26" t="n">
        <v>0</v>
      </c>
      <c r="E957" s="26" t="n">
        <v>0</v>
      </c>
      <c r="F957" s="26" t="n">
        <v>348</v>
      </c>
      <c r="G957" s="26" t="n">
        <v>0</v>
      </c>
      <c r="H957" s="26" t="n">
        <v>0</v>
      </c>
      <c r="I957" s="26" t="n">
        <v>2382</v>
      </c>
      <c r="J957" s="26" t="n">
        <v>0</v>
      </c>
      <c r="K957" s="26" t="n">
        <v>30</v>
      </c>
      <c r="L957" s="26" t="n">
        <v>0</v>
      </c>
      <c r="M957" s="26" t="n">
        <v>0</v>
      </c>
      <c r="N957" s="26" t="n">
        <v>4</v>
      </c>
      <c r="O957" s="26" t="n">
        <v>0</v>
      </c>
      <c r="P957" s="26" t="n">
        <v>-5</v>
      </c>
      <c r="Q957" s="26" t="n">
        <v>1845</v>
      </c>
      <c r="R957" s="26" t="n">
        <v>508</v>
      </c>
      <c r="S957" s="26" t="n">
        <v>0</v>
      </c>
      <c r="T957" s="26" t="n">
        <v>0</v>
      </c>
      <c r="U957" s="26" t="n">
        <v>0</v>
      </c>
    </row>
    <row r="958" customFormat="false" ht="15" hidden="false" customHeight="true" outlineLevel="0" collapsed="false">
      <c r="A958" s="8" t="s">
        <v>944</v>
      </c>
      <c r="B958" s="8" t="s">
        <v>193</v>
      </c>
      <c r="C958" s="8" t="s">
        <v>839</v>
      </c>
      <c r="D958" s="26" t="n">
        <v>0</v>
      </c>
      <c r="E958" s="26" t="n">
        <v>0</v>
      </c>
      <c r="F958" s="26" t="n">
        <v>293</v>
      </c>
      <c r="G958" s="26" t="n">
        <v>0</v>
      </c>
      <c r="H958" s="26" t="n">
        <v>0</v>
      </c>
      <c r="I958" s="26" t="n">
        <v>2182</v>
      </c>
      <c r="J958" s="26" t="n">
        <v>0</v>
      </c>
      <c r="K958" s="26" t="n">
        <v>31</v>
      </c>
      <c r="L958" s="26" t="n">
        <v>0</v>
      </c>
      <c r="M958" s="26" t="n">
        <v>4</v>
      </c>
      <c r="N958" s="26" t="n">
        <v>4</v>
      </c>
      <c r="O958" s="26" t="n">
        <v>0</v>
      </c>
      <c r="P958" s="26" t="n">
        <v>-3</v>
      </c>
      <c r="Q958" s="26" t="n">
        <v>1704</v>
      </c>
      <c r="R958" s="26" t="n">
        <v>442</v>
      </c>
      <c r="S958" s="26" t="n">
        <v>0</v>
      </c>
      <c r="T958" s="26" t="n">
        <v>0</v>
      </c>
      <c r="U958" s="26" t="n">
        <v>0</v>
      </c>
    </row>
    <row r="959" customFormat="false" ht="15" hidden="false" customHeight="true" outlineLevel="0" collapsed="false">
      <c r="A959" s="8" t="s">
        <v>944</v>
      </c>
      <c r="B959" s="8" t="s">
        <v>199</v>
      </c>
      <c r="C959" s="8" t="s">
        <v>839</v>
      </c>
      <c r="D959" s="26" t="n">
        <v>0</v>
      </c>
      <c r="E959" s="26" t="n">
        <v>0</v>
      </c>
      <c r="F959" s="26" t="n">
        <v>150</v>
      </c>
      <c r="G959" s="26" t="n">
        <v>0</v>
      </c>
      <c r="H959" s="26" t="n">
        <v>0</v>
      </c>
      <c r="I959" s="26" t="n">
        <v>1242</v>
      </c>
      <c r="J959" s="26" t="n">
        <v>0</v>
      </c>
      <c r="K959" s="26" t="n">
        <v>6</v>
      </c>
      <c r="L959" s="26" t="n">
        <v>0</v>
      </c>
      <c r="M959" s="26" t="n">
        <v>0</v>
      </c>
      <c r="N959" s="26" t="n">
        <v>4</v>
      </c>
      <c r="O959" s="26" t="n">
        <v>0</v>
      </c>
      <c r="P959" s="26" t="n">
        <v>-5</v>
      </c>
      <c r="Q959" s="26" t="n">
        <v>1023</v>
      </c>
      <c r="R959" s="26" t="n">
        <v>214</v>
      </c>
      <c r="S959" s="26" t="n">
        <v>0</v>
      </c>
      <c r="T959" s="26" t="n">
        <v>0</v>
      </c>
      <c r="U959" s="26" t="n">
        <v>0</v>
      </c>
    </row>
    <row r="960" customFormat="false" ht="15" hidden="false" customHeight="true" outlineLevel="0" collapsed="false">
      <c r="A960" s="8" t="s">
        <v>944</v>
      </c>
      <c r="B960" s="8" t="s">
        <v>134</v>
      </c>
      <c r="C960" s="8" t="s">
        <v>840</v>
      </c>
      <c r="D960" s="26" t="n">
        <v>0</v>
      </c>
      <c r="E960" s="26" t="n">
        <v>0</v>
      </c>
      <c r="F960" s="26" t="n">
        <v>107</v>
      </c>
      <c r="G960" s="26" t="n">
        <v>0</v>
      </c>
      <c r="H960" s="26" t="n">
        <v>0</v>
      </c>
      <c r="I960" s="26" t="n">
        <v>0</v>
      </c>
      <c r="J960" s="26" t="n">
        <v>0</v>
      </c>
      <c r="K960" s="26" t="n">
        <v>0</v>
      </c>
      <c r="L960" s="26" t="n">
        <v>0</v>
      </c>
      <c r="M960" s="26" t="n">
        <v>0</v>
      </c>
      <c r="N960" s="26" t="n">
        <v>3</v>
      </c>
      <c r="O960" s="26" t="n">
        <v>0</v>
      </c>
      <c r="P960" s="26" t="n">
        <v>0</v>
      </c>
      <c r="Q960" s="26" t="n">
        <v>-3</v>
      </c>
      <c r="R960" s="26" t="n">
        <v>0</v>
      </c>
      <c r="S960" s="26" t="n">
        <v>0</v>
      </c>
      <c r="T960" s="26" t="n">
        <v>0</v>
      </c>
      <c r="U960" s="26" t="n">
        <v>0</v>
      </c>
    </row>
    <row r="961" customFormat="false" ht="15" hidden="false" customHeight="true" outlineLevel="0" collapsed="false">
      <c r="A961" s="8" t="s">
        <v>944</v>
      </c>
      <c r="B961" s="8" t="s">
        <v>246</v>
      </c>
      <c r="C961" s="8" t="s">
        <v>841</v>
      </c>
      <c r="D961" s="26" t="n">
        <v>0</v>
      </c>
      <c r="E961" s="26" t="n">
        <v>0</v>
      </c>
      <c r="F961" s="26" t="n">
        <v>9</v>
      </c>
      <c r="G961" s="26" t="n">
        <v>0</v>
      </c>
      <c r="H961" s="26" t="n">
        <v>0</v>
      </c>
      <c r="I961" s="26" t="n">
        <v>56</v>
      </c>
      <c r="J961" s="26" t="n">
        <v>0</v>
      </c>
      <c r="K961" s="26" t="n">
        <v>0</v>
      </c>
      <c r="L961" s="26" t="n">
        <v>0</v>
      </c>
      <c r="M961" s="26" t="n">
        <v>0</v>
      </c>
      <c r="N961" s="26" t="n">
        <v>0</v>
      </c>
      <c r="O961" s="26" t="n">
        <v>0</v>
      </c>
      <c r="P961" s="26" t="n">
        <v>0</v>
      </c>
      <c r="Q961" s="26" t="n">
        <v>56</v>
      </c>
      <c r="R961" s="26" t="n">
        <v>0</v>
      </c>
      <c r="S961" s="26" t="n">
        <v>0</v>
      </c>
      <c r="T961" s="26" t="n">
        <v>0</v>
      </c>
      <c r="U961" s="26" t="n">
        <v>0</v>
      </c>
    </row>
    <row r="962" customFormat="false" ht="15" hidden="false" customHeight="true" outlineLevel="0" collapsed="false">
      <c r="A962" s="8" t="s">
        <v>944</v>
      </c>
      <c r="B962" s="8" t="s">
        <v>336</v>
      </c>
      <c r="C962" s="8" t="s">
        <v>842</v>
      </c>
      <c r="D962" s="26" t="n">
        <v>0</v>
      </c>
      <c r="E962" s="26" t="n">
        <v>0</v>
      </c>
      <c r="F962" s="26" t="n">
        <v>1</v>
      </c>
      <c r="G962" s="26" t="n">
        <v>0</v>
      </c>
      <c r="H962" s="26" t="n">
        <v>0</v>
      </c>
      <c r="I962" s="26" t="n">
        <v>0</v>
      </c>
      <c r="J962" s="26" t="n">
        <v>0</v>
      </c>
      <c r="K962" s="26" t="n">
        <v>0</v>
      </c>
      <c r="L962" s="26" t="n">
        <v>0</v>
      </c>
      <c r="M962" s="26" t="n">
        <v>0</v>
      </c>
      <c r="N962" s="26" t="n">
        <v>0</v>
      </c>
      <c r="O962" s="26" t="n">
        <v>0</v>
      </c>
      <c r="P962" s="26" t="n">
        <v>0</v>
      </c>
      <c r="Q962" s="26" t="n">
        <v>0</v>
      </c>
      <c r="R962" s="26" t="n">
        <v>0</v>
      </c>
      <c r="S962" s="26" t="n">
        <v>0</v>
      </c>
      <c r="T962" s="26" t="n">
        <v>0</v>
      </c>
      <c r="U962" s="26" t="n">
        <v>0</v>
      </c>
    </row>
    <row r="963" customFormat="false" ht="15" hidden="false" customHeight="true" outlineLevel="0" collapsed="false">
      <c r="A963" s="8" t="s">
        <v>944</v>
      </c>
      <c r="B963" s="8" t="s">
        <v>359</v>
      </c>
      <c r="C963" s="8" t="s">
        <v>842</v>
      </c>
      <c r="D963" s="26" t="n">
        <v>0</v>
      </c>
      <c r="E963" s="26" t="n">
        <v>0</v>
      </c>
      <c r="F963" s="26" t="n">
        <v>1</v>
      </c>
      <c r="G963" s="26" t="n">
        <v>0</v>
      </c>
      <c r="H963" s="26" t="n">
        <v>0</v>
      </c>
      <c r="I963" s="26" t="n">
        <v>0</v>
      </c>
      <c r="J963" s="26" t="n">
        <v>0</v>
      </c>
      <c r="K963" s="26" t="n">
        <v>0</v>
      </c>
      <c r="L963" s="26" t="n">
        <v>0</v>
      </c>
      <c r="M963" s="26" t="n">
        <v>0</v>
      </c>
      <c r="N963" s="26" t="n">
        <v>0</v>
      </c>
      <c r="O963" s="26" t="n">
        <v>0</v>
      </c>
      <c r="P963" s="26" t="n">
        <v>0</v>
      </c>
      <c r="Q963" s="26" t="n">
        <v>0</v>
      </c>
      <c r="R963" s="26" t="n">
        <v>0</v>
      </c>
      <c r="S963" s="26" t="n">
        <v>0</v>
      </c>
      <c r="T963" s="26" t="n">
        <v>0</v>
      </c>
      <c r="U963" s="26" t="n">
        <v>0</v>
      </c>
    </row>
    <row r="964" customFormat="false" ht="15" hidden="false" customHeight="true" outlineLevel="0" collapsed="false">
      <c r="A964" s="8" t="s">
        <v>944</v>
      </c>
      <c r="B964" s="8" t="s">
        <v>326</v>
      </c>
      <c r="C964" s="8" t="s">
        <v>842</v>
      </c>
      <c r="D964" s="26" t="n">
        <v>0</v>
      </c>
      <c r="E964" s="26" t="n">
        <v>0</v>
      </c>
      <c r="F964" s="26" t="n">
        <v>3</v>
      </c>
      <c r="G964" s="26" t="n">
        <v>0</v>
      </c>
      <c r="H964" s="26" t="n">
        <v>0</v>
      </c>
      <c r="I964" s="26" t="n">
        <v>0</v>
      </c>
      <c r="J964" s="26" t="n">
        <v>0</v>
      </c>
      <c r="K964" s="26" t="n">
        <v>0</v>
      </c>
      <c r="L964" s="26" t="n">
        <v>0</v>
      </c>
      <c r="M964" s="26" t="n">
        <v>0</v>
      </c>
      <c r="N964" s="26" t="n">
        <v>0</v>
      </c>
      <c r="O964" s="26" t="n">
        <v>0</v>
      </c>
      <c r="P964" s="26" t="n">
        <v>0</v>
      </c>
      <c r="Q964" s="26" t="n">
        <v>0</v>
      </c>
      <c r="R964" s="26" t="n">
        <v>0</v>
      </c>
      <c r="S964" s="26" t="n">
        <v>0</v>
      </c>
      <c r="T964" s="26" t="n">
        <v>0</v>
      </c>
      <c r="U964" s="26" t="n">
        <v>0</v>
      </c>
    </row>
    <row r="965" customFormat="false" ht="15" hidden="false" customHeight="true" outlineLevel="0" collapsed="false">
      <c r="A965" s="8" t="s">
        <v>944</v>
      </c>
      <c r="B965" s="8" t="s">
        <v>328</v>
      </c>
      <c r="C965" s="8" t="s">
        <v>842</v>
      </c>
      <c r="D965" s="26" t="n">
        <v>0</v>
      </c>
      <c r="E965" s="26" t="n">
        <v>0</v>
      </c>
      <c r="F965" s="26" t="n">
        <v>1</v>
      </c>
      <c r="G965" s="26" t="n">
        <v>0</v>
      </c>
      <c r="H965" s="26" t="n">
        <v>0</v>
      </c>
      <c r="I965" s="26" t="n">
        <v>0</v>
      </c>
      <c r="J965" s="26" t="n">
        <v>0</v>
      </c>
      <c r="K965" s="26" t="n">
        <v>0</v>
      </c>
      <c r="L965" s="26" t="n">
        <v>0</v>
      </c>
      <c r="M965" s="26" t="n">
        <v>0</v>
      </c>
      <c r="N965" s="26" t="n">
        <v>0</v>
      </c>
      <c r="O965" s="26" t="n">
        <v>0</v>
      </c>
      <c r="P965" s="26" t="n">
        <v>0</v>
      </c>
      <c r="Q965" s="26" t="n">
        <v>0</v>
      </c>
      <c r="R965" s="26" t="n">
        <v>0</v>
      </c>
      <c r="S965" s="26" t="n">
        <v>0</v>
      </c>
      <c r="T965" s="26" t="n">
        <v>0</v>
      </c>
      <c r="U965" s="26" t="n">
        <v>0</v>
      </c>
    </row>
    <row r="966" customFormat="false" ht="15" hidden="false" customHeight="true" outlineLevel="0" collapsed="false">
      <c r="A966" s="8" t="s">
        <v>944</v>
      </c>
      <c r="B966" s="8" t="s">
        <v>186</v>
      </c>
      <c r="C966" s="8" t="s">
        <v>843</v>
      </c>
      <c r="D966" s="26" t="n">
        <v>0</v>
      </c>
      <c r="E966" s="26" t="n">
        <v>0</v>
      </c>
      <c r="F966" s="26" t="n">
        <v>77</v>
      </c>
      <c r="G966" s="26" t="n">
        <v>0</v>
      </c>
      <c r="H966" s="26" t="n">
        <v>0</v>
      </c>
      <c r="I966" s="26" t="n">
        <v>680</v>
      </c>
      <c r="J966" s="26" t="n">
        <v>0</v>
      </c>
      <c r="K966" s="26" t="n">
        <v>11</v>
      </c>
      <c r="L966" s="26" t="n">
        <v>0</v>
      </c>
      <c r="M966" s="26" t="n">
        <v>0</v>
      </c>
      <c r="N966" s="26" t="n">
        <v>0</v>
      </c>
      <c r="O966" s="26" t="n">
        <v>0</v>
      </c>
      <c r="P966" s="26" t="n">
        <v>-6</v>
      </c>
      <c r="Q966" s="26" t="n">
        <v>650</v>
      </c>
      <c r="R966" s="26" t="n">
        <v>25</v>
      </c>
      <c r="S966" s="26" t="n">
        <v>0</v>
      </c>
      <c r="T966" s="26" t="n">
        <v>0</v>
      </c>
      <c r="U966" s="26" t="n">
        <v>0</v>
      </c>
    </row>
    <row r="967" customFormat="false" ht="15" hidden="false" customHeight="true" outlineLevel="0" collapsed="false">
      <c r="A967" s="8" t="s">
        <v>944</v>
      </c>
      <c r="B967" s="8" t="s">
        <v>129</v>
      </c>
      <c r="C967" s="8" t="s">
        <v>844</v>
      </c>
      <c r="D967" s="26" t="n">
        <v>0</v>
      </c>
      <c r="E967" s="26" t="n">
        <v>0</v>
      </c>
      <c r="F967" s="26" t="n">
        <v>851</v>
      </c>
      <c r="G967" s="26" t="n">
        <v>0</v>
      </c>
      <c r="H967" s="26" t="n">
        <v>0</v>
      </c>
      <c r="I967" s="26" t="n">
        <v>1460</v>
      </c>
      <c r="J967" s="26" t="n">
        <v>0</v>
      </c>
      <c r="K967" s="26" t="n">
        <v>24</v>
      </c>
      <c r="L967" s="26" t="n">
        <v>0</v>
      </c>
      <c r="M967" s="26" t="n">
        <v>0</v>
      </c>
      <c r="N967" s="26" t="n">
        <v>0</v>
      </c>
      <c r="O967" s="26" t="n">
        <v>0</v>
      </c>
      <c r="P967" s="26" t="n">
        <v>0</v>
      </c>
      <c r="Q967" s="26" t="n">
        <v>1177</v>
      </c>
      <c r="R967" s="26" t="n">
        <v>259</v>
      </c>
      <c r="S967" s="26" t="n">
        <v>0</v>
      </c>
      <c r="T967" s="26" t="n">
        <v>0</v>
      </c>
      <c r="U967" s="26" t="n">
        <v>0</v>
      </c>
    </row>
    <row r="968" customFormat="false" ht="15" hidden="false" customHeight="true" outlineLevel="0" collapsed="false">
      <c r="A968" s="8" t="s">
        <v>944</v>
      </c>
      <c r="B968" s="8" t="s">
        <v>145</v>
      </c>
      <c r="C968" s="8" t="s">
        <v>844</v>
      </c>
      <c r="D968" s="26" t="n">
        <v>0</v>
      </c>
      <c r="E968" s="26" t="n">
        <v>0</v>
      </c>
      <c r="F968" s="26" t="n">
        <v>513</v>
      </c>
      <c r="G968" s="26" t="n">
        <v>0</v>
      </c>
      <c r="H968" s="26" t="n">
        <v>0</v>
      </c>
      <c r="I968" s="26" t="n">
        <v>2312</v>
      </c>
      <c r="J968" s="26" t="n">
        <v>0</v>
      </c>
      <c r="K968" s="26" t="n">
        <v>34</v>
      </c>
      <c r="L968" s="26" t="n">
        <v>0</v>
      </c>
      <c r="M968" s="26" t="n">
        <v>0</v>
      </c>
      <c r="N968" s="26" t="n">
        <v>0</v>
      </c>
      <c r="O968" s="26" t="n">
        <v>5</v>
      </c>
      <c r="P968" s="26" t="n">
        <v>-6</v>
      </c>
      <c r="Q968" s="26" t="n">
        <v>1822</v>
      </c>
      <c r="R968" s="26" t="n">
        <v>457</v>
      </c>
      <c r="S968" s="26" t="n">
        <v>0</v>
      </c>
      <c r="T968" s="26" t="n">
        <v>0</v>
      </c>
      <c r="U968" s="26" t="n">
        <v>0</v>
      </c>
    </row>
    <row r="969" customFormat="false" ht="15" hidden="false" customHeight="true" outlineLevel="0" collapsed="false">
      <c r="A969" s="8" t="s">
        <v>944</v>
      </c>
      <c r="B969" s="8" t="s">
        <v>157</v>
      </c>
      <c r="C969" s="8" t="s">
        <v>844</v>
      </c>
      <c r="D969" s="26" t="n">
        <v>0</v>
      </c>
      <c r="E969" s="26" t="n">
        <v>0</v>
      </c>
      <c r="F969" s="26" t="n">
        <v>180</v>
      </c>
      <c r="G969" s="26" t="n">
        <v>0</v>
      </c>
      <c r="H969" s="26" t="n">
        <v>0</v>
      </c>
      <c r="I969" s="26" t="n">
        <v>954</v>
      </c>
      <c r="J969" s="26" t="n">
        <v>0</v>
      </c>
      <c r="K969" s="26" t="n">
        <v>8</v>
      </c>
      <c r="L969" s="26" t="n">
        <v>0</v>
      </c>
      <c r="M969" s="26" t="n">
        <v>0</v>
      </c>
      <c r="N969" s="26" t="n">
        <v>0</v>
      </c>
      <c r="O969" s="26" t="n">
        <v>0</v>
      </c>
      <c r="P969" s="26" t="n">
        <v>0</v>
      </c>
      <c r="Q969" s="26" t="n">
        <v>820</v>
      </c>
      <c r="R969" s="26" t="n">
        <v>126</v>
      </c>
      <c r="S969" s="26" t="n">
        <v>0</v>
      </c>
      <c r="T969" s="26" t="n">
        <v>0</v>
      </c>
      <c r="U969" s="26" t="n">
        <v>0</v>
      </c>
    </row>
    <row r="970" customFormat="false" ht="15" hidden="false" customHeight="true" outlineLevel="0" collapsed="false">
      <c r="A970" s="8" t="s">
        <v>944</v>
      </c>
      <c r="B970" s="8" t="s">
        <v>156</v>
      </c>
      <c r="C970" s="8" t="s">
        <v>844</v>
      </c>
      <c r="D970" s="26" t="n">
        <v>0</v>
      </c>
      <c r="E970" s="26" t="n">
        <v>0</v>
      </c>
      <c r="F970" s="26" t="n">
        <v>186</v>
      </c>
      <c r="G970" s="26" t="n">
        <v>0</v>
      </c>
      <c r="H970" s="26" t="n">
        <v>0</v>
      </c>
      <c r="I970" s="26" t="n">
        <v>980</v>
      </c>
      <c r="J970" s="26" t="n">
        <v>0</v>
      </c>
      <c r="K970" s="26" t="n">
        <v>3</v>
      </c>
      <c r="L970" s="26" t="n">
        <v>0</v>
      </c>
      <c r="M970" s="26" t="n">
        <v>0</v>
      </c>
      <c r="N970" s="26" t="n">
        <v>6</v>
      </c>
      <c r="O970" s="26" t="n">
        <v>0</v>
      </c>
      <c r="P970" s="26" t="n">
        <v>-3</v>
      </c>
      <c r="Q970" s="26" t="n">
        <v>697</v>
      </c>
      <c r="R970" s="26" t="n">
        <v>277</v>
      </c>
      <c r="S970" s="26" t="n">
        <v>0</v>
      </c>
      <c r="T970" s="26" t="n">
        <v>0</v>
      </c>
      <c r="U970" s="26" t="n">
        <v>0</v>
      </c>
    </row>
    <row r="971" customFormat="false" ht="15" hidden="false" customHeight="true" outlineLevel="0" collapsed="false">
      <c r="A971" s="8" t="s">
        <v>944</v>
      </c>
      <c r="B971" s="8" t="s">
        <v>165</v>
      </c>
      <c r="C971" s="8" t="s">
        <v>845</v>
      </c>
      <c r="D971" s="26" t="n">
        <v>0</v>
      </c>
      <c r="E971" s="26" t="n">
        <v>0</v>
      </c>
      <c r="F971" s="26" t="n">
        <v>12</v>
      </c>
      <c r="G971" s="26" t="n">
        <v>0</v>
      </c>
      <c r="H971" s="26" t="n">
        <v>0</v>
      </c>
      <c r="I971" s="26" t="n">
        <v>2</v>
      </c>
      <c r="J971" s="26" t="n">
        <v>0</v>
      </c>
      <c r="K971" s="26" t="n">
        <v>0</v>
      </c>
      <c r="L971" s="26" t="n">
        <v>0</v>
      </c>
      <c r="M971" s="26" t="n">
        <v>0</v>
      </c>
      <c r="N971" s="26" t="n">
        <v>0</v>
      </c>
      <c r="O971" s="26" t="n">
        <v>0</v>
      </c>
      <c r="P971" s="26" t="n">
        <v>0</v>
      </c>
      <c r="Q971" s="26" t="n">
        <v>0</v>
      </c>
      <c r="R971" s="26" t="n">
        <v>2</v>
      </c>
      <c r="S971" s="26" t="n">
        <v>1</v>
      </c>
      <c r="T971" s="26" t="n">
        <v>0</v>
      </c>
      <c r="U971" s="26" t="n">
        <v>0</v>
      </c>
    </row>
    <row r="972" customFormat="false" ht="15" hidden="false" customHeight="true" outlineLevel="0" collapsed="false">
      <c r="A972" s="8" t="s">
        <v>944</v>
      </c>
      <c r="B972" s="8" t="s">
        <v>165</v>
      </c>
      <c r="C972" s="8" t="s">
        <v>846</v>
      </c>
      <c r="D972" s="26" t="n">
        <v>0</v>
      </c>
      <c r="E972" s="26" t="n">
        <v>0</v>
      </c>
      <c r="F972" s="26" t="n">
        <v>15</v>
      </c>
      <c r="G972" s="26" t="n">
        <v>0</v>
      </c>
      <c r="H972" s="26" t="n">
        <v>0</v>
      </c>
      <c r="I972" s="26" t="n">
        <v>18</v>
      </c>
      <c r="J972" s="26" t="n">
        <v>0</v>
      </c>
      <c r="K972" s="26" t="n">
        <v>0</v>
      </c>
      <c r="L972" s="26" t="n">
        <v>0</v>
      </c>
      <c r="M972" s="26" t="n">
        <v>0</v>
      </c>
      <c r="N972" s="26" t="n">
        <v>0</v>
      </c>
      <c r="O972" s="26" t="n">
        <v>0</v>
      </c>
      <c r="P972" s="26" t="n">
        <v>0</v>
      </c>
      <c r="Q972" s="26" t="n">
        <v>8</v>
      </c>
      <c r="R972" s="26" t="n">
        <v>10</v>
      </c>
      <c r="S972" s="26" t="n">
        <v>0</v>
      </c>
      <c r="T972" s="26" t="n">
        <v>0</v>
      </c>
      <c r="U972" s="26" t="n">
        <v>0</v>
      </c>
    </row>
    <row r="973" customFormat="false" ht="15" hidden="false" customHeight="true" outlineLevel="0" collapsed="false">
      <c r="A973" s="8" t="s">
        <v>944</v>
      </c>
      <c r="B973" s="8" t="s">
        <v>165</v>
      </c>
      <c r="C973" s="8" t="s">
        <v>847</v>
      </c>
      <c r="D973" s="26" t="n">
        <v>0</v>
      </c>
      <c r="E973" s="26" t="n">
        <v>0</v>
      </c>
      <c r="F973" s="26" t="n">
        <v>19</v>
      </c>
      <c r="G973" s="26" t="n">
        <v>0</v>
      </c>
      <c r="H973" s="26" t="n">
        <v>0</v>
      </c>
      <c r="I973" s="26" t="n">
        <v>19</v>
      </c>
      <c r="J973" s="26" t="n">
        <v>0</v>
      </c>
      <c r="K973" s="26" t="n">
        <v>0</v>
      </c>
      <c r="L973" s="26" t="n">
        <v>0</v>
      </c>
      <c r="M973" s="26" t="n">
        <v>0</v>
      </c>
      <c r="N973" s="26" t="n">
        <v>0</v>
      </c>
      <c r="O973" s="26" t="n">
        <v>0</v>
      </c>
      <c r="P973" s="26" t="n">
        <v>0</v>
      </c>
      <c r="Q973" s="26" t="n">
        <v>11</v>
      </c>
      <c r="R973" s="26" t="n">
        <v>8</v>
      </c>
      <c r="S973" s="26" t="n">
        <v>0</v>
      </c>
      <c r="T973" s="26" t="n">
        <v>0</v>
      </c>
      <c r="U973" s="26" t="n">
        <v>0</v>
      </c>
    </row>
    <row r="974" customFormat="false" ht="15" hidden="false" customHeight="true" outlineLevel="0" collapsed="false">
      <c r="A974" s="8" t="s">
        <v>944</v>
      </c>
      <c r="B974" s="8" t="s">
        <v>165</v>
      </c>
      <c r="C974" s="8" t="s">
        <v>848</v>
      </c>
      <c r="D974" s="26" t="n">
        <v>0</v>
      </c>
      <c r="E974" s="26" t="n">
        <v>0</v>
      </c>
      <c r="F974" s="26" t="n">
        <v>9</v>
      </c>
      <c r="G974" s="26" t="n">
        <v>0</v>
      </c>
      <c r="H974" s="26" t="n">
        <v>0</v>
      </c>
      <c r="I974" s="26" t="n">
        <v>11</v>
      </c>
      <c r="J974" s="26" t="n">
        <v>0</v>
      </c>
      <c r="K974" s="26" t="n">
        <v>0</v>
      </c>
      <c r="L974" s="26" t="n">
        <v>0</v>
      </c>
      <c r="M974" s="26" t="n">
        <v>0</v>
      </c>
      <c r="N974" s="26" t="n">
        <v>0</v>
      </c>
      <c r="O974" s="26" t="n">
        <v>0</v>
      </c>
      <c r="P974" s="26" t="n">
        <v>0</v>
      </c>
      <c r="Q974" s="26" t="n">
        <v>7</v>
      </c>
      <c r="R974" s="26" t="n">
        <v>4</v>
      </c>
      <c r="S974" s="26" t="n">
        <v>1</v>
      </c>
      <c r="T974" s="26" t="n">
        <v>0</v>
      </c>
      <c r="U974" s="26" t="n">
        <v>0</v>
      </c>
    </row>
    <row r="975" customFormat="false" ht="15" hidden="false" customHeight="true" outlineLevel="0" collapsed="false">
      <c r="A975" s="8" t="s">
        <v>944</v>
      </c>
      <c r="B975" s="8" t="s">
        <v>258</v>
      </c>
      <c r="C975" s="8" t="s">
        <v>849</v>
      </c>
      <c r="D975" s="26" t="n">
        <v>0</v>
      </c>
      <c r="E975" s="26" t="n">
        <v>0</v>
      </c>
      <c r="F975" s="26" t="n">
        <v>3</v>
      </c>
      <c r="G975" s="26" t="n">
        <v>0</v>
      </c>
      <c r="H975" s="26" t="n">
        <v>0</v>
      </c>
      <c r="I975" s="26" t="n">
        <v>3</v>
      </c>
      <c r="J975" s="26" t="n">
        <v>0</v>
      </c>
      <c r="K975" s="26" t="n">
        <v>0</v>
      </c>
      <c r="L975" s="26" t="n">
        <v>0</v>
      </c>
      <c r="M975" s="26" t="n">
        <v>0</v>
      </c>
      <c r="N975" s="26" t="n">
        <v>0</v>
      </c>
      <c r="O975" s="26" t="n">
        <v>0</v>
      </c>
      <c r="P975" s="26" t="n">
        <v>0</v>
      </c>
      <c r="Q975" s="26" t="n">
        <v>3</v>
      </c>
      <c r="R975" s="26" t="n">
        <v>0</v>
      </c>
      <c r="S975" s="26" t="n">
        <v>0</v>
      </c>
      <c r="T975" s="26" t="n">
        <v>0</v>
      </c>
      <c r="U975" s="26" t="n">
        <v>0</v>
      </c>
    </row>
    <row r="976" customFormat="false" ht="15" hidden="false" customHeight="true" outlineLevel="0" collapsed="false">
      <c r="A976" s="8" t="s">
        <v>944</v>
      </c>
      <c r="B976" s="8" t="s">
        <v>258</v>
      </c>
      <c r="C976" s="8" t="s">
        <v>850</v>
      </c>
      <c r="D976" s="26" t="n">
        <v>0</v>
      </c>
      <c r="E976" s="26" t="n">
        <v>0</v>
      </c>
      <c r="F976" s="26" t="n">
        <v>7</v>
      </c>
      <c r="G976" s="26" t="n">
        <v>0</v>
      </c>
      <c r="H976" s="26" t="n">
        <v>0</v>
      </c>
      <c r="I976" s="26" t="n">
        <v>10</v>
      </c>
      <c r="J976" s="26" t="n">
        <v>0</v>
      </c>
      <c r="K976" s="26" t="n">
        <v>0</v>
      </c>
      <c r="L976" s="26" t="n">
        <v>0</v>
      </c>
      <c r="M976" s="26" t="n">
        <v>0</v>
      </c>
      <c r="N976" s="26" t="n">
        <v>0</v>
      </c>
      <c r="O976" s="26" t="n">
        <v>0</v>
      </c>
      <c r="P976" s="26" t="n">
        <v>0</v>
      </c>
      <c r="Q976" s="26" t="n">
        <v>9</v>
      </c>
      <c r="R976" s="26" t="n">
        <v>1</v>
      </c>
      <c r="S976" s="26" t="n">
        <v>0</v>
      </c>
      <c r="T976" s="26" t="n">
        <v>0</v>
      </c>
      <c r="U976" s="26" t="n">
        <v>0</v>
      </c>
    </row>
    <row r="977" customFormat="false" ht="15" hidden="false" customHeight="true" outlineLevel="0" collapsed="false">
      <c r="A977" s="8" t="s">
        <v>944</v>
      </c>
      <c r="B977" s="8" t="s">
        <v>258</v>
      </c>
      <c r="C977" s="8" t="s">
        <v>851</v>
      </c>
      <c r="D977" s="26" t="n">
        <v>0</v>
      </c>
      <c r="E977" s="26" t="n">
        <v>0</v>
      </c>
      <c r="F977" s="26" t="n">
        <v>7</v>
      </c>
      <c r="G977" s="26" t="n">
        <v>0</v>
      </c>
      <c r="H977" s="26" t="n">
        <v>0</v>
      </c>
      <c r="I977" s="26" t="n">
        <v>13</v>
      </c>
      <c r="J977" s="26" t="n">
        <v>0</v>
      </c>
      <c r="K977" s="26" t="n">
        <v>0</v>
      </c>
      <c r="L977" s="26" t="n">
        <v>0</v>
      </c>
      <c r="M977" s="26" t="n">
        <v>0</v>
      </c>
      <c r="N977" s="26" t="n">
        <v>0</v>
      </c>
      <c r="O977" s="26" t="n">
        <v>0</v>
      </c>
      <c r="P977" s="26" t="n">
        <v>0</v>
      </c>
      <c r="Q977" s="26" t="n">
        <v>11</v>
      </c>
      <c r="R977" s="26" t="n">
        <v>2</v>
      </c>
      <c r="S977" s="26" t="n">
        <v>0</v>
      </c>
      <c r="T977" s="26" t="n">
        <v>0</v>
      </c>
      <c r="U977" s="26" t="n">
        <v>0</v>
      </c>
    </row>
    <row r="978" customFormat="false" ht="15" hidden="false" customHeight="true" outlineLevel="0" collapsed="false">
      <c r="A978" s="8" t="s">
        <v>944</v>
      </c>
      <c r="B978" s="8" t="s">
        <v>258</v>
      </c>
      <c r="C978" s="8" t="s">
        <v>852</v>
      </c>
      <c r="D978" s="26" t="n">
        <v>0</v>
      </c>
      <c r="E978" s="26" t="n">
        <v>0</v>
      </c>
      <c r="F978" s="26" t="n">
        <v>3</v>
      </c>
      <c r="G978" s="26" t="n">
        <v>0</v>
      </c>
      <c r="H978" s="26" t="n">
        <v>0</v>
      </c>
      <c r="I978" s="26" t="n">
        <v>19</v>
      </c>
      <c r="J978" s="26" t="n">
        <v>0</v>
      </c>
      <c r="K978" s="26" t="n">
        <v>2</v>
      </c>
      <c r="L978" s="26" t="n">
        <v>0</v>
      </c>
      <c r="M978" s="26" t="n">
        <v>0</v>
      </c>
      <c r="N978" s="26" t="n">
        <v>0</v>
      </c>
      <c r="O978" s="26" t="n">
        <v>0</v>
      </c>
      <c r="P978" s="26" t="n">
        <v>0</v>
      </c>
      <c r="Q978" s="26" t="n">
        <v>16</v>
      </c>
      <c r="R978" s="26" t="n">
        <v>1</v>
      </c>
      <c r="S978" s="26" t="n">
        <v>0</v>
      </c>
      <c r="T978" s="26" t="n">
        <v>0</v>
      </c>
      <c r="U978" s="26" t="n">
        <v>0</v>
      </c>
    </row>
    <row r="979" customFormat="false" ht="15" hidden="false" customHeight="true" outlineLevel="0" collapsed="false">
      <c r="A979" s="8" t="s">
        <v>944</v>
      </c>
      <c r="B979" s="8" t="s">
        <v>183</v>
      </c>
      <c r="C979" s="8" t="s">
        <v>672</v>
      </c>
      <c r="D979" s="26" t="n">
        <v>0</v>
      </c>
      <c r="E979" s="26" t="n">
        <v>0</v>
      </c>
      <c r="F979" s="26" t="n">
        <v>4</v>
      </c>
      <c r="G979" s="26" t="n">
        <v>0</v>
      </c>
      <c r="H979" s="26" t="n">
        <v>0</v>
      </c>
      <c r="I979" s="26" t="n">
        <v>0</v>
      </c>
      <c r="J979" s="26" t="n">
        <v>0</v>
      </c>
      <c r="K979" s="26" t="n">
        <v>0</v>
      </c>
      <c r="L979" s="26" t="n">
        <v>0</v>
      </c>
      <c r="M979" s="26" t="n">
        <v>0</v>
      </c>
      <c r="N979" s="26" t="n">
        <v>0</v>
      </c>
      <c r="O979" s="26" t="n">
        <v>0</v>
      </c>
      <c r="P979" s="26" t="n">
        <v>0</v>
      </c>
      <c r="Q979" s="26" t="n">
        <v>0</v>
      </c>
      <c r="R979" s="26" t="n">
        <v>0</v>
      </c>
      <c r="S979" s="26" t="n">
        <v>0</v>
      </c>
      <c r="T979" s="26" t="n">
        <v>0</v>
      </c>
      <c r="U979" s="26" t="n">
        <v>0</v>
      </c>
    </row>
    <row r="980" customFormat="false" ht="15" hidden="false" customHeight="true" outlineLevel="0" collapsed="false">
      <c r="A980" s="8" t="s">
        <v>944</v>
      </c>
      <c r="B980" s="8" t="s">
        <v>183</v>
      </c>
      <c r="C980" s="8" t="s">
        <v>671</v>
      </c>
      <c r="D980" s="26" t="n">
        <v>0</v>
      </c>
      <c r="E980" s="26" t="n">
        <v>0</v>
      </c>
      <c r="F980" s="26" t="n">
        <v>5</v>
      </c>
      <c r="G980" s="26" t="n">
        <v>0</v>
      </c>
      <c r="H980" s="26" t="n">
        <v>0</v>
      </c>
      <c r="I980" s="26" t="n">
        <v>20</v>
      </c>
      <c r="J980" s="26" t="n">
        <v>0</v>
      </c>
      <c r="K980" s="26" t="n">
        <v>4</v>
      </c>
      <c r="L980" s="26" t="n">
        <v>0</v>
      </c>
      <c r="M980" s="26" t="n">
        <v>0</v>
      </c>
      <c r="N980" s="26" t="n">
        <v>0</v>
      </c>
      <c r="O980" s="26" t="n">
        <v>0</v>
      </c>
      <c r="P980" s="26" t="n">
        <v>-1</v>
      </c>
      <c r="Q980" s="26" t="n">
        <v>12</v>
      </c>
      <c r="R980" s="26" t="n">
        <v>5</v>
      </c>
      <c r="S980" s="26" t="n">
        <v>0</v>
      </c>
      <c r="T980" s="26" t="n">
        <v>0</v>
      </c>
      <c r="U980" s="26" t="n">
        <v>0</v>
      </c>
    </row>
    <row r="981" customFormat="false" ht="15" hidden="false" customHeight="true" outlineLevel="0" collapsed="false">
      <c r="A981" s="8" t="s">
        <v>944</v>
      </c>
      <c r="B981" s="8" t="s">
        <v>183</v>
      </c>
      <c r="C981" s="8" t="s">
        <v>673</v>
      </c>
      <c r="D981" s="26" t="n">
        <v>0</v>
      </c>
      <c r="E981" s="26" t="n">
        <v>0</v>
      </c>
      <c r="F981" s="26" t="n">
        <v>4</v>
      </c>
      <c r="G981" s="26" t="n">
        <v>0</v>
      </c>
      <c r="H981" s="26" t="n">
        <v>0</v>
      </c>
      <c r="I981" s="26" t="n">
        <v>21</v>
      </c>
      <c r="J981" s="26" t="n">
        <v>0</v>
      </c>
      <c r="K981" s="26" t="n">
        <v>5</v>
      </c>
      <c r="L981" s="26" t="n">
        <v>0</v>
      </c>
      <c r="M981" s="26" t="n">
        <v>0</v>
      </c>
      <c r="N981" s="26" t="n">
        <v>0</v>
      </c>
      <c r="O981" s="26" t="n">
        <v>0</v>
      </c>
      <c r="P981" s="26" t="n">
        <v>-1</v>
      </c>
      <c r="Q981" s="26" t="n">
        <v>8</v>
      </c>
      <c r="R981" s="26" t="n">
        <v>9</v>
      </c>
      <c r="S981" s="26" t="n">
        <v>0</v>
      </c>
      <c r="T981" s="26" t="n">
        <v>0</v>
      </c>
      <c r="U981" s="26" t="n">
        <v>0</v>
      </c>
    </row>
    <row r="982" customFormat="false" ht="15" hidden="false" customHeight="true" outlineLevel="0" collapsed="false">
      <c r="A982" s="8" t="s">
        <v>944</v>
      </c>
      <c r="B982" s="8" t="s">
        <v>183</v>
      </c>
      <c r="C982" s="8" t="s">
        <v>670</v>
      </c>
      <c r="D982" s="26" t="n">
        <v>0</v>
      </c>
      <c r="E982" s="26" t="n">
        <v>0</v>
      </c>
      <c r="F982" s="26" t="n">
        <v>4</v>
      </c>
      <c r="G982" s="26" t="n">
        <v>0</v>
      </c>
      <c r="H982" s="26" t="n">
        <v>0</v>
      </c>
      <c r="I982" s="26" t="n">
        <v>6</v>
      </c>
      <c r="J982" s="26" t="n">
        <v>0</v>
      </c>
      <c r="K982" s="26" t="n">
        <v>0</v>
      </c>
      <c r="L982" s="26" t="n">
        <v>0</v>
      </c>
      <c r="M982" s="26" t="n">
        <v>0</v>
      </c>
      <c r="N982" s="26" t="n">
        <v>0</v>
      </c>
      <c r="O982" s="26" t="n">
        <v>0</v>
      </c>
      <c r="P982" s="26" t="n">
        <v>0</v>
      </c>
      <c r="Q982" s="26" t="n">
        <v>6</v>
      </c>
      <c r="R982" s="26" t="n">
        <v>0</v>
      </c>
      <c r="S982" s="26" t="n">
        <v>0</v>
      </c>
      <c r="T982" s="26" t="n">
        <v>0</v>
      </c>
      <c r="U982" s="26" t="n">
        <v>0</v>
      </c>
    </row>
    <row r="983" customFormat="false" ht="15" hidden="false" customHeight="true" outlineLevel="0" collapsed="false">
      <c r="A983" s="8" t="s">
        <v>944</v>
      </c>
      <c r="B983" s="8" t="s">
        <v>183</v>
      </c>
      <c r="C983" s="8" t="s">
        <v>853</v>
      </c>
      <c r="D983" s="26" t="n">
        <v>0</v>
      </c>
      <c r="E983" s="26" t="n">
        <v>0</v>
      </c>
      <c r="F983" s="26" t="n">
        <v>0</v>
      </c>
      <c r="G983" s="26" t="n">
        <v>0</v>
      </c>
      <c r="H983" s="26" t="n">
        <v>0</v>
      </c>
      <c r="I983" s="26" t="n">
        <v>2</v>
      </c>
      <c r="J983" s="26" t="n">
        <v>0</v>
      </c>
      <c r="K983" s="26" t="n">
        <v>0</v>
      </c>
      <c r="L983" s="26" t="n">
        <v>0</v>
      </c>
      <c r="M983" s="26" t="n">
        <v>0</v>
      </c>
      <c r="N983" s="26" t="n">
        <v>0</v>
      </c>
      <c r="O983" s="26" t="n">
        <v>0</v>
      </c>
      <c r="P983" s="26" t="n">
        <v>0</v>
      </c>
      <c r="Q983" s="26" t="n">
        <v>0</v>
      </c>
      <c r="R983" s="26" t="n">
        <v>2</v>
      </c>
      <c r="S983" s="26" t="n">
        <v>0</v>
      </c>
      <c r="T983" s="26" t="n">
        <v>0</v>
      </c>
      <c r="U983" s="26" t="n">
        <v>0</v>
      </c>
    </row>
    <row r="984" customFormat="false" ht="15" hidden="false" customHeight="true" outlineLevel="0" collapsed="false">
      <c r="A984" s="8" t="s">
        <v>944</v>
      </c>
      <c r="B984" s="8" t="s">
        <v>311</v>
      </c>
      <c r="C984" s="8" t="s">
        <v>854</v>
      </c>
      <c r="D984" s="26" t="n">
        <v>0</v>
      </c>
      <c r="E984" s="26" t="n">
        <v>0</v>
      </c>
      <c r="F984" s="26" t="n">
        <v>1</v>
      </c>
      <c r="G984" s="26" t="n">
        <v>0</v>
      </c>
      <c r="H984" s="26" t="n">
        <v>0</v>
      </c>
      <c r="I984" s="26" t="n">
        <v>0</v>
      </c>
      <c r="J984" s="26" t="n">
        <v>0</v>
      </c>
      <c r="K984" s="26" t="n">
        <v>0</v>
      </c>
      <c r="L984" s="26" t="n">
        <v>0</v>
      </c>
      <c r="M984" s="26" t="n">
        <v>0</v>
      </c>
      <c r="N984" s="26" t="n">
        <v>0</v>
      </c>
      <c r="O984" s="26" t="n">
        <v>0</v>
      </c>
      <c r="P984" s="26" t="n">
        <v>0</v>
      </c>
      <c r="Q984" s="26" t="n">
        <v>0</v>
      </c>
      <c r="R984" s="26" t="n">
        <v>0</v>
      </c>
      <c r="S984" s="26" t="n">
        <v>0</v>
      </c>
      <c r="T984" s="26" t="n">
        <v>0</v>
      </c>
      <c r="U984" s="26" t="n">
        <v>0</v>
      </c>
    </row>
    <row r="985" customFormat="false" ht="15" hidden="false" customHeight="true" outlineLevel="0" collapsed="false">
      <c r="A985" s="8" t="s">
        <v>944</v>
      </c>
      <c r="B985" s="8" t="s">
        <v>311</v>
      </c>
      <c r="C985" s="8" t="s">
        <v>855</v>
      </c>
      <c r="D985" s="26" t="n">
        <v>0</v>
      </c>
      <c r="E985" s="26" t="n">
        <v>0</v>
      </c>
      <c r="F985" s="26" t="n">
        <v>3</v>
      </c>
      <c r="G985" s="26" t="n">
        <v>0</v>
      </c>
      <c r="H985" s="26" t="n">
        <v>0</v>
      </c>
      <c r="I985" s="26" t="n">
        <v>14</v>
      </c>
      <c r="J985" s="26" t="n">
        <v>0</v>
      </c>
      <c r="K985" s="26" t="n">
        <v>0</v>
      </c>
      <c r="L985" s="26" t="n">
        <v>0</v>
      </c>
      <c r="M985" s="26" t="n">
        <v>0</v>
      </c>
      <c r="N985" s="26" t="n">
        <v>0</v>
      </c>
      <c r="O985" s="26" t="n">
        <v>0</v>
      </c>
      <c r="P985" s="26" t="n">
        <v>0</v>
      </c>
      <c r="Q985" s="26" t="n">
        <v>6</v>
      </c>
      <c r="R985" s="26" t="n">
        <v>8</v>
      </c>
      <c r="S985" s="26" t="n">
        <v>0</v>
      </c>
      <c r="T985" s="26" t="n">
        <v>0</v>
      </c>
      <c r="U985" s="26" t="n">
        <v>0</v>
      </c>
    </row>
    <row r="986" customFormat="false" ht="15" hidden="false" customHeight="true" outlineLevel="0" collapsed="false">
      <c r="A986" s="8" t="s">
        <v>944</v>
      </c>
      <c r="B986" s="8" t="s">
        <v>311</v>
      </c>
      <c r="C986" s="8" t="s">
        <v>856</v>
      </c>
      <c r="D986" s="26" t="n">
        <v>0</v>
      </c>
      <c r="E986" s="26" t="n">
        <v>0</v>
      </c>
      <c r="F986" s="26" t="n">
        <v>3</v>
      </c>
      <c r="G986" s="26" t="n">
        <v>0</v>
      </c>
      <c r="H986" s="26" t="n">
        <v>0</v>
      </c>
      <c r="I986" s="26" t="n">
        <v>29</v>
      </c>
      <c r="J986" s="26" t="n">
        <v>0</v>
      </c>
      <c r="K986" s="26" t="n">
        <v>0</v>
      </c>
      <c r="L986" s="26" t="n">
        <v>0</v>
      </c>
      <c r="M986" s="26" t="n">
        <v>0</v>
      </c>
      <c r="N986" s="26" t="n">
        <v>0</v>
      </c>
      <c r="O986" s="26" t="n">
        <v>0</v>
      </c>
      <c r="P986" s="26" t="n">
        <v>0</v>
      </c>
      <c r="Q986" s="26" t="n">
        <v>18</v>
      </c>
      <c r="R986" s="26" t="n">
        <v>11</v>
      </c>
      <c r="S986" s="26" t="n">
        <v>0</v>
      </c>
      <c r="T986" s="26" t="n">
        <v>0</v>
      </c>
      <c r="U986" s="26" t="n">
        <v>0</v>
      </c>
    </row>
    <row r="987" customFormat="false" ht="15" hidden="false" customHeight="true" outlineLevel="0" collapsed="false">
      <c r="A987" s="8" t="s">
        <v>944</v>
      </c>
      <c r="B987" s="8" t="s">
        <v>311</v>
      </c>
      <c r="C987" s="8" t="s">
        <v>857</v>
      </c>
      <c r="D987" s="26" t="n">
        <v>0</v>
      </c>
      <c r="E987" s="26" t="n">
        <v>0</v>
      </c>
      <c r="F987" s="26" t="n">
        <v>1</v>
      </c>
      <c r="G987" s="26" t="n">
        <v>0</v>
      </c>
      <c r="H987" s="26" t="n">
        <v>0</v>
      </c>
      <c r="I987" s="26" t="n">
        <v>6</v>
      </c>
      <c r="J987" s="26" t="n">
        <v>0</v>
      </c>
      <c r="K987" s="26" t="n">
        <v>0</v>
      </c>
      <c r="L987" s="26" t="n">
        <v>0</v>
      </c>
      <c r="M987" s="26" t="n">
        <v>0</v>
      </c>
      <c r="N987" s="26" t="n">
        <v>0</v>
      </c>
      <c r="O987" s="26" t="n">
        <v>0</v>
      </c>
      <c r="P987" s="26" t="n">
        <v>0</v>
      </c>
      <c r="Q987" s="26" t="n">
        <v>0</v>
      </c>
      <c r="R987" s="26" t="n">
        <v>6</v>
      </c>
      <c r="S987" s="26" t="n">
        <v>0</v>
      </c>
      <c r="T987" s="26" t="n">
        <v>0</v>
      </c>
      <c r="U987" s="26" t="n">
        <v>0</v>
      </c>
    </row>
    <row r="988" customFormat="false" ht="15" hidden="false" customHeight="true" outlineLevel="0" collapsed="false">
      <c r="A988" s="8" t="s">
        <v>944</v>
      </c>
      <c r="B988" s="8" t="s">
        <v>239</v>
      </c>
      <c r="C988" s="8" t="s">
        <v>858</v>
      </c>
      <c r="D988" s="26" t="n">
        <v>0</v>
      </c>
      <c r="E988" s="26" t="n">
        <v>0</v>
      </c>
      <c r="F988" s="26" t="n">
        <v>4</v>
      </c>
      <c r="G988" s="26" t="n">
        <v>0</v>
      </c>
      <c r="H988" s="26" t="n">
        <v>0</v>
      </c>
      <c r="I988" s="26" t="n">
        <v>0</v>
      </c>
      <c r="J988" s="26" t="n">
        <v>0</v>
      </c>
      <c r="K988" s="26" t="n">
        <v>0</v>
      </c>
      <c r="L988" s="26" t="n">
        <v>0</v>
      </c>
      <c r="M988" s="26" t="n">
        <v>0</v>
      </c>
      <c r="N988" s="26" t="n">
        <v>0</v>
      </c>
      <c r="O988" s="26" t="n">
        <v>0</v>
      </c>
      <c r="P988" s="26" t="n">
        <v>0</v>
      </c>
      <c r="Q988" s="26" t="n">
        <v>0</v>
      </c>
      <c r="R988" s="26" t="n">
        <v>0</v>
      </c>
      <c r="S988" s="26" t="n">
        <v>0</v>
      </c>
      <c r="T988" s="26" t="n">
        <v>0</v>
      </c>
      <c r="U988" s="26" t="n">
        <v>0</v>
      </c>
    </row>
    <row r="989" customFormat="false" ht="15" hidden="false" customHeight="true" outlineLevel="0" collapsed="false">
      <c r="A989" s="8" t="s">
        <v>944</v>
      </c>
      <c r="B989" s="8" t="s">
        <v>239</v>
      </c>
      <c r="C989" s="8" t="s">
        <v>859</v>
      </c>
      <c r="D989" s="26" t="n">
        <v>0</v>
      </c>
      <c r="E989" s="26" t="n">
        <v>0</v>
      </c>
      <c r="F989" s="26" t="n">
        <v>10</v>
      </c>
      <c r="G989" s="26" t="n">
        <v>0</v>
      </c>
      <c r="H989" s="26" t="n">
        <v>0</v>
      </c>
      <c r="I989" s="26" t="n">
        <v>28</v>
      </c>
      <c r="J989" s="26" t="n">
        <v>0</v>
      </c>
      <c r="K989" s="26" t="n">
        <v>5</v>
      </c>
      <c r="L989" s="26" t="n">
        <v>0</v>
      </c>
      <c r="M989" s="26" t="n">
        <v>0</v>
      </c>
      <c r="N989" s="26" t="n">
        <v>0</v>
      </c>
      <c r="O989" s="26" t="n">
        <v>0</v>
      </c>
      <c r="P989" s="26" t="n">
        <v>0</v>
      </c>
      <c r="Q989" s="26" t="n">
        <v>19</v>
      </c>
      <c r="R989" s="26" t="n">
        <v>4</v>
      </c>
      <c r="S989" s="26" t="n">
        <v>0</v>
      </c>
      <c r="T989" s="26" t="n">
        <v>0</v>
      </c>
      <c r="U989" s="26" t="n">
        <v>0</v>
      </c>
    </row>
    <row r="990" customFormat="false" ht="15" hidden="false" customHeight="true" outlineLevel="0" collapsed="false">
      <c r="A990" s="8" t="s">
        <v>944</v>
      </c>
      <c r="B990" s="8" t="s">
        <v>239</v>
      </c>
      <c r="C990" s="8" t="s">
        <v>860</v>
      </c>
      <c r="D990" s="26" t="n">
        <v>0</v>
      </c>
      <c r="E990" s="26" t="n">
        <v>0</v>
      </c>
      <c r="F990" s="26" t="n">
        <v>4</v>
      </c>
      <c r="G990" s="26" t="n">
        <v>0</v>
      </c>
      <c r="H990" s="26" t="n">
        <v>0</v>
      </c>
      <c r="I990" s="26" t="n">
        <v>15</v>
      </c>
      <c r="J990" s="26" t="n">
        <v>0</v>
      </c>
      <c r="K990" s="26" t="n">
        <v>0</v>
      </c>
      <c r="L990" s="26" t="n">
        <v>0</v>
      </c>
      <c r="M990" s="26" t="n">
        <v>0</v>
      </c>
      <c r="N990" s="26" t="n">
        <v>0</v>
      </c>
      <c r="O990" s="26" t="n">
        <v>0</v>
      </c>
      <c r="P990" s="26" t="n">
        <v>0</v>
      </c>
      <c r="Q990" s="26" t="n">
        <v>11</v>
      </c>
      <c r="R990" s="26" t="n">
        <v>4</v>
      </c>
      <c r="S990" s="26" t="n">
        <v>0</v>
      </c>
      <c r="T990" s="26" t="n">
        <v>0</v>
      </c>
      <c r="U990" s="26" t="n">
        <v>0</v>
      </c>
    </row>
    <row r="991" customFormat="false" ht="15" hidden="false" customHeight="true" outlineLevel="0" collapsed="false">
      <c r="A991" s="8" t="s">
        <v>944</v>
      </c>
      <c r="B991" s="8" t="s">
        <v>239</v>
      </c>
      <c r="C991" s="8" t="s">
        <v>861</v>
      </c>
      <c r="D991" s="26" t="n">
        <v>0</v>
      </c>
      <c r="E991" s="26" t="n">
        <v>0</v>
      </c>
      <c r="F991" s="26" t="n">
        <v>4</v>
      </c>
      <c r="G991" s="26" t="n">
        <v>0</v>
      </c>
      <c r="H991" s="26" t="n">
        <v>0</v>
      </c>
      <c r="I991" s="26" t="n">
        <v>17</v>
      </c>
      <c r="J991" s="26" t="n">
        <v>0</v>
      </c>
      <c r="K991" s="26" t="n">
        <v>2</v>
      </c>
      <c r="L991" s="26" t="n">
        <v>0</v>
      </c>
      <c r="M991" s="26" t="n">
        <v>0</v>
      </c>
      <c r="N991" s="26" t="n">
        <v>0</v>
      </c>
      <c r="O991" s="26" t="n">
        <v>0</v>
      </c>
      <c r="P991" s="26" t="n">
        <v>0</v>
      </c>
      <c r="Q991" s="26" t="n">
        <v>11</v>
      </c>
      <c r="R991" s="26" t="n">
        <v>4</v>
      </c>
      <c r="S991" s="26" t="n">
        <v>0</v>
      </c>
      <c r="T991" s="26" t="n">
        <v>0</v>
      </c>
      <c r="U991" s="26" t="n">
        <v>0</v>
      </c>
    </row>
    <row r="992" customFormat="false" ht="15" hidden="false" customHeight="true" outlineLevel="0" collapsed="false">
      <c r="A992" s="8" t="s">
        <v>944</v>
      </c>
      <c r="B992" s="8" t="s">
        <v>150</v>
      </c>
      <c r="C992" s="8" t="s">
        <v>863</v>
      </c>
      <c r="D992" s="26" t="n">
        <v>0</v>
      </c>
      <c r="E992" s="26" t="n">
        <v>0</v>
      </c>
      <c r="F992" s="26" t="n">
        <v>6</v>
      </c>
      <c r="G992" s="26" t="n">
        <v>0</v>
      </c>
      <c r="H992" s="26" t="n">
        <v>0</v>
      </c>
      <c r="I992" s="26" t="n">
        <v>11</v>
      </c>
      <c r="J992" s="26" t="n">
        <v>0</v>
      </c>
      <c r="K992" s="26" t="n">
        <v>0</v>
      </c>
      <c r="L992" s="26" t="n">
        <v>0</v>
      </c>
      <c r="M992" s="26" t="n">
        <v>0</v>
      </c>
      <c r="N992" s="26" t="n">
        <v>0</v>
      </c>
      <c r="O992" s="26" t="n">
        <v>0</v>
      </c>
      <c r="P992" s="26" t="n">
        <v>0</v>
      </c>
      <c r="Q992" s="26" t="n">
        <v>11</v>
      </c>
      <c r="R992" s="26" t="n">
        <v>0</v>
      </c>
      <c r="S992" s="26" t="n">
        <v>0</v>
      </c>
      <c r="T992" s="26" t="n">
        <v>0</v>
      </c>
      <c r="U992" s="26" t="n">
        <v>0</v>
      </c>
    </row>
    <row r="993" customFormat="false" ht="15" hidden="false" customHeight="true" outlineLevel="0" collapsed="false">
      <c r="A993" s="8" t="s">
        <v>944</v>
      </c>
      <c r="B993" s="8" t="s">
        <v>150</v>
      </c>
      <c r="C993" s="8" t="s">
        <v>864</v>
      </c>
      <c r="D993" s="26" t="n">
        <v>0</v>
      </c>
      <c r="E993" s="26" t="n">
        <v>0</v>
      </c>
      <c r="F993" s="26" t="n">
        <v>20</v>
      </c>
      <c r="G993" s="26" t="n">
        <v>0</v>
      </c>
      <c r="H993" s="26" t="n">
        <v>0</v>
      </c>
      <c r="I993" s="26" t="n">
        <v>38</v>
      </c>
      <c r="J993" s="26" t="n">
        <v>0</v>
      </c>
      <c r="K993" s="26" t="n">
        <v>7</v>
      </c>
      <c r="L993" s="26" t="n">
        <v>0</v>
      </c>
      <c r="M993" s="26" t="n">
        <v>0</v>
      </c>
      <c r="N993" s="26" t="n">
        <v>0</v>
      </c>
      <c r="O993" s="26" t="n">
        <v>0</v>
      </c>
      <c r="P993" s="26" t="n">
        <v>0</v>
      </c>
      <c r="Q993" s="26" t="n">
        <v>20</v>
      </c>
      <c r="R993" s="26" t="n">
        <v>11</v>
      </c>
      <c r="S993" s="26" t="n">
        <v>0</v>
      </c>
      <c r="T993" s="26" t="n">
        <v>0</v>
      </c>
      <c r="U993" s="26" t="n">
        <v>0</v>
      </c>
    </row>
    <row r="994" customFormat="false" ht="15" hidden="false" customHeight="true" outlineLevel="0" collapsed="false">
      <c r="A994" s="8" t="s">
        <v>944</v>
      </c>
      <c r="B994" s="8" t="s">
        <v>150</v>
      </c>
      <c r="C994" s="8" t="s">
        <v>865</v>
      </c>
      <c r="D994" s="26" t="n">
        <v>0</v>
      </c>
      <c r="E994" s="26" t="n">
        <v>0</v>
      </c>
      <c r="F994" s="26" t="n">
        <v>23</v>
      </c>
      <c r="G994" s="26" t="n">
        <v>0</v>
      </c>
      <c r="H994" s="26" t="n">
        <v>0</v>
      </c>
      <c r="I994" s="26" t="n">
        <v>36</v>
      </c>
      <c r="J994" s="26" t="n">
        <v>0</v>
      </c>
      <c r="K994" s="26" t="n">
        <v>2</v>
      </c>
      <c r="L994" s="26" t="n">
        <v>0</v>
      </c>
      <c r="M994" s="26" t="n">
        <v>0</v>
      </c>
      <c r="N994" s="26" t="n">
        <v>0</v>
      </c>
      <c r="O994" s="26" t="n">
        <v>0</v>
      </c>
      <c r="P994" s="26" t="n">
        <v>0</v>
      </c>
      <c r="Q994" s="26" t="n">
        <v>22</v>
      </c>
      <c r="R994" s="26" t="n">
        <v>12</v>
      </c>
      <c r="S994" s="26" t="n">
        <v>0</v>
      </c>
      <c r="T994" s="26" t="n">
        <v>0</v>
      </c>
      <c r="U994" s="26" t="n">
        <v>0</v>
      </c>
    </row>
    <row r="995" customFormat="false" ht="15" hidden="false" customHeight="true" outlineLevel="0" collapsed="false">
      <c r="A995" s="8" t="s">
        <v>944</v>
      </c>
      <c r="B995" s="8" t="s">
        <v>150</v>
      </c>
      <c r="C995" s="8" t="s">
        <v>866</v>
      </c>
      <c r="D995" s="26" t="n">
        <v>0</v>
      </c>
      <c r="E995" s="26" t="n">
        <v>0</v>
      </c>
      <c r="F995" s="26" t="n">
        <v>15</v>
      </c>
      <c r="G995" s="26" t="n">
        <v>0</v>
      </c>
      <c r="H995" s="26" t="n">
        <v>0</v>
      </c>
      <c r="I995" s="26" t="n">
        <v>27</v>
      </c>
      <c r="J995" s="26" t="n">
        <v>0</v>
      </c>
      <c r="K995" s="26" t="n">
        <v>3</v>
      </c>
      <c r="L995" s="26" t="n">
        <v>0</v>
      </c>
      <c r="M995" s="26" t="n">
        <v>0</v>
      </c>
      <c r="N995" s="26" t="n">
        <v>0</v>
      </c>
      <c r="O995" s="26" t="n">
        <v>0</v>
      </c>
      <c r="P995" s="26" t="n">
        <v>0</v>
      </c>
      <c r="Q995" s="26" t="n">
        <v>13</v>
      </c>
      <c r="R995" s="26" t="n">
        <v>11</v>
      </c>
      <c r="S995" s="26" t="n">
        <v>0</v>
      </c>
      <c r="T995" s="26" t="n">
        <v>0</v>
      </c>
      <c r="U995" s="26" t="n">
        <v>0</v>
      </c>
    </row>
    <row r="996" customFormat="false" ht="15" hidden="false" customHeight="true" outlineLevel="0" collapsed="false">
      <c r="A996" s="8" t="s">
        <v>944</v>
      </c>
      <c r="B996" s="8" t="s">
        <v>150</v>
      </c>
      <c r="C996" s="8" t="s">
        <v>867</v>
      </c>
      <c r="D996" s="26" t="n">
        <v>0</v>
      </c>
      <c r="E996" s="26" t="n">
        <v>0</v>
      </c>
      <c r="F996" s="26" t="n">
        <v>5</v>
      </c>
      <c r="G996" s="26" t="n">
        <v>0</v>
      </c>
      <c r="H996" s="26" t="n">
        <v>0</v>
      </c>
      <c r="I996" s="26" t="n">
        <v>21</v>
      </c>
      <c r="J996" s="26" t="n">
        <v>0</v>
      </c>
      <c r="K996" s="26" t="n">
        <v>6</v>
      </c>
      <c r="L996" s="26" t="n">
        <v>0</v>
      </c>
      <c r="M996" s="26" t="n">
        <v>0</v>
      </c>
      <c r="N996" s="26" t="n">
        <v>0</v>
      </c>
      <c r="O996" s="26" t="n">
        <v>0</v>
      </c>
      <c r="P996" s="26" t="n">
        <v>0</v>
      </c>
      <c r="Q996" s="26" t="n">
        <v>12</v>
      </c>
      <c r="R996" s="26" t="n">
        <v>3</v>
      </c>
      <c r="S996" s="26" t="n">
        <v>0</v>
      </c>
      <c r="T996" s="26" t="n">
        <v>0</v>
      </c>
      <c r="U996" s="26" t="n">
        <v>0</v>
      </c>
    </row>
    <row r="997" customFormat="false" ht="15" hidden="false" customHeight="true" outlineLevel="0" collapsed="false">
      <c r="A997" s="8" t="s">
        <v>944</v>
      </c>
      <c r="B997" s="8" t="s">
        <v>294</v>
      </c>
      <c r="C997" s="8" t="s">
        <v>869</v>
      </c>
      <c r="D997" s="26" t="n">
        <v>0</v>
      </c>
      <c r="E997" s="26" t="n">
        <v>0</v>
      </c>
      <c r="F997" s="26" t="n">
        <v>0</v>
      </c>
      <c r="G997" s="26" t="n">
        <v>0</v>
      </c>
      <c r="H997" s="26" t="n">
        <v>0</v>
      </c>
      <c r="I997" s="26" t="n">
        <v>-1</v>
      </c>
      <c r="J997" s="26" t="n">
        <v>0</v>
      </c>
      <c r="K997" s="26" t="n">
        <v>0</v>
      </c>
      <c r="L997" s="26" t="n">
        <v>0</v>
      </c>
      <c r="M997" s="26" t="n">
        <v>0</v>
      </c>
      <c r="N997" s="26" t="n">
        <v>0</v>
      </c>
      <c r="O997" s="26" t="n">
        <v>0</v>
      </c>
      <c r="P997" s="26" t="n">
        <v>0</v>
      </c>
      <c r="Q997" s="26" t="n">
        <v>-1</v>
      </c>
      <c r="R997" s="26" t="n">
        <v>0</v>
      </c>
      <c r="S997" s="26" t="n">
        <v>0</v>
      </c>
      <c r="T997" s="26" t="n">
        <v>0</v>
      </c>
      <c r="U997" s="26" t="n">
        <v>0</v>
      </c>
    </row>
    <row r="998" customFormat="false" ht="15" hidden="false" customHeight="true" outlineLevel="0" collapsed="false">
      <c r="A998" s="8" t="s">
        <v>944</v>
      </c>
      <c r="B998" s="8" t="s">
        <v>377</v>
      </c>
      <c r="C998" s="8" t="s">
        <v>968</v>
      </c>
      <c r="D998" s="26" t="n">
        <v>0</v>
      </c>
      <c r="E998" s="26" t="n">
        <v>0</v>
      </c>
      <c r="F998" s="26" t="n">
        <v>0</v>
      </c>
      <c r="G998" s="26" t="n">
        <v>0</v>
      </c>
      <c r="H998" s="26" t="n">
        <v>0</v>
      </c>
      <c r="I998" s="26" t="n">
        <v>-1</v>
      </c>
      <c r="J998" s="26" t="n">
        <v>0</v>
      </c>
      <c r="K998" s="26" t="n">
        <v>0</v>
      </c>
      <c r="L998" s="26" t="n">
        <v>0</v>
      </c>
      <c r="M998" s="26" t="n">
        <v>0</v>
      </c>
      <c r="N998" s="26" t="n">
        <v>0</v>
      </c>
      <c r="O998" s="26" t="n">
        <v>0</v>
      </c>
      <c r="P998" s="26" t="n">
        <v>0</v>
      </c>
      <c r="Q998" s="26" t="n">
        <v>-1</v>
      </c>
      <c r="R998" s="26" t="n">
        <v>0</v>
      </c>
      <c r="S998" s="26" t="n">
        <v>0</v>
      </c>
      <c r="T998" s="26" t="n">
        <v>0</v>
      </c>
      <c r="U998" s="26" t="n">
        <v>0</v>
      </c>
    </row>
    <row r="999" customFormat="false" ht="15" hidden="false" customHeight="true" outlineLevel="0" collapsed="false">
      <c r="A999" s="8" t="s">
        <v>944</v>
      </c>
      <c r="B999" s="8" t="s">
        <v>368</v>
      </c>
      <c r="C999" s="8" t="s">
        <v>968</v>
      </c>
      <c r="D999" s="26" t="n">
        <v>0</v>
      </c>
      <c r="E999" s="26" t="n">
        <v>0</v>
      </c>
      <c r="F999" s="26" t="n">
        <v>0</v>
      </c>
      <c r="G999" s="26" t="n">
        <v>0</v>
      </c>
      <c r="H999" s="26" t="n">
        <v>0</v>
      </c>
      <c r="I999" s="26" t="n">
        <v>-2</v>
      </c>
      <c r="J999" s="26" t="n">
        <v>0</v>
      </c>
      <c r="K999" s="26" t="n">
        <v>0</v>
      </c>
      <c r="L999" s="26" t="n">
        <v>0</v>
      </c>
      <c r="M999" s="26" t="n">
        <v>0</v>
      </c>
      <c r="N999" s="26" t="n">
        <v>0</v>
      </c>
      <c r="O999" s="26" t="n">
        <v>0</v>
      </c>
      <c r="P999" s="26" t="n">
        <v>-1</v>
      </c>
      <c r="Q999" s="26" t="n">
        <v>-1</v>
      </c>
      <c r="R999" s="26" t="n">
        <v>0</v>
      </c>
      <c r="S999" s="26" t="n">
        <v>0</v>
      </c>
      <c r="T999" s="26" t="n">
        <v>0</v>
      </c>
      <c r="U999" s="26" t="n">
        <v>0</v>
      </c>
    </row>
    <row r="1000" customFormat="false" ht="15" hidden="false" customHeight="true" outlineLevel="0" collapsed="false">
      <c r="A1000" s="8" t="s">
        <v>944</v>
      </c>
      <c r="B1000" s="8" t="s">
        <v>252</v>
      </c>
      <c r="C1000" s="8" t="s">
        <v>880</v>
      </c>
      <c r="D1000" s="26" t="n">
        <v>0</v>
      </c>
      <c r="E1000" s="26" t="n">
        <v>0</v>
      </c>
      <c r="F1000" s="26" t="n">
        <v>11</v>
      </c>
      <c r="G1000" s="26" t="n">
        <v>0</v>
      </c>
      <c r="H1000" s="26" t="n">
        <v>0</v>
      </c>
      <c r="I1000" s="26" t="n">
        <v>113</v>
      </c>
      <c r="J1000" s="26" t="n">
        <v>0</v>
      </c>
      <c r="K1000" s="26" t="n">
        <v>0</v>
      </c>
      <c r="L1000" s="26" t="n">
        <v>0</v>
      </c>
      <c r="M1000" s="26" t="n">
        <v>0</v>
      </c>
      <c r="N1000" s="26" t="n">
        <v>0</v>
      </c>
      <c r="O1000" s="26" t="n">
        <v>0</v>
      </c>
      <c r="P1000" s="26" t="n">
        <v>0</v>
      </c>
      <c r="Q1000" s="26" t="n">
        <v>113</v>
      </c>
      <c r="R1000" s="26" t="n">
        <v>0</v>
      </c>
      <c r="S1000" s="26" t="n">
        <v>0</v>
      </c>
      <c r="T1000" s="26" t="n">
        <v>0</v>
      </c>
      <c r="U1000" s="26" t="n">
        <v>0</v>
      </c>
    </row>
    <row r="1001" customFormat="false" ht="15" hidden="false" customHeight="true" outlineLevel="0" collapsed="false">
      <c r="A1001" s="8" t="s">
        <v>944</v>
      </c>
      <c r="B1001" s="8" t="s">
        <v>245</v>
      </c>
      <c r="C1001" s="8" t="s">
        <v>880</v>
      </c>
      <c r="D1001" s="26" t="n">
        <v>0</v>
      </c>
      <c r="E1001" s="26" t="n">
        <v>0</v>
      </c>
      <c r="F1001" s="26" t="n">
        <v>16</v>
      </c>
      <c r="G1001" s="26" t="n">
        <v>0</v>
      </c>
      <c r="H1001" s="26" t="n">
        <v>0</v>
      </c>
      <c r="I1001" s="26" t="n">
        <v>162</v>
      </c>
      <c r="J1001" s="26" t="n">
        <v>0</v>
      </c>
      <c r="K1001" s="26" t="n">
        <v>0</v>
      </c>
      <c r="L1001" s="26" t="n">
        <v>0</v>
      </c>
      <c r="M1001" s="26" t="n">
        <v>0</v>
      </c>
      <c r="N1001" s="26" t="n">
        <v>0</v>
      </c>
      <c r="O1001" s="26" t="n">
        <v>0</v>
      </c>
      <c r="P1001" s="26" t="n">
        <v>0</v>
      </c>
      <c r="Q1001" s="26" t="n">
        <v>162</v>
      </c>
      <c r="R1001" s="26" t="n">
        <v>0</v>
      </c>
      <c r="S1001" s="26" t="n">
        <v>0</v>
      </c>
      <c r="T1001" s="26" t="n">
        <v>0</v>
      </c>
      <c r="U1001" s="26" t="n">
        <v>0</v>
      </c>
    </row>
    <row r="1002" customFormat="false" ht="15" hidden="false" customHeight="true" outlineLevel="0" collapsed="false">
      <c r="A1002" s="8" t="s">
        <v>944</v>
      </c>
      <c r="B1002" s="8" t="s">
        <v>253</v>
      </c>
      <c r="C1002" s="8" t="s">
        <v>880</v>
      </c>
      <c r="D1002" s="26" t="n">
        <v>0</v>
      </c>
      <c r="E1002" s="26" t="n">
        <v>0</v>
      </c>
      <c r="F1002" s="26" t="n">
        <v>9</v>
      </c>
      <c r="G1002" s="26" t="n">
        <v>0</v>
      </c>
      <c r="H1002" s="26" t="n">
        <v>0</v>
      </c>
      <c r="I1002" s="26" t="n">
        <v>156</v>
      </c>
      <c r="J1002" s="26" t="n">
        <v>0</v>
      </c>
      <c r="K1002" s="26" t="n">
        <v>0</v>
      </c>
      <c r="L1002" s="26" t="n">
        <v>0</v>
      </c>
      <c r="M1002" s="26" t="n">
        <v>0</v>
      </c>
      <c r="N1002" s="26" t="n">
        <v>1</v>
      </c>
      <c r="O1002" s="26" t="n">
        <v>0</v>
      </c>
      <c r="P1002" s="26" t="n">
        <v>0</v>
      </c>
      <c r="Q1002" s="26" t="n">
        <v>155</v>
      </c>
      <c r="R1002" s="26" t="n">
        <v>0</v>
      </c>
      <c r="S1002" s="26" t="n">
        <v>0</v>
      </c>
      <c r="T1002" s="26" t="n">
        <v>0</v>
      </c>
      <c r="U1002" s="26" t="n">
        <v>0</v>
      </c>
    </row>
    <row r="1003" customFormat="false" ht="15" hidden="false" customHeight="true" outlineLevel="0" collapsed="false">
      <c r="A1003" s="8" t="s">
        <v>944</v>
      </c>
      <c r="B1003" s="8" t="s">
        <v>276</v>
      </c>
      <c r="C1003" s="8" t="s">
        <v>880</v>
      </c>
      <c r="D1003" s="26" t="n">
        <v>0</v>
      </c>
      <c r="E1003" s="26" t="n">
        <v>0</v>
      </c>
      <c r="F1003" s="26" t="n">
        <v>5</v>
      </c>
      <c r="G1003" s="26" t="n">
        <v>0</v>
      </c>
      <c r="H1003" s="26" t="n">
        <v>0</v>
      </c>
      <c r="I1003" s="26" t="n">
        <v>34</v>
      </c>
      <c r="J1003" s="26" t="n">
        <v>0</v>
      </c>
      <c r="K1003" s="26" t="n">
        <v>0</v>
      </c>
      <c r="L1003" s="26" t="n">
        <v>0</v>
      </c>
      <c r="M1003" s="26" t="n">
        <v>0</v>
      </c>
      <c r="N1003" s="26" t="n">
        <v>0</v>
      </c>
      <c r="O1003" s="26" t="n">
        <v>0</v>
      </c>
      <c r="P1003" s="26" t="n">
        <v>0</v>
      </c>
      <c r="Q1003" s="26" t="n">
        <v>34</v>
      </c>
      <c r="R1003" s="26" t="n">
        <v>0</v>
      </c>
      <c r="S1003" s="26" t="n">
        <v>0</v>
      </c>
      <c r="T1003" s="26" t="n">
        <v>0</v>
      </c>
      <c r="U1003" s="26" t="n">
        <v>0</v>
      </c>
    </row>
    <row r="1004" customFormat="false" ht="15" hidden="false" customHeight="true" outlineLevel="0" collapsed="false">
      <c r="A1004" s="8" t="s">
        <v>944</v>
      </c>
      <c r="B1004" s="8" t="s">
        <v>247</v>
      </c>
      <c r="C1004" s="8" t="s">
        <v>881</v>
      </c>
      <c r="D1004" s="26" t="n">
        <v>0</v>
      </c>
      <c r="E1004" s="26" t="n">
        <v>0</v>
      </c>
      <c r="F1004" s="26" t="n">
        <v>13</v>
      </c>
      <c r="G1004" s="26" t="n">
        <v>0</v>
      </c>
      <c r="H1004" s="26" t="n">
        <v>0</v>
      </c>
      <c r="I1004" s="26" t="n">
        <v>183</v>
      </c>
      <c r="J1004" s="26" t="n">
        <v>0</v>
      </c>
      <c r="K1004" s="26" t="n">
        <v>0</v>
      </c>
      <c r="L1004" s="26" t="n">
        <v>0</v>
      </c>
      <c r="M1004" s="26" t="n">
        <v>0</v>
      </c>
      <c r="N1004" s="26" t="n">
        <v>0</v>
      </c>
      <c r="O1004" s="26" t="n">
        <v>0</v>
      </c>
      <c r="P1004" s="26" t="n">
        <v>0</v>
      </c>
      <c r="Q1004" s="26" t="n">
        <v>183</v>
      </c>
      <c r="R1004" s="26" t="n">
        <v>0</v>
      </c>
      <c r="S1004" s="26" t="n">
        <v>0</v>
      </c>
      <c r="T1004" s="26" t="n">
        <v>0</v>
      </c>
      <c r="U1004" s="26" t="n">
        <v>0</v>
      </c>
    </row>
    <row r="1005" customFormat="false" ht="15" hidden="false" customHeight="true" outlineLevel="0" collapsed="false">
      <c r="A1005" s="8" t="s">
        <v>944</v>
      </c>
      <c r="B1005" s="8" t="s">
        <v>243</v>
      </c>
      <c r="C1005" s="8" t="s">
        <v>881</v>
      </c>
      <c r="D1005" s="26" t="n">
        <v>0</v>
      </c>
      <c r="E1005" s="26" t="n">
        <v>0</v>
      </c>
      <c r="F1005" s="26" t="n">
        <v>27</v>
      </c>
      <c r="G1005" s="26" t="n">
        <v>0</v>
      </c>
      <c r="H1005" s="26" t="n">
        <v>0</v>
      </c>
      <c r="I1005" s="26" t="n">
        <v>324</v>
      </c>
      <c r="J1005" s="26" t="n">
        <v>0</v>
      </c>
      <c r="K1005" s="26" t="n">
        <v>0</v>
      </c>
      <c r="L1005" s="26" t="n">
        <v>0</v>
      </c>
      <c r="M1005" s="26" t="n">
        <v>0</v>
      </c>
      <c r="N1005" s="26" t="n">
        <v>0</v>
      </c>
      <c r="O1005" s="26" t="n">
        <v>0</v>
      </c>
      <c r="P1005" s="26" t="n">
        <v>0</v>
      </c>
      <c r="Q1005" s="26" t="n">
        <v>324</v>
      </c>
      <c r="R1005" s="26" t="n">
        <v>0</v>
      </c>
      <c r="S1005" s="26" t="n">
        <v>0</v>
      </c>
      <c r="T1005" s="26" t="n">
        <v>0</v>
      </c>
      <c r="U1005" s="26" t="n">
        <v>0</v>
      </c>
    </row>
    <row r="1006" customFormat="false" ht="15" hidden="false" customHeight="true" outlineLevel="0" collapsed="false">
      <c r="A1006" s="8" t="s">
        <v>944</v>
      </c>
      <c r="B1006" s="8" t="s">
        <v>271</v>
      </c>
      <c r="C1006" s="8" t="s">
        <v>881</v>
      </c>
      <c r="D1006" s="26" t="n">
        <v>0</v>
      </c>
      <c r="E1006" s="26" t="n">
        <v>0</v>
      </c>
      <c r="F1006" s="26" t="n">
        <v>26</v>
      </c>
      <c r="G1006" s="26" t="n">
        <v>0</v>
      </c>
      <c r="H1006" s="26" t="n">
        <v>0</v>
      </c>
      <c r="I1006" s="26" t="n">
        <v>247</v>
      </c>
      <c r="J1006" s="26" t="n">
        <v>0</v>
      </c>
      <c r="K1006" s="26" t="n">
        <v>0</v>
      </c>
      <c r="L1006" s="26" t="n">
        <v>0</v>
      </c>
      <c r="M1006" s="26" t="n">
        <v>0</v>
      </c>
      <c r="N1006" s="26" t="n">
        <v>0</v>
      </c>
      <c r="O1006" s="26" t="n">
        <v>0</v>
      </c>
      <c r="P1006" s="26" t="n">
        <v>0</v>
      </c>
      <c r="Q1006" s="26" t="n">
        <v>247</v>
      </c>
      <c r="R1006" s="26" t="n">
        <v>0</v>
      </c>
      <c r="S1006" s="26" t="n">
        <v>0</v>
      </c>
      <c r="T1006" s="26" t="n">
        <v>0</v>
      </c>
      <c r="U1006" s="26" t="n">
        <v>0</v>
      </c>
    </row>
    <row r="1007" customFormat="false" ht="15" hidden="false" customHeight="true" outlineLevel="0" collapsed="false">
      <c r="A1007" s="8" t="s">
        <v>944</v>
      </c>
      <c r="B1007" s="8" t="s">
        <v>261</v>
      </c>
      <c r="C1007" s="8" t="s">
        <v>881</v>
      </c>
      <c r="D1007" s="26" t="n">
        <v>0</v>
      </c>
      <c r="E1007" s="26" t="n">
        <v>0</v>
      </c>
      <c r="F1007" s="26" t="n">
        <v>5</v>
      </c>
      <c r="G1007" s="26" t="n">
        <v>0</v>
      </c>
      <c r="H1007" s="26" t="n">
        <v>0</v>
      </c>
      <c r="I1007" s="26" t="n">
        <v>54</v>
      </c>
      <c r="J1007" s="26" t="n">
        <v>0</v>
      </c>
      <c r="K1007" s="26" t="n">
        <v>0</v>
      </c>
      <c r="L1007" s="26" t="n">
        <v>0</v>
      </c>
      <c r="M1007" s="26" t="n">
        <v>0</v>
      </c>
      <c r="N1007" s="26" t="n">
        <v>0</v>
      </c>
      <c r="O1007" s="26" t="n">
        <v>0</v>
      </c>
      <c r="P1007" s="26" t="n">
        <v>0</v>
      </c>
      <c r="Q1007" s="26" t="n">
        <v>54</v>
      </c>
      <c r="R1007" s="26" t="n">
        <v>0</v>
      </c>
      <c r="S1007" s="26" t="n">
        <v>0</v>
      </c>
      <c r="T1007" s="26" t="n">
        <v>0</v>
      </c>
      <c r="U1007" s="26" t="n">
        <v>0</v>
      </c>
    </row>
    <row r="1008" customFormat="false" ht="15" hidden="false" customHeight="true" outlineLevel="0" collapsed="false">
      <c r="A1008" s="8" t="s">
        <v>944</v>
      </c>
      <c r="B1008" s="8" t="s">
        <v>164</v>
      </c>
      <c r="C1008" s="8" t="s">
        <v>882</v>
      </c>
      <c r="D1008" s="26" t="n">
        <v>0</v>
      </c>
      <c r="E1008" s="26" t="n">
        <v>0</v>
      </c>
      <c r="F1008" s="26" t="n">
        <v>0</v>
      </c>
      <c r="G1008" s="26" t="n">
        <v>0</v>
      </c>
      <c r="H1008" s="26" t="n">
        <v>0</v>
      </c>
      <c r="I1008" s="26" t="n">
        <v>-1</v>
      </c>
      <c r="J1008" s="26" t="n">
        <v>0</v>
      </c>
      <c r="K1008" s="26" t="n">
        <v>0</v>
      </c>
      <c r="L1008" s="26" t="n">
        <v>0</v>
      </c>
      <c r="M1008" s="26" t="n">
        <v>0</v>
      </c>
      <c r="N1008" s="26" t="n">
        <v>0</v>
      </c>
      <c r="O1008" s="26" t="n">
        <v>0</v>
      </c>
      <c r="P1008" s="26" t="n">
        <v>-1</v>
      </c>
      <c r="Q1008" s="26" t="n">
        <v>0</v>
      </c>
      <c r="R1008" s="26" t="n">
        <v>0</v>
      </c>
      <c r="S1008" s="26" t="n">
        <v>0</v>
      </c>
      <c r="T1008" s="26" t="n">
        <v>0</v>
      </c>
      <c r="U1008" s="26" t="n">
        <v>0</v>
      </c>
    </row>
    <row r="1009" customFormat="false" ht="15" hidden="false" customHeight="true" outlineLevel="0" collapsed="false">
      <c r="A1009" s="8" t="s">
        <v>944</v>
      </c>
      <c r="B1009" s="8" t="s">
        <v>164</v>
      </c>
      <c r="C1009" s="8" t="s">
        <v>883</v>
      </c>
      <c r="D1009" s="26" t="n">
        <v>0</v>
      </c>
      <c r="E1009" s="26" t="n">
        <v>0</v>
      </c>
      <c r="F1009" s="26" t="n">
        <v>39</v>
      </c>
      <c r="G1009" s="26" t="n">
        <v>0</v>
      </c>
      <c r="H1009" s="26" t="n">
        <v>0</v>
      </c>
      <c r="I1009" s="26" t="n">
        <v>3</v>
      </c>
      <c r="J1009" s="26" t="n">
        <v>0</v>
      </c>
      <c r="K1009" s="26" t="n">
        <v>0</v>
      </c>
      <c r="L1009" s="26" t="n">
        <v>0</v>
      </c>
      <c r="M1009" s="26" t="n">
        <v>0</v>
      </c>
      <c r="N1009" s="26" t="n">
        <v>0</v>
      </c>
      <c r="O1009" s="26" t="n">
        <v>0</v>
      </c>
      <c r="P1009" s="26" t="n">
        <v>-1</v>
      </c>
      <c r="Q1009" s="26" t="n">
        <v>0</v>
      </c>
      <c r="R1009" s="26" t="n">
        <v>4</v>
      </c>
      <c r="S1009" s="26" t="n">
        <v>0</v>
      </c>
      <c r="T1009" s="26" t="n">
        <v>0</v>
      </c>
      <c r="U1009" s="26" t="n">
        <v>0</v>
      </c>
    </row>
    <row r="1010" customFormat="false" ht="15" hidden="false" customHeight="true" outlineLevel="0" collapsed="false">
      <c r="A1010" s="8" t="s">
        <v>944</v>
      </c>
      <c r="B1010" s="8" t="s">
        <v>223</v>
      </c>
      <c r="C1010" s="8" t="s">
        <v>969</v>
      </c>
      <c r="D1010" s="26" t="n">
        <v>0</v>
      </c>
      <c r="E1010" s="26" t="n">
        <v>0</v>
      </c>
      <c r="F1010" s="26" t="n">
        <v>4</v>
      </c>
      <c r="G1010" s="26" t="n">
        <v>0</v>
      </c>
      <c r="H1010" s="26" t="n">
        <v>0</v>
      </c>
      <c r="I1010" s="26" t="n">
        <v>0</v>
      </c>
      <c r="J1010" s="26" t="n">
        <v>0</v>
      </c>
      <c r="K1010" s="26" t="n">
        <v>0</v>
      </c>
      <c r="L1010" s="26" t="n">
        <v>0</v>
      </c>
      <c r="M1010" s="26" t="n">
        <v>0</v>
      </c>
      <c r="N1010" s="26" t="n">
        <v>0</v>
      </c>
      <c r="O1010" s="26" t="n">
        <v>0</v>
      </c>
      <c r="P1010" s="26" t="n">
        <v>0</v>
      </c>
      <c r="Q1010" s="26" t="n">
        <v>0</v>
      </c>
      <c r="R1010" s="26" t="n">
        <v>0</v>
      </c>
      <c r="S1010" s="26" t="n">
        <v>0</v>
      </c>
      <c r="T1010" s="26" t="n">
        <v>0</v>
      </c>
      <c r="U1010" s="26" t="n">
        <v>0</v>
      </c>
    </row>
    <row r="1011" customFormat="false" ht="15" hidden="false" customHeight="true" outlineLevel="0" collapsed="false">
      <c r="A1011" s="8" t="s">
        <v>944</v>
      </c>
      <c r="B1011" s="8" t="s">
        <v>223</v>
      </c>
      <c r="C1011" s="8" t="s">
        <v>970</v>
      </c>
      <c r="D1011" s="26" t="n">
        <v>0</v>
      </c>
      <c r="E1011" s="26" t="n">
        <v>0</v>
      </c>
      <c r="F1011" s="26" t="n">
        <v>5</v>
      </c>
      <c r="G1011" s="26" t="n">
        <v>0</v>
      </c>
      <c r="H1011" s="26" t="n">
        <v>0</v>
      </c>
      <c r="I1011" s="26" t="n">
        <v>0</v>
      </c>
      <c r="J1011" s="26" t="n">
        <v>0</v>
      </c>
      <c r="K1011" s="26" t="n">
        <v>0</v>
      </c>
      <c r="L1011" s="26" t="n">
        <v>0</v>
      </c>
      <c r="M1011" s="26" t="n">
        <v>0</v>
      </c>
      <c r="N1011" s="26" t="n">
        <v>0</v>
      </c>
      <c r="O1011" s="26" t="n">
        <v>0</v>
      </c>
      <c r="P1011" s="26" t="n">
        <v>0</v>
      </c>
      <c r="Q1011" s="26" t="n">
        <v>0</v>
      </c>
      <c r="R1011" s="26" t="n">
        <v>0</v>
      </c>
      <c r="S1011" s="26" t="n">
        <v>0</v>
      </c>
      <c r="T1011" s="26" t="n">
        <v>0</v>
      </c>
      <c r="U1011" s="26" t="n">
        <v>0</v>
      </c>
    </row>
    <row r="1012" customFormat="false" ht="15" hidden="false" customHeight="true" outlineLevel="0" collapsed="false">
      <c r="A1012" s="8" t="s">
        <v>944</v>
      </c>
      <c r="B1012" s="8" t="s">
        <v>223</v>
      </c>
      <c r="C1012" s="8" t="s">
        <v>971</v>
      </c>
      <c r="D1012" s="26" t="n">
        <v>0</v>
      </c>
      <c r="E1012" s="26" t="n">
        <v>0</v>
      </c>
      <c r="F1012" s="26" t="n">
        <v>3</v>
      </c>
      <c r="G1012" s="26" t="n">
        <v>0</v>
      </c>
      <c r="H1012" s="26" t="n">
        <v>0</v>
      </c>
      <c r="I1012" s="26" t="n">
        <v>0</v>
      </c>
      <c r="J1012" s="26" t="n">
        <v>0</v>
      </c>
      <c r="K1012" s="26" t="n">
        <v>0</v>
      </c>
      <c r="L1012" s="26" t="n">
        <v>0</v>
      </c>
      <c r="M1012" s="26" t="n">
        <v>0</v>
      </c>
      <c r="N1012" s="26" t="n">
        <v>0</v>
      </c>
      <c r="O1012" s="26" t="n">
        <v>0</v>
      </c>
      <c r="P1012" s="26" t="n">
        <v>0</v>
      </c>
      <c r="Q1012" s="26" t="n">
        <v>0</v>
      </c>
      <c r="R1012" s="26" t="n">
        <v>0</v>
      </c>
      <c r="S1012" s="26" t="n">
        <v>0</v>
      </c>
      <c r="T1012" s="26" t="n">
        <v>0</v>
      </c>
      <c r="U1012" s="26" t="n">
        <v>0</v>
      </c>
    </row>
    <row r="1013" customFormat="false" ht="15" hidden="false" customHeight="true" outlineLevel="0" collapsed="false">
      <c r="A1013" s="8" t="s">
        <v>944</v>
      </c>
      <c r="B1013" s="8" t="s">
        <v>282</v>
      </c>
      <c r="C1013" s="8" t="s">
        <v>884</v>
      </c>
      <c r="D1013" s="26" t="n">
        <v>0</v>
      </c>
      <c r="E1013" s="26" t="n">
        <v>0</v>
      </c>
      <c r="F1013" s="26" t="n">
        <v>58</v>
      </c>
      <c r="G1013" s="26" t="n">
        <v>0</v>
      </c>
      <c r="H1013" s="26" t="n">
        <v>0</v>
      </c>
      <c r="I1013" s="26" t="n">
        <v>681</v>
      </c>
      <c r="J1013" s="26" t="n">
        <v>0</v>
      </c>
      <c r="K1013" s="26" t="n">
        <v>2</v>
      </c>
      <c r="L1013" s="26" t="n">
        <v>0</v>
      </c>
      <c r="M1013" s="26" t="n">
        <v>0</v>
      </c>
      <c r="N1013" s="26" t="n">
        <v>0</v>
      </c>
      <c r="O1013" s="26" t="n">
        <v>0</v>
      </c>
      <c r="P1013" s="26" t="n">
        <v>0</v>
      </c>
      <c r="Q1013" s="26" t="n">
        <v>654</v>
      </c>
      <c r="R1013" s="26" t="n">
        <v>25</v>
      </c>
      <c r="S1013" s="26" t="n">
        <v>0</v>
      </c>
      <c r="T1013" s="26" t="n">
        <v>0</v>
      </c>
      <c r="U1013" s="26" t="n">
        <v>0</v>
      </c>
    </row>
    <row r="1014" customFormat="false" ht="15" hidden="false" customHeight="true" outlineLevel="0" collapsed="false">
      <c r="A1014" s="8" t="s">
        <v>944</v>
      </c>
      <c r="B1014" s="8" t="s">
        <v>95</v>
      </c>
      <c r="C1014" s="8" t="s">
        <v>885</v>
      </c>
      <c r="D1014" s="26" t="n">
        <v>0</v>
      </c>
      <c r="E1014" s="26" t="n">
        <v>0</v>
      </c>
      <c r="F1014" s="26" t="n">
        <v>735</v>
      </c>
      <c r="G1014" s="26" t="n">
        <v>0</v>
      </c>
      <c r="H1014" s="26" t="n">
        <v>0</v>
      </c>
      <c r="I1014" s="26" t="n">
        <v>1366</v>
      </c>
      <c r="J1014" s="26" t="n">
        <v>0</v>
      </c>
      <c r="K1014" s="26" t="n">
        <v>17</v>
      </c>
      <c r="L1014" s="26" t="n">
        <v>0</v>
      </c>
      <c r="M1014" s="26" t="n">
        <v>4</v>
      </c>
      <c r="N1014" s="26" t="n">
        <v>0</v>
      </c>
      <c r="O1014" s="26" t="n">
        <v>0</v>
      </c>
      <c r="P1014" s="26" t="n">
        <v>0</v>
      </c>
      <c r="Q1014" s="26" t="n">
        <v>1283</v>
      </c>
      <c r="R1014" s="26" t="n">
        <v>62</v>
      </c>
      <c r="S1014" s="26" t="n">
        <v>1</v>
      </c>
      <c r="T1014" s="26" t="n">
        <v>0</v>
      </c>
      <c r="U1014" s="26" t="n">
        <v>-3</v>
      </c>
    </row>
    <row r="1015" customFormat="false" ht="15" hidden="false" customHeight="true" outlineLevel="0" collapsed="false">
      <c r="A1015" s="8" t="s">
        <v>944</v>
      </c>
      <c r="B1015" s="8" t="s">
        <v>177</v>
      </c>
      <c r="C1015" s="8" t="s">
        <v>886</v>
      </c>
      <c r="D1015" s="26" t="n">
        <v>0</v>
      </c>
      <c r="E1015" s="26" t="n">
        <v>0</v>
      </c>
      <c r="F1015" s="26" t="n">
        <v>114</v>
      </c>
      <c r="G1015" s="26" t="n">
        <v>0</v>
      </c>
      <c r="H1015" s="26" t="n">
        <v>0</v>
      </c>
      <c r="I1015" s="26" t="n">
        <v>253</v>
      </c>
      <c r="J1015" s="26" t="n">
        <v>0</v>
      </c>
      <c r="K1015" s="26" t="n">
        <v>1</v>
      </c>
      <c r="L1015" s="26" t="n">
        <v>0</v>
      </c>
      <c r="M1015" s="26" t="n">
        <v>0</v>
      </c>
      <c r="N1015" s="26" t="n">
        <v>1</v>
      </c>
      <c r="O1015" s="26" t="n">
        <v>0</v>
      </c>
      <c r="P1015" s="26" t="n">
        <v>0</v>
      </c>
      <c r="Q1015" s="26" t="n">
        <v>236</v>
      </c>
      <c r="R1015" s="26" t="n">
        <v>15</v>
      </c>
      <c r="S1015" s="26" t="n">
        <v>0</v>
      </c>
      <c r="T1015" s="26" t="n">
        <v>0</v>
      </c>
      <c r="U1015" s="26" t="n">
        <v>0</v>
      </c>
    </row>
    <row r="1016" customFormat="false" ht="15" hidden="false" customHeight="true" outlineLevel="0" collapsed="false">
      <c r="A1016" s="8" t="s">
        <v>944</v>
      </c>
      <c r="B1016" s="8" t="s">
        <v>95</v>
      </c>
      <c r="C1016" s="8" t="s">
        <v>887</v>
      </c>
      <c r="D1016" s="26" t="n">
        <v>0</v>
      </c>
      <c r="E1016" s="26" t="n">
        <v>0</v>
      </c>
      <c r="F1016" s="26" t="n">
        <v>49</v>
      </c>
      <c r="G1016" s="26" t="n">
        <v>0</v>
      </c>
      <c r="H1016" s="26" t="n">
        <v>0</v>
      </c>
      <c r="I1016" s="26" t="n">
        <v>424</v>
      </c>
      <c r="J1016" s="26" t="n">
        <v>0</v>
      </c>
      <c r="K1016" s="26" t="n">
        <v>0</v>
      </c>
      <c r="L1016" s="26" t="n">
        <v>0</v>
      </c>
      <c r="M1016" s="26" t="n">
        <v>0</v>
      </c>
      <c r="N1016" s="26" t="n">
        <v>0</v>
      </c>
      <c r="O1016" s="26" t="n">
        <v>0</v>
      </c>
      <c r="P1016" s="26" t="n">
        <v>0</v>
      </c>
      <c r="Q1016" s="26" t="n">
        <v>424</v>
      </c>
      <c r="R1016" s="26" t="n">
        <v>0</v>
      </c>
      <c r="S1016" s="26" t="n">
        <v>0</v>
      </c>
      <c r="T1016" s="26" t="n">
        <v>0</v>
      </c>
      <c r="U1016" s="26" t="n">
        <v>0</v>
      </c>
    </row>
    <row r="1017" customFormat="false" ht="15" hidden="false" customHeight="true" outlineLevel="0" collapsed="false">
      <c r="A1017" s="8" t="s">
        <v>944</v>
      </c>
      <c r="B1017" s="8" t="s">
        <v>98</v>
      </c>
      <c r="C1017" s="8" t="s">
        <v>889</v>
      </c>
      <c r="D1017" s="26" t="n">
        <v>0</v>
      </c>
      <c r="E1017" s="26" t="n">
        <v>0</v>
      </c>
      <c r="F1017" s="26" t="n">
        <v>180</v>
      </c>
      <c r="G1017" s="26" t="n">
        <v>0</v>
      </c>
      <c r="H1017" s="26" t="n">
        <v>0</v>
      </c>
      <c r="I1017" s="26" t="n">
        <v>3</v>
      </c>
      <c r="J1017" s="26" t="n">
        <v>0</v>
      </c>
      <c r="K1017" s="26" t="n">
        <v>0</v>
      </c>
      <c r="L1017" s="26" t="n">
        <v>0</v>
      </c>
      <c r="M1017" s="26" t="n">
        <v>0</v>
      </c>
      <c r="N1017" s="26" t="n">
        <v>3</v>
      </c>
      <c r="O1017" s="26" t="n">
        <v>0</v>
      </c>
      <c r="P1017" s="26" t="n">
        <v>0</v>
      </c>
      <c r="Q1017" s="26" t="n">
        <v>0</v>
      </c>
      <c r="R1017" s="26" t="n">
        <v>0</v>
      </c>
      <c r="S1017" s="26" t="n">
        <v>0</v>
      </c>
      <c r="T1017" s="26" t="n">
        <v>0</v>
      </c>
      <c r="U1017" s="26" t="n">
        <v>0</v>
      </c>
    </row>
    <row r="1018" customFormat="false" ht="15" hidden="false" customHeight="true" outlineLevel="0" collapsed="false">
      <c r="A1018" s="8" t="s">
        <v>944</v>
      </c>
      <c r="B1018" s="8" t="s">
        <v>98</v>
      </c>
      <c r="C1018" s="8" t="s">
        <v>890</v>
      </c>
      <c r="D1018" s="26" t="n">
        <v>0</v>
      </c>
      <c r="E1018" s="26" t="n">
        <v>0</v>
      </c>
      <c r="F1018" s="26" t="n">
        <v>97</v>
      </c>
      <c r="G1018" s="26" t="n">
        <v>0</v>
      </c>
      <c r="H1018" s="26" t="n">
        <v>0</v>
      </c>
      <c r="I1018" s="26" t="n">
        <v>2</v>
      </c>
      <c r="J1018" s="26" t="n">
        <v>0</v>
      </c>
      <c r="K1018" s="26" t="n">
        <v>0</v>
      </c>
      <c r="L1018" s="26" t="n">
        <v>0</v>
      </c>
      <c r="M1018" s="26" t="n">
        <v>0</v>
      </c>
      <c r="N1018" s="26" t="n">
        <v>2</v>
      </c>
      <c r="O1018" s="26" t="n">
        <v>0</v>
      </c>
      <c r="P1018" s="26" t="n">
        <v>0</v>
      </c>
      <c r="Q1018" s="26" t="n">
        <v>0</v>
      </c>
      <c r="R1018" s="26" t="n">
        <v>0</v>
      </c>
      <c r="S1018" s="26" t="n">
        <v>0</v>
      </c>
      <c r="T1018" s="26" t="n">
        <v>0</v>
      </c>
      <c r="U1018" s="26" t="n">
        <v>0</v>
      </c>
    </row>
    <row r="1019" customFormat="false" ht="15" hidden="false" customHeight="true" outlineLevel="0" collapsed="false">
      <c r="A1019" s="8" t="s">
        <v>944</v>
      </c>
      <c r="B1019" s="8" t="s">
        <v>98</v>
      </c>
      <c r="C1019" s="8" t="s">
        <v>891</v>
      </c>
      <c r="D1019" s="26" t="n">
        <v>0</v>
      </c>
      <c r="E1019" s="26" t="n">
        <v>0</v>
      </c>
      <c r="F1019" s="26" t="n">
        <v>143</v>
      </c>
      <c r="G1019" s="26" t="n">
        <v>0</v>
      </c>
      <c r="H1019" s="26" t="n">
        <v>0</v>
      </c>
      <c r="I1019" s="26" t="n">
        <v>3</v>
      </c>
      <c r="J1019" s="26" t="n">
        <v>0</v>
      </c>
      <c r="K1019" s="26" t="n">
        <v>0</v>
      </c>
      <c r="L1019" s="26" t="n">
        <v>0</v>
      </c>
      <c r="M1019" s="26" t="n">
        <v>0</v>
      </c>
      <c r="N1019" s="26" t="n">
        <v>3</v>
      </c>
      <c r="O1019" s="26" t="n">
        <v>0</v>
      </c>
      <c r="P1019" s="26" t="n">
        <v>0</v>
      </c>
      <c r="Q1019" s="26" t="n">
        <v>0</v>
      </c>
      <c r="R1019" s="26" t="n">
        <v>0</v>
      </c>
      <c r="S1019" s="26" t="n">
        <v>0</v>
      </c>
      <c r="T1019" s="26" t="n">
        <v>0</v>
      </c>
      <c r="U1019" s="26" t="n">
        <v>0</v>
      </c>
    </row>
    <row r="1020" customFormat="false" ht="15" hidden="false" customHeight="true" outlineLevel="0" collapsed="false">
      <c r="A1020" s="8" t="s">
        <v>944</v>
      </c>
      <c r="B1020" s="8" t="s">
        <v>98</v>
      </c>
      <c r="C1020" s="8" t="s">
        <v>892</v>
      </c>
      <c r="D1020" s="26" t="n">
        <v>0</v>
      </c>
      <c r="E1020" s="26" t="n">
        <v>0</v>
      </c>
      <c r="F1020" s="26" t="n">
        <v>74</v>
      </c>
      <c r="G1020" s="26" t="n">
        <v>0</v>
      </c>
      <c r="H1020" s="26" t="n">
        <v>0</v>
      </c>
      <c r="I1020" s="26" t="n">
        <v>3</v>
      </c>
      <c r="J1020" s="26" t="n">
        <v>0</v>
      </c>
      <c r="K1020" s="26" t="n">
        <v>0</v>
      </c>
      <c r="L1020" s="26" t="n">
        <v>0</v>
      </c>
      <c r="M1020" s="26" t="n">
        <v>0</v>
      </c>
      <c r="N1020" s="26" t="n">
        <v>3</v>
      </c>
      <c r="O1020" s="26" t="n">
        <v>0</v>
      </c>
      <c r="P1020" s="26" t="n">
        <v>0</v>
      </c>
      <c r="Q1020" s="26" t="n">
        <v>0</v>
      </c>
      <c r="R1020" s="26" t="n">
        <v>0</v>
      </c>
      <c r="S1020" s="26" t="n">
        <v>0</v>
      </c>
      <c r="T1020" s="26" t="n">
        <v>0</v>
      </c>
      <c r="U1020" s="26" t="n">
        <v>0</v>
      </c>
    </row>
    <row r="1021" customFormat="false" ht="15" hidden="false" customHeight="true" outlineLevel="0" collapsed="false">
      <c r="A1021" s="8" t="s">
        <v>944</v>
      </c>
      <c r="B1021" s="8" t="s">
        <v>98</v>
      </c>
      <c r="C1021" s="8" t="s">
        <v>893</v>
      </c>
      <c r="D1021" s="26" t="n">
        <v>0</v>
      </c>
      <c r="E1021" s="26" t="n">
        <v>0</v>
      </c>
      <c r="F1021" s="26" t="n">
        <v>32</v>
      </c>
      <c r="G1021" s="26" t="n">
        <v>0</v>
      </c>
      <c r="H1021" s="26" t="n">
        <v>0</v>
      </c>
      <c r="I1021" s="26" t="n">
        <v>1</v>
      </c>
      <c r="J1021" s="26" t="n">
        <v>0</v>
      </c>
      <c r="K1021" s="26" t="n">
        <v>0</v>
      </c>
      <c r="L1021" s="26" t="n">
        <v>0</v>
      </c>
      <c r="M1021" s="26" t="n">
        <v>0</v>
      </c>
      <c r="N1021" s="26" t="n">
        <v>1</v>
      </c>
      <c r="O1021" s="26" t="n">
        <v>0</v>
      </c>
      <c r="P1021" s="26" t="n">
        <v>0</v>
      </c>
      <c r="Q1021" s="26" t="n">
        <v>0</v>
      </c>
      <c r="R1021" s="26" t="n">
        <v>0</v>
      </c>
      <c r="S1021" s="26" t="n">
        <v>0</v>
      </c>
      <c r="T1021" s="26" t="n">
        <v>0</v>
      </c>
      <c r="U1021" s="26" t="n">
        <v>0</v>
      </c>
    </row>
    <row r="1022" customFormat="false" ht="15" hidden="false" customHeight="true" outlineLevel="0" collapsed="false">
      <c r="A1022" s="8" t="s">
        <v>944</v>
      </c>
      <c r="B1022" s="8" t="s">
        <v>90</v>
      </c>
      <c r="C1022" s="8" t="s">
        <v>894</v>
      </c>
      <c r="D1022" s="26" t="n">
        <v>0</v>
      </c>
      <c r="E1022" s="26" t="n">
        <v>0</v>
      </c>
      <c r="F1022" s="26" t="n">
        <v>220</v>
      </c>
      <c r="G1022" s="26" t="n">
        <v>0</v>
      </c>
      <c r="H1022" s="26" t="n">
        <v>0</v>
      </c>
      <c r="I1022" s="26" t="n">
        <v>34</v>
      </c>
      <c r="J1022" s="26" t="n">
        <v>0</v>
      </c>
      <c r="K1022" s="26" t="n">
        <v>5</v>
      </c>
      <c r="L1022" s="26" t="n">
        <v>0</v>
      </c>
      <c r="M1022" s="26" t="n">
        <v>0</v>
      </c>
      <c r="N1022" s="26" t="n">
        <v>4</v>
      </c>
      <c r="O1022" s="26" t="n">
        <v>0</v>
      </c>
      <c r="P1022" s="26" t="n">
        <v>0</v>
      </c>
      <c r="Q1022" s="26" t="n">
        <v>0</v>
      </c>
      <c r="R1022" s="26" t="n">
        <v>25</v>
      </c>
      <c r="S1022" s="26" t="n">
        <v>0</v>
      </c>
      <c r="T1022" s="26" t="n">
        <v>0</v>
      </c>
      <c r="U1022" s="26" t="n">
        <v>0</v>
      </c>
    </row>
    <row r="1023" customFormat="false" ht="15" hidden="false" customHeight="true" outlineLevel="0" collapsed="false">
      <c r="A1023" s="8" t="s">
        <v>944</v>
      </c>
      <c r="B1023" s="8" t="s">
        <v>90</v>
      </c>
      <c r="C1023" s="8" t="s">
        <v>895</v>
      </c>
      <c r="D1023" s="26" t="n">
        <v>0</v>
      </c>
      <c r="E1023" s="26" t="n">
        <v>0</v>
      </c>
      <c r="F1023" s="26" t="n">
        <v>152</v>
      </c>
      <c r="G1023" s="26" t="n">
        <v>0</v>
      </c>
      <c r="H1023" s="26" t="n">
        <v>0</v>
      </c>
      <c r="I1023" s="26" t="n">
        <v>23</v>
      </c>
      <c r="J1023" s="26" t="n">
        <v>0</v>
      </c>
      <c r="K1023" s="26" t="n">
        <v>0</v>
      </c>
      <c r="L1023" s="26" t="n">
        <v>0</v>
      </c>
      <c r="M1023" s="26" t="n">
        <v>0</v>
      </c>
      <c r="N1023" s="26" t="n">
        <v>4</v>
      </c>
      <c r="O1023" s="26" t="n">
        <v>0</v>
      </c>
      <c r="P1023" s="26" t="n">
        <v>0</v>
      </c>
      <c r="Q1023" s="26" t="n">
        <v>0</v>
      </c>
      <c r="R1023" s="26" t="n">
        <v>19</v>
      </c>
      <c r="S1023" s="26" t="n">
        <v>0</v>
      </c>
      <c r="T1023" s="26" t="n">
        <v>0</v>
      </c>
      <c r="U1023" s="26" t="n">
        <v>0</v>
      </c>
    </row>
    <row r="1024" customFormat="false" ht="15" hidden="false" customHeight="true" outlineLevel="0" collapsed="false">
      <c r="A1024" s="8" t="s">
        <v>944</v>
      </c>
      <c r="B1024" s="8" t="s">
        <v>90</v>
      </c>
      <c r="C1024" s="8" t="s">
        <v>896</v>
      </c>
      <c r="D1024" s="26" t="n">
        <v>0</v>
      </c>
      <c r="E1024" s="26" t="n">
        <v>0</v>
      </c>
      <c r="F1024" s="26" t="n">
        <v>168</v>
      </c>
      <c r="G1024" s="26" t="n">
        <v>0</v>
      </c>
      <c r="H1024" s="26" t="n">
        <v>0</v>
      </c>
      <c r="I1024" s="26" t="n">
        <v>25</v>
      </c>
      <c r="J1024" s="26" t="n">
        <v>0</v>
      </c>
      <c r="K1024" s="26" t="n">
        <v>9</v>
      </c>
      <c r="L1024" s="26" t="n">
        <v>0</v>
      </c>
      <c r="M1024" s="26" t="n">
        <v>0</v>
      </c>
      <c r="N1024" s="26" t="n">
        <v>4</v>
      </c>
      <c r="O1024" s="26" t="n">
        <v>0</v>
      </c>
      <c r="P1024" s="26" t="n">
        <v>0</v>
      </c>
      <c r="Q1024" s="26" t="n">
        <v>0</v>
      </c>
      <c r="R1024" s="26" t="n">
        <v>12</v>
      </c>
      <c r="S1024" s="26" t="n">
        <v>0</v>
      </c>
      <c r="T1024" s="26" t="n">
        <v>0</v>
      </c>
      <c r="U1024" s="26" t="n">
        <v>0</v>
      </c>
    </row>
    <row r="1025" customFormat="false" ht="15" hidden="false" customHeight="true" outlineLevel="0" collapsed="false">
      <c r="A1025" s="8" t="s">
        <v>944</v>
      </c>
      <c r="B1025" s="8" t="s">
        <v>90</v>
      </c>
      <c r="C1025" s="8" t="s">
        <v>897</v>
      </c>
      <c r="D1025" s="26" t="n">
        <v>0</v>
      </c>
      <c r="E1025" s="26" t="n">
        <v>0</v>
      </c>
      <c r="F1025" s="26" t="n">
        <v>87</v>
      </c>
      <c r="G1025" s="26" t="n">
        <v>0</v>
      </c>
      <c r="H1025" s="26" t="n">
        <v>0</v>
      </c>
      <c r="I1025" s="26" t="n">
        <v>19</v>
      </c>
      <c r="J1025" s="26" t="n">
        <v>0</v>
      </c>
      <c r="K1025" s="26" t="n">
        <v>4</v>
      </c>
      <c r="L1025" s="26" t="n">
        <v>0</v>
      </c>
      <c r="M1025" s="26" t="n">
        <v>0</v>
      </c>
      <c r="N1025" s="26" t="n">
        <v>2</v>
      </c>
      <c r="O1025" s="26" t="n">
        <v>0</v>
      </c>
      <c r="P1025" s="26" t="n">
        <v>0</v>
      </c>
      <c r="Q1025" s="26" t="n">
        <v>0</v>
      </c>
      <c r="R1025" s="26" t="n">
        <v>13</v>
      </c>
      <c r="S1025" s="26" t="n">
        <v>0</v>
      </c>
      <c r="T1025" s="26" t="n">
        <v>0</v>
      </c>
      <c r="U1025" s="26" t="n">
        <v>0</v>
      </c>
    </row>
    <row r="1026" customFormat="false" ht="15" hidden="false" customHeight="true" outlineLevel="0" collapsed="false">
      <c r="A1026" s="8" t="s">
        <v>944</v>
      </c>
      <c r="B1026" s="8" t="s">
        <v>90</v>
      </c>
      <c r="C1026" s="8" t="s">
        <v>898</v>
      </c>
      <c r="D1026" s="26" t="n">
        <v>0</v>
      </c>
      <c r="E1026" s="26" t="n">
        <v>0</v>
      </c>
      <c r="F1026" s="26" t="n">
        <v>58</v>
      </c>
      <c r="G1026" s="26" t="n">
        <v>0</v>
      </c>
      <c r="H1026" s="26" t="n">
        <v>0</v>
      </c>
      <c r="I1026" s="26" t="n">
        <v>18</v>
      </c>
      <c r="J1026" s="26" t="n">
        <v>0</v>
      </c>
      <c r="K1026" s="26" t="n">
        <v>5</v>
      </c>
      <c r="L1026" s="26" t="n">
        <v>0</v>
      </c>
      <c r="M1026" s="26" t="n">
        <v>0</v>
      </c>
      <c r="N1026" s="26" t="n">
        <v>0</v>
      </c>
      <c r="O1026" s="26" t="n">
        <v>0</v>
      </c>
      <c r="P1026" s="26" t="n">
        <v>0</v>
      </c>
      <c r="Q1026" s="26" t="n">
        <v>0</v>
      </c>
      <c r="R1026" s="26" t="n">
        <v>13</v>
      </c>
      <c r="S1026" s="26" t="n">
        <v>0</v>
      </c>
      <c r="T1026" s="26" t="n">
        <v>0</v>
      </c>
      <c r="U1026" s="26" t="n">
        <v>0</v>
      </c>
    </row>
    <row r="1027" customFormat="false" ht="15" hidden="false" customHeight="true" outlineLevel="0" collapsed="false">
      <c r="A1027" s="8" t="s">
        <v>944</v>
      </c>
      <c r="B1027" s="8" t="s">
        <v>142</v>
      </c>
      <c r="C1027" s="8" t="s">
        <v>899</v>
      </c>
      <c r="D1027" s="26" t="n">
        <v>0</v>
      </c>
      <c r="E1027" s="26" t="n">
        <v>0</v>
      </c>
      <c r="F1027" s="26" t="n">
        <v>72</v>
      </c>
      <c r="G1027" s="26" t="n">
        <v>0</v>
      </c>
      <c r="H1027" s="26" t="n">
        <v>0</v>
      </c>
      <c r="I1027" s="26" t="n">
        <v>4</v>
      </c>
      <c r="J1027" s="26" t="n">
        <v>0</v>
      </c>
      <c r="K1027" s="26" t="n">
        <v>0</v>
      </c>
      <c r="L1027" s="26" t="n">
        <v>0</v>
      </c>
      <c r="M1027" s="26" t="n">
        <v>0</v>
      </c>
      <c r="N1027" s="26" t="n">
        <v>4</v>
      </c>
      <c r="O1027" s="26" t="n">
        <v>0</v>
      </c>
      <c r="P1027" s="26" t="n">
        <v>0</v>
      </c>
      <c r="Q1027" s="26" t="n">
        <v>0</v>
      </c>
      <c r="R1027" s="26" t="n">
        <v>0</v>
      </c>
      <c r="S1027" s="26" t="n">
        <v>0</v>
      </c>
      <c r="T1027" s="26" t="n">
        <v>0</v>
      </c>
      <c r="U1027" s="26" t="n">
        <v>0</v>
      </c>
    </row>
    <row r="1028" customFormat="false" ht="15" hidden="false" customHeight="true" outlineLevel="0" collapsed="false">
      <c r="A1028" s="8" t="s">
        <v>944</v>
      </c>
      <c r="B1028" s="8" t="s">
        <v>142</v>
      </c>
      <c r="C1028" s="8" t="s">
        <v>900</v>
      </c>
      <c r="D1028" s="26" t="n">
        <v>0</v>
      </c>
      <c r="E1028" s="26" t="n">
        <v>0</v>
      </c>
      <c r="F1028" s="26" t="n">
        <v>108</v>
      </c>
      <c r="G1028" s="26" t="n">
        <v>0</v>
      </c>
      <c r="H1028" s="26" t="n">
        <v>0</v>
      </c>
      <c r="I1028" s="26" t="n">
        <v>4</v>
      </c>
      <c r="J1028" s="26" t="n">
        <v>0</v>
      </c>
      <c r="K1028" s="26" t="n">
        <v>0</v>
      </c>
      <c r="L1028" s="26" t="n">
        <v>0</v>
      </c>
      <c r="M1028" s="26" t="n">
        <v>0</v>
      </c>
      <c r="N1028" s="26" t="n">
        <v>4</v>
      </c>
      <c r="O1028" s="26" t="n">
        <v>0</v>
      </c>
      <c r="P1028" s="26" t="n">
        <v>0</v>
      </c>
      <c r="Q1028" s="26" t="n">
        <v>0</v>
      </c>
      <c r="R1028" s="26" t="n">
        <v>0</v>
      </c>
      <c r="S1028" s="26" t="n">
        <v>0</v>
      </c>
      <c r="T1028" s="26" t="n">
        <v>0</v>
      </c>
      <c r="U1028" s="26" t="n">
        <v>0</v>
      </c>
    </row>
    <row r="1029" customFormat="false" ht="15" hidden="false" customHeight="true" outlineLevel="0" collapsed="false">
      <c r="A1029" s="8" t="s">
        <v>944</v>
      </c>
      <c r="B1029" s="8" t="s">
        <v>142</v>
      </c>
      <c r="C1029" s="8" t="s">
        <v>901</v>
      </c>
      <c r="D1029" s="26" t="n">
        <v>0</v>
      </c>
      <c r="E1029" s="26" t="n">
        <v>0</v>
      </c>
      <c r="F1029" s="26" t="n">
        <v>85</v>
      </c>
      <c r="G1029" s="26" t="n">
        <v>0</v>
      </c>
      <c r="H1029" s="26" t="n">
        <v>0</v>
      </c>
      <c r="I1029" s="26" t="n">
        <v>0</v>
      </c>
      <c r="J1029" s="26" t="n">
        <v>0</v>
      </c>
      <c r="K1029" s="26" t="n">
        <v>0</v>
      </c>
      <c r="L1029" s="26" t="n">
        <v>0</v>
      </c>
      <c r="M1029" s="26" t="n">
        <v>0</v>
      </c>
      <c r="N1029" s="26" t="n">
        <v>0</v>
      </c>
      <c r="O1029" s="26" t="n">
        <v>0</v>
      </c>
      <c r="P1029" s="26" t="n">
        <v>0</v>
      </c>
      <c r="Q1029" s="26" t="n">
        <v>0</v>
      </c>
      <c r="R1029" s="26" t="n">
        <v>0</v>
      </c>
      <c r="S1029" s="26" t="n">
        <v>0</v>
      </c>
      <c r="T1029" s="26" t="n">
        <v>0</v>
      </c>
      <c r="U1029" s="26" t="n">
        <v>0</v>
      </c>
    </row>
    <row r="1030" customFormat="false" ht="15" hidden="false" customHeight="true" outlineLevel="0" collapsed="false">
      <c r="A1030" s="8" t="s">
        <v>944</v>
      </c>
      <c r="B1030" s="8" t="s">
        <v>142</v>
      </c>
      <c r="C1030" s="8" t="s">
        <v>902</v>
      </c>
      <c r="D1030" s="26" t="n">
        <v>0</v>
      </c>
      <c r="E1030" s="26" t="n">
        <v>0</v>
      </c>
      <c r="F1030" s="26" t="n">
        <v>45</v>
      </c>
      <c r="G1030" s="26" t="n">
        <v>0</v>
      </c>
      <c r="H1030" s="26" t="n">
        <v>0</v>
      </c>
      <c r="I1030" s="26" t="n">
        <v>4</v>
      </c>
      <c r="J1030" s="26" t="n">
        <v>0</v>
      </c>
      <c r="K1030" s="26" t="n">
        <v>0</v>
      </c>
      <c r="L1030" s="26" t="n">
        <v>0</v>
      </c>
      <c r="M1030" s="26" t="n">
        <v>0</v>
      </c>
      <c r="N1030" s="26" t="n">
        <v>4</v>
      </c>
      <c r="O1030" s="26" t="n">
        <v>0</v>
      </c>
      <c r="P1030" s="26" t="n">
        <v>0</v>
      </c>
      <c r="Q1030" s="26" t="n">
        <v>0</v>
      </c>
      <c r="R1030" s="26" t="n">
        <v>0</v>
      </c>
      <c r="S1030" s="26" t="n">
        <v>0</v>
      </c>
      <c r="T1030" s="26" t="n">
        <v>0</v>
      </c>
      <c r="U1030" s="26" t="n">
        <v>0</v>
      </c>
    </row>
    <row r="1031" customFormat="false" ht="15" hidden="false" customHeight="true" outlineLevel="0" collapsed="false">
      <c r="A1031" s="8" t="s">
        <v>944</v>
      </c>
      <c r="B1031" s="8" t="s">
        <v>142</v>
      </c>
      <c r="C1031" s="8" t="s">
        <v>903</v>
      </c>
      <c r="D1031" s="26" t="n">
        <v>0</v>
      </c>
      <c r="E1031" s="26" t="n">
        <v>0</v>
      </c>
      <c r="F1031" s="26" t="n">
        <v>8</v>
      </c>
      <c r="G1031" s="26" t="n">
        <v>0</v>
      </c>
      <c r="H1031" s="26" t="n">
        <v>0</v>
      </c>
      <c r="I1031" s="26" t="n">
        <v>0</v>
      </c>
      <c r="J1031" s="26" t="n">
        <v>0</v>
      </c>
      <c r="K1031" s="26" t="n">
        <v>0</v>
      </c>
      <c r="L1031" s="26" t="n">
        <v>0</v>
      </c>
      <c r="M1031" s="26" t="n">
        <v>0</v>
      </c>
      <c r="N1031" s="26" t="n">
        <v>0</v>
      </c>
      <c r="O1031" s="26" t="n">
        <v>0</v>
      </c>
      <c r="P1031" s="26" t="n">
        <v>0</v>
      </c>
      <c r="Q1031" s="26" t="n">
        <v>0</v>
      </c>
      <c r="R1031" s="26" t="n">
        <v>0</v>
      </c>
      <c r="S1031" s="26" t="n">
        <v>0</v>
      </c>
      <c r="T1031" s="26" t="n">
        <v>0</v>
      </c>
      <c r="U1031" s="26" t="n">
        <v>0</v>
      </c>
    </row>
    <row r="1032" customFormat="false" ht="15" hidden="false" customHeight="true" outlineLevel="0" collapsed="false">
      <c r="A1032" s="8" t="s">
        <v>944</v>
      </c>
      <c r="B1032" s="8" t="s">
        <v>314</v>
      </c>
      <c r="C1032" s="8" t="s">
        <v>904</v>
      </c>
      <c r="D1032" s="26" t="n">
        <v>0</v>
      </c>
      <c r="E1032" s="26" t="n">
        <v>0</v>
      </c>
      <c r="F1032" s="26" t="n">
        <v>38</v>
      </c>
      <c r="G1032" s="26" t="n">
        <v>0</v>
      </c>
      <c r="H1032" s="26" t="n">
        <v>0</v>
      </c>
      <c r="I1032" s="26" t="n">
        <v>188</v>
      </c>
      <c r="J1032" s="26" t="n">
        <v>0</v>
      </c>
      <c r="K1032" s="26" t="n">
        <v>9</v>
      </c>
      <c r="L1032" s="26" t="n">
        <v>0</v>
      </c>
      <c r="M1032" s="26" t="n">
        <v>0</v>
      </c>
      <c r="N1032" s="26" t="n">
        <v>0</v>
      </c>
      <c r="O1032" s="26" t="n">
        <v>0</v>
      </c>
      <c r="P1032" s="26" t="n">
        <v>0</v>
      </c>
      <c r="Q1032" s="26" t="n">
        <v>158</v>
      </c>
      <c r="R1032" s="26" t="n">
        <v>21</v>
      </c>
      <c r="S1032" s="26" t="n">
        <v>0</v>
      </c>
      <c r="T1032" s="26" t="n">
        <v>0</v>
      </c>
      <c r="U1032" s="26" t="n">
        <v>0</v>
      </c>
    </row>
    <row r="1033" customFormat="false" ht="15" hidden="false" customHeight="true" outlineLevel="0" collapsed="false">
      <c r="A1033" s="8" t="s">
        <v>944</v>
      </c>
      <c r="B1033" s="8" t="s">
        <v>346</v>
      </c>
      <c r="C1033" s="8" t="s">
        <v>905</v>
      </c>
      <c r="D1033" s="26" t="n">
        <v>0</v>
      </c>
      <c r="E1033" s="26" t="n">
        <v>0</v>
      </c>
      <c r="F1033" s="26" t="n">
        <v>3</v>
      </c>
      <c r="G1033" s="26" t="n">
        <v>0</v>
      </c>
      <c r="H1033" s="26" t="n">
        <v>0</v>
      </c>
      <c r="I1033" s="26" t="n">
        <v>0</v>
      </c>
      <c r="J1033" s="26" t="n">
        <v>0</v>
      </c>
      <c r="K1033" s="26" t="n">
        <v>0</v>
      </c>
      <c r="L1033" s="26" t="n">
        <v>0</v>
      </c>
      <c r="M1033" s="26" t="n">
        <v>0</v>
      </c>
      <c r="N1033" s="26" t="n">
        <v>0</v>
      </c>
      <c r="O1033" s="26" t="n">
        <v>0</v>
      </c>
      <c r="P1033" s="26" t="n">
        <v>0</v>
      </c>
      <c r="Q1033" s="26" t="n">
        <v>0</v>
      </c>
      <c r="R1033" s="26" t="n">
        <v>0</v>
      </c>
      <c r="S1033" s="26" t="n">
        <v>0</v>
      </c>
      <c r="T1033" s="26" t="n">
        <v>0</v>
      </c>
      <c r="U1033" s="26" t="n">
        <v>0</v>
      </c>
    </row>
    <row r="1034" customFormat="false" ht="15" hidden="false" customHeight="true" outlineLevel="0" collapsed="false">
      <c r="A1034" s="8" t="s">
        <v>944</v>
      </c>
      <c r="B1034" s="8" t="s">
        <v>298</v>
      </c>
      <c r="C1034" s="8" t="s">
        <v>906</v>
      </c>
      <c r="D1034" s="26" t="n">
        <v>0</v>
      </c>
      <c r="E1034" s="26" t="n">
        <v>0</v>
      </c>
      <c r="F1034" s="26" t="n">
        <v>3</v>
      </c>
      <c r="G1034" s="26" t="n">
        <v>0</v>
      </c>
      <c r="H1034" s="26" t="n">
        <v>0</v>
      </c>
      <c r="I1034" s="26" t="n">
        <v>0</v>
      </c>
      <c r="J1034" s="26" t="n">
        <v>0</v>
      </c>
      <c r="K1034" s="26" t="n">
        <v>0</v>
      </c>
      <c r="L1034" s="26" t="n">
        <v>0</v>
      </c>
      <c r="M1034" s="26" t="n">
        <v>0</v>
      </c>
      <c r="N1034" s="26" t="n">
        <v>0</v>
      </c>
      <c r="O1034" s="26" t="n">
        <v>0</v>
      </c>
      <c r="P1034" s="26" t="n">
        <v>0</v>
      </c>
      <c r="Q1034" s="26" t="n">
        <v>0</v>
      </c>
      <c r="R1034" s="26" t="n">
        <v>0</v>
      </c>
      <c r="S1034" s="26" t="n">
        <v>0</v>
      </c>
      <c r="T1034" s="26" t="n">
        <v>0</v>
      </c>
      <c r="U1034" s="26" t="n">
        <v>0</v>
      </c>
    </row>
    <row r="1035" customFormat="false" ht="15" hidden="false" customHeight="true" outlineLevel="0" collapsed="false">
      <c r="A1035" s="8" t="s">
        <v>944</v>
      </c>
      <c r="B1035" s="8" t="s">
        <v>200</v>
      </c>
      <c r="C1035" s="8" t="s">
        <v>907</v>
      </c>
      <c r="D1035" s="26" t="n">
        <v>0</v>
      </c>
      <c r="E1035" s="26" t="n">
        <v>0</v>
      </c>
      <c r="F1035" s="26" t="n">
        <v>3</v>
      </c>
      <c r="G1035" s="26" t="n">
        <v>0</v>
      </c>
      <c r="H1035" s="26" t="n">
        <v>0</v>
      </c>
      <c r="I1035" s="26" t="n">
        <v>0</v>
      </c>
      <c r="J1035" s="26" t="n">
        <v>0</v>
      </c>
      <c r="K1035" s="26" t="n">
        <v>0</v>
      </c>
      <c r="L1035" s="26" t="n">
        <v>0</v>
      </c>
      <c r="M1035" s="26" t="n">
        <v>0</v>
      </c>
      <c r="N1035" s="26" t="n">
        <v>0</v>
      </c>
      <c r="O1035" s="26" t="n">
        <v>0</v>
      </c>
      <c r="P1035" s="26" t="n">
        <v>0</v>
      </c>
      <c r="Q1035" s="26" t="n">
        <v>0</v>
      </c>
      <c r="R1035" s="26" t="n">
        <v>0</v>
      </c>
      <c r="S1035" s="26" t="n">
        <v>0</v>
      </c>
      <c r="T1035" s="26" t="n">
        <v>0</v>
      </c>
      <c r="U1035" s="26" t="n">
        <v>0</v>
      </c>
    </row>
    <row r="1036" customFormat="false" ht="15" hidden="false" customHeight="true" outlineLevel="0" collapsed="false">
      <c r="A1036" s="8" t="s">
        <v>944</v>
      </c>
      <c r="B1036" s="8" t="s">
        <v>284</v>
      </c>
      <c r="C1036" s="8" t="s">
        <v>908</v>
      </c>
      <c r="D1036" s="26" t="n">
        <v>0</v>
      </c>
      <c r="E1036" s="26" t="n">
        <v>0</v>
      </c>
      <c r="F1036" s="26" t="n">
        <v>4</v>
      </c>
      <c r="G1036" s="26" t="n">
        <v>0</v>
      </c>
      <c r="H1036" s="26" t="n">
        <v>0</v>
      </c>
      <c r="I1036" s="26" t="n">
        <v>-2</v>
      </c>
      <c r="J1036" s="26" t="n">
        <v>0</v>
      </c>
      <c r="K1036" s="26" t="n">
        <v>0</v>
      </c>
      <c r="L1036" s="26" t="n">
        <v>0</v>
      </c>
      <c r="M1036" s="26" t="n">
        <v>-2</v>
      </c>
      <c r="N1036" s="26" t="n">
        <v>0</v>
      </c>
      <c r="O1036" s="26" t="n">
        <v>0</v>
      </c>
      <c r="P1036" s="26" t="n">
        <v>0</v>
      </c>
      <c r="Q1036" s="26" t="n">
        <v>0</v>
      </c>
      <c r="R1036" s="26" t="n">
        <v>0</v>
      </c>
      <c r="S1036" s="26" t="n">
        <v>0</v>
      </c>
      <c r="T1036" s="26" t="n">
        <v>0</v>
      </c>
      <c r="U1036" s="26" t="n">
        <v>0</v>
      </c>
    </row>
    <row r="1037" customFormat="false" ht="15" hidden="false" customHeight="true" outlineLevel="0" collapsed="false">
      <c r="A1037" s="8" t="s">
        <v>944</v>
      </c>
      <c r="B1037" s="8" t="s">
        <v>213</v>
      </c>
      <c r="C1037" s="8" t="s">
        <v>909</v>
      </c>
      <c r="D1037" s="26" t="n">
        <v>0</v>
      </c>
      <c r="E1037" s="26" t="n">
        <v>0</v>
      </c>
      <c r="F1037" s="26" t="n">
        <v>76</v>
      </c>
      <c r="G1037" s="26" t="n">
        <v>0</v>
      </c>
      <c r="H1037" s="26" t="n">
        <v>0</v>
      </c>
      <c r="I1037" s="26" t="n">
        <v>396</v>
      </c>
      <c r="J1037" s="26" t="n">
        <v>0</v>
      </c>
      <c r="K1037" s="26" t="n">
        <v>0</v>
      </c>
      <c r="L1037" s="26" t="n">
        <v>0</v>
      </c>
      <c r="M1037" s="26" t="n">
        <v>0</v>
      </c>
      <c r="N1037" s="26" t="n">
        <v>0</v>
      </c>
      <c r="O1037" s="26" t="n">
        <v>0</v>
      </c>
      <c r="P1037" s="26" t="n">
        <v>0</v>
      </c>
      <c r="Q1037" s="26" t="n">
        <v>396</v>
      </c>
      <c r="R1037" s="26" t="n">
        <v>0</v>
      </c>
      <c r="S1037" s="26" t="n">
        <v>0</v>
      </c>
      <c r="T1037" s="26" t="n">
        <v>0</v>
      </c>
      <c r="U1037" s="26" t="n">
        <v>0</v>
      </c>
    </row>
    <row r="1038" customFormat="false" ht="15" hidden="false" customHeight="true" outlineLevel="0" collapsed="false">
      <c r="A1038" s="8" t="s">
        <v>944</v>
      </c>
      <c r="B1038" s="8" t="s">
        <v>213</v>
      </c>
      <c r="C1038" s="8" t="s">
        <v>910</v>
      </c>
      <c r="D1038" s="26" t="n">
        <v>0</v>
      </c>
      <c r="E1038" s="26" t="n">
        <v>0</v>
      </c>
      <c r="F1038" s="26" t="n">
        <v>112</v>
      </c>
      <c r="G1038" s="26" t="n">
        <v>0</v>
      </c>
      <c r="H1038" s="26" t="n">
        <v>0</v>
      </c>
      <c r="I1038" s="26" t="n">
        <v>585</v>
      </c>
      <c r="J1038" s="26" t="n">
        <v>0</v>
      </c>
      <c r="K1038" s="26" t="n">
        <v>0</v>
      </c>
      <c r="L1038" s="26" t="n">
        <v>0</v>
      </c>
      <c r="M1038" s="26" t="n">
        <v>0</v>
      </c>
      <c r="N1038" s="26" t="n">
        <v>0</v>
      </c>
      <c r="O1038" s="26" t="n">
        <v>0</v>
      </c>
      <c r="P1038" s="26" t="n">
        <v>0</v>
      </c>
      <c r="Q1038" s="26" t="n">
        <v>585</v>
      </c>
      <c r="R1038" s="26" t="n">
        <v>0</v>
      </c>
      <c r="S1038" s="26" t="n">
        <v>0</v>
      </c>
      <c r="T1038" s="26" t="n">
        <v>0</v>
      </c>
      <c r="U1038" s="26" t="n">
        <v>0</v>
      </c>
    </row>
    <row r="1039" customFormat="false" ht="15" hidden="false" customHeight="true" outlineLevel="0" collapsed="false">
      <c r="A1039" s="8" t="s">
        <v>944</v>
      </c>
      <c r="B1039" s="8" t="s">
        <v>213</v>
      </c>
      <c r="C1039" s="8" t="s">
        <v>911</v>
      </c>
      <c r="D1039" s="26" t="n">
        <v>0</v>
      </c>
      <c r="E1039" s="26" t="n">
        <v>0</v>
      </c>
      <c r="F1039" s="26" t="n">
        <v>59</v>
      </c>
      <c r="G1039" s="26" t="n">
        <v>0</v>
      </c>
      <c r="H1039" s="26" t="n">
        <v>0</v>
      </c>
      <c r="I1039" s="26" t="n">
        <v>315</v>
      </c>
      <c r="J1039" s="26" t="n">
        <v>0</v>
      </c>
      <c r="K1039" s="26" t="n">
        <v>0</v>
      </c>
      <c r="L1039" s="26" t="n">
        <v>0</v>
      </c>
      <c r="M1039" s="26" t="n">
        <v>0</v>
      </c>
      <c r="N1039" s="26" t="n">
        <v>0</v>
      </c>
      <c r="O1039" s="26" t="n">
        <v>0</v>
      </c>
      <c r="P1039" s="26" t="n">
        <v>0</v>
      </c>
      <c r="Q1039" s="26" t="n">
        <v>315</v>
      </c>
      <c r="R1039" s="26" t="n">
        <v>0</v>
      </c>
      <c r="S1039" s="26" t="n">
        <v>0</v>
      </c>
      <c r="T1039" s="26" t="n">
        <v>0</v>
      </c>
      <c r="U1039" s="26" t="n">
        <v>0</v>
      </c>
    </row>
    <row r="1040" customFormat="false" ht="15" hidden="false" customHeight="true" outlineLevel="0" collapsed="false">
      <c r="A1040" s="8" t="s">
        <v>944</v>
      </c>
      <c r="B1040" s="8" t="s">
        <v>213</v>
      </c>
      <c r="C1040" s="8" t="s">
        <v>912</v>
      </c>
      <c r="D1040" s="26" t="n">
        <v>0</v>
      </c>
      <c r="E1040" s="26" t="n">
        <v>0</v>
      </c>
      <c r="F1040" s="26" t="n">
        <v>83</v>
      </c>
      <c r="G1040" s="26" t="n">
        <v>0</v>
      </c>
      <c r="H1040" s="26" t="n">
        <v>0</v>
      </c>
      <c r="I1040" s="26" t="n">
        <v>299</v>
      </c>
      <c r="J1040" s="26" t="n">
        <v>0</v>
      </c>
      <c r="K1040" s="26" t="n">
        <v>0</v>
      </c>
      <c r="L1040" s="26" t="n">
        <v>0</v>
      </c>
      <c r="M1040" s="26" t="n">
        <v>0</v>
      </c>
      <c r="N1040" s="26" t="n">
        <v>0</v>
      </c>
      <c r="O1040" s="26" t="n">
        <v>0</v>
      </c>
      <c r="P1040" s="26" t="n">
        <v>0</v>
      </c>
      <c r="Q1040" s="26" t="n">
        <v>299</v>
      </c>
      <c r="R1040" s="26" t="n">
        <v>0</v>
      </c>
      <c r="S1040" s="26" t="n">
        <v>0</v>
      </c>
      <c r="T1040" s="26" t="n">
        <v>0</v>
      </c>
      <c r="U1040" s="26" t="n">
        <v>0</v>
      </c>
    </row>
    <row r="1041" customFormat="false" ht="15" hidden="false" customHeight="true" outlineLevel="0" collapsed="false">
      <c r="A1041" s="8" t="s">
        <v>944</v>
      </c>
      <c r="B1041" s="8" t="s">
        <v>197</v>
      </c>
      <c r="C1041" s="8" t="s">
        <v>913</v>
      </c>
      <c r="D1041" s="26" t="n">
        <v>0</v>
      </c>
      <c r="E1041" s="26" t="n">
        <v>0</v>
      </c>
      <c r="F1041" s="26" t="n">
        <v>745</v>
      </c>
      <c r="G1041" s="26" t="n">
        <v>0</v>
      </c>
      <c r="H1041" s="26" t="n">
        <v>0</v>
      </c>
      <c r="I1041" s="26" t="n">
        <v>988</v>
      </c>
      <c r="J1041" s="26" t="n">
        <v>0</v>
      </c>
      <c r="K1041" s="26" t="n">
        <v>0</v>
      </c>
      <c r="L1041" s="26" t="n">
        <v>0</v>
      </c>
      <c r="M1041" s="26" t="n">
        <v>0</v>
      </c>
      <c r="N1041" s="26" t="n">
        <v>0</v>
      </c>
      <c r="O1041" s="26" t="n">
        <v>0</v>
      </c>
      <c r="P1041" s="26" t="n">
        <v>0</v>
      </c>
      <c r="Q1041" s="26" t="n">
        <v>988</v>
      </c>
      <c r="R1041" s="26" t="n">
        <v>0</v>
      </c>
      <c r="S1041" s="26" t="n">
        <v>0</v>
      </c>
      <c r="T1041" s="26" t="n">
        <v>0</v>
      </c>
      <c r="U1041" s="26" t="n">
        <v>0</v>
      </c>
    </row>
    <row r="1042" customFormat="false" ht="15" hidden="false" customHeight="true" outlineLevel="0" collapsed="false">
      <c r="A1042" s="8" t="s">
        <v>944</v>
      </c>
      <c r="B1042" s="8" t="s">
        <v>174</v>
      </c>
      <c r="C1042" s="8" t="s">
        <v>914</v>
      </c>
      <c r="D1042" s="26" t="n">
        <v>0</v>
      </c>
      <c r="E1042" s="26" t="n">
        <v>0</v>
      </c>
      <c r="F1042" s="26" t="n">
        <v>212</v>
      </c>
      <c r="G1042" s="26" t="n">
        <v>0</v>
      </c>
      <c r="H1042" s="26" t="n">
        <v>0</v>
      </c>
      <c r="I1042" s="26" t="n">
        <v>580</v>
      </c>
      <c r="J1042" s="26" t="n">
        <v>0</v>
      </c>
      <c r="K1042" s="26" t="n">
        <v>0</v>
      </c>
      <c r="L1042" s="26" t="n">
        <v>0</v>
      </c>
      <c r="M1042" s="26" t="n">
        <v>0</v>
      </c>
      <c r="N1042" s="26" t="n">
        <v>0</v>
      </c>
      <c r="O1042" s="26" t="n">
        <v>0</v>
      </c>
      <c r="P1042" s="26" t="n">
        <v>0</v>
      </c>
      <c r="Q1042" s="26" t="n">
        <v>580</v>
      </c>
      <c r="R1042" s="26" t="n">
        <v>0</v>
      </c>
      <c r="S1042" s="26" t="n">
        <v>0</v>
      </c>
      <c r="T1042" s="26" t="n">
        <v>0</v>
      </c>
      <c r="U1042" s="26" t="n">
        <v>0</v>
      </c>
    </row>
    <row r="1043" customFormat="false" ht="15" hidden="false" customHeight="true" outlineLevel="0" collapsed="false">
      <c r="A1043" s="8" t="s">
        <v>944</v>
      </c>
      <c r="B1043" s="8" t="s">
        <v>163</v>
      </c>
      <c r="C1043" s="8" t="s">
        <v>915</v>
      </c>
      <c r="D1043" s="26" t="n">
        <v>0</v>
      </c>
      <c r="E1043" s="26" t="n">
        <v>0</v>
      </c>
      <c r="F1043" s="26" t="n">
        <v>124</v>
      </c>
      <c r="G1043" s="26" t="n">
        <v>0</v>
      </c>
      <c r="H1043" s="26" t="n">
        <v>0</v>
      </c>
      <c r="I1043" s="26" t="n">
        <v>358</v>
      </c>
      <c r="J1043" s="26" t="n">
        <v>0</v>
      </c>
      <c r="K1043" s="26" t="n">
        <v>0</v>
      </c>
      <c r="L1043" s="26" t="n">
        <v>0</v>
      </c>
      <c r="M1043" s="26" t="n">
        <v>0</v>
      </c>
      <c r="N1043" s="26" t="n">
        <v>0</v>
      </c>
      <c r="O1043" s="26" t="n">
        <v>0</v>
      </c>
      <c r="P1043" s="26" t="n">
        <v>0</v>
      </c>
      <c r="Q1043" s="26" t="n">
        <v>358</v>
      </c>
      <c r="R1043" s="26" t="n">
        <v>0</v>
      </c>
      <c r="S1043" s="26" t="n">
        <v>0</v>
      </c>
      <c r="T1043" s="26" t="n">
        <v>0</v>
      </c>
      <c r="U1043" s="26" t="n">
        <v>0</v>
      </c>
    </row>
    <row r="1044" customFormat="false" ht="15" hidden="false" customHeight="true" outlineLevel="0" collapsed="false">
      <c r="A1044" s="8" t="s">
        <v>944</v>
      </c>
      <c r="B1044" s="8" t="s">
        <v>204</v>
      </c>
      <c r="C1044" s="8" t="s">
        <v>916</v>
      </c>
      <c r="D1044" s="26" t="n">
        <v>0</v>
      </c>
      <c r="E1044" s="26" t="n">
        <v>0</v>
      </c>
      <c r="F1044" s="26" t="n">
        <v>64</v>
      </c>
      <c r="G1044" s="26" t="n">
        <v>0</v>
      </c>
      <c r="H1044" s="26" t="n">
        <v>0</v>
      </c>
      <c r="I1044" s="26" t="n">
        <v>283</v>
      </c>
      <c r="J1044" s="26" t="n">
        <v>0</v>
      </c>
      <c r="K1044" s="26" t="n">
        <v>0</v>
      </c>
      <c r="L1044" s="26" t="n">
        <v>0</v>
      </c>
      <c r="M1044" s="26" t="n">
        <v>0</v>
      </c>
      <c r="N1044" s="26" t="n">
        <v>0</v>
      </c>
      <c r="O1044" s="26" t="n">
        <v>0</v>
      </c>
      <c r="P1044" s="26" t="n">
        <v>0</v>
      </c>
      <c r="Q1044" s="26" t="n">
        <v>283</v>
      </c>
      <c r="R1044" s="26" t="n">
        <v>0</v>
      </c>
      <c r="S1044" s="26" t="n">
        <v>0</v>
      </c>
      <c r="T1044" s="26" t="n">
        <v>0</v>
      </c>
      <c r="U1044" s="26" t="n">
        <v>0</v>
      </c>
    </row>
    <row r="1045" customFormat="false" ht="15" hidden="false" customHeight="true" outlineLevel="0" collapsed="false">
      <c r="A1045" s="8" t="s">
        <v>944</v>
      </c>
      <c r="B1045" s="8" t="s">
        <v>333</v>
      </c>
      <c r="C1045" s="8" t="s">
        <v>917</v>
      </c>
      <c r="D1045" s="26" t="n">
        <v>0</v>
      </c>
      <c r="E1045" s="26" t="n">
        <v>0</v>
      </c>
      <c r="F1045" s="26" t="n">
        <v>2</v>
      </c>
      <c r="G1045" s="26" t="n">
        <v>0</v>
      </c>
      <c r="H1045" s="26" t="n">
        <v>0</v>
      </c>
      <c r="I1045" s="26" t="n">
        <v>0</v>
      </c>
      <c r="J1045" s="26" t="n">
        <v>0</v>
      </c>
      <c r="K1045" s="26" t="n">
        <v>0</v>
      </c>
      <c r="L1045" s="26" t="n">
        <v>0</v>
      </c>
      <c r="M1045" s="26" t="n">
        <v>0</v>
      </c>
      <c r="N1045" s="26" t="n">
        <v>0</v>
      </c>
      <c r="O1045" s="26" t="n">
        <v>0</v>
      </c>
      <c r="P1045" s="26" t="n">
        <v>0</v>
      </c>
      <c r="Q1045" s="26" t="n">
        <v>0</v>
      </c>
      <c r="R1045" s="26" t="n">
        <v>0</v>
      </c>
      <c r="S1045" s="26" t="n">
        <v>0</v>
      </c>
      <c r="T1045" s="26" t="n">
        <v>0</v>
      </c>
      <c r="U1045" s="26" t="n">
        <v>0</v>
      </c>
    </row>
    <row r="1046" customFormat="false" ht="15" hidden="false" customHeight="true" outlineLevel="0" collapsed="false">
      <c r="A1046" s="8" t="s">
        <v>944</v>
      </c>
      <c r="B1046" s="8" t="s">
        <v>334</v>
      </c>
      <c r="C1046" s="8" t="s">
        <v>972</v>
      </c>
      <c r="D1046" s="26" t="n">
        <v>0</v>
      </c>
      <c r="E1046" s="26" t="n">
        <v>0</v>
      </c>
      <c r="F1046" s="26" t="n">
        <v>1</v>
      </c>
      <c r="G1046" s="26" t="n">
        <v>0</v>
      </c>
      <c r="H1046" s="26" t="n">
        <v>0</v>
      </c>
      <c r="I1046" s="26" t="n">
        <v>0</v>
      </c>
      <c r="J1046" s="26" t="n">
        <v>0</v>
      </c>
      <c r="K1046" s="26" t="n">
        <v>0</v>
      </c>
      <c r="L1046" s="26" t="n">
        <v>0</v>
      </c>
      <c r="M1046" s="26" t="n">
        <v>0</v>
      </c>
      <c r="N1046" s="26" t="n">
        <v>0</v>
      </c>
      <c r="O1046" s="26" t="n">
        <v>0</v>
      </c>
      <c r="P1046" s="26" t="n">
        <v>0</v>
      </c>
      <c r="Q1046" s="26" t="n">
        <v>0</v>
      </c>
      <c r="R1046" s="26" t="n">
        <v>0</v>
      </c>
      <c r="S1046" s="26" t="n">
        <v>0</v>
      </c>
      <c r="T1046" s="26" t="n">
        <v>0</v>
      </c>
      <c r="U1046" s="26" t="n">
        <v>0</v>
      </c>
    </row>
    <row r="1047" customFormat="false" ht="15" hidden="false" customHeight="true" outlineLevel="0" collapsed="false">
      <c r="A1047" s="8" t="s">
        <v>944</v>
      </c>
      <c r="B1047" s="8" t="s">
        <v>267</v>
      </c>
      <c r="C1047" s="8" t="s">
        <v>973</v>
      </c>
      <c r="D1047" s="26" t="n">
        <v>0</v>
      </c>
      <c r="E1047" s="26" t="n">
        <v>0</v>
      </c>
      <c r="F1047" s="26" t="n">
        <v>1</v>
      </c>
      <c r="G1047" s="26" t="n">
        <v>0</v>
      </c>
      <c r="H1047" s="26" t="n">
        <v>0</v>
      </c>
      <c r="I1047" s="26" t="n">
        <v>0</v>
      </c>
      <c r="J1047" s="26" t="n">
        <v>0</v>
      </c>
      <c r="K1047" s="26" t="n">
        <v>0</v>
      </c>
      <c r="L1047" s="26" t="n">
        <v>0</v>
      </c>
      <c r="M1047" s="26" t="n">
        <v>0</v>
      </c>
      <c r="N1047" s="26" t="n">
        <v>0</v>
      </c>
      <c r="O1047" s="26" t="n">
        <v>0</v>
      </c>
      <c r="P1047" s="26" t="n">
        <v>0</v>
      </c>
      <c r="Q1047" s="26" t="n">
        <v>0</v>
      </c>
      <c r="R1047" s="26" t="n">
        <v>0</v>
      </c>
      <c r="S1047" s="26" t="n">
        <v>0</v>
      </c>
      <c r="T1047" s="26" t="n">
        <v>2</v>
      </c>
      <c r="U1047" s="26" t="n">
        <v>0</v>
      </c>
    </row>
    <row r="1048" customFormat="false" ht="15" hidden="false" customHeight="true" outlineLevel="0" collapsed="false">
      <c r="A1048" s="8" t="s">
        <v>944</v>
      </c>
      <c r="B1048" s="8" t="s">
        <v>267</v>
      </c>
      <c r="C1048" s="8" t="s">
        <v>918</v>
      </c>
      <c r="D1048" s="26" t="n">
        <v>0</v>
      </c>
      <c r="E1048" s="26" t="n">
        <v>0</v>
      </c>
      <c r="F1048" s="26" t="n">
        <v>1</v>
      </c>
      <c r="G1048" s="26" t="n">
        <v>0</v>
      </c>
      <c r="H1048" s="26" t="n">
        <v>0</v>
      </c>
      <c r="I1048" s="26" t="n">
        <v>0</v>
      </c>
      <c r="J1048" s="26" t="n">
        <v>0</v>
      </c>
      <c r="K1048" s="26" t="n">
        <v>0</v>
      </c>
      <c r="L1048" s="26" t="n">
        <v>0</v>
      </c>
      <c r="M1048" s="26" t="n">
        <v>0</v>
      </c>
      <c r="N1048" s="26" t="n">
        <v>0</v>
      </c>
      <c r="O1048" s="26" t="n">
        <v>0</v>
      </c>
      <c r="P1048" s="26" t="n">
        <v>0</v>
      </c>
      <c r="Q1048" s="26" t="n">
        <v>0</v>
      </c>
      <c r="R1048" s="26" t="n">
        <v>0</v>
      </c>
      <c r="S1048" s="26" t="n">
        <v>0</v>
      </c>
      <c r="T1048" s="26" t="n">
        <v>1</v>
      </c>
      <c r="U1048" s="26" t="n">
        <v>0</v>
      </c>
    </row>
    <row r="1049" customFormat="false" ht="15" hidden="false" customHeight="true" outlineLevel="0" collapsed="false">
      <c r="A1049" s="8" t="s">
        <v>944</v>
      </c>
      <c r="B1049" s="8" t="s">
        <v>267</v>
      </c>
      <c r="C1049" s="8" t="s">
        <v>974</v>
      </c>
      <c r="D1049" s="26" t="n">
        <v>0</v>
      </c>
      <c r="E1049" s="26" t="n">
        <v>0</v>
      </c>
      <c r="F1049" s="26" t="n">
        <v>0</v>
      </c>
      <c r="G1049" s="26" t="n">
        <v>0</v>
      </c>
      <c r="H1049" s="26" t="n">
        <v>0</v>
      </c>
      <c r="I1049" s="26" t="n">
        <v>0</v>
      </c>
      <c r="J1049" s="26" t="n">
        <v>0</v>
      </c>
      <c r="K1049" s="26" t="n">
        <v>0</v>
      </c>
      <c r="L1049" s="26" t="n">
        <v>0</v>
      </c>
      <c r="M1049" s="26" t="n">
        <v>0</v>
      </c>
      <c r="N1049" s="26" t="n">
        <v>0</v>
      </c>
      <c r="O1049" s="26" t="n">
        <v>0</v>
      </c>
      <c r="P1049" s="26" t="n">
        <v>0</v>
      </c>
      <c r="Q1049" s="26" t="n">
        <v>0</v>
      </c>
      <c r="R1049" s="26" t="n">
        <v>0</v>
      </c>
      <c r="S1049" s="26" t="n">
        <v>0</v>
      </c>
      <c r="T1049" s="26" t="n">
        <v>1</v>
      </c>
      <c r="U1049" s="26" t="n">
        <v>0</v>
      </c>
    </row>
    <row r="1050" customFormat="false" ht="15" hidden="false" customHeight="true" outlineLevel="0" collapsed="false">
      <c r="A1050" s="8" t="s">
        <v>944</v>
      </c>
      <c r="B1050" s="8" t="s">
        <v>267</v>
      </c>
      <c r="C1050" s="8" t="s">
        <v>975</v>
      </c>
      <c r="D1050" s="26" t="n">
        <v>0</v>
      </c>
      <c r="E1050" s="26" t="n">
        <v>0</v>
      </c>
      <c r="F1050" s="26" t="n">
        <v>2</v>
      </c>
      <c r="G1050" s="26" t="n">
        <v>0</v>
      </c>
      <c r="H1050" s="26" t="n">
        <v>0</v>
      </c>
      <c r="I1050" s="26" t="n">
        <v>0</v>
      </c>
      <c r="J1050" s="26" t="n">
        <v>0</v>
      </c>
      <c r="K1050" s="26" t="n">
        <v>0</v>
      </c>
      <c r="L1050" s="26" t="n">
        <v>0</v>
      </c>
      <c r="M1050" s="26" t="n">
        <v>0</v>
      </c>
      <c r="N1050" s="26" t="n">
        <v>0</v>
      </c>
      <c r="O1050" s="26" t="n">
        <v>0</v>
      </c>
      <c r="P1050" s="26" t="n">
        <v>0</v>
      </c>
      <c r="Q1050" s="26" t="n">
        <v>0</v>
      </c>
      <c r="R1050" s="26" t="n">
        <v>0</v>
      </c>
      <c r="S1050" s="26" t="n">
        <v>0</v>
      </c>
      <c r="T1050" s="26" t="n">
        <v>4</v>
      </c>
      <c r="U1050" s="26" t="n">
        <v>0</v>
      </c>
    </row>
    <row r="1051" customFormat="false" ht="15" hidden="false" customHeight="true" outlineLevel="0" collapsed="false">
      <c r="A1051" s="8" t="s">
        <v>944</v>
      </c>
      <c r="B1051" s="8" t="s">
        <v>267</v>
      </c>
      <c r="C1051" s="8" t="s">
        <v>976</v>
      </c>
      <c r="D1051" s="26" t="n">
        <v>0</v>
      </c>
      <c r="E1051" s="26" t="n">
        <v>0</v>
      </c>
      <c r="F1051" s="26" t="n">
        <v>0</v>
      </c>
      <c r="G1051" s="26" t="n">
        <v>0</v>
      </c>
      <c r="H1051" s="26" t="n">
        <v>0</v>
      </c>
      <c r="I1051" s="26" t="n">
        <v>0</v>
      </c>
      <c r="J1051" s="26" t="n">
        <v>0</v>
      </c>
      <c r="K1051" s="26" t="n">
        <v>0</v>
      </c>
      <c r="L1051" s="26" t="n">
        <v>0</v>
      </c>
      <c r="M1051" s="26" t="n">
        <v>0</v>
      </c>
      <c r="N1051" s="26" t="n">
        <v>0</v>
      </c>
      <c r="O1051" s="26" t="n">
        <v>0</v>
      </c>
      <c r="P1051" s="26" t="n">
        <v>0</v>
      </c>
      <c r="Q1051" s="26" t="n">
        <v>0</v>
      </c>
      <c r="R1051" s="26" t="n">
        <v>0</v>
      </c>
      <c r="S1051" s="26" t="n">
        <v>0</v>
      </c>
      <c r="T1051" s="26" t="n">
        <v>1</v>
      </c>
      <c r="U1051" s="26" t="n">
        <v>0</v>
      </c>
    </row>
    <row r="1052" customFormat="false" ht="15" hidden="false" customHeight="true" outlineLevel="0" collapsed="false">
      <c r="A1052" s="8" t="s">
        <v>944</v>
      </c>
      <c r="B1052" s="8" t="s">
        <v>103</v>
      </c>
      <c r="C1052" s="8" t="s">
        <v>920</v>
      </c>
      <c r="D1052" s="26" t="n">
        <v>0</v>
      </c>
      <c r="E1052" s="26" t="n">
        <v>0</v>
      </c>
      <c r="F1052" s="26" t="n">
        <v>161</v>
      </c>
      <c r="G1052" s="26" t="n">
        <v>0</v>
      </c>
      <c r="H1052" s="26" t="n">
        <v>0</v>
      </c>
      <c r="I1052" s="26" t="n">
        <v>926</v>
      </c>
      <c r="J1052" s="26" t="n">
        <v>0</v>
      </c>
      <c r="K1052" s="26" t="n">
        <v>0</v>
      </c>
      <c r="L1052" s="26" t="n">
        <v>0</v>
      </c>
      <c r="M1052" s="26" t="n">
        <v>0</v>
      </c>
      <c r="N1052" s="26" t="n">
        <v>0</v>
      </c>
      <c r="O1052" s="26" t="n">
        <v>0</v>
      </c>
      <c r="P1052" s="26" t="n">
        <v>0</v>
      </c>
      <c r="Q1052" s="26" t="n">
        <v>926</v>
      </c>
      <c r="R1052" s="26" t="n">
        <v>0</v>
      </c>
      <c r="S1052" s="26" t="n">
        <v>0</v>
      </c>
      <c r="T1052" s="26" t="n">
        <v>0</v>
      </c>
      <c r="U1052" s="26" t="n">
        <v>0</v>
      </c>
    </row>
    <row r="1053" customFormat="false" ht="15" hidden="false" customHeight="true" outlineLevel="0" collapsed="false">
      <c r="A1053" s="8" t="s">
        <v>944</v>
      </c>
      <c r="B1053" s="8" t="s">
        <v>103</v>
      </c>
      <c r="C1053" s="8" t="s">
        <v>921</v>
      </c>
      <c r="D1053" s="26" t="n">
        <v>0</v>
      </c>
      <c r="E1053" s="26" t="n">
        <v>0</v>
      </c>
      <c r="F1053" s="26" t="n">
        <v>115</v>
      </c>
      <c r="G1053" s="26" t="n">
        <v>0</v>
      </c>
      <c r="H1053" s="26" t="n">
        <v>0</v>
      </c>
      <c r="I1053" s="26" t="n">
        <v>795</v>
      </c>
      <c r="J1053" s="26" t="n">
        <v>0</v>
      </c>
      <c r="K1053" s="26" t="n">
        <v>0</v>
      </c>
      <c r="L1053" s="26" t="n">
        <v>0</v>
      </c>
      <c r="M1053" s="26" t="n">
        <v>0</v>
      </c>
      <c r="N1053" s="26" t="n">
        <v>0</v>
      </c>
      <c r="O1053" s="26" t="n">
        <v>0</v>
      </c>
      <c r="P1053" s="26" t="n">
        <v>0</v>
      </c>
      <c r="Q1053" s="26" t="n">
        <v>795</v>
      </c>
      <c r="R1053" s="26" t="n">
        <v>0</v>
      </c>
      <c r="S1053" s="26" t="n">
        <v>0</v>
      </c>
      <c r="T1053" s="26" t="n">
        <v>0</v>
      </c>
      <c r="U1053" s="26" t="n">
        <v>0</v>
      </c>
    </row>
    <row r="1054" customFormat="false" ht="15" hidden="false" customHeight="true" outlineLevel="0" collapsed="false">
      <c r="A1054" s="8" t="s">
        <v>944</v>
      </c>
      <c r="B1054" s="8" t="s">
        <v>103</v>
      </c>
      <c r="C1054" s="8" t="s">
        <v>922</v>
      </c>
      <c r="D1054" s="26" t="n">
        <v>0</v>
      </c>
      <c r="E1054" s="26" t="n">
        <v>0</v>
      </c>
      <c r="F1054" s="26" t="n">
        <v>89</v>
      </c>
      <c r="G1054" s="26" t="n">
        <v>0</v>
      </c>
      <c r="H1054" s="26" t="n">
        <v>0</v>
      </c>
      <c r="I1054" s="26" t="n">
        <v>622</v>
      </c>
      <c r="J1054" s="26" t="n">
        <v>0</v>
      </c>
      <c r="K1054" s="26" t="n">
        <v>0</v>
      </c>
      <c r="L1054" s="26" t="n">
        <v>0</v>
      </c>
      <c r="M1054" s="26" t="n">
        <v>0</v>
      </c>
      <c r="N1054" s="26" t="n">
        <v>0</v>
      </c>
      <c r="O1054" s="26" t="n">
        <v>0</v>
      </c>
      <c r="P1054" s="26" t="n">
        <v>0</v>
      </c>
      <c r="Q1054" s="26" t="n">
        <v>622</v>
      </c>
      <c r="R1054" s="26" t="n">
        <v>0</v>
      </c>
      <c r="S1054" s="26" t="n">
        <v>0</v>
      </c>
      <c r="T1054" s="26" t="n">
        <v>0</v>
      </c>
      <c r="U1054" s="26" t="n">
        <v>0</v>
      </c>
    </row>
    <row r="1055" customFormat="false" ht="15" hidden="false" customHeight="true" outlineLevel="0" collapsed="false">
      <c r="A1055" s="8" t="s">
        <v>944</v>
      </c>
      <c r="B1055" s="8" t="s">
        <v>103</v>
      </c>
      <c r="C1055" s="8" t="s">
        <v>923</v>
      </c>
      <c r="D1055" s="26" t="n">
        <v>0</v>
      </c>
      <c r="E1055" s="26" t="n">
        <v>0</v>
      </c>
      <c r="F1055" s="26" t="n">
        <v>46</v>
      </c>
      <c r="G1055" s="26" t="n">
        <v>0</v>
      </c>
      <c r="H1055" s="26" t="n">
        <v>0</v>
      </c>
      <c r="I1055" s="26" t="n">
        <v>504</v>
      </c>
      <c r="J1055" s="26" t="n">
        <v>0</v>
      </c>
      <c r="K1055" s="26" t="n">
        <v>0</v>
      </c>
      <c r="L1055" s="26" t="n">
        <v>0</v>
      </c>
      <c r="M1055" s="26" t="n">
        <v>0</v>
      </c>
      <c r="N1055" s="26" t="n">
        <v>0</v>
      </c>
      <c r="O1055" s="26" t="n">
        <v>0</v>
      </c>
      <c r="P1055" s="26" t="n">
        <v>0</v>
      </c>
      <c r="Q1055" s="26" t="n">
        <v>504</v>
      </c>
      <c r="R1055" s="26" t="n">
        <v>0</v>
      </c>
      <c r="S1055" s="26" t="n">
        <v>0</v>
      </c>
      <c r="T1055" s="26" t="n">
        <v>0</v>
      </c>
      <c r="U1055" s="26" t="n">
        <v>0</v>
      </c>
    </row>
    <row r="1056" customFormat="false" ht="15" hidden="false" customHeight="true" outlineLevel="0" collapsed="false">
      <c r="A1056" s="8" t="s">
        <v>944</v>
      </c>
      <c r="B1056" s="8" t="s">
        <v>254</v>
      </c>
      <c r="C1056" s="8" t="s">
        <v>924</v>
      </c>
      <c r="D1056" s="26" t="n">
        <v>0</v>
      </c>
      <c r="E1056" s="26" t="n">
        <v>0</v>
      </c>
      <c r="F1056" s="26" t="n">
        <v>12</v>
      </c>
      <c r="G1056" s="26" t="n">
        <v>0</v>
      </c>
      <c r="H1056" s="26" t="n">
        <v>0</v>
      </c>
      <c r="I1056" s="26" t="n">
        <v>41</v>
      </c>
      <c r="J1056" s="26" t="n">
        <v>0</v>
      </c>
      <c r="K1056" s="26" t="n">
        <v>0</v>
      </c>
      <c r="L1056" s="26" t="n">
        <v>0</v>
      </c>
      <c r="M1056" s="26" t="n">
        <v>0</v>
      </c>
      <c r="N1056" s="26" t="n">
        <v>0</v>
      </c>
      <c r="O1056" s="26" t="n">
        <v>0</v>
      </c>
      <c r="P1056" s="26" t="n">
        <v>0</v>
      </c>
      <c r="Q1056" s="26" t="n">
        <v>41</v>
      </c>
      <c r="R1056" s="26" t="n">
        <v>0</v>
      </c>
      <c r="S1056" s="26" t="n">
        <v>0</v>
      </c>
      <c r="T1056" s="26" t="n">
        <v>0</v>
      </c>
      <c r="U1056" s="26" t="n">
        <v>0</v>
      </c>
    </row>
    <row r="1057" customFormat="false" ht="15" hidden="false" customHeight="true" outlineLevel="0" collapsed="false">
      <c r="A1057" s="8" t="s">
        <v>944</v>
      </c>
      <c r="B1057" s="8" t="s">
        <v>342</v>
      </c>
      <c r="C1057" s="8" t="s">
        <v>924</v>
      </c>
      <c r="D1057" s="26" t="n">
        <v>0</v>
      </c>
      <c r="E1057" s="26" t="n">
        <v>0</v>
      </c>
      <c r="F1057" s="26" t="n">
        <v>0</v>
      </c>
      <c r="G1057" s="26" t="n">
        <v>0</v>
      </c>
      <c r="H1057" s="26" t="n">
        <v>0</v>
      </c>
      <c r="I1057" s="26" t="n">
        <v>-57</v>
      </c>
      <c r="J1057" s="26" t="n">
        <v>0</v>
      </c>
      <c r="K1057" s="26" t="n">
        <v>0</v>
      </c>
      <c r="L1057" s="26" t="n">
        <v>0</v>
      </c>
      <c r="M1057" s="26" t="n">
        <v>0</v>
      </c>
      <c r="N1057" s="26" t="n">
        <v>0</v>
      </c>
      <c r="O1057" s="26" t="n">
        <v>0</v>
      </c>
      <c r="P1057" s="26" t="n">
        <v>0</v>
      </c>
      <c r="Q1057" s="26" t="n">
        <v>-57</v>
      </c>
      <c r="R1057" s="26" t="n">
        <v>0</v>
      </c>
      <c r="S1057" s="26" t="n">
        <v>0</v>
      </c>
      <c r="T1057" s="26" t="n">
        <v>0</v>
      </c>
      <c r="U1057" s="26" t="n">
        <v>0</v>
      </c>
    </row>
    <row r="1058" customFormat="false" ht="15" hidden="false" customHeight="true" outlineLevel="0" collapsed="false">
      <c r="A1058" s="8" t="s">
        <v>944</v>
      </c>
      <c r="B1058" s="8" t="s">
        <v>254</v>
      </c>
      <c r="C1058" s="8" t="s">
        <v>925</v>
      </c>
      <c r="D1058" s="26" t="n">
        <v>0</v>
      </c>
      <c r="E1058" s="26" t="n">
        <v>0</v>
      </c>
      <c r="F1058" s="26" t="n">
        <v>6</v>
      </c>
      <c r="G1058" s="26" t="n">
        <v>0</v>
      </c>
      <c r="H1058" s="26" t="n">
        <v>0</v>
      </c>
      <c r="I1058" s="26" t="n">
        <v>48</v>
      </c>
      <c r="J1058" s="26" t="n">
        <v>0</v>
      </c>
      <c r="K1058" s="26" t="n">
        <v>0</v>
      </c>
      <c r="L1058" s="26" t="n">
        <v>0</v>
      </c>
      <c r="M1058" s="26" t="n">
        <v>0</v>
      </c>
      <c r="N1058" s="26" t="n">
        <v>0</v>
      </c>
      <c r="O1058" s="26" t="n">
        <v>0</v>
      </c>
      <c r="P1058" s="26" t="n">
        <v>0</v>
      </c>
      <c r="Q1058" s="26" t="n">
        <v>48</v>
      </c>
      <c r="R1058" s="26" t="n">
        <v>0</v>
      </c>
      <c r="S1058" s="26" t="n">
        <v>0</v>
      </c>
      <c r="T1058" s="26" t="n">
        <v>0</v>
      </c>
      <c r="U1058" s="26" t="n">
        <v>0</v>
      </c>
    </row>
    <row r="1059" customFormat="false" ht="15" hidden="false" customHeight="true" outlineLevel="0" collapsed="false">
      <c r="A1059" s="8" t="s">
        <v>944</v>
      </c>
      <c r="B1059" s="8" t="s">
        <v>340</v>
      </c>
      <c r="C1059" s="8" t="s">
        <v>925</v>
      </c>
      <c r="D1059" s="26" t="n">
        <v>0</v>
      </c>
      <c r="E1059" s="26" t="n">
        <v>0</v>
      </c>
      <c r="F1059" s="26" t="n">
        <v>0</v>
      </c>
      <c r="G1059" s="26" t="n">
        <v>0</v>
      </c>
      <c r="H1059" s="26" t="n">
        <v>0</v>
      </c>
      <c r="I1059" s="26" t="n">
        <v>118</v>
      </c>
      <c r="J1059" s="26" t="n">
        <v>0</v>
      </c>
      <c r="K1059" s="26" t="n">
        <v>0</v>
      </c>
      <c r="L1059" s="26" t="n">
        <v>0</v>
      </c>
      <c r="M1059" s="26" t="n">
        <v>0</v>
      </c>
      <c r="N1059" s="26" t="n">
        <v>0</v>
      </c>
      <c r="O1059" s="26" t="n">
        <v>0</v>
      </c>
      <c r="P1059" s="26" t="n">
        <v>0</v>
      </c>
      <c r="Q1059" s="26" t="n">
        <v>118</v>
      </c>
      <c r="R1059" s="26" t="n">
        <v>0</v>
      </c>
      <c r="S1059" s="26" t="n">
        <v>0</v>
      </c>
      <c r="T1059" s="26" t="n">
        <v>6</v>
      </c>
      <c r="U1059" s="26" t="n">
        <v>0</v>
      </c>
    </row>
    <row r="1060" customFormat="false" ht="15" hidden="false" customHeight="true" outlineLevel="0" collapsed="false">
      <c r="A1060" s="8" t="s">
        <v>944</v>
      </c>
      <c r="B1060" s="8" t="s">
        <v>92</v>
      </c>
      <c r="C1060" s="8" t="s">
        <v>926</v>
      </c>
      <c r="D1060" s="26" t="n">
        <v>0</v>
      </c>
      <c r="E1060" s="26" t="n">
        <v>0</v>
      </c>
      <c r="F1060" s="26" t="n">
        <v>341</v>
      </c>
      <c r="G1060" s="26" t="n">
        <v>0</v>
      </c>
      <c r="H1060" s="26" t="n">
        <v>0</v>
      </c>
      <c r="I1060" s="26" t="n">
        <v>1283</v>
      </c>
      <c r="J1060" s="26" t="n">
        <v>0</v>
      </c>
      <c r="K1060" s="26" t="n">
        <v>0</v>
      </c>
      <c r="L1060" s="26" t="n">
        <v>0</v>
      </c>
      <c r="M1060" s="26" t="n">
        <v>0</v>
      </c>
      <c r="N1060" s="26" t="n">
        <v>0</v>
      </c>
      <c r="O1060" s="26" t="n">
        <v>0</v>
      </c>
      <c r="P1060" s="26" t="n">
        <v>0</v>
      </c>
      <c r="Q1060" s="26" t="n">
        <v>1283</v>
      </c>
      <c r="R1060" s="26" t="n">
        <v>0</v>
      </c>
      <c r="S1060" s="26" t="n">
        <v>0</v>
      </c>
      <c r="T1060" s="26" t="n">
        <v>156</v>
      </c>
      <c r="U1060" s="26" t="n">
        <v>0</v>
      </c>
    </row>
    <row r="1061" customFormat="false" ht="15" hidden="false" customHeight="true" outlineLevel="0" collapsed="false">
      <c r="A1061" s="8" t="s">
        <v>944</v>
      </c>
      <c r="B1061" s="8" t="s">
        <v>149</v>
      </c>
      <c r="C1061" s="8" t="s">
        <v>927</v>
      </c>
      <c r="D1061" s="26" t="n">
        <v>0</v>
      </c>
      <c r="E1061" s="26" t="n">
        <v>0</v>
      </c>
      <c r="F1061" s="26" t="n">
        <v>20</v>
      </c>
      <c r="G1061" s="26" t="n">
        <v>0</v>
      </c>
      <c r="H1061" s="26" t="n">
        <v>0</v>
      </c>
      <c r="I1061" s="26" t="n">
        <v>62</v>
      </c>
      <c r="J1061" s="26" t="n">
        <v>0</v>
      </c>
      <c r="K1061" s="26" t="n">
        <v>0</v>
      </c>
      <c r="L1061" s="26" t="n">
        <v>0</v>
      </c>
      <c r="M1061" s="26" t="n">
        <v>0</v>
      </c>
      <c r="N1061" s="26" t="n">
        <v>0</v>
      </c>
      <c r="O1061" s="26" t="n">
        <v>0</v>
      </c>
      <c r="P1061" s="26" t="n">
        <v>0</v>
      </c>
      <c r="Q1061" s="26" t="n">
        <v>62</v>
      </c>
      <c r="R1061" s="26" t="n">
        <v>0</v>
      </c>
      <c r="S1061" s="26" t="n">
        <v>0</v>
      </c>
      <c r="T1061" s="26" t="n">
        <v>0</v>
      </c>
      <c r="U1061" s="26" t="n">
        <v>0</v>
      </c>
    </row>
    <row r="1062" customFormat="false" ht="15" hidden="false" customHeight="true" outlineLevel="0" collapsed="false">
      <c r="A1062" s="8" t="s">
        <v>944</v>
      </c>
      <c r="B1062" s="8" t="s">
        <v>80</v>
      </c>
      <c r="C1062" s="8" t="s">
        <v>977</v>
      </c>
      <c r="D1062" s="26" t="n">
        <v>0</v>
      </c>
      <c r="E1062" s="26" t="n">
        <v>0</v>
      </c>
      <c r="F1062" s="26" t="n">
        <v>116</v>
      </c>
      <c r="G1062" s="26" t="n">
        <v>0</v>
      </c>
      <c r="H1062" s="26" t="n">
        <v>0</v>
      </c>
      <c r="I1062" s="26" t="n">
        <v>427</v>
      </c>
      <c r="J1062" s="26" t="n">
        <v>0</v>
      </c>
      <c r="K1062" s="26" t="n">
        <v>0</v>
      </c>
      <c r="L1062" s="26" t="n">
        <v>0</v>
      </c>
      <c r="M1062" s="26" t="n">
        <v>0</v>
      </c>
      <c r="N1062" s="26" t="n">
        <v>0</v>
      </c>
      <c r="O1062" s="26" t="n">
        <v>0</v>
      </c>
      <c r="P1062" s="26" t="n">
        <v>0</v>
      </c>
      <c r="Q1062" s="26" t="n">
        <v>427</v>
      </c>
      <c r="R1062" s="26" t="n">
        <v>0</v>
      </c>
      <c r="S1062" s="26" t="n">
        <v>0</v>
      </c>
      <c r="T1062" s="26" t="n">
        <v>102</v>
      </c>
      <c r="U1062" s="26" t="n">
        <v>0</v>
      </c>
    </row>
    <row r="1063" customFormat="false" ht="15" hidden="false" customHeight="true" outlineLevel="0" collapsed="false">
      <c r="A1063" s="8" t="s">
        <v>944</v>
      </c>
      <c r="B1063" s="8" t="s">
        <v>80</v>
      </c>
      <c r="C1063" s="8" t="s">
        <v>978</v>
      </c>
      <c r="D1063" s="26" t="n">
        <v>0</v>
      </c>
      <c r="E1063" s="26" t="n">
        <v>0</v>
      </c>
      <c r="F1063" s="26" t="n">
        <v>190</v>
      </c>
      <c r="G1063" s="26" t="n">
        <v>0</v>
      </c>
      <c r="H1063" s="26" t="n">
        <v>0</v>
      </c>
      <c r="I1063" s="26" t="n">
        <v>647</v>
      </c>
      <c r="J1063" s="26" t="n">
        <v>0</v>
      </c>
      <c r="K1063" s="26" t="n">
        <v>0</v>
      </c>
      <c r="L1063" s="26" t="n">
        <v>0</v>
      </c>
      <c r="M1063" s="26" t="n">
        <v>0</v>
      </c>
      <c r="N1063" s="26" t="n">
        <v>0</v>
      </c>
      <c r="O1063" s="26" t="n">
        <v>0</v>
      </c>
      <c r="P1063" s="26" t="n">
        <v>0</v>
      </c>
      <c r="Q1063" s="26" t="n">
        <v>647</v>
      </c>
      <c r="R1063" s="26" t="n">
        <v>0</v>
      </c>
      <c r="S1063" s="26" t="n">
        <v>0</v>
      </c>
      <c r="T1063" s="26" t="n">
        <v>147</v>
      </c>
      <c r="U1063" s="26" t="n">
        <v>0</v>
      </c>
    </row>
    <row r="1064" customFormat="false" ht="15" hidden="false" customHeight="true" outlineLevel="0" collapsed="false">
      <c r="A1064" s="8" t="s">
        <v>944</v>
      </c>
      <c r="B1064" s="8" t="s">
        <v>80</v>
      </c>
      <c r="C1064" s="8" t="s">
        <v>979</v>
      </c>
      <c r="D1064" s="26" t="n">
        <v>0</v>
      </c>
      <c r="E1064" s="26" t="n">
        <v>0</v>
      </c>
      <c r="F1064" s="26" t="n">
        <v>150</v>
      </c>
      <c r="G1064" s="26" t="n">
        <v>0</v>
      </c>
      <c r="H1064" s="26" t="n">
        <v>0</v>
      </c>
      <c r="I1064" s="26" t="n">
        <v>478</v>
      </c>
      <c r="J1064" s="26" t="n">
        <v>0</v>
      </c>
      <c r="K1064" s="26" t="n">
        <v>0</v>
      </c>
      <c r="L1064" s="26" t="n">
        <v>0</v>
      </c>
      <c r="M1064" s="26" t="n">
        <v>0</v>
      </c>
      <c r="N1064" s="26" t="n">
        <v>0</v>
      </c>
      <c r="O1064" s="26" t="n">
        <v>0</v>
      </c>
      <c r="P1064" s="26" t="n">
        <v>0</v>
      </c>
      <c r="Q1064" s="26" t="n">
        <v>478</v>
      </c>
      <c r="R1064" s="26" t="n">
        <v>0</v>
      </c>
      <c r="S1064" s="26" t="n">
        <v>0</v>
      </c>
      <c r="T1064" s="26" t="n">
        <v>167</v>
      </c>
      <c r="U1064" s="26" t="n">
        <v>0</v>
      </c>
    </row>
    <row r="1065" customFormat="false" ht="15" hidden="false" customHeight="true" outlineLevel="0" collapsed="false">
      <c r="A1065" s="8" t="s">
        <v>944</v>
      </c>
      <c r="B1065" s="8" t="s">
        <v>210</v>
      </c>
      <c r="C1065" s="8" t="s">
        <v>980</v>
      </c>
      <c r="D1065" s="26" t="n">
        <v>0</v>
      </c>
      <c r="E1065" s="26" t="n">
        <v>0</v>
      </c>
      <c r="F1065" s="26" t="n">
        <v>16</v>
      </c>
      <c r="G1065" s="26" t="n">
        <v>0</v>
      </c>
      <c r="H1065" s="26" t="n">
        <v>5</v>
      </c>
      <c r="I1065" s="26" t="n">
        <v>0</v>
      </c>
      <c r="J1065" s="26" t="n">
        <v>0</v>
      </c>
      <c r="K1065" s="26" t="n">
        <v>0</v>
      </c>
      <c r="L1065" s="26" t="n">
        <v>0</v>
      </c>
      <c r="M1065" s="26" t="n">
        <v>0</v>
      </c>
      <c r="N1065" s="26" t="n">
        <v>0</v>
      </c>
      <c r="O1065" s="26" t="n">
        <v>0</v>
      </c>
      <c r="P1065" s="26" t="n">
        <v>0</v>
      </c>
      <c r="Q1065" s="26" t="n">
        <v>0</v>
      </c>
      <c r="R1065" s="26" t="n">
        <v>0</v>
      </c>
      <c r="S1065" s="26" t="n">
        <v>0</v>
      </c>
      <c r="T1065" s="26" t="n">
        <v>0</v>
      </c>
      <c r="U1065" s="26" t="n">
        <v>0</v>
      </c>
    </row>
    <row r="1066" customFormat="false" ht="15" hidden="false" customHeight="true" outlineLevel="0" collapsed="false">
      <c r="A1066" s="8" t="s">
        <v>944</v>
      </c>
      <c r="B1066" s="8" t="s">
        <v>210</v>
      </c>
      <c r="C1066" s="8" t="s">
        <v>981</v>
      </c>
      <c r="D1066" s="26" t="n">
        <v>0</v>
      </c>
      <c r="E1066" s="26" t="n">
        <v>0</v>
      </c>
      <c r="F1066" s="26" t="n">
        <v>11</v>
      </c>
      <c r="G1066" s="26" t="n">
        <v>0</v>
      </c>
      <c r="H1066" s="26" t="n">
        <v>5</v>
      </c>
      <c r="I1066" s="26" t="n">
        <v>0</v>
      </c>
      <c r="J1066" s="26" t="n">
        <v>0</v>
      </c>
      <c r="K1066" s="26" t="n">
        <v>0</v>
      </c>
      <c r="L1066" s="26" t="n">
        <v>0</v>
      </c>
      <c r="M1066" s="26" t="n">
        <v>0</v>
      </c>
      <c r="N1066" s="26" t="n">
        <v>0</v>
      </c>
      <c r="O1066" s="26" t="n">
        <v>0</v>
      </c>
      <c r="P1066" s="26" t="n">
        <v>0</v>
      </c>
      <c r="Q1066" s="26" t="n">
        <v>0</v>
      </c>
      <c r="R1066" s="26" t="n">
        <v>0</v>
      </c>
      <c r="S1066" s="26" t="n">
        <v>0</v>
      </c>
      <c r="T1066" s="26" t="n">
        <v>0</v>
      </c>
      <c r="U1066" s="26" t="n">
        <v>0</v>
      </c>
    </row>
    <row r="1067" customFormat="false" ht="15" hidden="false" customHeight="true" outlineLevel="0" collapsed="false">
      <c r="A1067" s="8" t="s">
        <v>944</v>
      </c>
      <c r="B1067" s="8" t="s">
        <v>110</v>
      </c>
      <c r="C1067" s="8" t="s">
        <v>928</v>
      </c>
      <c r="D1067" s="26" t="n">
        <v>0</v>
      </c>
      <c r="E1067" s="26" t="n">
        <v>0</v>
      </c>
      <c r="F1067" s="26" t="n">
        <v>177</v>
      </c>
      <c r="G1067" s="26" t="n">
        <v>0</v>
      </c>
      <c r="H1067" s="26" t="n">
        <v>2</v>
      </c>
      <c r="I1067" s="26" t="n">
        <v>0</v>
      </c>
      <c r="J1067" s="26" t="n">
        <v>0</v>
      </c>
      <c r="K1067" s="26" t="n">
        <v>0</v>
      </c>
      <c r="L1067" s="26" t="n">
        <v>0</v>
      </c>
      <c r="M1067" s="26" t="n">
        <v>0</v>
      </c>
      <c r="N1067" s="26" t="n">
        <v>0</v>
      </c>
      <c r="O1067" s="26" t="n">
        <v>0</v>
      </c>
      <c r="P1067" s="26" t="n">
        <v>0</v>
      </c>
      <c r="Q1067" s="26" t="n">
        <v>0</v>
      </c>
      <c r="R1067" s="26" t="n">
        <v>0</v>
      </c>
      <c r="S1067" s="26" t="n">
        <v>0</v>
      </c>
      <c r="T1067" s="26" t="n">
        <v>0</v>
      </c>
      <c r="U1067" s="26" t="n">
        <v>0</v>
      </c>
    </row>
    <row r="1068" customFormat="false" ht="15" hidden="false" customHeight="true" outlineLevel="0" collapsed="false">
      <c r="A1068" s="8" t="s">
        <v>944</v>
      </c>
      <c r="B1068" s="8" t="s">
        <v>147</v>
      </c>
      <c r="C1068" s="8" t="s">
        <v>533</v>
      </c>
      <c r="D1068" s="26" t="n">
        <v>0</v>
      </c>
      <c r="E1068" s="26" t="n">
        <v>0</v>
      </c>
      <c r="F1068" s="26" t="n">
        <v>32</v>
      </c>
      <c r="G1068" s="26" t="n">
        <v>0</v>
      </c>
      <c r="H1068" s="26" t="n">
        <v>0</v>
      </c>
      <c r="I1068" s="26" t="n">
        <v>26</v>
      </c>
      <c r="J1068" s="26" t="n">
        <v>0</v>
      </c>
      <c r="K1068" s="26" t="n">
        <v>0</v>
      </c>
      <c r="L1068" s="26" t="n">
        <v>0</v>
      </c>
      <c r="M1068" s="26" t="n">
        <v>0</v>
      </c>
      <c r="N1068" s="26" t="n">
        <v>0</v>
      </c>
      <c r="O1068" s="26" t="n">
        <v>0</v>
      </c>
      <c r="P1068" s="26" t="n">
        <v>0</v>
      </c>
      <c r="Q1068" s="26" t="n">
        <v>26</v>
      </c>
      <c r="R1068" s="26" t="n">
        <v>0</v>
      </c>
      <c r="S1068" s="26" t="n">
        <v>0</v>
      </c>
      <c r="T1068" s="26" t="n">
        <v>0</v>
      </c>
      <c r="U1068" s="26" t="n">
        <v>0</v>
      </c>
    </row>
    <row r="1069" customFormat="false" ht="15" hidden="false" customHeight="true" outlineLevel="0" collapsed="false">
      <c r="A1069" s="8" t="s">
        <v>944</v>
      </c>
      <c r="B1069" s="8" t="s">
        <v>216</v>
      </c>
      <c r="C1069" s="8" t="s">
        <v>929</v>
      </c>
      <c r="D1069" s="26" t="n">
        <v>0</v>
      </c>
      <c r="E1069" s="26" t="n">
        <v>0</v>
      </c>
      <c r="F1069" s="26" t="n">
        <v>67</v>
      </c>
      <c r="G1069" s="26" t="n">
        <v>0</v>
      </c>
      <c r="H1069" s="26" t="n">
        <v>0</v>
      </c>
      <c r="I1069" s="26" t="n">
        <v>909</v>
      </c>
      <c r="J1069" s="26" t="n">
        <v>0</v>
      </c>
      <c r="K1069" s="26" t="n">
        <v>0</v>
      </c>
      <c r="L1069" s="26" t="n">
        <v>0</v>
      </c>
      <c r="M1069" s="26" t="n">
        <v>0</v>
      </c>
      <c r="N1069" s="26" t="n">
        <v>0</v>
      </c>
      <c r="O1069" s="26" t="n">
        <v>0</v>
      </c>
      <c r="P1069" s="26" t="n">
        <v>0</v>
      </c>
      <c r="Q1069" s="26" t="n">
        <v>909</v>
      </c>
      <c r="R1069" s="26" t="n">
        <v>0</v>
      </c>
      <c r="S1069" s="26" t="n">
        <v>0</v>
      </c>
      <c r="T1069" s="26" t="n">
        <v>0</v>
      </c>
      <c r="U1069" s="26" t="n">
        <v>0</v>
      </c>
    </row>
    <row r="1070" customFormat="false" ht="15" hidden="false" customHeight="true" outlineLevel="0" collapsed="false">
      <c r="A1070" s="8" t="s">
        <v>944</v>
      </c>
      <c r="B1070" s="8" t="s">
        <v>392</v>
      </c>
      <c r="C1070" s="8" t="s">
        <v>982</v>
      </c>
      <c r="D1070" s="26" t="n">
        <v>0</v>
      </c>
      <c r="E1070" s="26" t="n">
        <v>0</v>
      </c>
      <c r="F1070" s="26" t="n">
        <v>0</v>
      </c>
      <c r="G1070" s="26" t="n">
        <v>0</v>
      </c>
      <c r="H1070" s="26" t="n">
        <v>0</v>
      </c>
      <c r="I1070" s="26" t="n">
        <v>0</v>
      </c>
      <c r="J1070" s="26" t="n">
        <v>0</v>
      </c>
      <c r="K1070" s="26" t="n">
        <v>0</v>
      </c>
      <c r="L1070" s="26" t="n">
        <v>0</v>
      </c>
      <c r="M1070" s="26" t="n">
        <v>0</v>
      </c>
      <c r="N1070" s="26" t="n">
        <v>0</v>
      </c>
      <c r="O1070" s="26" t="n">
        <v>0</v>
      </c>
      <c r="P1070" s="26" t="n">
        <v>0</v>
      </c>
      <c r="Q1070" s="26" t="n">
        <v>0</v>
      </c>
      <c r="R1070" s="26" t="n">
        <v>0</v>
      </c>
      <c r="S1070" s="26" t="n">
        <v>0</v>
      </c>
      <c r="T1070" s="26" t="n">
        <v>327</v>
      </c>
      <c r="U1070" s="26" t="n">
        <v>0</v>
      </c>
    </row>
    <row r="1071" customFormat="false" ht="15" hidden="false" customHeight="true" outlineLevel="0" collapsed="false">
      <c r="A1071" s="8" t="s">
        <v>944</v>
      </c>
      <c r="B1071" s="8" t="s">
        <v>397</v>
      </c>
      <c r="C1071" s="8" t="s">
        <v>983</v>
      </c>
      <c r="D1071" s="26" t="n">
        <v>0</v>
      </c>
      <c r="E1071" s="26" t="n">
        <v>0</v>
      </c>
      <c r="F1071" s="26" t="n">
        <v>0</v>
      </c>
      <c r="G1071" s="26" t="n">
        <v>0</v>
      </c>
      <c r="H1071" s="26" t="n">
        <v>0</v>
      </c>
      <c r="I1071" s="26" t="n">
        <v>0</v>
      </c>
      <c r="J1071" s="26" t="n">
        <v>0</v>
      </c>
      <c r="K1071" s="26" t="n">
        <v>0</v>
      </c>
      <c r="L1071" s="26" t="n">
        <v>0</v>
      </c>
      <c r="M1071" s="26" t="n">
        <v>0</v>
      </c>
      <c r="N1071" s="26" t="n">
        <v>0</v>
      </c>
      <c r="O1071" s="26" t="n">
        <v>0</v>
      </c>
      <c r="P1071" s="26" t="n">
        <v>0</v>
      </c>
      <c r="Q1071" s="26" t="n">
        <v>0</v>
      </c>
      <c r="R1071" s="26" t="n">
        <v>0</v>
      </c>
      <c r="S1071" s="26" t="n">
        <v>0</v>
      </c>
      <c r="T1071" s="26" t="n">
        <v>72</v>
      </c>
      <c r="U1071" s="26" t="n">
        <v>0</v>
      </c>
    </row>
    <row r="1072" customFormat="false" ht="15" hidden="false" customHeight="true" outlineLevel="0" collapsed="false">
      <c r="A1072" s="8" t="s">
        <v>944</v>
      </c>
      <c r="B1072" s="8" t="s">
        <v>395</v>
      </c>
      <c r="C1072" s="8" t="s">
        <v>984</v>
      </c>
      <c r="D1072" s="26" t="n">
        <v>0</v>
      </c>
      <c r="E1072" s="26" t="n">
        <v>0</v>
      </c>
      <c r="F1072" s="26" t="n">
        <v>0</v>
      </c>
      <c r="G1072" s="26" t="n">
        <v>0</v>
      </c>
      <c r="H1072" s="26" t="n">
        <v>0</v>
      </c>
      <c r="I1072" s="26" t="n">
        <v>0</v>
      </c>
      <c r="J1072" s="26" t="n">
        <v>0</v>
      </c>
      <c r="K1072" s="26" t="n">
        <v>0</v>
      </c>
      <c r="L1072" s="26" t="n">
        <v>0</v>
      </c>
      <c r="M1072" s="26" t="n">
        <v>0</v>
      </c>
      <c r="N1072" s="26" t="n">
        <v>0</v>
      </c>
      <c r="O1072" s="26" t="n">
        <v>0</v>
      </c>
      <c r="P1072" s="26" t="n">
        <v>0</v>
      </c>
      <c r="Q1072" s="26" t="n">
        <v>0</v>
      </c>
      <c r="R1072" s="26" t="n">
        <v>0</v>
      </c>
      <c r="S1072" s="26" t="n">
        <v>0</v>
      </c>
      <c r="T1072" s="26" t="n">
        <v>97</v>
      </c>
      <c r="U1072" s="26" t="n">
        <v>0</v>
      </c>
    </row>
    <row r="1073" customFormat="false" ht="15" hidden="false" customHeight="true" outlineLevel="0" collapsed="false">
      <c r="A1073" s="8" t="s">
        <v>944</v>
      </c>
      <c r="B1073" s="8" t="s">
        <v>399</v>
      </c>
      <c r="C1073" s="8" t="s">
        <v>985</v>
      </c>
      <c r="D1073" s="26" t="n">
        <v>0</v>
      </c>
      <c r="E1073" s="26" t="n">
        <v>0</v>
      </c>
      <c r="F1073" s="26" t="n">
        <v>0</v>
      </c>
      <c r="G1073" s="26" t="n">
        <v>0</v>
      </c>
      <c r="H1073" s="26" t="n">
        <v>0</v>
      </c>
      <c r="I1073" s="26" t="n">
        <v>0</v>
      </c>
      <c r="J1073" s="26" t="n">
        <v>0</v>
      </c>
      <c r="K1073" s="26" t="n">
        <v>0</v>
      </c>
      <c r="L1073" s="26" t="n">
        <v>0</v>
      </c>
      <c r="M1073" s="26" t="n">
        <v>0</v>
      </c>
      <c r="N1073" s="26" t="n">
        <v>0</v>
      </c>
      <c r="O1073" s="26" t="n">
        <v>0</v>
      </c>
      <c r="P1073" s="26" t="n">
        <v>0</v>
      </c>
      <c r="Q1073" s="26" t="n">
        <v>0</v>
      </c>
      <c r="R1073" s="26" t="n">
        <v>0</v>
      </c>
      <c r="S1073" s="26" t="n">
        <v>0</v>
      </c>
      <c r="T1073" s="26" t="n">
        <v>5</v>
      </c>
      <c r="U1073" s="26" t="n">
        <v>0</v>
      </c>
    </row>
    <row r="1074" customFormat="false" ht="15" hidden="false" customHeight="true" outlineLevel="0" collapsed="false">
      <c r="A1074" s="8" t="s">
        <v>944</v>
      </c>
      <c r="B1074" s="8" t="s">
        <v>215</v>
      </c>
      <c r="C1074" s="8" t="s">
        <v>986</v>
      </c>
      <c r="D1074" s="26" t="n">
        <v>0</v>
      </c>
      <c r="E1074" s="26" t="n">
        <v>0</v>
      </c>
      <c r="F1074" s="26" t="n">
        <v>0</v>
      </c>
      <c r="G1074" s="26" t="n">
        <v>0</v>
      </c>
      <c r="H1074" s="26" t="n">
        <v>0</v>
      </c>
      <c r="I1074" s="26" t="n">
        <v>11</v>
      </c>
      <c r="J1074" s="26" t="n">
        <v>0</v>
      </c>
      <c r="K1074" s="26" t="n">
        <v>0</v>
      </c>
      <c r="L1074" s="26" t="n">
        <v>0</v>
      </c>
      <c r="M1074" s="26" t="n">
        <v>0</v>
      </c>
      <c r="N1074" s="26" t="n">
        <v>0</v>
      </c>
      <c r="O1074" s="26" t="n">
        <v>0</v>
      </c>
      <c r="P1074" s="26" t="n">
        <v>0</v>
      </c>
      <c r="Q1074" s="26" t="n">
        <v>11</v>
      </c>
      <c r="R1074" s="26" t="n">
        <v>0</v>
      </c>
      <c r="S1074" s="26" t="n">
        <v>0</v>
      </c>
      <c r="T1074" s="26" t="n">
        <v>8</v>
      </c>
      <c r="U1074" s="26" t="n">
        <v>0</v>
      </c>
    </row>
    <row r="1075" customFormat="false" ht="15" hidden="false" customHeight="true" outlineLevel="0" collapsed="false">
      <c r="A1075" s="8" t="s">
        <v>944</v>
      </c>
      <c r="B1075" s="8" t="s">
        <v>215</v>
      </c>
      <c r="C1075" s="8" t="s">
        <v>987</v>
      </c>
      <c r="D1075" s="26" t="n">
        <v>0</v>
      </c>
      <c r="E1075" s="26" t="n">
        <v>0</v>
      </c>
      <c r="F1075" s="26" t="n">
        <v>1</v>
      </c>
      <c r="G1075" s="26" t="n">
        <v>0</v>
      </c>
      <c r="H1075" s="26" t="n">
        <v>0</v>
      </c>
      <c r="I1075" s="26" t="n">
        <v>11</v>
      </c>
      <c r="J1075" s="26" t="n">
        <v>0</v>
      </c>
      <c r="K1075" s="26" t="n">
        <v>0</v>
      </c>
      <c r="L1075" s="26" t="n">
        <v>0</v>
      </c>
      <c r="M1075" s="26" t="n">
        <v>0</v>
      </c>
      <c r="N1075" s="26" t="n">
        <v>0</v>
      </c>
      <c r="O1075" s="26" t="n">
        <v>0</v>
      </c>
      <c r="P1075" s="26" t="n">
        <v>0</v>
      </c>
      <c r="Q1075" s="26" t="n">
        <v>11</v>
      </c>
      <c r="R1075" s="26" t="n">
        <v>0</v>
      </c>
      <c r="S1075" s="26" t="n">
        <v>0</v>
      </c>
      <c r="T1075" s="26" t="n">
        <v>2</v>
      </c>
      <c r="U1075" s="26" t="n">
        <v>0</v>
      </c>
    </row>
    <row r="1076" customFormat="false" ht="15" hidden="false" customHeight="true" outlineLevel="0" collapsed="false">
      <c r="A1076" s="8" t="s">
        <v>944</v>
      </c>
      <c r="B1076" s="8" t="s">
        <v>215</v>
      </c>
      <c r="C1076" s="8" t="s">
        <v>988</v>
      </c>
      <c r="D1076" s="26" t="n">
        <v>0</v>
      </c>
      <c r="E1076" s="26" t="n">
        <v>0</v>
      </c>
      <c r="F1076" s="26" t="n">
        <v>1</v>
      </c>
      <c r="G1076" s="26" t="n">
        <v>0</v>
      </c>
      <c r="H1076" s="26" t="n">
        <v>0</v>
      </c>
      <c r="I1076" s="26" t="n">
        <v>13</v>
      </c>
      <c r="J1076" s="26" t="n">
        <v>0</v>
      </c>
      <c r="K1076" s="26" t="n">
        <v>0</v>
      </c>
      <c r="L1076" s="26" t="n">
        <v>0</v>
      </c>
      <c r="M1076" s="26" t="n">
        <v>0</v>
      </c>
      <c r="N1076" s="26" t="n">
        <v>0</v>
      </c>
      <c r="O1076" s="26" t="n">
        <v>0</v>
      </c>
      <c r="P1076" s="26" t="n">
        <v>0</v>
      </c>
      <c r="Q1076" s="26" t="n">
        <v>13</v>
      </c>
      <c r="R1076" s="26" t="n">
        <v>0</v>
      </c>
      <c r="S1076" s="26" t="n">
        <v>0</v>
      </c>
      <c r="T1076" s="26" t="n">
        <v>1</v>
      </c>
      <c r="U1076" s="26" t="n">
        <v>0</v>
      </c>
    </row>
    <row r="1077" customFormat="false" ht="15" hidden="false" customHeight="true" outlineLevel="0" collapsed="false">
      <c r="A1077" s="8" t="s">
        <v>944</v>
      </c>
      <c r="B1077" s="8" t="s">
        <v>215</v>
      </c>
      <c r="C1077" s="8" t="s">
        <v>989</v>
      </c>
      <c r="D1077" s="26" t="n">
        <v>0</v>
      </c>
      <c r="E1077" s="26" t="n">
        <v>0</v>
      </c>
      <c r="F1077" s="26" t="n">
        <v>1</v>
      </c>
      <c r="G1077" s="26" t="n">
        <v>0</v>
      </c>
      <c r="H1077" s="26" t="n">
        <v>0</v>
      </c>
      <c r="I1077" s="26" t="n">
        <v>12</v>
      </c>
      <c r="J1077" s="26" t="n">
        <v>0</v>
      </c>
      <c r="K1077" s="26" t="n">
        <v>0</v>
      </c>
      <c r="L1077" s="26" t="n">
        <v>0</v>
      </c>
      <c r="M1077" s="26" t="n">
        <v>0</v>
      </c>
      <c r="N1077" s="26" t="n">
        <v>0</v>
      </c>
      <c r="O1077" s="26" t="n">
        <v>0</v>
      </c>
      <c r="P1077" s="26" t="n">
        <v>0</v>
      </c>
      <c r="Q1077" s="26" t="n">
        <v>12</v>
      </c>
      <c r="R1077" s="26" t="n">
        <v>0</v>
      </c>
      <c r="S1077" s="26" t="n">
        <v>0</v>
      </c>
      <c r="T1077" s="26" t="n">
        <v>1</v>
      </c>
      <c r="U1077" s="26" t="n">
        <v>0</v>
      </c>
    </row>
    <row r="1078" customFormat="false" ht="15" hidden="false" customHeight="true" outlineLevel="0" collapsed="false">
      <c r="A1078" s="8" t="s">
        <v>944</v>
      </c>
      <c r="B1078" s="8" t="s">
        <v>211</v>
      </c>
      <c r="C1078" s="8" t="s">
        <v>990</v>
      </c>
      <c r="D1078" s="26" t="n">
        <v>0</v>
      </c>
      <c r="E1078" s="26" t="n">
        <v>0</v>
      </c>
      <c r="F1078" s="26" t="n">
        <v>22</v>
      </c>
      <c r="G1078" s="26" t="n">
        <v>0</v>
      </c>
      <c r="H1078" s="26" t="n">
        <v>0</v>
      </c>
      <c r="I1078" s="26" t="n">
        <v>0</v>
      </c>
      <c r="J1078" s="26" t="n">
        <v>0</v>
      </c>
      <c r="K1078" s="26" t="n">
        <v>0</v>
      </c>
      <c r="L1078" s="26" t="n">
        <v>0</v>
      </c>
      <c r="M1078" s="26" t="n">
        <v>0</v>
      </c>
      <c r="N1078" s="26" t="n">
        <v>0</v>
      </c>
      <c r="O1078" s="26" t="n">
        <v>0</v>
      </c>
      <c r="P1078" s="26" t="n">
        <v>0</v>
      </c>
      <c r="Q1078" s="26" t="n">
        <v>0</v>
      </c>
      <c r="R1078" s="26" t="n">
        <v>0</v>
      </c>
      <c r="S1078" s="26" t="n">
        <v>0</v>
      </c>
      <c r="T1078" s="26" t="n">
        <v>0</v>
      </c>
      <c r="U1078" s="26" t="n">
        <v>0</v>
      </c>
    </row>
    <row r="1079" customFormat="false" ht="15" hidden="false" customHeight="true" outlineLevel="0" collapsed="false">
      <c r="A1079" s="8" t="s">
        <v>944</v>
      </c>
      <c r="B1079" s="8" t="s">
        <v>257</v>
      </c>
      <c r="C1079" s="8" t="s">
        <v>991</v>
      </c>
      <c r="D1079" s="26" t="n">
        <v>0</v>
      </c>
      <c r="E1079" s="26" t="n">
        <v>0</v>
      </c>
      <c r="F1079" s="26" t="n">
        <v>2</v>
      </c>
      <c r="G1079" s="26" t="n">
        <v>0</v>
      </c>
      <c r="H1079" s="26" t="n">
        <v>0</v>
      </c>
      <c r="I1079" s="26" t="n">
        <v>22</v>
      </c>
      <c r="J1079" s="26" t="n">
        <v>0</v>
      </c>
      <c r="K1079" s="26" t="n">
        <v>0</v>
      </c>
      <c r="L1079" s="26" t="n">
        <v>0</v>
      </c>
      <c r="M1079" s="26" t="n">
        <v>0</v>
      </c>
      <c r="N1079" s="26" t="n">
        <v>0</v>
      </c>
      <c r="O1079" s="26" t="n">
        <v>0</v>
      </c>
      <c r="P1079" s="26" t="n">
        <v>0</v>
      </c>
      <c r="Q1079" s="26" t="n">
        <v>22</v>
      </c>
      <c r="R1079" s="26" t="n">
        <v>0</v>
      </c>
      <c r="S1079" s="26" t="n">
        <v>0</v>
      </c>
      <c r="T1079" s="26" t="n">
        <v>6</v>
      </c>
      <c r="U1079" s="26" t="n">
        <v>0</v>
      </c>
    </row>
    <row r="1080" customFormat="false" ht="15" hidden="false" customHeight="true" outlineLevel="0" collapsed="false">
      <c r="A1080" s="8" t="s">
        <v>944</v>
      </c>
      <c r="B1080" s="8" t="s">
        <v>257</v>
      </c>
      <c r="C1080" s="8" t="s">
        <v>992</v>
      </c>
      <c r="D1080" s="26" t="n">
        <v>0</v>
      </c>
      <c r="E1080" s="26" t="n">
        <v>0</v>
      </c>
      <c r="F1080" s="26" t="n">
        <v>1</v>
      </c>
      <c r="G1080" s="26" t="n">
        <v>0</v>
      </c>
      <c r="H1080" s="26" t="n">
        <v>0</v>
      </c>
      <c r="I1080" s="26" t="n">
        <v>42</v>
      </c>
      <c r="J1080" s="26" t="n">
        <v>0</v>
      </c>
      <c r="K1080" s="26" t="n">
        <v>0</v>
      </c>
      <c r="L1080" s="26" t="n">
        <v>0</v>
      </c>
      <c r="M1080" s="26" t="n">
        <v>0</v>
      </c>
      <c r="N1080" s="26" t="n">
        <v>0</v>
      </c>
      <c r="O1080" s="26" t="n">
        <v>0</v>
      </c>
      <c r="P1080" s="26" t="n">
        <v>0</v>
      </c>
      <c r="Q1080" s="26" t="n">
        <v>42</v>
      </c>
      <c r="R1080" s="26" t="n">
        <v>0</v>
      </c>
      <c r="S1080" s="26" t="n">
        <v>0</v>
      </c>
      <c r="T1080" s="26" t="n">
        <v>11</v>
      </c>
      <c r="U1080" s="26" t="n">
        <v>0</v>
      </c>
    </row>
    <row r="1081" customFormat="false" ht="15" hidden="false" customHeight="true" outlineLevel="0" collapsed="false">
      <c r="A1081" s="8" t="s">
        <v>944</v>
      </c>
      <c r="B1081" s="8" t="s">
        <v>257</v>
      </c>
      <c r="C1081" s="8" t="s">
        <v>993</v>
      </c>
      <c r="D1081" s="26" t="n">
        <v>0</v>
      </c>
      <c r="E1081" s="26" t="n">
        <v>0</v>
      </c>
      <c r="F1081" s="26" t="n">
        <v>1</v>
      </c>
      <c r="G1081" s="26" t="n">
        <v>0</v>
      </c>
      <c r="H1081" s="26" t="n">
        <v>0</v>
      </c>
      <c r="I1081" s="26" t="n">
        <v>29</v>
      </c>
      <c r="J1081" s="26" t="n">
        <v>0</v>
      </c>
      <c r="K1081" s="26" t="n">
        <v>0</v>
      </c>
      <c r="L1081" s="26" t="n">
        <v>0</v>
      </c>
      <c r="M1081" s="26" t="n">
        <v>0</v>
      </c>
      <c r="N1081" s="26" t="n">
        <v>0</v>
      </c>
      <c r="O1081" s="26" t="n">
        <v>0</v>
      </c>
      <c r="P1081" s="26" t="n">
        <v>0</v>
      </c>
      <c r="Q1081" s="26" t="n">
        <v>29</v>
      </c>
      <c r="R1081" s="26" t="n">
        <v>0</v>
      </c>
      <c r="S1081" s="26" t="n">
        <v>0</v>
      </c>
      <c r="T1081" s="26" t="n">
        <v>5</v>
      </c>
      <c r="U1081" s="26" t="n">
        <v>0</v>
      </c>
    </row>
    <row r="1082" customFormat="false" ht="15" hidden="false" customHeight="true" outlineLevel="0" collapsed="false">
      <c r="A1082" s="8" t="s">
        <v>944</v>
      </c>
      <c r="B1082" s="8" t="s">
        <v>286</v>
      </c>
      <c r="C1082" s="8" t="s">
        <v>994</v>
      </c>
      <c r="D1082" s="26" t="n">
        <v>0</v>
      </c>
      <c r="E1082" s="26" t="n">
        <v>0</v>
      </c>
      <c r="F1082" s="26" t="n">
        <v>1</v>
      </c>
      <c r="G1082" s="26" t="n">
        <v>0</v>
      </c>
      <c r="H1082" s="26" t="n">
        <v>0</v>
      </c>
      <c r="I1082" s="26" t="n">
        <v>23</v>
      </c>
      <c r="J1082" s="26" t="n">
        <v>0</v>
      </c>
      <c r="K1082" s="26" t="n">
        <v>0</v>
      </c>
      <c r="L1082" s="26" t="n">
        <v>0</v>
      </c>
      <c r="M1082" s="26" t="n">
        <v>0</v>
      </c>
      <c r="N1082" s="26" t="n">
        <v>0</v>
      </c>
      <c r="O1082" s="26" t="n">
        <v>0</v>
      </c>
      <c r="P1082" s="26" t="n">
        <v>0</v>
      </c>
      <c r="Q1082" s="26" t="n">
        <v>23</v>
      </c>
      <c r="R1082" s="26" t="n">
        <v>0</v>
      </c>
      <c r="S1082" s="26" t="n">
        <v>0</v>
      </c>
      <c r="T1082" s="26" t="n">
        <v>9</v>
      </c>
      <c r="U1082" s="26" t="n">
        <v>0</v>
      </c>
    </row>
    <row r="1083" customFormat="false" ht="15" hidden="false" customHeight="true" outlineLevel="0" collapsed="false">
      <c r="A1083" s="8" t="s">
        <v>944</v>
      </c>
      <c r="B1083" s="8" t="s">
        <v>286</v>
      </c>
      <c r="C1083" s="8" t="s">
        <v>995</v>
      </c>
      <c r="D1083" s="26" t="n">
        <v>0</v>
      </c>
      <c r="E1083" s="26" t="n">
        <v>0</v>
      </c>
      <c r="F1083" s="26" t="n">
        <v>1</v>
      </c>
      <c r="G1083" s="26" t="n">
        <v>0</v>
      </c>
      <c r="H1083" s="26" t="n">
        <v>0</v>
      </c>
      <c r="I1083" s="26" t="n">
        <v>41</v>
      </c>
      <c r="J1083" s="26" t="n">
        <v>0</v>
      </c>
      <c r="K1083" s="26" t="n">
        <v>0</v>
      </c>
      <c r="L1083" s="26" t="n">
        <v>0</v>
      </c>
      <c r="M1083" s="26" t="n">
        <v>0</v>
      </c>
      <c r="N1083" s="26" t="n">
        <v>0</v>
      </c>
      <c r="O1083" s="26" t="n">
        <v>0</v>
      </c>
      <c r="P1083" s="26" t="n">
        <v>0</v>
      </c>
      <c r="Q1083" s="26" t="n">
        <v>41</v>
      </c>
      <c r="R1083" s="26" t="n">
        <v>0</v>
      </c>
      <c r="S1083" s="26" t="n">
        <v>0</v>
      </c>
      <c r="T1083" s="26" t="n">
        <v>14</v>
      </c>
      <c r="U1083" s="26" t="n">
        <v>0</v>
      </c>
    </row>
    <row r="1084" customFormat="false" ht="15" hidden="false" customHeight="true" outlineLevel="0" collapsed="false">
      <c r="A1084" s="8" t="s">
        <v>944</v>
      </c>
      <c r="B1084" s="8" t="s">
        <v>285</v>
      </c>
      <c r="C1084" s="8" t="s">
        <v>996</v>
      </c>
      <c r="D1084" s="26" t="n">
        <v>0</v>
      </c>
      <c r="E1084" s="26" t="n">
        <v>0</v>
      </c>
      <c r="F1084" s="26" t="n">
        <v>2</v>
      </c>
      <c r="G1084" s="26" t="n">
        <v>0</v>
      </c>
      <c r="H1084" s="26" t="n">
        <v>0</v>
      </c>
      <c r="I1084" s="26" t="n">
        <v>31</v>
      </c>
      <c r="J1084" s="26" t="n">
        <v>0</v>
      </c>
      <c r="K1084" s="26" t="n">
        <v>0</v>
      </c>
      <c r="L1084" s="26" t="n">
        <v>0</v>
      </c>
      <c r="M1084" s="26" t="n">
        <v>0</v>
      </c>
      <c r="N1084" s="26" t="n">
        <v>0</v>
      </c>
      <c r="O1084" s="26" t="n">
        <v>0</v>
      </c>
      <c r="P1084" s="26" t="n">
        <v>0</v>
      </c>
      <c r="Q1084" s="26" t="n">
        <v>31</v>
      </c>
      <c r="R1084" s="26" t="n">
        <v>0</v>
      </c>
      <c r="S1084" s="26" t="n">
        <v>0</v>
      </c>
      <c r="T1084" s="26" t="n">
        <v>8</v>
      </c>
      <c r="U1084" s="26" t="n">
        <v>0</v>
      </c>
    </row>
    <row r="1085" customFormat="false" ht="15" hidden="false" customHeight="true" outlineLevel="0" collapsed="false">
      <c r="A1085" s="8" t="s">
        <v>944</v>
      </c>
      <c r="B1085" s="8" t="s">
        <v>151</v>
      </c>
      <c r="C1085" s="8" t="s">
        <v>930</v>
      </c>
      <c r="D1085" s="26" t="n">
        <v>0</v>
      </c>
      <c r="E1085" s="26" t="n">
        <v>0</v>
      </c>
      <c r="F1085" s="26" t="n">
        <v>8</v>
      </c>
      <c r="G1085" s="26" t="n">
        <v>0</v>
      </c>
      <c r="H1085" s="26" t="n">
        <v>0</v>
      </c>
      <c r="I1085" s="26" t="n">
        <v>37</v>
      </c>
      <c r="J1085" s="26" t="n">
        <v>0</v>
      </c>
      <c r="K1085" s="26" t="n">
        <v>0</v>
      </c>
      <c r="L1085" s="26" t="n">
        <v>0</v>
      </c>
      <c r="M1085" s="26" t="n">
        <v>0</v>
      </c>
      <c r="N1085" s="26" t="n">
        <v>0</v>
      </c>
      <c r="O1085" s="26" t="n">
        <v>0</v>
      </c>
      <c r="P1085" s="26" t="n">
        <v>0</v>
      </c>
      <c r="Q1085" s="26" t="n">
        <v>37</v>
      </c>
      <c r="R1085" s="26" t="n">
        <v>0</v>
      </c>
      <c r="S1085" s="26" t="n">
        <v>0</v>
      </c>
      <c r="T1085" s="26" t="n">
        <v>0</v>
      </c>
      <c r="U1085" s="26" t="n">
        <v>0</v>
      </c>
    </row>
    <row r="1086" customFormat="false" ht="15" hidden="false" customHeight="true" outlineLevel="0" collapsed="false">
      <c r="A1086" s="8" t="s">
        <v>944</v>
      </c>
      <c r="B1086" s="8" t="s">
        <v>151</v>
      </c>
      <c r="C1086" s="8" t="s">
        <v>931</v>
      </c>
      <c r="D1086" s="26" t="n">
        <v>0</v>
      </c>
      <c r="E1086" s="26" t="n">
        <v>0</v>
      </c>
      <c r="F1086" s="26" t="n">
        <v>7</v>
      </c>
      <c r="G1086" s="26" t="n">
        <v>0</v>
      </c>
      <c r="H1086" s="26" t="n">
        <v>0</v>
      </c>
      <c r="I1086" s="26" t="n">
        <v>128</v>
      </c>
      <c r="J1086" s="26" t="n">
        <v>0</v>
      </c>
      <c r="K1086" s="26" t="n">
        <v>0</v>
      </c>
      <c r="L1086" s="26" t="n">
        <v>0</v>
      </c>
      <c r="M1086" s="26" t="n">
        <v>0</v>
      </c>
      <c r="N1086" s="26" t="n">
        <v>0</v>
      </c>
      <c r="O1086" s="26" t="n">
        <v>0</v>
      </c>
      <c r="P1086" s="26" t="n">
        <v>0</v>
      </c>
      <c r="Q1086" s="26" t="n">
        <v>128</v>
      </c>
      <c r="R1086" s="26" t="n">
        <v>0</v>
      </c>
      <c r="S1086" s="26" t="n">
        <v>0</v>
      </c>
      <c r="T1086" s="26" t="n">
        <v>0</v>
      </c>
      <c r="U1086" s="26" t="n">
        <v>0</v>
      </c>
    </row>
    <row r="1087" customFormat="false" ht="15" hidden="false" customHeight="true" outlineLevel="0" collapsed="false">
      <c r="A1087" s="8" t="s">
        <v>944</v>
      </c>
      <c r="B1087" s="8" t="s">
        <v>151</v>
      </c>
      <c r="C1087" s="8" t="s">
        <v>932</v>
      </c>
      <c r="D1087" s="26" t="n">
        <v>0</v>
      </c>
      <c r="E1087" s="26" t="n">
        <v>0</v>
      </c>
      <c r="F1087" s="26" t="n">
        <v>11</v>
      </c>
      <c r="G1087" s="26" t="n">
        <v>0</v>
      </c>
      <c r="H1087" s="26" t="n">
        <v>0</v>
      </c>
      <c r="I1087" s="26" t="n">
        <v>316</v>
      </c>
      <c r="J1087" s="26" t="n">
        <v>0</v>
      </c>
      <c r="K1087" s="26" t="n">
        <v>0</v>
      </c>
      <c r="L1087" s="26" t="n">
        <v>0</v>
      </c>
      <c r="M1087" s="26" t="n">
        <v>0</v>
      </c>
      <c r="N1087" s="26" t="n">
        <v>0</v>
      </c>
      <c r="O1087" s="26" t="n">
        <v>0</v>
      </c>
      <c r="P1087" s="26" t="n">
        <v>0</v>
      </c>
      <c r="Q1087" s="26" t="n">
        <v>316</v>
      </c>
      <c r="R1087" s="26" t="n">
        <v>0</v>
      </c>
      <c r="S1087" s="26" t="n">
        <v>0</v>
      </c>
      <c r="T1087" s="26" t="n">
        <v>0</v>
      </c>
      <c r="U1087" s="26" t="n">
        <v>0</v>
      </c>
    </row>
    <row r="1088" customFormat="false" ht="15" hidden="false" customHeight="true" outlineLevel="0" collapsed="false">
      <c r="A1088" s="8" t="s">
        <v>944</v>
      </c>
      <c r="B1088" s="8" t="s">
        <v>288</v>
      </c>
      <c r="C1088" s="8" t="s">
        <v>933</v>
      </c>
      <c r="D1088" s="26" t="n">
        <v>0</v>
      </c>
      <c r="E1088" s="26" t="n">
        <v>0</v>
      </c>
      <c r="F1088" s="26" t="n">
        <v>8</v>
      </c>
      <c r="G1088" s="26" t="n">
        <v>0</v>
      </c>
      <c r="H1088" s="26" t="n">
        <v>0</v>
      </c>
      <c r="I1088" s="26" t="n">
        <v>38</v>
      </c>
      <c r="J1088" s="26" t="n">
        <v>0</v>
      </c>
      <c r="K1088" s="26" t="n">
        <v>0</v>
      </c>
      <c r="L1088" s="26" t="n">
        <v>0</v>
      </c>
      <c r="M1088" s="26" t="n">
        <v>0</v>
      </c>
      <c r="N1088" s="26" t="n">
        <v>0</v>
      </c>
      <c r="O1088" s="26" t="n">
        <v>0</v>
      </c>
      <c r="P1088" s="26" t="n">
        <v>0</v>
      </c>
      <c r="Q1088" s="26" t="n">
        <v>38</v>
      </c>
      <c r="R1088" s="26" t="n">
        <v>0</v>
      </c>
      <c r="S1088" s="26" t="n">
        <v>0</v>
      </c>
      <c r="T1088" s="26" t="n">
        <v>0</v>
      </c>
      <c r="U1088" s="26" t="n">
        <v>0</v>
      </c>
    </row>
    <row r="1089" customFormat="false" ht="15" hidden="false" customHeight="true" outlineLevel="0" collapsed="false">
      <c r="A1089" s="8" t="s">
        <v>944</v>
      </c>
      <c r="B1089" s="8" t="s">
        <v>171</v>
      </c>
      <c r="C1089" s="8" t="s">
        <v>933</v>
      </c>
      <c r="D1089" s="26" t="n">
        <v>0</v>
      </c>
      <c r="E1089" s="26" t="n">
        <v>0</v>
      </c>
      <c r="F1089" s="26" t="n">
        <v>10</v>
      </c>
      <c r="G1089" s="26" t="n">
        <v>0</v>
      </c>
      <c r="H1089" s="26" t="n">
        <v>0</v>
      </c>
      <c r="I1089" s="26" t="n">
        <v>144</v>
      </c>
      <c r="J1089" s="26" t="n">
        <v>0</v>
      </c>
      <c r="K1089" s="26" t="n">
        <v>0</v>
      </c>
      <c r="L1089" s="26" t="n">
        <v>0</v>
      </c>
      <c r="M1089" s="26" t="n">
        <v>0</v>
      </c>
      <c r="N1089" s="26" t="n">
        <v>0</v>
      </c>
      <c r="O1089" s="26" t="n">
        <v>0</v>
      </c>
      <c r="P1089" s="26" t="n">
        <v>0</v>
      </c>
      <c r="Q1089" s="26" t="n">
        <v>144</v>
      </c>
      <c r="R1089" s="26" t="n">
        <v>0</v>
      </c>
      <c r="S1089" s="26" t="n">
        <v>0</v>
      </c>
      <c r="T1089" s="26" t="n">
        <v>0</v>
      </c>
      <c r="U1089" s="26" t="n">
        <v>0</v>
      </c>
    </row>
    <row r="1090" customFormat="false" ht="15" hidden="false" customHeight="true" outlineLevel="0" collapsed="false">
      <c r="A1090" s="8" t="s">
        <v>944</v>
      </c>
      <c r="B1090" s="8" t="s">
        <v>179</v>
      </c>
      <c r="C1090" s="8" t="s">
        <v>933</v>
      </c>
      <c r="D1090" s="26" t="n">
        <v>0</v>
      </c>
      <c r="E1090" s="26" t="n">
        <v>0</v>
      </c>
      <c r="F1090" s="26" t="n">
        <v>9</v>
      </c>
      <c r="G1090" s="26" t="n">
        <v>0</v>
      </c>
      <c r="H1090" s="26" t="n">
        <v>0</v>
      </c>
      <c r="I1090" s="26" t="n">
        <v>236</v>
      </c>
      <c r="J1090" s="26" t="n">
        <v>0</v>
      </c>
      <c r="K1090" s="26" t="n">
        <v>0</v>
      </c>
      <c r="L1090" s="26" t="n">
        <v>0</v>
      </c>
      <c r="M1090" s="26" t="n">
        <v>0</v>
      </c>
      <c r="N1090" s="26" t="n">
        <v>0</v>
      </c>
      <c r="O1090" s="26" t="n">
        <v>0</v>
      </c>
      <c r="P1090" s="26" t="n">
        <v>0</v>
      </c>
      <c r="Q1090" s="26" t="n">
        <v>236</v>
      </c>
      <c r="R1090" s="26" t="n">
        <v>0</v>
      </c>
      <c r="S1090" s="26" t="n">
        <v>0</v>
      </c>
      <c r="T1090" s="26" t="n">
        <v>0</v>
      </c>
      <c r="U1090" s="26" t="n">
        <v>0</v>
      </c>
    </row>
    <row r="1091" customFormat="false" ht="15" hidden="false" customHeight="true" outlineLevel="0" collapsed="false">
      <c r="A1091" s="8" t="s">
        <v>944</v>
      </c>
      <c r="B1091" s="8" t="s">
        <v>288</v>
      </c>
      <c r="C1091" s="8" t="s">
        <v>934</v>
      </c>
      <c r="D1091" s="26" t="n">
        <v>0</v>
      </c>
      <c r="E1091" s="26" t="n">
        <v>0</v>
      </c>
      <c r="F1091" s="26" t="n">
        <v>6</v>
      </c>
      <c r="G1091" s="26" t="n">
        <v>0</v>
      </c>
      <c r="H1091" s="26" t="n">
        <v>0</v>
      </c>
      <c r="I1091" s="26" t="n">
        <v>74</v>
      </c>
      <c r="J1091" s="26" t="n">
        <v>0</v>
      </c>
      <c r="K1091" s="26" t="n">
        <v>0</v>
      </c>
      <c r="L1091" s="26" t="n">
        <v>0</v>
      </c>
      <c r="M1091" s="26" t="n">
        <v>0</v>
      </c>
      <c r="N1091" s="26" t="n">
        <v>0</v>
      </c>
      <c r="O1091" s="26" t="n">
        <v>0</v>
      </c>
      <c r="P1091" s="26" t="n">
        <v>0</v>
      </c>
      <c r="Q1091" s="26" t="n">
        <v>74</v>
      </c>
      <c r="R1091" s="26" t="n">
        <v>0</v>
      </c>
      <c r="S1091" s="26" t="n">
        <v>0</v>
      </c>
      <c r="T1091" s="26" t="n">
        <v>0</v>
      </c>
      <c r="U1091" s="26" t="n">
        <v>0</v>
      </c>
    </row>
    <row r="1092" customFormat="false" ht="15" hidden="false" customHeight="true" outlineLevel="0" collapsed="false">
      <c r="A1092" s="8" t="s">
        <v>944</v>
      </c>
      <c r="B1092" s="8" t="s">
        <v>171</v>
      </c>
      <c r="C1092" s="8" t="s">
        <v>934</v>
      </c>
      <c r="D1092" s="26" t="n">
        <v>0</v>
      </c>
      <c r="E1092" s="26" t="n">
        <v>0</v>
      </c>
      <c r="F1092" s="26" t="n">
        <v>15</v>
      </c>
      <c r="G1092" s="26" t="n">
        <v>0</v>
      </c>
      <c r="H1092" s="26" t="n">
        <v>0</v>
      </c>
      <c r="I1092" s="26" t="n">
        <v>378</v>
      </c>
      <c r="J1092" s="26" t="n">
        <v>0</v>
      </c>
      <c r="K1092" s="26" t="n">
        <v>0</v>
      </c>
      <c r="L1092" s="26" t="n">
        <v>0</v>
      </c>
      <c r="M1092" s="26" t="n">
        <v>0</v>
      </c>
      <c r="N1092" s="26" t="n">
        <v>0</v>
      </c>
      <c r="O1092" s="26" t="n">
        <v>0</v>
      </c>
      <c r="P1092" s="26" t="n">
        <v>0</v>
      </c>
      <c r="Q1092" s="26" t="n">
        <v>378</v>
      </c>
      <c r="R1092" s="26" t="n">
        <v>0</v>
      </c>
      <c r="S1092" s="26" t="n">
        <v>0</v>
      </c>
      <c r="T1092" s="26" t="n">
        <v>0</v>
      </c>
      <c r="U1092" s="26" t="n">
        <v>0</v>
      </c>
    </row>
    <row r="1093" customFormat="false" ht="15" hidden="false" customHeight="true" outlineLevel="0" collapsed="false">
      <c r="A1093" s="8" t="s">
        <v>944</v>
      </c>
      <c r="B1093" s="8" t="s">
        <v>179</v>
      </c>
      <c r="C1093" s="8" t="s">
        <v>934</v>
      </c>
      <c r="D1093" s="26" t="n">
        <v>0</v>
      </c>
      <c r="E1093" s="26" t="n">
        <v>0</v>
      </c>
      <c r="F1093" s="26" t="n">
        <v>14</v>
      </c>
      <c r="G1093" s="26" t="n">
        <v>0</v>
      </c>
      <c r="H1093" s="26" t="n">
        <v>0</v>
      </c>
      <c r="I1093" s="26" t="n">
        <v>553</v>
      </c>
      <c r="J1093" s="26" t="n">
        <v>0</v>
      </c>
      <c r="K1093" s="26" t="n">
        <v>0</v>
      </c>
      <c r="L1093" s="26" t="n">
        <v>0</v>
      </c>
      <c r="M1093" s="26" t="n">
        <v>0</v>
      </c>
      <c r="N1093" s="26" t="n">
        <v>0</v>
      </c>
      <c r="O1093" s="26" t="n">
        <v>0</v>
      </c>
      <c r="P1093" s="26" t="n">
        <v>0</v>
      </c>
      <c r="Q1093" s="26" t="n">
        <v>553</v>
      </c>
      <c r="R1093" s="26" t="n">
        <v>0</v>
      </c>
      <c r="S1093" s="26" t="n">
        <v>0</v>
      </c>
      <c r="T1093" s="26" t="n">
        <v>0</v>
      </c>
      <c r="U1093" s="26" t="n">
        <v>0</v>
      </c>
    </row>
    <row r="1094" customFormat="false" ht="15" hidden="false" customHeight="true" outlineLevel="0" collapsed="false">
      <c r="A1094" s="8" t="s">
        <v>944</v>
      </c>
      <c r="B1094" s="8" t="s">
        <v>394</v>
      </c>
      <c r="C1094" s="8" t="s">
        <v>997</v>
      </c>
      <c r="D1094" s="26" t="n">
        <v>0</v>
      </c>
      <c r="E1094" s="26" t="n">
        <v>0</v>
      </c>
      <c r="F1094" s="26" t="n">
        <v>0</v>
      </c>
      <c r="G1094" s="26" t="n">
        <v>0</v>
      </c>
      <c r="H1094" s="26" t="n">
        <v>0</v>
      </c>
      <c r="I1094" s="26" t="n">
        <v>0</v>
      </c>
      <c r="J1094" s="26" t="n">
        <v>0</v>
      </c>
      <c r="K1094" s="26" t="n">
        <v>0</v>
      </c>
      <c r="L1094" s="26" t="n">
        <v>0</v>
      </c>
      <c r="M1094" s="26" t="n">
        <v>0</v>
      </c>
      <c r="N1094" s="26" t="n">
        <v>0</v>
      </c>
      <c r="O1094" s="26" t="n">
        <v>0</v>
      </c>
      <c r="P1094" s="26" t="n">
        <v>0</v>
      </c>
      <c r="Q1094" s="26" t="n">
        <v>0</v>
      </c>
      <c r="R1094" s="26" t="n">
        <v>0</v>
      </c>
      <c r="S1094" s="26" t="n">
        <v>0</v>
      </c>
      <c r="T1094" s="26" t="n">
        <v>131</v>
      </c>
      <c r="U1094" s="26" t="n">
        <v>0</v>
      </c>
    </row>
    <row r="1095" customFormat="false" ht="15" hidden="false" customHeight="true" outlineLevel="0" collapsed="false">
      <c r="A1095" s="8" t="s">
        <v>944</v>
      </c>
      <c r="B1095" s="8" t="s">
        <v>396</v>
      </c>
      <c r="C1095" s="8" t="s">
        <v>998</v>
      </c>
      <c r="D1095" s="26" t="n">
        <v>0</v>
      </c>
      <c r="E1095" s="26" t="n">
        <v>0</v>
      </c>
      <c r="F1095" s="26" t="n">
        <v>0</v>
      </c>
      <c r="G1095" s="26" t="n">
        <v>0</v>
      </c>
      <c r="H1095" s="26" t="n">
        <v>0</v>
      </c>
      <c r="I1095" s="26" t="n">
        <v>0</v>
      </c>
      <c r="J1095" s="26" t="n">
        <v>0</v>
      </c>
      <c r="K1095" s="26" t="n">
        <v>0</v>
      </c>
      <c r="L1095" s="26" t="n">
        <v>0</v>
      </c>
      <c r="M1095" s="26" t="n">
        <v>0</v>
      </c>
      <c r="N1095" s="26" t="n">
        <v>0</v>
      </c>
      <c r="O1095" s="26" t="n">
        <v>0</v>
      </c>
      <c r="P1095" s="26" t="n">
        <v>0</v>
      </c>
      <c r="Q1095" s="26" t="n">
        <v>0</v>
      </c>
      <c r="R1095" s="26" t="n">
        <v>0</v>
      </c>
      <c r="S1095" s="26" t="n">
        <v>0</v>
      </c>
      <c r="T1095" s="26" t="n">
        <v>16</v>
      </c>
      <c r="U1095" s="26" t="n">
        <v>0</v>
      </c>
    </row>
    <row r="1096" customFormat="false" ht="15" hidden="false" customHeight="true" outlineLevel="0" collapsed="false">
      <c r="A1096" s="8" t="s">
        <v>944</v>
      </c>
      <c r="B1096" s="8" t="s">
        <v>400</v>
      </c>
      <c r="C1096" s="8" t="s">
        <v>708</v>
      </c>
      <c r="D1096" s="26" t="n">
        <v>0</v>
      </c>
      <c r="E1096" s="26" t="n">
        <v>0</v>
      </c>
      <c r="F1096" s="26" t="n">
        <v>0</v>
      </c>
      <c r="G1096" s="26" t="n">
        <v>0</v>
      </c>
      <c r="H1096" s="26" t="n">
        <v>0</v>
      </c>
      <c r="I1096" s="26" t="n">
        <v>0</v>
      </c>
      <c r="J1096" s="26" t="n">
        <v>0</v>
      </c>
      <c r="K1096" s="26" t="n">
        <v>0</v>
      </c>
      <c r="L1096" s="26" t="n">
        <v>0</v>
      </c>
      <c r="M1096" s="26" t="n">
        <v>0</v>
      </c>
      <c r="N1096" s="26" t="n">
        <v>0</v>
      </c>
      <c r="O1096" s="26" t="n">
        <v>0</v>
      </c>
      <c r="P1096" s="26" t="n">
        <v>0</v>
      </c>
      <c r="Q1096" s="26" t="n">
        <v>0</v>
      </c>
      <c r="R1096" s="26" t="n">
        <v>0</v>
      </c>
      <c r="S1096" s="26" t="n">
        <v>0</v>
      </c>
      <c r="T1096" s="26" t="n">
        <v>3</v>
      </c>
      <c r="U1096" s="26" t="n">
        <v>0</v>
      </c>
    </row>
    <row r="1097" customFormat="false" ht="15" hidden="false" customHeight="true" outlineLevel="0" collapsed="false">
      <c r="A1097" s="8" t="s">
        <v>944</v>
      </c>
      <c r="B1097" s="8" t="s">
        <v>196</v>
      </c>
      <c r="C1097" s="8" t="s">
        <v>999</v>
      </c>
      <c r="D1097" s="26" t="n">
        <v>0</v>
      </c>
      <c r="E1097" s="26" t="n">
        <v>0</v>
      </c>
      <c r="F1097" s="26" t="n">
        <v>8</v>
      </c>
      <c r="G1097" s="26" t="n">
        <v>0</v>
      </c>
      <c r="H1097" s="26" t="n">
        <v>0</v>
      </c>
      <c r="I1097" s="26" t="n">
        <v>40</v>
      </c>
      <c r="J1097" s="26" t="n">
        <v>0</v>
      </c>
      <c r="K1097" s="26" t="n">
        <v>0</v>
      </c>
      <c r="L1097" s="26" t="n">
        <v>0</v>
      </c>
      <c r="M1097" s="26" t="n">
        <v>0</v>
      </c>
      <c r="N1097" s="26" t="n">
        <v>0</v>
      </c>
      <c r="O1097" s="26" t="n">
        <v>0</v>
      </c>
      <c r="P1097" s="26" t="n">
        <v>0</v>
      </c>
      <c r="Q1097" s="26" t="n">
        <v>40</v>
      </c>
      <c r="R1097" s="26" t="n">
        <v>0</v>
      </c>
      <c r="S1097" s="26" t="n">
        <v>0</v>
      </c>
      <c r="T1097" s="26" t="n">
        <v>21</v>
      </c>
      <c r="U1097" s="26" t="n">
        <v>0</v>
      </c>
    </row>
    <row r="1098" customFormat="false" ht="15" hidden="false" customHeight="true" outlineLevel="0" collapsed="false">
      <c r="A1098" s="8" t="s">
        <v>944</v>
      </c>
      <c r="B1098" s="8" t="s">
        <v>398</v>
      </c>
      <c r="C1098" s="8" t="s">
        <v>1000</v>
      </c>
      <c r="D1098" s="26" t="n">
        <v>0</v>
      </c>
      <c r="E1098" s="26" t="n">
        <v>0</v>
      </c>
      <c r="F1098" s="26" t="n">
        <v>0</v>
      </c>
      <c r="G1098" s="26" t="n">
        <v>0</v>
      </c>
      <c r="H1098" s="26" t="n">
        <v>0</v>
      </c>
      <c r="I1098" s="26" t="n">
        <v>0</v>
      </c>
      <c r="J1098" s="26" t="n">
        <v>0</v>
      </c>
      <c r="K1098" s="26" t="n">
        <v>0</v>
      </c>
      <c r="L1098" s="26" t="n">
        <v>0</v>
      </c>
      <c r="M1098" s="26" t="n">
        <v>0</v>
      </c>
      <c r="N1098" s="26" t="n">
        <v>0</v>
      </c>
      <c r="O1098" s="26" t="n">
        <v>0</v>
      </c>
      <c r="P1098" s="26" t="n">
        <v>0</v>
      </c>
      <c r="Q1098" s="26" t="n">
        <v>0</v>
      </c>
      <c r="R1098" s="26" t="n">
        <v>0</v>
      </c>
      <c r="S1098" s="26" t="n">
        <v>0</v>
      </c>
      <c r="T1098" s="26" t="n">
        <v>32</v>
      </c>
      <c r="U1098" s="26" t="n">
        <v>0</v>
      </c>
    </row>
    <row r="1099" customFormat="false" ht="15" hidden="false" customHeight="true" outlineLevel="0" collapsed="false">
      <c r="A1099" s="8" t="s">
        <v>944</v>
      </c>
      <c r="B1099" s="8" t="s">
        <v>133</v>
      </c>
      <c r="C1099" s="8" t="s">
        <v>936</v>
      </c>
      <c r="D1099" s="26" t="n">
        <v>0</v>
      </c>
      <c r="E1099" s="26" t="n">
        <v>0</v>
      </c>
      <c r="F1099" s="26" t="n">
        <v>17</v>
      </c>
      <c r="G1099" s="26" t="n">
        <v>0</v>
      </c>
      <c r="H1099" s="26" t="n">
        <v>0</v>
      </c>
      <c r="I1099" s="26" t="n">
        <v>20</v>
      </c>
      <c r="J1099" s="26" t="n">
        <v>0</v>
      </c>
      <c r="K1099" s="26" t="n">
        <v>0</v>
      </c>
      <c r="L1099" s="26" t="n">
        <v>0</v>
      </c>
      <c r="M1099" s="26" t="n">
        <v>0</v>
      </c>
      <c r="N1099" s="26" t="n">
        <v>0</v>
      </c>
      <c r="O1099" s="26" t="n">
        <v>0</v>
      </c>
      <c r="P1099" s="26" t="n">
        <v>0</v>
      </c>
      <c r="Q1099" s="26" t="n">
        <v>20</v>
      </c>
      <c r="R1099" s="26" t="n">
        <v>0</v>
      </c>
      <c r="S1099" s="26" t="n">
        <v>0</v>
      </c>
      <c r="T1099" s="26" t="n">
        <v>16</v>
      </c>
      <c r="U1099" s="26" t="n">
        <v>0</v>
      </c>
    </row>
    <row r="1100" customFormat="false" ht="15" hidden="false" customHeight="true" outlineLevel="0" collapsed="false">
      <c r="A1100" s="8" t="s">
        <v>944</v>
      </c>
      <c r="B1100" s="8" t="s">
        <v>133</v>
      </c>
      <c r="C1100" s="8" t="s">
        <v>937</v>
      </c>
      <c r="D1100" s="26" t="n">
        <v>0</v>
      </c>
      <c r="E1100" s="26" t="n">
        <v>0</v>
      </c>
      <c r="F1100" s="26" t="n">
        <v>16</v>
      </c>
      <c r="G1100" s="26" t="n">
        <v>0</v>
      </c>
      <c r="H1100" s="26" t="n">
        <v>0</v>
      </c>
      <c r="I1100" s="26" t="n">
        <v>20</v>
      </c>
      <c r="J1100" s="26" t="n">
        <v>0</v>
      </c>
      <c r="K1100" s="26" t="n">
        <v>0</v>
      </c>
      <c r="L1100" s="26" t="n">
        <v>0</v>
      </c>
      <c r="M1100" s="26" t="n">
        <v>0</v>
      </c>
      <c r="N1100" s="26" t="n">
        <v>0</v>
      </c>
      <c r="O1100" s="26" t="n">
        <v>0</v>
      </c>
      <c r="P1100" s="26" t="n">
        <v>0</v>
      </c>
      <c r="Q1100" s="26" t="n">
        <v>20</v>
      </c>
      <c r="R1100" s="26" t="n">
        <v>0</v>
      </c>
      <c r="S1100" s="26" t="n">
        <v>0</v>
      </c>
      <c r="T1100" s="26" t="n">
        <v>27</v>
      </c>
      <c r="U1100" s="26" t="n">
        <v>0</v>
      </c>
    </row>
    <row r="1101" customFormat="false" ht="15" hidden="false" customHeight="true" outlineLevel="0" collapsed="false">
      <c r="A1101" s="8" t="s">
        <v>944</v>
      </c>
      <c r="B1101" s="8" t="s">
        <v>238</v>
      </c>
      <c r="C1101" s="8" t="s">
        <v>1001</v>
      </c>
      <c r="D1101" s="26" t="n">
        <v>0</v>
      </c>
      <c r="E1101" s="26" t="n">
        <v>0</v>
      </c>
      <c r="F1101" s="26" t="n">
        <v>8</v>
      </c>
      <c r="G1101" s="26" t="n">
        <v>0</v>
      </c>
      <c r="H1101" s="26" t="n">
        <v>0</v>
      </c>
      <c r="I1101" s="26" t="n">
        <v>0</v>
      </c>
      <c r="J1101" s="26" t="n">
        <v>0</v>
      </c>
      <c r="K1101" s="26" t="n">
        <v>0</v>
      </c>
      <c r="L1101" s="26" t="n">
        <v>0</v>
      </c>
      <c r="M1101" s="26" t="n">
        <v>0</v>
      </c>
      <c r="N1101" s="26" t="n">
        <v>0</v>
      </c>
      <c r="O1101" s="26" t="n">
        <v>0</v>
      </c>
      <c r="P1101" s="26" t="n">
        <v>0</v>
      </c>
      <c r="Q1101" s="26" t="n">
        <v>0</v>
      </c>
      <c r="R1101" s="26" t="n">
        <v>0</v>
      </c>
      <c r="S1101" s="26" t="n">
        <v>0</v>
      </c>
      <c r="T1101" s="26" t="n">
        <v>0</v>
      </c>
      <c r="U1101" s="26" t="n">
        <v>0</v>
      </c>
    </row>
    <row r="1102" customFormat="false" ht="15" hidden="false" customHeight="true" outlineLevel="0" collapsed="false">
      <c r="A1102" s="8" t="s">
        <v>944</v>
      </c>
      <c r="B1102" s="8" t="s">
        <v>101</v>
      </c>
      <c r="C1102" s="8" t="s">
        <v>938</v>
      </c>
      <c r="D1102" s="26" t="n">
        <v>0</v>
      </c>
      <c r="E1102" s="26" t="n">
        <v>0</v>
      </c>
      <c r="F1102" s="26" t="n">
        <v>468</v>
      </c>
      <c r="G1102" s="26" t="n">
        <v>0</v>
      </c>
      <c r="H1102" s="26" t="n">
        <v>0</v>
      </c>
      <c r="I1102" s="26" t="n">
        <v>536</v>
      </c>
      <c r="J1102" s="26" t="n">
        <v>0</v>
      </c>
      <c r="K1102" s="26" t="n">
        <v>0</v>
      </c>
      <c r="L1102" s="26" t="n">
        <v>0</v>
      </c>
      <c r="M1102" s="26" t="n">
        <v>0</v>
      </c>
      <c r="N1102" s="26" t="n">
        <v>0</v>
      </c>
      <c r="O1102" s="26" t="n">
        <v>0</v>
      </c>
      <c r="P1102" s="26" t="n">
        <v>0</v>
      </c>
      <c r="Q1102" s="26" t="n">
        <v>536</v>
      </c>
      <c r="R1102" s="26" t="n">
        <v>0</v>
      </c>
      <c r="S1102" s="26" t="n">
        <v>0</v>
      </c>
      <c r="T1102" s="26" t="n">
        <v>29</v>
      </c>
      <c r="U1102" s="26" t="n">
        <v>0</v>
      </c>
    </row>
    <row r="1103" customFormat="false" ht="15" hidden="false" customHeight="true" outlineLevel="0" collapsed="false">
      <c r="A1103" s="8" t="s">
        <v>944</v>
      </c>
      <c r="B1103" s="8" t="s">
        <v>83</v>
      </c>
      <c r="C1103" s="8" t="s">
        <v>939</v>
      </c>
      <c r="D1103" s="26" t="n">
        <v>0</v>
      </c>
      <c r="E1103" s="26" t="n">
        <v>0</v>
      </c>
      <c r="F1103" s="26" t="n">
        <v>14</v>
      </c>
      <c r="G1103" s="26" t="n">
        <v>0</v>
      </c>
      <c r="H1103" s="26" t="n">
        <v>0</v>
      </c>
      <c r="I1103" s="26" t="n">
        <v>17</v>
      </c>
      <c r="J1103" s="26" t="n">
        <v>0</v>
      </c>
      <c r="K1103" s="26" t="n">
        <v>0</v>
      </c>
      <c r="L1103" s="26" t="n">
        <v>0</v>
      </c>
      <c r="M1103" s="26" t="n">
        <v>0</v>
      </c>
      <c r="N1103" s="26" t="n">
        <v>0</v>
      </c>
      <c r="O1103" s="26" t="n">
        <v>0</v>
      </c>
      <c r="P1103" s="26" t="n">
        <v>0</v>
      </c>
      <c r="Q1103" s="26" t="n">
        <v>17</v>
      </c>
      <c r="R1103" s="26" t="n">
        <v>0</v>
      </c>
      <c r="S1103" s="26" t="n">
        <v>0</v>
      </c>
      <c r="T1103" s="26" t="n">
        <v>12</v>
      </c>
      <c r="U1103" s="26" t="n">
        <v>0</v>
      </c>
    </row>
    <row r="1104" customFormat="false" ht="15" hidden="false" customHeight="true" outlineLevel="0" collapsed="false">
      <c r="A1104" s="8" t="s">
        <v>944</v>
      </c>
      <c r="B1104" s="8" t="s">
        <v>83</v>
      </c>
      <c r="C1104" s="8" t="s">
        <v>940</v>
      </c>
      <c r="D1104" s="26" t="n">
        <v>0</v>
      </c>
      <c r="E1104" s="26" t="n">
        <v>0</v>
      </c>
      <c r="F1104" s="26" t="n">
        <v>20</v>
      </c>
      <c r="G1104" s="26" t="n">
        <v>0</v>
      </c>
      <c r="H1104" s="26" t="n">
        <v>0</v>
      </c>
      <c r="I1104" s="26" t="n">
        <v>20</v>
      </c>
      <c r="J1104" s="26" t="n">
        <v>0</v>
      </c>
      <c r="K1104" s="26" t="n">
        <v>0</v>
      </c>
      <c r="L1104" s="26" t="n">
        <v>0</v>
      </c>
      <c r="M1104" s="26" t="n">
        <v>0</v>
      </c>
      <c r="N1104" s="26" t="n">
        <v>0</v>
      </c>
      <c r="O1104" s="26" t="n">
        <v>0</v>
      </c>
      <c r="P1104" s="26" t="n">
        <v>0</v>
      </c>
      <c r="Q1104" s="26" t="n">
        <v>20</v>
      </c>
      <c r="R1104" s="26" t="n">
        <v>0</v>
      </c>
      <c r="S1104" s="26" t="n">
        <v>0</v>
      </c>
      <c r="T1104" s="26" t="n">
        <v>0</v>
      </c>
      <c r="U1104" s="26" t="n">
        <v>0</v>
      </c>
    </row>
    <row r="1105" customFormat="false" ht="15" hidden="false" customHeight="true" outlineLevel="0" collapsed="false">
      <c r="A1105" s="8" t="s">
        <v>944</v>
      </c>
      <c r="B1105" s="8" t="s">
        <v>83</v>
      </c>
      <c r="C1105" s="8" t="s">
        <v>941</v>
      </c>
      <c r="D1105" s="26" t="n">
        <v>0</v>
      </c>
      <c r="E1105" s="26" t="n">
        <v>0</v>
      </c>
      <c r="F1105" s="26" t="n">
        <v>22</v>
      </c>
      <c r="G1105" s="26" t="n">
        <v>0</v>
      </c>
      <c r="H1105" s="26" t="n">
        <v>0</v>
      </c>
      <c r="I1105" s="26" t="n">
        <v>26</v>
      </c>
      <c r="J1105" s="26" t="n">
        <v>0</v>
      </c>
      <c r="K1105" s="26" t="n">
        <v>0</v>
      </c>
      <c r="L1105" s="26" t="n">
        <v>0</v>
      </c>
      <c r="M1105" s="26" t="n">
        <v>0</v>
      </c>
      <c r="N1105" s="26" t="n">
        <v>0</v>
      </c>
      <c r="O1105" s="26" t="n">
        <v>0</v>
      </c>
      <c r="P1105" s="26" t="n">
        <v>0</v>
      </c>
      <c r="Q1105" s="26" t="n">
        <v>26</v>
      </c>
      <c r="R1105" s="26" t="n">
        <v>0</v>
      </c>
      <c r="S1105" s="26" t="n">
        <v>0</v>
      </c>
      <c r="T1105" s="26" t="n">
        <v>17</v>
      </c>
      <c r="U1105" s="26" t="n">
        <v>0</v>
      </c>
    </row>
    <row r="1106" customFormat="false" ht="15" hidden="false" customHeight="true" outlineLevel="0" collapsed="false">
      <c r="A1106" s="8" t="s">
        <v>944</v>
      </c>
      <c r="B1106" s="8" t="s">
        <v>83</v>
      </c>
      <c r="C1106" s="8" t="s">
        <v>942</v>
      </c>
      <c r="D1106" s="26" t="n">
        <v>0</v>
      </c>
      <c r="E1106" s="26" t="n">
        <v>0</v>
      </c>
      <c r="F1106" s="26" t="n">
        <v>26</v>
      </c>
      <c r="G1106" s="26" t="n">
        <v>0</v>
      </c>
      <c r="H1106" s="26" t="n">
        <v>0</v>
      </c>
      <c r="I1106" s="26" t="n">
        <v>42</v>
      </c>
      <c r="J1106" s="26" t="n">
        <v>0</v>
      </c>
      <c r="K1106" s="26" t="n">
        <v>0</v>
      </c>
      <c r="L1106" s="26" t="n">
        <v>0</v>
      </c>
      <c r="M1106" s="26" t="n">
        <v>0</v>
      </c>
      <c r="N1106" s="26" t="n">
        <v>0</v>
      </c>
      <c r="O1106" s="26" t="n">
        <v>0</v>
      </c>
      <c r="P1106" s="26" t="n">
        <v>0</v>
      </c>
      <c r="Q1106" s="26" t="n">
        <v>42</v>
      </c>
      <c r="R1106" s="26" t="n">
        <v>0</v>
      </c>
      <c r="S1106" s="26" t="n">
        <v>0</v>
      </c>
      <c r="T1106" s="26" t="n">
        <v>25</v>
      </c>
      <c r="U1106" s="26" t="n">
        <v>0</v>
      </c>
    </row>
    <row r="1107" customFormat="false" ht="15" hidden="false" customHeight="true" outlineLevel="0" collapsed="false">
      <c r="A1107" s="8" t="s">
        <v>944</v>
      </c>
      <c r="B1107" s="8" t="s">
        <v>83</v>
      </c>
      <c r="C1107" s="8" t="s">
        <v>943</v>
      </c>
      <c r="D1107" s="26" t="n">
        <v>0</v>
      </c>
      <c r="E1107" s="26" t="n">
        <v>0</v>
      </c>
      <c r="F1107" s="26" t="n">
        <v>20</v>
      </c>
      <c r="G1107" s="26" t="n">
        <v>0</v>
      </c>
      <c r="H1107" s="26" t="n">
        <v>0</v>
      </c>
      <c r="I1107" s="26" t="n">
        <v>30</v>
      </c>
      <c r="J1107" s="26" t="n">
        <v>0</v>
      </c>
      <c r="K1107" s="26" t="n">
        <v>0</v>
      </c>
      <c r="L1107" s="26" t="n">
        <v>0</v>
      </c>
      <c r="M1107" s="26" t="n">
        <v>0</v>
      </c>
      <c r="N1107" s="26" t="n">
        <v>0</v>
      </c>
      <c r="O1107" s="26" t="n">
        <v>0</v>
      </c>
      <c r="P1107" s="26" t="n">
        <v>0</v>
      </c>
      <c r="Q1107" s="26" t="n">
        <v>30</v>
      </c>
      <c r="R1107" s="26" t="n">
        <v>0</v>
      </c>
      <c r="S1107" s="26" t="n">
        <v>0</v>
      </c>
      <c r="T1107" s="26" t="n">
        <v>26</v>
      </c>
      <c r="U1107" s="26" t="n">
        <v>0</v>
      </c>
    </row>
    <row r="1108" customFormat="false" ht="15" hidden="false" customHeight="true" outlineLevel="0" collapsed="false">
      <c r="A1108" s="8" t="s">
        <v>944</v>
      </c>
      <c r="B1108" s="8" t="s">
        <v>83</v>
      </c>
      <c r="C1108" s="8" t="s">
        <v>1002</v>
      </c>
      <c r="D1108" s="26" t="n">
        <v>0</v>
      </c>
      <c r="E1108" s="26" t="n">
        <v>0</v>
      </c>
      <c r="F1108" s="26" t="n">
        <v>12</v>
      </c>
      <c r="G1108" s="26" t="n">
        <v>0</v>
      </c>
      <c r="H1108" s="26" t="n">
        <v>0</v>
      </c>
      <c r="I1108" s="26" t="n">
        <v>14</v>
      </c>
      <c r="J1108" s="26" t="n">
        <v>0</v>
      </c>
      <c r="K1108" s="26" t="n">
        <v>0</v>
      </c>
      <c r="L1108" s="26" t="n">
        <v>0</v>
      </c>
      <c r="M1108" s="26" t="n">
        <v>0</v>
      </c>
      <c r="N1108" s="26" t="n">
        <v>0</v>
      </c>
      <c r="O1108" s="26" t="n">
        <v>0</v>
      </c>
      <c r="P1108" s="26" t="n">
        <v>0</v>
      </c>
      <c r="Q1108" s="26" t="n">
        <v>14</v>
      </c>
      <c r="R1108" s="26" t="n">
        <v>0</v>
      </c>
      <c r="S1108" s="26" t="n">
        <v>0</v>
      </c>
      <c r="T1108" s="26" t="n">
        <v>17</v>
      </c>
      <c r="U1108" s="26" t="n">
        <v>0</v>
      </c>
    </row>
  </sheetData>
  <mergeCells count="1">
    <mergeCell ref="A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2026-09-19T13:39:09Z</dcterms:created>
  <dc:creator>openpyxl</dc:creator>
  <dc:description/>
  <dc:language>en-US</dc:language>
  <cp:lastModifiedBy/>
  <dcterms:modified xsi:type="dcterms:W3CDTF">2026-09-20T10:24:29Z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