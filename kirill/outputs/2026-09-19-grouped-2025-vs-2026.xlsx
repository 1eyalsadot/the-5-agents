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  <comment ref="J5" authorId="0">
      <text>
        <r>
          <rPr>
            <sz val="10"/>
            <rFont val="Arial"/>
            <family val="2"/>
          </rPr>
          <t xml:space="preserve">If the 2025 base is 0 and 2026 &gt; 0, the cell shows "New". If both years are 0, shows 0%.</t>
        </r>
      </text>
    </comment>
  </commentList>
</comments>
</file>

<file path=xl/sharedStrings.xml><?xml version="1.0" encoding="utf-8"?>
<sst xmlns="http://schemas.openxmlformats.org/spreadsheetml/2006/main" count="8102" uniqueCount="993">
  <si>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</si>
  <si>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</si>
  <si>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</si>
  <si>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</si>
  <si>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</si>
  <si>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</si>
  <si>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</si>
  <si>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</si>
  <si>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</si>
  <si>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</si>
  <si>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</si>
  <si>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</si>
  <si>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</si>
  <si>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</si>
  <si>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</si>
  <si>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</si>
  <si>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</si>
  <si>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</si>
  <si>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</si>
  <si>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</si>
  <si>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</si>
  <si>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</si>
  <si>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</si>
  <si>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</si>
  <si>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</si>
  <si>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</si>
  <si>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</si>
  <si>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</si>
  <si>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</si>
  <si>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</si>
  <si>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</si>
  <si>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</si>
  <si>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</si>
  <si>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</si>
  <si>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</si>
  <si>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</si>
  <si>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</si>
  <si>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</si>
  <si>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</si>
  <si>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</si>
  <si>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</si>
  <si>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</si>
  <si>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</si>
  <si>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</si>
  <si>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</si>
  <si>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</si>
  <si>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</si>
  <si>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</si>
  <si>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"בתי מרקחת" = sum of raw customer columns: 0בתי מרקחת, 0מפיצי משנה, גוד פארם, גוד פארם מרכז, 0צרכנים פרטיים, 0שונות, 0בתי טבע, 0בתי טבע רשתות, 0כללי (columns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</si>
  <si>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Product Code</t>
  </si>
  <si>
    <t xml:space="preserve">Product Name</t>
  </si>
  <si>
    <t xml:space="preserve">Quantity Change</t>
  </si>
  <si>
    <t xml:space="preserve">Quantity Change %</t>
  </si>
  <si>
    <t xml:space="preserve">Amount Change (₪)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</si>
  <si>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</si>
  <si>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</si>
  <si>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</si>
  <si>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</si>
  <si>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</si>
  <si>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</si>
  <si>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</si>
  <si>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</si>
  <si>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</si>
  <si>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</si>
  <si>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</si>
  <si>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</si>
  <si>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</si>
  <si>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</si>
  <si>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</si>
  <si>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</si>
  <si>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</si>
  <si>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</si>
  <si>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</si>
  <si>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</si>
  <si>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</si>
  <si>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</si>
  <si>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</si>
  <si>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</si>
  <si>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</si>
  <si>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</si>
  <si>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</si>
  <si>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</si>
  <si>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</si>
  <si>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</si>
  <si>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</si>
  <si>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</si>
  <si>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</si>
  <si>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</si>
  <si>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</si>
  <si>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</si>
  <si>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</si>
  <si>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</si>
  <si>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</si>
  <si>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</si>
  <si>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</si>
  <si>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</si>
  <si>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</si>
  <si>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</si>
  <si>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</si>
  <si>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</si>
  <si>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</si>
  <si>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</si>
  <si>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</si>
  <si>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</si>
  <si>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</si>
  <si>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</si>
  <si>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</si>
  <si>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</si>
  <si>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</si>
  <si>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</si>
  <si>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</si>
  <si>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</si>
  <si>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</si>
  <si>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</si>
  <si>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</si>
  <si>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</si>
  <si>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</si>
  <si>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</si>
  <si>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</si>
  <si>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</si>
  <si>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</si>
  <si>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</si>
  <si>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</si>
  <si>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</si>
  <si>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</si>
  <si>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</si>
  <si>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</si>
  <si>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</si>
  <si>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</si>
  <si>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</si>
  <si>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</si>
  <si>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</si>
  <si>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</si>
  <si>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</si>
  <si>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</si>
  <si>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</si>
  <si>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</si>
  <si>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</si>
  <si>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</si>
  <si>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</si>
  <si>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</si>
  <si>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</si>
  <si>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</si>
  <si>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</si>
  <si>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</si>
  <si>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</si>
  <si>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</si>
  <si>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</si>
  <si>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</si>
  <si>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</si>
  <si>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</si>
  <si>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</si>
  <si>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</si>
  <si>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</si>
  <si>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</si>
  <si>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</si>
  <si>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</si>
  <si>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</si>
  <si>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</si>
  <si>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</si>
  <si>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</si>
  <si>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</si>
  <si>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</si>
  <si>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</si>
  <si>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</si>
  <si>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</si>
  <si>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</si>
  <si>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</si>
  <si>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</si>
  <si>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</si>
  <si>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</si>
  <si>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</si>
  <si>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</si>
  <si>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</si>
  <si>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</si>
  <si>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</si>
  <si>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</si>
  <si>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</si>
  <si>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</si>
  <si>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</si>
  <si>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</si>
  <si>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</si>
  <si>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</si>
  <si>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</si>
  <si>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</si>
  <si>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</si>
  <si>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</si>
  <si>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</si>
  <si>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</si>
  <si>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</si>
  <si>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</si>
  <si>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</si>
  <si>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</si>
  <si>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</si>
  <si>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</si>
  <si>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</si>
  <si>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</si>
  <si>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</si>
  <si>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</si>
  <si>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</si>
  <si>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</si>
  <si>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</si>
  <si>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</si>
  <si>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</si>
  <si>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</si>
  <si>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</si>
  <si>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</si>
  <si>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</si>
  <si>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</si>
  <si>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</si>
  <si>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</si>
  <si>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</si>
  <si>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</si>
  <si>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</si>
  <si>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</si>
  <si>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</si>
  <si>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</si>
  <si>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</si>
  <si>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</si>
  <si>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</si>
  <si>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</si>
  <si>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</si>
  <si>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</si>
  <si>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</si>
  <si>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</si>
  <si>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</si>
  <si>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</si>
  <si>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</si>
  <si>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</si>
  <si>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</si>
  <si>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</si>
  <si>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</si>
  <si>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</si>
  <si>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</si>
  <si>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</si>
  <si>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</si>
  <si>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</si>
  <si>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</si>
  <si>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</si>
  <si>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</si>
  <si>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</si>
  <si>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</si>
  <si>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</si>
  <si>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</si>
  <si>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</si>
  <si>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</si>
  <si>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</si>
  <si>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</si>
  <si>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</si>
  <si>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</si>
  <si>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</si>
  <si>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</si>
  <si>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</si>
  <si>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</si>
  <si>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</si>
  <si>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</si>
  <si>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</si>
  <si>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</si>
  <si>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</si>
  <si>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</si>
  <si>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</si>
  <si>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</si>
  <si>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</si>
  <si>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</si>
  <si>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</si>
  <si>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</si>
  <si>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</si>
  <si>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</si>
  <si>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267LC</t>
  </si>
  <si>
    <t xml:space="preserve">267RC</t>
  </si>
  <si>
    <t xml:space="preserve">267RB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</si>
  <si>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</si>
  <si>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</si>
  <si>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</si>
  <si>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</si>
  <si>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</si>
  <si>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</si>
  <si>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</si>
  <si>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</si>
  <si>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</si>
  <si>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</si>
  <si>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</si>
  <si>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</si>
  <si>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</si>
  <si>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</si>
  <si>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</si>
  <si>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</si>
  <si>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</si>
  <si>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</si>
  <si>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</si>
  <si>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</si>
  <si>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</si>
  <si>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</si>
  <si>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</si>
  <si>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</si>
  <si>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</si>
  <si>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</si>
  <si>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</si>
  <si>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322-L</t>
  </si>
  <si>
    <t xml:space="preserve">322-M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</si>
  <si>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</si>
  <si>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</si>
  <si>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</si>
  <si>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</si>
  <si>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</si>
  <si>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</si>
  <si>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</si>
  <si>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</si>
  <si>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</si>
  <si>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</si>
  <si>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</si>
  <si>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</si>
  <si>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</si>
  <si>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</si>
  <si>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</si>
  <si>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</si>
  <si>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</si>
  <si>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</si>
  <si>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</si>
  <si>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</si>
  <si>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</si>
  <si>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381</t>
  </si>
  <si>
    <t xml:space="preserve">80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</si>
  <si>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</si>
  <si>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</si>
  <si>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</si>
  <si>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</si>
  <si>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</si>
  <si>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</si>
  <si>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</si>
  <si>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</si>
  <si>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</si>
  <si>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</si>
  <si>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</si>
  <si>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</si>
  <si>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</si>
  <si>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</si>
  <si>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</si>
  <si>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</si>
  <si>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"BE" = sum of raw customer columns: אילת BE, הפרכל הפרפארם, שופרסל BE, זיכויים BE, BE, אילת זיכויי BE (columns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</si>
  <si>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</si>
  <si>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</si>
  <si>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</si>
  <si>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</si>
  <si>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</si>
  <si>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</si>
  <si>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</si>
  <si>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- see row 4 for methodology. The other 4 group sheets do NOT yet have this annualization; pending approval before rolling it out to them.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</si>
  <si>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</si>
  <si>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</si>
  <si>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</si>
  <si>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</si>
  <si>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</si>
  <si>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</si>
  <si>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</si>
  <si>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</si>
  <si>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</si>
  <si>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</si>
  <si>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</si>
  <si>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</si>
  <si>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</si>
  <si>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</si>
  <si>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</si>
  <si>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</si>
  <si>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</si>
  <si>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</si>
  <si>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332CS'מייצב</t>
  </si>
  <si>
    <t xml:space="preserve">332CM'מייצב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</si>
  <si>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</si>
  <si>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</si>
  <si>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</si>
  <si>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</si>
  <si>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</si>
  <si>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</si>
  <si>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922S.חבק</t>
  </si>
  <si>
    <t xml:space="preserve">12</t>
  </si>
  <si>
    <t xml:space="preserve">27R</t>
  </si>
  <si>
    <t xml:space="preserve">95+</t>
  </si>
  <si>
    <t xml:space="preserve">Sales Comparison 2025 vs 2026 -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</si>
  <si>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"מאוחדת" = sum of raw customer columns: 0קופות חולים (columns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</si>
  <si>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</si>
  <si>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</si>
  <si>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</si>
  <si>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</si>
  <si>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</si>
  <si>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</si>
  <si>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</si>
  <si>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</si>
  <si>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</si>
  <si>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</si>
  <si>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 (0בתי טבע, 0בתי טבע רשתות, 0כללי -&gt; group 4; BE, אילת זיכויי BE -&gt; group 7). Group "0פארמים" = sum of raw customer columns: 0פארמים (columns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</si>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</sst>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.0"/>
    <numFmt numFmtId="170" formatCode="0.000000"/>
    <numFmt numFmtId="171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0"/>
      <name val="Arial"/>
      <family val="2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6E0B4"/>
      </patternFill>
    </fill>
    <fill>
      <patternFill patternType="solid">
        <fgColor rgb="FFC6E0B4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9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9" min="8" style="1" width="16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</row>
    <row r="6" customFormat="false" ht="15" hidden="false" customHeight="true" outlineLevel="0" collapsed="false">
      <c r="A6" s="7" t="s">
        <v>13</v>
      </c>
      <c r="B6" s="8" t="s">
        <v>13</v>
      </c>
      <c r="C6" s="8" t="n">
        <v>9</v>
      </c>
      <c r="D6" s="8" t="n">
        <v>283</v>
      </c>
      <c r="E6" s="9" t="n">
        <f aca="false">'בתי מרקחת'!C290</f>
        <v>54177</v>
      </c>
      <c r="F6" s="9" t="n">
        <f aca="false">'בתי מרקחת'!D290</f>
        <v>33487</v>
      </c>
      <c r="G6" s="10" t="n">
        <f aca="false">'בתי מרקחת'!F290</f>
        <v>-0.381896376691216</v>
      </c>
      <c r="H6" s="11" t="n">
        <f aca="false">'בתי מרקחת'!G290</f>
        <v>1967633.7</v>
      </c>
      <c r="I6" s="11" t="n">
        <f aca="false">'בתי מרקחת'!H290</f>
        <v>1293807.8</v>
      </c>
      <c r="J6" s="10" t="n">
        <f aca="false">'בתי מרקחת'!J290</f>
        <v>-0.342454949821199</v>
      </c>
    </row>
    <row r="7" customFormat="false" ht="15" hidden="false" customHeight="true" outlineLevel="0" collapsed="false">
      <c r="A7" s="7" t="s">
        <v>14</v>
      </c>
      <c r="B7" s="8" t="s">
        <v>14</v>
      </c>
      <c r="C7" s="8" t="n">
        <v>6</v>
      </c>
      <c r="D7" s="8" t="n">
        <v>163</v>
      </c>
      <c r="E7" s="9" t="n">
        <f aca="false">BE!C170</f>
        <v>27268</v>
      </c>
      <c r="F7" s="9" t="n">
        <f aca="false">BE!D170</f>
        <v>19109</v>
      </c>
      <c r="G7" s="10" t="n">
        <f aca="false">BE!F170</f>
        <v>-0.299215197300866</v>
      </c>
      <c r="H7" s="11" t="n">
        <f aca="false">BE!G170</f>
        <v>889501.1</v>
      </c>
      <c r="I7" s="11" t="n">
        <f aca="false">BE!H170</f>
        <v>676265.8</v>
      </c>
      <c r="J7" s="10" t="n">
        <f aca="false">BE!J170</f>
        <v>-0.239724605174743</v>
      </c>
    </row>
    <row r="8" customFormat="false" ht="15" hidden="false" customHeight="true" outlineLevel="0" collapsed="false">
      <c r="A8" s="7" t="s">
        <v>15</v>
      </c>
      <c r="B8" s="8" t="s">
        <v>15</v>
      </c>
      <c r="C8" s="8" t="n">
        <v>1</v>
      </c>
      <c r="D8" s="8" t="n">
        <v>219</v>
      </c>
      <c r="E8" s="9" t="n">
        <f aca="false">'סופר פארם'!C227</f>
        <v>176505</v>
      </c>
      <c r="F8" s="9" t="n">
        <f aca="false">'סופר פארם'!D227</f>
        <v>118307</v>
      </c>
      <c r="G8" s="10" t="n">
        <f aca="false">IF('סופר פארם'!C227=0,"N/A",('סופר פארם'!D227-'סופר פארם'!C227)/'סופר פארם'!C227)</f>
        <v>-0.329724370414436</v>
      </c>
      <c r="H8" s="11" t="n">
        <f aca="false">'סופר פארם'!H227</f>
        <v>6689220.5</v>
      </c>
      <c r="I8" s="11" t="n">
        <f aca="false">'סופר פארם'!I227</f>
        <v>4476515.3</v>
      </c>
      <c r="J8" s="10" t="n">
        <f aca="false">IF('סופר פארם'!H227=0,"N/A",('סופר פארם'!I227-'סופר פארם'!H227)/'סופר פארם'!H227)</f>
        <v>-0.330786703772136</v>
      </c>
    </row>
    <row r="9" customFormat="false" ht="15" hidden="false" customHeight="true" outlineLevel="0" collapsed="false">
      <c r="A9" s="7" t="s">
        <v>16</v>
      </c>
      <c r="B9" s="8" t="s">
        <v>16</v>
      </c>
      <c r="C9" s="8" t="n">
        <v>1</v>
      </c>
      <c r="D9" s="8" t="n">
        <v>107</v>
      </c>
      <c r="E9" s="9" t="n">
        <f aca="false">מאוחדת!C114</f>
        <v>0</v>
      </c>
      <c r="F9" s="9" t="n">
        <f aca="false">מאוחדת!D114</f>
        <v>10037</v>
      </c>
      <c r="G9" s="10" t="str">
        <f aca="false">מאוחדת!F114</f>
        <v>N/A</v>
      </c>
      <c r="H9" s="11" t="n">
        <f aca="false">מאוחדת!G114</f>
        <v>0</v>
      </c>
      <c r="I9" s="11" t="n">
        <f aca="false">מאוחדת!H114</f>
        <v>307514.4</v>
      </c>
      <c r="J9" s="10" t="str">
        <f aca="false">מאוחדת!J114</f>
        <v>N/A</v>
      </c>
    </row>
    <row r="10" customFormat="false" ht="15" hidden="false" customHeight="true" outlineLevel="0" collapsed="false">
      <c r="A10" s="7" t="s">
        <v>17</v>
      </c>
      <c r="B10" s="8" t="s">
        <v>17</v>
      </c>
      <c r="C10" s="8" t="n">
        <v>1</v>
      </c>
      <c r="D10" s="8" t="n">
        <v>255</v>
      </c>
      <c r="E10" s="9" t="n">
        <f aca="false">0פארמים!C262</f>
        <v>204428</v>
      </c>
      <c r="F10" s="9" t="n">
        <f aca="false">0פארמים!D262</f>
        <v>137851</v>
      </c>
      <c r="G10" s="10" t="n">
        <f aca="false">0פארמים!F262</f>
        <v>-0.325674565128065</v>
      </c>
      <c r="H10" s="11" t="n">
        <f aca="false">0פארמים!G262</f>
        <v>7597886.3</v>
      </c>
      <c r="I10" s="11" t="n">
        <f aca="false">0פארמים!H262</f>
        <v>5165969.3</v>
      </c>
      <c r="J10" s="10" t="n">
        <f aca="false">0פארמים!J262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2" t="s">
        <v>18</v>
      </c>
      <c r="B1" s="12"/>
      <c r="C1" s="12"/>
      <c r="D1" s="12"/>
    </row>
    <row r="2" customFormat="false" ht="15" hidden="false" customHeight="true" outlineLevel="0" collapsed="false">
      <c r="A2" s="13" t="s">
        <v>19</v>
      </c>
      <c r="B2" s="13" t="s">
        <v>20</v>
      </c>
      <c r="C2" s="13" t="s">
        <v>21</v>
      </c>
      <c r="D2" s="13" t="s">
        <v>22</v>
      </c>
    </row>
    <row r="3" customFormat="false" ht="15" hidden="false" customHeight="true" outlineLevel="0" collapsed="false">
      <c r="A3" s="8" t="s">
        <v>23</v>
      </c>
      <c r="B3" s="8" t="s">
        <v>24</v>
      </c>
      <c r="C3" s="8" t="s">
        <v>13</v>
      </c>
      <c r="D3" s="8" t="s">
        <v>25</v>
      </c>
    </row>
    <row r="4" customFormat="false" ht="15" hidden="false" customHeight="true" outlineLevel="0" collapsed="false">
      <c r="A4" s="8" t="s">
        <v>26</v>
      </c>
      <c r="B4" s="8" t="s">
        <v>24</v>
      </c>
      <c r="C4" s="8" t="s">
        <v>13</v>
      </c>
      <c r="D4" s="8" t="s">
        <v>25</v>
      </c>
    </row>
    <row r="5" customFormat="false" ht="15" hidden="false" customHeight="true" outlineLevel="0" collapsed="false">
      <c r="A5" s="8" t="s">
        <v>27</v>
      </c>
      <c r="B5" s="8" t="s">
        <v>24</v>
      </c>
      <c r="C5" s="8" t="s">
        <v>13</v>
      </c>
      <c r="D5" s="8" t="s">
        <v>28</v>
      </c>
    </row>
    <row r="6" customFormat="false" ht="15" hidden="false" customHeight="true" outlineLevel="0" collapsed="false">
      <c r="A6" s="8" t="s">
        <v>29</v>
      </c>
      <c r="B6" s="8" t="s">
        <v>24</v>
      </c>
      <c r="C6" s="8" t="s">
        <v>13</v>
      </c>
      <c r="D6" s="8" t="s">
        <v>25</v>
      </c>
    </row>
    <row r="7" customFormat="false" ht="15" hidden="false" customHeight="true" outlineLevel="0" collapsed="false">
      <c r="A7" s="8" t="s">
        <v>30</v>
      </c>
      <c r="B7" s="8" t="s">
        <v>24</v>
      </c>
      <c r="C7" s="8" t="s">
        <v>13</v>
      </c>
      <c r="D7" s="8" t="s">
        <v>28</v>
      </c>
    </row>
    <row r="8" customFormat="false" ht="15" hidden="false" customHeight="true" outlineLevel="0" collapsed="false">
      <c r="A8" s="8" t="s">
        <v>31</v>
      </c>
      <c r="B8" s="8" t="s">
        <v>24</v>
      </c>
      <c r="C8" s="8" t="s">
        <v>13</v>
      </c>
      <c r="D8" s="8" t="s">
        <v>28</v>
      </c>
    </row>
    <row r="9" customFormat="false" ht="15" hidden="false" customHeight="true" outlineLevel="0" collapsed="false">
      <c r="A9" s="8" t="s">
        <v>32</v>
      </c>
      <c r="B9" s="8" t="s">
        <v>24</v>
      </c>
      <c r="C9" s="8" t="s">
        <v>13</v>
      </c>
      <c r="D9" s="8" t="s">
        <v>28</v>
      </c>
    </row>
    <row r="10" customFormat="false" ht="15" hidden="false" customHeight="true" outlineLevel="0" collapsed="false">
      <c r="A10" s="8" t="s">
        <v>33</v>
      </c>
      <c r="B10" s="8" t="s">
        <v>24</v>
      </c>
      <c r="C10" s="8" t="s">
        <v>13</v>
      </c>
      <c r="D10" s="8" t="s">
        <v>28</v>
      </c>
    </row>
    <row r="11" customFormat="false" ht="15" hidden="false" customHeight="true" outlineLevel="0" collapsed="false">
      <c r="A11" s="8" t="s">
        <v>34</v>
      </c>
      <c r="B11" s="8" t="s">
        <v>24</v>
      </c>
      <c r="C11" s="8" t="s">
        <v>13</v>
      </c>
      <c r="D11" s="8" t="s">
        <v>28</v>
      </c>
    </row>
    <row r="12" customFormat="false" ht="15" hidden="false" customHeight="true" outlineLevel="0" collapsed="false">
      <c r="A12" s="8" t="s">
        <v>14</v>
      </c>
      <c r="B12" s="8" t="s">
        <v>35</v>
      </c>
      <c r="C12" s="8" t="s">
        <v>14</v>
      </c>
      <c r="D12" s="8" t="s">
        <v>25</v>
      </c>
    </row>
    <row r="13" customFormat="false" ht="15" hidden="false" customHeight="true" outlineLevel="0" collapsed="false">
      <c r="A13" s="8" t="s">
        <v>36</v>
      </c>
      <c r="B13" s="8" t="s">
        <v>35</v>
      </c>
      <c r="C13" s="8" t="s">
        <v>14</v>
      </c>
      <c r="D13" s="8" t="s">
        <v>28</v>
      </c>
    </row>
    <row r="14" customFormat="false" ht="15" hidden="false" customHeight="true" outlineLevel="0" collapsed="false">
      <c r="A14" s="8" t="s">
        <v>37</v>
      </c>
      <c r="B14" s="8" t="s">
        <v>35</v>
      </c>
      <c r="C14" s="8" t="s">
        <v>14</v>
      </c>
      <c r="D14" s="8" t="s">
        <v>25</v>
      </c>
    </row>
    <row r="15" customFormat="false" ht="15" hidden="false" customHeight="true" outlineLevel="0" collapsed="false">
      <c r="A15" s="8" t="s">
        <v>38</v>
      </c>
      <c r="B15" s="8" t="s">
        <v>35</v>
      </c>
      <c r="C15" s="8" t="s">
        <v>14</v>
      </c>
      <c r="D15" s="8" t="s">
        <v>28</v>
      </c>
    </row>
    <row r="16" customFormat="false" ht="15" hidden="false" customHeight="true" outlineLevel="0" collapsed="false">
      <c r="A16" s="8" t="s">
        <v>39</v>
      </c>
      <c r="B16" s="8" t="s">
        <v>35</v>
      </c>
      <c r="C16" s="8" t="s">
        <v>14</v>
      </c>
      <c r="D16" s="8" t="s">
        <v>28</v>
      </c>
    </row>
    <row r="17" customFormat="false" ht="15" hidden="false" customHeight="true" outlineLevel="0" collapsed="false">
      <c r="A17" s="8" t="s">
        <v>40</v>
      </c>
      <c r="B17" s="8" t="s">
        <v>35</v>
      </c>
      <c r="C17" s="8" t="s">
        <v>14</v>
      </c>
      <c r="D17" s="8" t="s">
        <v>28</v>
      </c>
    </row>
    <row r="18" customFormat="false" ht="15" hidden="false" customHeight="true" outlineLevel="0" collapsed="false">
      <c r="A18" s="8" t="s">
        <v>41</v>
      </c>
      <c r="B18" s="8" t="s">
        <v>42</v>
      </c>
      <c r="C18" s="8" t="s">
        <v>15</v>
      </c>
      <c r="D18" s="8" t="s">
        <v>28</v>
      </c>
    </row>
    <row r="19" customFormat="false" ht="15" hidden="false" customHeight="true" outlineLevel="0" collapsed="false">
      <c r="A19" s="8" t="s">
        <v>43</v>
      </c>
      <c r="B19" s="8" t="s">
        <v>44</v>
      </c>
      <c r="C19" s="8" t="s">
        <v>16</v>
      </c>
      <c r="D19" s="8" t="s">
        <v>28</v>
      </c>
    </row>
    <row r="20" customFormat="false" ht="15" hidden="false" customHeight="true" outlineLevel="0" collapsed="false">
      <c r="A20" s="8" t="s">
        <v>17</v>
      </c>
      <c r="B20" s="8" t="s">
        <v>45</v>
      </c>
      <c r="C20" s="8" t="s">
        <v>46</v>
      </c>
      <c r="D20" s="8" t="s">
        <v>28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9" min="9" style="1" width="16"/>
    <col collapsed="false" customWidth="true" hidden="false" outlineLevel="0" max="10" min="10" style="1" width="14"/>
  </cols>
  <sheetData>
    <row r="1" customFormat="false" ht="15" hidden="false" customHeight="true" outlineLevel="0" collapsed="false">
      <c r="A1" s="2" t="s">
        <v>47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48</v>
      </c>
      <c r="B3" s="5"/>
      <c r="C3" s="5"/>
      <c r="D3" s="5"/>
      <c r="E3" s="5"/>
      <c r="F3" s="5"/>
      <c r="G3" s="5"/>
      <c r="H3" s="5"/>
      <c r="I3" s="5"/>
      <c r="J3" s="5"/>
    </row>
    <row r="5" customFormat="false" ht="31.5" hidden="false" customHeight="true" outlineLevel="0" collapsed="false">
      <c r="A5" s="6" t="s">
        <v>49</v>
      </c>
      <c r="B5" s="6" t="s">
        <v>50</v>
      </c>
      <c r="C5" s="6" t="s">
        <v>7</v>
      </c>
      <c r="D5" s="6" t="s">
        <v>8</v>
      </c>
      <c r="E5" s="6" t="s">
        <v>51</v>
      </c>
      <c r="F5" s="6" t="s">
        <v>52</v>
      </c>
      <c r="G5" s="6" t="s">
        <v>10</v>
      </c>
      <c r="H5" s="6" t="s">
        <v>11</v>
      </c>
      <c r="I5" s="6" t="s">
        <v>53</v>
      </c>
      <c r="J5" s="6" t="s">
        <v>12</v>
      </c>
    </row>
    <row r="6" customFormat="false" ht="15" hidden="false" customHeight="true" outlineLevel="0" collapsed="false">
      <c r="A6" s="8" t="s">
        <v>54</v>
      </c>
      <c r="B6" s="8" t="str">
        <f aca="false">IFERROR(INDEX('Source 2026'!$C:$C,MATCH($A6,'Source 2026'!$B:$B,0)),IFERROR(INDEX('Source 2025'!$C:$C,MATCH($A6,'Source 2025'!$B:$B,0)),""))</f>
        <v>S  חבק יד ארוך</v>
      </c>
      <c r="C6" s="9" t="n">
        <f aca="false">SUMIFS('Source 2025'!$F:$F,'Source 2025'!$B:$B,$A6,'Source 2025'!$A:$A,"Quantity (units)")+SUMIFS('Source 2025'!$H:$H,'Source 2025'!$B:$B,$A6,'Source 2025'!$A:$A,"Quantity (units)")+SUMIFS('Source 2025'!$M:$M,'Source 2025'!$B:$B,$A6,'Source 2025'!$A:$A,"Quantity (units)")+SUMIFS('Source 2025'!$N:$N,'Source 2025'!$B:$B,$A6,'Source 2025'!$A:$A,"Quantity (units)")+SUMIFS('Source 2025'!$S:$S,'Source 2025'!$B:$B,$A6,'Source 2025'!$A:$A,"Quantity (units)")+SUMIFS('Source 2025'!$U:$U,'Source 2025'!$B:$B,$A6,'Source 2025'!$A:$A,"Quantity (units)")+SUMIFS('Source 2025'!$D:$D,'Source 2025'!$B:$B,$A6,'Source 2025'!$A:$A,"Quantity (units)")+SUMIFS('Source 2025'!$E:$E,'Source 2025'!$B:$B,$A6,'Source 2025'!$A:$A,"Quantity (units)")+SUMIFS('Source 2025'!$G:$G,'Source 2025'!$B:$B,$A6,'Source 2025'!$A:$A,"Quantity (units)")</f>
        <v>1868</v>
      </c>
      <c r="D6" s="9" t="n">
        <f aca="false">SUMIFS('Source 2026'!$F:$F,'Source 2026'!$B:$B,$A6,'Source 2026'!$A:$A,"Quantity (units)")+SUMIFS('Source 2026'!$H:$H,'Source 2026'!$B:$B,$A6,'Source 2026'!$A:$A,"Quantity (units)")+SUMIFS('Source 2026'!$M:$M,'Source 2026'!$B:$B,$A6,'Source 2026'!$A:$A,"Quantity (units)")+SUMIFS('Source 2026'!$N:$N,'Source 2026'!$B:$B,$A6,'Source 2026'!$A:$A,"Quantity (units)")+SUMIFS('Source 2026'!$S:$S,'Source 2026'!$B:$B,$A6,'Source 2026'!$A:$A,"Quantity (units)")+SUMIFS('Source 2026'!$U:$U,'Source 2026'!$B:$B,$A6,'Source 2026'!$A:$A,"Quantity (units)")+SUMIFS('Source 2026'!$D:$D,'Source 2026'!$B:$B,$A6,'Source 2026'!$A:$A,"Quantity (units)")+SUMIFS('Source 2026'!$E:$E,'Source 2026'!$B:$B,$A6,'Source 2026'!$A:$A,"Quantity (units)")+SUMIFS('Source 2026'!$G:$G,'Source 2026'!$B:$B,$A6,'Source 2026'!$A:$A,"Quantity (units)")</f>
        <v>946</v>
      </c>
      <c r="E6" s="9" t="n">
        <f aca="false">D6-C6</f>
        <v>-922</v>
      </c>
      <c r="F6" s="10" t="n">
        <f aca="false">IF(AND(C6=0,D6=0),0,IF(C6=0,"New",(D6-C6)/C6))</f>
        <v>-0.493576017130621</v>
      </c>
      <c r="G6" s="11" t="n">
        <f aca="false">SUMIFS('Source 2025'!$F:$F,'Source 2025'!$B:$B,$A6,'Source 2025'!$A:$A,"Amount (NIS)")+SUMIFS('Source 2025'!$H:$H,'Source 2025'!$B:$B,$A6,'Source 2025'!$A:$A,"Amount (NIS)")+SUMIFS('Source 2025'!$M:$M,'Source 2025'!$B:$B,$A6,'Source 2025'!$A:$A,"Amount (NIS)")+SUMIFS('Source 2025'!$N:$N,'Source 2025'!$B:$B,$A6,'Source 2025'!$A:$A,"Amount (NIS)")+SUMIFS('Source 2025'!$S:$S,'Source 2025'!$B:$B,$A6,'Source 2025'!$A:$A,"Amount (NIS)")+SUMIFS('Source 2025'!$U:$U,'Source 2025'!$B:$B,$A6,'Source 2025'!$A:$A,"Amount (NIS)")+SUMIFS('Source 2025'!$D:$D,'Source 2025'!$B:$B,$A6,'Source 2025'!$A:$A,"Amount (NIS)")+SUMIFS('Source 2025'!$E:$E,'Source 2025'!$B:$B,$A6,'Source 2025'!$A:$A,"Amount (NIS)")+SUMIFS('Source 2025'!$G:$G,'Source 2025'!$B:$B,$A6,'Source 2025'!$A:$A,"Amount (NIS)")</f>
        <v>72420.2</v>
      </c>
      <c r="H6" s="11" t="n">
        <f aca="false">SUMIFS('Source 2026'!$F:$F,'Source 2026'!$B:$B,$A6,'Source 2026'!$A:$A,"Amount (NIS)")+SUMIFS('Source 2026'!$H:$H,'Source 2026'!$B:$B,$A6,'Source 2026'!$A:$A,"Amount (NIS)")+SUMIFS('Source 2026'!$M:$M,'Source 2026'!$B:$B,$A6,'Source 2026'!$A:$A,"Amount (NIS)")+SUMIFS('Source 2026'!$N:$N,'Source 2026'!$B:$B,$A6,'Source 2026'!$A:$A,"Amount (NIS)")+SUMIFS('Source 2026'!$S:$S,'Source 2026'!$B:$B,$A6,'Source 2026'!$A:$A,"Amount (NIS)")+SUMIFS('Source 2026'!$U:$U,'Source 2026'!$B:$B,$A6,'Source 2026'!$A:$A,"Amount (NIS)")+SUMIFS('Source 2026'!$D:$D,'Source 2026'!$B:$B,$A6,'Source 2026'!$A:$A,"Amount (NIS)")+SUMIFS('Source 2026'!$E:$E,'Source 2026'!$B:$B,$A6,'Source 2026'!$A:$A,"Amount (NIS)")+SUMIFS('Source 2026'!$G:$G,'Source 2026'!$B:$B,$A6,'Source 2026'!$A:$A,"Amount (NIS)")</f>
        <v>36879</v>
      </c>
      <c r="I6" s="11" t="n">
        <f aca="false">H6-G6</f>
        <v>-35541.2</v>
      </c>
      <c r="J6" s="10" t="n">
        <f aca="false">IF(AND(G6=0,H6=0),0,IF(G6=0,"New",(H6-G6)/G6))</f>
        <v>-0.490763626722931</v>
      </c>
    </row>
    <row r="7" customFormat="false" ht="15" hidden="false" customHeight="true" outlineLevel="0" collapsed="false">
      <c r="A7" s="8" t="s">
        <v>55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537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-2</v>
      </c>
      <c r="E7" s="9" t="n">
        <f aca="false">D7-C7</f>
        <v>-539</v>
      </c>
      <c r="F7" s="10" t="n">
        <f aca="false">IF(AND(C7=0,D7=0),0,IF(C7=0,"New",(D7-C7)/C7))</f>
        <v>-1.00372439478585</v>
      </c>
      <c r="G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31672.4</v>
      </c>
      <c r="H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-82.3</v>
      </c>
      <c r="I7" s="11" t="n">
        <f aca="false">H7-G7</f>
        <v>-31754.7</v>
      </c>
      <c r="J7" s="10" t="n">
        <f aca="false">IF(AND(G7=0,H7=0),0,IF(G7=0,"New",(H7-G7)/G7))</f>
        <v>-1.00259847690734</v>
      </c>
    </row>
    <row r="8" customFormat="false" ht="15" hidden="false" customHeight="true" outlineLevel="0" collapsed="false">
      <c r="A8" s="8" t="s">
        <v>56</v>
      </c>
      <c r="B8" s="8" t="str">
        <f aca="false">IFERROR(INDEX('Source 2026'!$C:$C,MATCH($A8,'Source 2026'!$B:$B,0)),IFERROR(INDEX('Source 2025'!$C:$C,MATCH($A8,'Source 2025'!$B:$B,0)),""))</f>
        <v>טיסה אנטי בקטרי35-38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0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456</v>
      </c>
      <c r="E8" s="9" t="n">
        <f aca="false">D8-C8</f>
        <v>456</v>
      </c>
      <c r="F8" s="10" t="str">
        <f aca="false">IF(AND(C8=0,D8=0),0,IF(C8=0,"New",(D8-C8)/C8))</f>
        <v>New</v>
      </c>
      <c r="G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0</v>
      </c>
      <c r="H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27020.5</v>
      </c>
      <c r="I8" s="11" t="n">
        <f aca="false">H8-G8</f>
        <v>27020.5</v>
      </c>
      <c r="J8" s="10" t="str">
        <f aca="false">IF(AND(G8=0,H8=0),0,IF(G8=0,"New",(H8-G8)/G8))</f>
        <v>New</v>
      </c>
    </row>
    <row r="9" customFormat="false" ht="15" hidden="false" customHeight="true" outlineLevel="0" collapsed="false">
      <c r="A9" s="8" t="s">
        <v>57</v>
      </c>
      <c r="B9" s="8" t="str">
        <f aca="false">IFERROR(INDEX('Source 2026'!$C:$C,MATCH($A9,'Source 2026'!$B:$B,0)),IFERROR(INDEX('Source 2025'!$C:$C,MATCH($A9,'Source 2025'!$B:$B,0)),""))</f>
        <v>מדרס ג'ל לגבר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841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378</v>
      </c>
      <c r="E9" s="9" t="n">
        <f aca="false">D9-C9</f>
        <v>-463</v>
      </c>
      <c r="F9" s="10" t="n">
        <f aca="false">IF(AND(C9=0,D9=0),0,IF(C9=0,"New",(D9-C9)/C9))</f>
        <v>-0.550535077288942</v>
      </c>
      <c r="G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50057.5</v>
      </c>
      <c r="H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24242.7</v>
      </c>
      <c r="I9" s="11" t="n">
        <f aca="false">H9-G9</f>
        <v>-25814.8</v>
      </c>
      <c r="J9" s="10" t="n">
        <f aca="false">IF(AND(G9=0,H9=0),0,IF(G9=0,"New",(H9-G9)/G9))</f>
        <v>-0.51570294161714</v>
      </c>
    </row>
    <row r="10" customFormat="false" ht="15" hidden="false" customHeight="true" outlineLevel="0" collapsed="false">
      <c r="A10" s="8" t="s">
        <v>58</v>
      </c>
      <c r="B10" s="8" t="str">
        <f aca="false">IFERROR(INDEX('Source 2026'!$C:$C,MATCH($A10,'Source 2026'!$B:$B,0)),IFERROR(INDEX('Source 2025'!$C:$C,MATCH($A10,'Source 2025'!$B:$B,0)),""))</f>
        <v>חגורת גב עם תמיכות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1110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802</v>
      </c>
      <c r="E10" s="9" t="n">
        <f aca="false">D10-C10</f>
        <v>-308</v>
      </c>
      <c r="F10" s="10" t="n">
        <f aca="false">IF(AND(C10=0,D10=0),0,IF(C10=0,"New",(D10-C10)/C10))</f>
        <v>-0.277477477477478</v>
      </c>
      <c r="G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94616.3</v>
      </c>
      <c r="H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69090.9</v>
      </c>
      <c r="I10" s="11" t="n">
        <f aca="false">H10-G10</f>
        <v>-25525.4</v>
      </c>
      <c r="J10" s="10" t="n">
        <f aca="false">IF(AND(G10=0,H10=0),0,IF(G10=0,"New",(H10-G10)/G10))</f>
        <v>-0.269778040358797</v>
      </c>
    </row>
    <row r="11" customFormat="false" ht="15" hidden="false" customHeight="true" outlineLevel="0" collapsed="false">
      <c r="A11" s="8" t="s">
        <v>59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19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114</v>
      </c>
      <c r="E11" s="9" t="n">
        <f aca="false">D11-C11</f>
        <v>95</v>
      </c>
      <c r="F11" s="10" t="n">
        <f aca="false">IF(AND(C11=0,D11=0),0,IF(C11=0,"New",(D11-C11)/C11))</f>
        <v>5</v>
      </c>
      <c r="G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4034.6</v>
      </c>
      <c r="H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23279.6</v>
      </c>
      <c r="I11" s="11" t="n">
        <f aca="false">H11-G11</f>
        <v>19245</v>
      </c>
      <c r="J11" s="10" t="n">
        <f aca="false">IF(AND(G11=0,H11=0),0,IF(G11=0,"New",(H11-G11)/G11))</f>
        <v>4.7699895900461</v>
      </c>
    </row>
    <row r="12" customFormat="false" ht="15" hidden="false" customHeight="true" outlineLevel="0" collapsed="false">
      <c r="A12" s="8" t="s">
        <v>60</v>
      </c>
      <c r="B12" s="8" t="str">
        <f aca="false">IFERROR(INDEX('Source 2026'!$C:$C,MATCH($A12,'Source 2026'!$B:$B,0)),IFERROR(INDEX('Source 2025'!$C:$C,MATCH($A12,'Source 2025'!$B:$B,0)),""))</f>
        <v>L עקבים לדורבן-זוג כריות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465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238</v>
      </c>
      <c r="E12" s="9" t="n">
        <f aca="false">D12-C12</f>
        <v>-227</v>
      </c>
      <c r="F12" s="10" t="n">
        <f aca="false">IF(AND(C12=0,D12=0),0,IF(C12=0,"New",(D12-C12)/C12))</f>
        <v>-0.488172043010753</v>
      </c>
      <c r="G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37777.7</v>
      </c>
      <c r="H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20230.4</v>
      </c>
      <c r="I12" s="11" t="n">
        <f aca="false">H12-G12</f>
        <v>-17547.3</v>
      </c>
      <c r="J12" s="10" t="n">
        <f aca="false">IF(AND(G12=0,H12=0),0,IF(G12=0,"New",(H12-G12)/G12))</f>
        <v>-0.464488309240637</v>
      </c>
    </row>
    <row r="13" customFormat="false" ht="15" hidden="false" customHeight="true" outlineLevel="0" collapsed="false">
      <c r="A13" s="8" t="s">
        <v>61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323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157</v>
      </c>
      <c r="E13" s="9" t="n">
        <f aca="false">D13-C13</f>
        <v>-166</v>
      </c>
      <c r="F13" s="10" t="n">
        <f aca="false">IF(AND(C13=0,D13=0),0,IF(C13=0,"New",(D13-C13)/C13))</f>
        <v>-0.513931888544892</v>
      </c>
      <c r="G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31686.2</v>
      </c>
      <c r="H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15510.4</v>
      </c>
      <c r="I13" s="11" t="n">
        <f aca="false">H13-G13</f>
        <v>-16175.8</v>
      </c>
      <c r="J13" s="10" t="n">
        <f aca="false">IF(AND(G13=0,H13=0),0,IF(G13=0,"New",(H13-G13)/G13))</f>
        <v>-0.510499839046651</v>
      </c>
    </row>
    <row r="14" customFormat="false" ht="15" hidden="false" customHeight="true" outlineLevel="0" collapsed="false">
      <c r="A14" s="8" t="s">
        <v>62</v>
      </c>
      <c r="B14" s="8" t="str">
        <f aca="false">IFERROR(INDEX('Source 2026'!$C:$C,MATCH($A14,'Source 2026'!$B:$B,0)),IFERROR(INDEX('Source 2025'!$C:$C,MATCH($A14,'Source 2025'!$B:$B,0)),""))</f>
        <v>L צוארון ספוגי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539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227</v>
      </c>
      <c r="E14" s="9" t="n">
        <f aca="false">D14-C14</f>
        <v>-312</v>
      </c>
      <c r="F14" s="10" t="n">
        <f aca="false">IF(AND(C14=0,D14=0),0,IF(C14=0,"New",(D14-C14)/C14))</f>
        <v>-0.578849721706865</v>
      </c>
      <c r="G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26071.2</v>
      </c>
      <c r="H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11000.8</v>
      </c>
      <c r="I14" s="11" t="n">
        <f aca="false">H14-G14</f>
        <v>-15070.4</v>
      </c>
      <c r="J14" s="10" t="n">
        <f aca="false">IF(AND(G14=0,H14=0),0,IF(G14=0,"New",(H14-G14)/G14))</f>
        <v>-0.578047807542422</v>
      </c>
    </row>
    <row r="15" customFormat="false" ht="15" hidden="false" customHeight="true" outlineLevel="0" collapsed="false">
      <c r="A15" s="8" t="s">
        <v>63</v>
      </c>
      <c r="B15" s="8" t="str">
        <f aca="false">IFERROR(INDEX('Source 2026'!$C:$C,MATCH($A15,'Source 2026'!$B:$B,0)),IFERROR(INDEX('Source 2025'!$C:$C,MATCH($A15,'Source 2025'!$B:$B,0)),""))</f>
        <v>S מגן ברך חום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1325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888</v>
      </c>
      <c r="E15" s="9" t="n">
        <f aca="false">D15-C15</f>
        <v>-437</v>
      </c>
      <c r="F15" s="10" t="n">
        <f aca="false">IF(AND(C15=0,D15=0),0,IF(C15=0,"New",(D15-C15)/C15))</f>
        <v>-0.329811320754717</v>
      </c>
      <c r="G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39752.6</v>
      </c>
      <c r="H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26812.5</v>
      </c>
      <c r="I15" s="11" t="n">
        <f aca="false">H15-G15</f>
        <v>-12940.1</v>
      </c>
      <c r="J15" s="10" t="n">
        <f aca="false">IF(AND(G15=0,H15=0),0,IF(G15=0,"New",(H15-G15)/G15))</f>
        <v>-0.32551581531774</v>
      </c>
    </row>
    <row r="16" customFormat="false" ht="15" hidden="false" customHeight="true" outlineLevel="0" collapsed="false">
      <c r="A16" s="8" t="s">
        <v>64</v>
      </c>
      <c r="B16" s="8" t="str">
        <f aca="false">IFERROR(INDEX('Source 2026'!$C:$C,MATCH($A16,'Source 2026'!$B:$B,0)),IFERROR(INDEX('Source 2025'!$C:$C,MATCH($A16,'Source 2025'!$B:$B,0)),""))</f>
        <v>סד ליד דו צדדי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502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336</v>
      </c>
      <c r="E16" s="9" t="n">
        <f aca="false">D16-C16</f>
        <v>-166</v>
      </c>
      <c r="F16" s="10" t="n">
        <f aca="false">IF(AND(C16=0,D16=0),0,IF(C16=0,"New",(D16-C16)/C16))</f>
        <v>-0.330677290836653</v>
      </c>
      <c r="G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38890.7</v>
      </c>
      <c r="H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26201.4</v>
      </c>
      <c r="I16" s="11" t="n">
        <f aca="false">H16-G16</f>
        <v>-12689.3</v>
      </c>
      <c r="J16" s="10" t="n">
        <f aca="false">IF(AND(G16=0,H16=0),0,IF(G16=0,"New",(H16-G16)/G16))</f>
        <v>-0.326281090337793</v>
      </c>
    </row>
    <row r="17" customFormat="false" ht="15" hidden="false" customHeight="true" outlineLevel="0" collapsed="false">
      <c r="A17" s="8" t="s">
        <v>65</v>
      </c>
      <c r="B17" s="8" t="str">
        <f aca="false">IFERROR(INDEX('Source 2026'!$C:$C,MATCH($A17,'Source 2026'!$B:$B,0)),IFERROR(INDEX('Source 2025'!$C:$C,MATCH($A17,'Source 2025'!$B:$B,0)),""))</f>
        <v>L סד לאגודל לאחר שבר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237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109</v>
      </c>
      <c r="E17" s="9" t="n">
        <f aca="false">D17-C17</f>
        <v>-128</v>
      </c>
      <c r="F17" s="10" t="n">
        <f aca="false">IF(AND(C17=0,D17=0),0,IF(C17=0,"New",(D17-C17)/C17))</f>
        <v>-0.540084388185654</v>
      </c>
      <c r="G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23347.4</v>
      </c>
      <c r="H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10734.8</v>
      </c>
      <c r="I17" s="11" t="n">
        <f aca="false">H17-G17</f>
        <v>-12612.6</v>
      </c>
      <c r="J17" s="10" t="n">
        <f aca="false">IF(AND(G17=0,H17=0),0,IF(G17=0,"New",(H17-G17)/G17))</f>
        <v>-0.540214327933732</v>
      </c>
    </row>
    <row r="18" customFormat="false" ht="15" hidden="false" customHeight="true" outlineLevel="0" collapsed="false">
      <c r="A18" s="8" t="s">
        <v>66</v>
      </c>
      <c r="B18" s="8" t="str">
        <f aca="false">IFERROR(INDEX('Source 2026'!$C:$C,MATCH($A18,'Source 2026'!$B:$B,0)),IFERROR(INDEX('Source 2025'!$C:$C,MATCH($A18,'Source 2025'!$B:$B,0)),""))</f>
        <v>L מגן ברך שחור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1150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699</v>
      </c>
      <c r="E18" s="9" t="n">
        <f aca="false">D18-C18</f>
        <v>-451</v>
      </c>
      <c r="F18" s="10" t="n">
        <f aca="false">IF(AND(C18=0,D18=0),0,IF(C18=0,"New",(D18-C18)/C18))</f>
        <v>-0.392173913043478</v>
      </c>
      <c r="G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33774.1</v>
      </c>
      <c r="H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21234.1</v>
      </c>
      <c r="I18" s="11" t="n">
        <f aca="false">H18-G18</f>
        <v>-12540</v>
      </c>
      <c r="J18" s="10" t="n">
        <f aca="false">IF(AND(G18=0,H18=0),0,IF(G18=0,"New",(H18-G18)/G18))</f>
        <v>-0.371290426687906</v>
      </c>
    </row>
    <row r="19" customFormat="false" ht="15" hidden="false" customHeight="true" outlineLevel="0" collapsed="false">
      <c r="A19" s="8" t="s">
        <v>67</v>
      </c>
      <c r="B19" s="8" t="str">
        <f aca="false">IFERROR(INDEX('Source 2026'!$C:$C,MATCH($A19,'Source 2026'!$B:$B,0)),IFERROR(INDEX('Source 2025'!$C:$C,MATCH($A19,'Source 2025'!$B:$B,0)),""))</f>
        <v>L (מתלה ליד )כיס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563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343</v>
      </c>
      <c r="E19" s="9" t="n">
        <f aca="false">D19-C19</f>
        <v>-220</v>
      </c>
      <c r="F19" s="10" t="n">
        <f aca="false">IF(AND(C19=0,D19=0),0,IF(C19=0,"New",(D19-C19)/C19))</f>
        <v>-0.390763765541741</v>
      </c>
      <c r="G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30635.3</v>
      </c>
      <c r="H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18702.1</v>
      </c>
      <c r="I19" s="11" t="n">
        <f aca="false">H19-G19</f>
        <v>-11933.2</v>
      </c>
      <c r="J19" s="10" t="n">
        <f aca="false">IF(AND(G19=0,H19=0),0,IF(G19=0,"New",(H19-G19)/G19))</f>
        <v>-0.389524502779473</v>
      </c>
    </row>
    <row r="20" customFormat="false" ht="15" hidden="false" customHeight="true" outlineLevel="0" collapsed="false">
      <c r="A20" s="8" t="s">
        <v>68</v>
      </c>
      <c r="B20" s="8" t="str">
        <f aca="false">IFERROR(INDEX('Source 2026'!$C:$C,MATCH($A20,'Source 2026'!$B:$B,0)),IFERROR(INDEX('Source 2025'!$C:$C,MATCH($A20,'Source 2025'!$B:$B,0)),""))</f>
        <v>דאודורנט אנטיבק.נעל333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956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341</v>
      </c>
      <c r="E20" s="9" t="n">
        <f aca="false">D20-C20</f>
        <v>-615</v>
      </c>
      <c r="F20" s="10" t="n">
        <f aca="false">IF(AND(C20=0,D20=0),0,IF(C20=0,"New",(D20-C20)/C20))</f>
        <v>-0.643305439330544</v>
      </c>
      <c r="G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17801.7</v>
      </c>
      <c r="H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6493.3</v>
      </c>
      <c r="I20" s="11" t="n">
        <f aca="false">H20-G20</f>
        <v>-11308.4</v>
      </c>
      <c r="J20" s="10" t="n">
        <f aca="false">IF(AND(G20=0,H20=0),0,IF(G20=0,"New",(H20-G20)/G20))</f>
        <v>-0.635242701539741</v>
      </c>
    </row>
    <row r="21" customFormat="false" ht="15" hidden="false" customHeight="true" outlineLevel="0" collapsed="false">
      <c r="A21" s="8" t="s">
        <v>69</v>
      </c>
      <c r="B21" s="8" t="str">
        <f aca="false">IFERROR(INDEX('Source 2026'!$C:$C,MATCH($A21,'Source 2026'!$B:$B,0)),IFERROR(INDEX('Source 2025'!$C:$C,MATCH($A21,'Source 2025'!$B:$B,0)),""))</f>
        <v>M מגן קרסול עקב סגור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608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348</v>
      </c>
      <c r="E21" s="9" t="n">
        <f aca="false">D21-C21</f>
        <v>-260</v>
      </c>
      <c r="F21" s="10" t="n">
        <f aca="false">IF(AND(C21=0,D21=0),0,IF(C21=0,"New",(D21-C21)/C21))</f>
        <v>-0.427631578947368</v>
      </c>
      <c r="G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27045.2</v>
      </c>
      <c r="H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15771.2</v>
      </c>
      <c r="I21" s="11" t="n">
        <f aca="false">H21-G21</f>
        <v>-11274</v>
      </c>
      <c r="J21" s="10" t="n">
        <f aca="false">IF(AND(G21=0,H21=0),0,IF(G21=0,"New",(H21-G21)/G21))</f>
        <v>-0.416857704879239</v>
      </c>
    </row>
    <row r="22" customFormat="false" ht="15" hidden="false" customHeight="true" outlineLevel="0" collapsed="false">
      <c r="A22" s="8" t="s">
        <v>70</v>
      </c>
      <c r="B22" s="8" t="str">
        <f aca="false">IFERROR(INDEX('Source 2026'!$C:$C,MATCH($A22,'Source 2026'!$B:$B,0)),IFERROR(INDEX('Source 2025'!$C:$C,MATCH($A22,'Source 2025'!$B:$B,0)),""))</f>
        <v>S מגן קרסול חום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1252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873</v>
      </c>
      <c r="E22" s="9" t="n">
        <f aca="false">D22-C22</f>
        <v>-379</v>
      </c>
      <c r="F22" s="10" t="n">
        <f aca="false">IF(AND(C22=0,D22=0),0,IF(C22=0,"New",(D22-C22)/C22))</f>
        <v>-0.302715654952077</v>
      </c>
      <c r="G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37370.6</v>
      </c>
      <c r="H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26135.4</v>
      </c>
      <c r="I22" s="11" t="n">
        <f aca="false">H22-G22</f>
        <v>-11235.2</v>
      </c>
      <c r="J22" s="10" t="n">
        <f aca="false">IF(AND(G22=0,H22=0),0,IF(G22=0,"New",(H22-G22)/G22))</f>
        <v>-0.300642751253659</v>
      </c>
    </row>
    <row r="23" customFormat="false" ht="15" hidden="false" customHeight="true" outlineLevel="0" collapsed="false">
      <c r="A23" s="8" t="s">
        <v>71</v>
      </c>
      <c r="B23" s="8" t="str">
        <f aca="false">IFERROR(INDEX('Source 2026'!$C:$C,MATCH($A23,'Source 2026'!$B:$B,0)),IFERROR(INDEX('Source 2025'!$C:$C,MATCH($A23,'Source 2025'!$B:$B,0)),""))</f>
        <v>מישר כתפיים אקטיב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1049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786</v>
      </c>
      <c r="E23" s="9" t="n">
        <f aca="false">D23-C23</f>
        <v>-263</v>
      </c>
      <c r="F23" s="10" t="n">
        <f aca="false">IF(AND(C23=0,D23=0),0,IF(C23=0,"New",(D23-C23)/C23))</f>
        <v>-0.25071496663489</v>
      </c>
      <c r="G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72802.3</v>
      </c>
      <c r="H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61597.9</v>
      </c>
      <c r="I23" s="11" t="n">
        <f aca="false">H23-G23</f>
        <v>-11204.4</v>
      </c>
      <c r="J23" s="10" t="n">
        <f aca="false">IF(AND(G23=0,H23=0),0,IF(G23=0,"New",(H23-G23)/G23))</f>
        <v>-0.153901731126627</v>
      </c>
    </row>
    <row r="24" customFormat="false" ht="15" hidden="false" customHeight="true" outlineLevel="0" collapsed="false">
      <c r="A24" s="8" t="s">
        <v>72</v>
      </c>
      <c r="B24" s="8" t="str">
        <f aca="false">IFERROR(INDEX('Source 2026'!$C:$C,MATCH($A24,'Source 2026'!$B:$B,0)),IFERROR(INDEX('Source 2025'!$C:$C,MATCH($A24,'Source 2025'!$B:$B,0)),""))</f>
        <v>יד אגודלי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554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299</v>
      </c>
      <c r="E24" s="9" t="n">
        <f aca="false">D24-C24</f>
        <v>-255</v>
      </c>
      <c r="F24" s="10" t="n">
        <f aca="false">IF(AND(C24=0,D24=0),0,IF(C24=0,"New",(D24-C24)/C24))</f>
        <v>-0.46028880866426</v>
      </c>
      <c r="G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24683.5</v>
      </c>
      <c r="H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13677.8</v>
      </c>
      <c r="I24" s="11" t="n">
        <f aca="false">H24-G24</f>
        <v>-11005.7</v>
      </c>
      <c r="J24" s="10" t="n">
        <f aca="false">IF(AND(G24=0,H24=0),0,IF(G24=0,"New",(H24-G24)/G24))</f>
        <v>-0.44587274900237</v>
      </c>
    </row>
    <row r="25" customFormat="false" ht="15" hidden="false" customHeight="true" outlineLevel="0" collapsed="false">
      <c r="A25" s="8" t="s">
        <v>73</v>
      </c>
      <c r="B25" s="8" t="str">
        <f aca="false">IFERROR(INDEX('Source 2026'!$C:$C,MATCH($A25,'Source 2026'!$B:$B,0)),IFERROR(INDEX('Source 2025'!$C:$C,MATCH($A25,'Source 2025'!$B:$B,0)),""))</f>
        <v>שרוול מסיליקון לאצבע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1693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1072</v>
      </c>
      <c r="E25" s="9" t="n">
        <f aca="false">D25-C25</f>
        <v>-621</v>
      </c>
      <c r="F25" s="10" t="n">
        <f aca="false">IF(AND(C25=0,D25=0),0,IF(C25=0,"New",(D25-C25)/C25))</f>
        <v>-0.366804489072652</v>
      </c>
      <c r="G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29905.1</v>
      </c>
      <c r="H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19015.4</v>
      </c>
      <c r="I25" s="11" t="n">
        <f aca="false">H25-G25</f>
        <v>-10889.7</v>
      </c>
      <c r="J25" s="10" t="n">
        <f aca="false">IF(AND(G25=0,H25=0),0,IF(G25=0,"New",(H25-G25)/G25))</f>
        <v>-0.364141902217348</v>
      </c>
    </row>
    <row r="26" customFormat="false" ht="15" hidden="false" customHeight="true" outlineLevel="0" collapsed="false">
      <c r="A26" s="8" t="s">
        <v>74</v>
      </c>
      <c r="B26" s="8" t="str">
        <f aca="false">IFERROR(INDEX('Source 2026'!$C:$C,MATCH($A26,'Source 2026'!$B:$B,0)),IFERROR(INDEX('Source 2025'!$C:$C,MATCH($A26,'Source 2025'!$B:$B,0)),""))</f>
        <v>L מגן קרסול שחור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926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538</v>
      </c>
      <c r="E26" s="9" t="n">
        <f aca="false">D26-C26</f>
        <v>-388</v>
      </c>
      <c r="F26" s="10" t="n">
        <f aca="false">IF(AND(C26=0,D26=0),0,IF(C26=0,"New",(D26-C26)/C26))</f>
        <v>-0.419006479481642</v>
      </c>
      <c r="G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27327.9</v>
      </c>
      <c r="H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16483.1</v>
      </c>
      <c r="I26" s="11" t="n">
        <f aca="false">H26-G26</f>
        <v>-10844.8</v>
      </c>
      <c r="J26" s="10" t="n">
        <f aca="false">IF(AND(G26=0,H26=0),0,IF(G26=0,"New",(H26-G26)/G26))</f>
        <v>-0.396839859630634</v>
      </c>
    </row>
    <row r="27" customFormat="false" ht="15" hidden="false" customHeight="true" outlineLevel="0" collapsed="false">
      <c r="A27" s="8" t="s">
        <v>75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786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447</v>
      </c>
      <c r="E27" s="9" t="n">
        <f aca="false">D27-C27</f>
        <v>-339</v>
      </c>
      <c r="F27" s="10" t="n">
        <f aca="false">IF(AND(C27=0,D27=0),0,IF(C27=0,"New",(D27-C27)/C27))</f>
        <v>-0.431297709923664</v>
      </c>
      <c r="G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23214.8</v>
      </c>
      <c r="H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13290.4</v>
      </c>
      <c r="I27" s="11" t="n">
        <f aca="false">H27-G27</f>
        <v>-9924.4</v>
      </c>
      <c r="J27" s="10" t="n">
        <f aca="false">IF(AND(G27=0,H27=0),0,IF(G27=0,"New",(H27-G27)/G27))</f>
        <v>-0.427503144545721</v>
      </c>
    </row>
    <row r="28" customFormat="false" ht="15" hidden="false" customHeight="true" outlineLevel="0" collapsed="false">
      <c r="A28" s="8" t="s">
        <v>76</v>
      </c>
      <c r="B28" s="8" t="str">
        <f aca="false">IFERROR(INDEX('Source 2026'!$C:$C,MATCH($A28,'Source 2026'!$B:$B,0)),IFERROR(INDEX('Source 2025'!$C:$C,MATCH($A28,'Source 2025'!$B:$B,0)),""))</f>
        <v>L מגן ברך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1091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758</v>
      </c>
      <c r="E28" s="9" t="n">
        <f aca="false">D28-C28</f>
        <v>-333</v>
      </c>
      <c r="F28" s="10" t="n">
        <f aca="false">IF(AND(C28=0,D28=0),0,IF(C28=0,"New",(D28-C28)/C28))</f>
        <v>-0.305224564619615</v>
      </c>
      <c r="G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32429.9</v>
      </c>
      <c r="H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22613</v>
      </c>
      <c r="I28" s="11" t="n">
        <f aca="false">H28-G28</f>
        <v>-9816.9</v>
      </c>
      <c r="J28" s="10" t="n">
        <f aca="false">IF(AND(G28=0,H28=0),0,IF(G28=0,"New",(H28-G28)/G28))</f>
        <v>-0.302711386714113</v>
      </c>
    </row>
    <row r="29" customFormat="false" ht="15" hidden="false" customHeight="true" outlineLevel="0" collapsed="false">
      <c r="A29" s="8" t="s">
        <v>77</v>
      </c>
      <c r="B29" s="8" t="str">
        <f aca="false">IFERROR(INDEX('Source 2026'!$C:$C,MATCH($A29,'Source 2026'!$B:$B,0)),IFERROR(INDEX('Source 2025'!$C:$C,MATCH($A29,'Source 2025'!$B:$B,0)),""))</f>
        <v>תרסיס דאודורנט לכף הרגל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1000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468</v>
      </c>
      <c r="E29" s="9" t="n">
        <f aca="false">D29-C29</f>
        <v>-532</v>
      </c>
      <c r="F29" s="10" t="n">
        <f aca="false">IF(AND(C29=0,D29=0),0,IF(C29=0,"New",(D29-C29)/C29))</f>
        <v>-0.532</v>
      </c>
      <c r="G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19629.5</v>
      </c>
      <c r="H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9873.9</v>
      </c>
      <c r="I29" s="11" t="n">
        <f aca="false">H29-G29</f>
        <v>-9755.6</v>
      </c>
      <c r="J29" s="10" t="n">
        <f aca="false">IF(AND(G29=0,H29=0),0,IF(G29=0,"New",(H29-G29)/G29))</f>
        <v>-0.496986678213913</v>
      </c>
    </row>
    <row r="30" customFormat="false" ht="15" hidden="false" customHeight="true" outlineLevel="0" collapsed="false">
      <c r="A30" s="8" t="s">
        <v>78</v>
      </c>
      <c r="B30" s="8" t="str">
        <f aca="false">IFERROR(INDEX('Source 2026'!$C:$C,MATCH($A30,'Source 2026'!$B:$B,0)),IFERROR(INDEX('Source 2025'!$C:$C,MATCH($A30,'Source 2025'!$B:$B,0)),""))</f>
        <v>חבק לשורש כף היד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1143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801</v>
      </c>
      <c r="E30" s="9" t="n">
        <f aca="false">D30-C30</f>
        <v>-342</v>
      </c>
      <c r="F30" s="10" t="n">
        <f aca="false">IF(AND(C30=0,D30=0),0,IF(C30=0,"New",(D30-C30)/C30))</f>
        <v>-0.299212598425197</v>
      </c>
      <c r="G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36486.6</v>
      </c>
      <c r="H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26891.9</v>
      </c>
      <c r="I30" s="11" t="n">
        <f aca="false">H30-G30</f>
        <v>-9594.7</v>
      </c>
      <c r="J30" s="10" t="n">
        <f aca="false">IF(AND(G30=0,H30=0),0,IF(G30=0,"New",(H30-G30)/G30))</f>
        <v>-0.262965033738414</v>
      </c>
    </row>
    <row r="31" customFormat="false" ht="15" hidden="false" customHeight="true" outlineLevel="0" collapsed="false">
      <c r="A31" s="8" t="s">
        <v>79</v>
      </c>
      <c r="B31" s="8" t="str">
        <f aca="false">IFERROR(INDEX('Source 2026'!$C:$C,MATCH($A31,'Source 2026'!$B:$B,0)),IFERROR(INDEX('Source 2025'!$C:$C,MATCH($A31,'Source 2025'!$B:$B,0)),""))</f>
        <v>L מתלה רשת לזרוע שחור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600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411</v>
      </c>
      <c r="E31" s="9" t="n">
        <f aca="false">D31-C31</f>
        <v>-189</v>
      </c>
      <c r="F31" s="10" t="n">
        <f aca="false">IF(AND(C31=0,D31=0),0,IF(C31=0,"New",(D31-C31)/C31))</f>
        <v>-0.315</v>
      </c>
      <c r="G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32372.9</v>
      </c>
      <c r="H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22858</v>
      </c>
      <c r="I31" s="11" t="n">
        <f aca="false">H31-G31</f>
        <v>-9514.9</v>
      </c>
      <c r="J31" s="10" t="n">
        <f aca="false">IF(AND(G31=0,H31=0),0,IF(G31=0,"New",(H31-G31)/G31))</f>
        <v>-0.293915589891545</v>
      </c>
    </row>
    <row r="32" customFormat="false" ht="15" hidden="false" customHeight="true" outlineLevel="0" collapsed="false">
      <c r="A32" s="8" t="s">
        <v>80</v>
      </c>
      <c r="B32" s="8" t="str">
        <f aca="false">IFERROR(INDEX('Source 2026'!$C:$C,MATCH($A32,'Source 2026'!$B:$B,0)),IFERROR(INDEX('Source 2025'!$C:$C,MATCH($A32,'Source 2025'!$B:$B,0)),""))</f>
        <v>L חבק יד מתכוון עם צמדן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576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287</v>
      </c>
      <c r="E32" s="9" t="n">
        <f aca="false">D32-C32</f>
        <v>-289</v>
      </c>
      <c r="F32" s="10" t="n">
        <f aca="false">IF(AND(C32=0,D32=0),0,IF(C32=0,"New",(D32-C32)/C32))</f>
        <v>-0.501736111111111</v>
      </c>
      <c r="G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18789.8</v>
      </c>
      <c r="H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9318.4</v>
      </c>
      <c r="I32" s="11" t="n">
        <f aca="false">H32-G32</f>
        <v>-9471.4</v>
      </c>
      <c r="J32" s="10" t="n">
        <f aca="false">IF(AND(G32=0,H32=0),0,IF(G32=0,"New",(H32-G32)/G32))</f>
        <v>-0.504071357864373</v>
      </c>
    </row>
    <row r="33" customFormat="false" ht="15" hidden="false" customHeight="true" outlineLevel="0" collapsed="false">
      <c r="A33" s="8" t="s">
        <v>81</v>
      </c>
      <c r="B33" s="8" t="str">
        <f aca="false">IFERROR(INDEX('Source 2026'!$C:$C,MATCH($A33,'Source 2026'!$B:$B,0)),IFERROR(INDEX('Source 2025'!$C:$C,MATCH($A33,'Source 2025'!$B:$B,0)),""))</f>
        <v>L חגורת גב +סגירה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139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55</v>
      </c>
      <c r="E33" s="9" t="n">
        <f aca="false">D33-C33</f>
        <v>-84</v>
      </c>
      <c r="F33" s="10" t="n">
        <f aca="false">IF(AND(C33=0,D33=0),0,IF(C33=0,"New",(D33-C33)/C33))</f>
        <v>-0.60431654676259</v>
      </c>
      <c r="G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15439</v>
      </c>
      <c r="H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6254.8</v>
      </c>
      <c r="I33" s="11" t="n">
        <f aca="false">H33-G33</f>
        <v>-9184.2</v>
      </c>
      <c r="J33" s="10" t="n">
        <f aca="false">IF(AND(G33=0,H33=0),0,IF(G33=0,"New",(H33-G33)/G33))</f>
        <v>-0.594870134076041</v>
      </c>
    </row>
    <row r="34" customFormat="false" ht="15" hidden="false" customHeight="true" outlineLevel="0" collapsed="false">
      <c r="A34" s="8" t="s">
        <v>82</v>
      </c>
      <c r="B34" s="8" t="str">
        <f aca="false">IFERROR(INDEX('Source 2026'!$C:$C,MATCH($A34,'Source 2026'!$B:$B,0)),IFERROR(INDEX('Source 2025'!$C:$C,MATCH($A34,'Source 2025'!$B:$B,0)),""))</f>
        <v>טלק מעושר באלוורה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686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278</v>
      </c>
      <c r="E34" s="9" t="n">
        <f aca="false">D34-C34</f>
        <v>-408</v>
      </c>
      <c r="F34" s="10" t="n">
        <f aca="false">IF(AND(C34=0,D34=0),0,IF(C34=0,"New",(D34-C34)/C34))</f>
        <v>-0.594752186588921</v>
      </c>
      <c r="G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15450.1</v>
      </c>
      <c r="H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6368.9</v>
      </c>
      <c r="I34" s="11" t="n">
        <f aca="false">H34-G34</f>
        <v>-9081.2</v>
      </c>
      <c r="J34" s="10" t="n">
        <f aca="false">IF(AND(G34=0,H34=0),0,IF(G34=0,"New",(H34-G34)/G34))</f>
        <v>-0.587776130898829</v>
      </c>
    </row>
    <row r="35" customFormat="false" ht="15" hidden="false" customHeight="true" outlineLevel="0" collapsed="false">
      <c r="A35" s="8" t="s">
        <v>83</v>
      </c>
      <c r="B35" s="8" t="str">
        <f aca="false">IFERROR(INDEX('Source 2026'!$C:$C,MATCH($A35,'Source 2026'!$B:$B,0)),IFERROR(INDEX('Source 2025'!$C:$C,MATCH($A35,'Source 2025'!$B:$B,0)),""))</f>
        <v>טייפ קינזיולוגי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411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117</v>
      </c>
      <c r="E35" s="9" t="n">
        <f aca="false">D35-C35</f>
        <v>-294</v>
      </c>
      <c r="F35" s="10" t="n">
        <f aca="false">IF(AND(C35=0,D35=0),0,IF(C35=0,"New",(D35-C35)/C35))</f>
        <v>-0.715328467153285</v>
      </c>
      <c r="G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13057</v>
      </c>
      <c r="H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4205</v>
      </c>
      <c r="I35" s="11" t="n">
        <f aca="false">H35-G35</f>
        <v>-8852</v>
      </c>
      <c r="J35" s="10" t="n">
        <f aca="false">IF(AND(G35=0,H35=0),0,IF(G35=0,"New",(H35-G35)/G35))</f>
        <v>-0.677950524622808</v>
      </c>
    </row>
    <row r="36" customFormat="false" ht="15" hidden="false" customHeight="true" outlineLevel="0" collapsed="false">
      <c r="A36" s="8" t="s">
        <v>84</v>
      </c>
      <c r="B36" s="8" t="str">
        <f aca="false">IFERROR(INDEX('Source 2026'!$C:$C,MATCH($A36,'Source 2026'!$B:$B,0)),IFERROR(INDEX('Source 2025'!$C:$C,MATCH($A36,'Source 2025'!$B:$B,0)),""))</f>
        <v>S""חגורת בטן""אורירית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169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88</v>
      </c>
      <c r="E36" s="9" t="n">
        <f aca="false">D36-C36</f>
        <v>-81</v>
      </c>
      <c r="F36" s="10" t="n">
        <f aca="false">IF(AND(C36=0,D36=0),0,IF(C36=0,"New",(D36-C36)/C36))</f>
        <v>-0.479289940828402</v>
      </c>
      <c r="G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17515.7</v>
      </c>
      <c r="H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9211.2</v>
      </c>
      <c r="I36" s="11" t="n">
        <f aca="false">H36-G36</f>
        <v>-8304.5</v>
      </c>
      <c r="J36" s="10" t="n">
        <f aca="false">IF(AND(G36=0,H36=0),0,IF(G36=0,"New",(H36-G36)/G36))</f>
        <v>-0.474117506008895</v>
      </c>
    </row>
    <row r="37" customFormat="false" ht="15" hidden="false" customHeight="true" outlineLevel="0" collapsed="false">
      <c r="A37" s="8" t="s">
        <v>85</v>
      </c>
      <c r="B37" s="8" t="str">
        <f aca="false">IFERROR(INDEX('Source 2026'!$C:$C,MATCH($A37,'Source 2026'!$B:$B,0)),IFERROR(INDEX('Source 2025'!$C:$C,MATCH($A37,'Source 2025'!$B:$B,0)),""))</f>
        <v>לציפורן חודרנית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710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425</v>
      </c>
      <c r="E37" s="9" t="n">
        <f aca="false">D37-C37</f>
        <v>-285</v>
      </c>
      <c r="F37" s="10" t="n">
        <f aca="false">IF(AND(C37=0,D37=0),0,IF(C37=0,"New",(D37-C37)/C37))</f>
        <v>-0.401408450704225</v>
      </c>
      <c r="G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23268.2</v>
      </c>
      <c r="H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15119.6</v>
      </c>
      <c r="I37" s="11" t="n">
        <f aca="false">H37-G37</f>
        <v>-8148.6</v>
      </c>
      <c r="J37" s="10" t="n">
        <f aca="false">IF(AND(G37=0,H37=0),0,IF(G37=0,"New",(H37-G37)/G37))</f>
        <v>-0.35020328173215</v>
      </c>
    </row>
    <row r="38" customFormat="false" ht="15" hidden="false" customHeight="true" outlineLevel="0" collapsed="false">
      <c r="A38" s="8" t="s">
        <v>86</v>
      </c>
      <c r="B38" s="8" t="str">
        <f aca="false">IFERROR(INDEX('Source 2026'!$C:$C,MATCH($A38,'Source 2026'!$B:$B,0)),IFERROR(INDEX('Source 2025'!$C:$C,MATCH($A38,'Source 2025'!$B:$B,0)),""))</f>
        <v>חבק יד אגודלי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382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179</v>
      </c>
      <c r="E38" s="9" t="n">
        <f aca="false">D38-C38</f>
        <v>-203</v>
      </c>
      <c r="F38" s="10" t="n">
        <f aca="false">IF(AND(C38=0,D38=0),0,IF(C38=0,"New",(D38-C38)/C38))</f>
        <v>-0.531413612565445</v>
      </c>
      <c r="G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15998.7</v>
      </c>
      <c r="H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8153</v>
      </c>
      <c r="I38" s="11" t="n">
        <f aca="false">H38-G38</f>
        <v>-7845.7</v>
      </c>
      <c r="J38" s="10" t="n">
        <f aca="false">IF(AND(G38=0,H38=0),0,IF(G38=0,"New",(H38-G38)/G38))</f>
        <v>-0.490396094682693</v>
      </c>
    </row>
    <row r="39" customFormat="false" ht="15" hidden="false" customHeight="true" outlineLevel="0" collapsed="false">
      <c r="A39" s="8" t="s">
        <v>87</v>
      </c>
      <c r="B39" s="8" t="str">
        <f aca="false">IFERROR(INDEX('Source 2026'!$C:$C,MATCH($A39,'Source 2026'!$B:$B,0)),IFERROR(INDEX('Source 2025'!$C:$C,MATCH($A39,'Source 2025'!$B:$B,0)),""))</f>
        <v>מדרס אורטופ.מתכוון35-36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154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56</v>
      </c>
      <c r="E39" s="9" t="n">
        <f aca="false">D39-C39</f>
        <v>-98</v>
      </c>
      <c r="F39" s="10" t="n">
        <f aca="false">IF(AND(C39=0,D39=0),0,IF(C39=0,"New",(D39-C39)/C39))</f>
        <v>-0.636363636363636</v>
      </c>
      <c r="G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13149.3</v>
      </c>
      <c r="H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5369.6</v>
      </c>
      <c r="I39" s="11" t="n">
        <f aca="false">H39-G39</f>
        <v>-7779.7</v>
      </c>
      <c r="J39" s="10" t="n">
        <f aca="false">IF(AND(G39=0,H39=0),0,IF(G39=0,"New",(H39-G39)/G39))</f>
        <v>-0.591643661639783</v>
      </c>
    </row>
    <row r="40" customFormat="false" ht="15" hidden="false" customHeight="true" outlineLevel="0" collapsed="false">
      <c r="A40" s="8" t="s">
        <v>88</v>
      </c>
      <c r="B40" s="8" t="str">
        <f aca="false">IFERROR(INDEX('Source 2026'!$C:$C,MATCH($A40,'Source 2026'!$B:$B,0)),IFERROR(INDEX('Source 2025'!$C:$C,MATCH($A40,'Source 2025'!$B:$B,0)),""))</f>
        <v>חגורת גב +סגירה כפולה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121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52</v>
      </c>
      <c r="E40" s="9" t="n">
        <f aca="false">D40-C40</f>
        <v>-69</v>
      </c>
      <c r="F40" s="10" t="n">
        <f aca="false">IF(AND(C40=0,D40=0),0,IF(C40=0,"New",(D40-C40)/C40))</f>
        <v>-0.570247933884298</v>
      </c>
      <c r="G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13380.2</v>
      </c>
      <c r="H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5965.9</v>
      </c>
      <c r="I40" s="11" t="n">
        <f aca="false">H40-G40</f>
        <v>-7414.3</v>
      </c>
      <c r="J40" s="10" t="n">
        <f aca="false">IF(AND(G40=0,H40=0),0,IF(G40=0,"New",(H40-G40)/G40))</f>
        <v>-0.554124751498483</v>
      </c>
    </row>
    <row r="41" customFormat="false" ht="15" hidden="false" customHeight="true" outlineLevel="0" collapsed="false">
      <c r="A41" s="8" t="s">
        <v>89</v>
      </c>
      <c r="B41" s="8" t="str">
        <f aca="false">IFERROR(INDEX('Source 2026'!$C:$C,MATCH($A41,'Source 2026'!$B:$B,0)),IFERROR(INDEX('Source 2025'!$C:$C,MATCH($A41,'Source 2025'!$B:$B,0)),""))</f>
        <v>M 'מגן מרפק בז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584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346</v>
      </c>
      <c r="E41" s="9" t="n">
        <f aca="false">D41-C41</f>
        <v>-238</v>
      </c>
      <c r="F41" s="10" t="n">
        <f aca="false">IF(AND(C41=0,D41=0),0,IF(C41=0,"New",(D41-C41)/C41))</f>
        <v>-0.407534246575343</v>
      </c>
      <c r="G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17419.4</v>
      </c>
      <c r="H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10251.9</v>
      </c>
      <c r="I41" s="11" t="n">
        <f aca="false">H41-G41</f>
        <v>-7167.5</v>
      </c>
      <c r="J41" s="10" t="n">
        <f aca="false">IF(AND(G41=0,H41=0),0,IF(G41=0,"New",(H41-G41)/G41))</f>
        <v>-0.411466525827526</v>
      </c>
    </row>
    <row r="42" customFormat="false" ht="15" hidden="false" customHeight="true" outlineLevel="0" collapsed="false">
      <c r="A42" s="8" t="s">
        <v>90</v>
      </c>
      <c r="B42" s="8" t="str">
        <f aca="false">IFERROR(INDEX('Source 2026'!$C:$C,MATCH($A42,'Source 2026'!$B:$B,0)),IFERROR(INDEX('Source 2025'!$C:$C,MATCH($A42,'Source 2025'!$B:$B,0)),""))</f>
        <v>Sמגן ברך ארוך לבן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482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283</v>
      </c>
      <c r="E42" s="9" t="n">
        <f aca="false">D42-C42</f>
        <v>-199</v>
      </c>
      <c r="F42" s="10" t="n">
        <f aca="false">IF(AND(C42=0,D42=0),0,IF(C42=0,"New",(D42-C42)/C42))</f>
        <v>-0.412863070539419</v>
      </c>
      <c r="G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17330.5</v>
      </c>
      <c r="H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10191.1</v>
      </c>
      <c r="I42" s="11" t="n">
        <f aca="false">H42-G42</f>
        <v>-7139.4</v>
      </c>
      <c r="J42" s="10" t="n">
        <f aca="false">IF(AND(G42=0,H42=0),0,IF(G42=0,"New",(H42-G42)/G42))</f>
        <v>-0.411955800467384</v>
      </c>
    </row>
    <row r="43" customFormat="false" ht="15" hidden="false" customHeight="true" outlineLevel="0" collapsed="false">
      <c r="A43" s="8" t="s">
        <v>91</v>
      </c>
      <c r="B43" s="8" t="str">
        <f aca="false">IFERROR(INDEX('Source 2026'!$C:$C,MATCH($A43,'Source 2026'!$B:$B,0)),IFERROR(INDEX('Source 2025'!$C:$C,MATCH($A43,'Source 2025'!$B:$B,0)),""))</f>
        <v>ציפורניים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1063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534</v>
      </c>
      <c r="E43" s="9" t="n">
        <f aca="false">D43-C43</f>
        <v>-529</v>
      </c>
      <c r="F43" s="10" t="n">
        <f aca="false">IF(AND(C43=0,D43=0),0,IF(C43=0,"New",(D43-C43)/C43))</f>
        <v>-0.497648165569144</v>
      </c>
      <c r="G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14552.5</v>
      </c>
      <c r="H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7485</v>
      </c>
      <c r="I43" s="11" t="n">
        <f aca="false">H43-G43</f>
        <v>-7067.5</v>
      </c>
      <c r="J43" s="10" t="n">
        <f aca="false">IF(AND(G43=0,H43=0),0,IF(G43=0,"New",(H43-G43)/G43))</f>
        <v>-0.485655385672565</v>
      </c>
    </row>
    <row r="44" customFormat="false" ht="15" hidden="false" customHeight="true" outlineLevel="0" collapsed="false">
      <c r="A44" s="8" t="s">
        <v>92</v>
      </c>
      <c r="B44" s="8" t="str">
        <f aca="false">IFERROR(INDEX('Source 2026'!$C:$C,MATCH($A44,'Source 2026'!$B:$B,0)),IFERROR(INDEX('Source 2025'!$C:$C,MATCH($A44,'Source 2025'!$B:$B,0)),""))</f>
        <v>סד לש.כף יד שמאל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364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199</v>
      </c>
      <c r="E44" s="9" t="n">
        <f aca="false">D44-C44</f>
        <v>-165</v>
      </c>
      <c r="F44" s="10" t="n">
        <f aca="false">IF(AND(C44=0,D44=0),0,IF(C44=0,"New",(D44-C44)/C44))</f>
        <v>-0.453296703296703</v>
      </c>
      <c r="G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15021.6</v>
      </c>
      <c r="H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8065</v>
      </c>
      <c r="I44" s="11" t="n">
        <f aca="false">H44-G44</f>
        <v>-6956.6</v>
      </c>
      <c r="J44" s="10" t="n">
        <f aca="false">IF(AND(G44=0,H44=0),0,IF(G44=0,"New",(H44-G44)/G44))</f>
        <v>-0.463106460030889</v>
      </c>
    </row>
    <row r="45" customFormat="false" ht="15" hidden="false" customHeight="true" outlineLevel="0" collapsed="false">
      <c r="A45" s="8" t="s">
        <v>93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295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63</v>
      </c>
      <c r="E45" s="9" t="n">
        <f aca="false">D45-C45</f>
        <v>-232</v>
      </c>
      <c r="F45" s="10" t="n">
        <f aca="false">IF(AND(C45=0,D45=0),0,IF(C45=0,"New",(D45-C45)/C45))</f>
        <v>-0.786440677966102</v>
      </c>
      <c r="G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8838</v>
      </c>
      <c r="H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2401</v>
      </c>
      <c r="I45" s="11" t="n">
        <f aca="false">H45-G45</f>
        <v>-6437</v>
      </c>
      <c r="J45" s="10" t="n">
        <f aca="false">IF(AND(G45=0,H45=0),0,IF(G45=0,"New",(H45-G45)/G45))</f>
        <v>-0.728332201855623</v>
      </c>
    </row>
    <row r="46" customFormat="false" ht="15" hidden="false" customHeight="true" outlineLevel="0" collapsed="false">
      <c r="A46" s="8" t="s">
        <v>94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517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278</v>
      </c>
      <c r="E46" s="9" t="n">
        <f aca="false">D46-C46</f>
        <v>-239</v>
      </c>
      <c r="F46" s="10" t="n">
        <f aca="false">IF(AND(C46=0,D46=0),0,IF(C46=0,"New",(D46-C46)/C46))</f>
        <v>-0.462282398452611</v>
      </c>
      <c r="G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15602.6</v>
      </c>
      <c r="H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9297.7</v>
      </c>
      <c r="I46" s="11" t="n">
        <f aca="false">H46-G46</f>
        <v>-6304.9</v>
      </c>
      <c r="J46" s="10" t="n">
        <f aca="false">IF(AND(G46=0,H46=0),0,IF(G46=0,"New",(H46-G46)/G46))</f>
        <v>-0.404092907592324</v>
      </c>
    </row>
    <row r="47" customFormat="false" ht="15" hidden="false" customHeight="true" outlineLevel="0" collapsed="false">
      <c r="A47" s="8" t="s">
        <v>95</v>
      </c>
      <c r="B47" s="8" t="str">
        <f aca="false">IFERROR(INDEX('Source 2026'!$C:$C,MATCH($A47,'Source 2026'!$B:$B,0)),IFERROR(INDEX('Source 2025'!$C:$C,MATCH($A47,'Source 2025'!$B:$B,0)),""))</f>
        <v>סד לאגודל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652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451</v>
      </c>
      <c r="E47" s="9" t="n">
        <f aca="false">D47-C47</f>
        <v>-201</v>
      </c>
      <c r="F47" s="10" t="n">
        <f aca="false">IF(AND(C47=0,D47=0),0,IF(C47=0,"New",(D47-C47)/C47))</f>
        <v>-0.308282208588957</v>
      </c>
      <c r="G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23480.4</v>
      </c>
      <c r="H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17531.8</v>
      </c>
      <c r="I47" s="11" t="n">
        <f aca="false">H47-G47</f>
        <v>-5948.6</v>
      </c>
      <c r="J47" s="10" t="n">
        <f aca="false">IF(AND(G47=0,H47=0),0,IF(G47=0,"New",(H47-G47)/G47))</f>
        <v>-0.253343213914584</v>
      </c>
    </row>
    <row r="48" customFormat="false" ht="15" hidden="false" customHeight="true" outlineLevel="0" collapsed="false">
      <c r="A48" s="8" t="s">
        <v>96</v>
      </c>
      <c r="B48" s="8" t="str">
        <f aca="false">IFERROR(INDEX('Source 2026'!$C:$C,MATCH($A48,'Source 2026'!$B:$B,0)),IFERROR(INDEX('Source 2025'!$C:$C,MATCH($A48,'Source 2025'!$B:$B,0)),""))</f>
        <v>S תומך זרוע וכתף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98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67</v>
      </c>
      <c r="E48" s="9" t="n">
        <f aca="false">D48-C48</f>
        <v>-31</v>
      </c>
      <c r="F48" s="10" t="n">
        <f aca="false">IF(AND(C48=0,D48=0),0,IF(C48=0,"New",(D48-C48)/C48))</f>
        <v>-0.316326530612245</v>
      </c>
      <c r="G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18283.1</v>
      </c>
      <c r="H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12432.2</v>
      </c>
      <c r="I48" s="11" t="n">
        <f aca="false">H48-G48</f>
        <v>-5850.9</v>
      </c>
      <c r="J48" s="10" t="n">
        <f aca="false">IF(AND(G48=0,H48=0),0,IF(G48=0,"New",(H48-G48)/G48))</f>
        <v>-0.320016846158474</v>
      </c>
    </row>
    <row r="49" customFormat="false" ht="15" hidden="false" customHeight="true" outlineLevel="0" collapsed="false">
      <c r="A49" s="8" t="s">
        <v>97</v>
      </c>
      <c r="B49" s="8" t="str">
        <f aca="false">IFERROR(INDEX('Source 2026'!$C:$C,MATCH($A49,'Source 2026'!$B:$B,0)),IFERROR(INDEX('Source 2025'!$C:$C,MATCH($A49,'Source 2025'!$B:$B,0)),""))</f>
        <v>חגורת גב +סגירה כפולה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86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33</v>
      </c>
      <c r="E49" s="9" t="n">
        <f aca="false">D49-C49</f>
        <v>-53</v>
      </c>
      <c r="F49" s="10" t="n">
        <f aca="false">IF(AND(C49=0,D49=0),0,IF(C49=0,"New",(D49-C49)/C49))</f>
        <v>-0.616279069767442</v>
      </c>
      <c r="G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9536.7</v>
      </c>
      <c r="H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3735.7</v>
      </c>
      <c r="I49" s="11" t="n">
        <f aca="false">H49-G49</f>
        <v>-5801</v>
      </c>
      <c r="J49" s="10" t="n">
        <f aca="false">IF(AND(G49=0,H49=0),0,IF(G49=0,"New",(H49-G49)/G49))</f>
        <v>-0.608281690731595</v>
      </c>
    </row>
    <row r="50" customFormat="false" ht="15" hidden="false" customHeight="true" outlineLevel="0" collapsed="false">
      <c r="A50" s="8" t="s">
        <v>98</v>
      </c>
      <c r="B50" s="8" t="str">
        <f aca="false">IFERROR(INDEX('Source 2026'!$C:$C,MATCH($A50,'Source 2026'!$B:$B,0)),IFERROR(INDEX('Source 2025'!$C:$C,MATCH($A50,'Source 2025'!$B:$B,0)),""))</f>
        <v>Sמיישר כתף יציב יישור גב צר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68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32</v>
      </c>
      <c r="E50" s="9" t="n">
        <f aca="false">D50-C50</f>
        <v>-36</v>
      </c>
      <c r="F50" s="10" t="n">
        <f aca="false">IF(AND(C50=0,D50=0),0,IF(C50=0,"New",(D50-C50)/C50))</f>
        <v>-0.529411764705882</v>
      </c>
      <c r="G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10879.5</v>
      </c>
      <c r="H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5120.8</v>
      </c>
      <c r="I50" s="11" t="n">
        <f aca="false">H50-G50</f>
        <v>-5758.7</v>
      </c>
      <c r="J50" s="10" t="n">
        <f aca="false">IF(AND(G50=0,H50=0),0,IF(G50=0,"New",(H50-G50)/G50))</f>
        <v>-0.529316604623374</v>
      </c>
    </row>
    <row r="51" customFormat="false" ht="15" hidden="false" customHeight="true" outlineLevel="0" collapsed="false">
      <c r="A51" s="8" t="s">
        <v>99</v>
      </c>
      <c r="B51" s="8" t="str">
        <f aca="false">IFERROR(INDEX('Source 2026'!$C:$C,MATCH($A51,'Source 2026'!$B:$B,0)),IFERROR(INDEX('Source 2025'!$C:$C,MATCH($A51,'Source 2025'!$B:$B,0)),""))</f>
        <v>Lעקבים סיליקון כחול לדורבן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252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144</v>
      </c>
      <c r="E51" s="9" t="n">
        <f aca="false">D51-C51</f>
        <v>-108</v>
      </c>
      <c r="F51" s="10" t="n">
        <f aca="false">IF(AND(C51=0,D51=0),0,IF(C51=0,"New",(D51-C51)/C51))</f>
        <v>-0.428571428571429</v>
      </c>
      <c r="G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13944.7</v>
      </c>
      <c r="H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8196.2</v>
      </c>
      <c r="I51" s="11" t="n">
        <f aca="false">H51-G51</f>
        <v>-5748.5</v>
      </c>
      <c r="J51" s="10" t="n">
        <f aca="false">IF(AND(G51=0,H51=0),0,IF(G51=0,"New",(H51-G51)/G51))</f>
        <v>-0.412235472975396</v>
      </c>
    </row>
    <row r="52" customFormat="false" ht="15" hidden="false" customHeight="true" outlineLevel="0" collapsed="false">
      <c r="A52" s="8" t="s">
        <v>100</v>
      </c>
      <c r="B52" s="8" t="str">
        <f aca="false">IFERROR(INDEX('Source 2026'!$C:$C,MATCH($A52,'Source 2026'!$B:$B,0)),IFERROR(INDEX('Source 2025'!$C:$C,MATCH($A52,'Source 2025'!$B:$B,0)),""))</f>
        <v>Sמיישר כתף יציב יישור ג.רחב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90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60</v>
      </c>
      <c r="E52" s="9" t="n">
        <f aca="false">D52-C52</f>
        <v>-30</v>
      </c>
      <c r="F52" s="10" t="n">
        <f aca="false">IF(AND(C52=0,D52=0),0,IF(C52=0,"New",(D52-C52)/C52))</f>
        <v>-0.333333333333333</v>
      </c>
      <c r="G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18142.9</v>
      </c>
      <c r="H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12440.6</v>
      </c>
      <c r="I52" s="11" t="n">
        <f aca="false">H52-G52</f>
        <v>-5702.3</v>
      </c>
      <c r="J52" s="10" t="n">
        <f aca="false">IF(AND(G52=0,H52=0),0,IF(G52=0,"New",(H52-G52)/G52))</f>
        <v>-0.314299257560809</v>
      </c>
    </row>
    <row r="53" customFormat="false" ht="15" hidden="false" customHeight="true" outlineLevel="0" collapsed="false">
      <c r="A53" s="8" t="s">
        <v>101</v>
      </c>
      <c r="B53" s="8" t="str">
        <f aca="false">IFERROR(INDEX('Source 2026'!$C:$C,MATCH($A53,'Source 2026'!$B:$B,0)),IFERROR(INDEX('Source 2025'!$C:$C,MATCH($A53,'Source 2025'!$B:$B,0)),""))</f>
        <v>יד אגודלי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478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347</v>
      </c>
      <c r="E53" s="9" t="n">
        <f aca="false">D53-C53</f>
        <v>-131</v>
      </c>
      <c r="F53" s="10" t="n">
        <f aca="false">IF(AND(C53=0,D53=0),0,IF(C53=0,"New",(D53-C53)/C53))</f>
        <v>-0.274058577405858</v>
      </c>
      <c r="G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21311.1</v>
      </c>
      <c r="H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15612.2</v>
      </c>
      <c r="I53" s="11" t="n">
        <f aca="false">H53-G53</f>
        <v>-5698.9</v>
      </c>
      <c r="J53" s="10" t="n">
        <f aca="false">IF(AND(G53=0,H53=0),0,IF(G53=0,"New",(H53-G53)/G53))</f>
        <v>-0.267414633688547</v>
      </c>
    </row>
    <row r="54" customFormat="false" ht="15" hidden="false" customHeight="true" outlineLevel="0" collapsed="false">
      <c r="A54" s="8" t="s">
        <v>102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391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180</v>
      </c>
      <c r="E54" s="9" t="n">
        <f aca="false">D54-C54</f>
        <v>-211</v>
      </c>
      <c r="F54" s="10" t="n">
        <f aca="false">IF(AND(C54=0,D54=0),0,IF(C54=0,"New",(D54-C54)/C54))</f>
        <v>-0.539641943734015</v>
      </c>
      <c r="G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12113.8</v>
      </c>
      <c r="H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6434.5</v>
      </c>
      <c r="I54" s="11" t="n">
        <f aca="false">H54-G54</f>
        <v>-5679.3</v>
      </c>
      <c r="J54" s="10" t="n">
        <f aca="false">IF(AND(G54=0,H54=0),0,IF(G54=0,"New",(H54-G54)/G54))</f>
        <v>-0.468828938896135</v>
      </c>
    </row>
    <row r="55" customFormat="false" ht="15" hidden="false" customHeight="true" outlineLevel="0" collapsed="false">
      <c r="A55" s="8" t="s">
        <v>103</v>
      </c>
      <c r="B55" s="8" t="str">
        <f aca="false">IFERROR(INDEX('Source 2026'!$C:$C,MATCH($A55,'Source 2026'!$B:$B,0)),IFERROR(INDEX('Source 2025'!$C:$C,MATCH($A55,'Source 2025'!$B:$B,0)),""))</f>
        <v>0 מ.בוניון+מפריד אצבע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330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179</v>
      </c>
      <c r="E55" s="9" t="n">
        <f aca="false">D55-C55</f>
        <v>-151</v>
      </c>
      <c r="F55" s="10" t="n">
        <f aca="false">IF(AND(C55=0,D55=0),0,IF(C55=0,"New",(D55-C55)/C55))</f>
        <v>-0.457575757575758</v>
      </c>
      <c r="G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12540</v>
      </c>
      <c r="H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6891.8</v>
      </c>
      <c r="I55" s="11" t="n">
        <f aca="false">H55-G55</f>
        <v>-5648.2</v>
      </c>
      <c r="J55" s="10" t="n">
        <f aca="false">IF(AND(G55=0,H55=0),0,IF(G55=0,"New",(H55-G55)/G55))</f>
        <v>-0.450414673046252</v>
      </c>
    </row>
    <row r="56" customFormat="false" ht="15" hidden="false" customHeight="true" outlineLevel="0" collapsed="false">
      <c r="A56" s="8" t="s">
        <v>104</v>
      </c>
      <c r="B56" s="8" t="str">
        <f aca="false">IFERROR(INDEX('Source 2026'!$C:$C,MATCH($A56,'Source 2026'!$B:$B,0)),IFERROR(INDEX('Source 2025'!$C:$C,MATCH($A56,'Source 2025'!$B:$B,0)),""))</f>
        <v>גרב.כסף לסכרתים שחור35-38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365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153</v>
      </c>
      <c r="E56" s="9" t="n">
        <f aca="false">D56-C56</f>
        <v>-212</v>
      </c>
      <c r="F56" s="10" t="n">
        <f aca="false">IF(AND(C56=0,D56=0),0,IF(C56=0,"New",(D56-C56)/C56))</f>
        <v>-0.580821917808219</v>
      </c>
      <c r="G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9287.6</v>
      </c>
      <c r="H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4050.9</v>
      </c>
      <c r="I56" s="11" t="n">
        <f aca="false">H56-G56</f>
        <v>-5236.7</v>
      </c>
      <c r="J56" s="10" t="n">
        <f aca="false">IF(AND(G56=0,H56=0),0,IF(G56=0,"New",(H56-G56)/G56))</f>
        <v>-0.563837805245704</v>
      </c>
    </row>
    <row r="57" customFormat="false" ht="15" hidden="false" customHeight="true" outlineLevel="0" collapsed="false">
      <c r="A57" s="8" t="s">
        <v>105</v>
      </c>
      <c r="B57" s="8" t="str">
        <f aca="false">IFERROR(INDEX('Source 2026'!$C:$C,MATCH($A57,'Source 2026'!$B:$B,0)),IFERROR(INDEX('Source 2025'!$C:$C,MATCH($A57,'Source 2025'!$B:$B,0)),""))</f>
        <v>תחבושת א.נצמ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1500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851</v>
      </c>
      <c r="E57" s="9" t="n">
        <f aca="false">D57-C57</f>
        <v>-649</v>
      </c>
      <c r="F57" s="10" t="n">
        <f aca="false">IF(AND(C57=0,D57=0),0,IF(C57=0,"New",(D57-C57)/C57))</f>
        <v>-0.432666666666667</v>
      </c>
      <c r="G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14703.8</v>
      </c>
      <c r="H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9467.1</v>
      </c>
      <c r="I57" s="11" t="n">
        <f aca="false">H57-G57</f>
        <v>-5236.7</v>
      </c>
      <c r="J57" s="10" t="n">
        <f aca="false">IF(AND(G57=0,H57=0),0,IF(G57=0,"New",(H57-G57)/G57))</f>
        <v>-0.356146030277887</v>
      </c>
    </row>
    <row r="58" customFormat="false" ht="15" hidden="false" customHeight="true" outlineLevel="0" collapsed="false">
      <c r="A58" s="8" t="s">
        <v>106</v>
      </c>
      <c r="B58" s="8" t="str">
        <f aca="false">IFERROR(INDEX('Source 2026'!$C:$C,MATCH($A58,'Source 2026'!$B:$B,0)),IFERROR(INDEX('Source 2025'!$C:$C,MATCH($A58,'Source 2025'!$B:$B,0)),""))</f>
        <v>Lמפר.אצבע סיליק. ליבל.זוג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1030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663</v>
      </c>
      <c r="E58" s="9" t="n">
        <f aca="false">D58-C58</f>
        <v>-367</v>
      </c>
      <c r="F58" s="10" t="n">
        <f aca="false">IF(AND(C58=0,D58=0),0,IF(C58=0,"New",(D58-C58)/C58))</f>
        <v>-0.35631067961165</v>
      </c>
      <c r="G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14055.4</v>
      </c>
      <c r="H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9084.2</v>
      </c>
      <c r="I58" s="11" t="n">
        <f aca="false">H58-G58</f>
        <v>-4971.2</v>
      </c>
      <c r="J58" s="10" t="n">
        <f aca="false">IF(AND(G58=0,H58=0),0,IF(G58=0,"New",(H58-G58)/G58))</f>
        <v>-0.353686127751612</v>
      </c>
    </row>
    <row r="59" customFormat="false" ht="15" hidden="false" customHeight="true" outlineLevel="0" collapsed="false">
      <c r="A59" s="8" t="s">
        <v>107</v>
      </c>
      <c r="B59" s="8" t="str">
        <f aca="false">IFERROR(INDEX('Source 2026'!$C:$C,MATCH($A59,'Source 2026'!$B:$B,0)),IFERROR(INDEX('Source 2025'!$C:$C,MATCH($A59,'Source 2025'!$B:$B,0)),""))</f>
        <v>S-L אצבעון מסיליקון יחידה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743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534</v>
      </c>
      <c r="E59" s="9" t="n">
        <f aca="false">D59-C59</f>
        <v>-209</v>
      </c>
      <c r="F59" s="10" t="n">
        <f aca="false">IF(AND(C59=0,D59=0),0,IF(C59=0,"New",(D59-C59)/C59))</f>
        <v>-0.281292059219381</v>
      </c>
      <c r="G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17723.1</v>
      </c>
      <c r="H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12831.2</v>
      </c>
      <c r="I59" s="11" t="n">
        <f aca="false">H59-G59</f>
        <v>-4891.9</v>
      </c>
      <c r="J59" s="10" t="n">
        <f aca="false">IF(AND(G59=0,H59=0),0,IF(G59=0,"New",(H59-G59)/G59))</f>
        <v>-0.276018303795611</v>
      </c>
    </row>
    <row r="60" customFormat="false" ht="15" hidden="false" customHeight="true" outlineLevel="0" collapsed="false">
      <c r="A60" s="8" t="s">
        <v>108</v>
      </c>
      <c r="B60" s="8" t="str">
        <f aca="false">IFERROR(INDEX('Source 2026'!$C:$C,MATCH($A60,'Source 2026'!$B:$B,0)),IFERROR(INDEX('Source 2025'!$C:$C,MATCH($A60,'Source 2025'!$B:$B,0)),""))</f>
        <v>למניעת שפשוף 5 יח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747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443</v>
      </c>
      <c r="E60" s="9" t="n">
        <f aca="false">D60-C60</f>
        <v>-304</v>
      </c>
      <c r="F60" s="10" t="n">
        <f aca="false">IF(AND(C60=0,D60=0),0,IF(C60=0,"New",(D60-C60)/C60))</f>
        <v>-0.406961178045515</v>
      </c>
      <c r="G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12637.2</v>
      </c>
      <c r="H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7781.1</v>
      </c>
      <c r="I60" s="11" t="n">
        <f aca="false">H60-G60</f>
        <v>-4856.1</v>
      </c>
      <c r="J60" s="10" t="n">
        <f aca="false">IF(AND(G60=0,H60=0),0,IF(G60=0,"New",(H60-G60)/G60))</f>
        <v>-0.384270249738866</v>
      </c>
    </row>
    <row r="61" customFormat="false" ht="15" hidden="false" customHeight="true" outlineLevel="0" collapsed="false">
      <c r="A61" s="8" t="s">
        <v>109</v>
      </c>
      <c r="B61" s="8" t="str">
        <f aca="false">IFERROR(INDEX('Source 2026'!$C:$C,MATCH($A61,'Source 2026'!$B:$B,0)),IFERROR(INDEX('Source 2025'!$C:$C,MATCH($A61,'Source 2025'!$B:$B,0)),""))</f>
        <v>L סד לילה שחור לבוהן שמאל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102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33</v>
      </c>
      <c r="E61" s="9" t="n">
        <f aca="false">D61-C61</f>
        <v>-69</v>
      </c>
      <c r="F61" s="10" t="n">
        <f aca="false">IF(AND(C61=0,D61=0),0,IF(C61=0,"New",(D61-C61)/C61))</f>
        <v>-0.676470588235294</v>
      </c>
      <c r="G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7070.3</v>
      </c>
      <c r="H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2279.7</v>
      </c>
      <c r="I61" s="11" t="n">
        <f aca="false">H61-G61</f>
        <v>-4790.6</v>
      </c>
      <c r="J61" s="10" t="n">
        <f aca="false">IF(AND(G61=0,H61=0),0,IF(G61=0,"New",(H61-G61)/G61))</f>
        <v>-0.677566722769897</v>
      </c>
    </row>
    <row r="62" customFormat="false" ht="15" hidden="false" customHeight="true" outlineLevel="0" collapsed="false">
      <c r="A62" s="8" t="s">
        <v>110</v>
      </c>
      <c r="B62" s="8" t="str">
        <f aca="false">IFERROR(INDEX('Source 2026'!$C:$C,MATCH($A62,'Source 2026'!$B:$B,0)),IFERROR(INDEX('Source 2025'!$C:$C,MATCH($A62,'Source 2025'!$B:$B,0)),""))</f>
        <v>סט פלסטרים נגד שפשופים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316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110</v>
      </c>
      <c r="E62" s="9" t="n">
        <f aca="false">D62-C62</f>
        <v>-206</v>
      </c>
      <c r="F62" s="10" t="n">
        <f aca="false">IF(AND(C62=0,D62=0),0,IF(C62=0,"New",(D62-C62)/C62))</f>
        <v>-0.651898734177215</v>
      </c>
      <c r="G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7117.5</v>
      </c>
      <c r="H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2439.4</v>
      </c>
      <c r="I62" s="11" t="n">
        <f aca="false">H62-G62</f>
        <v>-4678.1</v>
      </c>
      <c r="J62" s="10" t="n">
        <f aca="false">IF(AND(G62=0,H62=0),0,IF(G62=0,"New",(H62-G62)/G62))</f>
        <v>-0.657267298911135</v>
      </c>
    </row>
    <row r="63" customFormat="false" ht="15" hidden="false" customHeight="true" outlineLevel="0" collapsed="false">
      <c r="A63" s="8" t="s">
        <v>111</v>
      </c>
      <c r="B63" s="8" t="str">
        <f aca="false">IFERROR(INDEX('Source 2026'!$C:$C,MATCH($A63,'Source 2026'!$B:$B,0)),IFERROR(INDEX('Source 2025'!$C:$C,MATCH($A63,'Source 2025'!$B:$B,0)),""))</f>
        <v>סד לש.כף יד ימין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413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280</v>
      </c>
      <c r="E63" s="9" t="n">
        <f aca="false">D63-C63</f>
        <v>-133</v>
      </c>
      <c r="F63" s="10" t="n">
        <f aca="false">IF(AND(C63=0,D63=0),0,IF(C63=0,"New",(D63-C63)/C63))</f>
        <v>-0.322033898305085</v>
      </c>
      <c r="G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16528.7</v>
      </c>
      <c r="H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11920.6</v>
      </c>
      <c r="I63" s="11" t="n">
        <f aca="false">H63-G63</f>
        <v>-4608.1</v>
      </c>
      <c r="J63" s="10" t="n">
        <f aca="false">IF(AND(G63=0,H63=0),0,IF(G63=0,"New",(H63-G63)/G63))</f>
        <v>-0.278793855536128</v>
      </c>
    </row>
    <row r="64" customFormat="false" ht="15" hidden="false" customHeight="true" outlineLevel="0" collapsed="false">
      <c r="A64" s="8" t="s">
        <v>112</v>
      </c>
      <c r="B64" s="8" t="str">
        <f aca="false">IFERROR(INDEX('Source 2026'!$C:$C,MATCH($A64,'Source 2026'!$B:$B,0)),IFERROR(INDEX('Source 2025'!$C:$C,MATCH($A64,'Source 2025'!$B:$B,0)),""))</f>
        <v>L מגן מרפק רגיל לבן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472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330</v>
      </c>
      <c r="E64" s="9" t="n">
        <f aca="false">D64-C64</f>
        <v>-142</v>
      </c>
      <c r="F64" s="10" t="n">
        <f aca="false">IF(AND(C64=0,D64=0),0,IF(C64=0,"New",(D64-C64)/C64))</f>
        <v>-0.300847457627119</v>
      </c>
      <c r="G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14014.6</v>
      </c>
      <c r="H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9637.3</v>
      </c>
      <c r="I64" s="11" t="n">
        <f aca="false">H64-G64</f>
        <v>-4377.3</v>
      </c>
      <c r="J64" s="10" t="n">
        <f aca="false">IF(AND(G64=0,H64=0),0,IF(G64=0,"New",(H64-G64)/G64))</f>
        <v>-0.312338561214733</v>
      </c>
    </row>
    <row r="65" customFormat="false" ht="15" hidden="false" customHeight="true" outlineLevel="0" collapsed="false">
      <c r="A65" s="8" t="s">
        <v>113</v>
      </c>
      <c r="B65" s="8" t="str">
        <f aca="false">IFERROR(INDEX('Source 2026'!$C:$C,MATCH($A65,'Source 2026'!$B:$B,0)),IFERROR(INDEX('Source 2025'!$C:$C,MATCH($A65,'Source 2025'!$B:$B,0)),""))</f>
        <v>S ח.בטן לאחר ניתוח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88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44</v>
      </c>
      <c r="E65" s="9" t="n">
        <f aca="false">D65-C65</f>
        <v>-44</v>
      </c>
      <c r="F65" s="10" t="n">
        <f aca="false">IF(AND(C65=0,D65=0),0,IF(C65=0,"New",(D65-C65)/C65))</f>
        <v>-0.5</v>
      </c>
      <c r="G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9183.1</v>
      </c>
      <c r="H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4844.5</v>
      </c>
      <c r="I65" s="11" t="n">
        <f aca="false">H65-G65</f>
        <v>-4338.6</v>
      </c>
      <c r="J65" s="10" t="n">
        <f aca="false">IF(AND(G65=0,H65=0),0,IF(G65=0,"New",(H65-G65)/G65))</f>
        <v>-0.472454835513062</v>
      </c>
    </row>
    <row r="66" customFormat="false" ht="15" hidden="false" customHeight="true" outlineLevel="0" collapsed="false">
      <c r="A66" s="8" t="s">
        <v>114</v>
      </c>
      <c r="B66" s="8" t="str">
        <f aca="false">IFERROR(INDEX('Source 2026'!$C:$C,MATCH($A66,'Source 2026'!$B:$B,0)),IFERROR(INDEX('Source 2025'!$C:$C,MATCH($A66,'Source 2025'!$B:$B,0)),""))</f>
        <v>S-M חבק יד עם צמדןחום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185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69</v>
      </c>
      <c r="E66" s="9" t="n">
        <f aca="false">D66-C66</f>
        <v>-116</v>
      </c>
      <c r="F66" s="10" t="n">
        <f aca="false">IF(AND(C66=0,D66=0),0,IF(C66=0,"New",(D66-C66)/C66))</f>
        <v>-0.627027027027027</v>
      </c>
      <c r="G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6463.6</v>
      </c>
      <c r="H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2144.4</v>
      </c>
      <c r="I66" s="11" t="n">
        <f aca="false">H66-G66</f>
        <v>-4319.2</v>
      </c>
      <c r="J66" s="10" t="n">
        <f aca="false">IF(AND(G66=0,H66=0),0,IF(G66=0,"New",(H66-G66)/G66))</f>
        <v>-0.66823442044681</v>
      </c>
    </row>
    <row r="67" customFormat="false" ht="15" hidden="false" customHeight="true" outlineLevel="0" collapsed="false">
      <c r="A67" s="8" t="s">
        <v>115</v>
      </c>
      <c r="B67" s="8" t="str">
        <f aca="false">IFERROR(INDEX('Source 2026'!$C:$C,MATCH($A67,'Source 2026'!$B:$B,0)),IFERROR(INDEX('Source 2025'!$C:$C,MATCH($A67,'Source 2025'!$B:$B,0)),""))</f>
        <v>S מגן קרסול עקב סגור+רצוע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164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99</v>
      </c>
      <c r="E67" s="9" t="n">
        <f aca="false">D67-C67</f>
        <v>-65</v>
      </c>
      <c r="F67" s="10" t="n">
        <f aca="false">IF(AND(C67=0,D67=0),0,IF(C67=0,"New",(D67-C67)/C67))</f>
        <v>-0.396341463414634</v>
      </c>
      <c r="G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10827.4</v>
      </c>
      <c r="H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6552.7</v>
      </c>
      <c r="I67" s="11" t="n">
        <f aca="false">H67-G67</f>
        <v>-4274.7</v>
      </c>
      <c r="J67" s="10" t="n">
        <f aca="false">IF(AND(G67=0,H67=0),0,IF(G67=0,"New",(H67-G67)/G67))</f>
        <v>-0.394803923379574</v>
      </c>
    </row>
    <row r="68" customFormat="false" ht="15" hidden="false" customHeight="true" outlineLevel="0" collapsed="false">
      <c r="A68" s="8" t="s">
        <v>116</v>
      </c>
      <c r="B68" s="8" t="str">
        <f aca="false">IFERROR(INDEX('Source 2026'!$C:$C,MATCH($A68,'Source 2026'!$B:$B,0)),IFERROR(INDEX('Source 2025'!$C:$C,MATCH($A68,'Source 2025'!$B:$B,0)),""))</f>
        <v>חגורת בטן קלה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224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161</v>
      </c>
      <c r="E68" s="9" t="n">
        <f aca="false">D68-C68</f>
        <v>-63</v>
      </c>
      <c r="F68" s="10" t="n">
        <f aca="false">IF(AND(C68=0,D68=0),0,IF(C68=0,"New",(D68-C68)/C68))</f>
        <v>-0.28125</v>
      </c>
      <c r="G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14959.2</v>
      </c>
      <c r="H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10810.9</v>
      </c>
      <c r="I68" s="11" t="n">
        <f aca="false">H68-G68</f>
        <v>-4148.3</v>
      </c>
      <c r="J68" s="10" t="n">
        <f aca="false">IF(AND(G68=0,H68=0),0,IF(G68=0,"New",(H68-G68)/G68))</f>
        <v>-0.277307610032622</v>
      </c>
    </row>
    <row r="69" customFormat="false" ht="15" hidden="false" customHeight="true" outlineLevel="0" collapsed="false">
      <c r="A69" s="8" t="s">
        <v>117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309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164</v>
      </c>
      <c r="E69" s="9" t="n">
        <f aca="false">D69-C69</f>
        <v>-145</v>
      </c>
      <c r="F69" s="10" t="n">
        <f aca="false">IF(AND(C69=0,D69=0),0,IF(C69=0,"New",(D69-C69)/C69))</f>
        <v>-0.469255663430421</v>
      </c>
      <c r="G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8696.6</v>
      </c>
      <c r="H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4670.1</v>
      </c>
      <c r="I69" s="11" t="n">
        <f aca="false">H69-G69</f>
        <v>-4026.5</v>
      </c>
      <c r="J69" s="10" t="n">
        <f aca="false">IF(AND(G69=0,H69=0),0,IF(G69=0,"New",(H69-G69)/G69))</f>
        <v>-0.462997033323368</v>
      </c>
    </row>
    <row r="70" customFormat="false" ht="15" hidden="false" customHeight="true" outlineLevel="0" collapsed="false">
      <c r="A70" s="8" t="s">
        <v>118</v>
      </c>
      <c r="B70" s="8" t="str">
        <f aca="false">IFERROR(INDEX('Source 2026'!$C:$C,MATCH($A70,'Source 2026'!$B:$B,0)),IFERROR(INDEX('Source 2025'!$C:$C,MATCH($A70,'Source 2025'!$B:$B,0)),""))</f>
        <v>L מגן מרפק שחור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479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330</v>
      </c>
      <c r="E70" s="9" t="n">
        <f aca="false">D70-C70</f>
        <v>-149</v>
      </c>
      <c r="F70" s="10" t="n">
        <f aca="false">IF(AND(C70=0,D70=0),0,IF(C70=0,"New",(D70-C70)/C70))</f>
        <v>-0.311064718162839</v>
      </c>
      <c r="G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14087.2</v>
      </c>
      <c r="H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10062</v>
      </c>
      <c r="I70" s="11" t="n">
        <f aca="false">H70-G70</f>
        <v>-4025.2</v>
      </c>
      <c r="J70" s="10" t="n">
        <f aca="false">IF(AND(G70=0,H70=0),0,IF(G70=0,"New",(H70-G70)/G70))</f>
        <v>-0.285734567550684</v>
      </c>
    </row>
    <row r="71" customFormat="false" ht="15" hidden="false" customHeight="true" outlineLevel="0" collapsed="false">
      <c r="A71" s="8" t="s">
        <v>119</v>
      </c>
      <c r="B71" s="8" t="str">
        <f aca="false">IFERROR(INDEX('Source 2026'!$C:$C,MATCH($A71,'Source 2026'!$B:$B,0)),IFERROR(INDEX('Source 2025'!$C:$C,MATCH($A71,'Source 2025'!$B:$B,0)),""))</f>
        <v>אמבט לכף הרגל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390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95</v>
      </c>
      <c r="E71" s="9" t="n">
        <f aca="false">D71-C71</f>
        <v>-295</v>
      </c>
      <c r="F71" s="10" t="n">
        <f aca="false">IF(AND(C71=0,D71=0),0,IF(C71=0,"New",(D71-C71)/C71))</f>
        <v>-0.756410256410256</v>
      </c>
      <c r="G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5137.1</v>
      </c>
      <c r="H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1292.3</v>
      </c>
      <c r="I71" s="11" t="n">
        <f aca="false">H71-G71</f>
        <v>-3844.8</v>
      </c>
      <c r="J71" s="10" t="n">
        <f aca="false">IF(AND(G71=0,H71=0),0,IF(G71=0,"New",(H71-G71)/G71))</f>
        <v>-0.748437834575928</v>
      </c>
    </row>
    <row r="72" customFormat="false" ht="15" hidden="false" customHeight="true" outlineLevel="0" collapsed="false">
      <c r="A72" s="8" t="s">
        <v>120</v>
      </c>
      <c r="B72" s="8" t="str">
        <f aca="false">IFERROR(INDEX('Source 2026'!$C:$C,MATCH($A72,'Source 2026'!$B:$B,0)),IFERROR(INDEX('Source 2025'!$C:$C,MATCH($A72,'Source 2025'!$B:$B,0)),""))</f>
        <v>שרוול מטטרזלי מסיליקון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161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92</v>
      </c>
      <c r="E72" s="9" t="n">
        <f aca="false">D72-C72</f>
        <v>-69</v>
      </c>
      <c r="F72" s="10" t="n">
        <f aca="false">IF(AND(C72=0,D72=0),0,IF(C72=0,"New",(D72-C72)/C72))</f>
        <v>-0.428571428571429</v>
      </c>
      <c r="G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9236.9</v>
      </c>
      <c r="H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5406.7</v>
      </c>
      <c r="I72" s="11" t="n">
        <f aca="false">H72-G72</f>
        <v>-3830.2</v>
      </c>
      <c r="J72" s="10" t="n">
        <f aca="false">IF(AND(G72=0,H72=0),0,IF(G72=0,"New",(H72-G72)/G72))</f>
        <v>-0.414662928038628</v>
      </c>
    </row>
    <row r="73" customFormat="false" ht="15" hidden="false" customHeight="true" outlineLevel="0" collapsed="false">
      <c r="A73" s="8" t="s">
        <v>121</v>
      </c>
      <c r="B73" s="8" t="str">
        <f aca="false">IFERROR(INDEX('Source 2026'!$C:$C,MATCH($A73,'Source 2026'!$B:$B,0)),IFERROR(INDEX('Source 2025'!$C:$C,MATCH($A73,'Source 2025'!$B:$B,0)),""))</f>
        <v>תחבושת א.נצמ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928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513</v>
      </c>
      <c r="E73" s="9" t="n">
        <f aca="false">D73-C73</f>
        <v>-415</v>
      </c>
      <c r="F73" s="10" t="n">
        <f aca="false">IF(AND(C73=0,D73=0),0,IF(C73=0,"New",(D73-C73)/C73))</f>
        <v>-0.447198275862069</v>
      </c>
      <c r="G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9313.1</v>
      </c>
      <c r="H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5672.9</v>
      </c>
      <c r="I73" s="11" t="n">
        <f aca="false">H73-G73</f>
        <v>-3640.2</v>
      </c>
      <c r="J73" s="10" t="n">
        <f aca="false">IF(AND(G73=0,H73=0),0,IF(G73=0,"New",(H73-G73)/G73))</f>
        <v>-0.39086877623992</v>
      </c>
    </row>
    <row r="74" customFormat="false" ht="15" hidden="false" customHeight="true" outlineLevel="0" collapsed="false">
      <c r="A74" s="8" t="s">
        <v>122</v>
      </c>
      <c r="B74" s="8" t="str">
        <f aca="false">IFERROR(INDEX('Source 2026'!$C:$C,MATCH($A74,'Source 2026'!$B:$B,0)),IFERROR(INDEX('Source 2025'!$C:$C,MATCH($A74,'Source 2025'!$B:$B,0)),""))</f>
        <v>מגן ברך עם תמיכות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555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496</v>
      </c>
      <c r="E74" s="9" t="n">
        <f aca="false">D74-C74</f>
        <v>-59</v>
      </c>
      <c r="F74" s="10" t="n">
        <f aca="false">IF(AND(C74=0,D74=0),0,IF(C74=0,"New",(D74-C74)/C74))</f>
        <v>-0.106306306306306</v>
      </c>
      <c r="G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36987</v>
      </c>
      <c r="H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33520.5</v>
      </c>
      <c r="I74" s="11" t="n">
        <f aca="false">H74-G74</f>
        <v>-3466.5</v>
      </c>
      <c r="J74" s="10" t="n">
        <f aca="false">IF(AND(G74=0,H74=0),0,IF(G74=0,"New",(H74-G74)/G74))</f>
        <v>-0.0937221185822046</v>
      </c>
    </row>
    <row r="75" customFormat="false" ht="15" hidden="false" customHeight="true" outlineLevel="0" collapsed="false">
      <c r="A75" s="8" t="s">
        <v>123</v>
      </c>
      <c r="B75" s="8" t="str">
        <f aca="false">IFERROR(INDEX('Source 2026'!$C:$C,MATCH($A75,'Source 2026'!$B:$B,0)),IFERROR(INDEX('Source 2025'!$C:$C,MATCH($A75,'Source 2025'!$B:$B,0)),""))</f>
        <v>חגורת גב +סגירה כפולה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64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32</v>
      </c>
      <c r="E75" s="9" t="n">
        <f aca="false">D75-C75</f>
        <v>-32</v>
      </c>
      <c r="F75" s="10" t="n">
        <f aca="false">IF(AND(C75=0,D75=0),0,IF(C75=0,"New",(D75-C75)/C75))</f>
        <v>-0.5</v>
      </c>
      <c r="G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6752.6</v>
      </c>
      <c r="H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3393.7</v>
      </c>
      <c r="I75" s="11" t="n">
        <f aca="false">H75-G75</f>
        <v>-3358.9</v>
      </c>
      <c r="J75" s="10" t="n">
        <f aca="false">IF(AND(G75=0,H75=0),0,IF(G75=0,"New",(H75-G75)/G75))</f>
        <v>-0.497423214761721</v>
      </c>
    </row>
    <row r="76" customFormat="false" ht="15" hidden="false" customHeight="true" outlineLevel="0" collapsed="false">
      <c r="A76" s="8" t="s">
        <v>124</v>
      </c>
      <c r="B76" s="8" t="str">
        <f aca="false">IFERROR(INDEX('Source 2026'!$C:$C,MATCH($A76,'Source 2026'!$B:$B,0)),IFERROR(INDEX('Source 2025'!$C:$C,MATCH($A76,'Source 2025'!$B:$B,0)),""))</f>
        <v>רפידת אנטי ריח -זוג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629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386</v>
      </c>
      <c r="E76" s="9" t="n">
        <f aca="false">D76-C76</f>
        <v>-243</v>
      </c>
      <c r="F76" s="10" t="n">
        <f aca="false">IF(AND(C76=0,D76=0),0,IF(C76=0,"New",(D76-C76)/C76))</f>
        <v>-0.386327503974563</v>
      </c>
      <c r="G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8964.7</v>
      </c>
      <c r="H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5636.2</v>
      </c>
      <c r="I76" s="11" t="n">
        <f aca="false">H76-G76</f>
        <v>-3328.5</v>
      </c>
      <c r="J76" s="10" t="n">
        <f aca="false">IF(AND(G76=0,H76=0),0,IF(G76=0,"New",(H76-G76)/G76))</f>
        <v>-0.371289613707096</v>
      </c>
    </row>
    <row r="77" customFormat="false" ht="15" hidden="false" customHeight="true" outlineLevel="0" collapsed="false">
      <c r="A77" s="8" t="s">
        <v>125</v>
      </c>
      <c r="B77" s="8" t="str">
        <f aca="false">IFERROR(INDEX('Source 2026'!$C:$C,MATCH($A77,'Source 2026'!$B:$B,0)),IFERROR(INDEX('Source 2025'!$C:$C,MATCH($A77,'Source 2025'!$B:$B,0)),""))</f>
        <v>גרבי ג'ל לריכוך עור העקב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110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20</v>
      </c>
      <c r="E77" s="9" t="n">
        <f aca="false">D77-C77</f>
        <v>-90</v>
      </c>
      <c r="F77" s="10" t="n">
        <f aca="false">IF(AND(C77=0,D77=0),0,IF(C77=0,"New",(D77-C77)/C77))</f>
        <v>-0.818181818181818</v>
      </c>
      <c r="G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4004.4</v>
      </c>
      <c r="H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693.6</v>
      </c>
      <c r="I77" s="11" t="n">
        <f aca="false">H77-G77</f>
        <v>-3310.8</v>
      </c>
      <c r="J77" s="10" t="n">
        <f aca="false">IF(AND(G77=0,H77=0),0,IF(G77=0,"New",(H77-G77)/G77))</f>
        <v>-0.826790530416542</v>
      </c>
    </row>
    <row r="78" customFormat="false" ht="15" hidden="false" customHeight="true" outlineLevel="0" collapsed="false">
      <c r="A78" s="8" t="s">
        <v>126</v>
      </c>
      <c r="B78" s="8" t="str">
        <f aca="false">IFERROR(INDEX('Source 2026'!$C:$C,MATCH($A78,'Source 2026'!$B:$B,0)),IFERROR(INDEX('Source 2025'!$C:$C,MATCH($A78,'Source 2025'!$B:$B,0)),""))</f>
        <v>S מגן ברך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48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69</v>
      </c>
      <c r="E78" s="9" t="n">
        <f aca="false">D78-C78</f>
        <v>21</v>
      </c>
      <c r="F78" s="10" t="n">
        <f aca="false">IF(AND(C78=0,D78=0),0,IF(C78=0,"New",(D78-C78)/C78))</f>
        <v>0.4375</v>
      </c>
      <c r="G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6443.2</v>
      </c>
      <c r="H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9427.7</v>
      </c>
      <c r="I78" s="11" t="n">
        <f aca="false">H78-G78</f>
        <v>2984.5</v>
      </c>
      <c r="J78" s="10" t="n">
        <f aca="false">IF(AND(G78=0,H78=0),0,IF(G78=0,"New",(H78-G78)/G78))</f>
        <v>0.463201514775267</v>
      </c>
    </row>
    <row r="79" customFormat="false" ht="15" hidden="false" customHeight="true" outlineLevel="0" collapsed="false">
      <c r="A79" s="8" t="s">
        <v>127</v>
      </c>
      <c r="B79" s="8" t="str">
        <f aca="false">IFERROR(INDEX('Source 2026'!$C:$C,MATCH($A79,'Source 2026'!$B:$B,0)),IFERROR(INDEX('Source 2025'!$C:$C,MATCH($A79,'Source 2025'!$B:$B,0)),""))</f>
        <v>אפיק ג'ל מולט.ספורט35-38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55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26</v>
      </c>
      <c r="E79" s="9" t="n">
        <f aca="false">D79-C79</f>
        <v>-29</v>
      </c>
      <c r="F79" s="10" t="n">
        <f aca="false">IF(AND(C79=0,D79=0),0,IF(C79=0,"New",(D79-C79)/C79))</f>
        <v>-0.527272727272727</v>
      </c>
      <c r="G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5662.1</v>
      </c>
      <c r="H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2731.8</v>
      </c>
      <c r="I79" s="11" t="n">
        <f aca="false">H79-G79</f>
        <v>-2930.3</v>
      </c>
      <c r="J79" s="10" t="n">
        <f aca="false">IF(AND(G79=0,H79=0),0,IF(G79=0,"New",(H79-G79)/G79))</f>
        <v>-0.517528832058777</v>
      </c>
    </row>
    <row r="80" customFormat="false" ht="15" hidden="false" customHeight="true" outlineLevel="0" collapsed="false">
      <c r="A80" s="8" t="s">
        <v>128</v>
      </c>
      <c r="B80" s="8" t="str">
        <f aca="false">IFERROR(INDEX('Source 2026'!$C:$C,MATCH($A80,'Source 2026'!$B:$B,0)),IFERROR(INDEX('Source 2025'!$C:$C,MATCH($A80,'Source 2025'!$B:$B,0)),""))</f>
        <v>Lמ.ברך+כרית סיל.סביב לפיקה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17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</v>
      </c>
      <c r="E80" s="9" t="n">
        <f aca="false">D80-C80</f>
        <v>-15</v>
      </c>
      <c r="F80" s="10" t="n">
        <f aca="false">IF(AND(C80=0,D80=0),0,IF(C80=0,"New",(D80-C80)/C80))</f>
        <v>-0.882352941176471</v>
      </c>
      <c r="G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3073.3</v>
      </c>
      <c r="H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349.9</v>
      </c>
      <c r="I80" s="11" t="n">
        <f aca="false">H80-G80</f>
        <v>-2723.4</v>
      </c>
      <c r="J80" s="10" t="n">
        <f aca="false">IF(AND(G80=0,H80=0),0,IF(G80=0,"New",(H80-G80)/G80))</f>
        <v>-0.88614843978785</v>
      </c>
    </row>
    <row r="81" customFormat="false" ht="15" hidden="false" customHeight="true" outlineLevel="0" collapsed="false">
      <c r="A81" s="8" t="s">
        <v>129</v>
      </c>
      <c r="B81" s="8" t="str">
        <f aca="false">IFERROR(INDEX('Source 2026'!$C:$C,MATCH($A81,'Source 2026'!$B:$B,0)),IFERROR(INDEX('Source 2025'!$C:$C,MATCH($A81,'Source 2025'!$B:$B,0)),""))</f>
        <v>S ח.גב ""איטלקית"" אורירית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9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-2</v>
      </c>
      <c r="E81" s="9" t="n">
        <f aca="false">D81-C81</f>
        <v>-11</v>
      </c>
      <c r="F81" s="10" t="n">
        <f aca="false">IF(AND(C81=0,D81=0),0,IF(C81=0,"New",(D81-C81)/C81))</f>
        <v>-1.22222222222222</v>
      </c>
      <c r="G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2234.9</v>
      </c>
      <c r="H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-478.4</v>
      </c>
      <c r="I81" s="11" t="n">
        <f aca="false">H81-G81</f>
        <v>-2713.3</v>
      </c>
      <c r="J81" s="10" t="n">
        <f aca="false">IF(AND(G81=0,H81=0),0,IF(G81=0,"New",(H81-G81)/G81))</f>
        <v>-1.21405879457694</v>
      </c>
    </row>
    <row r="82" customFormat="false" ht="15" hidden="false" customHeight="true" outlineLevel="0" collapsed="false">
      <c r="A82" s="8" t="s">
        <v>130</v>
      </c>
      <c r="B82" s="8" t="str">
        <f aca="false">IFERROR(INDEX('Source 2026'!$C:$C,MATCH($A82,'Source 2026'!$B:$B,0)),IFERROR(INDEX('Source 2025'!$C:$C,MATCH($A82,'Source 2025'!$B:$B,0)),""))</f>
        <v>מגן ברך + צירים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103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73</v>
      </c>
      <c r="E82" s="9" t="n">
        <f aca="false">D82-C82</f>
        <v>-30</v>
      </c>
      <c r="F82" s="10" t="n">
        <f aca="false">IF(AND(C82=0,D82=0),0,IF(C82=0,"New",(D82-C82)/C82))</f>
        <v>-0.29126213592233</v>
      </c>
      <c r="G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9674.1</v>
      </c>
      <c r="H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7022.6</v>
      </c>
      <c r="I82" s="11" t="n">
        <f aca="false">H82-G82</f>
        <v>-2651.5</v>
      </c>
      <c r="J82" s="10" t="n">
        <f aca="false">IF(AND(G82=0,H82=0),0,IF(G82=0,"New",(H82-G82)/G82))</f>
        <v>-0.27408234357718</v>
      </c>
    </row>
    <row r="83" customFormat="false" ht="15" hidden="false" customHeight="true" outlineLevel="0" collapsed="false">
      <c r="A83" s="8" t="s">
        <v>131</v>
      </c>
      <c r="B83" s="8" t="str">
        <f aca="false">IFERROR(INDEX('Source 2026'!$C:$C,MATCH($A83,'Source 2026'!$B:$B,0)),IFERROR(INDEX('Source 2025'!$C:$C,MATCH($A83,'Source 2025'!$B:$B,0)),""))</f>
        <v>גרב.כסף לסכרתים שחור35-38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136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49</v>
      </c>
      <c r="E83" s="9" t="n">
        <f aca="false">D83-C83</f>
        <v>-87</v>
      </c>
      <c r="F83" s="10" t="n">
        <f aca="false">IF(AND(C83=0,D83=0),0,IF(C83=0,"New",(D83-C83)/C83))</f>
        <v>-0.639705882352941</v>
      </c>
      <c r="G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4187.5</v>
      </c>
      <c r="H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1631.3</v>
      </c>
      <c r="I83" s="11" t="n">
        <f aca="false">H83-G83</f>
        <v>-2556.2</v>
      </c>
      <c r="J83" s="10" t="n">
        <f aca="false">IF(AND(G83=0,H83=0),0,IF(G83=0,"New",(H83-G83)/G83))</f>
        <v>-0.610435820895522</v>
      </c>
    </row>
    <row r="84" customFormat="false" ht="15" hidden="false" customHeight="true" outlineLevel="0" collapsed="false">
      <c r="A84" s="8" t="s">
        <v>132</v>
      </c>
      <c r="B84" s="8" t="str">
        <f aca="false">IFERROR(INDEX('Source 2026'!$C:$C,MATCH($A84,'Source 2026'!$B:$B,0)),IFERROR(INDEX('Source 2025'!$C:$C,MATCH($A84,'Source 2025'!$B:$B,0)),""))</f>
        <v>תחבושת א.נצמ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471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192</v>
      </c>
      <c r="E84" s="9" t="n">
        <f aca="false">D84-C84</f>
        <v>-279</v>
      </c>
      <c r="F84" s="10" t="n">
        <f aca="false">IF(AND(C84=0,D84=0),0,IF(C84=0,"New",(D84-C84)/C84))</f>
        <v>-0.592356687898089</v>
      </c>
      <c r="G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4693.4</v>
      </c>
      <c r="H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2138.5</v>
      </c>
      <c r="I84" s="11" t="n">
        <f aca="false">H84-G84</f>
        <v>-2554.9</v>
      </c>
      <c r="J84" s="10" t="n">
        <f aca="false">IF(AND(G84=0,H84=0),0,IF(G84=0,"New",(H84-G84)/G84))</f>
        <v>-0.544360165338561</v>
      </c>
    </row>
    <row r="85" customFormat="false" ht="15" hidden="false" customHeight="true" outlineLevel="0" collapsed="false">
      <c r="A85" s="8" t="s">
        <v>133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476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180</v>
      </c>
      <c r="E85" s="9" t="n">
        <f aca="false">D85-C85</f>
        <v>-296</v>
      </c>
      <c r="F85" s="10" t="n">
        <f aca="false">IF(AND(C85=0,D85=0),0,IF(C85=0,"New",(D85-C85)/C85))</f>
        <v>-0.621848739495798</v>
      </c>
      <c r="G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4540.6</v>
      </c>
      <c r="H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2001.6</v>
      </c>
      <c r="I85" s="11" t="n">
        <f aca="false">H85-G85</f>
        <v>-2539</v>
      </c>
      <c r="J85" s="10" t="n">
        <f aca="false">IF(AND(G85=0,H85=0),0,IF(G85=0,"New",(H85-G85)/G85))</f>
        <v>-0.559177201250936</v>
      </c>
    </row>
    <row r="86" customFormat="false" ht="15" hidden="false" customHeight="true" outlineLevel="0" collapsed="false">
      <c r="A86" s="8" t="s">
        <v>134</v>
      </c>
      <c r="B86" s="8" t="str">
        <f aca="false">IFERROR(INDEX('Source 2026'!$C:$C,MATCH($A86,'Source 2026'!$B:$B,0)),IFERROR(INDEX('Source 2025'!$C:$C,MATCH($A86,'Source 2025'!$B:$B,0)),""))</f>
        <v>S מגן קרסול מתכוון עם סקוטש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39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0</v>
      </c>
      <c r="E86" s="9" t="n">
        <f aca="false">D86-C86</f>
        <v>-39</v>
      </c>
      <c r="F86" s="10" t="n">
        <f aca="false">IF(AND(C86=0,D86=0),0,IF(C86=0,"New",(D86-C86)/C86))</f>
        <v>-1</v>
      </c>
      <c r="G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2520.7</v>
      </c>
      <c r="H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0</v>
      </c>
      <c r="I86" s="11" t="n">
        <f aca="false">H86-G86</f>
        <v>-2520.7</v>
      </c>
      <c r="J86" s="10" t="n">
        <f aca="false">IF(AND(G86=0,H86=0),0,IF(G86=0,"New",(H86-G86)/G86))</f>
        <v>-1</v>
      </c>
    </row>
    <row r="87" customFormat="false" ht="15" hidden="false" customHeight="true" outlineLevel="0" collapsed="false">
      <c r="A87" s="8" t="s">
        <v>135</v>
      </c>
      <c r="B87" s="8" t="str">
        <f aca="false">IFERROR(INDEX('Source 2026'!$C:$C,MATCH($A87,'Source 2026'!$B:$B,0)),IFERROR(INDEX('Source 2025'!$C:$C,MATCH($A87,'Source 2025'!$B:$B,0)),""))</f>
        <v>S-Lטבעת אלסטית מסיליקון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666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477</v>
      </c>
      <c r="E87" s="9" t="n">
        <f aca="false">D87-C87</f>
        <v>-189</v>
      </c>
      <c r="F87" s="10" t="n">
        <f aca="false">IF(AND(C87=0,D87=0),0,IF(C87=0,"New",(D87-C87)/C87))</f>
        <v>-0.283783783783784</v>
      </c>
      <c r="G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8890.8</v>
      </c>
      <c r="H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6371.4</v>
      </c>
      <c r="I87" s="11" t="n">
        <f aca="false">H87-G87</f>
        <v>-2519.4</v>
      </c>
      <c r="J87" s="10" t="n">
        <f aca="false">IF(AND(G87=0,H87=0),0,IF(G87=0,"New",(H87-G87)/G87))</f>
        <v>-0.283371575111351</v>
      </c>
    </row>
    <row r="88" customFormat="false" ht="15" hidden="false" customHeight="true" outlineLevel="0" collapsed="false">
      <c r="A88" s="8" t="s">
        <v>136</v>
      </c>
      <c r="B88" s="8" t="str">
        <f aca="false">IFERROR(INDEX('Source 2026'!$C:$C,MATCH($A88,'Source 2026'!$B:$B,0)),IFERROR(INDEX('Source 2025'!$C:$C,MATCH($A88,'Source 2025'!$B:$B,0)),""))</f>
        <v>מגן מרפק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231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158</v>
      </c>
      <c r="E88" s="9" t="n">
        <f aca="false">D88-C88</f>
        <v>-73</v>
      </c>
      <c r="F88" s="10" t="n">
        <f aca="false">IF(AND(C88=0,D88=0),0,IF(C88=0,"New",(D88-C88)/C88))</f>
        <v>-0.316017316017316</v>
      </c>
      <c r="G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8400.9</v>
      </c>
      <c r="H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5971.7</v>
      </c>
      <c r="I88" s="11" t="n">
        <f aca="false">H88-G88</f>
        <v>-2429.2</v>
      </c>
      <c r="J88" s="10" t="n">
        <f aca="false">IF(AND(G88=0,H88=0),0,IF(G88=0,"New",(H88-G88)/G88))</f>
        <v>-0.289159494816032</v>
      </c>
    </row>
    <row r="89" customFormat="false" ht="15" hidden="false" customHeight="true" outlineLevel="0" collapsed="false">
      <c r="A89" s="8" t="s">
        <v>137</v>
      </c>
      <c r="B89" s="8" t="str">
        <f aca="false">IFERROR(INDEX('Source 2026'!$C:$C,MATCH($A89,'Source 2026'!$B:$B,0)),IFERROR(INDEX('Source 2025'!$C:$C,MATCH($A89,'Source 2025'!$B:$B,0)),""))</f>
        <v>בוהן סיליקון קשיח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167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46</v>
      </c>
      <c r="E89" s="9" t="n">
        <f aca="false">D89-C89</f>
        <v>-121</v>
      </c>
      <c r="F89" s="10" t="n">
        <f aca="false">IF(AND(C89=0,D89=0),0,IF(C89=0,"New",(D89-C89)/C89))</f>
        <v>-0.724550898203593</v>
      </c>
      <c r="G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3307.6</v>
      </c>
      <c r="H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913.3</v>
      </c>
      <c r="I89" s="11" t="n">
        <f aca="false">H89-G89</f>
        <v>-2394.3</v>
      </c>
      <c r="J89" s="10" t="n">
        <f aca="false">IF(AND(G89=0,H89=0),0,IF(G89=0,"New",(H89-G89)/G89))</f>
        <v>-0.723878340790906</v>
      </c>
    </row>
    <row r="90" customFormat="false" ht="15" hidden="false" customHeight="true" outlineLevel="0" collapsed="false">
      <c r="A90" s="8" t="s">
        <v>138</v>
      </c>
      <c r="B90" s="8" t="str">
        <f aca="false">IFERROR(INDEX('Source 2026'!$C:$C,MATCH($A90,'Source 2026'!$B:$B,0)),IFERROR(INDEX('Source 2025'!$C:$C,MATCH($A90,'Source 2025'!$B:$B,0)),""))</f>
        <v>חבק טניס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394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314</v>
      </c>
      <c r="E90" s="9" t="n">
        <f aca="false">D90-C90</f>
        <v>-80</v>
      </c>
      <c r="F90" s="10" t="n">
        <f aca="false">IF(AND(C90=0,D90=0),0,IF(C90=0,"New",(D90-C90)/C90))</f>
        <v>-0.203045685279188</v>
      </c>
      <c r="G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14192.7</v>
      </c>
      <c r="H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11799.5</v>
      </c>
      <c r="I90" s="11" t="n">
        <f aca="false">H90-G90</f>
        <v>-2393.2</v>
      </c>
      <c r="J90" s="10" t="n">
        <f aca="false">IF(AND(G90=0,H90=0),0,IF(G90=0,"New",(H90-G90)/G90))</f>
        <v>-0.16862189717249</v>
      </c>
    </row>
    <row r="91" customFormat="false" ht="15" hidden="false" customHeight="true" outlineLevel="0" collapsed="false">
      <c r="A91" s="8" t="s">
        <v>139</v>
      </c>
      <c r="B91" s="8" t="str">
        <f aca="false">IFERROR(INDEX('Source 2026'!$C:$C,MATCH($A91,'Source 2026'!$B:$B,0)),IFERROR(INDEX('Source 2025'!$C:$C,MATCH($A91,'Source 2025'!$B:$B,0)),""))</f>
        <v>נצמדת כחול20מ""מ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400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124</v>
      </c>
      <c r="E91" s="9" t="n">
        <f aca="false">D91-C91</f>
        <v>-276</v>
      </c>
      <c r="F91" s="10" t="n">
        <f aca="false">IF(AND(C91=0,D91=0),0,IF(C91=0,"New",(D91-C91)/C91))</f>
        <v>-0.69</v>
      </c>
      <c r="G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3741.1</v>
      </c>
      <c r="H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1388.3</v>
      </c>
      <c r="I91" s="11" t="n">
        <f aca="false">H91-G91</f>
        <v>-2352.8</v>
      </c>
      <c r="J91" s="10" t="n">
        <f aca="false">IF(AND(G91=0,H91=0),0,IF(G91=0,"New",(H91-G91)/G91))</f>
        <v>-0.628905936756569</v>
      </c>
    </row>
    <row r="92" customFormat="false" ht="15" hidden="false" customHeight="true" outlineLevel="0" collapsed="false">
      <c r="A92" s="8" t="s">
        <v>140</v>
      </c>
      <c r="B92" s="8" t="str">
        <f aca="false">IFERROR(INDEX('Source 2026'!$C:$C,MATCH($A92,'Source 2026'!$B:$B,0)),IFERROR(INDEX('Source 2025'!$C:$C,MATCH($A92,'Source 2025'!$B:$B,0)),""))</f>
        <v>M מדרס ג'ל ספורט לגבר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-1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39</v>
      </c>
      <c r="E92" s="9" t="n">
        <f aca="false">D92-C92</f>
        <v>40</v>
      </c>
      <c r="F92" s="10" t="n">
        <f aca="false">IF(AND(C92=0,D92=0),0,IF(C92=0,"New",(D92-C92)/C92))</f>
        <v>-40</v>
      </c>
      <c r="G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-88.5</v>
      </c>
      <c r="H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2191.9</v>
      </c>
      <c r="I92" s="11" t="n">
        <f aca="false">H92-G92</f>
        <v>2280.4</v>
      </c>
      <c r="J92" s="10" t="n">
        <f aca="false">IF(AND(G92=0,H92=0),0,IF(G92=0,"New",(H92-G92)/G92))</f>
        <v>-25.7672316384181</v>
      </c>
    </row>
    <row r="93" customFormat="false" ht="15" hidden="false" customHeight="true" outlineLevel="0" collapsed="false">
      <c r="A93" s="8" t="s">
        <v>141</v>
      </c>
      <c r="B93" s="8" t="str">
        <f aca="false">IFERROR(INDEX('Source 2026'!$C:$C,MATCH($A93,'Source 2026'!$B:$B,0)),IFERROR(INDEX('Source 2025'!$C:$C,MATCH($A93,'Source 2025'!$B:$B,0)),""))</f>
        <v>S חבק יד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35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57</v>
      </c>
      <c r="E93" s="9" t="n">
        <f aca="false">D93-C93</f>
        <v>22</v>
      </c>
      <c r="F93" s="10" t="n">
        <f aca="false">IF(AND(C93=0,D93=0),0,IF(C93=0,"New",(D93-C93)/C93))</f>
        <v>0.628571428571429</v>
      </c>
      <c r="G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2874.7</v>
      </c>
      <c r="H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5149.6</v>
      </c>
      <c r="I93" s="11" t="n">
        <f aca="false">H93-G93</f>
        <v>2274.9</v>
      </c>
      <c r="J93" s="10" t="n">
        <f aca="false">IF(AND(G93=0,H93=0),0,IF(G93=0,"New",(H93-G93)/G93))</f>
        <v>0.791352141092984</v>
      </c>
    </row>
    <row r="94" customFormat="false" ht="15" hidden="false" customHeight="true" outlineLevel="0" collapsed="false">
      <c r="A94" s="8" t="s">
        <v>142</v>
      </c>
      <c r="B94" s="8" t="str">
        <f aca="false">IFERROR(INDEX('Source 2026'!$C:$C,MATCH($A94,'Source 2026'!$B:$B,0)),IFERROR(INDEX('Source 2025'!$C:$C,MATCH($A94,'Source 2025'!$B:$B,0)),""))</f>
        <v>S-M סד לאגודל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135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101</v>
      </c>
      <c r="E94" s="9" t="n">
        <f aca="false">D94-C94</f>
        <v>-34</v>
      </c>
      <c r="F94" s="10" t="n">
        <f aca="false">IF(AND(C94=0,D94=0),0,IF(C94=0,"New",(D94-C94)/C94))</f>
        <v>-0.251851851851852</v>
      </c>
      <c r="G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9104.6</v>
      </c>
      <c r="H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6859.8</v>
      </c>
      <c r="I94" s="11" t="n">
        <f aca="false">H94-G94</f>
        <v>-2244.8</v>
      </c>
      <c r="J94" s="10" t="n">
        <f aca="false">IF(AND(G94=0,H94=0),0,IF(G94=0,"New",(H94-G94)/G94))</f>
        <v>-0.246556685631439</v>
      </c>
    </row>
    <row r="95" customFormat="false" ht="15" hidden="false" customHeight="true" outlineLevel="0" collapsed="false">
      <c r="A95" s="8" t="s">
        <v>143</v>
      </c>
      <c r="B95" s="8" t="str">
        <f aca="false">IFERROR(INDEX('Source 2026'!$C:$C,MATCH($A95,'Source 2026'!$B:$B,0)),IFERROR(INDEX('Source 2025'!$C:$C,MATCH($A95,'Source 2025'!$B:$B,0)),""))</f>
        <v>בליסטר פלסטר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343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222</v>
      </c>
      <c r="E95" s="9" t="n">
        <f aca="false">D95-C95</f>
        <v>-121</v>
      </c>
      <c r="F95" s="10" t="n">
        <f aca="false">IF(AND(C95=0,D95=0),0,IF(C95=0,"New",(D95-C95)/C95))</f>
        <v>-0.352769679300292</v>
      </c>
      <c r="G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6288.6</v>
      </c>
      <c r="H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4074.7</v>
      </c>
      <c r="I95" s="11" t="n">
        <f aca="false">H95-G95</f>
        <v>-2213.9</v>
      </c>
      <c r="J95" s="10" t="n">
        <f aca="false">IF(AND(G95=0,H95=0),0,IF(G95=0,"New",(H95-G95)/G95))</f>
        <v>-0.352049740800814</v>
      </c>
    </row>
    <row r="96" customFormat="false" ht="15" hidden="false" customHeight="true" outlineLevel="0" collapsed="false">
      <c r="A96" s="8" t="s">
        <v>144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122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53</v>
      </c>
      <c r="E96" s="9" t="n">
        <f aca="false">D96-C96</f>
        <v>-69</v>
      </c>
      <c r="F96" s="10" t="n">
        <f aca="false">IF(AND(C96=0,D96=0),0,IF(C96=0,"New",(D96-C96)/C96))</f>
        <v>-0.565573770491803</v>
      </c>
      <c r="G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4038.6</v>
      </c>
      <c r="H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1827.6</v>
      </c>
      <c r="I96" s="11" t="n">
        <f aca="false">H96-G96</f>
        <v>-2211</v>
      </c>
      <c r="J96" s="10" t="n">
        <f aca="false">IF(AND(G96=0,H96=0),0,IF(G96=0,"New",(H96-G96)/G96))</f>
        <v>-0.547466943990492</v>
      </c>
    </row>
    <row r="97" customFormat="false" ht="15" hidden="false" customHeight="true" outlineLevel="0" collapsed="false">
      <c r="A97" s="8" t="s">
        <v>145</v>
      </c>
      <c r="B97" s="8" t="str">
        <f aca="false">IFERROR(INDEX('Source 2026'!$C:$C,MATCH($A97,'Source 2026'!$B:$B,0)),IFERROR(INDEX('Source 2025'!$C:$C,MATCH($A97,'Source 2025'!$B:$B,0)),""))</f>
        <v>כרית ליישור אצבע פטיש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222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136</v>
      </c>
      <c r="E97" s="9" t="n">
        <f aca="false">D97-C97</f>
        <v>-86</v>
      </c>
      <c r="F97" s="10" t="n">
        <f aca="false">IF(AND(C97=0,D97=0),0,IF(C97=0,"New",(D97-C97)/C97))</f>
        <v>-0.387387387387387</v>
      </c>
      <c r="G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5823</v>
      </c>
      <c r="H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3638.9</v>
      </c>
      <c r="I97" s="11" t="n">
        <f aca="false">H97-G97</f>
        <v>-2184.1</v>
      </c>
      <c r="J97" s="10" t="n">
        <f aca="false">IF(AND(G97=0,H97=0),0,IF(G97=0,"New",(H97-G97)/G97))</f>
        <v>-0.3750815730723</v>
      </c>
    </row>
    <row r="98" customFormat="false" ht="15" hidden="false" customHeight="true" outlineLevel="0" collapsed="false">
      <c r="A98" s="8" t="s">
        <v>146</v>
      </c>
      <c r="B98" s="8" t="str">
        <f aca="false">IFERROR(INDEX('Source 2026'!$C:$C,MATCH($A98,'Source 2026'!$B:$B,0)),IFERROR(INDEX('Source 2025'!$C:$C,MATCH($A98,'Source 2025'!$B:$B,0)),""))</f>
        <v>גרב.כסף לסכרתים אפור35-38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84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0</v>
      </c>
      <c r="E98" s="9" t="n">
        <f aca="false">D98-C98</f>
        <v>-84</v>
      </c>
      <c r="F98" s="10" t="n">
        <f aca="false">IF(AND(C98=0,D98=0),0,IF(C98=0,"New",(D98-C98)/C98))</f>
        <v>-1</v>
      </c>
      <c r="G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2147.5</v>
      </c>
      <c r="H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0</v>
      </c>
      <c r="I98" s="11" t="n">
        <f aca="false">H98-G98</f>
        <v>-2147.5</v>
      </c>
      <c r="J98" s="10" t="n">
        <f aca="false">IF(AND(G98=0,H98=0),0,IF(G98=0,"New",(H98-G98)/G98))</f>
        <v>-1</v>
      </c>
    </row>
    <row r="99" customFormat="false" ht="15" hidden="false" customHeight="true" outlineLevel="0" collapsed="false">
      <c r="A99" s="8" t="s">
        <v>147</v>
      </c>
      <c r="B99" s="8" t="str">
        <f aca="false">IFERROR(INDEX('Source 2026'!$C:$C,MATCH($A99,'Source 2026'!$B:$B,0)),IFERROR(INDEX('Source 2025'!$C:$C,MATCH($A99,'Source 2025'!$B:$B,0)),""))</f>
        <v>מדרסי אפיק ג'ל נוחות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46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25</v>
      </c>
      <c r="E99" s="9" t="n">
        <f aca="false">D99-C99</f>
        <v>-21</v>
      </c>
      <c r="F99" s="10" t="n">
        <f aca="false">IF(AND(C99=0,D99=0),0,IF(C99=0,"New",(D99-C99)/C99))</f>
        <v>-0.456521739130435</v>
      </c>
      <c r="G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4743.4</v>
      </c>
      <c r="H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2619.6</v>
      </c>
      <c r="I99" s="11" t="n">
        <f aca="false">H99-G99</f>
        <v>-2123.8</v>
      </c>
      <c r="J99" s="10" t="n">
        <f aca="false">IF(AND(G99=0,H99=0),0,IF(G99=0,"New",(H99-G99)/G99))</f>
        <v>-0.447737909516381</v>
      </c>
    </row>
    <row r="100" customFormat="false" ht="15" hidden="false" customHeight="true" outlineLevel="0" collapsed="false">
      <c r="A100" s="8" t="s">
        <v>148</v>
      </c>
      <c r="B100" s="8" t="str">
        <f aca="false">IFERROR(INDEX('Source 2026'!$C:$C,MATCH($A100,'Source 2026'!$B:$B,0)),IFERROR(INDEX('Source 2025'!$C:$C,MATCH($A100,'Source 2025'!$B:$B,0)),""))</f>
        <v>S-M חגורת גב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34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19</v>
      </c>
      <c r="E100" s="9" t="n">
        <f aca="false">D100-C100</f>
        <v>-15</v>
      </c>
      <c r="F100" s="10" t="n">
        <f aca="false">IF(AND(C100=0,D100=0),0,IF(C100=0,"New",(D100-C100)/C100))</f>
        <v>-0.441176470588235</v>
      </c>
      <c r="G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4847.2</v>
      </c>
      <c r="H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2726.7</v>
      </c>
      <c r="I100" s="11" t="n">
        <f aca="false">H100-G100</f>
        <v>-2120.5</v>
      </c>
      <c r="J100" s="10" t="n">
        <f aca="false">IF(AND(G100=0,H100=0),0,IF(G100=0,"New",(H100-G100)/G100))</f>
        <v>-0.43746905429939</v>
      </c>
    </row>
    <row r="101" customFormat="false" ht="15" hidden="false" customHeight="true" outlineLevel="0" collapsed="false">
      <c r="A101" s="8" t="s">
        <v>149</v>
      </c>
      <c r="B101" s="8" t="str">
        <f aca="false">IFERROR(INDEX('Source 2026'!$C:$C,MATCH($A101,'Source 2026'!$B:$B,0)),IFERROR(INDEX('Source 2025'!$C:$C,MATCH($A101,'Source 2025'!$B:$B,0)),""))</f>
        <v>גב אפורה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53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35</v>
      </c>
      <c r="E101" s="9" t="n">
        <f aca="false">D101-C101</f>
        <v>-18</v>
      </c>
      <c r="F101" s="10" t="n">
        <f aca="false">IF(AND(C101=0,D101=0),0,IF(C101=0,"New",(D101-C101)/C101))</f>
        <v>-0.339622641509434</v>
      </c>
      <c r="G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5922.9</v>
      </c>
      <c r="H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3813.7</v>
      </c>
      <c r="I101" s="11" t="n">
        <f aca="false">H101-G101</f>
        <v>-2109.2</v>
      </c>
      <c r="J101" s="10" t="n">
        <f aca="false">IF(AND(G101=0,H101=0),0,IF(G101=0,"New",(H101-G101)/G101))</f>
        <v>-0.356109338330885</v>
      </c>
    </row>
    <row r="102" customFormat="false" ht="15" hidden="false" customHeight="true" outlineLevel="0" collapsed="false">
      <c r="A102" s="8" t="s">
        <v>150</v>
      </c>
      <c r="B102" s="8" t="str">
        <f aca="false">IFERROR(INDEX('Source 2026'!$C:$C,MATCH($A102,'Source 2026'!$B:$B,0)),IFERROR(INDEX('Source 2025'!$C:$C,MATCH($A102,'Source 2025'!$B:$B,0)),""))</f>
        <v>נצמדת שחור 20 מ""מ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482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212</v>
      </c>
      <c r="E102" s="9" t="n">
        <f aca="false">D102-C102</f>
        <v>-270</v>
      </c>
      <c r="F102" s="10" t="n">
        <f aca="false">IF(AND(C102=0,D102=0),0,IF(C102=0,"New",(D102-C102)/C102))</f>
        <v>-0.560165975103734</v>
      </c>
      <c r="G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4463.1</v>
      </c>
      <c r="H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2361.9</v>
      </c>
      <c r="I102" s="11" t="n">
        <f aca="false">H102-G102</f>
        <v>-2101.2</v>
      </c>
      <c r="J102" s="10" t="n">
        <f aca="false">IF(AND(G102=0,H102=0),0,IF(G102=0,"New",(H102-G102)/G102))</f>
        <v>-0.47079384284466</v>
      </c>
    </row>
    <row r="103" customFormat="false" ht="15" hidden="false" customHeight="true" outlineLevel="0" collapsed="false">
      <c r="A103" s="8" t="s">
        <v>151</v>
      </c>
      <c r="B103" s="8" t="str">
        <f aca="false">IFERROR(INDEX('Source 2026'!$C:$C,MATCH($A103,'Source 2026'!$B:$B,0)),IFERROR(INDEX('Source 2025'!$C:$C,MATCH($A103,'Source 2025'!$B:$B,0)),""))</f>
        <v>גב אפורה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41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22</v>
      </c>
      <c r="E103" s="9" t="n">
        <f aca="false">D103-C103</f>
        <v>-19</v>
      </c>
      <c r="F103" s="10" t="n">
        <f aca="false">IF(AND(C103=0,D103=0),0,IF(C103=0,"New",(D103-C103)/C103))</f>
        <v>-0.463414634146342</v>
      </c>
      <c r="G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4452.3</v>
      </c>
      <c r="H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2494.1</v>
      </c>
      <c r="I103" s="11" t="n">
        <f aca="false">H103-G103</f>
        <v>-1958.2</v>
      </c>
      <c r="J103" s="10" t="n">
        <f aca="false">IF(AND(G103=0,H103=0),0,IF(G103=0,"New",(H103-G103)/G103))</f>
        <v>-0.439817622352492</v>
      </c>
    </row>
    <row r="104" customFormat="false" ht="15" hidden="false" customHeight="true" outlineLevel="0" collapsed="false">
      <c r="A104" s="8" t="s">
        <v>152</v>
      </c>
      <c r="B104" s="8" t="str">
        <f aca="false">IFERROR(INDEX('Source 2026'!$C:$C,MATCH($A104,'Source 2026'!$B:$B,0)),IFERROR(INDEX('Source 2025'!$C:$C,MATCH($A104,'Source 2025'!$B:$B,0)),""))</f>
        <v>L-XL חגורת הריון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18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33</v>
      </c>
      <c r="E104" s="9" t="n">
        <f aca="false">D104-C104</f>
        <v>15</v>
      </c>
      <c r="F104" s="10" t="n">
        <f aca="false">IF(AND(C104=0,D104=0),0,IF(C104=0,"New",(D104-C104)/C104))</f>
        <v>0.833333333333333</v>
      </c>
      <c r="G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2119.9</v>
      </c>
      <c r="H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4039.8</v>
      </c>
      <c r="I104" s="11" t="n">
        <f aca="false">H104-G104</f>
        <v>1919.9</v>
      </c>
      <c r="J104" s="10" t="n">
        <f aca="false">IF(AND(G104=0,H104=0),0,IF(G104=0,"New",(H104-G104)/G104))</f>
        <v>0.905655927166376</v>
      </c>
    </row>
    <row r="105" customFormat="false" ht="15" hidden="false" customHeight="true" outlineLevel="0" collapsed="false">
      <c r="A105" s="8" t="s">
        <v>153</v>
      </c>
      <c r="B105" s="8" t="str">
        <f aca="false">IFERROR(INDEX('Source 2026'!$C:$C,MATCH($A105,'Source 2026'!$B:$B,0)),IFERROR(INDEX('Source 2025'!$C:$C,MATCH($A105,'Source 2025'!$B:$B,0)),""))</f>
        <v>מתלה ליד לילדים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153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115</v>
      </c>
      <c r="E105" s="9" t="n">
        <f aca="false">D105-C105</f>
        <v>-38</v>
      </c>
      <c r="F105" s="10" t="n">
        <f aca="false">IF(AND(C105=0,D105=0),0,IF(C105=0,"New",(D105-C105)/C105))</f>
        <v>-0.248366013071895</v>
      </c>
      <c r="G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7719.7</v>
      </c>
      <c r="H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5814.2</v>
      </c>
      <c r="I105" s="11" t="n">
        <f aca="false">H105-G105</f>
        <v>-1905.5</v>
      </c>
      <c r="J105" s="10" t="n">
        <f aca="false">IF(AND(G105=0,H105=0),0,IF(G105=0,"New",(H105-G105)/G105))</f>
        <v>-0.246836016943664</v>
      </c>
    </row>
    <row r="106" customFormat="false" ht="15" hidden="false" customHeight="true" outlineLevel="0" collapsed="false">
      <c r="A106" s="8" t="s">
        <v>154</v>
      </c>
      <c r="B106" s="8" t="str">
        <f aca="false">IFERROR(INDEX('Source 2026'!$C:$C,MATCH($A106,'Source 2026'!$B:$B,0)),IFERROR(INDEX('Source 2025'!$C:$C,MATCH($A106,'Source 2025'!$B:$B,0)),""))</f>
        <v>L מ.ברך אפור+כרית סיליקון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11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0</v>
      </c>
      <c r="E106" s="9" t="n">
        <f aca="false">D106-C106</f>
        <v>-11</v>
      </c>
      <c r="F106" s="10" t="n">
        <f aca="false">IF(AND(C106=0,D106=0),0,IF(C106=0,"New",(D106-C106)/C106))</f>
        <v>-1</v>
      </c>
      <c r="G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1897.3</v>
      </c>
      <c r="H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0</v>
      </c>
      <c r="I106" s="11" t="n">
        <f aca="false">H106-G106</f>
        <v>-1897.3</v>
      </c>
      <c r="J106" s="10" t="n">
        <f aca="false">IF(AND(G106=0,H106=0),0,IF(G106=0,"New",(H106-G106)/G106))</f>
        <v>-1</v>
      </c>
    </row>
    <row r="107" customFormat="false" ht="15" hidden="false" customHeight="true" outlineLevel="0" collapsed="false">
      <c r="A107" s="8" t="s">
        <v>155</v>
      </c>
      <c r="B107" s="8" t="str">
        <f aca="false">IFERROR(INDEX('Source 2026'!$C:$C,MATCH($A107,'Source 2026'!$B:$B,0)),IFERROR(INDEX('Source 2025'!$C:$C,MATCH($A107,'Source 2025'!$B:$B,0)),""))</f>
        <v>מדרסי אפיק ג'ל נוחות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42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23</v>
      </c>
      <c r="E107" s="9" t="n">
        <f aca="false">D107-C107</f>
        <v>-19</v>
      </c>
      <c r="F107" s="10" t="n">
        <f aca="false">IF(AND(C107=0,D107=0),0,IF(C107=0,"New",(D107-C107)/C107))</f>
        <v>-0.452380952380952</v>
      </c>
      <c r="G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4272.5</v>
      </c>
      <c r="H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2426.4</v>
      </c>
      <c r="I107" s="11" t="n">
        <f aca="false">H107-G107</f>
        <v>-1846.1</v>
      </c>
      <c r="J107" s="10" t="n">
        <f aca="false">IF(AND(G107=0,H107=0),0,IF(G107=0,"New",(H107-G107)/G107))</f>
        <v>-0.432088940901112</v>
      </c>
    </row>
    <row r="108" customFormat="false" ht="15" hidden="false" customHeight="true" outlineLevel="0" collapsed="false">
      <c r="A108" s="8" t="s">
        <v>156</v>
      </c>
      <c r="B108" s="8" t="str">
        <f aca="false">IFERROR(INDEX('Source 2026'!$C:$C,MATCH($A108,'Source 2026'!$B:$B,0)),IFERROR(INDEX('Source 2025'!$C:$C,MATCH($A108,'Source 2025'!$B:$B,0)),""))</f>
        <v>להסרת עור קשה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220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146</v>
      </c>
      <c r="E108" s="9" t="n">
        <f aca="false">D108-C108</f>
        <v>-74</v>
      </c>
      <c r="F108" s="10" t="n">
        <f aca="false">IF(AND(C108=0,D108=0),0,IF(C108=0,"New",(D108-C108)/C108))</f>
        <v>-0.336363636363636</v>
      </c>
      <c r="G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5447.3</v>
      </c>
      <c r="H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3606.2</v>
      </c>
      <c r="I108" s="11" t="n">
        <f aca="false">H108-G108</f>
        <v>-1841.1</v>
      </c>
      <c r="J108" s="10" t="n">
        <f aca="false">IF(AND(G108=0,H108=0),0,IF(G108=0,"New",(H108-G108)/G108))</f>
        <v>-0.337983955354029</v>
      </c>
    </row>
    <row r="109" customFormat="false" ht="15" hidden="false" customHeight="true" outlineLevel="0" collapsed="false">
      <c r="A109" s="8" t="s">
        <v>157</v>
      </c>
      <c r="B109" s="8" t="str">
        <f aca="false">IFERROR(INDEX('Source 2026'!$C:$C,MATCH($A109,'Source 2026'!$B:$B,0)),IFERROR(INDEX('Source 2025'!$C:$C,MATCH($A109,'Source 2025'!$B:$B,0)),""))</f>
        <v>37-38 מדרסי סיליק.לח.סכרת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3</v>
      </c>
      <c r="E109" s="9" t="n">
        <f aca="false">D109-C109</f>
        <v>-17</v>
      </c>
      <c r="F109" s="10" t="n">
        <f aca="false">IF(AND(C109=0,D109=0),0,IF(C109=0,"New",(D109-C109)/C109))</f>
        <v>-0.85</v>
      </c>
      <c r="G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2261</v>
      </c>
      <c r="H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450.5</v>
      </c>
      <c r="I109" s="11" t="n">
        <f aca="false">H109-G109</f>
        <v>-1810.5</v>
      </c>
      <c r="J109" s="10" t="n">
        <f aca="false">IF(AND(G109=0,H109=0),0,IF(G109=0,"New",(H109-G109)/G109))</f>
        <v>-0.800751879699248</v>
      </c>
    </row>
    <row r="110" customFormat="false" ht="15" hidden="false" customHeight="true" outlineLevel="0" collapsed="false">
      <c r="A110" s="8" t="s">
        <v>158</v>
      </c>
      <c r="B110" s="8" t="str">
        <f aca="false">IFERROR(INDEX('Source 2026'!$C:$C,MATCH($A110,'Source 2026'!$B:$B,0)),IFERROR(INDEX('Source 2025'!$C:$C,MATCH($A110,'Source 2025'!$B:$B,0)),""))</f>
        <v>3667 מגן בוניון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141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81</v>
      </c>
      <c r="E110" s="9" t="n">
        <f aca="false">D110-C110</f>
        <v>-60</v>
      </c>
      <c r="F110" s="10" t="n">
        <f aca="false">IF(AND(C110=0,D110=0),0,IF(C110=0,"New",(D110-C110)/C110))</f>
        <v>-0.425531914893617</v>
      </c>
      <c r="G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4332.4</v>
      </c>
      <c r="H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2522.8</v>
      </c>
      <c r="I110" s="11" t="n">
        <f aca="false">H110-G110</f>
        <v>-1809.6</v>
      </c>
      <c r="J110" s="10" t="n">
        <f aca="false">IF(AND(G110=0,H110=0),0,IF(G110=0,"New",(H110-G110)/G110))</f>
        <v>-0.417689963992244</v>
      </c>
    </row>
    <row r="111" customFormat="false" ht="15" hidden="false" customHeight="true" outlineLevel="0" collapsed="false">
      <c r="A111" s="8" t="s">
        <v>159</v>
      </c>
      <c r="B111" s="8" t="str">
        <f aca="false">IFERROR(INDEX('Source 2026'!$C:$C,MATCH($A111,'Source 2026'!$B:$B,0)),IFERROR(INDEX('Source 2025'!$C:$C,MATCH($A111,'Source 2025'!$B:$B,0)),""))</f>
        <v>S מגן שוק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7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17</v>
      </c>
      <c r="E111" s="9" t="n">
        <f aca="false">D111-C111</f>
        <v>10</v>
      </c>
      <c r="F111" s="10" t="n">
        <f aca="false">IF(AND(C111=0,D111=0),0,IF(C111=0,"New",(D111-C111)/C111))</f>
        <v>1.42857142857143</v>
      </c>
      <c r="G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1024.6</v>
      </c>
      <c r="H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2766.9</v>
      </c>
      <c r="I111" s="11" t="n">
        <f aca="false">H111-G111</f>
        <v>1742.3</v>
      </c>
      <c r="J111" s="10" t="n">
        <f aca="false">IF(AND(G111=0,H111=0),0,IF(G111=0,"New",(H111-G111)/G111))</f>
        <v>1.70046847550264</v>
      </c>
    </row>
    <row r="112" customFormat="false" ht="15" hidden="false" customHeight="true" outlineLevel="0" collapsed="false">
      <c r="A112" s="8" t="s">
        <v>160</v>
      </c>
      <c r="B112" s="8" t="str">
        <f aca="false">IFERROR(INDEX('Source 2026'!$C:$C,MATCH($A112,'Source 2026'!$B:$B,0)),IFERROR(INDEX('Source 2025'!$C:$C,MATCH($A112,'Source 2025'!$B:$B,0)),""))</f>
        <v>S ח.גב סג. כפולה שחור+אדום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2</v>
      </c>
      <c r="E112" s="9" t="n">
        <f aca="false">D112-C112</f>
        <v>-18</v>
      </c>
      <c r="F112" s="10" t="n">
        <f aca="false">IF(AND(C112=0,D112=0),0,IF(C112=0,"New",(D112-C112)/C112))</f>
        <v>-0.9</v>
      </c>
      <c r="G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1915.9</v>
      </c>
      <c r="H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217.4</v>
      </c>
      <c r="I112" s="11" t="n">
        <f aca="false">H112-G112</f>
        <v>-1698.5</v>
      </c>
      <c r="J112" s="10" t="n">
        <f aca="false">IF(AND(G112=0,H112=0),0,IF(G112=0,"New",(H112-G112)/G112))</f>
        <v>-0.88652852445326</v>
      </c>
    </row>
    <row r="113" customFormat="false" ht="15" hidden="false" customHeight="true" outlineLevel="0" collapsed="false">
      <c r="A113" s="8" t="s">
        <v>161</v>
      </c>
      <c r="B113" s="8" t="str">
        <f aca="false">IFERROR(INDEX('Source 2026'!$C:$C,MATCH($A113,'Source 2026'!$B:$B,0)),IFERROR(INDEX('Source 2025'!$C:$C,MATCH($A113,'Source 2025'!$B:$B,0)),""))</f>
        <v>סד לאגודל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105</v>
      </c>
      <c r="E113" s="9" t="n">
        <f aca="false">D113-C113</f>
        <v>-15</v>
      </c>
      <c r="F113" s="10" t="n">
        <f aca="false">IF(AND(C113=0,D113=0),0,IF(C113=0,"New",(D113-C113)/C113))</f>
        <v>-0.125</v>
      </c>
      <c r="G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13916.1</v>
      </c>
      <c r="H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12242</v>
      </c>
      <c r="I113" s="11" t="n">
        <f aca="false">H113-G113</f>
        <v>-1674.1</v>
      </c>
      <c r="J113" s="10" t="n">
        <f aca="false">IF(AND(G113=0,H113=0),0,IF(G113=0,"New",(H113-G113)/G113))</f>
        <v>-0.120299509201572</v>
      </c>
    </row>
    <row r="114" customFormat="false" ht="15" hidden="false" customHeight="true" outlineLevel="0" collapsed="false">
      <c r="A114" s="8" t="s">
        <v>162</v>
      </c>
      <c r="B114" s="8" t="str">
        <f aca="false">IFERROR(INDEX('Source 2026'!$C:$C,MATCH($A114,'Source 2026'!$B:$B,0)),IFERROR(INDEX('Source 2025'!$C:$C,MATCH($A114,'Source 2025'!$B:$B,0)),""))</f>
        <v>שרוול מגן לבוניון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127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77</v>
      </c>
      <c r="E114" s="9" t="n">
        <f aca="false">D114-C114</f>
        <v>-50</v>
      </c>
      <c r="F114" s="10" t="n">
        <f aca="false">IF(AND(C114=0,D114=0),0,IF(C114=0,"New",(D114-C114)/C114))</f>
        <v>-0.393700787401575</v>
      </c>
      <c r="G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4418.7</v>
      </c>
      <c r="H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2765</v>
      </c>
      <c r="I114" s="11" t="n">
        <f aca="false">H114-G114</f>
        <v>-1653.7</v>
      </c>
      <c r="J114" s="10" t="n">
        <f aca="false">IF(AND(G114=0,H114=0),0,IF(G114=0,"New",(H114-G114)/G114))</f>
        <v>-0.374250345124132</v>
      </c>
    </row>
    <row r="115" customFormat="false" ht="15" hidden="false" customHeight="true" outlineLevel="0" collapsed="false">
      <c r="A115" s="8" t="s">
        <v>163</v>
      </c>
      <c r="B115" s="8" t="str">
        <f aca="false">IFERROR(INDEX('Source 2026'!$C:$C,MATCH($A115,'Source 2026'!$B:$B,0)),IFERROR(INDEX('Source 2025'!$C:$C,MATCH($A115,'Source 2025'!$B:$B,0)),""))</f>
        <v>S מגן ברך מחמם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36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</v>
      </c>
      <c r="E115" s="9" t="n">
        <f aca="false">D115-C115</f>
        <v>-29</v>
      </c>
      <c r="F115" s="10" t="n">
        <f aca="false">IF(AND(C115=0,D115=0),0,IF(C115=0,"New",(D115-C115)/C115))</f>
        <v>-0.805555555555556</v>
      </c>
      <c r="G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1987.3</v>
      </c>
      <c r="H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396.7</v>
      </c>
      <c r="I115" s="11" t="n">
        <f aca="false">H115-G115</f>
        <v>-1590.6</v>
      </c>
      <c r="J115" s="10" t="n">
        <f aca="false">IF(AND(G115=0,H115=0),0,IF(G115=0,"New",(H115-G115)/G115))</f>
        <v>-0.80038242842047</v>
      </c>
    </row>
    <row r="116" customFormat="false" ht="15" hidden="false" customHeight="true" outlineLevel="0" collapsed="false">
      <c r="A116" s="8" t="s">
        <v>164</v>
      </c>
      <c r="B116" s="8" t="str">
        <f aca="false">IFERROR(INDEX('Source 2026'!$C:$C,MATCH($A116,'Source 2026'!$B:$B,0)),IFERROR(INDEX('Source 2025'!$C:$C,MATCH($A116,'Source 2025'!$B:$B,0)),""))</f>
        <v>מגן קרסול עקב סגור+רצוע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46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24</v>
      </c>
      <c r="E116" s="9" t="n">
        <f aca="false">D116-C116</f>
        <v>-22</v>
      </c>
      <c r="F116" s="10" t="n">
        <f aca="false">IF(AND(C116=0,D116=0),0,IF(C116=0,"New",(D116-C116)/C116))</f>
        <v>-0.478260869565217</v>
      </c>
      <c r="G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3106.1</v>
      </c>
      <c r="H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1601.9</v>
      </c>
      <c r="I116" s="11" t="n">
        <f aca="false">H116-G116</f>
        <v>-1504.2</v>
      </c>
      <c r="J116" s="10" t="n">
        <f aca="false">IF(AND(G116=0,H116=0),0,IF(G116=0,"New",(H116-G116)/G116))</f>
        <v>-0.484272882392711</v>
      </c>
    </row>
    <row r="117" customFormat="false" ht="15" hidden="false" customHeight="true" outlineLevel="0" collapsed="false">
      <c r="A117" s="8" t="s">
        <v>165</v>
      </c>
      <c r="B117" s="8" t="str">
        <f aca="false">IFERROR(INDEX('Source 2026'!$C:$C,MATCH($A117,'Source 2026'!$B:$B,0)),IFERROR(INDEX('Source 2025'!$C:$C,MATCH($A117,'Source 2025'!$B:$B,0)),""))</f>
        <v>חגורת גב +סגירה כפולה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21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8</v>
      </c>
      <c r="E117" s="9" t="n">
        <f aca="false">D117-C117</f>
        <v>-13</v>
      </c>
      <c r="F117" s="10" t="n">
        <f aca="false">IF(AND(C117=0,D117=0),0,IF(C117=0,"New",(D117-C117)/C117))</f>
        <v>-0.619047619047619</v>
      </c>
      <c r="G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2324.2</v>
      </c>
      <c r="H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858.9</v>
      </c>
      <c r="I117" s="11" t="n">
        <f aca="false">H117-G117</f>
        <v>-1465.3</v>
      </c>
      <c r="J117" s="10" t="n">
        <f aca="false">IF(AND(G117=0,H117=0),0,IF(G117=0,"New",(H117-G117)/G117))</f>
        <v>-0.630453489372687</v>
      </c>
    </row>
    <row r="118" customFormat="false" ht="15" hidden="false" customHeight="true" outlineLevel="0" collapsed="false">
      <c r="A118" s="8" t="s">
        <v>166</v>
      </c>
      <c r="B118" s="8" t="str">
        <f aca="false">IFERROR(INDEX('Source 2026'!$C:$C,MATCH($A118,'Source 2026'!$B:$B,0)),IFERROR(INDEX('Source 2025'!$C:$C,MATCH($A118,'Source 2025'!$B:$B,0)),""))</f>
        <v>לחץ א.הבוניון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149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68</v>
      </c>
      <c r="E118" s="9" t="n">
        <f aca="false">D118-C118</f>
        <v>-81</v>
      </c>
      <c r="F118" s="10" t="n">
        <f aca="false">IF(AND(C118=0,D118=0),0,IF(C118=0,"New",(D118-C118)/C118))</f>
        <v>-0.543624161073826</v>
      </c>
      <c r="G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2810.7</v>
      </c>
      <c r="H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1349.9</v>
      </c>
      <c r="I118" s="11" t="n">
        <f aca="false">H118-G118</f>
        <v>-1460.8</v>
      </c>
      <c r="J118" s="10" t="n">
        <f aca="false">IF(AND(G118=0,H118=0),0,IF(G118=0,"New",(H118-G118)/G118))</f>
        <v>-0.519728181591774</v>
      </c>
    </row>
    <row r="119" customFormat="false" ht="15" hidden="false" customHeight="true" outlineLevel="0" collapsed="false">
      <c r="A119" s="8" t="s">
        <v>167</v>
      </c>
      <c r="B119" s="8" t="str">
        <f aca="false">IFERROR(INDEX('Source 2026'!$C:$C,MATCH($A119,'Source 2026'!$B:$B,0)),IFERROR(INDEX('Source 2025'!$C:$C,MATCH($A119,'Source 2025'!$B:$B,0)),""))</f>
        <v>35-38 גרב.כסף לסכרתים לבן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178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111</v>
      </c>
      <c r="E119" s="9" t="n">
        <f aca="false">D119-C119</f>
        <v>-67</v>
      </c>
      <c r="F119" s="10" t="n">
        <f aca="false">IF(AND(C119=0,D119=0),0,IF(C119=0,"New",(D119-C119)/C119))</f>
        <v>-0.376404494382022</v>
      </c>
      <c r="G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4416.3</v>
      </c>
      <c r="H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2961.6</v>
      </c>
      <c r="I119" s="11" t="n">
        <f aca="false">H119-G119</f>
        <v>-1454.7</v>
      </c>
      <c r="J119" s="10" t="n">
        <f aca="false">IF(AND(G119=0,H119=0),0,IF(G119=0,"New",(H119-G119)/G119))</f>
        <v>-0.329393383601658</v>
      </c>
    </row>
    <row r="120" customFormat="false" ht="15" hidden="false" customHeight="true" outlineLevel="0" collapsed="false">
      <c r="A120" s="8" t="s">
        <v>168</v>
      </c>
      <c r="B120" s="8" t="str">
        <f aca="false">IFERROR(INDEX('Source 2026'!$C:$C,MATCH($A120,'Source 2026'!$B:$B,0)),IFERROR(INDEX('Source 2025'!$C:$C,MATCH($A120,'Source 2025'!$B:$B,0)),""))</f>
        <v>S חגורת שבר לצד ימין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20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12</v>
      </c>
      <c r="E120" s="9" t="n">
        <f aca="false">D120-C120</f>
        <v>-8</v>
      </c>
      <c r="F120" s="10" t="n">
        <f aca="false">IF(AND(C120=0,D120=0),0,IF(C120=0,"New",(D120-C120)/C120))</f>
        <v>-0.4</v>
      </c>
      <c r="G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3630.5</v>
      </c>
      <c r="H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2202</v>
      </c>
      <c r="I120" s="11" t="n">
        <f aca="false">H120-G120</f>
        <v>-1428.5</v>
      </c>
      <c r="J120" s="10" t="n">
        <f aca="false">IF(AND(G120=0,H120=0),0,IF(G120=0,"New",(H120-G120)/G120))</f>
        <v>-0.393471973557361</v>
      </c>
    </row>
    <row r="121" customFormat="false" ht="15" hidden="false" customHeight="true" outlineLevel="0" collapsed="false">
      <c r="A121" s="8" t="s">
        <v>169</v>
      </c>
      <c r="B121" s="8" t="str">
        <f aca="false">IFERROR(INDEX('Source 2026'!$C:$C,MATCH($A121,'Source 2026'!$B:$B,0)),IFERROR(INDEX('Source 2025'!$C:$C,MATCH($A121,'Source 2025'!$B:$B,0)),""))</f>
        <v>סד ליישור אצבע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382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301</v>
      </c>
      <c r="E121" s="9" t="n">
        <f aca="false">D121-C121</f>
        <v>-81</v>
      </c>
      <c r="F121" s="10" t="n">
        <f aca="false">IF(AND(C121=0,D121=0),0,IF(C121=0,"New",(D121-C121)/C121))</f>
        <v>-0.212041884816754</v>
      </c>
      <c r="G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7315.8</v>
      </c>
      <c r="H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5909.1</v>
      </c>
      <c r="I121" s="11" t="n">
        <f aca="false">H121-G121</f>
        <v>-1406.7</v>
      </c>
      <c r="J121" s="10" t="n">
        <f aca="false">IF(AND(G121=0,H121=0),0,IF(G121=0,"New",(H121-G121)/G121))</f>
        <v>-0.192282457147544</v>
      </c>
    </row>
    <row r="122" customFormat="false" ht="15" hidden="false" customHeight="true" outlineLevel="0" collapsed="false">
      <c r="A122" s="8" t="s">
        <v>170</v>
      </c>
      <c r="B122" s="8" t="str">
        <f aca="false">IFERROR(INDEX('Source 2026'!$C:$C,MATCH($A122,'Source 2026'!$B:$B,0)),IFERROR(INDEX('Source 2025'!$C:$C,MATCH($A122,'Source 2025'!$B:$B,0)),""))</f>
        <v>S 'מגן ברך ארוך בז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375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409</v>
      </c>
      <c r="E122" s="9" t="n">
        <f aca="false">D122-C122</f>
        <v>34</v>
      </c>
      <c r="F122" s="10" t="n">
        <f aca="false">IF(AND(C122=0,D122=0),0,IF(C122=0,"New",(D122-C122)/C122))</f>
        <v>0.0906666666666667</v>
      </c>
      <c r="G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13509.9</v>
      </c>
      <c r="H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14911.9</v>
      </c>
      <c r="I122" s="11" t="n">
        <f aca="false">H122-G122</f>
        <v>1402</v>
      </c>
      <c r="J122" s="10" t="n">
        <f aca="false">IF(AND(G122=0,H122=0),0,IF(G122=0,"New",(H122-G122)/G122))</f>
        <v>0.103775749635453</v>
      </c>
    </row>
    <row r="123" customFormat="false" ht="15" hidden="false" customHeight="true" outlineLevel="0" collapsed="false">
      <c r="A123" s="8" t="s">
        <v>171</v>
      </c>
      <c r="B123" s="8" t="str">
        <f aca="false">IFERROR(INDEX('Source 2026'!$C:$C,MATCH($A123,'Source 2026'!$B:$B,0)),IFERROR(INDEX('Source 2025'!$C:$C,MATCH($A123,'Source 2025'!$B:$B,0)),""))</f>
        <v>S-M סד לאגודל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90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69</v>
      </c>
      <c r="E123" s="9" t="n">
        <f aca="false">D123-C123</f>
        <v>-21</v>
      </c>
      <c r="F123" s="10" t="n">
        <f aca="false">IF(AND(C123=0,D123=0),0,IF(C123=0,"New",(D123-C123)/C123))</f>
        <v>-0.233333333333333</v>
      </c>
      <c r="G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5983.9</v>
      </c>
      <c r="H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4665.1</v>
      </c>
      <c r="I123" s="11" t="n">
        <f aca="false">H123-G123</f>
        <v>-1318.8</v>
      </c>
      <c r="J123" s="10" t="n">
        <f aca="false">IF(AND(G123=0,H123=0),0,IF(G123=0,"New",(H123-G123)/G123))</f>
        <v>-0.220391383545848</v>
      </c>
    </row>
    <row r="124" customFormat="false" ht="15" hidden="false" customHeight="true" outlineLevel="0" collapsed="false">
      <c r="A124" s="8" t="s">
        <v>172</v>
      </c>
      <c r="B124" s="8" t="str">
        <f aca="false">IFERROR(INDEX('Source 2026'!$C:$C,MATCH($A124,'Source 2026'!$B:$B,0)),IFERROR(INDEX('Source 2025'!$C:$C,MATCH($A124,'Source 2025'!$B:$B,0)),""))</f>
        <v>מקבע קרסול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8</v>
      </c>
      <c r="E124" s="9" t="n">
        <f aca="false">D124-C124</f>
        <v>8</v>
      </c>
      <c r="F124" s="10" t="str">
        <f aca="false">IF(AND(C124=0,D124=0),0,IF(C124=0,"New",(D124-C124)/C124))</f>
        <v>New</v>
      </c>
      <c r="G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0</v>
      </c>
      <c r="H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1301.1</v>
      </c>
      <c r="I124" s="11" t="n">
        <f aca="false">H124-G124</f>
        <v>1301.1</v>
      </c>
      <c r="J124" s="10" t="str">
        <f aca="false">IF(AND(G124=0,H124=0),0,IF(G124=0,"New",(H124-G124)/G124))</f>
        <v>New</v>
      </c>
    </row>
    <row r="125" customFormat="false" ht="15" hidden="false" customHeight="true" outlineLevel="0" collapsed="false">
      <c r="A125" s="8" t="s">
        <v>173</v>
      </c>
      <c r="B125" s="8" t="str">
        <f aca="false">IFERROR(INDEX('Source 2026'!$C:$C,MATCH($A125,'Source 2026'!$B:$B,0)),IFERROR(INDEX('Source 2025'!$C:$C,MATCH($A125,'Source 2025'!$B:$B,0)),""))</f>
        <v>נצמדת בז' 20 מ""מ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702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745</v>
      </c>
      <c r="E125" s="9" t="n">
        <f aca="false">D125-C125</f>
        <v>43</v>
      </c>
      <c r="F125" s="10" t="n">
        <f aca="false">IF(AND(C125=0,D125=0),0,IF(C125=0,"New",(D125-C125)/C125))</f>
        <v>0.0612535612535613</v>
      </c>
      <c r="G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7071.1</v>
      </c>
      <c r="H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8337</v>
      </c>
      <c r="I125" s="11" t="n">
        <f aca="false">H125-G125</f>
        <v>1265.9</v>
      </c>
      <c r="J125" s="10" t="n">
        <f aca="false">IF(AND(G125=0,H125=0),0,IF(G125=0,"New",(H125-G125)/G125))</f>
        <v>0.17902447992533</v>
      </c>
    </row>
    <row r="126" customFormat="false" ht="15" hidden="false" customHeight="true" outlineLevel="0" collapsed="false">
      <c r="A126" s="8" t="s">
        <v>174</v>
      </c>
      <c r="B126" s="8" t="str">
        <f aca="false">IFERROR(INDEX('Source 2026'!$C:$C,MATCH($A126,'Source 2026'!$B:$B,0)),IFERROR(INDEX('Source 2025'!$C:$C,MATCH($A126,'Source 2025'!$B:$B,0)),""))</f>
        <v>לחץ מיבלת2יח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260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185</v>
      </c>
      <c r="E126" s="9" t="n">
        <f aca="false">D126-C126</f>
        <v>-75</v>
      </c>
      <c r="F126" s="10" t="n">
        <f aca="false">IF(AND(C126=0,D126=0),0,IF(C126=0,"New",(D126-C126)/C126))</f>
        <v>-0.288461538461538</v>
      </c>
      <c r="G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4077.9</v>
      </c>
      <c r="H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2821.7</v>
      </c>
      <c r="I126" s="11" t="n">
        <f aca="false">H126-G126</f>
        <v>-1256.2</v>
      </c>
      <c r="J126" s="10" t="n">
        <f aca="false">IF(AND(G126=0,H126=0),0,IF(G126=0,"New",(H126-G126)/G126))</f>
        <v>-0.308050712376468</v>
      </c>
    </row>
    <row r="127" customFormat="false" ht="15" hidden="false" customHeight="true" outlineLevel="0" collapsed="false">
      <c r="A127" s="8" t="s">
        <v>175</v>
      </c>
      <c r="B127" s="8" t="str">
        <f aca="false">IFERROR(INDEX('Source 2026'!$C:$C,MATCH($A127,'Source 2026'!$B:$B,0)),IFERROR(INDEX('Source 2025'!$C:$C,MATCH($A127,'Source 2025'!$B:$B,0)),""))</f>
        <v>סד ליישור אצבע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222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154</v>
      </c>
      <c r="E127" s="9" t="n">
        <f aca="false">D127-C127</f>
        <v>-68</v>
      </c>
      <c r="F127" s="10" t="n">
        <f aca="false">IF(AND(C127=0,D127=0),0,IF(C127=0,"New",(D127-C127)/C127))</f>
        <v>-0.306306306306306</v>
      </c>
      <c r="G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4293</v>
      </c>
      <c r="H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3046.2</v>
      </c>
      <c r="I127" s="11" t="n">
        <f aca="false">H127-G127</f>
        <v>-1246.8</v>
      </c>
      <c r="J127" s="10" t="n">
        <f aca="false">IF(AND(G127=0,H127=0),0,IF(G127=0,"New",(H127-G127)/G127))</f>
        <v>-0.290426275331936</v>
      </c>
    </row>
    <row r="128" customFormat="false" ht="15" hidden="false" customHeight="true" outlineLevel="0" collapsed="false">
      <c r="A128" s="8" t="s">
        <v>176</v>
      </c>
      <c r="B128" s="8" t="str">
        <f aca="false">IFERROR(INDEX('Source 2026'!$C:$C,MATCH($A128,'Source 2026'!$B:$B,0)),IFERROR(INDEX('Source 2025'!$C:$C,MATCH($A128,'Source 2025'!$B:$B,0)),""))</f>
        <v>41-45 'רפידת ג'ל בז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28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3</v>
      </c>
      <c r="E128" s="9" t="n">
        <f aca="false">D128-C128</f>
        <v>-25</v>
      </c>
      <c r="F128" s="10" t="n">
        <f aca="false">IF(AND(C128=0,D128=0),0,IF(C128=0,"New",(D128-C128)/C128))</f>
        <v>-0.892857142857143</v>
      </c>
      <c r="G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1431.1</v>
      </c>
      <c r="H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185.1</v>
      </c>
      <c r="I128" s="11" t="n">
        <f aca="false">H128-G128</f>
        <v>-1246</v>
      </c>
      <c r="J128" s="10" t="n">
        <f aca="false">IF(AND(G128=0,H128=0),0,IF(G128=0,"New",(H128-G128)/G128))</f>
        <v>-0.870658933687374</v>
      </c>
    </row>
    <row r="129" customFormat="false" ht="15" hidden="false" customHeight="true" outlineLevel="0" collapsed="false">
      <c r="A129" s="8" t="s">
        <v>177</v>
      </c>
      <c r="B129" s="8" t="str">
        <f aca="false">IFERROR(INDEX('Source 2026'!$C:$C,MATCH($A129,'Source 2026'!$B:$B,0)),IFERROR(INDEX('Source 2025'!$C:$C,MATCH($A129,'Source 2025'!$B:$B,0)),""))</f>
        <v>9 מ""ס להתאמהX5 מדבקה גדולה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116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59</v>
      </c>
      <c r="E129" s="9" t="n">
        <f aca="false">D129-C129</f>
        <v>-57</v>
      </c>
      <c r="F129" s="10" t="n">
        <f aca="false">IF(AND(C129=0,D129=0),0,IF(C129=0,"New",(D129-C129)/C129))</f>
        <v>-0.491379310344828</v>
      </c>
      <c r="G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2425</v>
      </c>
      <c r="H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1206.8</v>
      </c>
      <c r="I129" s="11" t="n">
        <f aca="false">H129-G129</f>
        <v>-1218.2</v>
      </c>
      <c r="J129" s="10" t="n">
        <f aca="false">IF(AND(G129=0,H129=0),0,IF(G129=0,"New",(H129-G129)/G129))</f>
        <v>-0.502350515463917</v>
      </c>
    </row>
    <row r="130" customFormat="false" ht="15" hidden="false" customHeight="true" outlineLevel="0" collapsed="false">
      <c r="A130" s="8" t="s">
        <v>178</v>
      </c>
      <c r="B130" s="8" t="str">
        <f aca="false">IFERROR(INDEX('Source 2026'!$C:$C,MATCH($A130,'Source 2026'!$B:$B,0)),IFERROR(INDEX('Source 2025'!$C:$C,MATCH($A130,'Source 2025'!$B:$B,0)),""))</f>
        <v>רפידת בולמת זעזועים -זוג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304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208</v>
      </c>
      <c r="E130" s="9" t="n">
        <f aca="false">D130-C130</f>
        <v>-96</v>
      </c>
      <c r="F130" s="10" t="n">
        <f aca="false">IF(AND(C130=0,D130=0),0,IF(C130=0,"New",(D130-C130)/C130))</f>
        <v>-0.315789473684211</v>
      </c>
      <c r="G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4153.2</v>
      </c>
      <c r="H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2953.3</v>
      </c>
      <c r="I130" s="11" t="n">
        <f aca="false">H130-G130</f>
        <v>-1199.9</v>
      </c>
      <c r="J130" s="10" t="n">
        <f aca="false">IF(AND(G130=0,H130=0),0,IF(G130=0,"New",(H130-G130)/G130))</f>
        <v>-0.288909756332467</v>
      </c>
    </row>
    <row r="131" customFormat="false" ht="15" hidden="false" customHeight="true" outlineLevel="0" collapsed="false">
      <c r="A131" s="8" t="s">
        <v>179</v>
      </c>
      <c r="B131" s="8" t="str">
        <f aca="false">IFERROR(INDEX('Source 2026'!$C:$C,MATCH($A131,'Source 2026'!$B:$B,0)),IFERROR(INDEX('Source 2025'!$C:$C,MATCH($A131,'Source 2025'!$B:$B,0)),""))</f>
        <v>S מתלה אשכים לאחר ניתוח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17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5</v>
      </c>
      <c r="E131" s="9" t="n">
        <f aca="false">D131-C131</f>
        <v>-12</v>
      </c>
      <c r="F131" s="10" t="n">
        <f aca="false">IF(AND(C131=0,D131=0),0,IF(C131=0,"New",(D131-C131)/C131))</f>
        <v>-0.705882352941177</v>
      </c>
      <c r="G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1761.7</v>
      </c>
      <c r="H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577.3</v>
      </c>
      <c r="I131" s="11" t="n">
        <f aca="false">H131-G131</f>
        <v>-1184.4</v>
      </c>
      <c r="J131" s="10" t="n">
        <f aca="false">IF(AND(G131=0,H131=0),0,IF(G131=0,"New",(H131-G131)/G131))</f>
        <v>-0.67230515978884</v>
      </c>
    </row>
    <row r="132" customFormat="false" ht="15" hidden="false" customHeight="true" outlineLevel="0" collapsed="false">
      <c r="A132" s="8" t="s">
        <v>180</v>
      </c>
      <c r="B132" s="8" t="str">
        <f aca="false">IFERROR(INDEX('Source 2026'!$C:$C,MATCH($A132,'Source 2026'!$B:$B,0)),IFERROR(INDEX('Source 2025'!$C:$C,MATCH($A132,'Source 2025'!$B:$B,0)),""))</f>
        <v>תחבושת נצמדת ורוד 20ממ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201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64</v>
      </c>
      <c r="E132" s="9" t="n">
        <f aca="false">D132-C132</f>
        <v>-137</v>
      </c>
      <c r="F132" s="10" t="n">
        <f aca="false">IF(AND(C132=0,D132=0),0,IF(C132=0,"New",(D132-C132)/C132))</f>
        <v>-0.681592039800995</v>
      </c>
      <c r="G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1926.5</v>
      </c>
      <c r="H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748.7</v>
      </c>
      <c r="I132" s="11" t="n">
        <f aca="false">H132-G132</f>
        <v>-1177.8</v>
      </c>
      <c r="J132" s="10" t="n">
        <f aca="false">IF(AND(G132=0,H132=0),0,IF(G132=0,"New",(H132-G132)/G132))</f>
        <v>-0.611367765377628</v>
      </c>
    </row>
    <row r="133" customFormat="false" ht="15" hidden="false" customHeight="true" outlineLevel="0" collapsed="false">
      <c r="A133" s="8" t="s">
        <v>181</v>
      </c>
      <c r="B133" s="8" t="str">
        <f aca="false">IFERROR(INDEX('Source 2026'!$C:$C,MATCH($A133,'Source 2026'!$B:$B,0)),IFERROR(INDEX('Source 2025'!$C:$C,MATCH($A133,'Source 2025'!$B:$B,0)),""))</f>
        <v>Sמ.ברך מוצלב+ספירלות בצדדים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29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19</v>
      </c>
      <c r="E133" s="9" t="n">
        <f aca="false">D133-C133</f>
        <v>-10</v>
      </c>
      <c r="F133" s="10" t="n">
        <f aca="false">IF(AND(C133=0,D133=0),0,IF(C133=0,"New",(D133-C133)/C133))</f>
        <v>-0.344827586206897</v>
      </c>
      <c r="G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3377.1</v>
      </c>
      <c r="H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2226.5</v>
      </c>
      <c r="I133" s="11" t="n">
        <f aca="false">H133-G133</f>
        <v>-1150.6</v>
      </c>
      <c r="J133" s="10" t="n">
        <f aca="false">IF(AND(G133=0,H133=0),0,IF(G133=0,"New",(H133-G133)/G133))</f>
        <v>-0.340706523348435</v>
      </c>
    </row>
    <row r="134" customFormat="false" ht="15" hidden="false" customHeight="true" outlineLevel="0" collapsed="false">
      <c r="A134" s="8" t="s">
        <v>182</v>
      </c>
      <c r="B134" s="8" t="str">
        <f aca="false">IFERROR(INDEX('Source 2026'!$C:$C,MATCH($A134,'Source 2026'!$B:$B,0)),IFERROR(INDEX('Source 2025'!$C:$C,MATCH($A134,'Source 2025'!$B:$B,0)),""))</f>
        <v>XLמפריד אצבע סיליקון ליבלת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521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438</v>
      </c>
      <c r="E134" s="9" t="n">
        <f aca="false">D134-C134</f>
        <v>-83</v>
      </c>
      <c r="F134" s="10" t="n">
        <f aca="false">IF(AND(C134=0,D134=0),0,IF(C134=0,"New",(D134-C134)/C134))</f>
        <v>-0.159309021113244</v>
      </c>
      <c r="G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7118.4</v>
      </c>
      <c r="H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5988.1</v>
      </c>
      <c r="I134" s="11" t="n">
        <f aca="false">H134-G134</f>
        <v>-1130.3</v>
      </c>
      <c r="J134" s="10" t="n">
        <f aca="false">IF(AND(G134=0,H134=0),0,IF(G134=0,"New",(H134-G134)/G134))</f>
        <v>-0.15878568217577</v>
      </c>
    </row>
    <row r="135" customFormat="false" ht="15" hidden="false" customHeight="true" outlineLevel="0" collapsed="false">
      <c r="A135" s="8" t="s">
        <v>183</v>
      </c>
      <c r="B135" s="8" t="str">
        <f aca="false">IFERROR(INDEX('Source 2026'!$C:$C,MATCH($A135,'Source 2026'!$B:$B,0)),IFERROR(INDEX('Source 2025'!$C:$C,MATCH($A135,'Source 2025'!$B:$B,0)),""))</f>
        <v>רפידת נוחות-זוג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428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319</v>
      </c>
      <c r="E135" s="9" t="n">
        <f aca="false">D135-C135</f>
        <v>-109</v>
      </c>
      <c r="F135" s="10" t="n">
        <f aca="false">IF(AND(C135=0,D135=0),0,IF(C135=0,"New",(D135-C135)/C135))</f>
        <v>-0.254672897196262</v>
      </c>
      <c r="G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5019.7</v>
      </c>
      <c r="H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3921.1</v>
      </c>
      <c r="I135" s="11" t="n">
        <f aca="false">H135-G135</f>
        <v>-1098.6</v>
      </c>
      <c r="J135" s="10" t="n">
        <f aca="false">IF(AND(G135=0,H135=0),0,IF(G135=0,"New",(H135-G135)/G135))</f>
        <v>-0.218857700659402</v>
      </c>
    </row>
    <row r="136" customFormat="false" ht="15" hidden="false" customHeight="true" outlineLevel="0" collapsed="false">
      <c r="A136" s="8" t="s">
        <v>184</v>
      </c>
      <c r="B136" s="8" t="str">
        <f aca="false">IFERROR(INDEX('Source 2026'!$C:$C,MATCH($A136,'Source 2026'!$B:$B,0)),IFERROR(INDEX('Source 2025'!$C:$C,MATCH($A136,'Source 2025'!$B:$B,0)),""))</f>
        <v>חבק ""טניס אלבו רצועה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25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11</v>
      </c>
      <c r="E136" s="9" t="n">
        <f aca="false">D136-C136</f>
        <v>-14</v>
      </c>
      <c r="F136" s="10" t="n">
        <f aca="false">IF(AND(C136=0,D136=0),0,IF(C136=0,"New",(D136-C136)/C136))</f>
        <v>-0.56</v>
      </c>
      <c r="G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1952.8</v>
      </c>
      <c r="H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859.4</v>
      </c>
      <c r="I136" s="11" t="n">
        <f aca="false">H136-G136</f>
        <v>-1093.4</v>
      </c>
      <c r="J136" s="10" t="n">
        <f aca="false">IF(AND(G136=0,H136=0),0,IF(G136=0,"New",(H136-G136)/G136))</f>
        <v>-0.559913969684556</v>
      </c>
    </row>
    <row r="137" customFormat="false" ht="15" hidden="false" customHeight="true" outlineLevel="0" collapsed="false">
      <c r="A137" s="8" t="s">
        <v>185</v>
      </c>
      <c r="B137" s="8" t="str">
        <f aca="false">IFERROR(INDEX('Source 2026'!$C:$C,MATCH($A137,'Source 2026'!$B:$B,0)),IFERROR(INDEX('Source 2025'!$C:$C,MATCH($A137,'Source 2025'!$B:$B,0)),""))</f>
        <v>רצועת ""פיקה""+כרית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35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23</v>
      </c>
      <c r="E137" s="9" t="n">
        <f aca="false">D137-C137</f>
        <v>-12</v>
      </c>
      <c r="F137" s="10" t="n">
        <f aca="false">IF(AND(C137=0,D137=0),0,IF(C137=0,"New",(D137-C137)/C137))</f>
        <v>-0.342857142857143</v>
      </c>
      <c r="G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3191.1</v>
      </c>
      <c r="H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2107.1</v>
      </c>
      <c r="I137" s="11" t="n">
        <f aca="false">H137-G137</f>
        <v>-1084</v>
      </c>
      <c r="J137" s="10" t="n">
        <f aca="false">IF(AND(G137=0,H137=0),0,IF(G137=0,"New",(H137-G137)/G137))</f>
        <v>-0.339694776096017</v>
      </c>
    </row>
    <row r="138" customFormat="false" ht="15" hidden="false" customHeight="true" outlineLevel="0" collapsed="false">
      <c r="A138" s="8" t="s">
        <v>186</v>
      </c>
      <c r="B138" s="8" t="str">
        <f aca="false">IFERROR(INDEX('Source 2026'!$C:$C,MATCH($A138,'Source 2026'!$B:$B,0)),IFERROR(INDEX('Source 2025'!$C:$C,MATCH($A138,'Source 2025'!$B:$B,0)),""))</f>
        <v>גרבי קיץ אנטי בקטריא39-42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0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37</v>
      </c>
      <c r="E138" s="9" t="n">
        <f aca="false">D138-C138</f>
        <v>37</v>
      </c>
      <c r="F138" s="10" t="str">
        <f aca="false">IF(AND(C138=0,D138=0),0,IF(C138=0,"New",(D138-C138)/C138))</f>
        <v>New</v>
      </c>
      <c r="G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0</v>
      </c>
      <c r="H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1060.7</v>
      </c>
      <c r="I138" s="11" t="n">
        <f aca="false">H138-G138</f>
        <v>1060.7</v>
      </c>
      <c r="J138" s="10" t="str">
        <f aca="false">IF(AND(G138=0,H138=0),0,IF(G138=0,"New",(H138-G138)/G138))</f>
        <v>New</v>
      </c>
    </row>
    <row r="139" customFormat="false" ht="15" hidden="false" customHeight="true" outlineLevel="0" collapsed="false">
      <c r="A139" s="8" t="s">
        <v>187</v>
      </c>
      <c r="B139" s="8" t="str">
        <f aca="false">IFERROR(INDEX('Source 2026'!$C:$C,MATCH($A139,'Source 2026'!$B:$B,0)),IFERROR(INDEX('Source 2025'!$C:$C,MATCH($A139,'Source 2025'!$B:$B,0)),""))</f>
        <v>ONE SIZE חבק יד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22</v>
      </c>
      <c r="E139" s="9" t="n">
        <f aca="false">D139-C139</f>
        <v>22</v>
      </c>
      <c r="F139" s="10" t="str">
        <f aca="false">IF(AND(C139=0,D139=0),0,IF(C139=0,"New",(D139-C139)/C139))</f>
        <v>New</v>
      </c>
      <c r="G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H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1035.8</v>
      </c>
      <c r="I139" s="11" t="n">
        <f aca="false">H139-G139</f>
        <v>1035.8</v>
      </c>
      <c r="J139" s="10" t="str">
        <f aca="false">IF(AND(G139=0,H139=0),0,IF(G139=0,"New",(H139-G139)/G139))</f>
        <v>New</v>
      </c>
    </row>
    <row r="140" customFormat="false" ht="15" hidden="false" customHeight="true" outlineLevel="0" collapsed="false">
      <c r="A140" s="8" t="s">
        <v>188</v>
      </c>
      <c r="B140" s="8" t="str">
        <f aca="false">IFERROR(INDEX('Source 2026'!$C:$C,MATCH($A140,'Source 2026'!$B:$B,0)),IFERROR(INDEX('Source 2025'!$C:$C,MATCH($A140,'Source 2025'!$B:$B,0)),""))</f>
        <v>M  סד לקרסול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9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0</v>
      </c>
      <c r="E140" s="9" t="n">
        <f aca="false">D140-C140</f>
        <v>-9</v>
      </c>
      <c r="F140" s="10" t="n">
        <f aca="false">IF(AND(C140=0,D140=0),0,IF(C140=0,"New",(D140-C140)/C140))</f>
        <v>-1</v>
      </c>
      <c r="G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1025.3</v>
      </c>
      <c r="H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0</v>
      </c>
      <c r="I140" s="11" t="n">
        <f aca="false">H140-G140</f>
        <v>-1025.3</v>
      </c>
      <c r="J140" s="10" t="n">
        <f aca="false">IF(AND(G140=0,H140=0),0,IF(G140=0,"New",(H140-G140)/G140))</f>
        <v>-1</v>
      </c>
    </row>
    <row r="141" customFormat="false" ht="15" hidden="false" customHeight="true" outlineLevel="0" collapsed="false">
      <c r="A141" s="8" t="s">
        <v>189</v>
      </c>
      <c r="B141" s="8" t="str">
        <f aca="false">IFERROR(INDEX('Source 2026'!$C:$C,MATCH($A141,'Source 2026'!$B:$B,0)),IFERROR(INDEX('Source 2025'!$C:$C,MATCH($A141,'Source 2025'!$B:$B,0)),""))</f>
        <v>לגבס קצר יד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358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330</v>
      </c>
      <c r="E141" s="9" t="n">
        <f aca="false">D141-C141</f>
        <v>-28</v>
      </c>
      <c r="F141" s="10" t="n">
        <f aca="false">IF(AND(C141=0,D141=0),0,IF(C141=0,"New",(D141-C141)/C141))</f>
        <v>-0.0782122905027933</v>
      </c>
      <c r="G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14794.5</v>
      </c>
      <c r="H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13785.8</v>
      </c>
      <c r="I141" s="11" t="n">
        <f aca="false">H141-G141</f>
        <v>-1008.7</v>
      </c>
      <c r="J141" s="10" t="n">
        <f aca="false">IF(AND(G141=0,H141=0),0,IF(G141=0,"New",(H141-G141)/G141))</f>
        <v>-0.0681807428436242</v>
      </c>
    </row>
    <row r="142" customFormat="false" ht="15" hidden="false" customHeight="true" outlineLevel="0" collapsed="false">
      <c r="A142" s="8" t="s">
        <v>190</v>
      </c>
      <c r="B142" s="8" t="str">
        <f aca="false">IFERROR(INDEX('Source 2026'!$C:$C,MATCH($A142,'Source 2026'!$B:$B,0)),IFERROR(INDEX('Source 2025'!$C:$C,MATCH($A142,'Source 2025'!$B:$B,0)),""))</f>
        <v>S-M חבק יד עם צמדן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151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122</v>
      </c>
      <c r="E142" s="9" t="n">
        <f aca="false">D142-C142</f>
        <v>-29</v>
      </c>
      <c r="F142" s="10" t="n">
        <f aca="false">IF(AND(C142=0,D142=0),0,IF(C142=0,"New",(D142-C142)/C142))</f>
        <v>-0.19205298013245</v>
      </c>
      <c r="G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5278.9</v>
      </c>
      <c r="H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4270.8</v>
      </c>
      <c r="I142" s="11" t="n">
        <f aca="false">H142-G142</f>
        <v>-1008.1</v>
      </c>
      <c r="J142" s="10" t="n">
        <f aca="false">IF(AND(G142=0,H142=0),0,IF(G142=0,"New",(H142-G142)/G142))</f>
        <v>-0.190967815264544</v>
      </c>
    </row>
    <row r="143" customFormat="false" ht="15" hidden="false" customHeight="true" outlineLevel="0" collapsed="false">
      <c r="A143" s="8" t="s">
        <v>191</v>
      </c>
      <c r="B143" s="8" t="str">
        <f aca="false">IFERROR(INDEX('Source 2026'!$C:$C,MATCH($A143,'Source 2026'!$B:$B,0)),IFERROR(INDEX('Source 2025'!$C:$C,MATCH($A143,'Source 2025'!$B:$B,0)),""))</f>
        <v>XS חגורת פאבליק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0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3</v>
      </c>
      <c r="E143" s="9" t="n">
        <f aca="false">D143-C143</f>
        <v>3</v>
      </c>
      <c r="F143" s="10" t="str">
        <f aca="false">IF(AND(C143=0,D143=0),0,IF(C143=0,"New",(D143-C143)/C143))</f>
        <v>New</v>
      </c>
      <c r="G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0</v>
      </c>
      <c r="H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970.2</v>
      </c>
      <c r="I143" s="11" t="n">
        <f aca="false">H143-G143</f>
        <v>970.2</v>
      </c>
      <c r="J143" s="10" t="str">
        <f aca="false">IF(AND(G143=0,H143=0),0,IF(G143=0,"New",(H143-G143)/G143))</f>
        <v>New</v>
      </c>
    </row>
    <row r="144" customFormat="false" ht="15" hidden="false" customHeight="true" outlineLevel="0" collapsed="false">
      <c r="A144" s="8" t="s">
        <v>192</v>
      </c>
      <c r="B144" s="8" t="str">
        <f aca="false">IFERROR(INDEX('Source 2026'!$C:$C,MATCH($A144,'Source 2026'!$B:$B,0)),IFERROR(INDEX('Source 2025'!$C:$C,MATCH($A144,'Source 2025'!$B:$B,0)),""))</f>
        <v>חבק טניס אלבו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79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67</v>
      </c>
      <c r="E144" s="9" t="n">
        <f aca="false">D144-C144</f>
        <v>-12</v>
      </c>
      <c r="F144" s="10" t="n">
        <f aca="false">IF(AND(C144=0,D144=0),0,IF(C144=0,"New",(D144-C144)/C144))</f>
        <v>-0.151898734177215</v>
      </c>
      <c r="G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6503.9</v>
      </c>
      <c r="H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5537</v>
      </c>
      <c r="I144" s="11" t="n">
        <f aca="false">H144-G144</f>
        <v>-966.9</v>
      </c>
      <c r="J144" s="10" t="n">
        <f aca="false">IF(AND(G144=0,H144=0),0,IF(G144=0,"New",(H144-G144)/G144))</f>
        <v>-0.148664647365427</v>
      </c>
    </row>
    <row r="145" customFormat="false" ht="15" hidden="false" customHeight="true" outlineLevel="0" collapsed="false">
      <c r="A145" s="8" t="s">
        <v>193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278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221</v>
      </c>
      <c r="E145" s="9" t="n">
        <f aca="false">D145-C145</f>
        <v>-57</v>
      </c>
      <c r="F145" s="10" t="n">
        <f aca="false">IF(AND(C145=0,D145=0),0,IF(C145=0,"New",(D145-C145)/C145))</f>
        <v>-0.205035971223022</v>
      </c>
      <c r="G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5307.5</v>
      </c>
      <c r="H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4346.2</v>
      </c>
      <c r="I145" s="11" t="n">
        <f aca="false">H145-G145</f>
        <v>-961.3</v>
      </c>
      <c r="J145" s="10" t="n">
        <f aca="false">IF(AND(G145=0,H145=0),0,IF(G145=0,"New",(H145-G145)/G145))</f>
        <v>-0.181121055110692</v>
      </c>
    </row>
    <row r="146" customFormat="false" ht="15" hidden="false" customHeight="true" outlineLevel="0" collapsed="false">
      <c r="A146" s="8" t="s">
        <v>194</v>
      </c>
      <c r="B146" s="8" t="str">
        <f aca="false">IFERROR(INDEX('Source 2026'!$C:$C,MATCH($A146,'Source 2026'!$B:$B,0)),IFERROR(INDEX('Source 2025'!$C:$C,MATCH($A146,'Source 2025'!$B:$B,0)),""))</f>
        <v>מדרס מטטרזלי לנעלי עקב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35</v>
      </c>
      <c r="E146" s="9" t="n">
        <f aca="false">D146-C146</f>
        <v>-43</v>
      </c>
      <c r="F146" s="10" t="n">
        <f aca="false">IF(AND(C146=0,D146=0),0,IF(C146=0,"New",(D146-C146)/C146))</f>
        <v>-0.551282051282051</v>
      </c>
      <c r="G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1748.1</v>
      </c>
      <c r="H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788.8</v>
      </c>
      <c r="I146" s="11" t="n">
        <f aca="false">H146-G146</f>
        <v>-959.3</v>
      </c>
      <c r="J146" s="10" t="n">
        <f aca="false">IF(AND(G146=0,H146=0),0,IF(G146=0,"New",(H146-G146)/G146))</f>
        <v>-0.548767232995824</v>
      </c>
    </row>
    <row r="147" customFormat="false" ht="15" hidden="false" customHeight="true" outlineLevel="0" collapsed="false">
      <c r="A147" s="8" t="s">
        <v>195</v>
      </c>
      <c r="B147" s="8" t="str">
        <f aca="false">IFERROR(INDEX('Source 2026'!$C:$C,MATCH($A147,'Source 2026'!$B:$B,0)),IFERROR(INDEX('Source 2025'!$C:$C,MATCH($A147,'Source 2025'!$B:$B,0)),""))</f>
        <v>מדבקה לשחרור לחץ 2 יח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113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83</v>
      </c>
      <c r="E147" s="9" t="n">
        <f aca="false">D147-C147</f>
        <v>-30</v>
      </c>
      <c r="F147" s="10" t="n">
        <f aca="false">IF(AND(C147=0,D147=0),0,IF(C147=0,"New",(D147-C147)/C147))</f>
        <v>-0.265486725663717</v>
      </c>
      <c r="G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3446.7</v>
      </c>
      <c r="H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2495.4</v>
      </c>
      <c r="I147" s="11" t="n">
        <f aca="false">H147-G147</f>
        <v>-951.3</v>
      </c>
      <c r="J147" s="10" t="n">
        <f aca="false">IF(AND(G147=0,H147=0),0,IF(G147=0,"New",(H147-G147)/G147))</f>
        <v>-0.276003133431978</v>
      </c>
    </row>
    <row r="148" customFormat="false" ht="15" hidden="false" customHeight="true" outlineLevel="0" collapsed="false">
      <c r="A148" s="8" t="s">
        <v>196</v>
      </c>
      <c r="B148" s="8" t="str">
        <f aca="false">IFERROR(INDEX('Source 2026'!$C:$C,MATCH($A148,'Source 2026'!$B:$B,0)),IFERROR(INDEX('Source 2025'!$C:$C,MATCH($A148,'Source 2025'!$B:$B,0)),""))</f>
        <v>S  ח.גב גבוהה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0</v>
      </c>
      <c r="E148" s="9" t="n">
        <f aca="false">D148-C148</f>
        <v>-2</v>
      </c>
      <c r="F148" s="10" t="n">
        <f aca="false">IF(AND(C148=0,D148=0),0,IF(C148=0,"New",(D148-C148)/C148))</f>
        <v>-1</v>
      </c>
      <c r="G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945.4</v>
      </c>
      <c r="H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0</v>
      </c>
      <c r="I148" s="11" t="n">
        <f aca="false">H148-G148</f>
        <v>-945.4</v>
      </c>
      <c r="J148" s="10" t="n">
        <f aca="false">IF(AND(G148=0,H148=0),0,IF(G148=0,"New",(H148-G148)/G148))</f>
        <v>-1</v>
      </c>
    </row>
    <row r="149" customFormat="false" ht="15" hidden="false" customHeight="true" outlineLevel="0" collapsed="false">
      <c r="A149" s="8" t="s">
        <v>197</v>
      </c>
      <c r="B149" s="8" t="str">
        <f aca="false">IFERROR(INDEX('Source 2026'!$C:$C,MATCH($A149,'Source 2026'!$B:$B,0)),IFERROR(INDEX('Source 2025'!$C:$C,MATCH($A149,'Source 2025'!$B:$B,0)),""))</f>
        <v>L חגורה לשבר טבור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8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2</v>
      </c>
      <c r="E149" s="9" t="n">
        <f aca="false">D149-C149</f>
        <v>-6</v>
      </c>
      <c r="F149" s="10" t="n">
        <f aca="false">IF(AND(C149=0,D149=0),0,IF(C149=0,"New",(D149-C149)/C149))</f>
        <v>-0.75</v>
      </c>
      <c r="G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1232.9</v>
      </c>
      <c r="H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314</v>
      </c>
      <c r="I149" s="11" t="n">
        <f aca="false">H149-G149</f>
        <v>-918.9</v>
      </c>
      <c r="J149" s="10" t="n">
        <f aca="false">IF(AND(G149=0,H149=0),0,IF(G149=0,"New",(H149-G149)/G149))</f>
        <v>-0.745315921810366</v>
      </c>
    </row>
    <row r="150" customFormat="false" ht="15" hidden="false" customHeight="true" outlineLevel="0" collapsed="false">
      <c r="A150" s="8" t="s">
        <v>198</v>
      </c>
      <c r="B150" s="8" t="str">
        <f aca="false">IFERROR(INDEX('Source 2026'!$C:$C,MATCH($A150,'Source 2026'!$B:$B,0)),IFERROR(INDEX('Source 2025'!$C:$C,MATCH($A150,'Source 2025'!$B:$B,0)),""))</f>
        <v>L מיצב פיקה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10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0</v>
      </c>
      <c r="E150" s="9" t="n">
        <f aca="false">D150-C150</f>
        <v>-10</v>
      </c>
      <c r="F150" s="10" t="n">
        <f aca="false">IF(AND(C150=0,D150=0),0,IF(C150=0,"New",(D150-C150)/C150))</f>
        <v>-1</v>
      </c>
      <c r="G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907.8</v>
      </c>
      <c r="H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0</v>
      </c>
      <c r="I150" s="11" t="n">
        <f aca="false">H150-G150</f>
        <v>-907.8</v>
      </c>
      <c r="J150" s="10" t="n">
        <f aca="false">IF(AND(G150=0,H150=0),0,IF(G150=0,"New",(H150-G150)/G150))</f>
        <v>-1</v>
      </c>
    </row>
    <row r="151" customFormat="false" ht="15" hidden="false" customHeight="true" outlineLevel="0" collapsed="false">
      <c r="A151" s="8" t="s">
        <v>199</v>
      </c>
      <c r="B151" s="8" t="str">
        <f aca="false">IFERROR(INDEX('Source 2026'!$C:$C,MATCH($A151,'Source 2026'!$B:$B,0)),IFERROR(INDEX('Source 2025'!$C:$C,MATCH($A151,'Source 2025'!$B:$B,0)),""))</f>
        <v>S מדרס ג'ל לנעלי עקב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12</v>
      </c>
      <c r="E151" s="9" t="n">
        <f aca="false">D151-C151</f>
        <v>12</v>
      </c>
      <c r="F151" s="10" t="str">
        <f aca="false">IF(AND(C151=0,D151=0),0,IF(C151=0,"New",(D151-C151)/C151))</f>
        <v>New</v>
      </c>
      <c r="G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0</v>
      </c>
      <c r="H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877.6</v>
      </c>
      <c r="I151" s="11" t="n">
        <f aca="false">H151-G151</f>
        <v>877.6</v>
      </c>
      <c r="J151" s="10" t="str">
        <f aca="false">IF(AND(G151=0,H151=0),0,IF(G151=0,"New",(H151-G151)/G151))</f>
        <v>New</v>
      </c>
    </row>
    <row r="152" customFormat="false" ht="15" hidden="false" customHeight="true" outlineLevel="0" collapsed="false">
      <c r="A152" s="8" t="s">
        <v>200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0</v>
      </c>
      <c r="E152" s="9" t="n">
        <f aca="false">D152-C152</f>
        <v>-8</v>
      </c>
      <c r="F152" s="10" t="n">
        <f aca="false">IF(AND(C152=0,D152=0),0,IF(C152=0,"New",(D152-C152)/C152))</f>
        <v>-1</v>
      </c>
      <c r="G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804.6</v>
      </c>
      <c r="H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0</v>
      </c>
      <c r="I152" s="11" t="n">
        <f aca="false">H152-G152</f>
        <v>-804.6</v>
      </c>
      <c r="J152" s="10" t="n">
        <f aca="false">IF(AND(G152=0,H152=0),0,IF(G152=0,"New",(H152-G152)/G152))</f>
        <v>-1</v>
      </c>
    </row>
    <row r="153" customFormat="false" ht="15" hidden="false" customHeight="true" outlineLevel="0" collapsed="false">
      <c r="A153" s="8" t="s">
        <v>201</v>
      </c>
      <c r="B153" s="8" t="str">
        <f aca="false">IFERROR(INDEX('Source 2026'!$C:$C,MATCH($A153,'Source 2026'!$B:$B,0)),IFERROR(INDEX('Source 2025'!$C:$C,MATCH($A153,'Source 2025'!$B:$B,0)),""))</f>
        <v>ריפוד סיליק.לעקב תחתון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45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11</v>
      </c>
      <c r="E153" s="9" t="n">
        <f aca="false">D153-C153</f>
        <v>-34</v>
      </c>
      <c r="F153" s="10" t="n">
        <f aca="false">IF(AND(C153=0,D153=0),0,IF(C153=0,"New",(D153-C153)/C153))</f>
        <v>-0.755555555555556</v>
      </c>
      <c r="G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1008</v>
      </c>
      <c r="H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243.3</v>
      </c>
      <c r="I153" s="11" t="n">
        <f aca="false">H153-G153</f>
        <v>-764.7</v>
      </c>
      <c r="J153" s="10" t="n">
        <f aca="false">IF(AND(G153=0,H153=0),0,IF(G153=0,"New",(H153-G153)/G153))</f>
        <v>-0.758630952380953</v>
      </c>
    </row>
    <row r="154" customFormat="false" ht="15" hidden="false" customHeight="true" outlineLevel="0" collapsed="false">
      <c r="A154" s="8" t="s">
        <v>202</v>
      </c>
      <c r="B154" s="8" t="str">
        <f aca="false">IFERROR(INDEX('Source 2026'!$C:$C,MATCH($A154,'Source 2026'!$B:$B,0)),IFERROR(INDEX('Source 2025'!$C:$C,MATCH($A154,'Source 2025'!$B:$B,0)),""))</f>
        <v>S חגורה למנותחי בית החזה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29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22</v>
      </c>
      <c r="E154" s="9" t="n">
        <f aca="false">D154-C154</f>
        <v>-7</v>
      </c>
      <c r="F154" s="10" t="n">
        <f aca="false">IF(AND(C154=0,D154=0),0,IF(C154=0,"New",(D154-C154)/C154))</f>
        <v>-0.241379310344828</v>
      </c>
      <c r="G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4171.9</v>
      </c>
      <c r="H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3442.9</v>
      </c>
      <c r="I154" s="11" t="n">
        <f aca="false">H154-G154</f>
        <v>-729</v>
      </c>
      <c r="J154" s="10" t="n">
        <f aca="false">IF(AND(G154=0,H154=0),0,IF(G154=0,"New",(H154-G154)/G154))</f>
        <v>-0.17474052589947</v>
      </c>
    </row>
    <row r="155" customFormat="false" ht="15" hidden="false" customHeight="true" outlineLevel="0" collapsed="false">
      <c r="A155" s="8" t="s">
        <v>203</v>
      </c>
      <c r="B155" s="8" t="str">
        <f aca="false">IFERROR(INDEX('Source 2026'!$C:$C,MATCH($A155,'Source 2026'!$B:$B,0)),IFERROR(INDEX('Source 2025'!$C:$C,MATCH($A155,'Source 2025'!$B:$B,0)),""))</f>
        <v>להסרת עור קשה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49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73</v>
      </c>
      <c r="E155" s="9" t="n">
        <f aca="false">D155-C155</f>
        <v>24</v>
      </c>
      <c r="F155" s="10" t="n">
        <f aca="false">IF(AND(C155=0,D155=0),0,IF(C155=0,"New",(D155-C155)/C155))</f>
        <v>0.489795918367347</v>
      </c>
      <c r="G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1383.8</v>
      </c>
      <c r="H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2097.1</v>
      </c>
      <c r="I155" s="11" t="n">
        <f aca="false">H155-G155</f>
        <v>713.3</v>
      </c>
      <c r="J155" s="10" t="n">
        <f aca="false">IF(AND(G155=0,H155=0),0,IF(G155=0,"New",(H155-G155)/G155))</f>
        <v>0.515464662523486</v>
      </c>
    </row>
    <row r="156" customFormat="false" ht="15" hidden="false" customHeight="true" outlineLevel="0" collapsed="false">
      <c r="A156" s="8" t="s">
        <v>204</v>
      </c>
      <c r="B156" s="8" t="str">
        <f aca="false">IFERROR(INDEX('Source 2026'!$C:$C,MATCH($A156,'Source 2026'!$B:$B,0)),IFERROR(INDEX('Source 2025'!$C:$C,MATCH($A156,'Source 2025'!$B:$B,0)),""))</f>
        <v>סכינים למקצוע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44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119</v>
      </c>
      <c r="E156" s="9" t="n">
        <f aca="false">D156-C156</f>
        <v>75</v>
      </c>
      <c r="F156" s="10" t="n">
        <f aca="false">IF(AND(C156=0,D156=0),0,IF(C156=0,"New",(D156-C156)/C156))</f>
        <v>1.70454545454545</v>
      </c>
      <c r="G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419.3</v>
      </c>
      <c r="H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1128.9</v>
      </c>
      <c r="I156" s="11" t="n">
        <f aca="false">H156-G156</f>
        <v>709.6</v>
      </c>
      <c r="J156" s="10" t="n">
        <f aca="false">IF(AND(G156=0,H156=0),0,IF(G156=0,"New",(H156-G156)/G156))</f>
        <v>1.6923443834963</v>
      </c>
    </row>
    <row r="157" customFormat="false" ht="15" hidden="false" customHeight="true" outlineLevel="0" collapsed="false">
      <c r="A157" s="8" t="s">
        <v>205</v>
      </c>
      <c r="B157" s="8" t="str">
        <f aca="false">IFERROR(INDEX('Source 2026'!$C:$C,MATCH($A157,'Source 2026'!$B:$B,0)),IFERROR(INDEX('Source 2025'!$C:$C,MATCH($A157,'Source 2025'!$B:$B,0)),""))</f>
        <v>מגן קרסול נושם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374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335</v>
      </c>
      <c r="E157" s="9" t="n">
        <f aca="false">D157-C157</f>
        <v>-39</v>
      </c>
      <c r="F157" s="10" t="n">
        <f aca="false">IF(AND(C157=0,D157=0),0,IF(C157=0,"New",(D157-C157)/C157))</f>
        <v>-0.10427807486631</v>
      </c>
      <c r="G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11800.7</v>
      </c>
      <c r="H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11099</v>
      </c>
      <c r="I157" s="11" t="n">
        <f aca="false">H157-G157</f>
        <v>-701.700000000003</v>
      </c>
      <c r="J157" s="10" t="n">
        <f aca="false">IF(AND(G157=0,H157=0),0,IF(G157=0,"New",(H157-G157)/G157))</f>
        <v>-0.0594625742540699</v>
      </c>
    </row>
    <row r="158" customFormat="false" ht="15" hidden="false" customHeight="true" outlineLevel="0" collapsed="false">
      <c r="A158" s="8" t="s">
        <v>206</v>
      </c>
      <c r="B158" s="8" t="str">
        <f aca="false">IFERROR(INDEX('Source 2026'!$C:$C,MATCH($A158,'Source 2026'!$B:$B,0)),IFERROR(INDEX('Source 2025'!$C:$C,MATCH($A158,'Source 2025'!$B:$B,0)),""))</f>
        <v>נגד פטרת הציפורן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-21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-4</v>
      </c>
      <c r="E158" s="9" t="n">
        <f aca="false">D158-C158</f>
        <v>17</v>
      </c>
      <c r="F158" s="10" t="n">
        <f aca="false">IF(AND(C158=0,D158=0),0,IF(C158=0,"New",(D158-C158)/C158))</f>
        <v>-0.80952380952381</v>
      </c>
      <c r="G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-810.8</v>
      </c>
      <c r="H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-113.3</v>
      </c>
      <c r="I158" s="11" t="n">
        <f aca="false">H158-G158</f>
        <v>697.5</v>
      </c>
      <c r="J158" s="10" t="n">
        <f aca="false">IF(AND(G158=0,H158=0),0,IF(G158=0,"New",(H158-G158)/G158))</f>
        <v>-0.860261470152935</v>
      </c>
    </row>
    <row r="159" customFormat="false" ht="15" hidden="false" customHeight="true" outlineLevel="0" collapsed="false">
      <c r="A159" s="8" t="s">
        <v>207</v>
      </c>
      <c r="B159" s="8" t="str">
        <f aca="false">IFERROR(INDEX('Source 2026'!$C:$C,MATCH($A159,'Source 2026'!$B:$B,0)),IFERROR(INDEX('Source 2025'!$C:$C,MATCH($A159,'Source 2025'!$B:$B,0)),""))</f>
        <v>חגורת גב אפורה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50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43</v>
      </c>
      <c r="E159" s="9" t="n">
        <f aca="false">D159-C159</f>
        <v>-7</v>
      </c>
      <c r="F159" s="10" t="n">
        <f aca="false">IF(AND(C159=0,D159=0),0,IF(C159=0,"New",(D159-C159)/C159))</f>
        <v>-0.14</v>
      </c>
      <c r="G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5649.4</v>
      </c>
      <c r="H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4953.8</v>
      </c>
      <c r="I159" s="11" t="n">
        <f aca="false">H159-G159</f>
        <v>-695.6</v>
      </c>
      <c r="J159" s="10" t="n">
        <f aca="false">IF(AND(G159=0,H159=0),0,IF(G159=0,"New",(H159-G159)/G159))</f>
        <v>-0.123128119800333</v>
      </c>
    </row>
    <row r="160" customFormat="false" ht="15" hidden="false" customHeight="true" outlineLevel="0" collapsed="false">
      <c r="A160" s="8" t="s">
        <v>208</v>
      </c>
      <c r="B160" s="8" t="str">
        <f aca="false">IFERROR(INDEX('Source 2026'!$C:$C,MATCH($A160,'Source 2026'!$B:$B,0)),IFERROR(INDEX('Source 2025'!$C:$C,MATCH($A160,'Source 2025'!$B:$B,0)),""))</f>
        <v>0 חגורה למנותחי בית חזה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6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</v>
      </c>
      <c r="E160" s="9" t="n">
        <f aca="false">D160-C160</f>
        <v>-3</v>
      </c>
      <c r="F160" s="10" t="n">
        <f aca="false">IF(AND(C160=0,D160=0),0,IF(C160=0,"New",(D160-C160)/C160))</f>
        <v>-0.5</v>
      </c>
      <c r="G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1467.5</v>
      </c>
      <c r="H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774.8</v>
      </c>
      <c r="I160" s="11" t="n">
        <f aca="false">H160-G160</f>
        <v>-692.7</v>
      </c>
      <c r="J160" s="10" t="n">
        <f aca="false">IF(AND(G160=0,H160=0),0,IF(G160=0,"New",(H160-G160)/G160))</f>
        <v>-0.472027257240204</v>
      </c>
    </row>
    <row r="161" customFormat="false" ht="15" hidden="false" customHeight="true" outlineLevel="0" collapsed="false">
      <c r="A161" s="8" t="s">
        <v>209</v>
      </c>
      <c r="B161" s="8" t="str">
        <f aca="false">IFERROR(INDEX('Source 2026'!$C:$C,MATCH($A161,'Source 2026'!$B:$B,0)),IFERROR(INDEX('Source 2025'!$C:$C,MATCH($A161,'Source 2025'!$B:$B,0)),""))</f>
        <v>S ח.הריון מכנס למניעת כאבים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-1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9" t="n">
        <f aca="false">D161-C161</f>
        <v>-3</v>
      </c>
      <c r="F161" s="10" t="n">
        <f aca="false">IF(AND(C161=0,D161=0),0,IF(C161=0,"New",(D161-C161)/C161))</f>
        <v>3</v>
      </c>
      <c r="G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-307.2</v>
      </c>
      <c r="H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-990</v>
      </c>
      <c r="I161" s="11" t="n">
        <f aca="false">H161-G161</f>
        <v>-682.8</v>
      </c>
      <c r="J161" s="10" t="n">
        <f aca="false">IF(AND(G161=0,H161=0),0,IF(G161=0,"New",(H161-G161)/G161))</f>
        <v>2.22265625</v>
      </c>
    </row>
    <row r="162" customFormat="false" ht="15" hidden="false" customHeight="true" outlineLevel="0" collapsed="false">
      <c r="A162" s="8" t="s">
        <v>210</v>
      </c>
      <c r="B162" s="8" t="str">
        <f aca="false">IFERROR(INDEX('Source 2026'!$C:$C,MATCH($A162,'Source 2026'!$B:$B,0)),IFERROR(INDEX('Source 2025'!$C:$C,MATCH($A162,'Source 2025'!$B:$B,0)),""))</f>
        <v>S  חגורת גב פוג'יאמה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26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19</v>
      </c>
      <c r="E162" s="9" t="n">
        <f aca="false">D162-C162</f>
        <v>-7</v>
      </c>
      <c r="F162" s="10" t="n">
        <f aca="false">IF(AND(C162=0,D162=0),0,IF(C162=0,"New",(D162-C162)/C162))</f>
        <v>-0.269230769230769</v>
      </c>
      <c r="G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2418.8</v>
      </c>
      <c r="H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1760.4</v>
      </c>
      <c r="I162" s="11" t="n">
        <f aca="false">H162-G162</f>
        <v>-658.4</v>
      </c>
      <c r="J162" s="10" t="n">
        <f aca="false">IF(AND(G162=0,H162=0),0,IF(G162=0,"New",(H162-G162)/G162))</f>
        <v>-0.272201091450306</v>
      </c>
    </row>
    <row r="163" customFormat="false" ht="15" hidden="false" customHeight="true" outlineLevel="0" collapsed="false">
      <c r="A163" s="8" t="s">
        <v>211</v>
      </c>
      <c r="B163" s="8" t="str">
        <f aca="false">IFERROR(INDEX('Source 2026'!$C:$C,MATCH($A163,'Source 2026'!$B:$B,0)),IFERROR(INDEX('Source 2025'!$C:$C,MATCH($A163,'Source 2025'!$B:$B,0)),""))</f>
        <v>344-אבן טבעית להסרת עור קשה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261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184</v>
      </c>
      <c r="E163" s="9" t="n">
        <f aca="false">D163-C163</f>
        <v>-77</v>
      </c>
      <c r="F163" s="10" t="n">
        <f aca="false">IF(AND(C163=0,D163=0),0,IF(C163=0,"New",(D163-C163)/C163))</f>
        <v>-0.295019157088123</v>
      </c>
      <c r="G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2230.9</v>
      </c>
      <c r="H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1578.6</v>
      </c>
      <c r="I163" s="11" t="n">
        <f aca="false">H163-G163</f>
        <v>-652.3</v>
      </c>
      <c r="J163" s="10" t="n">
        <f aca="false">IF(AND(G163=0,H163=0),0,IF(G163=0,"New",(H163-G163)/G163))</f>
        <v>-0.292393204536286</v>
      </c>
    </row>
    <row r="164" customFormat="false" ht="15" hidden="false" customHeight="true" outlineLevel="0" collapsed="false">
      <c r="A164" s="8" t="s">
        <v>212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16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-2</v>
      </c>
      <c r="E164" s="9" t="n">
        <f aca="false">D164-C164</f>
        <v>-18</v>
      </c>
      <c r="F164" s="10" t="n">
        <f aca="false">IF(AND(C164=0,D164=0),0,IF(C164=0,"New",(D164-C164)/C164))</f>
        <v>-1.125</v>
      </c>
      <c r="G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580.6</v>
      </c>
      <c r="H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-69.3</v>
      </c>
      <c r="I164" s="11" t="n">
        <f aca="false">H164-G164</f>
        <v>-649.9</v>
      </c>
      <c r="J164" s="10" t="n">
        <f aca="false">IF(AND(G164=0,H164=0),0,IF(G164=0,"New",(H164-G164)/G164))</f>
        <v>-1.11935928349983</v>
      </c>
    </row>
    <row r="165" customFormat="false" ht="15" hidden="false" customHeight="true" outlineLevel="0" collapsed="false">
      <c r="A165" s="8" t="s">
        <v>213</v>
      </c>
      <c r="B165" s="8" t="str">
        <f aca="false">IFERROR(INDEX('Source 2026'!$C:$C,MATCH($A165,'Source 2026'!$B:$B,0)),IFERROR(INDEX('Source 2025'!$C:$C,MATCH($A165,'Source 2025'!$B:$B,0)),""))</f>
        <v>רפידת מגבת כותנה-זוג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148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89</v>
      </c>
      <c r="E165" s="9" t="n">
        <f aca="false">D165-C165</f>
        <v>-59</v>
      </c>
      <c r="F165" s="10" t="n">
        <f aca="false">IF(AND(C165=0,D165=0),0,IF(C165=0,"New",(D165-C165)/C165))</f>
        <v>-0.398648648648649</v>
      </c>
      <c r="G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1619.1</v>
      </c>
      <c r="H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971.3</v>
      </c>
      <c r="I165" s="11" t="n">
        <f aca="false">H165-G165</f>
        <v>-647.8</v>
      </c>
      <c r="J165" s="10" t="n">
        <f aca="false">IF(AND(G165=0,H165=0),0,IF(G165=0,"New",(H165-G165)/G165))</f>
        <v>-0.400098820332283</v>
      </c>
    </row>
    <row r="166" customFormat="false" ht="15" hidden="false" customHeight="true" outlineLevel="0" collapsed="false">
      <c r="A166" s="8" t="s">
        <v>214</v>
      </c>
      <c r="B166" s="8" t="str">
        <f aca="false">IFERROR(INDEX('Source 2026'!$C:$C,MATCH($A166,'Source 2026'!$B:$B,0)),IFERROR(INDEX('Source 2025'!$C:$C,MATCH($A166,'Source 2025'!$B:$B,0)),""))</f>
        <v>רצועה לפיקה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0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</v>
      </c>
      <c r="E166" s="9" t="n">
        <f aca="false">D166-C166</f>
        <v>8</v>
      </c>
      <c r="F166" s="10" t="str">
        <f aca="false">IF(AND(C166=0,D166=0),0,IF(C166=0,"New",(D166-C166)/C166))</f>
        <v>New</v>
      </c>
      <c r="G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0</v>
      </c>
      <c r="H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646.3</v>
      </c>
      <c r="I166" s="11" t="n">
        <f aca="false">H166-G166</f>
        <v>646.3</v>
      </c>
      <c r="J166" s="10" t="str">
        <f aca="false">IF(AND(G166=0,H166=0),0,IF(G166=0,"New",(H166-G166)/G166))</f>
        <v>New</v>
      </c>
    </row>
    <row r="167" customFormat="false" ht="15" hidden="false" customHeight="true" outlineLevel="0" collapsed="false">
      <c r="A167" s="8" t="s">
        <v>215</v>
      </c>
      <c r="B167" s="8" t="str">
        <f aca="false">IFERROR(INDEX('Source 2026'!$C:$C,MATCH($A167,'Source 2026'!$B:$B,0)),IFERROR(INDEX('Source 2025'!$C:$C,MATCH($A167,'Source 2025'!$B:$B,0)),""))</f>
        <v>S מגן קרסול ימין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17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22</v>
      </c>
      <c r="E167" s="9" t="n">
        <f aca="false">D167-C167</f>
        <v>5</v>
      </c>
      <c r="F167" s="10" t="n">
        <f aca="false">IF(AND(C167=0,D167=0),0,IF(C167=0,"New",(D167-C167)/C167))</f>
        <v>0.294117647058824</v>
      </c>
      <c r="G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1343.2</v>
      </c>
      <c r="H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1985.8</v>
      </c>
      <c r="I167" s="11" t="n">
        <f aca="false">H167-G167</f>
        <v>642.6</v>
      </c>
      <c r="J167" s="10" t="n">
        <f aca="false">IF(AND(G167=0,H167=0),0,IF(G167=0,"New",(H167-G167)/G167))</f>
        <v>0.47840976771888</v>
      </c>
    </row>
    <row r="168" customFormat="false" ht="15" hidden="false" customHeight="true" outlineLevel="0" collapsed="false">
      <c r="A168" s="8" t="s">
        <v>216</v>
      </c>
      <c r="B168" s="8" t="str">
        <f aca="false">IFERROR(INDEX('Source 2026'!$C:$C,MATCH($A168,'Source 2026'!$B:$B,0)),IFERROR(INDEX('Source 2025'!$C:$C,MATCH($A168,'Source 2025'!$B:$B,0)),""))</f>
        <v>מגן קרסול+כרית סילקון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0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5</v>
      </c>
      <c r="E168" s="9" t="n">
        <f aca="false">D168-C168</f>
        <v>5</v>
      </c>
      <c r="F168" s="10" t="str">
        <f aca="false">IF(AND(C168=0,D168=0),0,IF(C168=0,"New",(D168-C168)/C168))</f>
        <v>New</v>
      </c>
      <c r="G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0</v>
      </c>
      <c r="H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639.6</v>
      </c>
      <c r="I168" s="11" t="n">
        <f aca="false">H168-G168</f>
        <v>639.6</v>
      </c>
      <c r="J168" s="10" t="str">
        <f aca="false">IF(AND(G168=0,H168=0),0,IF(G168=0,"New",(H168-G168)/G168))</f>
        <v>New</v>
      </c>
    </row>
    <row r="169" customFormat="false" ht="15" hidden="false" customHeight="true" outlineLevel="0" collapsed="false">
      <c r="A169" s="8" t="s">
        <v>217</v>
      </c>
      <c r="B169" s="8" t="str">
        <f aca="false">IFERROR(INDEX('Source 2026'!$C:$C,MATCH($A169,'Source 2026'!$B:$B,0)),IFERROR(INDEX('Source 2025'!$C:$C,MATCH($A169,'Source 2025'!$B:$B,0)),""))</f>
        <v>קרם רגליים שיקומי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-17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-4</v>
      </c>
      <c r="E169" s="9" t="n">
        <f aca="false">D169-C169</f>
        <v>13</v>
      </c>
      <c r="F169" s="10" t="n">
        <f aca="false">IF(AND(C169=0,D169=0),0,IF(C169=0,"New",(D169-C169)/C169))</f>
        <v>-0.764705882352941</v>
      </c>
      <c r="G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-768.2</v>
      </c>
      <c r="H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-132.5</v>
      </c>
      <c r="I169" s="11" t="n">
        <f aca="false">H169-G169</f>
        <v>635.7</v>
      </c>
      <c r="J169" s="10" t="n">
        <f aca="false">IF(AND(G169=0,H169=0),0,IF(G169=0,"New",(H169-G169)/G169))</f>
        <v>-0.827518875292893</v>
      </c>
    </row>
    <row r="170" customFormat="false" ht="15" hidden="false" customHeight="true" outlineLevel="0" collapsed="false">
      <c r="A170" s="8" t="s">
        <v>218</v>
      </c>
      <c r="B170" s="8" t="str">
        <f aca="false">IFERROR(INDEX('Source 2026'!$C:$C,MATCH($A170,'Source 2026'!$B:$B,0)),IFERROR(INDEX('Source 2025'!$C:$C,MATCH($A170,'Source 2025'!$B:$B,0)),""))</f>
        <v>S ""חגורת גב ""לומבו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44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39</v>
      </c>
      <c r="E170" s="9" t="n">
        <f aca="false">D170-C170</f>
        <v>-5</v>
      </c>
      <c r="F170" s="10" t="n">
        <f aca="false">IF(AND(C170=0,D170=0),0,IF(C170=0,"New",(D170-C170)/C170))</f>
        <v>-0.113636363636364</v>
      </c>
      <c r="G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6380.7</v>
      </c>
      <c r="H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5746.6</v>
      </c>
      <c r="I170" s="11" t="n">
        <f aca="false">H170-G170</f>
        <v>-634.1</v>
      </c>
      <c r="J170" s="10" t="n">
        <f aca="false">IF(AND(G170=0,H170=0),0,IF(G170=0,"New",(H170-G170)/G170))</f>
        <v>-0.0993778112119361</v>
      </c>
    </row>
    <row r="171" customFormat="false" ht="15" hidden="false" customHeight="true" outlineLevel="0" collapsed="false">
      <c r="A171" s="8" t="s">
        <v>219</v>
      </c>
      <c r="B171" s="8" t="str">
        <f aca="false">IFERROR(INDEX('Source 2026'!$C:$C,MATCH($A171,'Source 2026'!$B:$B,0)),IFERROR(INDEX('Source 2025'!$C:$C,MATCH($A171,'Source 2025'!$B:$B,0)),""))</f>
        <v>כפפות אגודל לחץ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27</v>
      </c>
      <c r="E171" s="9" t="n">
        <f aca="false">D171-C171</f>
        <v>-17</v>
      </c>
      <c r="F171" s="10" t="n">
        <f aca="false">IF(AND(C171=0,D171=0),0,IF(C171=0,"New",(D171-C171)/C171))</f>
        <v>-0.386363636363636</v>
      </c>
      <c r="G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1685.9</v>
      </c>
      <c r="H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1063.8</v>
      </c>
      <c r="I171" s="11" t="n">
        <f aca="false">H171-G171</f>
        <v>-622.1</v>
      </c>
      <c r="J171" s="10" t="n">
        <f aca="false">IF(AND(G171=0,H171=0),0,IF(G171=0,"New",(H171-G171)/G171))</f>
        <v>-0.369001720149475</v>
      </c>
    </row>
    <row r="172" customFormat="false" ht="15" hidden="false" customHeight="true" outlineLevel="0" collapsed="false">
      <c r="A172" s="8" t="s">
        <v>220</v>
      </c>
      <c r="B172" s="8" t="str">
        <f aca="false">IFERROR(INDEX('Source 2026'!$C:$C,MATCH($A172,'Source 2026'!$B:$B,0)),IFERROR(INDEX('Source 2025'!$C:$C,MATCH($A172,'Source 2025'!$B:$B,0)),""))</f>
        <v>0 כרית חום וקור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49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36</v>
      </c>
      <c r="E172" s="9" t="n">
        <f aca="false">D172-C172</f>
        <v>-13</v>
      </c>
      <c r="F172" s="10" t="n">
        <f aca="false">IF(AND(C172=0,D172=0),0,IF(C172=0,"New",(D172-C172)/C172))</f>
        <v>-0.26530612244898</v>
      </c>
      <c r="G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2276.2</v>
      </c>
      <c r="H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1677.4</v>
      </c>
      <c r="I172" s="11" t="n">
        <f aca="false">H172-G172</f>
        <v>-598.8</v>
      </c>
      <c r="J172" s="10" t="n">
        <f aca="false">IF(AND(G172=0,H172=0),0,IF(G172=0,"New",(H172-G172)/G172))</f>
        <v>-0.263070028995695</v>
      </c>
    </row>
    <row r="173" customFormat="false" ht="15" hidden="false" customHeight="true" outlineLevel="0" collapsed="false">
      <c r="A173" s="8" t="s">
        <v>221</v>
      </c>
      <c r="B173" s="8" t="str">
        <f aca="false">IFERROR(INDEX('Source 2026'!$C:$C,MATCH($A173,'Source 2026'!$B:$B,0)),IFERROR(INDEX('Source 2025'!$C:$C,MATCH($A173,'Source 2025'!$B:$B,0)),""))</f>
        <v>כפפות לחץ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32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16</v>
      </c>
      <c r="E173" s="9" t="n">
        <f aca="false">D173-C173</f>
        <v>-16</v>
      </c>
      <c r="F173" s="10" t="n">
        <f aca="false">IF(AND(C173=0,D173=0),0,IF(C173=0,"New",(D173-C173)/C173))</f>
        <v>-0.5</v>
      </c>
      <c r="G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1162.2</v>
      </c>
      <c r="H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591.7</v>
      </c>
      <c r="I173" s="11" t="n">
        <f aca="false">H173-G173</f>
        <v>-570.5</v>
      </c>
      <c r="J173" s="10" t="n">
        <f aca="false">IF(AND(G173=0,H173=0),0,IF(G173=0,"New",(H173-G173)/G173))</f>
        <v>-0.490879366718293</v>
      </c>
    </row>
    <row r="174" customFormat="false" ht="15" hidden="false" customHeight="true" outlineLevel="0" collapsed="false">
      <c r="A174" s="8" t="s">
        <v>222</v>
      </c>
      <c r="B174" s="8" t="str">
        <f aca="false">IFERROR(INDEX('Source 2026'!$C:$C,MATCH($A174,'Source 2026'!$B:$B,0)),IFERROR(INDEX('Source 2025'!$C:$C,MATCH($A174,'Source 2025'!$B:$B,0)),""))</f>
        <v>0 רפידת לילדים אנטי ריח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58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9</v>
      </c>
      <c r="E174" s="9" t="n">
        <f aca="false">D174-C174</f>
        <v>-49</v>
      </c>
      <c r="F174" s="10" t="n">
        <f aca="false">IF(AND(C174=0,D174=0),0,IF(C174=0,"New",(D174-C174)/C174))</f>
        <v>-0.844827586206897</v>
      </c>
      <c r="G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678.9</v>
      </c>
      <c r="H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112.5</v>
      </c>
      <c r="I174" s="11" t="n">
        <f aca="false">H174-G174</f>
        <v>-566.4</v>
      </c>
      <c r="J174" s="10" t="n">
        <f aca="false">IF(AND(G174=0,H174=0),0,IF(G174=0,"New",(H174-G174)/G174))</f>
        <v>-0.83429076447194</v>
      </c>
    </row>
    <row r="175" customFormat="false" ht="15" hidden="false" customHeight="true" outlineLevel="0" collapsed="false">
      <c r="A175" s="8" t="s">
        <v>223</v>
      </c>
      <c r="B175" s="8" t="str">
        <f aca="false">IFERROR(INDEX('Source 2026'!$C:$C,MATCH($A175,'Source 2026'!$B:$B,0)),IFERROR(INDEX('Source 2025'!$C:$C,MATCH($A175,'Source 2025'!$B:$B,0)),""))</f>
        <v>כפפות אגודל לחץ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28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13</v>
      </c>
      <c r="E175" s="9" t="n">
        <f aca="false">D175-C175</f>
        <v>-15</v>
      </c>
      <c r="F175" s="10" t="n">
        <f aca="false">IF(AND(C175=0,D175=0),0,IF(C175=0,"New",(D175-C175)/C175))</f>
        <v>-0.535714285714286</v>
      </c>
      <c r="G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1071.9</v>
      </c>
      <c r="H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512</v>
      </c>
      <c r="I175" s="11" t="n">
        <f aca="false">H175-G175</f>
        <v>-559.9</v>
      </c>
      <c r="J175" s="10" t="n">
        <f aca="false">IF(AND(G175=0,H175=0),0,IF(G175=0,"New",(H175-G175)/G175))</f>
        <v>-0.522343502192369</v>
      </c>
    </row>
    <row r="176" customFormat="false" ht="15" hidden="false" customHeight="true" outlineLevel="0" collapsed="false">
      <c r="A176" s="8" t="s">
        <v>224</v>
      </c>
      <c r="B176" s="8" t="str">
        <f aca="false">IFERROR(INDEX('Source 2026'!$C:$C,MATCH($A176,'Source 2026'!$B:$B,0)),IFERROR(INDEX('Source 2025'!$C:$C,MATCH($A176,'Source 2025'!$B:$B,0)),""))</f>
        <v>טייפ חבישה לספורט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26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56</v>
      </c>
      <c r="E176" s="9" t="n">
        <f aca="false">D176-C176</f>
        <v>30</v>
      </c>
      <c r="F176" s="10" t="n">
        <f aca="false">IF(AND(C176=0,D176=0),0,IF(C176=0,"New",(D176-C176)/C176))</f>
        <v>1.15384615384615</v>
      </c>
      <c r="G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417.2</v>
      </c>
      <c r="H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966.2</v>
      </c>
      <c r="I176" s="11" t="n">
        <f aca="false">H176-G176</f>
        <v>549</v>
      </c>
      <c r="J176" s="10" t="n">
        <f aca="false">IF(AND(G176=0,H176=0),0,IF(G176=0,"New",(H176-G176)/G176))</f>
        <v>1.31591562799617</v>
      </c>
    </row>
    <row r="177" customFormat="false" ht="15" hidden="false" customHeight="true" outlineLevel="0" collapsed="false">
      <c r="A177" s="8" t="s">
        <v>225</v>
      </c>
      <c r="B177" s="8" t="str">
        <f aca="false">IFERROR(INDEX('Source 2026'!$C:$C,MATCH($A177,'Source 2026'!$B:$B,0)),IFERROR(INDEX('Source 2025'!$C:$C,MATCH($A177,'Source 2025'!$B:$B,0)),""))</f>
        <v>מפריד הלוקס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14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20</v>
      </c>
      <c r="E177" s="9" t="n">
        <f aca="false">D177-C177</f>
        <v>6</v>
      </c>
      <c r="F177" s="10" t="n">
        <f aca="false">IF(AND(C177=0,D177=0),0,IF(C177=0,"New",(D177-C177)/C177))</f>
        <v>0.428571428571429</v>
      </c>
      <c r="G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714.2</v>
      </c>
      <c r="H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1261.5</v>
      </c>
      <c r="I177" s="11" t="n">
        <f aca="false">H177-G177</f>
        <v>547.3</v>
      </c>
      <c r="J177" s="10" t="n">
        <f aca="false">IF(AND(G177=0,H177=0),0,IF(G177=0,"New",(H177-G177)/G177))</f>
        <v>0.766311957434892</v>
      </c>
    </row>
    <row r="178" customFormat="false" ht="15" hidden="false" customHeight="true" outlineLevel="0" collapsed="false">
      <c r="A178" s="8" t="s">
        <v>226</v>
      </c>
      <c r="B178" s="8" t="str">
        <f aca="false">IFERROR(INDEX('Source 2026'!$C:$C,MATCH($A178,'Source 2026'!$B:$B,0)),IFERROR(INDEX('Source 2025'!$C:$C,MATCH($A178,'Source 2025'!$B:$B,0)),""))</f>
        <v>סד ליישור אצבע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390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352</v>
      </c>
      <c r="E178" s="9" t="n">
        <f aca="false">D178-C178</f>
        <v>-38</v>
      </c>
      <c r="F178" s="10" t="n">
        <f aca="false">IF(AND(C178=0,D178=0),0,IF(C178=0,"New",(D178-C178)/C178))</f>
        <v>-0.0974358974358974</v>
      </c>
      <c r="G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7446.8</v>
      </c>
      <c r="H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6911.7</v>
      </c>
      <c r="I178" s="11" t="n">
        <f aca="false">H178-G178</f>
        <v>-535.1</v>
      </c>
      <c r="J178" s="10" t="n">
        <f aca="false">IF(AND(G178=0,H178=0),0,IF(G178=0,"New",(H178-G178)/G178))</f>
        <v>-0.0718563678358489</v>
      </c>
    </row>
    <row r="179" customFormat="false" ht="15" hidden="false" customHeight="true" outlineLevel="0" collapsed="false">
      <c r="A179" s="8" t="s">
        <v>227</v>
      </c>
      <c r="B179" s="8" t="str">
        <f aca="false">IFERROR(INDEX('Source 2026'!$C:$C,MATCH($A179,'Source 2026'!$B:$B,0)),IFERROR(INDEX('Source 2025'!$C:$C,MATCH($A179,'Source 2025'!$B:$B,0)),""))</f>
        <v>45 M מגן ברך רגיל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10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</v>
      </c>
      <c r="E179" s="9" t="n">
        <f aca="false">D179-C179</f>
        <v>-5</v>
      </c>
      <c r="F179" s="10" t="n">
        <f aca="false">IF(AND(C179=0,D179=0),0,IF(C179=0,"New",(D179-C179)/C179))</f>
        <v>-0.5</v>
      </c>
      <c r="G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1047.1</v>
      </c>
      <c r="H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527</v>
      </c>
      <c r="I179" s="11" t="n">
        <f aca="false">H179-G179</f>
        <v>-520.1</v>
      </c>
      <c r="J179" s="10" t="n">
        <f aca="false">IF(AND(G179=0,H179=0),0,IF(G179=0,"New",(H179-G179)/G179))</f>
        <v>-0.496705185751122</v>
      </c>
    </row>
    <row r="180" customFormat="false" ht="15" hidden="false" customHeight="true" outlineLevel="0" collapsed="false">
      <c r="A180" s="8" t="s">
        <v>228</v>
      </c>
      <c r="B180" s="8" t="str">
        <f aca="false">IFERROR(INDEX('Source 2026'!$C:$C,MATCH($A180,'Source 2026'!$B:$B,0)),IFERROR(INDEX('Source 2025'!$C:$C,MATCH($A180,'Source 2025'!$B:$B,0)),""))</f>
        <v>כפפות לחץ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26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11</v>
      </c>
      <c r="E180" s="9" t="n">
        <f aca="false">D180-C180</f>
        <v>-15</v>
      </c>
      <c r="F180" s="10" t="n">
        <f aca="false">IF(AND(C180=0,D180=0),0,IF(C180=0,"New",(D180-C180)/C180))</f>
        <v>-0.576923076923077</v>
      </c>
      <c r="G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922.3</v>
      </c>
      <c r="H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407</v>
      </c>
      <c r="I180" s="11" t="n">
        <f aca="false">H180-G180</f>
        <v>-515.3</v>
      </c>
      <c r="J180" s="10" t="n">
        <f aca="false">IF(AND(G180=0,H180=0),0,IF(G180=0,"New",(H180-G180)/G180))</f>
        <v>-0.558711915862518</v>
      </c>
    </row>
    <row r="181" customFormat="false" ht="15" hidden="false" customHeight="true" outlineLevel="0" collapsed="false">
      <c r="A181" s="8" t="s">
        <v>229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24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10</v>
      </c>
      <c r="E181" s="9" t="n">
        <f aca="false">D181-C181</f>
        <v>-14</v>
      </c>
      <c r="F181" s="10" t="n">
        <f aca="false">IF(AND(C181=0,D181=0),0,IF(C181=0,"New",(D181-C181)/C181))</f>
        <v>-0.583333333333333</v>
      </c>
      <c r="G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857.1</v>
      </c>
      <c r="H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359.6</v>
      </c>
      <c r="I181" s="11" t="n">
        <f aca="false">H181-G181</f>
        <v>-497.5</v>
      </c>
      <c r="J181" s="10" t="n">
        <f aca="false">IF(AND(G181=0,H181=0),0,IF(G181=0,"New",(H181-G181)/G181))</f>
        <v>-0.580445688951114</v>
      </c>
    </row>
    <row r="182" customFormat="false" ht="15" hidden="false" customHeight="true" outlineLevel="0" collapsed="false">
      <c r="A182" s="8" t="s">
        <v>230</v>
      </c>
      <c r="B182" s="8" t="str">
        <f aca="false">IFERROR(INDEX('Source 2026'!$C:$C,MATCH($A182,'Source 2026'!$B:$B,0)),IFERROR(INDEX('Source 2025'!$C:$C,MATCH($A182,'Source 2025'!$B:$B,0)),""))</f>
        <v>S-M STRAP4U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-10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18</v>
      </c>
      <c r="E182" s="9" t="n">
        <f aca="false">D182-C182</f>
        <v>28</v>
      </c>
      <c r="F182" s="10" t="n">
        <f aca="false">IF(AND(C182=0,D182=0),0,IF(C182=0,"New",(D182-C182)/C182))</f>
        <v>-2.8</v>
      </c>
      <c r="G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-145.2</v>
      </c>
      <c r="H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345</v>
      </c>
      <c r="I182" s="11" t="n">
        <f aca="false">H182-G182</f>
        <v>490.2</v>
      </c>
      <c r="J182" s="10" t="n">
        <f aca="false">IF(AND(G182=0,H182=0),0,IF(G182=0,"New",(H182-G182)/G182))</f>
        <v>-3.37603305785124</v>
      </c>
    </row>
    <row r="183" customFormat="false" ht="15" hidden="false" customHeight="true" outlineLevel="0" collapsed="false">
      <c r="A183" s="8" t="s">
        <v>231</v>
      </c>
      <c r="B183" s="8" t="str">
        <f aca="false">IFERROR(INDEX('Source 2026'!$C:$C,MATCH($A183,'Source 2026'!$B:$B,0)),IFERROR(INDEX('Source 2025'!$C:$C,MATCH($A183,'Source 2025'!$B:$B,0)),""))</f>
        <v>XL מגן ברך רגיל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5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</v>
      </c>
      <c r="E183" s="9" t="n">
        <f aca="false">D183-C183</f>
        <v>-4</v>
      </c>
      <c r="F183" s="10" t="n">
        <f aca="false">IF(AND(C183=0,D183=0),0,IF(C183=0,"New",(D183-C183)/C183))</f>
        <v>-0.8</v>
      </c>
      <c r="G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592.8</v>
      </c>
      <c r="H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118.6</v>
      </c>
      <c r="I183" s="11" t="n">
        <f aca="false">H183-G183</f>
        <v>-474.2</v>
      </c>
      <c r="J183" s="10" t="n">
        <f aca="false">IF(AND(G183=0,H183=0),0,IF(G183=0,"New",(H183-G183)/G183))</f>
        <v>-0.799932523616734</v>
      </c>
    </row>
    <row r="184" customFormat="false" ht="15" hidden="false" customHeight="true" outlineLevel="0" collapsed="false">
      <c r="A184" s="8" t="s">
        <v>232</v>
      </c>
      <c r="B184" s="8" t="str">
        <f aca="false">IFERROR(INDEX('Source 2026'!$C:$C,MATCH($A184,'Source 2026'!$B:$B,0)),IFERROR(INDEX('Source 2025'!$C:$C,MATCH($A184,'Source 2025'!$B:$B,0)),""))</f>
        <v>בננה לתמיכת אצבעות ז.כרית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124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105</v>
      </c>
      <c r="E184" s="9" t="n">
        <f aca="false">D184-C184</f>
        <v>-19</v>
      </c>
      <c r="F184" s="10" t="n">
        <f aca="false">IF(AND(C184=0,D184=0),0,IF(C184=0,"New",(D184-C184)/C184))</f>
        <v>-0.153225806451613</v>
      </c>
      <c r="G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3220.9</v>
      </c>
      <c r="H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2749.1</v>
      </c>
      <c r="I184" s="11" t="n">
        <f aca="false">H184-G184</f>
        <v>-471.8</v>
      </c>
      <c r="J184" s="10" t="n">
        <f aca="false">IF(AND(G184=0,H184=0),0,IF(G184=0,"New",(H184-G184)/G184))</f>
        <v>-0.146480797292682</v>
      </c>
    </row>
    <row r="185" customFormat="false" ht="15" hidden="false" customHeight="true" outlineLevel="0" collapsed="false">
      <c r="A185" s="8" t="s">
        <v>233</v>
      </c>
      <c r="B185" s="8" t="str">
        <f aca="false">IFERROR(INDEX('Source 2026'!$C:$C,MATCH($A185,'Source 2026'!$B:$B,0)),IFERROR(INDEX('Source 2025'!$C:$C,MATCH($A185,'Source 2025'!$B:$B,0)),""))</f>
        <v>L שמאל CTS כפפות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0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4</v>
      </c>
      <c r="E185" s="9" t="n">
        <f aca="false">D185-C185</f>
        <v>4</v>
      </c>
      <c r="F185" s="10" t="str">
        <f aca="false">IF(AND(C185=0,D185=0),0,IF(C185=0,"New",(D185-C185)/C185))</f>
        <v>New</v>
      </c>
      <c r="G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0</v>
      </c>
      <c r="H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468.5</v>
      </c>
      <c r="I185" s="11" t="n">
        <f aca="false">H185-G185</f>
        <v>468.5</v>
      </c>
      <c r="J185" s="10" t="str">
        <f aca="false">IF(AND(G185=0,H185=0),0,IF(G185=0,"New",(H185-G185)/G185))</f>
        <v>New</v>
      </c>
    </row>
    <row r="186" customFormat="false" ht="15" hidden="false" customHeight="true" outlineLevel="0" collapsed="false">
      <c r="A186" s="8" t="s">
        <v>234</v>
      </c>
      <c r="B186" s="8" t="str">
        <f aca="false">IFERROR(INDEX('Source 2026'!$C:$C,MATCH($A186,'Source 2026'!$B:$B,0)),IFERROR(INDEX('Source 2025'!$C:$C,MATCH($A186,'Source 2025'!$B:$B,0)),""))</f>
        <v>S מגן מרפק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18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20</v>
      </c>
      <c r="E186" s="9" t="n">
        <f aca="false">D186-C186</f>
        <v>2</v>
      </c>
      <c r="F186" s="10" t="n">
        <f aca="false">IF(AND(C186=0,D186=0),0,IF(C186=0,"New",(D186-C186)/C186))</f>
        <v>0.111111111111111</v>
      </c>
      <c r="G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1433.9</v>
      </c>
      <c r="H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1879.6</v>
      </c>
      <c r="I186" s="11" t="n">
        <f aca="false">H186-G186</f>
        <v>445.7</v>
      </c>
      <c r="J186" s="10" t="n">
        <f aca="false">IF(AND(G186=0,H186=0),0,IF(G186=0,"New",(H186-G186)/G186))</f>
        <v>0.31083060185508</v>
      </c>
    </row>
    <row r="187" customFormat="false" ht="15" hidden="false" customHeight="true" outlineLevel="0" collapsed="false">
      <c r="A187" s="8" t="s">
        <v>235</v>
      </c>
      <c r="B187" s="8" t="str">
        <f aca="false">IFERROR(INDEX('Source 2026'!$C:$C,MATCH($A187,'Source 2026'!$B:$B,0)),IFERROR(INDEX('Source 2025'!$C:$C,MATCH($A187,'Source 2025'!$B:$B,0)),""))</f>
        <v>סיליק.לכרית כף הרגל373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54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32</v>
      </c>
      <c r="E187" s="9" t="n">
        <f aca="false">D187-C187</f>
        <v>-22</v>
      </c>
      <c r="F187" s="10" t="n">
        <f aca="false">IF(AND(C187=0,D187=0),0,IF(C187=0,"New",(D187-C187)/C187))</f>
        <v>-0.407407407407407</v>
      </c>
      <c r="G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1072.9</v>
      </c>
      <c r="H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657.5</v>
      </c>
      <c r="I187" s="11" t="n">
        <f aca="false">H187-G187</f>
        <v>-415.4</v>
      </c>
      <c r="J187" s="10" t="n">
        <f aca="false">IF(AND(G187=0,H187=0),0,IF(G187=0,"New",(H187-G187)/G187))</f>
        <v>-0.387174946406935</v>
      </c>
    </row>
    <row r="188" customFormat="false" ht="15" hidden="false" customHeight="true" outlineLevel="0" collapsed="false">
      <c r="A188" s="8" t="s">
        <v>236</v>
      </c>
      <c r="B188" s="8" t="str">
        <f aca="false">IFERROR(INDEX('Source 2026'!$C:$C,MATCH($A188,'Source 2026'!$B:$B,0)),IFERROR(INDEX('Source 2025'!$C:$C,MATCH($A188,'Source 2025'!$B:$B,0)),""))</f>
        <v>L חגורת צלעות לגבר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3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0</v>
      </c>
      <c r="E188" s="9" t="n">
        <f aca="false">D188-C188</f>
        <v>-3</v>
      </c>
      <c r="F188" s="10" t="n">
        <f aca="false">IF(AND(C188=0,D188=0),0,IF(C188=0,"New",(D188-C188)/C188))</f>
        <v>-1</v>
      </c>
      <c r="G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413.5</v>
      </c>
      <c r="H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0</v>
      </c>
      <c r="I188" s="11" t="n">
        <f aca="false">H188-G188</f>
        <v>-413.5</v>
      </c>
      <c r="J188" s="10" t="n">
        <f aca="false">IF(AND(G188=0,H188=0),0,IF(G188=0,"New",(H188-G188)/G188))</f>
        <v>-1</v>
      </c>
    </row>
    <row r="189" customFormat="false" ht="15" hidden="false" customHeight="true" outlineLevel="0" collapsed="false">
      <c r="A189" s="8" t="s">
        <v>237</v>
      </c>
      <c r="B189" s="8" t="str">
        <f aca="false">IFERROR(INDEX('Source 2026'!$C:$C,MATCH($A189,'Source 2026'!$B:$B,0)),IFERROR(INDEX('Source 2025'!$C:$C,MATCH($A189,'Source 2025'!$B:$B,0)),""))</f>
        <v>כפפות אגודל לחץ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16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5</v>
      </c>
      <c r="E189" s="9" t="n">
        <f aca="false">D189-C189</f>
        <v>-11</v>
      </c>
      <c r="F189" s="10" t="n">
        <f aca="false">IF(AND(C189=0,D189=0),0,IF(C189=0,"New",(D189-C189)/C189))</f>
        <v>-0.6875</v>
      </c>
      <c r="G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609.4</v>
      </c>
      <c r="H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199</v>
      </c>
      <c r="I189" s="11" t="n">
        <f aca="false">H189-G189</f>
        <v>-410.4</v>
      </c>
      <c r="J189" s="10" t="n">
        <f aca="false">IF(AND(G189=0,H189=0),0,IF(G189=0,"New",(H189-G189)/G189))</f>
        <v>-0.673449294387923</v>
      </c>
    </row>
    <row r="190" customFormat="false" ht="15" hidden="false" customHeight="true" outlineLevel="0" collapsed="false">
      <c r="A190" s="8" t="s">
        <v>238</v>
      </c>
      <c r="B190" s="8" t="str">
        <f aca="false">IFERROR(INDEX('Source 2026'!$C:$C,MATCH($A190,'Source 2026'!$B:$B,0)),IFERROR(INDEX('Source 2025'!$C:$C,MATCH($A190,'Source 2025'!$B:$B,0)),""))</f>
        <v>L סד לאגודל כפפה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12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6</v>
      </c>
      <c r="E190" s="9" t="n">
        <f aca="false">D190-C190</f>
        <v>-6</v>
      </c>
      <c r="F190" s="10" t="n">
        <f aca="false">IF(AND(C190=0,D190=0),0,IF(C190=0,"New",(D190-C190)/C190))</f>
        <v>-0.5</v>
      </c>
      <c r="G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826.7</v>
      </c>
      <c r="H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425.2</v>
      </c>
      <c r="I190" s="11" t="n">
        <f aca="false">H190-G190</f>
        <v>-401.5</v>
      </c>
      <c r="J190" s="10" t="n">
        <f aca="false">IF(AND(G190=0,H190=0),0,IF(G190=0,"New",(H190-G190)/G190))</f>
        <v>-0.485665900568525</v>
      </c>
    </row>
    <row r="191" customFormat="false" ht="15" hidden="false" customHeight="true" outlineLevel="0" collapsed="false">
      <c r="A191" s="8" t="s">
        <v>239</v>
      </c>
      <c r="B191" s="8" t="str">
        <f aca="false">IFERROR(INDEX('Source 2026'!$C:$C,MATCH($A191,'Source 2026'!$B:$B,0)),IFERROR(INDEX('Source 2025'!$C:$C,MATCH($A191,'Source 2025'!$B:$B,0)),""))</f>
        <v>גרבי כסף לסכרת מידה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9" t="n">
        <f aca="false">D191-C191</f>
        <v>-12</v>
      </c>
      <c r="F191" s="10" t="n">
        <f aca="false">IF(AND(C191=0,D191=0),0,IF(C191=0,"New",(D191-C191)/C191))</f>
        <v>-1</v>
      </c>
      <c r="G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384.1</v>
      </c>
      <c r="H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I191" s="11" t="n">
        <f aca="false">H191-G191</f>
        <v>-384.1</v>
      </c>
      <c r="J191" s="10" t="n">
        <f aca="false">IF(AND(G191=0,H191=0),0,IF(G191=0,"New",(H191-G191)/G191))</f>
        <v>-1</v>
      </c>
    </row>
    <row r="192" customFormat="false" ht="15" hidden="false" customHeight="true" outlineLevel="0" collapsed="false">
      <c r="A192" s="8" t="s">
        <v>240</v>
      </c>
      <c r="B192" s="8" t="str">
        <f aca="false">IFERROR(INDEX('Source 2026'!$C:$C,MATCH($A192,'Source 2026'!$B:$B,0)),IFERROR(INDEX('Source 2025'!$C:$C,MATCH($A192,'Source 2025'!$B:$B,0)),""))</f>
        <v>S חגורת שבר דו צדדי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6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9" t="n">
        <f aca="false">D192-C192</f>
        <v>-1</v>
      </c>
      <c r="F192" s="10" t="n">
        <f aca="false">IF(AND(C192=0,D192=0),0,IF(C192=0,"New",(D192-C192)/C192))</f>
        <v>-0.166666666666667</v>
      </c>
      <c r="G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1884</v>
      </c>
      <c r="H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1509.3</v>
      </c>
      <c r="I192" s="11" t="n">
        <f aca="false">H192-G192</f>
        <v>-374.7</v>
      </c>
      <c r="J192" s="10" t="n">
        <f aca="false">IF(AND(G192=0,H192=0),0,IF(G192=0,"New",(H192-G192)/G192))</f>
        <v>-0.198885350318471</v>
      </c>
    </row>
    <row r="193" customFormat="false" ht="15" hidden="false" customHeight="true" outlineLevel="0" collapsed="false">
      <c r="A193" s="8" t="s">
        <v>241</v>
      </c>
      <c r="B193" s="8" t="str">
        <f aca="false">IFERROR(INDEX('Source 2026'!$C:$C,MATCH($A193,'Source 2026'!$B:$B,0)),IFERROR(INDEX('Source 2025'!$C:$C,MATCH($A193,'Source 2025'!$B:$B,0)),""))</f>
        <v>XLסד ליד שמאל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2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-2</v>
      </c>
      <c r="E193" s="9" t="n">
        <f aca="false">D193-C193</f>
        <v>-4</v>
      </c>
      <c r="F193" s="10" t="n">
        <f aca="false">IF(AND(C193=0,D193=0),0,IF(C193=0,"New",(D193-C193)/C193))</f>
        <v>-2</v>
      </c>
      <c r="G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180.2</v>
      </c>
      <c r="H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-194</v>
      </c>
      <c r="I193" s="11" t="n">
        <f aca="false">H193-G193</f>
        <v>-374.2</v>
      </c>
      <c r="J193" s="10" t="n">
        <f aca="false">IF(AND(G193=0,H193=0),0,IF(G193=0,"New",(H193-G193)/G193))</f>
        <v>-2.07658157602664</v>
      </c>
    </row>
    <row r="194" customFormat="false" ht="15" hidden="false" customHeight="true" outlineLevel="0" collapsed="false">
      <c r="A194" s="8" t="s">
        <v>242</v>
      </c>
      <c r="B194" s="8" t="str">
        <f aca="false">IFERROR(INDEX('Source 2026'!$C:$C,MATCH($A194,'Source 2026'!$B:$B,0)),IFERROR(INDEX('Source 2025'!$C:$C,MATCH($A194,'Source 2025'!$B:$B,0)),""))</f>
        <v>Sחגורה למנותחי בטן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5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2</v>
      </c>
      <c r="E194" s="9" t="n">
        <f aca="false">D194-C194</f>
        <v>-3</v>
      </c>
      <c r="F194" s="10" t="n">
        <f aca="false">IF(AND(C194=0,D194=0),0,IF(C194=0,"New",(D194-C194)/C194))</f>
        <v>-0.6</v>
      </c>
      <c r="G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645.7</v>
      </c>
      <c r="H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271.8</v>
      </c>
      <c r="I194" s="11" t="n">
        <f aca="false">H194-G194</f>
        <v>-373.9</v>
      </c>
      <c r="J194" s="10" t="n">
        <f aca="false">IF(AND(G194=0,H194=0),0,IF(G194=0,"New",(H194-G194)/G194))</f>
        <v>-0.579061483661143</v>
      </c>
    </row>
    <row r="195" customFormat="false" ht="15" hidden="false" customHeight="true" outlineLevel="0" collapsed="false">
      <c r="A195" s="8" t="s">
        <v>243</v>
      </c>
      <c r="B195" s="8" t="str">
        <f aca="false">IFERROR(INDEX('Source 2026'!$C:$C,MATCH($A195,'Source 2026'!$B:$B,0)),IFERROR(INDEX('Source 2025'!$C:$C,MATCH($A195,'Source 2025'!$B:$B,0)),""))</f>
        <v>S חגורה אחרי ניתוח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2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4</v>
      </c>
      <c r="E195" s="9" t="n">
        <f aca="false">D195-C195</f>
        <v>2</v>
      </c>
      <c r="F195" s="10" t="n">
        <f aca="false">IF(AND(C195=0,D195=0),0,IF(C195=0,"New",(D195-C195)/C195))</f>
        <v>1</v>
      </c>
      <c r="G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310.5</v>
      </c>
      <c r="H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665.5</v>
      </c>
      <c r="I195" s="11" t="n">
        <f aca="false">H195-G195</f>
        <v>355</v>
      </c>
      <c r="J195" s="10" t="n">
        <f aca="false">IF(AND(G195=0,H195=0),0,IF(G195=0,"New",(H195-G195)/G195))</f>
        <v>1.14331723027375</v>
      </c>
    </row>
    <row r="196" customFormat="false" ht="15" hidden="false" customHeight="true" outlineLevel="0" collapsed="false">
      <c r="A196" s="8" t="s">
        <v>244</v>
      </c>
      <c r="B196" s="8" t="str">
        <f aca="false">IFERROR(INDEX('Source 2026'!$C:$C,MATCH($A196,'Source 2026'!$B:$B,0)),IFERROR(INDEX('Source 2025'!$C:$C,MATCH($A196,'Source 2025'!$B:$B,0)),""))</f>
        <v>מ.קרסול+עכב סגור+רצועות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5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0</v>
      </c>
      <c r="E196" s="9" t="n">
        <f aca="false">D196-C196</f>
        <v>-5</v>
      </c>
      <c r="F196" s="10" t="n">
        <f aca="false">IF(AND(C196=0,D196=0),0,IF(C196=0,"New",(D196-C196)/C196))</f>
        <v>-1</v>
      </c>
      <c r="G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346.6</v>
      </c>
      <c r="H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0</v>
      </c>
      <c r="I196" s="11" t="n">
        <f aca="false">H196-G196</f>
        <v>-346.6</v>
      </c>
      <c r="J196" s="10" t="n">
        <f aca="false">IF(AND(G196=0,H196=0),0,IF(G196=0,"New",(H196-G196)/G196))</f>
        <v>-1</v>
      </c>
    </row>
    <row r="197" customFormat="false" ht="15" hidden="false" customHeight="true" outlineLevel="0" collapsed="false">
      <c r="A197" s="8" t="s">
        <v>245</v>
      </c>
      <c r="B197" s="8" t="str">
        <f aca="false">IFERROR(INDEX('Source 2026'!$C:$C,MATCH($A197,'Source 2026'!$B:$B,0)),IFERROR(INDEX('Source 2025'!$C:$C,MATCH($A197,'Source 2025'!$B:$B,0)),""))</f>
        <v>טייפ חבישה לספורט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7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26</v>
      </c>
      <c r="E197" s="9" t="n">
        <f aca="false">D197-C197</f>
        <v>19</v>
      </c>
      <c r="F197" s="10" t="n">
        <f aca="false">IF(AND(C197=0,D197=0),0,IF(C197=0,"New",(D197-C197)/C197))</f>
        <v>2.71428571428571</v>
      </c>
      <c r="G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118.8</v>
      </c>
      <c r="H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449.7</v>
      </c>
      <c r="I197" s="11" t="n">
        <f aca="false">H197-G197</f>
        <v>330.9</v>
      </c>
      <c r="J197" s="10" t="n">
        <f aca="false">IF(AND(G197=0,H197=0),0,IF(G197=0,"New",(H197-G197)/G197))</f>
        <v>2.78535353535354</v>
      </c>
    </row>
    <row r="198" customFormat="false" ht="15" hidden="false" customHeight="true" outlineLevel="0" collapsed="false">
      <c r="A198" s="8" t="s">
        <v>246</v>
      </c>
      <c r="B198" s="8" t="str">
        <f aca="false">IFERROR(INDEX('Source 2026'!$C:$C,MATCH($A198,'Source 2026'!$B:$B,0)),IFERROR(INDEX('Source 2025'!$C:$C,MATCH($A198,'Source 2025'!$B:$B,0)),""))</f>
        <v>S מקבע כתף ויד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66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63</v>
      </c>
      <c r="E198" s="9" t="n">
        <f aca="false">D198-C198</f>
        <v>-3</v>
      </c>
      <c r="F198" s="10" t="n">
        <f aca="false">IF(AND(C198=0,D198=0),0,IF(C198=0,"New",(D198-C198)/C198))</f>
        <v>-0.0454545454545455</v>
      </c>
      <c r="G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12899.3</v>
      </c>
      <c r="H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12572.6</v>
      </c>
      <c r="I198" s="11" t="n">
        <f aca="false">H198-G198</f>
        <v>-326.700000000001</v>
      </c>
      <c r="J198" s="10" t="n">
        <f aca="false">IF(AND(G198=0,H198=0),0,IF(G198=0,"New",(H198-G198)/G198))</f>
        <v>-0.0253269557262798</v>
      </c>
    </row>
    <row r="199" customFormat="false" ht="15" hidden="false" customHeight="true" outlineLevel="0" collapsed="false">
      <c r="A199" s="8" t="s">
        <v>247</v>
      </c>
      <c r="B199" s="8" t="str">
        <f aca="false">IFERROR(INDEX('Source 2026'!$C:$C,MATCH($A199,'Source 2026'!$B:$B,0)),IFERROR(INDEX('Source 2025'!$C:$C,MATCH($A199,'Source 2025'!$B:$B,0)),""))</f>
        <v>כפפות אגודל לחץ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35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26</v>
      </c>
      <c r="E199" s="9" t="n">
        <f aca="false">D199-C199</f>
        <v>-9</v>
      </c>
      <c r="F199" s="10" t="n">
        <f aca="false">IF(AND(C199=0,D199=0),0,IF(C199=0,"New",(D199-C199)/C199))</f>
        <v>-0.257142857142857</v>
      </c>
      <c r="G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1331.6</v>
      </c>
      <c r="H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1016</v>
      </c>
      <c r="I199" s="11" t="n">
        <f aca="false">H199-G199</f>
        <v>-315.6</v>
      </c>
      <c r="J199" s="10" t="n">
        <f aca="false">IF(AND(G199=0,H199=0),0,IF(G199=0,"New",(H199-G199)/G199))</f>
        <v>-0.237008110543707</v>
      </c>
    </row>
    <row r="200" customFormat="false" ht="15" hidden="false" customHeight="true" outlineLevel="0" collapsed="false">
      <c r="A200" s="8" t="s">
        <v>248</v>
      </c>
      <c r="B200" s="8" t="str">
        <f aca="false">IFERROR(INDEX('Source 2026'!$C:$C,MATCH($A200,'Source 2026'!$B:$B,0)),IFERROR(INDEX('Source 2025'!$C:$C,MATCH($A200,'Source 2025'!$B:$B,0)),""))</f>
        <v>S מגן ברך רגיל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0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3</v>
      </c>
      <c r="E200" s="9" t="n">
        <f aca="false">D200-C200</f>
        <v>3</v>
      </c>
      <c r="F200" s="10" t="str">
        <f aca="false">IF(AND(C200=0,D200=0),0,IF(C200=0,"New",(D200-C200)/C200))</f>
        <v>New</v>
      </c>
      <c r="G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0</v>
      </c>
      <c r="H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312</v>
      </c>
      <c r="I200" s="11" t="n">
        <f aca="false">H200-G200</f>
        <v>312</v>
      </c>
      <c r="J200" s="10" t="str">
        <f aca="false">IF(AND(G200=0,H200=0),0,IF(G200=0,"New",(H200-G200)/G200))</f>
        <v>New</v>
      </c>
    </row>
    <row r="201" customFormat="false" ht="15" hidden="false" customHeight="true" outlineLevel="0" collapsed="false">
      <c r="A201" s="8" t="s">
        <v>249</v>
      </c>
      <c r="B201" s="8" t="str">
        <f aca="false">IFERROR(INDEX('Source 2026'!$C:$C,MATCH($A201,'Source 2026'!$B:$B,0)),IFERROR(INDEX('Source 2025'!$C:$C,MATCH($A201,'Source 2025'!$B:$B,0)),""))</f>
        <v>L ח.בטן מותנית צר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4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2</v>
      </c>
      <c r="E201" s="9" t="n">
        <f aca="false">D201-C201</f>
        <v>-2</v>
      </c>
      <c r="F201" s="10" t="n">
        <f aca="false">IF(AND(C201=0,D201=0),0,IF(C201=0,"New",(D201-C201)/C201))</f>
        <v>-0.5</v>
      </c>
      <c r="G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562.2</v>
      </c>
      <c r="H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253.1</v>
      </c>
      <c r="I201" s="11" t="n">
        <f aca="false">H201-G201</f>
        <v>-309.1</v>
      </c>
      <c r="J201" s="10" t="n">
        <f aca="false">IF(AND(G201=0,H201=0),0,IF(G201=0,"New",(H201-G201)/G201))</f>
        <v>-0.549804340092494</v>
      </c>
    </row>
    <row r="202" customFormat="false" ht="15" hidden="false" customHeight="true" outlineLevel="0" collapsed="false">
      <c r="A202" s="8" t="s">
        <v>250</v>
      </c>
      <c r="B202" s="8" t="str">
        <f aca="false">IFERROR(INDEX('Source 2026'!$C:$C,MATCH($A202,'Source 2026'!$B:$B,0)),IFERROR(INDEX('Source 2025'!$C:$C,MATCH($A202,'Source 2025'!$B:$B,0)),""))</f>
        <v>טייפ בז' 20מ""מ20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70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48</v>
      </c>
      <c r="E202" s="9" t="n">
        <f aca="false">D202-C202</f>
        <v>-22</v>
      </c>
      <c r="F202" s="10" t="n">
        <f aca="false">IF(AND(C202=0,D202=0),0,IF(C202=0,"New",(D202-C202)/C202))</f>
        <v>-0.314285714285714</v>
      </c>
      <c r="G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1089.5</v>
      </c>
      <c r="H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788.6</v>
      </c>
      <c r="I202" s="11" t="n">
        <f aca="false">H202-G202</f>
        <v>-300.9</v>
      </c>
      <c r="J202" s="10" t="n">
        <f aca="false">IF(AND(G202=0,H202=0),0,IF(G202=0,"New",(H202-G202)/G202))</f>
        <v>-0.276181734740707</v>
      </c>
    </row>
    <row r="203" customFormat="false" ht="15" hidden="false" customHeight="true" outlineLevel="0" collapsed="false">
      <c r="A203" s="8" t="s">
        <v>251</v>
      </c>
      <c r="B203" s="8" t="str">
        <f aca="false">IFERROR(INDEX('Source 2026'!$C:$C,MATCH($A203,'Source 2026'!$B:$B,0)),IFERROR(INDEX('Source 2025'!$C:$C,MATCH($A203,'Source 2025'!$B:$B,0)),""))</f>
        <v>11 אפורUG חגורת בטן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3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0</v>
      </c>
      <c r="E203" s="9" t="n">
        <f aca="false">D203-C203</f>
        <v>-3</v>
      </c>
      <c r="F203" s="10" t="n">
        <f aca="false">IF(AND(C203=0,D203=0),0,IF(C203=0,"New",(D203-C203)/C203))</f>
        <v>-1</v>
      </c>
      <c r="G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288.7</v>
      </c>
      <c r="H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0</v>
      </c>
      <c r="I203" s="11" t="n">
        <f aca="false">H203-G203</f>
        <v>-288.7</v>
      </c>
      <c r="J203" s="10" t="n">
        <f aca="false">IF(AND(G203=0,H203=0),0,IF(G203=0,"New",(H203-G203)/G203))</f>
        <v>-1</v>
      </c>
    </row>
    <row r="204" customFormat="false" ht="15" hidden="false" customHeight="true" outlineLevel="0" collapsed="false">
      <c r="A204" s="8" t="s">
        <v>252</v>
      </c>
      <c r="B204" s="8" t="str">
        <f aca="false">IFERROR(INDEX('Source 2026'!$C:$C,MATCH($A204,'Source 2026'!$B:$B,0)),IFERROR(INDEX('Source 2025'!$C:$C,MATCH($A204,'Source 2025'!$B:$B,0)),""))</f>
        <v>כפפות לחץ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13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5</v>
      </c>
      <c r="E204" s="9" t="n">
        <f aca="false">D204-C204</f>
        <v>-8</v>
      </c>
      <c r="F204" s="10" t="n">
        <f aca="false">IF(AND(C204=0,D204=0),0,IF(C204=0,"New",(D204-C204)/C204))</f>
        <v>-0.615384615384615</v>
      </c>
      <c r="G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469.4</v>
      </c>
      <c r="H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184.8</v>
      </c>
      <c r="I204" s="11" t="n">
        <f aca="false">H204-G204</f>
        <v>-284.6</v>
      </c>
      <c r="J204" s="10" t="n">
        <f aca="false">IF(AND(G204=0,H204=0),0,IF(G204=0,"New",(H204-G204)/G204))</f>
        <v>-0.606305922454197</v>
      </c>
    </row>
    <row r="205" customFormat="false" ht="15" hidden="false" customHeight="true" outlineLevel="0" collapsed="false">
      <c r="A205" s="8" t="s">
        <v>253</v>
      </c>
      <c r="B205" s="8" t="str">
        <f aca="false">IFERROR(INDEX('Source 2026'!$C:$C,MATCH($A205,'Source 2026'!$B:$B,0)),IFERROR(INDEX('Source 2025'!$C:$C,MATCH($A205,'Source 2025'!$B:$B,0)),""))</f>
        <v>Mמתלה ליד)כיס(+רצועת חיזוק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</v>
      </c>
      <c r="E205" s="9" t="n">
        <f aca="false">D205-C205</f>
        <v>-3</v>
      </c>
      <c r="F205" s="10" t="n">
        <f aca="false">IF(AND(C205=0,D205=0),0,IF(C205=0,"New",(D205-C205)/C205))</f>
        <v>-0.428571428571429</v>
      </c>
      <c r="G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662</v>
      </c>
      <c r="H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378.5</v>
      </c>
      <c r="I205" s="11" t="n">
        <f aca="false">H205-G205</f>
        <v>-283.5</v>
      </c>
      <c r="J205" s="10" t="n">
        <f aca="false">IF(AND(G205=0,H205=0),0,IF(G205=0,"New",(H205-G205)/G205))</f>
        <v>-0.428247734138973</v>
      </c>
    </row>
    <row r="206" customFormat="false" ht="15" hidden="false" customHeight="true" outlineLevel="0" collapsed="false">
      <c r="A206" s="8" t="s">
        <v>254</v>
      </c>
      <c r="B206" s="8" t="str">
        <f aca="false">IFERROR(INDEX('Source 2026'!$C:$C,MATCH($A206,'Source 2026'!$B:$B,0)),IFERROR(INDEX('Source 2025'!$C:$C,MATCH($A206,'Source 2025'!$B:$B,0)),""))</f>
        <v>מרפק+כרית סילקון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0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-2</v>
      </c>
      <c r="E206" s="9" t="n">
        <f aca="false">D206-C206</f>
        <v>-2</v>
      </c>
      <c r="F206" s="10" t="str">
        <f aca="false">IF(AND(C206=0,D206=0),0,IF(C206=0,"New",(D206-C206)/C206))</f>
        <v>New</v>
      </c>
      <c r="G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0</v>
      </c>
      <c r="H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-283.5</v>
      </c>
      <c r="I206" s="11" t="n">
        <f aca="false">H206-G206</f>
        <v>-283.5</v>
      </c>
      <c r="J206" s="10" t="str">
        <f aca="false">IF(AND(G206=0,H206=0),0,IF(G206=0,"New",(H206-G206)/G206))</f>
        <v>New</v>
      </c>
    </row>
    <row r="207" customFormat="false" ht="15" hidden="false" customHeight="true" outlineLevel="0" collapsed="false">
      <c r="A207" s="8" t="s">
        <v>255</v>
      </c>
      <c r="B207" s="8" t="str">
        <f aca="false">IFERROR(INDEX('Source 2026'!$C:$C,MATCH($A207,'Source 2026'!$B:$B,0)),IFERROR(INDEX('Source 2025'!$C:$C,MATCH($A207,'Source 2025'!$B:$B,0)),""))</f>
        <v>L מגן ברך מוצלב+מוט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8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6</v>
      </c>
      <c r="E207" s="9" t="n">
        <f aca="false">D207-C207</f>
        <v>-2</v>
      </c>
      <c r="F207" s="10" t="n">
        <f aca="false">IF(AND(C207=0,D207=0),0,IF(C207=0,"New",(D207-C207)/C207))</f>
        <v>-0.25</v>
      </c>
      <c r="G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1078</v>
      </c>
      <c r="H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797.2</v>
      </c>
      <c r="I207" s="11" t="n">
        <f aca="false">H207-G207</f>
        <v>-280.8</v>
      </c>
      <c r="J207" s="10" t="n">
        <f aca="false">IF(AND(G207=0,H207=0),0,IF(G207=0,"New",(H207-G207)/G207))</f>
        <v>-0.260482374768089</v>
      </c>
    </row>
    <row r="208" customFormat="false" ht="15" hidden="false" customHeight="true" outlineLevel="0" collapsed="false">
      <c r="A208" s="8" t="s">
        <v>256</v>
      </c>
      <c r="B208" s="8" t="str">
        <f aca="false">IFERROR(INDEX('Source 2026'!$C:$C,MATCH($A208,'Source 2026'!$B:$B,0)),IFERROR(INDEX('Source 2025'!$C:$C,MATCH($A208,'Source 2025'!$B:$B,0)),""))</f>
        <v>M חבק יד אגודלי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3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-1</v>
      </c>
      <c r="E208" s="9" t="n">
        <f aca="false">D208-C208</f>
        <v>-4</v>
      </c>
      <c r="F208" s="10" t="n">
        <f aca="false">IF(AND(C208=0,D208=0),0,IF(C208=0,"New",(D208-C208)/C208))</f>
        <v>-1.33333333333333</v>
      </c>
      <c r="G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221.8</v>
      </c>
      <c r="H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-53.2</v>
      </c>
      <c r="I208" s="11" t="n">
        <f aca="false">H208-G208</f>
        <v>-275</v>
      </c>
      <c r="J208" s="10" t="n">
        <f aca="false">IF(AND(G208=0,H208=0),0,IF(G208=0,"New",(H208-G208)/G208))</f>
        <v>-1.23985572587917</v>
      </c>
    </row>
    <row r="209" customFormat="false" ht="15" hidden="false" customHeight="true" outlineLevel="0" collapsed="false">
      <c r="A209" s="8" t="s">
        <v>257</v>
      </c>
      <c r="B209" s="8" t="str">
        <f aca="false">IFERROR(INDEX('Source 2026'!$C:$C,MATCH($A209,'Source 2026'!$B:$B,0)),IFERROR(INDEX('Source 2025'!$C:$C,MATCH($A209,'Source 2025'!$B:$B,0)),""))</f>
        <v>סד לקרסול עם כריות אויר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10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9</v>
      </c>
      <c r="E209" s="9" t="n">
        <f aca="false">D209-C209</f>
        <v>-1</v>
      </c>
      <c r="F209" s="10" t="n">
        <f aca="false">IF(AND(C209=0,D209=0),0,IF(C209=0,"New",(D209-C209)/C209))</f>
        <v>-0.1</v>
      </c>
      <c r="G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1362.8</v>
      </c>
      <c r="H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1094.9</v>
      </c>
      <c r="I209" s="11" t="n">
        <f aca="false">H209-G209</f>
        <v>-267.9</v>
      </c>
      <c r="J209" s="10" t="n">
        <f aca="false">IF(AND(G209=0,H209=0),0,IF(G209=0,"New",(H209-G209)/G209))</f>
        <v>-0.196580569415908</v>
      </c>
    </row>
    <row r="210" customFormat="false" ht="15" hidden="false" customHeight="true" outlineLevel="0" collapsed="false">
      <c r="A210" s="8" t="s">
        <v>258</v>
      </c>
      <c r="B210" s="8" t="str">
        <f aca="false">IFERROR(INDEX('Source 2026'!$C:$C,MATCH($A210,'Source 2026'!$B:$B,0)),IFERROR(INDEX('Source 2025'!$C:$C,MATCH($A210,'Source 2025'!$B:$B,0)),""))</f>
        <v>מיישר בוניון-האלוקס ולגוס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63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58</v>
      </c>
      <c r="E210" s="9" t="n">
        <f aca="false">D210-C210</f>
        <v>-5</v>
      </c>
      <c r="F210" s="10" t="n">
        <f aca="false">IF(AND(C210=0,D210=0),0,IF(C210=0,"New",(D210-C210)/C210))</f>
        <v>-0.0793650793650794</v>
      </c>
      <c r="G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2915.1</v>
      </c>
      <c r="H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2648.4</v>
      </c>
      <c r="I210" s="11" t="n">
        <f aca="false">H210-G210</f>
        <v>-266.7</v>
      </c>
      <c r="J210" s="10" t="n">
        <f aca="false">IF(AND(G210=0,H210=0),0,IF(G210=0,"New",(H210-G210)/G210))</f>
        <v>-0.0914891427395286</v>
      </c>
    </row>
    <row r="211" customFormat="false" ht="15" hidden="false" customHeight="true" outlineLevel="0" collapsed="false">
      <c r="A211" s="8" t="s">
        <v>259</v>
      </c>
      <c r="B211" s="8" t="str">
        <f aca="false">IFERROR(INDEX('Source 2026'!$C:$C,MATCH($A211,'Source 2026'!$B:$B,0)),IFERROR(INDEX('Source 2025'!$C:$C,MATCH($A211,'Source 2025'!$B:$B,0)),""))</f>
        <v>מגן קרסול+כרית סילקון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2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0</v>
      </c>
      <c r="E211" s="9" t="n">
        <f aca="false">D211-C211</f>
        <v>-2</v>
      </c>
      <c r="F211" s="10" t="n">
        <f aca="false">IF(AND(C211=0,D211=0),0,IF(C211=0,"New",(D211-C211)/C211))</f>
        <v>-1</v>
      </c>
      <c r="G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255.5</v>
      </c>
      <c r="H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0</v>
      </c>
      <c r="I211" s="11" t="n">
        <f aca="false">H211-G211</f>
        <v>-255.5</v>
      </c>
      <c r="J211" s="10" t="n">
        <f aca="false">IF(AND(G211=0,H211=0),0,IF(G211=0,"New",(H211-G211)/G211))</f>
        <v>-1</v>
      </c>
    </row>
    <row r="212" customFormat="false" ht="15" hidden="false" customHeight="true" outlineLevel="0" collapsed="false">
      <c r="A212" s="8" t="s">
        <v>260</v>
      </c>
      <c r="B212" s="8" t="str">
        <f aca="false">IFERROR(INDEX('Source 2026'!$C:$C,MATCH($A212,'Source 2026'!$B:$B,0)),IFERROR(INDEX('Source 2025'!$C:$C,MATCH($A212,'Source 2025'!$B:$B,0)),""))</f>
        <v>רפידת ג'ל כחול36-40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-2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2</v>
      </c>
      <c r="E212" s="9" t="n">
        <f aca="false">D212-C212</f>
        <v>4</v>
      </c>
      <c r="F212" s="10" t="n">
        <f aca="false">IF(AND(C212=0,D212=0),0,IF(C212=0,"New",(D212-C212)/C212))</f>
        <v>-2</v>
      </c>
      <c r="G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-107.2</v>
      </c>
      <c r="H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146.5</v>
      </c>
      <c r="I212" s="11" t="n">
        <f aca="false">H212-G212</f>
        <v>253.7</v>
      </c>
      <c r="J212" s="10" t="n">
        <f aca="false">IF(AND(G212=0,H212=0),0,IF(G212=0,"New",(H212-G212)/G212))</f>
        <v>-2.36660447761194</v>
      </c>
    </row>
    <row r="213" customFormat="false" ht="15" hidden="false" customHeight="true" outlineLevel="0" collapsed="false">
      <c r="A213" s="8" t="s">
        <v>261</v>
      </c>
      <c r="B213" s="8" t="str">
        <f aca="false">IFERROR(INDEX('Source 2026'!$C:$C,MATCH($A213,'Source 2026'!$B:$B,0)),IFERROR(INDEX('Source 2025'!$C:$C,MATCH($A213,'Source 2025'!$B:$B,0)),""))</f>
        <v>S ימין CTS כפפות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0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9" t="n">
        <f aca="false">D213-C213</f>
        <v>2</v>
      </c>
      <c r="F213" s="10" t="str">
        <f aca="false">IF(AND(C213=0,D213=0),0,IF(C213=0,"New",(D213-C213)/C213))</f>
        <v>New</v>
      </c>
      <c r="G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0</v>
      </c>
      <c r="H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234.3</v>
      </c>
      <c r="I213" s="11" t="n">
        <f aca="false">H213-G213</f>
        <v>234.3</v>
      </c>
      <c r="J213" s="10" t="str">
        <f aca="false">IF(AND(G213=0,H213=0),0,IF(G213=0,"New",(H213-G213)/G213))</f>
        <v>New</v>
      </c>
    </row>
    <row r="214" customFormat="false" ht="15" hidden="false" customHeight="true" outlineLevel="0" collapsed="false">
      <c r="A214" s="8" t="s">
        <v>262</v>
      </c>
      <c r="B214" s="8" t="str">
        <f aca="false">IFERROR(INDEX('Source 2026'!$C:$C,MATCH($A214,'Source 2026'!$B:$B,0)),IFERROR(INDEX('Source 2025'!$C:$C,MATCH($A214,'Source 2025'!$B:$B,0)),""))</f>
        <v>L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9" t="n">
        <f aca="false">D214-C214</f>
        <v>2</v>
      </c>
      <c r="F214" s="10" t="str">
        <f aca="false">IF(AND(C214=0,D214=0),0,IF(C214=0,"New",(D214-C214)/C214))</f>
        <v>New</v>
      </c>
      <c r="G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H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234.2</v>
      </c>
      <c r="I214" s="11" t="n">
        <f aca="false">H214-G214</f>
        <v>234.2</v>
      </c>
      <c r="J214" s="10" t="str">
        <f aca="false">IF(AND(G214=0,H214=0),0,IF(G214=0,"New",(H214-G214)/G214))</f>
        <v>New</v>
      </c>
    </row>
    <row r="215" customFormat="false" ht="15" hidden="false" customHeight="true" outlineLevel="0" collapsed="false">
      <c r="A215" s="8" t="s">
        <v>263</v>
      </c>
      <c r="B215" s="8" t="str">
        <f aca="false">IFERROR(INDEX('Source 2026'!$C:$C,MATCH($A215,'Source 2026'!$B:$B,0)),IFERROR(INDEX('Source 2025'!$C:$C,MATCH($A215,'Source 2025'!$B:$B,0)),""))</f>
        <v>פיקה לברך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46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41</v>
      </c>
      <c r="E215" s="9" t="n">
        <f aca="false">D215-C215</f>
        <v>-5</v>
      </c>
      <c r="F215" s="10" t="n">
        <f aca="false">IF(AND(C215=0,D215=0),0,IF(C215=0,"New",(D215-C215)/C215))</f>
        <v>-0.108695652173913</v>
      </c>
      <c r="G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2335.3</v>
      </c>
      <c r="H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2103.5</v>
      </c>
      <c r="I215" s="11" t="n">
        <f aca="false">H215-G215</f>
        <v>-231.8</v>
      </c>
      <c r="J215" s="10" t="n">
        <f aca="false">IF(AND(G215=0,H215=0),0,IF(G215=0,"New",(H215-G215)/G215))</f>
        <v>-0.0992591958206655</v>
      </c>
    </row>
    <row r="216" customFormat="false" ht="15" hidden="false" customHeight="true" outlineLevel="0" collapsed="false">
      <c r="A216" s="8" t="s">
        <v>264</v>
      </c>
      <c r="B216" s="8" t="str">
        <f aca="false">IFERROR(INDEX('Source 2026'!$C:$C,MATCH($A216,'Source 2026'!$B:$B,0)),IFERROR(INDEX('Source 2025'!$C:$C,MATCH($A216,'Source 2025'!$B:$B,0)),""))</f>
        <v>מדרסי אפיק ג'ל נוחות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17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14</v>
      </c>
      <c r="E216" s="9" t="n">
        <f aca="false">D216-C216</f>
        <v>-3</v>
      </c>
      <c r="F216" s="10" t="n">
        <f aca="false">IF(AND(C216=0,D216=0),0,IF(C216=0,"New",(D216-C216)/C216))</f>
        <v>-0.176470588235294</v>
      </c>
      <c r="G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1602.9</v>
      </c>
      <c r="H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1371.3</v>
      </c>
      <c r="I216" s="11" t="n">
        <f aca="false">H216-G216</f>
        <v>-231.6</v>
      </c>
      <c r="J216" s="10" t="n">
        <f aca="false">IF(AND(G216=0,H216=0),0,IF(G216=0,"New",(H216-G216)/G216))</f>
        <v>-0.144488115291035</v>
      </c>
    </row>
    <row r="217" customFormat="false" ht="15" hidden="false" customHeight="true" outlineLevel="0" collapsed="false">
      <c r="A217" s="8" t="s">
        <v>265</v>
      </c>
      <c r="B217" s="8" t="str">
        <f aca="false">IFERROR(INDEX('Source 2026'!$C:$C,MATCH($A217,'Source 2026'!$B:$B,0)),IFERROR(INDEX('Source 2025'!$C:$C,MATCH($A217,'Source 2025'!$B:$B,0)),""))</f>
        <v>L-XLח.גב אמר+סגירה כפ.חום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0</v>
      </c>
      <c r="E217" s="9" t="n">
        <f aca="false">D217-C217</f>
        <v>-1</v>
      </c>
      <c r="F217" s="10" t="n">
        <f aca="false">IF(AND(C217=0,D217=0),0,IF(C217=0,"New",(D217-C217)/C217))</f>
        <v>-1</v>
      </c>
      <c r="G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231.6</v>
      </c>
      <c r="H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0</v>
      </c>
      <c r="I217" s="11" t="n">
        <f aca="false">H217-G217</f>
        <v>-231.6</v>
      </c>
      <c r="J217" s="10" t="n">
        <f aca="false">IF(AND(G217=0,H217=0),0,IF(G217=0,"New",(H217-G217)/G217))</f>
        <v>-1</v>
      </c>
    </row>
    <row r="218" customFormat="false" ht="15" hidden="false" customHeight="true" outlineLevel="0" collapsed="false">
      <c r="A218" s="8" t="s">
        <v>266</v>
      </c>
      <c r="B218" s="8" t="str">
        <f aca="false">IFERROR(INDEX('Source 2026'!$C:$C,MATCH($A218,'Source 2026'!$B:$B,0)),IFERROR(INDEX('Source 2025'!$C:$C,MATCH($A218,'Source 2025'!$B:$B,0)),""))</f>
        <v>XL סד קרסול+מוטות אלומיניום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2</v>
      </c>
      <c r="E218" s="9" t="n">
        <f aca="false">D218-C218</f>
        <v>1</v>
      </c>
      <c r="F218" s="10" t="n">
        <f aca="false">IF(AND(C218=0,D218=0),0,IF(C218=0,"New",(D218-C218)/C218))</f>
        <v>1</v>
      </c>
      <c r="G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198.6</v>
      </c>
      <c r="H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425.5</v>
      </c>
      <c r="I218" s="11" t="n">
        <f aca="false">H218-G218</f>
        <v>226.9</v>
      </c>
      <c r="J218" s="10" t="n">
        <f aca="false">IF(AND(G218=0,H218=0),0,IF(G218=0,"New",(H218-G218)/G218))</f>
        <v>1.14249748237664</v>
      </c>
    </row>
    <row r="219" customFormat="false" ht="15" hidden="false" customHeight="true" outlineLevel="0" collapsed="false">
      <c r="A219" s="8" t="s">
        <v>267</v>
      </c>
      <c r="B219" s="8" t="str">
        <f aca="false">IFERROR(INDEX('Source 2026'!$C:$C,MATCH($A219,'Source 2026'!$B:$B,0)),IFERROR(INDEX('Source 2025'!$C:$C,MATCH($A219,'Source 2025'!$B:$B,0)),""))</f>
        <v>XL סד לאגודל כפפה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0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3</v>
      </c>
      <c r="E219" s="9" t="n">
        <f aca="false">D219-C219</f>
        <v>3</v>
      </c>
      <c r="F219" s="10" t="str">
        <f aca="false">IF(AND(C219=0,D219=0),0,IF(C219=0,"New",(D219-C219)/C219))</f>
        <v>New</v>
      </c>
      <c r="G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-13</v>
      </c>
      <c r="H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209.7</v>
      </c>
      <c r="I219" s="11" t="n">
        <f aca="false">H219-G219</f>
        <v>222.7</v>
      </c>
      <c r="J219" s="10" t="n">
        <f aca="false">IF(AND(G219=0,H219=0),0,IF(G219=0,"New",(H219-G219)/G219))</f>
        <v>-17.1307692307692</v>
      </c>
    </row>
    <row r="220" customFormat="false" ht="15" hidden="false" customHeight="true" outlineLevel="0" collapsed="false">
      <c r="A220" s="8" t="s">
        <v>268</v>
      </c>
      <c r="B220" s="8" t="str">
        <f aca="false">IFERROR(INDEX('Source 2026'!$C:$C,MATCH($A220,'Source 2026'!$B:$B,0)),IFERROR(INDEX('Source 2025'!$C:$C,MATCH($A220,'Source 2025'!$B:$B,0)),""))</f>
        <v>L-XL 'סד יד שמאל בז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2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9" t="n">
        <f aca="false">D220-C220</f>
        <v>-2</v>
      </c>
      <c r="F220" s="10" t="n">
        <f aca="false">IF(AND(C220=0,D220=0),0,IF(C220=0,"New",(D220-C220)/C220))</f>
        <v>-1</v>
      </c>
      <c r="G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217.4</v>
      </c>
      <c r="H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I220" s="11" t="n">
        <f aca="false">H220-G220</f>
        <v>-217.4</v>
      </c>
      <c r="J220" s="10" t="n">
        <f aca="false">IF(AND(G220=0,H220=0),0,IF(G220=0,"New",(H220-G220)/G220))</f>
        <v>-1</v>
      </c>
    </row>
    <row r="221" customFormat="false" ht="15" hidden="false" customHeight="true" outlineLevel="0" collapsed="false">
      <c r="A221" s="8" t="s">
        <v>269</v>
      </c>
      <c r="B221" s="8" t="str">
        <f aca="false">IFERROR(INDEX('Source 2026'!$C:$C,MATCH($A221,'Source 2026'!$B:$B,0)),IFERROR(INDEX('Source 2025'!$C:$C,MATCH($A221,'Source 2025'!$B:$B,0)),""))</f>
        <v>L-XL 'סד יד ימין בז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9" t="n">
        <f aca="false">D221-C221</f>
        <v>-2</v>
      </c>
      <c r="F221" s="10" t="n">
        <f aca="false">IF(AND(C221=0,D221=0),0,IF(C221=0,"New",(D221-C221)/C221))</f>
        <v>-1</v>
      </c>
      <c r="G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H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I221" s="11" t="n">
        <f aca="false">H221-G221</f>
        <v>-217.4</v>
      </c>
      <c r="J221" s="10" t="n">
        <f aca="false">IF(AND(G221=0,H221=0),0,IF(G221=0,"New",(H221-G221)/G221))</f>
        <v>-1</v>
      </c>
    </row>
    <row r="222" customFormat="false" ht="15" hidden="false" customHeight="true" outlineLevel="0" collapsed="false">
      <c r="A222" s="8" t="s">
        <v>270</v>
      </c>
      <c r="B222" s="8" t="str">
        <f aca="false">IFERROR(INDEX('Source 2026'!$C:$C,MATCH($A222,'Source 2026'!$B:$B,0)),IFERROR(INDEX('Source 2025'!$C:$C,MATCH($A222,'Source 2025'!$B:$B,0)),""))</f>
        <v>L-XLסד יד ימין שחור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9" t="n">
        <f aca="false">D222-C222</f>
        <v>-2</v>
      </c>
      <c r="F222" s="10" t="n">
        <f aca="false">IF(AND(C222=0,D222=0),0,IF(C222=0,"New",(D222-C222)/C222))</f>
        <v>-1</v>
      </c>
      <c r="G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H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I222" s="11" t="n">
        <f aca="false">H222-G222</f>
        <v>-217.4</v>
      </c>
      <c r="J222" s="10" t="n">
        <f aca="false">IF(AND(G222=0,H222=0),0,IF(G222=0,"New",(H222-G222)/G222))</f>
        <v>-1</v>
      </c>
    </row>
    <row r="223" customFormat="false" ht="15" hidden="false" customHeight="true" outlineLevel="0" collapsed="false">
      <c r="A223" s="8" t="s">
        <v>271</v>
      </c>
      <c r="B223" s="8" t="str">
        <f aca="false">IFERROR(INDEX('Source 2026'!$C:$C,MATCH($A223,'Source 2026'!$B:$B,0)),IFERROR(INDEX('Source 2025'!$C:$C,MATCH($A223,'Source 2025'!$B:$B,0)),""))</f>
        <v>L-XLסד יד שמאל שחור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9" t="n">
        <f aca="false">D223-C223</f>
        <v>-2</v>
      </c>
      <c r="F223" s="10" t="n">
        <f aca="false">IF(AND(C223=0,D223=0),0,IF(C223=0,"New",(D223-C223)/C223))</f>
        <v>-1</v>
      </c>
      <c r="G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H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I223" s="11" t="n">
        <f aca="false">H223-G223</f>
        <v>-217.4</v>
      </c>
      <c r="J223" s="10" t="n">
        <f aca="false">IF(AND(G223=0,H223=0),0,IF(G223=0,"New",(H223-G223)/G223))</f>
        <v>-1</v>
      </c>
    </row>
    <row r="224" customFormat="false" ht="15" hidden="false" customHeight="true" outlineLevel="0" collapsed="false">
      <c r="A224" s="8" t="s">
        <v>272</v>
      </c>
      <c r="B224" s="8" t="str">
        <f aca="false">IFERROR(INDEX('Source 2026'!$C:$C,MATCH($A224,'Source 2026'!$B:$B,0)),IFERROR(INDEX('Source 2025'!$C:$C,MATCH($A224,'Source 2025'!$B:$B,0)),""))</f>
        <v>L-XLחגורת הריון בכאב.חזק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1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9" t="n">
        <f aca="false">D224-C224</f>
        <v>-1</v>
      </c>
      <c r="F224" s="10" t="n">
        <f aca="false">IF(AND(C224=0,D224=0),0,IF(C224=0,"New",(D224-C224)/C224))</f>
        <v>-1</v>
      </c>
      <c r="G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213</v>
      </c>
      <c r="H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I224" s="11" t="n">
        <f aca="false">H224-G224</f>
        <v>-213</v>
      </c>
      <c r="J224" s="10" t="n">
        <f aca="false">IF(AND(G224=0,H224=0),0,IF(G224=0,"New",(H224-G224)/G224))</f>
        <v>-1</v>
      </c>
    </row>
    <row r="225" customFormat="false" ht="15" hidden="false" customHeight="true" outlineLevel="0" collapsed="false">
      <c r="A225" s="8" t="s">
        <v>273</v>
      </c>
      <c r="B225" s="8" t="str">
        <f aca="false">IFERROR(INDEX('Source 2026'!$C:$C,MATCH($A225,'Source 2026'!$B:$B,0)),IFERROR(INDEX('Source 2025'!$C:$C,MATCH($A225,'Source 2025'!$B:$B,0)),""))</f>
        <v>M'חגורת גב+סגירה כפו בז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-1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1</v>
      </c>
      <c r="E225" s="9" t="n">
        <f aca="false">D225-C225</f>
        <v>2</v>
      </c>
      <c r="F225" s="10" t="n">
        <f aca="false">IF(AND(C225=0,D225=0),0,IF(C225=0,"New",(D225-C225)/C225))</f>
        <v>-2</v>
      </c>
      <c r="G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-133.3</v>
      </c>
      <c r="H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73.9</v>
      </c>
      <c r="I225" s="11" t="n">
        <f aca="false">H225-G225</f>
        <v>207.2</v>
      </c>
      <c r="J225" s="10" t="n">
        <f aca="false">IF(AND(G225=0,H225=0),0,IF(G225=0,"New",(H225-G225)/G225))</f>
        <v>-1.55438859714929</v>
      </c>
    </row>
    <row r="226" customFormat="false" ht="15" hidden="false" customHeight="true" outlineLevel="0" collapsed="false">
      <c r="A226" s="8" t="s">
        <v>274</v>
      </c>
      <c r="B226" s="8" t="str">
        <f aca="false">IFERROR(INDEX('Source 2026'!$C:$C,MATCH($A226,'Source 2026'!$B:$B,0)),IFERROR(INDEX('Source 2025'!$C:$C,MATCH($A226,'Source 2025'!$B:$B,0)),""))</f>
        <v>36-40 'רפידת ג'ל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8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3</v>
      </c>
      <c r="E226" s="9" t="n">
        <f aca="false">D226-C226</f>
        <v>-5</v>
      </c>
      <c r="F226" s="10" t="n">
        <f aca="false">IF(AND(C226=0,D226=0),0,IF(C226=0,"New",(D226-C226)/C226))</f>
        <v>-0.625</v>
      </c>
      <c r="G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401</v>
      </c>
      <c r="H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194.6</v>
      </c>
      <c r="I226" s="11" t="n">
        <f aca="false">H226-G226</f>
        <v>-206.4</v>
      </c>
      <c r="J226" s="10" t="n">
        <f aca="false">IF(AND(G226=0,H226=0),0,IF(G226=0,"New",(H226-G226)/G226))</f>
        <v>-0.514713216957606</v>
      </c>
    </row>
    <row r="227" customFormat="false" ht="15" hidden="false" customHeight="true" outlineLevel="0" collapsed="false">
      <c r="A227" s="8" t="s">
        <v>275</v>
      </c>
      <c r="B227" s="8" t="str">
        <f aca="false">IFERROR(INDEX('Source 2026'!$C:$C,MATCH($A227,'Source 2026'!$B:$B,0)),IFERROR(INDEX('Source 2025'!$C:$C,MATCH($A227,'Source 2025'!$B:$B,0)),""))</f>
        <v>11 אפורUG חגורת בטן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2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9" t="n">
        <f aca="false">D227-C227</f>
        <v>-2</v>
      </c>
      <c r="F227" s="10" t="n">
        <f aca="false">IF(AND(C227=0,D227=0),0,IF(C227=0,"New",(D227-C227)/C227))</f>
        <v>-1</v>
      </c>
      <c r="G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206.1</v>
      </c>
      <c r="H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I227" s="11" t="n">
        <f aca="false">H227-G227</f>
        <v>-206.1</v>
      </c>
      <c r="J227" s="10" t="n">
        <f aca="false">IF(AND(G227=0,H227=0),0,IF(G227=0,"New",(H227-G227)/G227))</f>
        <v>-1</v>
      </c>
    </row>
    <row r="228" customFormat="false" ht="15" hidden="false" customHeight="true" outlineLevel="0" collapsed="false">
      <c r="A228" s="8" t="s">
        <v>276</v>
      </c>
      <c r="B228" s="8" t="str">
        <f aca="false">IFERROR(INDEX('Source 2026'!$C:$C,MATCH($A228,'Source 2026'!$B:$B,0)),IFERROR(INDEX('Source 2025'!$C:$C,MATCH($A228,'Source 2025'!$B:$B,0)),""))</f>
        <v>ריפוד סיליקון לנעלי אצבע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7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-1</v>
      </c>
      <c r="E228" s="9" t="n">
        <f aca="false">D228-C228</f>
        <v>-8</v>
      </c>
      <c r="F228" s="10" t="n">
        <f aca="false">IF(AND(C228=0,D228=0),0,IF(C228=0,"New",(D228-C228)/C228))</f>
        <v>-1.14285714285714</v>
      </c>
      <c r="G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180.9</v>
      </c>
      <c r="H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-21.9</v>
      </c>
      <c r="I228" s="11" t="n">
        <f aca="false">H228-G228</f>
        <v>-202.8</v>
      </c>
      <c r="J228" s="10" t="n">
        <f aca="false">IF(AND(G228=0,H228=0),0,IF(G228=0,"New",(H228-G228)/G228))</f>
        <v>-1.12106135986733</v>
      </c>
    </row>
    <row r="229" customFormat="false" ht="15" hidden="false" customHeight="true" outlineLevel="0" collapsed="false">
      <c r="A229" s="8" t="s">
        <v>277</v>
      </c>
      <c r="B229" s="8" t="str">
        <f aca="false">IFERROR(INDEX('Source 2026'!$C:$C,MATCH($A229,'Source 2026'!$B:$B,0)),IFERROR(INDEX('Source 2025'!$C:$C,MATCH($A229,'Source 2025'!$B:$B,0)),""))</f>
        <v>סד לאגודל לאחר שבר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2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0</v>
      </c>
      <c r="E229" s="9" t="n">
        <f aca="false">D229-C229</f>
        <v>-2</v>
      </c>
      <c r="F229" s="10" t="n">
        <f aca="false">IF(AND(C229=0,D229=0),0,IF(C229=0,"New",(D229-C229)/C229))</f>
        <v>-1</v>
      </c>
      <c r="G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199.3</v>
      </c>
      <c r="H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0</v>
      </c>
      <c r="I229" s="11" t="n">
        <f aca="false">H229-G229</f>
        <v>-199.3</v>
      </c>
      <c r="J229" s="10" t="n">
        <f aca="false">IF(AND(G229=0,H229=0),0,IF(G229=0,"New",(H229-G229)/G229))</f>
        <v>-1</v>
      </c>
    </row>
    <row r="230" customFormat="false" ht="15" hidden="false" customHeight="true" outlineLevel="0" collapsed="false">
      <c r="A230" s="8" t="s">
        <v>278</v>
      </c>
      <c r="B230" s="8" t="str">
        <f aca="false">IFERROR(INDEX('Source 2026'!$C:$C,MATCH($A230,'Source 2026'!$B:$B,0)),IFERROR(INDEX('Source 2025'!$C:$C,MATCH($A230,'Source 2025'!$B:$B,0)),""))</f>
        <v>S חגורת שבר לצד שמאל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6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7</v>
      </c>
      <c r="E230" s="9" t="n">
        <f aca="false">D230-C230</f>
        <v>1</v>
      </c>
      <c r="F230" s="10" t="n">
        <f aca="false">IF(AND(C230=0,D230=0),0,IF(C230=0,"New",(D230-C230)/C230))</f>
        <v>0.166666666666667</v>
      </c>
      <c r="G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1090.3</v>
      </c>
      <c r="H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1287</v>
      </c>
      <c r="I230" s="11" t="n">
        <f aca="false">H230-G230</f>
        <v>196.7</v>
      </c>
      <c r="J230" s="10" t="n">
        <f aca="false">IF(AND(G230=0,H230=0),0,IF(G230=0,"New",(H230-G230)/G230))</f>
        <v>0.18040906172613</v>
      </c>
    </row>
    <row r="231" customFormat="false" ht="15" hidden="false" customHeight="true" outlineLevel="0" collapsed="false">
      <c r="A231" s="8" t="s">
        <v>279</v>
      </c>
      <c r="B231" s="8" t="str">
        <f aca="false">IFERROR(INDEX('Source 2026'!$C:$C,MATCH($A231,'Source 2026'!$B:$B,0)),IFERROR(INDEX('Source 2025'!$C:$C,MATCH($A231,'Source 2025'!$B:$B,0)),""))</f>
        <v>11אפורUGחגורת בטן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1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9" t="n">
        <f aca="false">D231-C231</f>
        <v>-2</v>
      </c>
      <c r="F231" s="10" t="n">
        <f aca="false">IF(AND(C231=0,D231=0),0,IF(C231=0,"New",(D231-C231)/C231))</f>
        <v>-2</v>
      </c>
      <c r="G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103.1</v>
      </c>
      <c r="H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-92.8</v>
      </c>
      <c r="I231" s="11" t="n">
        <f aca="false">H231-G231</f>
        <v>-195.9</v>
      </c>
      <c r="J231" s="10" t="n">
        <f aca="false">IF(AND(G231=0,H231=0),0,IF(G231=0,"New",(H231-G231)/G231))</f>
        <v>-1.90009699321048</v>
      </c>
    </row>
    <row r="232" customFormat="false" ht="15" hidden="false" customHeight="true" outlineLevel="0" collapsed="false">
      <c r="A232" s="8" t="s">
        <v>280</v>
      </c>
      <c r="B232" s="8" t="str">
        <f aca="false">IFERROR(INDEX('Source 2026'!$C:$C,MATCH($A232,'Source 2026'!$B:$B,0)),IFERROR(INDEX('Source 2025'!$C:$C,MATCH($A232,'Source 2025'!$B:$B,0)),""))</f>
        <v>גרב כסף לסכרתיים לבן35-38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50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38</v>
      </c>
      <c r="E232" s="9" t="n">
        <f aca="false">D232-C232</f>
        <v>-12</v>
      </c>
      <c r="F232" s="10" t="n">
        <f aca="false">IF(AND(C232=0,D232=0),0,IF(C232=0,"New",(D232-C232)/C232))</f>
        <v>-0.24</v>
      </c>
      <c r="G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1506</v>
      </c>
      <c r="H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1310.7</v>
      </c>
      <c r="I232" s="11" t="n">
        <f aca="false">H232-G232</f>
        <v>-195.3</v>
      </c>
      <c r="J232" s="10" t="n">
        <f aca="false">IF(AND(G232=0,H232=0),0,IF(G232=0,"New",(H232-G232)/G232))</f>
        <v>-0.129681274900398</v>
      </c>
    </row>
    <row r="233" customFormat="false" ht="15" hidden="false" customHeight="true" outlineLevel="0" collapsed="false">
      <c r="A233" s="8" t="s">
        <v>281</v>
      </c>
      <c r="B233" s="8" t="str">
        <f aca="false">IFERROR(INDEX('Source 2026'!$C:$C,MATCH($A233,'Source 2026'!$B:$B,0)),IFERROR(INDEX('Source 2025'!$C:$C,MATCH($A233,'Source 2025'!$B:$B,0)),""))</f>
        <v>.חבישת""הלוקס ולגוס""לאחר נית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2</v>
      </c>
      <c r="E233" s="9" t="n">
        <f aca="false">D233-C233</f>
        <v>2</v>
      </c>
      <c r="F233" s="10" t="str">
        <f aca="false">IF(AND(C233=0,D233=0),0,IF(C233=0,"New",(D233-C233)/C233))</f>
        <v>New</v>
      </c>
      <c r="G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0</v>
      </c>
      <c r="H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178</v>
      </c>
      <c r="I233" s="11" t="n">
        <f aca="false">H233-G233</f>
        <v>178</v>
      </c>
      <c r="J233" s="10" t="str">
        <f aca="false">IF(AND(G233=0,H233=0),0,IF(G233=0,"New",(H233-G233)/G233))</f>
        <v>New</v>
      </c>
    </row>
    <row r="234" customFormat="false" ht="15" hidden="false" customHeight="true" outlineLevel="0" collapsed="false">
      <c r="A234" s="8" t="s">
        <v>282</v>
      </c>
      <c r="B234" s="8" t="str">
        <f aca="false">IFERROR(INDEX('Source 2026'!$C:$C,MATCH($A234,'Source 2026'!$B:$B,0)),IFERROR(INDEX('Source 2025'!$C:$C,MATCH($A234,'Source 2025'!$B:$B,0)),""))</f>
        <v>מגן זרת מסיליקון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59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54</v>
      </c>
      <c r="E234" s="9" t="n">
        <f aca="false">D234-C234</f>
        <v>-5</v>
      </c>
      <c r="F234" s="10" t="n">
        <f aca="false">IF(AND(C234=0,D234=0),0,IF(C234=0,"New",(D234-C234)/C234))</f>
        <v>-0.0847457627118644</v>
      </c>
      <c r="G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1719.6</v>
      </c>
      <c r="H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1543.7</v>
      </c>
      <c r="I234" s="11" t="n">
        <f aca="false">H234-G234</f>
        <v>-175.9</v>
      </c>
      <c r="J234" s="10" t="n">
        <f aca="false">IF(AND(G234=0,H234=0),0,IF(G234=0,"New",(H234-G234)/G234))</f>
        <v>-0.102291230518725</v>
      </c>
    </row>
    <row r="235" customFormat="false" ht="15" hidden="false" customHeight="true" outlineLevel="0" collapsed="false">
      <c r="A235" s="8" t="s">
        <v>283</v>
      </c>
      <c r="B235" s="8" t="str">
        <f aca="false">IFERROR(INDEX('Source 2026'!$C:$C,MATCH($A235,'Source 2026'!$B:$B,0)),IFERROR(INDEX('Source 2025'!$C:$C,MATCH($A235,'Source 2025'!$B:$B,0)),""))</f>
        <v>בקט.לנעל120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-6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0</v>
      </c>
      <c r="E235" s="9" t="n">
        <f aca="false">D235-C235</f>
        <v>6</v>
      </c>
      <c r="F235" s="10" t="n">
        <f aca="false">IF(AND(C235=0,D235=0),0,IF(C235=0,"New",(D235-C235)/C235))</f>
        <v>-1</v>
      </c>
      <c r="G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-173.3</v>
      </c>
      <c r="H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0</v>
      </c>
      <c r="I235" s="11" t="n">
        <f aca="false">H235-G235</f>
        <v>173.3</v>
      </c>
      <c r="J235" s="10" t="n">
        <f aca="false">IF(AND(G235=0,H235=0),0,IF(G235=0,"New",(H235-G235)/G235))</f>
        <v>-1</v>
      </c>
    </row>
    <row r="236" customFormat="false" ht="15" hidden="false" customHeight="true" outlineLevel="0" collapsed="false">
      <c r="A236" s="8" t="s">
        <v>284</v>
      </c>
      <c r="B236" s="8" t="str">
        <f aca="false">IFERROR(INDEX('Source 2026'!$C:$C,MATCH($A236,'Source 2026'!$B:$B,0)),IFERROR(INDEX('Source 2025'!$C:$C,MATCH($A236,'Source 2025'!$B:$B,0)),""))</f>
        <v>L-XL מיצב כתפיים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1</v>
      </c>
      <c r="E236" s="9" t="n">
        <f aca="false">D236-C236</f>
        <v>1</v>
      </c>
      <c r="F236" s="10" t="str">
        <f aca="false">IF(AND(C236=0,D236=0),0,IF(C236=0,"New",(D236-C236)/C236))</f>
        <v>New</v>
      </c>
      <c r="G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H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168.5</v>
      </c>
      <c r="I236" s="11" t="n">
        <f aca="false">H236-G236</f>
        <v>168.5</v>
      </c>
      <c r="J236" s="10" t="str">
        <f aca="false">IF(AND(G236=0,H236=0),0,IF(G236=0,"New",(H236-G236)/G236))</f>
        <v>New</v>
      </c>
    </row>
    <row r="237" customFormat="false" ht="15" hidden="false" customHeight="true" outlineLevel="0" collapsed="false">
      <c r="A237" s="8" t="s">
        <v>285</v>
      </c>
      <c r="B237" s="8" t="str">
        <f aca="false">IFERROR(INDEX('Source 2026'!$C:$C,MATCH($A237,'Source 2026'!$B:$B,0)),IFERROR(INDEX('Source 2025'!$C:$C,MATCH($A237,'Source 2025'!$B:$B,0)),""))</f>
        <v>הגנה לכף הרגל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-5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0</v>
      </c>
      <c r="E237" s="9" t="n">
        <f aca="false">D237-C237</f>
        <v>5</v>
      </c>
      <c r="F237" s="10" t="n">
        <f aca="false">IF(AND(C237=0,D237=0),0,IF(C237=0,"New",(D237-C237)/C237))</f>
        <v>-1</v>
      </c>
      <c r="G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-165.6</v>
      </c>
      <c r="H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0</v>
      </c>
      <c r="I237" s="11" t="n">
        <f aca="false">H237-G237</f>
        <v>165.6</v>
      </c>
      <c r="J237" s="10" t="n">
        <f aca="false">IF(AND(G237=0,H237=0),0,IF(G237=0,"New",(H237-G237)/G237))</f>
        <v>-1</v>
      </c>
    </row>
    <row r="238" customFormat="false" ht="15" hidden="false" customHeight="true" outlineLevel="0" collapsed="false">
      <c r="A238" s="8" t="s">
        <v>286</v>
      </c>
      <c r="B238" s="8" t="str">
        <f aca="false">IFERROR(INDEX('Source 2026'!$C:$C,MATCH($A238,'Source 2026'!$B:$B,0)),IFERROR(INDEX('Source 2025'!$C:$C,MATCH($A238,'Source 2025'!$B:$B,0)),""))</f>
        <v>L מגן למפרק כתף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-1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9" t="n">
        <f aca="false">D238-C238</f>
        <v>1</v>
      </c>
      <c r="F238" s="10" t="n">
        <f aca="false">IF(AND(C238=0,D238=0),0,IF(C238=0,"New",(D238-C238)/C238))</f>
        <v>-1</v>
      </c>
      <c r="G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-165.4</v>
      </c>
      <c r="H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I238" s="11" t="n">
        <f aca="false">H238-G238</f>
        <v>165.4</v>
      </c>
      <c r="J238" s="10" t="n">
        <f aca="false">IF(AND(G238=0,H238=0),0,IF(G238=0,"New",(H238-G238)/G238))</f>
        <v>-1</v>
      </c>
    </row>
    <row r="239" customFormat="false" ht="15" hidden="false" customHeight="true" outlineLevel="0" collapsed="false">
      <c r="A239" s="8" t="s">
        <v>287</v>
      </c>
      <c r="B239" s="8" t="str">
        <f aca="false">IFERROR(INDEX('Source 2026'!$C:$C,MATCH($A239,'Source 2026'!$B:$B,0)),IFERROR(INDEX('Source 2025'!$C:$C,MATCH($A239,'Source 2025'!$B:$B,0)),""))</f>
        <v>S מגן קרסול שמאל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12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8</v>
      </c>
      <c r="E239" s="9" t="n">
        <f aca="false">D239-C239</f>
        <v>-4</v>
      </c>
      <c r="F239" s="10" t="n">
        <f aca="false">IF(AND(C239=0,D239=0),0,IF(C239=0,"New",(D239-C239)/C239))</f>
        <v>-0.333333333333333</v>
      </c>
      <c r="G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948.9</v>
      </c>
      <c r="H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785.6</v>
      </c>
      <c r="I239" s="11" t="n">
        <f aca="false">H239-G239</f>
        <v>-163.3</v>
      </c>
      <c r="J239" s="10" t="n">
        <f aca="false">IF(AND(G239=0,H239=0),0,IF(G239=0,"New",(H239-G239)/G239))</f>
        <v>-0.172094003583096</v>
      </c>
    </row>
    <row r="240" customFormat="false" ht="15" hidden="false" customHeight="true" outlineLevel="0" collapsed="false">
      <c r="A240" s="8" t="s">
        <v>288</v>
      </c>
      <c r="B240" s="8" t="str">
        <f aca="false">IFERROR(INDEX('Source 2026'!$C:$C,MATCH($A240,'Source 2026'!$B:$B,0)),IFERROR(INDEX('Source 2025'!$C:$C,MATCH($A240,'Source 2025'!$B:$B,0)),""))</f>
        <v>L-מדרס סיליקון לנעלי עקב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11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7</v>
      </c>
      <c r="E240" s="9" t="n">
        <f aca="false">D240-C240</f>
        <v>-4</v>
      </c>
      <c r="F240" s="10" t="n">
        <f aca="false">IF(AND(C240=0,D240=0),0,IF(C240=0,"New",(D240-C240)/C240))</f>
        <v>-0.363636363636364</v>
      </c>
      <c r="G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450.9</v>
      </c>
      <c r="H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293.4</v>
      </c>
      <c r="I240" s="11" t="n">
        <f aca="false">H240-G240</f>
        <v>-157.5</v>
      </c>
      <c r="J240" s="10" t="n">
        <f aca="false">IF(AND(G240=0,H240=0),0,IF(G240=0,"New",(H240-G240)/G240))</f>
        <v>-0.349301397205589</v>
      </c>
    </row>
    <row r="241" customFormat="false" ht="15" hidden="false" customHeight="true" outlineLevel="0" collapsed="false">
      <c r="A241" s="8" t="s">
        <v>289</v>
      </c>
      <c r="B241" s="8" t="str">
        <f aca="false">IFERROR(INDEX('Source 2026'!$C:$C,MATCH($A241,'Source 2026'!$B:$B,0)),IFERROR(INDEX('Source 2025'!$C:$C,MATCH($A241,'Source 2025'!$B:$B,0)),""))</f>
        <v>L מתלה אשכים לספורטאים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5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3</v>
      </c>
      <c r="E241" s="9" t="n">
        <f aca="false">D241-C241</f>
        <v>-2</v>
      </c>
      <c r="F241" s="10" t="n">
        <f aca="false">IF(AND(C241=0,D241=0),0,IF(C241=0,"New",(D241-C241)/C241))</f>
        <v>-0.4</v>
      </c>
      <c r="G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402.3</v>
      </c>
      <c r="H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245.7</v>
      </c>
      <c r="I241" s="11" t="n">
        <f aca="false">H241-G241</f>
        <v>-156.6</v>
      </c>
      <c r="J241" s="10" t="n">
        <f aca="false">IF(AND(G241=0,H241=0),0,IF(G241=0,"New",(H241-G241)/G241))</f>
        <v>-0.389261744966443</v>
      </c>
    </row>
    <row r="242" customFormat="false" ht="15" hidden="false" customHeight="true" outlineLevel="0" collapsed="false">
      <c r="A242" s="8" t="s">
        <v>290</v>
      </c>
      <c r="B242" s="8" t="str">
        <f aca="false">IFERROR(INDEX('Source 2026'!$C:$C,MATCH($A242,'Source 2026'!$B:$B,0)),IFERROR(INDEX('Source 2025'!$C:$C,MATCH($A242,'Source 2025'!$B:$B,0)),""))</f>
        <v>קיבוע לאצבע הדק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44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38</v>
      </c>
      <c r="E242" s="9" t="n">
        <f aca="false">D242-C242</f>
        <v>-6</v>
      </c>
      <c r="F242" s="10" t="n">
        <f aca="false">IF(AND(C242=0,D242=0),0,IF(C242=0,"New",(D242-C242)/C242))</f>
        <v>-0.136363636363636</v>
      </c>
      <c r="G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1297.9</v>
      </c>
      <c r="H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1141.8</v>
      </c>
      <c r="I242" s="11" t="n">
        <f aca="false">H242-G242</f>
        <v>-156.1</v>
      </c>
      <c r="J242" s="10" t="n">
        <f aca="false">IF(AND(G242=0,H242=0),0,IF(G242=0,"New",(H242-G242)/G242))</f>
        <v>-0.120271207334926</v>
      </c>
    </row>
    <row r="243" customFormat="false" ht="15" hidden="false" customHeight="true" outlineLevel="0" collapsed="false">
      <c r="A243" s="8" t="s">
        <v>291</v>
      </c>
      <c r="B243" s="8" t="str">
        <f aca="false">IFERROR(INDEX('Source 2026'!$C:$C,MATCH($A243,'Source 2026'!$B:$B,0)),IFERROR(INDEX('Source 2025'!$C:$C,MATCH($A243,'Source 2025'!$B:$B,0)),""))</f>
        <v>S חגורת גב לנשים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0</v>
      </c>
      <c r="E243" s="9" t="n">
        <f aca="false">D243-C243</f>
        <v>-1</v>
      </c>
      <c r="F243" s="10" t="n">
        <f aca="false">IF(AND(C243=0,D243=0),0,IF(C243=0,"New",(D243-C243)/C243))</f>
        <v>-1</v>
      </c>
      <c r="G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154.4</v>
      </c>
      <c r="H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0</v>
      </c>
      <c r="I243" s="11" t="n">
        <f aca="false">H243-G243</f>
        <v>-154.4</v>
      </c>
      <c r="J243" s="10" t="n">
        <f aca="false">IF(AND(G243=0,H243=0),0,IF(G243=0,"New",(H243-G243)/G243))</f>
        <v>-1</v>
      </c>
    </row>
    <row r="244" customFormat="false" ht="15" hidden="false" customHeight="true" outlineLevel="0" collapsed="false">
      <c r="A244" s="8" t="s">
        <v>292</v>
      </c>
      <c r="B244" s="8" t="str">
        <f aca="false">IFERROR(INDEX('Source 2026'!$C:$C,MATCH($A244,'Source 2026'!$B:$B,0)),IFERROR(INDEX('Source 2025'!$C:$C,MATCH($A244,'Source 2025'!$B:$B,0)),""))</f>
        <v>סד לילה לבוהן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-2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9" t="n">
        <f aca="false">D244-C244</f>
        <v>2</v>
      </c>
      <c r="F244" s="10" t="n">
        <f aca="false">IF(AND(C244=0,D244=0),0,IF(C244=0,"New",(D244-C244)/C244))</f>
        <v>-1</v>
      </c>
      <c r="G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-152.1</v>
      </c>
      <c r="H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I244" s="11" t="n">
        <f aca="false">H244-G244</f>
        <v>152.1</v>
      </c>
      <c r="J244" s="10" t="n">
        <f aca="false">IF(AND(G244=0,H244=0),0,IF(G244=0,"New",(H244-G244)/G244))</f>
        <v>-1</v>
      </c>
    </row>
    <row r="245" customFormat="false" ht="15" hidden="false" customHeight="true" outlineLevel="0" collapsed="false">
      <c r="A245" s="8" t="s">
        <v>293</v>
      </c>
      <c r="B245" s="8" t="str">
        <f aca="false">IFERROR(INDEX('Source 2026'!$C:$C,MATCH($A245,'Source 2026'!$B:$B,0)),IFERROR(INDEX('Source 2025'!$C:$C,MATCH($A245,'Source 2025'!$B:$B,0)),""))</f>
        <v>יד לטניס כרית סיליק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1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2</v>
      </c>
      <c r="E245" s="9" t="n">
        <f aca="false">D245-C245</f>
        <v>1</v>
      </c>
      <c r="F245" s="10" t="n">
        <f aca="false">IF(AND(C245=0,D245=0),0,IF(C245=0,"New",(D245-C245)/C245))</f>
        <v>1</v>
      </c>
      <c r="G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141.8</v>
      </c>
      <c r="H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283.9</v>
      </c>
      <c r="I245" s="11" t="n">
        <f aca="false">H245-G245</f>
        <v>142.1</v>
      </c>
      <c r="J245" s="10" t="n">
        <f aca="false">IF(AND(G245=0,H245=0),0,IF(G245=0,"New",(H245-G245)/G245))</f>
        <v>1.00211565585331</v>
      </c>
    </row>
    <row r="246" customFormat="false" ht="15" hidden="false" customHeight="true" outlineLevel="0" collapsed="false">
      <c r="A246" s="8" t="s">
        <v>294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0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1</v>
      </c>
      <c r="E246" s="9" t="n">
        <f aca="false">D246-C246</f>
        <v>1</v>
      </c>
      <c r="F246" s="10" t="str">
        <f aca="false">IF(AND(C246=0,D246=0),0,IF(C246=0,"New",(D246-C246)/C246))</f>
        <v>New</v>
      </c>
      <c r="G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0</v>
      </c>
      <c r="H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142</v>
      </c>
      <c r="I246" s="11" t="n">
        <f aca="false">H246-G246</f>
        <v>142</v>
      </c>
      <c r="J246" s="10" t="str">
        <f aca="false">IF(AND(G246=0,H246=0),0,IF(G246=0,"New",(H246-G246)/G246))</f>
        <v>New</v>
      </c>
    </row>
    <row r="247" customFormat="false" ht="15" hidden="false" customHeight="true" outlineLevel="0" collapsed="false">
      <c r="A247" s="8" t="s">
        <v>295</v>
      </c>
      <c r="B247" s="8" t="str">
        <f aca="false">IFERROR(INDEX('Source 2026'!$C:$C,MATCH($A247,'Source 2026'!$B:$B,0)),IFERROR(INDEX('Source 2025'!$C:$C,MATCH($A247,'Source 2025'!$B:$B,0)),""))</f>
        <v>יד לטניס כרית סילי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1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9" t="n">
        <f aca="false">D247-C247</f>
        <v>-1</v>
      </c>
      <c r="F247" s="10" t="n">
        <f aca="false">IF(AND(C247=0,D247=0),0,IF(C247=0,"New",(D247-C247)/C247))</f>
        <v>-1</v>
      </c>
      <c r="G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142</v>
      </c>
      <c r="H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I247" s="11" t="n">
        <f aca="false">H247-G247</f>
        <v>-142</v>
      </c>
      <c r="J247" s="10" t="n">
        <f aca="false">IF(AND(G247=0,H247=0),0,IF(G247=0,"New",(H247-G247)/G247))</f>
        <v>-1</v>
      </c>
    </row>
    <row r="248" customFormat="false" ht="15" hidden="false" customHeight="true" outlineLevel="0" collapsed="false">
      <c r="A248" s="8" t="s">
        <v>296</v>
      </c>
      <c r="B248" s="8" t="str">
        <f aca="false">IFERROR(INDEX('Source 2026'!$C:$C,MATCH($A248,'Source 2026'!$B:$B,0)),IFERROR(INDEX('Source 2025'!$C:$C,MATCH($A248,'Source 2025'!$B:$B,0)),""))</f>
        <v>M חגורת צלעות לאשה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9" t="n">
        <f aca="false">D248-C248</f>
        <v>-1</v>
      </c>
      <c r="F248" s="10" t="n">
        <f aca="false">IF(AND(C248=0,D248=0),0,IF(C248=0,"New",(D248-C248)/C248))</f>
        <v>-1</v>
      </c>
      <c r="G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140.6</v>
      </c>
      <c r="H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I248" s="11" t="n">
        <f aca="false">H248-G248</f>
        <v>-140.6</v>
      </c>
      <c r="J248" s="10" t="n">
        <f aca="false">IF(AND(G248=0,H248=0),0,IF(G248=0,"New",(H248-G248)/G248))</f>
        <v>-1</v>
      </c>
    </row>
    <row r="249" customFormat="false" ht="15" hidden="false" customHeight="true" outlineLevel="0" collapsed="false">
      <c r="A249" s="8" t="s">
        <v>297</v>
      </c>
      <c r="B249" s="8" t="str">
        <f aca="false">IFERROR(INDEX('Source 2026'!$C:$C,MATCH($A249,'Source 2026'!$B:$B,0)),IFERROR(INDEX('Source 2025'!$C:$C,MATCH($A249,'Source 2025'!$B:$B,0)),""))</f>
        <v>מגן ירך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21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22</v>
      </c>
      <c r="E249" s="9" t="n">
        <f aca="false">D249-C249</f>
        <v>1</v>
      </c>
      <c r="F249" s="10" t="n">
        <f aca="false">IF(AND(C249=0,D249=0),0,IF(C249=0,"New",(D249-C249)/C249))</f>
        <v>0.0476190476190476</v>
      </c>
      <c r="G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1201.4</v>
      </c>
      <c r="H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1335.3</v>
      </c>
      <c r="I249" s="11" t="n">
        <f aca="false">H249-G249</f>
        <v>133.9</v>
      </c>
      <c r="J249" s="10" t="n">
        <f aca="false">IF(AND(G249=0,H249=0),0,IF(G249=0,"New",(H249-G249)/G249))</f>
        <v>0.111453304478109</v>
      </c>
    </row>
    <row r="250" customFormat="false" ht="15" hidden="false" customHeight="true" outlineLevel="0" collapsed="false">
      <c r="A250" s="8" t="s">
        <v>298</v>
      </c>
      <c r="B250" s="8" t="str">
        <f aca="false">IFERROR(INDEX('Source 2026'!$C:$C,MATCH($A250,'Source 2026'!$B:$B,0)),IFERROR(INDEX('Source 2025'!$C:$C,MATCH($A250,'Source 2025'!$B:$B,0)),""))</f>
        <v>מגן קרסול+כרית סילקון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</v>
      </c>
      <c r="E250" s="9" t="n">
        <f aca="false">D250-C250</f>
        <v>1</v>
      </c>
      <c r="F250" s="10" t="n">
        <f aca="false">IF(AND(C250=0,D250=0),0,IF(C250=0,"New",(D250-C250)/C250))</f>
        <v>1</v>
      </c>
      <c r="G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127.9</v>
      </c>
      <c r="H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255.8</v>
      </c>
      <c r="I250" s="11" t="n">
        <f aca="false">H250-G250</f>
        <v>127.9</v>
      </c>
      <c r="J250" s="10" t="n">
        <f aca="false">IF(AND(G250=0,H250=0),0,IF(G250=0,"New",(H250-G250)/G250))</f>
        <v>1</v>
      </c>
    </row>
    <row r="251" customFormat="false" ht="15" hidden="false" customHeight="true" outlineLevel="0" collapsed="false">
      <c r="A251" s="8" t="s">
        <v>299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9" t="n">
        <f aca="false">D251-C251</f>
        <v>-1</v>
      </c>
      <c r="F251" s="10" t="n">
        <f aca="false">IF(AND(C251=0,D251=0),0,IF(C251=0,"New",(D251-C251)/C251))</f>
        <v>-1</v>
      </c>
      <c r="G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H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I251" s="11" t="n">
        <f aca="false">H251-G251</f>
        <v>-127.9</v>
      </c>
      <c r="J251" s="10" t="n">
        <f aca="false">IF(AND(G251=0,H251=0),0,IF(G251=0,"New",(H251-G251)/G251))</f>
        <v>-1</v>
      </c>
    </row>
    <row r="252" customFormat="false" ht="15" hidden="false" customHeight="true" outlineLevel="0" collapsed="false">
      <c r="A252" s="8" t="s">
        <v>300</v>
      </c>
      <c r="B252" s="8" t="str">
        <f aca="false">IFERROR(INDEX('Source 2026'!$C:$C,MATCH($A252,'Source 2026'!$B:$B,0)),IFERROR(INDEX('Source 2025'!$C:$C,MATCH($A252,'Source 2025'!$B:$B,0)),""))</f>
        <v>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0</v>
      </c>
      <c r="E252" s="9" t="n">
        <f aca="false">D252-C252</f>
        <v>-1</v>
      </c>
      <c r="F252" s="10" t="n">
        <f aca="false">IF(AND(C252=0,D252=0),0,IF(C252=0,"New",(D252-C252)/C252))</f>
        <v>-1</v>
      </c>
      <c r="G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127.6</v>
      </c>
      <c r="H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0</v>
      </c>
      <c r="I252" s="11" t="n">
        <f aca="false">H252-G252</f>
        <v>-127.6</v>
      </c>
      <c r="J252" s="10" t="n">
        <f aca="false">IF(AND(G252=0,H252=0),0,IF(G252=0,"New",(H252-G252)/G252))</f>
        <v>-1</v>
      </c>
    </row>
    <row r="253" customFormat="false" ht="15" hidden="false" customHeight="true" outlineLevel="0" collapsed="false">
      <c r="A253" s="8" t="s">
        <v>301</v>
      </c>
      <c r="B253" s="8" t="str">
        <f aca="false">IFERROR(INDEX('Source 2026'!$C:$C,MATCH($A253,'Source 2026'!$B:$B,0)),IFERROR(INDEX('Source 2025'!$C:$C,MATCH($A253,'Source 2025'!$B:$B,0)),""))</f>
        <v>ברך רגיל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0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1</v>
      </c>
      <c r="E253" s="9" t="n">
        <f aca="false">D253-C253</f>
        <v>1</v>
      </c>
      <c r="F253" s="10" t="str">
        <f aca="false">IF(AND(C253=0,D253=0),0,IF(C253=0,"New",(D253-C253)/C253))</f>
        <v>New</v>
      </c>
      <c r="G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0</v>
      </c>
      <c r="H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118.6</v>
      </c>
      <c r="I253" s="11" t="n">
        <f aca="false">H253-G253</f>
        <v>118.6</v>
      </c>
      <c r="J253" s="10" t="str">
        <f aca="false">IF(AND(G253=0,H253=0),0,IF(G253=0,"New",(H253-G253)/G253))</f>
        <v>New</v>
      </c>
    </row>
    <row r="254" customFormat="false" ht="15" hidden="false" customHeight="true" outlineLevel="0" collapsed="false">
      <c r="A254" s="8" t="s">
        <v>302</v>
      </c>
      <c r="B254" s="8" t="str">
        <f aca="false">IFERROR(INDEX('Source 2026'!$C:$C,MATCH($A254,'Source 2026'!$B:$B,0)),IFERROR(INDEX('Source 2025'!$C:$C,MATCH($A254,'Source 2025'!$B:$B,0)),""))</f>
        <v>רפידת ספורט 376 מידה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3</v>
      </c>
      <c r="E254" s="9" t="n">
        <f aca="false">D254-C254</f>
        <v>3</v>
      </c>
      <c r="F254" s="10" t="str">
        <f aca="false">IF(AND(C254=0,D254=0),0,IF(C254=0,"New",(D254-C254)/C254))</f>
        <v>New</v>
      </c>
      <c r="G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H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105.3</v>
      </c>
      <c r="I254" s="11" t="n">
        <f aca="false">H254-G254</f>
        <v>105.3</v>
      </c>
      <c r="J254" s="10" t="str">
        <f aca="false">IF(AND(G254=0,H254=0),0,IF(G254=0,"New",(H254-G254)/G254))</f>
        <v>New</v>
      </c>
    </row>
    <row r="255" customFormat="false" ht="15" hidden="false" customHeight="true" outlineLevel="0" collapsed="false">
      <c r="A255" s="8" t="s">
        <v>303</v>
      </c>
      <c r="B255" s="8" t="str">
        <f aca="false">IFERROR(INDEX('Source 2026'!$C:$C,MATCH($A255,'Source 2026'!$B:$B,0)),IFERROR(INDEX('Source 2025'!$C:$C,MATCH($A255,'Source 2025'!$B:$B,0)),""))</f>
        <v>11 אפורUG חגורת בטן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9" t="n">
        <f aca="false">D255-C255</f>
        <v>-1</v>
      </c>
      <c r="F255" s="10" t="n">
        <f aca="false">IF(AND(C255=0,D255=0),0,IF(C255=0,"New",(D255-C255)/C255))</f>
        <v>-1</v>
      </c>
      <c r="G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103.1</v>
      </c>
      <c r="H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I255" s="11" t="n">
        <f aca="false">H255-G255</f>
        <v>-103.1</v>
      </c>
      <c r="J255" s="10" t="n">
        <f aca="false">IF(AND(G255=0,H255=0),0,IF(G255=0,"New",(H255-G255)/G255))</f>
        <v>-1</v>
      </c>
    </row>
    <row r="256" customFormat="false" ht="15" hidden="false" customHeight="true" outlineLevel="0" collapsed="false">
      <c r="A256" s="8" t="s">
        <v>304</v>
      </c>
      <c r="B256" s="8" t="str">
        <f aca="false">IFERROR(INDEX('Source 2026'!$C:$C,MATCH($A256,'Source 2026'!$B:$B,0)),IFERROR(INDEX('Source 2025'!$C:$C,MATCH($A256,'Source 2025'!$B:$B,0)),""))</f>
        <v>רפידת ספורט 376 מידה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4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9" t="n">
        <f aca="false">D256-C256</f>
        <v>-3</v>
      </c>
      <c r="F256" s="10" t="n">
        <f aca="false">IF(AND(C256=0,D256=0),0,IF(C256=0,"New",(D256-C256)/C256))</f>
        <v>-0.75</v>
      </c>
      <c r="G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133.6</v>
      </c>
      <c r="H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35.1</v>
      </c>
      <c r="I256" s="11" t="n">
        <f aca="false">H256-G256</f>
        <v>-98.5</v>
      </c>
      <c r="J256" s="10" t="n">
        <f aca="false">IF(AND(G256=0,H256=0),0,IF(G256=0,"New",(H256-G256)/G256))</f>
        <v>-0.737275449101796</v>
      </c>
    </row>
    <row r="257" customFormat="false" ht="15" hidden="false" customHeight="true" outlineLevel="0" collapsed="false">
      <c r="A257" s="8" t="s">
        <v>305</v>
      </c>
      <c r="B257" s="8" t="str">
        <f aca="false">IFERROR(INDEX('Source 2026'!$C:$C,MATCH($A257,'Source 2026'!$B:$B,0)),IFERROR(INDEX('Source 2025'!$C:$C,MATCH($A257,'Source 2025'!$B:$B,0)),""))</f>
        <v>רצועת טניס אלבו עם פלסטיק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-1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0</v>
      </c>
      <c r="E257" s="9" t="n">
        <f aca="false">D257-C257</f>
        <v>1</v>
      </c>
      <c r="F257" s="10" t="n">
        <f aca="false">IF(AND(C257=0,D257=0),0,IF(C257=0,"New",(D257-C257)/C257))</f>
        <v>-1</v>
      </c>
      <c r="G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-98.3</v>
      </c>
      <c r="H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0</v>
      </c>
      <c r="I257" s="11" t="n">
        <f aca="false">H257-G257</f>
        <v>98.3</v>
      </c>
      <c r="J257" s="10" t="n">
        <f aca="false">IF(AND(G257=0,H257=0),0,IF(G257=0,"New",(H257-G257)/G257))</f>
        <v>-1</v>
      </c>
    </row>
    <row r="258" customFormat="false" ht="15" hidden="false" customHeight="true" outlineLevel="0" collapsed="false">
      <c r="A258" s="8" t="s">
        <v>306</v>
      </c>
      <c r="B258" s="8" t="str">
        <f aca="false">IFERROR(INDEX('Source 2026'!$C:$C,MATCH($A258,'Source 2026'!$B:$B,0)),IFERROR(INDEX('Source 2025'!$C:$C,MATCH($A258,'Source 2025'!$B:$B,0)),""))</f>
        <v>M סד ליד שמאל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9" t="n">
        <f aca="false">D258-C258</f>
        <v>-1</v>
      </c>
      <c r="F258" s="10" t="n">
        <f aca="false">IF(AND(C258=0,D258=0),0,IF(C258=0,"New",(D258-C258)/C258))</f>
        <v>-1</v>
      </c>
      <c r="G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94.5</v>
      </c>
      <c r="H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I258" s="11" t="n">
        <f aca="false">H258-G258</f>
        <v>-94.5</v>
      </c>
      <c r="J258" s="10" t="n">
        <f aca="false">IF(AND(G258=0,H258=0),0,IF(G258=0,"New",(H258-G258)/G258))</f>
        <v>-1</v>
      </c>
    </row>
    <row r="259" customFormat="false" ht="15" hidden="false" customHeight="true" outlineLevel="0" collapsed="false">
      <c r="A259" s="8" t="s">
        <v>307</v>
      </c>
      <c r="B259" s="8" t="str">
        <f aca="false">IFERROR(INDEX('Source 2026'!$C:$C,MATCH($A259,'Source 2026'!$B:$B,0)),IFERROR(INDEX('Source 2025'!$C:$C,MATCH($A259,'Source 2025'!$B:$B,0)),""))</f>
        <v>Lחגורת בטן וחזה אחרי ניתוח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9" t="n">
        <f aca="false">D259-C259</f>
        <v>-1</v>
      </c>
      <c r="F259" s="10" t="n">
        <f aca="false">IF(AND(C259=0,D259=0),0,IF(C259=0,"New",(D259-C259)/C259))</f>
        <v>-1</v>
      </c>
      <c r="G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H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I259" s="11" t="n">
        <f aca="false">H259-G259</f>
        <v>-94.5</v>
      </c>
      <c r="J259" s="10" t="n">
        <f aca="false">IF(AND(G259=0,H259=0),0,IF(G259=0,"New",(H259-G259)/G259))</f>
        <v>-1</v>
      </c>
    </row>
    <row r="260" customFormat="false" ht="15" hidden="false" customHeight="true" outlineLevel="0" collapsed="false">
      <c r="A260" s="8" t="s">
        <v>308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9" t="n">
        <f aca="false">D260-C260</f>
        <v>1</v>
      </c>
      <c r="F260" s="10" t="str">
        <f aca="false">IF(AND(C260=0,D260=0),0,IF(C260=0,"New",(D260-C260)/C260))</f>
        <v>New</v>
      </c>
      <c r="G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H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I260" s="11" t="n">
        <f aca="false">H260-G260</f>
        <v>94.5</v>
      </c>
      <c r="J260" s="10" t="str">
        <f aca="false">IF(AND(G260=0,H260=0),0,IF(G260=0,"New",(H260-G260)/G260))</f>
        <v>New</v>
      </c>
    </row>
    <row r="261" customFormat="false" ht="15" hidden="false" customHeight="true" outlineLevel="0" collapsed="false">
      <c r="A261" s="8" t="s">
        <v>309</v>
      </c>
      <c r="B261" s="8" t="str">
        <f aca="false">IFERROR(INDEX('Source 2026'!$C:$C,MATCH($A261,'Source 2026'!$B:$B,0)),IFERROR(INDEX('Source 2025'!$C:$C,MATCH($A261,'Source 2025'!$B:$B,0)),""))</f>
        <v>S-Mגרב לילה לטיפ.בדורבן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2</v>
      </c>
      <c r="E261" s="9" t="n">
        <f aca="false">D261-C261</f>
        <v>1</v>
      </c>
      <c r="F261" s="10" t="n">
        <f aca="false">IF(AND(C261=0,D261=0),0,IF(C261=0,"New",(D261-C261)/C261))</f>
        <v>1</v>
      </c>
      <c r="G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92.1</v>
      </c>
      <c r="H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184.6</v>
      </c>
      <c r="I261" s="11" t="n">
        <f aca="false">H261-G261</f>
        <v>92.5</v>
      </c>
      <c r="J261" s="10" t="n">
        <f aca="false">IF(AND(G261=0,H261=0),0,IF(G261=0,"New",(H261-G261)/G261))</f>
        <v>1.0043431053203</v>
      </c>
    </row>
    <row r="262" customFormat="false" ht="15" hidden="false" customHeight="true" outlineLevel="0" collapsed="false">
      <c r="A262" s="8" t="s">
        <v>310</v>
      </c>
      <c r="B262" s="8" t="str">
        <f aca="false">IFERROR(INDEX('Source 2026'!$C:$C,MATCH($A262,'Source 2026'!$B:$B,0)),IFERROR(INDEX('Source 2025'!$C:$C,MATCH($A262,'Source 2025'!$B:$B,0)),""))</f>
        <v>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0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1</v>
      </c>
      <c r="E262" s="9" t="n">
        <f aca="false">D262-C262</f>
        <v>1</v>
      </c>
      <c r="F262" s="10" t="str">
        <f aca="false">IF(AND(C262=0,D262=0),0,IF(C262=0,"New",(D262-C262)/C262))</f>
        <v>New</v>
      </c>
      <c r="G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0</v>
      </c>
      <c r="H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92.3</v>
      </c>
      <c r="I262" s="11" t="n">
        <f aca="false">H262-G262</f>
        <v>92.3</v>
      </c>
      <c r="J262" s="10" t="str">
        <f aca="false">IF(AND(G262=0,H262=0),0,IF(G262=0,"New",(H262-G262)/G262))</f>
        <v>New</v>
      </c>
    </row>
    <row r="263" customFormat="false" ht="15" hidden="false" customHeight="true" outlineLevel="0" collapsed="false">
      <c r="A263" s="8" t="s">
        <v>311</v>
      </c>
      <c r="B263" s="8" t="str">
        <f aca="false">IFERROR(INDEX('Source 2026'!$C:$C,MATCH($A263,'Source 2026'!$B:$B,0)),IFERROR(INDEX('Source 2025'!$C:$C,MATCH($A263,'Source 2025'!$B:$B,0)),""))</f>
        <v>ג.כסף לסכרתיים אפור35-38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18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15</v>
      </c>
      <c r="E263" s="9" t="n">
        <f aca="false">D263-C263</f>
        <v>-3</v>
      </c>
      <c r="F263" s="10" t="n">
        <f aca="false">IF(AND(C263=0,D263=0),0,IF(C263=0,"New",(D263-C263)/C263))</f>
        <v>-0.166666666666667</v>
      </c>
      <c r="G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600.5</v>
      </c>
      <c r="H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517.2</v>
      </c>
      <c r="I263" s="11" t="n">
        <f aca="false">H263-G263</f>
        <v>-83.3</v>
      </c>
      <c r="J263" s="10" t="n">
        <f aca="false">IF(AND(G263=0,H263=0),0,IF(G263=0,"New",(H263-G263)/G263))</f>
        <v>-0.138717735220649</v>
      </c>
    </row>
    <row r="264" customFormat="false" ht="15" hidden="false" customHeight="true" outlineLevel="0" collapsed="false">
      <c r="A264" s="8" t="s">
        <v>312</v>
      </c>
      <c r="B264" s="8" t="str">
        <f aca="false">IFERROR(INDEX('Source 2026'!$C:$C,MATCH($A264,'Source 2026'!$B:$B,0)),IFERROR(INDEX('Source 2025'!$C:$C,MATCH($A264,'Source 2025'!$B:$B,0)),""))</f>
        <v>רפידת ספורט 376 מידה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-1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</v>
      </c>
      <c r="E264" s="9" t="n">
        <f aca="false">D264-C264</f>
        <v>2</v>
      </c>
      <c r="F264" s="10" t="n">
        <f aca="false">IF(AND(C264=0,D264=0),0,IF(C264=0,"New",(D264-C264)/C264))</f>
        <v>-2</v>
      </c>
      <c r="G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-43.2</v>
      </c>
      <c r="H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35.1</v>
      </c>
      <c r="I264" s="11" t="n">
        <f aca="false">H264-G264</f>
        <v>78.3</v>
      </c>
      <c r="J264" s="10" t="n">
        <f aca="false">IF(AND(G264=0,H264=0),0,IF(G264=0,"New",(H264-G264)/G264))</f>
        <v>-1.8125</v>
      </c>
    </row>
    <row r="265" customFormat="false" ht="15" hidden="false" customHeight="true" outlineLevel="0" collapsed="false">
      <c r="A265" s="8" t="s">
        <v>313</v>
      </c>
      <c r="B265" s="8" t="str">
        <f aca="false">IFERROR(INDEX('Source 2026'!$C:$C,MATCH($A265,'Source 2026'!$B:$B,0)),IFERROR(INDEX('Source 2025'!$C:$C,MATCH($A265,'Source 2025'!$B:$B,0)),""))</f>
        <v>רצועה לפיקת הברך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4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5</v>
      </c>
      <c r="E265" s="9" t="n">
        <f aca="false">D265-C265</f>
        <v>1</v>
      </c>
      <c r="F265" s="10" t="n">
        <f aca="false">IF(AND(C265=0,D265=0),0,IF(C265=0,"New",(D265-C265)/C265))</f>
        <v>0.25</v>
      </c>
      <c r="G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315.3</v>
      </c>
      <c r="H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392.1</v>
      </c>
      <c r="I265" s="11" t="n">
        <f aca="false">H265-G265</f>
        <v>76.8</v>
      </c>
      <c r="J265" s="10" t="n">
        <f aca="false">IF(AND(G265=0,H265=0),0,IF(G265=0,"New",(H265-G265)/G265))</f>
        <v>0.243577545195052</v>
      </c>
    </row>
    <row r="266" customFormat="false" ht="15" hidden="false" customHeight="true" outlineLevel="0" collapsed="false">
      <c r="A266" s="8" t="s">
        <v>314</v>
      </c>
      <c r="B266" s="8" t="str">
        <f aca="false">IFERROR(INDEX('Source 2026'!$C:$C,MATCH($A266,'Source 2026'!$B:$B,0)),IFERROR(INDEX('Source 2025'!$C:$C,MATCH($A266,'Source 2025'!$B:$B,0)),""))</f>
        <v>3/4לכאבי דורבן וספורט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-1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0</v>
      </c>
      <c r="E266" s="9" t="n">
        <f aca="false">D266-C266</f>
        <v>1</v>
      </c>
      <c r="F266" s="10" t="n">
        <f aca="false">IF(AND(C266=0,D266=0),0,IF(C266=0,"New",(D266-C266)/C266))</f>
        <v>-1</v>
      </c>
      <c r="G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-75.6</v>
      </c>
      <c r="H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0</v>
      </c>
      <c r="I266" s="11" t="n">
        <f aca="false">H266-G266</f>
        <v>75.6</v>
      </c>
      <c r="J266" s="10" t="n">
        <f aca="false">IF(AND(G266=0,H266=0),0,IF(G266=0,"New",(H266-G266)/G266))</f>
        <v>-1</v>
      </c>
    </row>
    <row r="267" customFormat="false" ht="15" hidden="false" customHeight="true" outlineLevel="0" collapsed="false">
      <c r="A267" s="8" t="s">
        <v>315</v>
      </c>
      <c r="B267" s="8" t="str">
        <f aca="false">IFERROR(INDEX('Source 2026'!$C:$C,MATCH($A267,'Source 2026'!$B:$B,0)),IFERROR(INDEX('Source 2025'!$C:$C,MATCH($A267,'Source 2025'!$B:$B,0)),""))</f>
        <v>סד לילה לבוהן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9" t="n">
        <f aca="false">D267-C267</f>
        <v>1</v>
      </c>
      <c r="F267" s="10" t="n">
        <f aca="false">IF(AND(C267=0,D267=0),0,IF(C267=0,"New",(D267-C267)/C267))</f>
        <v>-1</v>
      </c>
      <c r="G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-74</v>
      </c>
      <c r="H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I267" s="11" t="n">
        <f aca="false">H267-G267</f>
        <v>74</v>
      </c>
      <c r="J267" s="10" t="n">
        <f aca="false">IF(AND(G267=0,H267=0),0,IF(G267=0,"New",(H267-G267)/G267))</f>
        <v>-1</v>
      </c>
    </row>
    <row r="268" customFormat="false" ht="15" hidden="false" customHeight="true" outlineLevel="0" collapsed="false">
      <c r="A268" s="8" t="s">
        <v>316</v>
      </c>
      <c r="B268" s="8" t="str">
        <f aca="false">IFERROR(INDEX('Source 2026'!$C:$C,MATCH($A268,'Source 2026'!$B:$B,0)),IFERROR(INDEX('Source 2025'!$C:$C,MATCH($A268,'Source 2025'!$B:$B,0)),""))</f>
        <v>L-XL STRAP4U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-4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9" t="n">
        <f aca="false">D268-C268</f>
        <v>4</v>
      </c>
      <c r="F268" s="10" t="n">
        <f aca="false">IF(AND(C268=0,D268=0),0,IF(C268=0,"New",(D268-C268)/C268))</f>
        <v>-1</v>
      </c>
      <c r="G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-55.3</v>
      </c>
      <c r="H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I268" s="11" t="n">
        <f aca="false">H268-G268</f>
        <v>55.3</v>
      </c>
      <c r="J268" s="10" t="n">
        <f aca="false">IF(AND(G268=0,H268=0),0,IF(G268=0,"New",(H268-G268)/G268))</f>
        <v>-1</v>
      </c>
    </row>
    <row r="269" customFormat="false" ht="15" hidden="false" customHeight="true" outlineLevel="0" collapsed="false">
      <c r="A269" s="8" t="s">
        <v>317</v>
      </c>
      <c r="B269" s="8" t="str">
        <f aca="false">IFERROR(INDEX('Source 2026'!$C:$C,MATCH($A269,'Source 2026'!$B:$B,0)),IFERROR(INDEX('Source 2025'!$C:$C,MATCH($A269,'Source 2025'!$B:$B,0)),""))</f>
        <v>אתלטיק טייפ לבן 20מ""מ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47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41</v>
      </c>
      <c r="E269" s="9" t="n">
        <f aca="false">D269-C269</f>
        <v>-6</v>
      </c>
      <c r="F269" s="10" t="n">
        <f aca="false">IF(AND(C269=0,D269=0),0,IF(C269=0,"New",(D269-C269)/C269))</f>
        <v>-0.127659574468085</v>
      </c>
      <c r="G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719.1</v>
      </c>
      <c r="H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665.2</v>
      </c>
      <c r="I269" s="11" t="n">
        <f aca="false">H269-G269</f>
        <v>-53.9</v>
      </c>
      <c r="J269" s="10" t="n">
        <f aca="false">IF(AND(G269=0,H269=0),0,IF(G269=0,"New",(H269-G269)/G269))</f>
        <v>-0.0749548046168822</v>
      </c>
    </row>
    <row r="270" customFormat="false" ht="15" hidden="false" customHeight="true" outlineLevel="0" collapsed="false">
      <c r="A270" s="8" t="s">
        <v>318</v>
      </c>
      <c r="B270" s="8" t="str">
        <f aca="false">IFERROR(INDEX('Source 2026'!$C:$C,MATCH($A270,'Source 2026'!$B:$B,0)),IFERROR(INDEX('Source 2025'!$C:$C,MATCH($A270,'Source 2025'!$B:$B,0)),""))</f>
        <v>S-M STRAP4U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-4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9" t="n">
        <f aca="false">D270-C270</f>
        <v>4</v>
      </c>
      <c r="F270" s="10" t="n">
        <f aca="false">IF(AND(C270=0,D270=0),0,IF(C270=0,"New",(D270-C270)/C270))</f>
        <v>-1</v>
      </c>
      <c r="G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-53.5</v>
      </c>
      <c r="H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I270" s="11" t="n">
        <f aca="false">H270-G270</f>
        <v>53.5</v>
      </c>
      <c r="J270" s="10" t="n">
        <f aca="false">IF(AND(G270=0,H270=0),0,IF(G270=0,"New",(H270-G270)/G270))</f>
        <v>-1</v>
      </c>
    </row>
    <row r="271" customFormat="false" ht="15" hidden="false" customHeight="true" outlineLevel="0" collapsed="false">
      <c r="A271" s="8" t="s">
        <v>319</v>
      </c>
      <c r="B271" s="8" t="str">
        <f aca="false">IFERROR(INDEX('Source 2026'!$C:$C,MATCH($A271,'Source 2026'!$B:$B,0)),IFERROR(INDEX('Source 2025'!$C:$C,MATCH($A271,'Source 2025'!$B:$B,0)),""))</f>
        <v>תחבושת אלסטית מקררת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129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124</v>
      </c>
      <c r="E271" s="9" t="n">
        <f aca="false">D271-C271</f>
        <v>-5</v>
      </c>
      <c r="F271" s="10" t="n">
        <f aca="false">IF(AND(C271=0,D271=0),0,IF(C271=0,"New",(D271-C271)/C271))</f>
        <v>-0.0387596899224806</v>
      </c>
      <c r="G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2674.4</v>
      </c>
      <c r="H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2627.7</v>
      </c>
      <c r="I271" s="11" t="n">
        <f aca="false">H271-G271</f>
        <v>-46.6999999999998</v>
      </c>
      <c r="J271" s="10" t="n">
        <f aca="false">IF(AND(G271=0,H271=0),0,IF(G271=0,"New",(H271-G271)/G271))</f>
        <v>-0.0174618606042476</v>
      </c>
    </row>
    <row r="272" customFormat="false" ht="15" hidden="false" customHeight="true" outlineLevel="0" collapsed="false">
      <c r="A272" s="8" t="s">
        <v>320</v>
      </c>
      <c r="B272" s="8" t="str">
        <f aca="false">IFERROR(INDEX('Source 2026'!$C:$C,MATCH($A272,'Source 2026'!$B:$B,0)),IFERROR(INDEX('Source 2025'!$C:$C,MATCH($A272,'Source 2025'!$B:$B,0)),""))</f>
        <v>אתלטיק טייפ שחור 20מ""מ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20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21</v>
      </c>
      <c r="E272" s="9" t="n">
        <f aca="false">D272-C272</f>
        <v>1</v>
      </c>
      <c r="F272" s="10" t="n">
        <f aca="false">IF(AND(C272=0,D272=0),0,IF(C272=0,"New",(D272-C272)/C272))</f>
        <v>0.05</v>
      </c>
      <c r="G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318.7</v>
      </c>
      <c r="H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358.6</v>
      </c>
      <c r="I272" s="11" t="n">
        <f aca="false">H272-G272</f>
        <v>39.9</v>
      </c>
      <c r="J272" s="10" t="n">
        <f aca="false">IF(AND(G272=0,H272=0),0,IF(G272=0,"New",(H272-G272)/G272))</f>
        <v>0.125196109193599</v>
      </c>
    </row>
    <row r="273" customFormat="false" ht="15" hidden="false" customHeight="true" outlineLevel="0" collapsed="false">
      <c r="A273" s="8" t="s">
        <v>321</v>
      </c>
      <c r="B273" s="8" t="str">
        <f aca="false">IFERROR(INDEX('Source 2026'!$C:$C,MATCH($A273,'Source 2026'!$B:$B,0)),IFERROR(INDEX('Source 2025'!$C:$C,MATCH($A273,'Source 2025'!$B:$B,0)),""))</f>
        <v>HV רצועה אלסטית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3</v>
      </c>
      <c r="E273" s="9" t="n">
        <f aca="false">D273-C273</f>
        <v>1</v>
      </c>
      <c r="F273" s="10" t="n">
        <f aca="false">IF(AND(C273=0,D273=0),0,IF(C273=0,"New",(D273-C273)/C273))</f>
        <v>0.5</v>
      </c>
      <c r="G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75.5</v>
      </c>
      <c r="H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113.3</v>
      </c>
      <c r="I273" s="11" t="n">
        <f aca="false">H273-G273</f>
        <v>37.8</v>
      </c>
      <c r="J273" s="10" t="n">
        <f aca="false">IF(AND(G273=0,H273=0),0,IF(G273=0,"New",(H273-G273)/G273))</f>
        <v>0.500662251655629</v>
      </c>
    </row>
    <row r="274" customFormat="false" ht="15" hidden="false" customHeight="true" outlineLevel="0" collapsed="false">
      <c r="A274" s="8" t="s">
        <v>322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9" t="n">
        <f aca="false">D274-C274</f>
        <v>1</v>
      </c>
      <c r="F274" s="10" t="n">
        <f aca="false">IF(AND(C274=0,D274=0),0,IF(C274=0,"New",(D274-C274)/C274))</f>
        <v>-1</v>
      </c>
      <c r="G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H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I274" s="11" t="n">
        <f aca="false">H274-G274</f>
        <v>37.8</v>
      </c>
      <c r="J274" s="10" t="n">
        <f aca="false">IF(AND(G274=0,H274=0),0,IF(G274=0,"New",(H274-G274)/G274))</f>
        <v>-1</v>
      </c>
    </row>
    <row r="275" customFormat="false" ht="15" hidden="false" customHeight="true" outlineLevel="0" collapsed="false">
      <c r="A275" s="8" t="s">
        <v>323</v>
      </c>
      <c r="B275" s="8" t="str">
        <f aca="false">IFERROR(INDEX('Source 2026'!$C:$C,MATCH($A275,'Source 2026'!$B:$B,0)),IFERROR(INDEX('Source 2025'!$C:$C,MATCH($A275,'Source 2025'!$B:$B,0)),""))</f>
        <v>120 תתתרסיס מרענן לרגל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-1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0</v>
      </c>
      <c r="E275" s="9" t="n">
        <f aca="false">D275-C275</f>
        <v>1</v>
      </c>
      <c r="F275" s="10" t="n">
        <f aca="false">IF(AND(C275=0,D275=0),0,IF(C275=0,"New",(D275-C275)/C275))</f>
        <v>-1</v>
      </c>
      <c r="G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-36.5</v>
      </c>
      <c r="H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0</v>
      </c>
      <c r="I275" s="11" t="n">
        <f aca="false">H275-G275</f>
        <v>36.5</v>
      </c>
      <c r="J275" s="10" t="n">
        <f aca="false">IF(AND(G275=0,H275=0),0,IF(G275=0,"New",(H275-G275)/G275))</f>
        <v>-1</v>
      </c>
    </row>
    <row r="276" customFormat="false" ht="15" hidden="false" customHeight="true" outlineLevel="0" collapsed="false">
      <c r="A276" s="8" t="s">
        <v>324</v>
      </c>
      <c r="B276" s="8" t="str">
        <f aca="false">IFERROR(INDEX('Source 2026'!$C:$C,MATCH($A276,'Source 2026'!$B:$B,0)),IFERROR(INDEX('Source 2025'!$C:$C,MATCH($A276,'Source 2025'!$B:$B,0)),""))</f>
        <v>מסכה אלה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-4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9" t="n">
        <f aca="false">D276-C276</f>
        <v>4</v>
      </c>
      <c r="F276" s="10" t="n">
        <f aca="false">IF(AND(C276=0,D276=0),0,IF(C276=0,"New",(D276-C276)/C276))</f>
        <v>-1</v>
      </c>
      <c r="G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-32.5</v>
      </c>
      <c r="H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I276" s="11" t="n">
        <f aca="false">H276-G276</f>
        <v>32.5</v>
      </c>
      <c r="J276" s="10" t="n">
        <f aca="false">IF(AND(G276=0,H276=0),0,IF(G276=0,"New",(H276-G276)/G276))</f>
        <v>-1</v>
      </c>
    </row>
    <row r="277" customFormat="false" ht="15" hidden="false" customHeight="true" outlineLevel="0" collapsed="false">
      <c r="A277" s="8" t="s">
        <v>325</v>
      </c>
      <c r="B277" s="8" t="str">
        <f aca="false">IFERROR(INDEX('Source 2026'!$C:$C,MATCH($A277,'Source 2026'!$B:$B,0)),IFERROR(INDEX('Source 2025'!$C:$C,MATCH($A277,'Source 2025'!$B:$B,0)),""))</f>
        <v>חגורת גב אפורה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27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27</v>
      </c>
      <c r="E277" s="9" t="n">
        <f aca="false">D277-C277</f>
        <v>0</v>
      </c>
      <c r="F277" s="10" t="n">
        <f aca="false">IF(AND(C277=0,D277=0),0,IF(C277=0,"New",(D277-C277)/C277))</f>
        <v>0</v>
      </c>
      <c r="G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2977.7</v>
      </c>
      <c r="H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3009.4</v>
      </c>
      <c r="I277" s="11" t="n">
        <f aca="false">H277-G277</f>
        <v>31.7000000000003</v>
      </c>
      <c r="J277" s="10" t="n">
        <f aca="false">IF(AND(G277=0,H277=0),0,IF(G277=0,"New",(H277-G277)/G277))</f>
        <v>0.0106458004500118</v>
      </c>
    </row>
    <row r="278" customFormat="false" ht="15" hidden="false" customHeight="true" outlineLevel="0" collapsed="false">
      <c r="A278" s="8" t="s">
        <v>326</v>
      </c>
      <c r="B278" s="8" t="str">
        <f aca="false">IFERROR(INDEX('Source 2026'!$C:$C,MATCH($A278,'Source 2026'!$B:$B,0)),IFERROR(INDEX('Source 2025'!$C:$C,MATCH($A278,'Source 2025'!$B:$B,0)),""))</f>
        <v>דאודורנט לכף הרגל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9" t="n">
        <f aca="false">D278-C278</f>
        <v>1</v>
      </c>
      <c r="F278" s="10" t="n">
        <f aca="false">IF(AND(C278=0,D278=0),0,IF(C278=0,"New",(D278-C278)/C278))</f>
        <v>-1</v>
      </c>
      <c r="G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-29.7</v>
      </c>
      <c r="H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I278" s="11" t="n">
        <f aca="false">H278-G278</f>
        <v>29.7</v>
      </c>
      <c r="J278" s="10" t="n">
        <f aca="false">IF(AND(G278=0,H278=0),0,IF(G278=0,"New",(H278-G278)/G278))</f>
        <v>-1</v>
      </c>
    </row>
    <row r="279" customFormat="false" ht="15" hidden="false" customHeight="true" outlineLevel="0" collapsed="false">
      <c r="A279" s="8" t="s">
        <v>327</v>
      </c>
      <c r="B279" s="8" t="str">
        <f aca="false">IFERROR(INDEX('Source 2026'!$C:$C,MATCH($A279,'Source 2026'!$B:$B,0)),IFERROR(INDEX('Source 2025'!$C:$C,MATCH($A279,'Source 2025'!$B:$B,0)),""))</f>
        <v>מירוק גרגרי פילינג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9" t="n">
        <f aca="false">D279-C279</f>
        <v>1</v>
      </c>
      <c r="F279" s="10" t="n">
        <f aca="false">IF(AND(C279=0,D279=0),0,IF(C279=0,"New",(D279-C279)/C279))</f>
        <v>-1</v>
      </c>
      <c r="G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H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I279" s="11" t="n">
        <f aca="false">H279-G279</f>
        <v>29.7</v>
      </c>
      <c r="J279" s="10" t="n">
        <f aca="false">IF(AND(G279=0,H279=0),0,IF(G279=0,"New",(H279-G279)/G279))</f>
        <v>-1</v>
      </c>
    </row>
    <row r="280" customFormat="false" ht="15" hidden="false" customHeight="true" outlineLevel="0" collapsed="false">
      <c r="A280" s="8" t="s">
        <v>328</v>
      </c>
      <c r="B280" s="8" t="str">
        <f aca="false">IFERROR(INDEX('Source 2026'!$C:$C,MATCH($A280,'Source 2026'!$B:$B,0)),IFERROR(INDEX('Source 2025'!$C:$C,MATCH($A280,'Source 2025'!$B:$B,0)),""))</f>
        <v>XXL מגן ברך ארוך עם כרית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</v>
      </c>
      <c r="E280" s="9" t="n">
        <f aca="false">D280-C280</f>
        <v>0</v>
      </c>
      <c r="F280" s="10" t="n">
        <f aca="false">IF(AND(C280=0,D280=0),0,IF(C280=0,"New",(D280-C280)/C280))</f>
        <v>0</v>
      </c>
      <c r="G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379.7</v>
      </c>
      <c r="H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406.8</v>
      </c>
      <c r="I280" s="11" t="n">
        <f aca="false">H280-G280</f>
        <v>27.1</v>
      </c>
      <c r="J280" s="10" t="n">
        <f aca="false">IF(AND(G280=0,H280=0),0,IF(G280=0,"New",(H280-G280)/G280))</f>
        <v>0.0713721358967605</v>
      </c>
    </row>
    <row r="281" customFormat="false" ht="15" hidden="false" customHeight="true" outlineLevel="0" collapsed="false">
      <c r="A281" s="8" t="s">
        <v>329</v>
      </c>
      <c r="B281" s="8" t="str">
        <f aca="false">IFERROR(INDEX('Source 2026'!$C:$C,MATCH($A281,'Source 2026'!$B:$B,0)),IFERROR(INDEX('Source 2025'!$C:$C,MATCH($A281,'Source 2025'!$B:$B,0)),""))</f>
        <v>חגורת גב אפורה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5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5</v>
      </c>
      <c r="E281" s="9" t="n">
        <f aca="false">D281-C281</f>
        <v>0</v>
      </c>
      <c r="F281" s="10" t="n">
        <f aca="false">IF(AND(C281=0,D281=0),0,IF(C281=0,"New",(D281-C281)/C281))</f>
        <v>0</v>
      </c>
      <c r="G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577.8</v>
      </c>
      <c r="H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554.4</v>
      </c>
      <c r="I281" s="11" t="n">
        <f aca="false">H281-G281</f>
        <v>-23.4</v>
      </c>
      <c r="J281" s="10" t="n">
        <f aca="false">IF(AND(G281=0,H281=0),0,IF(G281=0,"New",(H281-G281)/G281))</f>
        <v>-0.0404984423676012</v>
      </c>
    </row>
    <row r="282" customFormat="false" ht="15" hidden="false" customHeight="true" outlineLevel="0" collapsed="false">
      <c r="A282" s="8" t="s">
        <v>330</v>
      </c>
      <c r="B282" s="8" t="str">
        <f aca="false">IFERROR(INDEX('Source 2026'!$C:$C,MATCH($A282,'Source 2026'!$B:$B,0)),IFERROR(INDEX('Source 2025'!$C:$C,MATCH($A282,'Source 2025'!$B:$B,0)),""))</f>
        <v>טייפ חבישה לספורט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10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8</v>
      </c>
      <c r="E282" s="9" t="n">
        <f aca="false">D282-C282</f>
        <v>-2</v>
      </c>
      <c r="F282" s="10" t="n">
        <f aca="false">IF(AND(C282=0,D282=0),0,IF(C282=0,"New",(D282-C282)/C282))</f>
        <v>-0.2</v>
      </c>
      <c r="G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159.1</v>
      </c>
      <c r="H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136.1</v>
      </c>
      <c r="I282" s="11" t="n">
        <f aca="false">H282-G282</f>
        <v>-23</v>
      </c>
      <c r="J282" s="10" t="n">
        <f aca="false">IF(AND(G282=0,H282=0),0,IF(G282=0,"New",(H282-G282)/G282))</f>
        <v>-0.144563167818982</v>
      </c>
    </row>
    <row r="283" customFormat="false" ht="15" hidden="false" customHeight="true" outlineLevel="0" collapsed="false">
      <c r="A283" s="8" t="s">
        <v>331</v>
      </c>
      <c r="B283" s="8" t="str">
        <f aca="false">IFERROR(INDEX('Source 2026'!$C:$C,MATCH($A283,'Source 2026'!$B:$B,0)),IFERROR(INDEX('Source 2025'!$C:$C,MATCH($A283,'Source 2025'!$B:$B,0)),""))</f>
        <v>טייפ כחול 20מ""מ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19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19</v>
      </c>
      <c r="E283" s="9" t="n">
        <f aca="false">D283-C283</f>
        <v>0</v>
      </c>
      <c r="F283" s="10" t="n">
        <f aca="false">IF(AND(C283=0,D283=0),0,IF(C283=0,"New",(D283-C283)/C283))</f>
        <v>0</v>
      </c>
      <c r="G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301.4</v>
      </c>
      <c r="H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319.4</v>
      </c>
      <c r="I283" s="11" t="n">
        <f aca="false">H283-G283</f>
        <v>18</v>
      </c>
      <c r="J283" s="10" t="n">
        <f aca="false">IF(AND(G283=0,H283=0),0,IF(G283=0,"New",(H283-G283)/G283))</f>
        <v>0.059721300597213</v>
      </c>
    </row>
    <row r="284" customFormat="false" ht="15" hidden="false" customHeight="true" outlineLevel="0" collapsed="false">
      <c r="A284" s="8" t="s">
        <v>332</v>
      </c>
      <c r="B284" s="8" t="str">
        <f aca="false">IFERROR(INDEX('Source 2026'!$C:$C,MATCH($A284,'Source 2026'!$B:$B,0)),IFERROR(INDEX('Source 2025'!$C:$C,MATCH($A284,'Source 2025'!$B:$B,0)),""))</f>
        <v>טייפ חבישה לספורט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41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35</v>
      </c>
      <c r="E284" s="9" t="n">
        <f aca="false">D284-C284</f>
        <v>-6</v>
      </c>
      <c r="F284" s="10" t="n">
        <f aca="false">IF(AND(C284=0,D284=0),0,IF(C284=0,"New",(D284-C284)/C284))</f>
        <v>-0.146341463414634</v>
      </c>
      <c r="G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613.6</v>
      </c>
      <c r="H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600.7</v>
      </c>
      <c r="I284" s="11" t="n">
        <f aca="false">H284-G284</f>
        <v>-12.9</v>
      </c>
      <c r="J284" s="10" t="n">
        <f aca="false">IF(AND(G284=0,H284=0),0,IF(G284=0,"New",(H284-G284)/G284))</f>
        <v>-0.0210234680573663</v>
      </c>
    </row>
    <row r="285" customFormat="false" ht="15" hidden="false" customHeight="true" outlineLevel="0" collapsed="false">
      <c r="A285" s="8" t="s">
        <v>333</v>
      </c>
      <c r="B285" s="8" t="str">
        <f aca="false">IFERROR(INDEX('Source 2026'!$C:$C,MATCH($A285,'Source 2026'!$B:$B,0)),IFERROR(INDEX('Source 2025'!$C:$C,MATCH($A285,'Source 2025'!$B:$B,0)),""))</f>
        <v>מאבן להסר.עור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-1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0</v>
      </c>
      <c r="E285" s="9" t="n">
        <f aca="false">D285-C285</f>
        <v>1</v>
      </c>
      <c r="F285" s="10" t="n">
        <f aca="false">IF(AND(C285=0,D285=0),0,IF(C285=0,"New",(D285-C285)/C285))</f>
        <v>-1</v>
      </c>
      <c r="G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-9</v>
      </c>
      <c r="H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0</v>
      </c>
      <c r="I285" s="11" t="n">
        <f aca="false">H285-G285</f>
        <v>9</v>
      </c>
      <c r="J285" s="10" t="n">
        <f aca="false">IF(AND(G285=0,H285=0),0,IF(G285=0,"New",(H285-G285)/G285))</f>
        <v>-1</v>
      </c>
    </row>
    <row r="286" customFormat="false" ht="15" hidden="false" customHeight="true" outlineLevel="0" collapsed="false">
      <c r="A286" s="8" t="s">
        <v>334</v>
      </c>
      <c r="B286" s="8" t="str">
        <f aca="false">IFERROR(INDEX('Source 2026'!$C:$C,MATCH($A286,'Source 2026'!$B:$B,0)),IFERROR(INDEX('Source 2025'!$C:$C,MATCH($A286,'Source 2025'!$B:$B,0)),""))</f>
        <v>ריפוד סיליקון לעקב אחורי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81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78</v>
      </c>
      <c r="E286" s="9" t="n">
        <f aca="false">D286-C286</f>
        <v>-3</v>
      </c>
      <c r="F286" s="10" t="n">
        <f aca="false">IF(AND(C286=0,D286=0),0,IF(C286=0,"New",(D286-C286)/C286))</f>
        <v>-0.037037037037037</v>
      </c>
      <c r="G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1782.8</v>
      </c>
      <c r="H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1779.9</v>
      </c>
      <c r="I286" s="11" t="n">
        <f aca="false">H286-G286</f>
        <v>-2.89999999999986</v>
      </c>
      <c r="J286" s="10" t="n">
        <f aca="false">IF(AND(G286=0,H286=0),0,IF(G286=0,"New",(H286-G286)/G286))</f>
        <v>-0.00162665470047109</v>
      </c>
    </row>
    <row r="287" customFormat="false" ht="15" hidden="false" customHeight="true" outlineLevel="0" collapsed="false">
      <c r="A287" s="8" t="s">
        <v>335</v>
      </c>
      <c r="B287" s="8" t="str">
        <f aca="false">IFERROR(INDEX('Source 2026'!$C:$C,MATCH($A287,'Source 2026'!$B:$B,0)),IFERROR(INDEX('Source 2025'!$C:$C,MATCH($A287,'Source 2025'!$B:$B,0)),""))</f>
        <v>רפידת ספורט 376 מידה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1</v>
      </c>
      <c r="E287" s="9" t="n">
        <f aca="false">D287-C287</f>
        <v>0</v>
      </c>
      <c r="F287" s="10" t="n">
        <f aca="false">IF(AND(C287=0,D287=0),0,IF(C287=0,"New",(D287-C287)/C287))</f>
        <v>0</v>
      </c>
      <c r="G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33</v>
      </c>
      <c r="H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35.1</v>
      </c>
      <c r="I287" s="11" t="n">
        <f aca="false">H287-G287</f>
        <v>2.1</v>
      </c>
      <c r="J287" s="10" t="n">
        <f aca="false">IF(AND(G287=0,H287=0),0,IF(G287=0,"New",(H287-G287)/G287))</f>
        <v>0.0636363636363637</v>
      </c>
    </row>
    <row r="288" customFormat="false" ht="15" hidden="false" customHeight="true" outlineLevel="0" collapsed="false">
      <c r="A288" s="8" t="s">
        <v>336</v>
      </c>
      <c r="B288" s="8" t="str">
        <f aca="false">IFERROR(INDEX('Source 2026'!$C:$C,MATCH($A288,'Source 2026'!$B:$B,0)),IFERROR(INDEX('Source 2025'!$C:$C,MATCH($A288,'Source 2025'!$B:$B,0)),""))</f>
        <v>M צוארון פלסטי מתכוון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9" t="n">
        <f aca="false">D288-C288</f>
        <v>0</v>
      </c>
      <c r="F288" s="10" t="n">
        <f aca="false">IF(AND(C288=0,D288=0),0,IF(C288=0,"New",(D288-C288)/C288))</f>
        <v>0</v>
      </c>
      <c r="G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66.5</v>
      </c>
      <c r="H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66.5</v>
      </c>
      <c r="I288" s="11" t="n">
        <f aca="false">H288-G288</f>
        <v>0</v>
      </c>
      <c r="J288" s="10" t="n">
        <f aca="false">IF(AND(G288=0,H288=0),0,IF(G288=0,"New",(H288-G288)/G288))</f>
        <v>0</v>
      </c>
    </row>
    <row r="290" customFormat="false" ht="15" hidden="false" customHeight="true" outlineLevel="0" collapsed="false">
      <c r="A290" s="14"/>
      <c r="B290" s="15" t="s">
        <v>337</v>
      </c>
      <c r="C290" s="16" t="n">
        <f aca="false">SUM(C6:C288)</f>
        <v>54177</v>
      </c>
      <c r="D290" s="16" t="n">
        <f aca="false">SUM(D6:D288)</f>
        <v>33487</v>
      </c>
      <c r="E290" s="16" t="n">
        <f aca="false">SUM(E6:E288)</f>
        <v>-20690</v>
      </c>
      <c r="F290" s="17" t="n">
        <f aca="false">IF(C290=0,"N/A",E290/C290)</f>
        <v>-0.381896376691216</v>
      </c>
      <c r="G290" s="18" t="n">
        <f aca="false">SUM(G6:G288)</f>
        <v>1967633.7</v>
      </c>
      <c r="H290" s="18" t="n">
        <f aca="false">SUM(H6:H288)</f>
        <v>1293807.8</v>
      </c>
      <c r="I290" s="18" t="n">
        <f aca="false">SUM(I6:I288)</f>
        <v>-673825.9</v>
      </c>
      <c r="J290" s="17" t="n">
        <f aca="false">IF(G290=0,"N/A",I290/G290)</f>
        <v>-0.342454949821199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9" min="9" style="1" width="16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338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339</v>
      </c>
      <c r="B3" s="5"/>
      <c r="C3" s="5"/>
      <c r="D3" s="5"/>
      <c r="E3" s="5"/>
      <c r="F3" s="5"/>
      <c r="G3" s="5"/>
      <c r="H3" s="5"/>
      <c r="I3" s="5"/>
      <c r="J3" s="5"/>
    </row>
    <row r="5" customFormat="false" ht="31.5" hidden="false" customHeight="true" outlineLevel="0" collapsed="false">
      <c r="A5" s="6" t="s">
        <v>49</v>
      </c>
      <c r="B5" s="6" t="s">
        <v>50</v>
      </c>
      <c r="C5" s="6" t="s">
        <v>7</v>
      </c>
      <c r="D5" s="6" t="s">
        <v>8</v>
      </c>
      <c r="E5" s="6" t="s">
        <v>51</v>
      </c>
      <c r="F5" s="6" t="s">
        <v>52</v>
      </c>
      <c r="G5" s="6" t="s">
        <v>10</v>
      </c>
      <c r="H5" s="6" t="s">
        <v>11</v>
      </c>
      <c r="I5" s="6" t="s">
        <v>53</v>
      </c>
      <c r="J5" s="6" t="s">
        <v>12</v>
      </c>
    </row>
    <row r="6" customFormat="false" ht="15" hidden="false" customHeight="true" outlineLevel="0" collapsed="false">
      <c r="A6" s="8" t="s">
        <v>55</v>
      </c>
      <c r="B6" s="8" t="str">
        <f aca="false">IFERROR(INDEX('Source 2026'!$C:$C,MATCH($A6,'Source 2026'!$B:$B,0)),IFERROR(INDEX('Source 2025'!$C:$C,MATCH($A6,'Source 2025'!$B:$B,0)),""))</f>
        <v>35-38 גרבי טיסה מידה</v>
      </c>
      <c r="C6" s="9" t="n">
        <f aca="false">SUMIFS('Source 2025'!$K:$K,'Source 2025'!$B:$B,$A6,'Source 2025'!$A:$A,"Quantity (units)")+SUMIFS('Source 2025'!$O:$O,'Source 2025'!$B:$B,$A6,'Source 2025'!$A:$A,"Quantity (units)")+SUMIFS('Source 2025'!$R:$R,'Source 2025'!$B:$B,$A6,'Source 2025'!$A:$A,"Quantity (units)")+SUMIFS('Source 2025'!$P:$P,'Source 2025'!$B:$B,$A6,'Source 2025'!$A:$A,"Quantity (units)")+SUMIFS('Source 2025'!$J:$J,'Source 2025'!$B:$B,$A6,'Source 2025'!$A:$A,"Quantity (units)")+SUMIFS('Source 2025'!$L:$L,'Source 2025'!$B:$B,$A6,'Source 2025'!$A:$A,"Quantity (units)")</f>
        <v>537</v>
      </c>
      <c r="D6" s="9" t="n">
        <f aca="false">SUMIFS('Source 2026'!$K:$K,'Source 2026'!$B:$B,$A6,'Source 2026'!$A:$A,"Quantity (units)")+SUMIFS('Source 2026'!$O:$O,'Source 2026'!$B:$B,$A6,'Source 2026'!$A:$A,"Quantity (units)")+SUMIFS('Source 2026'!$R:$R,'Source 2026'!$B:$B,$A6,'Source 2026'!$A:$A,"Quantity (units)")+SUMIFS('Source 2026'!$P:$P,'Source 2026'!$B:$B,$A6,'Source 2026'!$A:$A,"Quantity (units)")+SUMIFS('Source 2026'!$J:$J,'Source 2026'!$B:$B,$A6,'Source 2026'!$A:$A,"Quantity (units)")+SUMIFS('Source 2026'!$L:$L,'Source 2026'!$B:$B,$A6,'Source 2026'!$A:$A,"Quantity (units)")</f>
        <v>1</v>
      </c>
      <c r="E6" s="9" t="n">
        <f aca="false">D6-C6</f>
        <v>-536</v>
      </c>
      <c r="F6" s="10" t="n">
        <f aca="false">IF(AND(C6=0,D6=0),0,IF(C6=0,"New",(D6-C6)/C6))</f>
        <v>-0.998137802607076</v>
      </c>
      <c r="G6" s="11" t="n">
        <f aca="false">SUMIFS('Source 2025'!$K:$K,'Source 2025'!$B:$B,$A6,'Source 2025'!$A:$A,"Amount (NIS)")+SUMIFS('Source 2025'!$O:$O,'Source 2025'!$B:$B,$A6,'Source 2025'!$A:$A,"Amount (NIS)")+SUMIFS('Source 2025'!$R:$R,'Source 2025'!$B:$B,$A6,'Source 2025'!$A:$A,"Amount (NIS)")+SUMIFS('Source 2025'!$P:$P,'Source 2025'!$B:$B,$A6,'Source 2025'!$A:$A,"Amount (NIS)")+SUMIFS('Source 2025'!$J:$J,'Source 2025'!$B:$B,$A6,'Source 2025'!$A:$A,"Amount (NIS)")+SUMIFS('Source 2025'!$L:$L,'Source 2025'!$B:$B,$A6,'Source 2025'!$A:$A,"Amount (NIS)")</f>
        <v>30531.1</v>
      </c>
      <c r="H6" s="11" t="n">
        <f aca="false">SUMIFS('Source 2026'!$K:$K,'Source 2026'!$B:$B,$A6,'Source 2026'!$A:$A,"Amount (NIS)")+SUMIFS('Source 2026'!$O:$O,'Source 2026'!$B:$B,$A6,'Source 2026'!$A:$A,"Amount (NIS)")+SUMIFS('Source 2026'!$R:$R,'Source 2026'!$B:$B,$A6,'Source 2026'!$A:$A,"Amount (NIS)")+SUMIFS('Source 2026'!$P:$P,'Source 2026'!$B:$B,$A6,'Source 2026'!$A:$A,"Amount (NIS)")+SUMIFS('Source 2026'!$J:$J,'Source 2026'!$B:$B,$A6,'Source 2026'!$A:$A,"Amount (NIS)")+SUMIFS('Source 2026'!$L:$L,'Source 2026'!$B:$B,$A6,'Source 2026'!$A:$A,"Amount (NIS)")</f>
        <v>56.7</v>
      </c>
      <c r="I6" s="11" t="n">
        <f aca="false">H6-G6</f>
        <v>-30474.4</v>
      </c>
      <c r="J6" s="10" t="n">
        <f aca="false">IF(AND(G6=0,H6=0),0,IF(G6=0,"New",(H6-G6)/G6))</f>
        <v>-0.998142877262857</v>
      </c>
    </row>
    <row r="7" customFormat="false" ht="15" hidden="false" customHeight="true" outlineLevel="0" collapsed="false">
      <c r="A7" s="8" t="s">
        <v>67</v>
      </c>
      <c r="B7" s="8" t="str">
        <f aca="false">IFERROR(INDEX('Source 2026'!$C:$C,MATCH($A7,'Source 2026'!$B:$B,0)),IFERROR(INDEX('Source 2025'!$C:$C,MATCH($A7,'Source 2025'!$B:$B,0)),""))</f>
        <v>L (מתלה ליד )כיס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789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512</v>
      </c>
      <c r="E7" s="9" t="n">
        <f aca="false">D7-C7</f>
        <v>-277</v>
      </c>
      <c r="F7" s="10" t="n">
        <f aca="false">IF(AND(C7=0,D7=0),0,IF(C7=0,"New",(D7-C7)/C7))</f>
        <v>-0.351077313054499</v>
      </c>
      <c r="G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41409.2</v>
      </c>
      <c r="H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26909.4</v>
      </c>
      <c r="I7" s="11" t="n">
        <f aca="false">H7-G7</f>
        <v>-14499.8</v>
      </c>
      <c r="J7" s="10" t="n">
        <f aca="false">IF(AND(G7=0,H7=0),0,IF(G7=0,"New",(H7-G7)/G7))</f>
        <v>-0.350158901886537</v>
      </c>
    </row>
    <row r="8" customFormat="false" ht="15" hidden="false" customHeight="true" outlineLevel="0" collapsed="false">
      <c r="A8" s="8" t="s">
        <v>69</v>
      </c>
      <c r="B8" s="8" t="str">
        <f aca="false">IFERROR(INDEX('Source 2026'!$C:$C,MATCH($A8,'Source 2026'!$B:$B,0)),IFERROR(INDEX('Source 2025'!$C:$C,MATCH($A8,'Source 2025'!$B:$B,0)),""))</f>
        <v>M מגן קרסול עקב סגור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689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403</v>
      </c>
      <c r="E8" s="9" t="n">
        <f aca="false">D8-C8</f>
        <v>-286</v>
      </c>
      <c r="F8" s="10" t="n">
        <f aca="false">IF(AND(C8=0,D8=0),0,IF(C8=0,"New",(D8-C8)/C8))</f>
        <v>-0.415094339622642</v>
      </c>
      <c r="G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27916.1</v>
      </c>
      <c r="H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16353.2</v>
      </c>
      <c r="I8" s="11" t="n">
        <f aca="false">H8-G8</f>
        <v>-11562.9</v>
      </c>
      <c r="J8" s="10" t="n">
        <f aca="false">IF(AND(G8=0,H8=0),0,IF(G8=0,"New",(H8-G8)/G8))</f>
        <v>-0.414201840514972</v>
      </c>
    </row>
    <row r="9" customFormat="false" ht="15" hidden="false" customHeight="true" outlineLevel="0" collapsed="false">
      <c r="A9" s="8" t="s">
        <v>82</v>
      </c>
      <c r="B9" s="8" t="str">
        <f aca="false">IFERROR(INDEX('Source 2026'!$C:$C,MATCH($A9,'Source 2026'!$B:$B,0)),IFERROR(INDEX('Source 2025'!$C:$C,MATCH($A9,'Source 2025'!$B:$B,0)),""))</f>
        <v>טלק מעושר באלוורה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1341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735</v>
      </c>
      <c r="E9" s="9" t="n">
        <f aca="false">D9-C9</f>
        <v>-606</v>
      </c>
      <c r="F9" s="10" t="n">
        <f aca="false">IF(AND(C9=0,D9=0),0,IF(C9=0,"New",(D9-C9)/C9))</f>
        <v>-0.451901565995526</v>
      </c>
      <c r="G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23461.9</v>
      </c>
      <c r="H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12652.2</v>
      </c>
      <c r="I9" s="11" t="n">
        <f aca="false">H9-G9</f>
        <v>-10809.7</v>
      </c>
      <c r="J9" s="10" t="n">
        <f aca="false">IF(AND(G9=0,H9=0),0,IF(G9=0,"New",(H9-G9)/G9))</f>
        <v>-0.460734211636739</v>
      </c>
    </row>
    <row r="10" customFormat="false" ht="15" hidden="false" customHeight="true" outlineLevel="0" collapsed="false">
      <c r="A10" s="8" t="s">
        <v>63</v>
      </c>
      <c r="B10" s="8" t="str">
        <f aca="false">IFERROR(INDEX('Source 2026'!$C:$C,MATCH($A10,'Source 2026'!$B:$B,0)),IFERROR(INDEX('Source 2025'!$C:$C,MATCH($A10,'Source 2025'!$B:$B,0)),""))</f>
        <v>S מגן ברך חום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1033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675</v>
      </c>
      <c r="E10" s="9" t="n">
        <f aca="false">D10-C10</f>
        <v>-358</v>
      </c>
      <c r="F10" s="10" t="n">
        <f aca="false">IF(AND(C10=0,D10=0),0,IF(C10=0,"New",(D10-C10)/C10))</f>
        <v>-0.346563407550823</v>
      </c>
      <c r="G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28739.4</v>
      </c>
      <c r="H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18761.8</v>
      </c>
      <c r="I10" s="11" t="n">
        <f aca="false">H10-G10</f>
        <v>-9977.6</v>
      </c>
      <c r="J10" s="10" t="n">
        <f aca="false">IF(AND(G10=0,H10=0),0,IF(G10=0,"New",(H10-G10)/G10))</f>
        <v>-0.347174958419452</v>
      </c>
    </row>
    <row r="11" customFormat="false" ht="15" hidden="false" customHeight="true" outlineLevel="0" collapsed="false">
      <c r="A11" s="8" t="s">
        <v>75</v>
      </c>
      <c r="B11" s="8" t="str">
        <f aca="false">IFERROR(INDEX('Source 2026'!$C:$C,MATCH($A11,'Source 2026'!$B:$B,0)),IFERROR(INDEX('Source 2025'!$C:$C,MATCH($A11,'Source 2025'!$B:$B,0)),""))</f>
        <v>S מגן קרסול לבן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900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595</v>
      </c>
      <c r="E11" s="9" t="n">
        <f aca="false">D11-C11</f>
        <v>-305</v>
      </c>
      <c r="F11" s="10" t="n">
        <f aca="false">IF(AND(C11=0,D11=0),0,IF(C11=0,"New",(D11-C11)/C11))</f>
        <v>-0.338888888888889</v>
      </c>
      <c r="G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25005.6</v>
      </c>
      <c r="H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16530.8</v>
      </c>
      <c r="I11" s="11" t="n">
        <f aca="false">H11-G11</f>
        <v>-8474.8</v>
      </c>
      <c r="J11" s="10" t="n">
        <f aca="false">IF(AND(G11=0,H11=0),0,IF(G11=0,"New",(H11-G11)/G11))</f>
        <v>-0.338916082797453</v>
      </c>
    </row>
    <row r="12" customFormat="false" ht="15" hidden="false" customHeight="true" outlineLevel="0" collapsed="false">
      <c r="A12" s="8" t="s">
        <v>76</v>
      </c>
      <c r="B12" s="8" t="str">
        <f aca="false">IFERROR(INDEX('Source 2026'!$C:$C,MATCH($A12,'Source 2026'!$B:$B,0)),IFERROR(INDEX('Source 2025'!$C:$C,MATCH($A12,'Source 2025'!$B:$B,0)),""))</f>
        <v>L מגן ברך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807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519</v>
      </c>
      <c r="E12" s="9" t="n">
        <f aca="false">D12-C12</f>
        <v>-288</v>
      </c>
      <c r="F12" s="10" t="n">
        <f aca="false">IF(AND(C12=0,D12=0),0,IF(C12=0,"New",(D12-C12)/C12))</f>
        <v>-0.356877323420074</v>
      </c>
      <c r="G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22439.8</v>
      </c>
      <c r="H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14437.2</v>
      </c>
      <c r="I12" s="11" t="n">
        <f aca="false">H12-G12</f>
        <v>-8002.6</v>
      </c>
      <c r="J12" s="10" t="n">
        <f aca="false">IF(AND(G12=0,H12=0),0,IF(G12=0,"New",(H12-G12)/G12))</f>
        <v>-0.356625281865257</v>
      </c>
    </row>
    <row r="13" customFormat="false" ht="15" hidden="false" customHeight="true" outlineLevel="0" collapsed="false">
      <c r="A13" s="8" t="s">
        <v>54</v>
      </c>
      <c r="B13" s="8" t="str">
        <f aca="false">IFERROR(INDEX('Source 2026'!$C:$C,MATCH($A13,'Source 2026'!$B:$B,0)),IFERROR(INDEX('Source 2025'!$C:$C,MATCH($A13,'Source 2025'!$B:$B,0)),""))</f>
        <v>S  חבק יד ארוך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757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535</v>
      </c>
      <c r="E13" s="9" t="n">
        <f aca="false">D13-C13</f>
        <v>-222</v>
      </c>
      <c r="F13" s="10" t="n">
        <f aca="false">IF(AND(C13=0,D13=0),0,IF(C13=0,"New",(D13-C13)/C13))</f>
        <v>-0.293262879788639</v>
      </c>
      <c r="G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26712.1</v>
      </c>
      <c r="H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18874.1</v>
      </c>
      <c r="I13" s="11" t="n">
        <f aca="false">H13-G13</f>
        <v>-7838</v>
      </c>
      <c r="J13" s="10" t="n">
        <f aca="false">IF(AND(G13=0,H13=0),0,IF(G13=0,"New",(H13-G13)/G13))</f>
        <v>-0.293425077025019</v>
      </c>
    </row>
    <row r="14" customFormat="false" ht="15" hidden="false" customHeight="true" outlineLevel="0" collapsed="false">
      <c r="A14" s="8" t="s">
        <v>202</v>
      </c>
      <c r="B14" s="8" t="str">
        <f aca="false">IFERROR(INDEX('Source 2026'!$C:$C,MATCH($A14,'Source 2026'!$B:$B,0)),IFERROR(INDEX('Source 2025'!$C:$C,MATCH($A14,'Source 2025'!$B:$B,0)),""))</f>
        <v>S חגורה למנותחי בית החזה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184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230</v>
      </c>
      <c r="E14" s="9" t="n">
        <f aca="false">D14-C14</f>
        <v>46</v>
      </c>
      <c r="F14" s="10" t="n">
        <f aca="false">IF(AND(C14=0,D14=0),0,IF(C14=0,"New",(D14-C14)/C14))</f>
        <v>0.25</v>
      </c>
      <c r="G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26283.9</v>
      </c>
      <c r="H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33479</v>
      </c>
      <c r="I14" s="11" t="n">
        <f aca="false">H14-G14</f>
        <v>7195.1</v>
      </c>
      <c r="J14" s="10" t="n">
        <f aca="false">IF(AND(G14=0,H14=0),0,IF(G14=0,"New",(H14-G14)/G14))</f>
        <v>0.273745524826985</v>
      </c>
    </row>
    <row r="15" customFormat="false" ht="15" hidden="false" customHeight="true" outlineLevel="0" collapsed="false">
      <c r="A15" s="8" t="s">
        <v>90</v>
      </c>
      <c r="B15" s="8" t="str">
        <f aca="false">IFERROR(INDEX('Source 2026'!$C:$C,MATCH($A15,'Source 2026'!$B:$B,0)),IFERROR(INDEX('Source 2025'!$C:$C,MATCH($A15,'Source 2025'!$B:$B,0)),""))</f>
        <v>Sמגן ברך ארוך לבן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853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649</v>
      </c>
      <c r="E15" s="9" t="n">
        <f aca="false">D15-C15</f>
        <v>-204</v>
      </c>
      <c r="F15" s="10" t="n">
        <f aca="false">IF(AND(C15=0,D15=0),0,IF(C15=0,"New",(D15-C15)/C15))</f>
        <v>-0.23915592028136</v>
      </c>
      <c r="G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28635.9</v>
      </c>
      <c r="H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21758.8</v>
      </c>
      <c r="I15" s="11" t="n">
        <f aca="false">H15-G15</f>
        <v>-6877.1</v>
      </c>
      <c r="J15" s="10" t="n">
        <f aca="false">IF(AND(G15=0,H15=0),0,IF(G15=0,"New",(H15-G15)/G15))</f>
        <v>-0.240156586662197</v>
      </c>
    </row>
    <row r="16" customFormat="false" ht="15" hidden="false" customHeight="true" outlineLevel="0" collapsed="false">
      <c r="A16" s="8" t="s">
        <v>126</v>
      </c>
      <c r="B16" s="8" t="str">
        <f aca="false">IFERROR(INDEX('Source 2026'!$C:$C,MATCH($A16,'Source 2026'!$B:$B,0)),IFERROR(INDEX('Source 2025'!$C:$C,MATCH($A16,'Source 2025'!$B:$B,0)),""))</f>
        <v>S מגן ברך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14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55</v>
      </c>
      <c r="E16" s="9" t="n">
        <f aca="false">D16-C16</f>
        <v>41</v>
      </c>
      <c r="F16" s="10" t="n">
        <f aca="false">IF(AND(C16=0,D16=0),0,IF(C16=0,"New",(D16-C16)/C16))</f>
        <v>2.92857142857143</v>
      </c>
      <c r="G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1571.7</v>
      </c>
      <c r="H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7466.9</v>
      </c>
      <c r="I16" s="11" t="n">
        <f aca="false">H16-G16</f>
        <v>5895.2</v>
      </c>
      <c r="J16" s="10" t="n">
        <f aca="false">IF(AND(G16=0,H16=0),0,IF(G16=0,"New",(H16-G16)/G16))</f>
        <v>3.75084303620284</v>
      </c>
    </row>
    <row r="17" customFormat="false" ht="15" hidden="false" customHeight="true" outlineLevel="0" collapsed="false">
      <c r="A17" s="8" t="s">
        <v>105</v>
      </c>
      <c r="B17" s="8" t="str">
        <f aca="false">IFERROR(INDEX('Source 2026'!$C:$C,MATCH($A17,'Source 2026'!$B:$B,0)),IFERROR(INDEX('Source 2025'!$C:$C,MATCH($A17,'Source 2025'!$B:$B,0)),""))</f>
        <v>תחבושת א.נצמ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797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283</v>
      </c>
      <c r="E17" s="9" t="n">
        <f aca="false">D17-C17</f>
        <v>-514</v>
      </c>
      <c r="F17" s="10" t="n">
        <f aca="false">IF(AND(C17=0,D17=0),0,IF(C17=0,"New",(D17-C17)/C17))</f>
        <v>-0.644918444165621</v>
      </c>
      <c r="G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8758.2</v>
      </c>
      <c r="H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3107.3</v>
      </c>
      <c r="I17" s="11" t="n">
        <f aca="false">H17-G17</f>
        <v>-5650.9</v>
      </c>
      <c r="J17" s="10" t="n">
        <f aca="false">IF(AND(G17=0,H17=0),0,IF(G17=0,"New",(H17-G17)/G17))</f>
        <v>-0.645212486584001</v>
      </c>
    </row>
    <row r="18" customFormat="false" ht="15" hidden="false" customHeight="true" outlineLevel="0" collapsed="false">
      <c r="A18" s="8" t="s">
        <v>91</v>
      </c>
      <c r="B18" s="8" t="str">
        <f aca="false">IFERROR(INDEX('Source 2026'!$C:$C,MATCH($A18,'Source 2026'!$B:$B,0)),IFERROR(INDEX('Source 2025'!$C:$C,MATCH($A18,'Source 2025'!$B:$B,0)),""))</f>
        <v>ציפורניים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928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514</v>
      </c>
      <c r="E18" s="9" t="n">
        <f aca="false">D18-C18</f>
        <v>-414</v>
      </c>
      <c r="F18" s="10" t="n">
        <f aca="false">IF(AND(C18=0,D18=0),0,IF(C18=0,"New",(D18-C18)/C18))</f>
        <v>-0.446120689655172</v>
      </c>
      <c r="G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12205.1</v>
      </c>
      <c r="H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6760.2</v>
      </c>
      <c r="I18" s="11" t="n">
        <f aca="false">H18-G18</f>
        <v>-5444.9</v>
      </c>
      <c r="J18" s="10" t="n">
        <f aca="false">IF(AND(G18=0,H18=0),0,IF(G18=0,"New",(H18-G18)/G18))</f>
        <v>-0.446116787244677</v>
      </c>
    </row>
    <row r="19" customFormat="false" ht="15" hidden="false" customHeight="true" outlineLevel="0" collapsed="false">
      <c r="A19" s="8" t="s">
        <v>70</v>
      </c>
      <c r="B19" s="8" t="str">
        <f aca="false">IFERROR(INDEX('Source 2026'!$C:$C,MATCH($A19,'Source 2026'!$B:$B,0)),IFERROR(INDEX('Source 2025'!$C:$C,MATCH($A19,'Source 2025'!$B:$B,0)),""))</f>
        <v>S מגן קרסול חום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924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731</v>
      </c>
      <c r="E19" s="9" t="n">
        <f aca="false">D19-C19</f>
        <v>-193</v>
      </c>
      <c r="F19" s="10" t="n">
        <f aca="false">IF(AND(C19=0,D19=0),0,IF(C19=0,"New",(D19-C19)/C19))</f>
        <v>-0.208874458874459</v>
      </c>
      <c r="G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25685.9</v>
      </c>
      <c r="H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20326.2</v>
      </c>
      <c r="I19" s="11" t="n">
        <f aca="false">H19-G19</f>
        <v>-5359.7</v>
      </c>
      <c r="J19" s="10" t="n">
        <f aca="false">IF(AND(G19=0,H19=0),0,IF(G19=0,"New",(H19-G19)/G19))</f>
        <v>-0.208663118676005</v>
      </c>
    </row>
    <row r="20" customFormat="false" ht="15" hidden="false" customHeight="true" outlineLevel="0" collapsed="false">
      <c r="A20" s="8" t="s">
        <v>72</v>
      </c>
      <c r="B20" s="8" t="str">
        <f aca="false">IFERROR(INDEX('Source 2026'!$C:$C,MATCH($A20,'Source 2026'!$B:$B,0)),IFERROR(INDEX('Source 2025'!$C:$C,MATCH($A20,'Source 2025'!$B:$B,0)),""))</f>
        <v>יד אגודלי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386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257</v>
      </c>
      <c r="E20" s="9" t="n">
        <f aca="false">D20-C20</f>
        <v>-129</v>
      </c>
      <c r="F20" s="10" t="n">
        <f aca="false">IF(AND(C20=0,D20=0),0,IF(C20=0,"New",(D20-C20)/C20))</f>
        <v>-0.33419689119171</v>
      </c>
      <c r="G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15339.9</v>
      </c>
      <c r="H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10215.4</v>
      </c>
      <c r="I20" s="11" t="n">
        <f aca="false">H20-G20</f>
        <v>-5124.5</v>
      </c>
      <c r="J20" s="10" t="n">
        <f aca="false">IF(AND(G20=0,H20=0),0,IF(G20=0,"New",(H20-G20)/G20))</f>
        <v>-0.334063455433217</v>
      </c>
    </row>
    <row r="21" customFormat="false" ht="15" hidden="false" customHeight="true" outlineLevel="0" collapsed="false">
      <c r="A21" s="8" t="s">
        <v>73</v>
      </c>
      <c r="B21" s="8" t="str">
        <f aca="false">IFERROR(INDEX('Source 2026'!$C:$C,MATCH($A21,'Source 2026'!$B:$B,0)),IFERROR(INDEX('Source 2025'!$C:$C,MATCH($A21,'Source 2025'!$B:$B,0)),""))</f>
        <v>שרוול מסיליקון לאצבע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885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617</v>
      </c>
      <c r="E21" s="9" t="n">
        <f aca="false">D21-C21</f>
        <v>-268</v>
      </c>
      <c r="F21" s="10" t="n">
        <f aca="false">IF(AND(C21=0,D21=0),0,IF(C21=0,"New",(D21-C21)/C21))</f>
        <v>-0.302824858757062</v>
      </c>
      <c r="G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14918.9</v>
      </c>
      <c r="H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10390.5</v>
      </c>
      <c r="I21" s="11" t="n">
        <f aca="false">H21-G21</f>
        <v>-4528.4</v>
      </c>
      <c r="J21" s="10" t="n">
        <f aca="false">IF(AND(G21=0,H21=0),0,IF(G21=0,"New",(H21-G21)/G21))</f>
        <v>-0.303534442887881</v>
      </c>
    </row>
    <row r="22" customFormat="false" ht="15" hidden="false" customHeight="true" outlineLevel="0" collapsed="false">
      <c r="A22" s="8" t="s">
        <v>62</v>
      </c>
      <c r="B22" s="8" t="str">
        <f aca="false">IFERROR(INDEX('Source 2026'!$C:$C,MATCH($A22,'Source 2026'!$B:$B,0)),IFERROR(INDEX('Source 2025'!$C:$C,MATCH($A22,'Source 2025'!$B:$B,0)),""))</f>
        <v>L צוארון ספוגי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387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263</v>
      </c>
      <c r="E22" s="9" t="n">
        <f aca="false">D22-C22</f>
        <v>-124</v>
      </c>
      <c r="F22" s="10" t="n">
        <f aca="false">IF(AND(C22=0,D22=0),0,IF(C22=0,"New",(D22-C22)/C22))</f>
        <v>-0.320413436692506</v>
      </c>
      <c r="G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12357.8</v>
      </c>
      <c r="H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8504.4</v>
      </c>
      <c r="I22" s="11" t="n">
        <f aca="false">H22-G22</f>
        <v>-3853.4</v>
      </c>
      <c r="J22" s="10" t="n">
        <f aca="false">IF(AND(G22=0,H22=0),0,IF(G22=0,"New",(H22-G22)/G22))</f>
        <v>-0.311819255854602</v>
      </c>
    </row>
    <row r="23" customFormat="false" ht="15" hidden="false" customHeight="true" outlineLevel="0" collapsed="false">
      <c r="A23" s="8" t="s">
        <v>57</v>
      </c>
      <c r="B23" s="8" t="str">
        <f aca="false">IFERROR(INDEX('Source 2026'!$C:$C,MATCH($A23,'Source 2026'!$B:$B,0)),IFERROR(INDEX('Source 2025'!$C:$C,MATCH($A23,'Source 2025'!$B:$B,0)),""))</f>
        <v>מדרס ג'ל לגבר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286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224</v>
      </c>
      <c r="E23" s="9" t="n">
        <f aca="false">D23-C23</f>
        <v>-62</v>
      </c>
      <c r="F23" s="10" t="n">
        <f aca="false">IF(AND(C23=0,D23=0),0,IF(C23=0,"New",(D23-C23)/C23))</f>
        <v>-0.216783216783217</v>
      </c>
      <c r="G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18452.4</v>
      </c>
      <c r="H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14642.5</v>
      </c>
      <c r="I23" s="11" t="n">
        <f aca="false">H23-G23</f>
        <v>-3809.9</v>
      </c>
      <c r="J23" s="10" t="n">
        <f aca="false">IF(AND(G23=0,H23=0),0,IF(G23=0,"New",(H23-G23)/G23))</f>
        <v>-0.206471786867833</v>
      </c>
    </row>
    <row r="24" customFormat="false" ht="15" hidden="false" customHeight="true" outlineLevel="0" collapsed="false">
      <c r="A24" s="8" t="s">
        <v>93</v>
      </c>
      <c r="B24" s="8" t="str">
        <f aca="false">IFERROR(INDEX('Source 2026'!$C:$C,MATCH($A24,'Source 2026'!$B:$B,0)),IFERROR(INDEX('Source 2025'!$C:$C,MATCH($A24,'Source 2025'!$B:$B,0)),""))</f>
        <v>טייפ קינזיולוגי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256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173</v>
      </c>
      <c r="E24" s="9" t="n">
        <f aca="false">D24-C24</f>
        <v>-83</v>
      </c>
      <c r="F24" s="10" t="n">
        <f aca="false">IF(AND(C24=0,D24=0),0,IF(C24=0,"New",(D24-C24)/C24))</f>
        <v>-0.32421875</v>
      </c>
      <c r="G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11284.4</v>
      </c>
      <c r="H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7625.8</v>
      </c>
      <c r="I24" s="11" t="n">
        <f aca="false">H24-G24</f>
        <v>-3658.6</v>
      </c>
      <c r="J24" s="10" t="n">
        <f aca="false">IF(AND(G24=0,H24=0),0,IF(G24=0,"New",(H24-G24)/G24))</f>
        <v>-0.32421750381057</v>
      </c>
    </row>
    <row r="25" customFormat="false" ht="15" hidden="false" customHeight="true" outlineLevel="0" collapsed="false">
      <c r="A25" s="8" t="s">
        <v>87</v>
      </c>
      <c r="B25" s="8" t="str">
        <f aca="false">IFERROR(INDEX('Source 2026'!$C:$C,MATCH($A25,'Source 2026'!$B:$B,0)),IFERROR(INDEX('Source 2025'!$C:$C,MATCH($A25,'Source 2025'!$B:$B,0)),""))</f>
        <v>מדרס אורטופ.מתכוון35-36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83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39</v>
      </c>
      <c r="E25" s="9" t="n">
        <f aca="false">D25-C25</f>
        <v>-44</v>
      </c>
      <c r="F25" s="10" t="n">
        <f aca="false">IF(AND(C25=0,D25=0),0,IF(C25=0,"New",(D25-C25)/C25))</f>
        <v>-0.530120481927711</v>
      </c>
      <c r="G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5750.7</v>
      </c>
      <c r="H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2673.2</v>
      </c>
      <c r="I25" s="11" t="n">
        <f aca="false">H25-G25</f>
        <v>-3077.5</v>
      </c>
      <c r="J25" s="10" t="n">
        <f aca="false">IF(AND(G25=0,H25=0),0,IF(G25=0,"New",(H25-G25)/G25))</f>
        <v>-0.535152242335716</v>
      </c>
    </row>
    <row r="26" customFormat="false" ht="15" hidden="false" customHeight="true" outlineLevel="0" collapsed="false">
      <c r="A26" s="8" t="s">
        <v>134</v>
      </c>
      <c r="B26" s="8" t="str">
        <f aca="false">IFERROR(INDEX('Source 2026'!$C:$C,MATCH($A26,'Source 2026'!$B:$B,0)),IFERROR(INDEX('Source 2025'!$C:$C,MATCH($A26,'Source 2025'!$B:$B,0)),""))</f>
        <v>S מגן קרסול מתכוון עם סקוטש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39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-9</v>
      </c>
      <c r="E26" s="9" t="n">
        <f aca="false">D26-C26</f>
        <v>-48</v>
      </c>
      <c r="F26" s="10" t="n">
        <f aca="false">IF(AND(C26=0,D26=0),0,IF(C26=0,"New",(D26-C26)/C26))</f>
        <v>-1.23076923076923</v>
      </c>
      <c r="G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2306.1</v>
      </c>
      <c r="H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-555.6</v>
      </c>
      <c r="I26" s="11" t="n">
        <f aca="false">H26-G26</f>
        <v>-2861.7</v>
      </c>
      <c r="J26" s="10" t="n">
        <f aca="false">IF(AND(G26=0,H26=0),0,IF(G26=0,"New",(H26-G26)/G26))</f>
        <v>-1.24092623910498</v>
      </c>
    </row>
    <row r="27" customFormat="false" ht="15" hidden="false" customHeight="true" outlineLevel="0" collapsed="false">
      <c r="A27" s="8" t="s">
        <v>84</v>
      </c>
      <c r="B27" s="8" t="str">
        <f aca="false">IFERROR(INDEX('Source 2026'!$C:$C,MATCH($A27,'Source 2026'!$B:$B,0)),IFERROR(INDEX('Source 2025'!$C:$C,MATCH($A27,'Source 2025'!$B:$B,0)),""))</f>
        <v>S""חגורת בטן""אורירית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227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195</v>
      </c>
      <c r="E27" s="9" t="n">
        <f aca="false">D27-C27</f>
        <v>-32</v>
      </c>
      <c r="F27" s="10" t="n">
        <f aca="false">IF(AND(C27=0,D27=0),0,IF(C27=0,"New",(D27-C27)/C27))</f>
        <v>-0.140969162995595</v>
      </c>
      <c r="G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21707</v>
      </c>
      <c r="H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18920.9</v>
      </c>
      <c r="I27" s="11" t="n">
        <f aca="false">H27-G27</f>
        <v>-2786.1</v>
      </c>
      <c r="J27" s="10" t="n">
        <f aca="false">IF(AND(G27=0,H27=0),0,IF(G27=0,"New",(H27-G27)/G27))</f>
        <v>-0.128350301745981</v>
      </c>
    </row>
    <row r="28" customFormat="false" ht="15" hidden="false" customHeight="true" outlineLevel="0" collapsed="false">
      <c r="A28" s="8" t="s">
        <v>184</v>
      </c>
      <c r="B28" s="8" t="str">
        <f aca="false">IFERROR(INDEX('Source 2026'!$C:$C,MATCH($A28,'Source 2026'!$B:$B,0)),IFERROR(INDEX('Source 2025'!$C:$C,MATCH($A28,'Source 2025'!$B:$B,0)),""))</f>
        <v>חבק ""טניס אלבו רצועה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31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-6</v>
      </c>
      <c r="E28" s="9" t="n">
        <f aca="false">D28-C28</f>
        <v>-37</v>
      </c>
      <c r="F28" s="10" t="n">
        <f aca="false">IF(AND(C28=0,D28=0),0,IF(C28=0,"New",(D28-C28)/C28))</f>
        <v>-1.19354838709677</v>
      </c>
      <c r="G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2307.7</v>
      </c>
      <c r="H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-449.8</v>
      </c>
      <c r="I28" s="11" t="n">
        <f aca="false">H28-G28</f>
        <v>-2757.5</v>
      </c>
      <c r="J28" s="10" t="n">
        <f aca="false">IF(AND(G28=0,H28=0),0,IF(G28=0,"New",(H28-G28)/G28))</f>
        <v>-1.19491268362439</v>
      </c>
    </row>
    <row r="29" customFormat="false" ht="15" hidden="false" customHeight="true" outlineLevel="0" collapsed="false">
      <c r="A29" s="8" t="s">
        <v>103</v>
      </c>
      <c r="B29" s="8" t="str">
        <f aca="false">IFERROR(INDEX('Source 2026'!$C:$C,MATCH($A29,'Source 2026'!$B:$B,0)),IFERROR(INDEX('Source 2025'!$C:$C,MATCH($A29,'Source 2025'!$B:$B,0)),""))</f>
        <v>0 מ.בוניון+מפריד אצבע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142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70</v>
      </c>
      <c r="E29" s="9" t="n">
        <f aca="false">D29-C29</f>
        <v>-72</v>
      </c>
      <c r="F29" s="10" t="n">
        <f aca="false">IF(AND(C29=0,D29=0),0,IF(C29=0,"New",(D29-C29)/C29))</f>
        <v>-0.507042253521127</v>
      </c>
      <c r="G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5326.8</v>
      </c>
      <c r="H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2618</v>
      </c>
      <c r="I29" s="11" t="n">
        <f aca="false">H29-G29</f>
        <v>-2708.8</v>
      </c>
      <c r="J29" s="10" t="n">
        <f aca="false">IF(AND(G29=0,H29=0),0,IF(G29=0,"New",(H29-G29)/G29))</f>
        <v>-0.508522940602238</v>
      </c>
    </row>
    <row r="30" customFormat="false" ht="15" hidden="false" customHeight="true" outlineLevel="0" collapsed="false">
      <c r="A30" s="8" t="s">
        <v>64</v>
      </c>
      <c r="B30" s="8" t="str">
        <f aca="false">IFERROR(INDEX('Source 2026'!$C:$C,MATCH($A30,'Source 2026'!$B:$B,0)),IFERROR(INDEX('Source 2025'!$C:$C,MATCH($A30,'Source 2025'!$B:$B,0)),""))</f>
        <v>סד ליד דו צדדי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367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331</v>
      </c>
      <c r="E30" s="9" t="n">
        <f aca="false">D30-C30</f>
        <v>-36</v>
      </c>
      <c r="F30" s="10" t="n">
        <f aca="false">IF(AND(C30=0,D30=0),0,IF(C30=0,"New",(D30-C30)/C30))</f>
        <v>-0.0980926430517711</v>
      </c>
      <c r="G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26702.9</v>
      </c>
      <c r="H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24083.6</v>
      </c>
      <c r="I30" s="11" t="n">
        <f aca="false">H30-G30</f>
        <v>-2619.3</v>
      </c>
      <c r="J30" s="10" t="n">
        <f aca="false">IF(AND(G30=0,H30=0),0,IF(G30=0,"New",(H30-G30)/G30))</f>
        <v>-0.0980904695744658</v>
      </c>
    </row>
    <row r="31" customFormat="false" ht="15" hidden="false" customHeight="true" outlineLevel="0" collapsed="false">
      <c r="A31" s="8" t="s">
        <v>108</v>
      </c>
      <c r="B31" s="8" t="str">
        <f aca="false">IFERROR(INDEX('Source 2026'!$C:$C,MATCH($A31,'Source 2026'!$B:$B,0)),IFERROR(INDEX('Source 2025'!$C:$C,MATCH($A31,'Source 2025'!$B:$B,0)),""))</f>
        <v>למניעת שפשוף 5 יח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562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368</v>
      </c>
      <c r="E31" s="9" t="n">
        <f aca="false">D31-C31</f>
        <v>-194</v>
      </c>
      <c r="F31" s="10" t="n">
        <f aca="false">IF(AND(C31=0,D31=0),0,IF(C31=0,"New",(D31-C31)/C31))</f>
        <v>-0.345195729537367</v>
      </c>
      <c r="G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7497.4</v>
      </c>
      <c r="H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4909.2</v>
      </c>
      <c r="I31" s="11" t="n">
        <f aca="false">H31-G31</f>
        <v>-2588.2</v>
      </c>
      <c r="J31" s="10" t="n">
        <f aca="false">IF(AND(G31=0,H31=0),0,IF(G31=0,"New",(H31-G31)/G31))</f>
        <v>-0.345213007175821</v>
      </c>
    </row>
    <row r="32" customFormat="false" ht="15" hidden="false" customHeight="true" outlineLevel="0" collapsed="false">
      <c r="A32" s="8" t="s">
        <v>107</v>
      </c>
      <c r="B32" s="8" t="str">
        <f aca="false">IFERROR(INDEX('Source 2026'!$C:$C,MATCH($A32,'Source 2026'!$B:$B,0)),IFERROR(INDEX('Source 2025'!$C:$C,MATCH($A32,'Source 2025'!$B:$B,0)),""))</f>
        <v>S-L אצבעון מסיליקון יחידה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302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181</v>
      </c>
      <c r="E32" s="9" t="n">
        <f aca="false">D32-C32</f>
        <v>-121</v>
      </c>
      <c r="F32" s="10" t="n">
        <f aca="false">IF(AND(C32=0,D32=0),0,IF(C32=0,"New",(D32-C32)/C32))</f>
        <v>-0.400662251655629</v>
      </c>
      <c r="G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6389.2</v>
      </c>
      <c r="H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3813.9</v>
      </c>
      <c r="I32" s="11" t="n">
        <f aca="false">H32-G32</f>
        <v>-2575.3</v>
      </c>
      <c r="J32" s="10" t="n">
        <f aca="false">IF(AND(G32=0,H32=0),0,IF(G32=0,"New",(H32-G32)/G32))</f>
        <v>-0.40307080698679</v>
      </c>
    </row>
    <row r="33" customFormat="false" ht="15" hidden="false" customHeight="true" outlineLevel="0" collapsed="false">
      <c r="A33" s="8" t="s">
        <v>137</v>
      </c>
      <c r="B33" s="8" t="str">
        <f aca="false">IFERROR(INDEX('Source 2026'!$C:$C,MATCH($A33,'Source 2026'!$B:$B,0)),IFERROR(INDEX('Source 2025'!$C:$C,MATCH($A33,'Source 2025'!$B:$B,0)),""))</f>
        <v>בוהן סיליקון קשיח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150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25</v>
      </c>
      <c r="E33" s="9" t="n">
        <f aca="false">D33-C33</f>
        <v>-125</v>
      </c>
      <c r="F33" s="10" t="n">
        <f aca="false">IF(AND(C33=0,D33=0),0,IF(C33=0,"New",(D33-C33)/C33))</f>
        <v>-0.833333333333333</v>
      </c>
      <c r="G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2970.1</v>
      </c>
      <c r="H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493.6</v>
      </c>
      <c r="I33" s="11" t="n">
        <f aca="false">H33-G33</f>
        <v>-2476.5</v>
      </c>
      <c r="J33" s="10" t="n">
        <f aca="false">IF(AND(G33=0,H33=0),0,IF(G33=0,"New",(H33-G33)/G33))</f>
        <v>-0.833810309417191</v>
      </c>
    </row>
    <row r="34" customFormat="false" ht="15" hidden="false" customHeight="true" outlineLevel="0" collapsed="false">
      <c r="A34" s="8" t="s">
        <v>242</v>
      </c>
      <c r="B34" s="8" t="str">
        <f aca="false">IFERROR(INDEX('Source 2026'!$C:$C,MATCH($A34,'Source 2026'!$B:$B,0)),IFERROR(INDEX('Source 2025'!$C:$C,MATCH($A34,'Source 2025'!$B:$B,0)),""))</f>
        <v>Sחגורה למנותחי בטן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23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</v>
      </c>
      <c r="E34" s="9" t="n">
        <f aca="false">D34-C34</f>
        <v>-20</v>
      </c>
      <c r="F34" s="10" t="n">
        <f aca="false">IF(AND(C34=0,D34=0),0,IF(C34=0,"New",(D34-C34)/C34))</f>
        <v>-0.869565217391304</v>
      </c>
      <c r="G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2728.7</v>
      </c>
      <c r="H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355.9</v>
      </c>
      <c r="I34" s="11" t="n">
        <f aca="false">H34-G34</f>
        <v>-2372.8</v>
      </c>
      <c r="J34" s="10" t="n">
        <f aca="false">IF(AND(G34=0,H34=0),0,IF(G34=0,"New",(H34-G34)/G34))</f>
        <v>-0.869571590867446</v>
      </c>
    </row>
    <row r="35" customFormat="false" ht="15" hidden="false" customHeight="true" outlineLevel="0" collapsed="false">
      <c r="A35" s="8" t="s">
        <v>135</v>
      </c>
      <c r="B35" s="8" t="str">
        <f aca="false">IFERROR(INDEX('Source 2026'!$C:$C,MATCH($A35,'Source 2026'!$B:$B,0)),IFERROR(INDEX('Source 2025'!$C:$C,MATCH($A35,'Source 2025'!$B:$B,0)),""))</f>
        <v>S-Lטבעת אלסטית מסיליקון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359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176</v>
      </c>
      <c r="E35" s="9" t="n">
        <f aca="false">D35-C35</f>
        <v>-183</v>
      </c>
      <c r="F35" s="10" t="n">
        <f aca="false">IF(AND(C35=0,D35=0),0,IF(C35=0,"New",(D35-C35)/C35))</f>
        <v>-0.50974930362117</v>
      </c>
      <c r="G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4504.4</v>
      </c>
      <c r="H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2168.2</v>
      </c>
      <c r="I35" s="11" t="n">
        <f aca="false">H35-G35</f>
        <v>-2336.2</v>
      </c>
      <c r="J35" s="10" t="n">
        <f aca="false">IF(AND(G35=0,H35=0),0,IF(G35=0,"New",(H35-G35)/G35))</f>
        <v>-0.518648432643637</v>
      </c>
    </row>
    <row r="36" customFormat="false" ht="15" hidden="false" customHeight="true" outlineLevel="0" collapsed="false">
      <c r="A36" s="8" t="s">
        <v>163</v>
      </c>
      <c r="B36" s="8" t="str">
        <f aca="false">IFERROR(INDEX('Source 2026'!$C:$C,MATCH($A36,'Source 2026'!$B:$B,0)),IFERROR(INDEX('Source 2025'!$C:$C,MATCH($A36,'Source 2025'!$B:$B,0)),""))</f>
        <v>S מגן ברך מחמם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43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0</v>
      </c>
      <c r="E36" s="9" t="n">
        <f aca="false">D36-C36</f>
        <v>-43</v>
      </c>
      <c r="F36" s="10" t="n">
        <f aca="false">IF(AND(C36=0,D36=0),0,IF(C36=0,"New",(D36-C36)/C36))</f>
        <v>-1</v>
      </c>
      <c r="G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2251.3</v>
      </c>
      <c r="H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0</v>
      </c>
      <c r="I36" s="11" t="n">
        <f aca="false">H36-G36</f>
        <v>-2251.3</v>
      </c>
      <c r="J36" s="10" t="n">
        <f aca="false">IF(AND(G36=0,H36=0),0,IF(G36=0,"New",(H36-G36)/G36))</f>
        <v>-1</v>
      </c>
    </row>
    <row r="37" customFormat="false" ht="15" hidden="false" customHeight="true" outlineLevel="0" collapsed="false">
      <c r="A37" s="8" t="s">
        <v>65</v>
      </c>
      <c r="B37" s="8" t="str">
        <f aca="false">IFERROR(INDEX('Source 2026'!$C:$C,MATCH($A37,'Source 2026'!$B:$B,0)),IFERROR(INDEX('Source 2025'!$C:$C,MATCH($A37,'Source 2025'!$B:$B,0)),""))</f>
        <v>L סד לאגודל לאחר שבר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207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181</v>
      </c>
      <c r="E37" s="9" t="n">
        <f aca="false">D37-C37</f>
        <v>-26</v>
      </c>
      <c r="F37" s="10" t="n">
        <f aca="false">IF(AND(C37=0,D37=0),0,IF(C37=0,"New",(D37-C37)/C37))</f>
        <v>-0.1256038647343</v>
      </c>
      <c r="G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18144</v>
      </c>
      <c r="H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15964.2</v>
      </c>
      <c r="I37" s="11" t="n">
        <f aca="false">H37-G37</f>
        <v>-2179.8</v>
      </c>
      <c r="J37" s="10" t="n">
        <f aca="false">IF(AND(G37=0,H37=0),0,IF(G37=0,"New",(H37-G37)/G37))</f>
        <v>-0.120138888888889</v>
      </c>
    </row>
    <row r="38" customFormat="false" ht="15" hidden="false" customHeight="true" outlineLevel="0" collapsed="false">
      <c r="A38" s="8" t="s">
        <v>162</v>
      </c>
      <c r="B38" s="8" t="str">
        <f aca="false">IFERROR(INDEX('Source 2026'!$C:$C,MATCH($A38,'Source 2026'!$B:$B,0)),IFERROR(INDEX('Source 2025'!$C:$C,MATCH($A38,'Source 2025'!$B:$B,0)),""))</f>
        <v>שרוול מגן לבוניון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98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30</v>
      </c>
      <c r="E38" s="9" t="n">
        <f aca="false">D38-C38</f>
        <v>-68</v>
      </c>
      <c r="F38" s="10" t="n">
        <f aca="false">IF(AND(C38=0,D38=0),0,IF(C38=0,"New",(D38-C38)/C38))</f>
        <v>-0.693877551020408</v>
      </c>
      <c r="G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3049.7</v>
      </c>
      <c r="H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877.1</v>
      </c>
      <c r="I38" s="11" t="n">
        <f aca="false">H38-G38</f>
        <v>-2172.6</v>
      </c>
      <c r="J38" s="10" t="n">
        <f aca="false">IF(AND(G38=0,H38=0),0,IF(G38=0,"New",(H38-G38)/G38))</f>
        <v>-0.71239794078106</v>
      </c>
    </row>
    <row r="39" customFormat="false" ht="15" hidden="false" customHeight="true" outlineLevel="0" collapsed="false">
      <c r="A39" s="8" t="s">
        <v>143</v>
      </c>
      <c r="B39" s="8" t="str">
        <f aca="false">IFERROR(INDEX('Source 2026'!$C:$C,MATCH($A39,'Source 2026'!$B:$B,0)),IFERROR(INDEX('Source 2025'!$C:$C,MATCH($A39,'Source 2025'!$B:$B,0)),""))</f>
        <v>בליסטר פלסטר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148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40</v>
      </c>
      <c r="E39" s="9" t="n">
        <f aca="false">D39-C39</f>
        <v>-108</v>
      </c>
      <c r="F39" s="10" t="n">
        <f aca="false">IF(AND(C39=0,D39=0),0,IF(C39=0,"New",(D39-C39)/C39))</f>
        <v>-0.72972972972973</v>
      </c>
      <c r="G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2837.2</v>
      </c>
      <c r="H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766.8</v>
      </c>
      <c r="I39" s="11" t="n">
        <f aca="false">H39-G39</f>
        <v>-2070.4</v>
      </c>
      <c r="J39" s="10" t="n">
        <f aca="false">IF(AND(G39=0,H39=0),0,IF(G39=0,"New",(H39-G39)/G39))</f>
        <v>-0.729733540109968</v>
      </c>
    </row>
    <row r="40" customFormat="false" ht="15" hidden="false" customHeight="true" outlineLevel="0" collapsed="false">
      <c r="A40" s="8" t="s">
        <v>156</v>
      </c>
      <c r="B40" s="8" t="str">
        <f aca="false">IFERROR(INDEX('Source 2026'!$C:$C,MATCH($A40,'Source 2026'!$B:$B,0)),IFERROR(INDEX('Source 2025'!$C:$C,MATCH($A40,'Source 2025'!$B:$B,0)),""))</f>
        <v>להסרת עור קשה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196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103</v>
      </c>
      <c r="E40" s="9" t="n">
        <f aca="false">D40-C40</f>
        <v>-93</v>
      </c>
      <c r="F40" s="10" t="n">
        <f aca="false">IF(AND(C40=0,D40=0),0,IF(C40=0,"New",(D40-C40)/C40))</f>
        <v>-0.474489795918367</v>
      </c>
      <c r="G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4287.3</v>
      </c>
      <c r="H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2253</v>
      </c>
      <c r="I40" s="11" t="n">
        <f aca="false">H40-G40</f>
        <v>-2034.3</v>
      </c>
      <c r="J40" s="10" t="n">
        <f aca="false">IF(AND(G40=0,H40=0),0,IF(G40=0,"New",(H40-G40)/G40))</f>
        <v>-0.474494437058289</v>
      </c>
    </row>
    <row r="41" customFormat="false" ht="15" hidden="false" customHeight="true" outlineLevel="0" collapsed="false">
      <c r="A41" s="8" t="s">
        <v>169</v>
      </c>
      <c r="B41" s="8" t="str">
        <f aca="false">IFERROR(INDEX('Source 2026'!$C:$C,MATCH($A41,'Source 2026'!$B:$B,0)),IFERROR(INDEX('Source 2025'!$C:$C,MATCH($A41,'Source 2025'!$B:$B,0)),""))</f>
        <v>סד ליישור אצבע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596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470</v>
      </c>
      <c r="E41" s="9" t="n">
        <f aca="false">D41-C41</f>
        <v>-126</v>
      </c>
      <c r="F41" s="10" t="n">
        <f aca="false">IF(AND(C41=0,D41=0),0,IF(C41=0,"New",(D41-C41)/C41))</f>
        <v>-0.211409395973154</v>
      </c>
      <c r="G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9178.4</v>
      </c>
      <c r="H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7238</v>
      </c>
      <c r="I41" s="11" t="n">
        <f aca="false">H41-G41</f>
        <v>-1940.4</v>
      </c>
      <c r="J41" s="10" t="n">
        <f aca="false">IF(AND(G41=0,H41=0),0,IF(G41=0,"New",(H41-G41)/G41))</f>
        <v>-0.211409395973154</v>
      </c>
    </row>
    <row r="42" customFormat="false" ht="15" hidden="false" customHeight="true" outlineLevel="0" collapsed="false">
      <c r="A42" s="8" t="s">
        <v>325</v>
      </c>
      <c r="B42" s="8" t="str">
        <f aca="false">IFERROR(INDEX('Source 2026'!$C:$C,MATCH($A42,'Source 2026'!$B:$B,0)),IFERROR(INDEX('Source 2025'!$C:$C,MATCH($A42,'Source 2025'!$B:$B,0)),""))</f>
        <v>חגורת גב אפורה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78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59</v>
      </c>
      <c r="E42" s="9" t="n">
        <f aca="false">D42-C42</f>
        <v>-19</v>
      </c>
      <c r="F42" s="10" t="n">
        <f aca="false">IF(AND(C42=0,D42=0),0,IF(C42=0,"New",(D42-C42)/C42))</f>
        <v>-0.243589743589744</v>
      </c>
      <c r="G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7740</v>
      </c>
      <c r="H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5854.6</v>
      </c>
      <c r="I42" s="11" t="n">
        <f aca="false">H42-G42</f>
        <v>-1885.4</v>
      </c>
      <c r="J42" s="10" t="n">
        <f aca="false">IF(AND(G42=0,H42=0),0,IF(G42=0,"New",(H42-G42)/G42))</f>
        <v>-0.24359173126615</v>
      </c>
    </row>
    <row r="43" customFormat="false" ht="15" hidden="false" customHeight="true" outlineLevel="0" collapsed="false">
      <c r="A43" s="8" t="s">
        <v>112</v>
      </c>
      <c r="B43" s="8" t="str">
        <f aca="false">IFERROR(INDEX('Source 2026'!$C:$C,MATCH($A43,'Source 2026'!$B:$B,0)),IFERROR(INDEX('Source 2025'!$C:$C,MATCH($A43,'Source 2025'!$B:$B,0)),""))</f>
        <v>L מגן מרפק רגיל לבן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334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267</v>
      </c>
      <c r="E43" s="9" t="n">
        <f aca="false">D43-C43</f>
        <v>-67</v>
      </c>
      <c r="F43" s="10" t="n">
        <f aca="false">IF(AND(C43=0,D43=0),0,IF(C43=0,"New",(D43-C43)/C43))</f>
        <v>-0.20059880239521</v>
      </c>
      <c r="G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9291.7</v>
      </c>
      <c r="H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7419.9</v>
      </c>
      <c r="I43" s="11" t="n">
        <f aca="false">H43-G43</f>
        <v>-1871.8</v>
      </c>
      <c r="J43" s="10" t="n">
        <f aca="false">IF(AND(G43=0,H43=0),0,IF(G43=0,"New",(H43-G43)/G43))</f>
        <v>-0.201448604668683</v>
      </c>
    </row>
    <row r="44" customFormat="false" ht="15" hidden="false" customHeight="true" outlineLevel="0" collapsed="false">
      <c r="A44" s="8" t="s">
        <v>106</v>
      </c>
      <c r="B44" s="8" t="str">
        <f aca="false">IFERROR(INDEX('Source 2026'!$C:$C,MATCH($A44,'Source 2026'!$B:$B,0)),IFERROR(INDEX('Source 2025'!$C:$C,MATCH($A44,'Source 2025'!$B:$B,0)),""))</f>
        <v>Lמפר.אצבע סיליק. ליבל.זוג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662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523</v>
      </c>
      <c r="E44" s="9" t="n">
        <f aca="false">D44-C44</f>
        <v>-139</v>
      </c>
      <c r="F44" s="10" t="n">
        <f aca="false">IF(AND(C44=0,D44=0),0,IF(C44=0,"New",(D44-C44)/C44))</f>
        <v>-0.209969788519637</v>
      </c>
      <c r="G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8957.3</v>
      </c>
      <c r="H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7090.7</v>
      </c>
      <c r="I44" s="11" t="n">
        <f aca="false">H44-G44</f>
        <v>-1866.6</v>
      </c>
      <c r="J44" s="10" t="n">
        <f aca="false">IF(AND(G44=0,H44=0),0,IF(G44=0,"New",(H44-G44)/G44))</f>
        <v>-0.208388688555703</v>
      </c>
    </row>
    <row r="45" customFormat="false" ht="15" hidden="false" customHeight="true" outlineLevel="0" collapsed="false">
      <c r="A45" s="8" t="s">
        <v>215</v>
      </c>
      <c r="B45" s="8" t="str">
        <f aca="false">IFERROR(INDEX('Source 2026'!$C:$C,MATCH($A45,'Source 2026'!$B:$B,0)),IFERROR(INDEX('Source 2025'!$C:$C,MATCH($A45,'Source 2025'!$B:$B,0)),""))</f>
        <v>S מגן קרסול ימין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-4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19</v>
      </c>
      <c r="E45" s="9" t="n">
        <f aca="false">D45-C45</f>
        <v>23</v>
      </c>
      <c r="F45" s="10" t="n">
        <f aca="false">IF(AND(C45=0,D45=0),0,IF(C45=0,"New",(D45-C45)/C45))</f>
        <v>-5.75</v>
      </c>
      <c r="G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-429.5</v>
      </c>
      <c r="H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1415.5</v>
      </c>
      <c r="I45" s="11" t="n">
        <f aca="false">H45-G45</f>
        <v>1845</v>
      </c>
      <c r="J45" s="10" t="n">
        <f aca="false">IF(AND(G45=0,H45=0),0,IF(G45=0,"New",(H45-G45)/G45))</f>
        <v>-4.29569266589057</v>
      </c>
    </row>
    <row r="46" customFormat="false" ht="15" hidden="false" customHeight="true" outlineLevel="0" collapsed="false">
      <c r="A46" s="8" t="s">
        <v>80</v>
      </c>
      <c r="B46" s="8" t="str">
        <f aca="false">IFERROR(INDEX('Source 2026'!$C:$C,MATCH($A46,'Source 2026'!$B:$B,0)),IFERROR(INDEX('Source 2025'!$C:$C,MATCH($A46,'Source 2025'!$B:$B,0)),""))</f>
        <v>L חבק יד מתכוון עם צמדן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344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277</v>
      </c>
      <c r="E46" s="9" t="n">
        <f aca="false">D46-C46</f>
        <v>-67</v>
      </c>
      <c r="F46" s="10" t="n">
        <f aca="false">IF(AND(C46=0,D46=0),0,IF(C46=0,"New",(D46-C46)/C46))</f>
        <v>-0.194767441860465</v>
      </c>
      <c r="G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9343.1</v>
      </c>
      <c r="H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7528.7</v>
      </c>
      <c r="I46" s="11" t="n">
        <f aca="false">H46-G46</f>
        <v>-1814.4</v>
      </c>
      <c r="J46" s="10" t="n">
        <f aca="false">IF(AND(G46=0,H46=0),0,IF(G46=0,"New",(H46-G46)/G46))</f>
        <v>-0.194196786933673</v>
      </c>
    </row>
    <row r="47" customFormat="false" ht="15" hidden="false" customHeight="true" outlineLevel="0" collapsed="false">
      <c r="A47" s="8" t="s">
        <v>157</v>
      </c>
      <c r="B47" s="8" t="str">
        <f aca="false">IFERROR(INDEX('Source 2026'!$C:$C,MATCH($A47,'Source 2026'!$B:$B,0)),IFERROR(INDEX('Source 2025'!$C:$C,MATCH($A47,'Source 2025'!$B:$B,0)),""))</f>
        <v>37-38 מדרסי סיליק.לח.סכרת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17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1</v>
      </c>
      <c r="E47" s="9" t="n">
        <f aca="false">D47-C47</f>
        <v>-16</v>
      </c>
      <c r="F47" s="10" t="n">
        <f aca="false">IF(AND(C47=0,D47=0),0,IF(C47=0,"New",(D47-C47)/C47))</f>
        <v>-0.941176470588235</v>
      </c>
      <c r="G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1878.3</v>
      </c>
      <c r="H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110.5</v>
      </c>
      <c r="I47" s="11" t="n">
        <f aca="false">H47-G47</f>
        <v>-1767.8</v>
      </c>
      <c r="J47" s="10" t="n">
        <f aca="false">IF(AND(G47=0,H47=0),0,IF(G47=0,"New",(H47-G47)/G47))</f>
        <v>-0.941170207102167</v>
      </c>
    </row>
    <row r="48" customFormat="false" ht="15" hidden="false" customHeight="true" outlineLevel="0" collapsed="false">
      <c r="A48" s="8" t="s">
        <v>245</v>
      </c>
      <c r="B48" s="8" t="str">
        <f aca="false">IFERROR(INDEX('Source 2026'!$C:$C,MATCH($A48,'Source 2026'!$B:$B,0)),IFERROR(INDEX('Source 2025'!$C:$C,MATCH($A48,'Source 2025'!$B:$B,0)),""))</f>
        <v>טייפ חבישה לספורט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282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168</v>
      </c>
      <c r="E48" s="9" t="n">
        <f aca="false">D48-C48</f>
        <v>-114</v>
      </c>
      <c r="F48" s="10" t="n">
        <f aca="false">IF(AND(C48=0,D48=0),0,IF(C48=0,"New",(D48-C48)/C48))</f>
        <v>-0.404255319148936</v>
      </c>
      <c r="G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4342.8</v>
      </c>
      <c r="H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2587.2</v>
      </c>
      <c r="I48" s="11" t="n">
        <f aca="false">H48-G48</f>
        <v>-1755.6</v>
      </c>
      <c r="J48" s="10" t="n">
        <f aca="false">IF(AND(G48=0,H48=0),0,IF(G48=0,"New",(H48-G48)/G48))</f>
        <v>-0.404255319148936</v>
      </c>
    </row>
    <row r="49" customFormat="false" ht="15" hidden="false" customHeight="true" outlineLevel="0" collapsed="false">
      <c r="A49" s="8" t="s">
        <v>203</v>
      </c>
      <c r="B49" s="8" t="str">
        <f aca="false">IFERROR(INDEX('Source 2026'!$C:$C,MATCH($A49,'Source 2026'!$B:$B,0)),IFERROR(INDEX('Source 2025'!$C:$C,MATCH($A49,'Source 2025'!$B:$B,0)),""))</f>
        <v>להסרת עור קשה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111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46</v>
      </c>
      <c r="E49" s="9" t="n">
        <f aca="false">D49-C49</f>
        <v>-65</v>
      </c>
      <c r="F49" s="10" t="n">
        <f aca="false">IF(AND(C49=0,D49=0),0,IF(C49=0,"New",(D49-C49)/C49))</f>
        <v>-0.585585585585586</v>
      </c>
      <c r="G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2961.7</v>
      </c>
      <c r="H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1227.4</v>
      </c>
      <c r="I49" s="11" t="n">
        <f aca="false">H49-G49</f>
        <v>-1734.3</v>
      </c>
      <c r="J49" s="10" t="n">
        <f aca="false">IF(AND(G49=0,H49=0),0,IF(G49=0,"New",(H49-G49)/G49))</f>
        <v>-0.58557585170679</v>
      </c>
    </row>
    <row r="50" customFormat="false" ht="15" hidden="false" customHeight="true" outlineLevel="0" collapsed="false">
      <c r="A50" s="8" t="s">
        <v>130</v>
      </c>
      <c r="B50" s="8" t="str">
        <f aca="false">IFERROR(INDEX('Source 2026'!$C:$C,MATCH($A50,'Source 2026'!$B:$B,0)),IFERROR(INDEX('Source 2025'!$C:$C,MATCH($A50,'Source 2025'!$B:$B,0)),""))</f>
        <v>מגן ברך + צירים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3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22</v>
      </c>
      <c r="E50" s="9" t="n">
        <f aca="false">D50-C50</f>
        <v>19</v>
      </c>
      <c r="F50" s="10" t="n">
        <f aca="false">IF(AND(C50=0,D50=0),0,IF(C50=0,"New",(D50-C50)/C50))</f>
        <v>6.33333333333333</v>
      </c>
      <c r="G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270.3</v>
      </c>
      <c r="H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1982.6</v>
      </c>
      <c r="I50" s="11" t="n">
        <f aca="false">H50-G50</f>
        <v>1712.3</v>
      </c>
      <c r="J50" s="10" t="n">
        <f aca="false">IF(AND(G50=0,H50=0),0,IF(G50=0,"New",(H50-G50)/G50))</f>
        <v>6.33481317055124</v>
      </c>
    </row>
    <row r="51" customFormat="false" ht="15" hidden="false" customHeight="true" outlineLevel="0" collapsed="false">
      <c r="A51" s="8" t="s">
        <v>99</v>
      </c>
      <c r="B51" s="8" t="str">
        <f aca="false">IFERROR(INDEX('Source 2026'!$C:$C,MATCH($A51,'Source 2026'!$B:$B,0)),IFERROR(INDEX('Source 2025'!$C:$C,MATCH($A51,'Source 2025'!$B:$B,0)),""))</f>
        <v>Lעקבים סיליקון כחול לדורבן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212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182</v>
      </c>
      <c r="E51" s="9" t="n">
        <f aca="false">D51-C51</f>
        <v>-30</v>
      </c>
      <c r="F51" s="10" t="n">
        <f aca="false">IF(AND(C51=0,D51=0),0,IF(C51=0,"New",(D51-C51)/C51))</f>
        <v>-0.141509433962264</v>
      </c>
      <c r="G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11581.6</v>
      </c>
      <c r="H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9922.7</v>
      </c>
      <c r="I51" s="11" t="n">
        <f aca="false">H51-G51</f>
        <v>-1658.9</v>
      </c>
      <c r="J51" s="10" t="n">
        <f aca="false">IF(AND(G51=0,H51=0),0,IF(G51=0,"New",(H51-G51)/G51))</f>
        <v>-0.143235822338882</v>
      </c>
    </row>
    <row r="52" customFormat="false" ht="15" hidden="false" customHeight="true" outlineLevel="0" collapsed="false">
      <c r="A52" s="8" t="s">
        <v>159</v>
      </c>
      <c r="B52" s="8" t="str">
        <f aca="false">IFERROR(INDEX('Source 2026'!$C:$C,MATCH($A52,'Source 2026'!$B:$B,0)),IFERROR(INDEX('Source 2025'!$C:$C,MATCH($A52,'Source 2025'!$B:$B,0)),""))</f>
        <v>S מגן שוק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13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23</v>
      </c>
      <c r="E52" s="9" t="n">
        <f aca="false">D52-C52</f>
        <v>10</v>
      </c>
      <c r="F52" s="10" t="n">
        <f aca="false">IF(AND(C52=0,D52=0),0,IF(C52=0,"New",(D52-C52)/C52))</f>
        <v>0.769230769230769</v>
      </c>
      <c r="G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1483.1</v>
      </c>
      <c r="H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3122.3</v>
      </c>
      <c r="I52" s="11" t="n">
        <f aca="false">H52-G52</f>
        <v>1639.2</v>
      </c>
      <c r="J52" s="10" t="n">
        <f aca="false">IF(AND(G52=0,H52=0),0,IF(G52=0,"New",(H52-G52)/G52))</f>
        <v>1.10525251163104</v>
      </c>
    </row>
    <row r="53" customFormat="false" ht="15" hidden="false" customHeight="true" outlineLevel="0" collapsed="false">
      <c r="A53" s="8" t="s">
        <v>182</v>
      </c>
      <c r="B53" s="8" t="str">
        <f aca="false">IFERROR(INDEX('Source 2026'!$C:$C,MATCH($A53,'Source 2026'!$B:$B,0)),IFERROR(INDEX('Source 2025'!$C:$C,MATCH($A53,'Source 2025'!$B:$B,0)),""))</f>
        <v>XLמפריד אצבע סיליקון ליבלת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336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217</v>
      </c>
      <c r="E53" s="9" t="n">
        <f aca="false">D53-C53</f>
        <v>-119</v>
      </c>
      <c r="F53" s="10" t="n">
        <f aca="false">IF(AND(C53=0,D53=0),0,IF(C53=0,"New",(D53-C53)/C53))</f>
        <v>-0.354166666666667</v>
      </c>
      <c r="G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4548.4</v>
      </c>
      <c r="H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2943.7</v>
      </c>
      <c r="I53" s="11" t="n">
        <f aca="false">H53-G53</f>
        <v>-1604.7</v>
      </c>
      <c r="J53" s="10" t="n">
        <f aca="false">IF(AND(G53=0,H53=0),0,IF(G53=0,"New",(H53-G53)/G53))</f>
        <v>-0.352805382112391</v>
      </c>
    </row>
    <row r="54" customFormat="false" ht="15" hidden="false" customHeight="true" outlineLevel="0" collapsed="false">
      <c r="A54" s="8" t="s">
        <v>115</v>
      </c>
      <c r="B54" s="8" t="str">
        <f aca="false">IFERROR(INDEX('Source 2026'!$C:$C,MATCH($A54,'Source 2026'!$B:$B,0)),IFERROR(INDEX('Source 2025'!$C:$C,MATCH($A54,'Source 2025'!$B:$B,0)),""))</f>
        <v>S מגן קרסול עקב סגור+רצוע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303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275</v>
      </c>
      <c r="E54" s="9" t="n">
        <f aca="false">D54-C54</f>
        <v>-28</v>
      </c>
      <c r="F54" s="10" t="n">
        <f aca="false">IF(AND(C54=0,D54=0),0,IF(C54=0,"New",(D54-C54)/C54))</f>
        <v>-0.0924092409240924</v>
      </c>
      <c r="G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17364.9</v>
      </c>
      <c r="H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15760.3</v>
      </c>
      <c r="I54" s="11" t="n">
        <f aca="false">H54-G54</f>
        <v>-1604.6</v>
      </c>
      <c r="J54" s="10" t="n">
        <f aca="false">IF(AND(G54=0,H54=0),0,IF(G54=0,"New",(H54-G54)/G54))</f>
        <v>-0.0924047935778496</v>
      </c>
    </row>
    <row r="55" customFormat="false" ht="15" hidden="false" customHeight="true" outlineLevel="0" collapsed="false">
      <c r="A55" s="8" t="s">
        <v>141</v>
      </c>
      <c r="B55" s="8" t="str">
        <f aca="false">IFERROR(INDEX('Source 2026'!$C:$C,MATCH($A55,'Source 2026'!$B:$B,0)),IFERROR(INDEX('Source 2025'!$C:$C,MATCH($A55,'Source 2025'!$B:$B,0)),""))</f>
        <v>S חבק יד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5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24</v>
      </c>
      <c r="E55" s="9" t="n">
        <f aca="false">D55-C55</f>
        <v>19</v>
      </c>
      <c r="F55" s="10" t="n">
        <f aca="false">IF(AND(C55=0,D55=0),0,IF(C55=0,"New",(D55-C55)/C55))</f>
        <v>3.8</v>
      </c>
      <c r="G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184.2</v>
      </c>
      <c r="H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1779.9</v>
      </c>
      <c r="I55" s="11" t="n">
        <f aca="false">H55-G55</f>
        <v>1595.7</v>
      </c>
      <c r="J55" s="10" t="n">
        <f aca="false">IF(AND(G55=0,H55=0),0,IF(G55=0,"New",(H55-G55)/G55))</f>
        <v>8.66286644951141</v>
      </c>
    </row>
    <row r="56" customFormat="false" ht="15" hidden="false" customHeight="true" outlineLevel="0" collapsed="false">
      <c r="A56" s="8" t="s">
        <v>255</v>
      </c>
      <c r="B56" s="8" t="str">
        <f aca="false">IFERROR(INDEX('Source 2026'!$C:$C,MATCH($A56,'Source 2026'!$B:$B,0)),IFERROR(INDEX('Source 2025'!$C:$C,MATCH($A56,'Source 2025'!$B:$B,0)),""))</f>
        <v>L מגן ברך מוצלב+מוט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9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-3</v>
      </c>
      <c r="E56" s="9" t="n">
        <f aca="false">D56-C56</f>
        <v>-12</v>
      </c>
      <c r="F56" s="10" t="n">
        <f aca="false">IF(AND(C56=0,D56=0),0,IF(C56=0,"New",(D56-C56)/C56))</f>
        <v>-1.33333333333333</v>
      </c>
      <c r="G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1131.3</v>
      </c>
      <c r="H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-437.1</v>
      </c>
      <c r="I56" s="11" t="n">
        <f aca="false">H56-G56</f>
        <v>-1568.4</v>
      </c>
      <c r="J56" s="10" t="n">
        <f aca="false">IF(AND(G56=0,H56=0),0,IF(G56=0,"New",(H56-G56)/G56))</f>
        <v>-1.38636966321931</v>
      </c>
    </row>
    <row r="57" customFormat="false" ht="15" hidden="false" customHeight="true" outlineLevel="0" collapsed="false">
      <c r="A57" s="8" t="s">
        <v>101</v>
      </c>
      <c r="B57" s="8" t="str">
        <f aca="false">IFERROR(INDEX('Source 2026'!$C:$C,MATCH($A57,'Source 2026'!$B:$B,0)),IFERROR(INDEX('Source 2025'!$C:$C,MATCH($A57,'Source 2025'!$B:$B,0)),""))</f>
        <v>יד אגודלי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322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283</v>
      </c>
      <c r="E57" s="9" t="n">
        <f aca="false">D57-C57</f>
        <v>-39</v>
      </c>
      <c r="F57" s="10" t="n">
        <f aca="false">IF(AND(C57=0,D57=0),0,IF(C57=0,"New",(D57-C57)/C57))</f>
        <v>-0.12111801242236</v>
      </c>
      <c r="G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12779.1</v>
      </c>
      <c r="H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11246.5</v>
      </c>
      <c r="I57" s="11" t="n">
        <f aca="false">H57-G57</f>
        <v>-1532.6</v>
      </c>
      <c r="J57" s="10" t="n">
        <f aca="false">IF(AND(G57=0,H57=0),0,IF(G57=0,"New",(H57-G57)/G57))</f>
        <v>-0.119930198527283</v>
      </c>
    </row>
    <row r="58" customFormat="false" ht="15" hidden="false" customHeight="true" outlineLevel="0" collapsed="false">
      <c r="A58" s="8" t="s">
        <v>133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273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134</v>
      </c>
      <c r="E58" s="9" t="n">
        <f aca="false">D58-C58</f>
        <v>-139</v>
      </c>
      <c r="F58" s="10" t="n">
        <f aca="false">IF(AND(C58=0,D58=0),0,IF(C58=0,"New",(D58-C58)/C58))</f>
        <v>-0.509157509157509</v>
      </c>
      <c r="G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2997.5</v>
      </c>
      <c r="H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1471.3</v>
      </c>
      <c r="I58" s="11" t="n">
        <f aca="false">H58-G58</f>
        <v>-1526.2</v>
      </c>
      <c r="J58" s="10" t="n">
        <f aca="false">IF(AND(G58=0,H58=0),0,IF(G58=0,"New",(H58-G58)/G58))</f>
        <v>-0.509157631359466</v>
      </c>
    </row>
    <row r="59" customFormat="false" ht="15" hidden="false" customHeight="true" outlineLevel="0" collapsed="false">
      <c r="A59" s="8" t="s">
        <v>193</v>
      </c>
      <c r="B59" s="8" t="str">
        <f aca="false">IFERROR(INDEX('Source 2026'!$C:$C,MATCH($A59,'Source 2026'!$B:$B,0)),IFERROR(INDEX('Source 2025'!$C:$C,MATCH($A59,'Source 2025'!$B:$B,0)),""))</f>
        <v>סד ליישור אצבע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470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373</v>
      </c>
      <c r="E59" s="9" t="n">
        <f aca="false">D59-C59</f>
        <v>-97</v>
      </c>
      <c r="F59" s="10" t="n">
        <f aca="false">IF(AND(C59=0,D59=0),0,IF(C59=0,"New",(D59-C59)/C59))</f>
        <v>-0.206382978723404</v>
      </c>
      <c r="G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7238</v>
      </c>
      <c r="H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5744.2</v>
      </c>
      <c r="I59" s="11" t="n">
        <f aca="false">H59-G59</f>
        <v>-1493.8</v>
      </c>
      <c r="J59" s="10" t="n">
        <f aca="false">IF(AND(G59=0,H59=0),0,IF(G59=0,"New",(H59-G59)/G59))</f>
        <v>-0.206382978723404</v>
      </c>
    </row>
    <row r="60" customFormat="false" ht="15" hidden="false" customHeight="true" outlineLevel="0" collapsed="false">
      <c r="A60" s="8" t="s">
        <v>113</v>
      </c>
      <c r="B60" s="8" t="str">
        <f aca="false">IFERROR(INDEX('Source 2026'!$C:$C,MATCH($A60,'Source 2026'!$B:$B,0)),IFERROR(INDEX('Source 2025'!$C:$C,MATCH($A60,'Source 2025'!$B:$B,0)),""))</f>
        <v>S ח.בטן לאחר ניתוח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74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89</v>
      </c>
      <c r="E60" s="9" t="n">
        <f aca="false">D60-C60</f>
        <v>15</v>
      </c>
      <c r="F60" s="10" t="n">
        <f aca="false">IF(AND(C60=0,D60=0),0,IF(C60=0,"New",(D60-C60)/C60))</f>
        <v>0.202702702702703</v>
      </c>
      <c r="G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7115.3</v>
      </c>
      <c r="H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8568.8</v>
      </c>
      <c r="I60" s="11" t="n">
        <f aca="false">H60-G60</f>
        <v>1453.5</v>
      </c>
      <c r="J60" s="10" t="n">
        <f aca="false">IF(AND(G60=0,H60=0),0,IF(G60=0,"New",(H60-G60)/G60))</f>
        <v>0.204278104928815</v>
      </c>
    </row>
    <row r="61" customFormat="false" ht="15" hidden="false" customHeight="true" outlineLevel="0" collapsed="false">
      <c r="A61" s="8" t="s">
        <v>161</v>
      </c>
      <c r="B61" s="8" t="str">
        <f aca="false">IFERROR(INDEX('Source 2026'!$C:$C,MATCH($A61,'Source 2026'!$B:$B,0)),IFERROR(INDEX('Source 2025'!$C:$C,MATCH($A61,'Source 2025'!$B:$B,0)),""))</f>
        <v>סד לאגודל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43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30</v>
      </c>
      <c r="E61" s="9" t="n">
        <f aca="false">D61-C61</f>
        <v>-13</v>
      </c>
      <c r="F61" s="10" t="n">
        <f aca="false">IF(AND(C61=0,D61=0),0,IF(C61=0,"New",(D61-C61)/C61))</f>
        <v>-0.302325581395349</v>
      </c>
      <c r="G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4740.9</v>
      </c>
      <c r="H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3307.6</v>
      </c>
      <c r="I61" s="11" t="n">
        <f aca="false">H61-G61</f>
        <v>-1433.3</v>
      </c>
      <c r="J61" s="10" t="n">
        <f aca="false">IF(AND(G61=0,H61=0),0,IF(G61=0,"New",(H61-G61)/G61))</f>
        <v>-0.302326562467042</v>
      </c>
    </row>
    <row r="62" customFormat="false" ht="15" hidden="false" customHeight="true" outlineLevel="0" collapsed="false">
      <c r="A62" s="8" t="s">
        <v>152</v>
      </c>
      <c r="B62" s="8" t="str">
        <f aca="false">IFERROR(INDEX('Source 2026'!$C:$C,MATCH($A62,'Source 2026'!$B:$B,0)),IFERROR(INDEX('Source 2025'!$C:$C,MATCH($A62,'Source 2025'!$B:$B,0)),""))</f>
        <v>L-XL חגורת הריון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7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20</v>
      </c>
      <c r="E62" s="9" t="n">
        <f aca="false">D62-C62</f>
        <v>13</v>
      </c>
      <c r="F62" s="10" t="n">
        <f aca="false">IF(AND(C62=0,D62=0),0,IF(C62=0,"New",(D62-C62)/C62))</f>
        <v>1.85714285714286</v>
      </c>
      <c r="G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762.5</v>
      </c>
      <c r="H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2178.6</v>
      </c>
      <c r="I62" s="11" t="n">
        <f aca="false">H62-G62</f>
        <v>1416.1</v>
      </c>
      <c r="J62" s="10" t="n">
        <f aca="false">IF(AND(G62=0,H62=0),0,IF(G62=0,"New",(H62-G62)/G62))</f>
        <v>1.85718032786885</v>
      </c>
    </row>
    <row r="63" customFormat="false" ht="15" hidden="false" customHeight="true" outlineLevel="0" collapsed="false">
      <c r="A63" s="8" t="s">
        <v>151</v>
      </c>
      <c r="B63" s="8" t="str">
        <f aca="false">IFERROR(INDEX('Source 2026'!$C:$C,MATCH($A63,'Source 2026'!$B:$B,0)),IFERROR(INDEX('Source 2025'!$C:$C,MATCH($A63,'Source 2025'!$B:$B,0)),""))</f>
        <v>גב אפורה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60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46</v>
      </c>
      <c r="E63" s="9" t="n">
        <f aca="false">D63-C63</f>
        <v>-14</v>
      </c>
      <c r="F63" s="10" t="n">
        <f aca="false">IF(AND(C63=0,D63=0),0,IF(C63=0,"New",(D63-C63)/C63))</f>
        <v>-0.233333333333333</v>
      </c>
      <c r="G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5953.8</v>
      </c>
      <c r="H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4564.6</v>
      </c>
      <c r="I63" s="11" t="n">
        <f aca="false">H63-G63</f>
        <v>-1389.2</v>
      </c>
      <c r="J63" s="10" t="n">
        <f aca="false">IF(AND(G63=0,H63=0),0,IF(G63=0,"New",(H63-G63)/G63))</f>
        <v>-0.233329974134166</v>
      </c>
    </row>
    <row r="64" customFormat="false" ht="15" hidden="false" customHeight="true" outlineLevel="0" collapsed="false">
      <c r="A64" s="8" t="s">
        <v>183</v>
      </c>
      <c r="B64" s="8" t="str">
        <f aca="false">IFERROR(INDEX('Source 2026'!$C:$C,MATCH($A64,'Source 2026'!$B:$B,0)),IFERROR(INDEX('Source 2025'!$C:$C,MATCH($A64,'Source 2025'!$B:$B,0)),""))</f>
        <v>רפידת נוחות-זוג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330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200</v>
      </c>
      <c r="E64" s="9" t="n">
        <f aca="false">D64-C64</f>
        <v>-130</v>
      </c>
      <c r="F64" s="10" t="n">
        <f aca="false">IF(AND(C64=0,D64=0),0,IF(C64=0,"New",(D64-C64)/C64))</f>
        <v>-0.393939393939394</v>
      </c>
      <c r="G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3524.3</v>
      </c>
      <c r="H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2136.1</v>
      </c>
      <c r="I64" s="11" t="n">
        <f aca="false">H64-G64</f>
        <v>-1388.2</v>
      </c>
      <c r="J64" s="10" t="n">
        <f aca="false">IF(AND(G64=0,H64=0),0,IF(G64=0,"New",(H64-G64)/G64))</f>
        <v>-0.393893822886814</v>
      </c>
    </row>
    <row r="65" customFormat="false" ht="15" hidden="false" customHeight="true" outlineLevel="0" collapsed="false">
      <c r="A65" s="8" t="s">
        <v>89</v>
      </c>
      <c r="B65" s="8" t="str">
        <f aca="false">IFERROR(INDEX('Source 2026'!$C:$C,MATCH($A65,'Source 2026'!$B:$B,0)),IFERROR(INDEX('Source 2025'!$C:$C,MATCH($A65,'Source 2025'!$B:$B,0)),""))</f>
        <v>M 'מגן מרפק בז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428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378</v>
      </c>
      <c r="E65" s="9" t="n">
        <f aca="false">D65-C65</f>
        <v>-50</v>
      </c>
      <c r="F65" s="10" t="n">
        <f aca="false">IF(AND(C65=0,D65=0),0,IF(C65=0,"New",(D65-C65)/C65))</f>
        <v>-0.116822429906542</v>
      </c>
      <c r="G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11873.4</v>
      </c>
      <c r="H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10499.4</v>
      </c>
      <c r="I65" s="11" t="n">
        <f aca="false">H65-G65</f>
        <v>-1374</v>
      </c>
      <c r="J65" s="10" t="n">
        <f aca="false">IF(AND(G65=0,H65=0),0,IF(G65=0,"New",(H65-G65)/G65))</f>
        <v>-0.115720855020466</v>
      </c>
    </row>
    <row r="66" customFormat="false" ht="15" hidden="false" customHeight="true" outlineLevel="0" collapsed="false">
      <c r="A66" s="8" t="s">
        <v>181</v>
      </c>
      <c r="B66" s="8" t="str">
        <f aca="false">IFERROR(INDEX('Source 2026'!$C:$C,MATCH($A66,'Source 2026'!$B:$B,0)),IFERROR(INDEX('Source 2025'!$C:$C,MATCH($A66,'Source 2025'!$B:$B,0)),""))</f>
        <v>Sמ.ברך מוצלב+ספירלות בצדדים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18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7</v>
      </c>
      <c r="E66" s="9" t="n">
        <f aca="false">D66-C66</f>
        <v>-11</v>
      </c>
      <c r="F66" s="10" t="n">
        <f aca="false">IF(AND(C66=0,D66=0),0,IF(C66=0,"New",(D66-C66)/C66))</f>
        <v>-0.611111111111111</v>
      </c>
      <c r="G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2064</v>
      </c>
      <c r="H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694.6</v>
      </c>
      <c r="I66" s="11" t="n">
        <f aca="false">H66-G66</f>
        <v>-1369.4</v>
      </c>
      <c r="J66" s="10" t="n">
        <f aca="false">IF(AND(G66=0,H66=0),0,IF(G66=0,"New",(H66-G66)/G66))</f>
        <v>-0.663468992248062</v>
      </c>
    </row>
    <row r="67" customFormat="false" ht="15" hidden="false" customHeight="true" outlineLevel="0" collapsed="false">
      <c r="A67" s="8" t="s">
        <v>149</v>
      </c>
      <c r="B67" s="8" t="str">
        <f aca="false">IFERROR(INDEX('Source 2026'!$C:$C,MATCH($A67,'Source 2026'!$B:$B,0)),IFERROR(INDEX('Source 2025'!$C:$C,MATCH($A67,'Source 2025'!$B:$B,0)),""))</f>
        <v>גב אפורה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97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110</v>
      </c>
      <c r="E67" s="9" t="n">
        <f aca="false">D67-C67</f>
        <v>13</v>
      </c>
      <c r="F67" s="10" t="n">
        <f aca="false">IF(AND(C67=0,D67=0),0,IF(C67=0,"New",(D67-C67)/C67))</f>
        <v>0.134020618556701</v>
      </c>
      <c r="G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9625.3</v>
      </c>
      <c r="H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10915.3</v>
      </c>
      <c r="I67" s="11" t="n">
        <f aca="false">H67-G67</f>
        <v>1290</v>
      </c>
      <c r="J67" s="10" t="n">
        <f aca="false">IF(AND(G67=0,H67=0),0,IF(G67=0,"New",(H67-G67)/G67))</f>
        <v>0.134021796723219</v>
      </c>
    </row>
    <row r="68" customFormat="false" ht="15" hidden="false" customHeight="true" outlineLevel="0" collapsed="false">
      <c r="A68" s="8" t="s">
        <v>117</v>
      </c>
      <c r="B68" s="8" t="str">
        <f aca="false">IFERROR(INDEX('Source 2026'!$C:$C,MATCH($A68,'Source 2026'!$B:$B,0)),IFERROR(INDEX('Source 2025'!$C:$C,MATCH($A68,'Source 2025'!$B:$B,0)),""))</f>
        <v>מטטרזלי סיליקון362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155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105</v>
      </c>
      <c r="E68" s="9" t="n">
        <f aca="false">D68-C68</f>
        <v>-50</v>
      </c>
      <c r="F68" s="10" t="n">
        <f aca="false">IF(AND(C68=0,D68=0),0,IF(C68=0,"New",(D68-C68)/C68))</f>
        <v>-0.32258064516129</v>
      </c>
      <c r="G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3879.7</v>
      </c>
      <c r="H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2628.3</v>
      </c>
      <c r="I68" s="11" t="n">
        <f aca="false">H68-G68</f>
        <v>-1251.4</v>
      </c>
      <c r="J68" s="10" t="n">
        <f aca="false">IF(AND(G68=0,H68=0),0,IF(G68=0,"New",(H68-G68)/G68))</f>
        <v>-0.322550712683971</v>
      </c>
    </row>
    <row r="69" customFormat="false" ht="15" hidden="false" customHeight="true" outlineLevel="0" collapsed="false">
      <c r="A69" s="8" t="s">
        <v>121</v>
      </c>
      <c r="B69" s="8" t="str">
        <f aca="false">IFERROR(INDEX('Source 2026'!$C:$C,MATCH($A69,'Source 2026'!$B:$B,0)),IFERROR(INDEX('Source 2025'!$C:$C,MATCH($A69,'Source 2025'!$B:$B,0)),""))</f>
        <v>תחבושת א.נצמ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602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490</v>
      </c>
      <c r="E69" s="9" t="n">
        <f aca="false">D69-C69</f>
        <v>-112</v>
      </c>
      <c r="F69" s="10" t="n">
        <f aca="false">IF(AND(C69=0,D69=0),0,IF(C69=0,"New",(D69-C69)/C69))</f>
        <v>-0.186046511627907</v>
      </c>
      <c r="G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6613.9</v>
      </c>
      <c r="H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5384.1</v>
      </c>
      <c r="I69" s="11" t="n">
        <f aca="false">H69-G69</f>
        <v>-1229.8</v>
      </c>
      <c r="J69" s="10" t="n">
        <f aca="false">IF(AND(G69=0,H69=0),0,IF(G69=0,"New",(H69-G69)/G69))</f>
        <v>-0.18594172878332</v>
      </c>
    </row>
    <row r="70" customFormat="false" ht="15" hidden="false" customHeight="true" outlineLevel="0" collapsed="false">
      <c r="A70" s="8" t="s">
        <v>227</v>
      </c>
      <c r="B70" s="8" t="str">
        <f aca="false">IFERROR(INDEX('Source 2026'!$C:$C,MATCH($A70,'Source 2026'!$B:$B,0)),IFERROR(INDEX('Source 2025'!$C:$C,MATCH($A70,'Source 2025'!$B:$B,0)),""))</f>
        <v>45 M מגן ברך רגיל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42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30</v>
      </c>
      <c r="E70" s="9" t="n">
        <f aca="false">D70-C70</f>
        <v>-12</v>
      </c>
      <c r="F70" s="10" t="n">
        <f aca="false">IF(AND(C70=0,D70=0),0,IF(C70=0,"New",(D70-C70)/C70))</f>
        <v>-0.285714285714286</v>
      </c>
      <c r="G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4075.3</v>
      </c>
      <c r="H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2910.9</v>
      </c>
      <c r="I70" s="11" t="n">
        <f aca="false">H70-G70</f>
        <v>-1164.4</v>
      </c>
      <c r="J70" s="10" t="n">
        <f aca="false">IF(AND(G70=0,H70=0),0,IF(G70=0,"New",(H70-G70)/G70))</f>
        <v>-0.285721296591662</v>
      </c>
    </row>
    <row r="71" customFormat="false" ht="15" hidden="false" customHeight="true" outlineLevel="0" collapsed="false">
      <c r="A71" s="8" t="s">
        <v>98</v>
      </c>
      <c r="B71" s="8" t="str">
        <f aca="false">IFERROR(INDEX('Source 2026'!$C:$C,MATCH($A71,'Source 2026'!$B:$B,0)),IFERROR(INDEX('Source 2025'!$C:$C,MATCH($A71,'Source 2025'!$B:$B,0)),""))</f>
        <v>Sמיישר כתף יציב יישור גב צר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112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119</v>
      </c>
      <c r="E71" s="9" t="n">
        <f aca="false">D71-C71</f>
        <v>7</v>
      </c>
      <c r="F71" s="10" t="n">
        <f aca="false">IF(AND(C71=0,D71=0),0,IF(C71=0,"New",(D71-C71)/C71))</f>
        <v>0.0625</v>
      </c>
      <c r="G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15567</v>
      </c>
      <c r="H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16719.4</v>
      </c>
      <c r="I71" s="11" t="n">
        <f aca="false">H71-G71</f>
        <v>1152.4</v>
      </c>
      <c r="J71" s="10" t="n">
        <f aca="false">IF(AND(G71=0,H71=0),0,IF(G71=0,"New",(H71-G71)/G71))</f>
        <v>0.0740283933962871</v>
      </c>
    </row>
    <row r="72" customFormat="false" ht="15" hidden="false" customHeight="true" outlineLevel="0" collapsed="false">
      <c r="A72" s="8" t="s">
        <v>171</v>
      </c>
      <c r="B72" s="8" t="str">
        <f aca="false">IFERROR(INDEX('Source 2026'!$C:$C,MATCH($A72,'Source 2026'!$B:$B,0)),IFERROR(INDEX('Source 2025'!$C:$C,MATCH($A72,'Source 2025'!$B:$B,0)),""))</f>
        <v>S-M סד לאגודל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190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172</v>
      </c>
      <c r="E72" s="9" t="n">
        <f aca="false">D72-C72</f>
        <v>-18</v>
      </c>
      <c r="F72" s="10" t="n">
        <f aca="false">IF(AND(C72=0,D72=0),0,IF(C72=0,"New",(D72-C72)/C72))</f>
        <v>-0.0947368421052632</v>
      </c>
      <c r="G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12002.2</v>
      </c>
      <c r="H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10853.8</v>
      </c>
      <c r="I72" s="11" t="n">
        <f aca="false">H72-G72</f>
        <v>-1148.4</v>
      </c>
      <c r="J72" s="10" t="n">
        <f aca="false">IF(AND(G72=0,H72=0),0,IF(G72=0,"New",(H72-G72)/G72))</f>
        <v>-0.0956824582159936</v>
      </c>
    </row>
    <row r="73" customFormat="false" ht="15" hidden="false" customHeight="true" outlineLevel="0" collapsed="false">
      <c r="A73" s="8" t="s">
        <v>124</v>
      </c>
      <c r="B73" s="8" t="str">
        <f aca="false">IFERROR(INDEX('Source 2026'!$C:$C,MATCH($A73,'Source 2026'!$B:$B,0)),IFERROR(INDEX('Source 2025'!$C:$C,MATCH($A73,'Source 2025'!$B:$B,0)),""))</f>
        <v>רפידת אנטי ריח -זוג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234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151</v>
      </c>
      <c r="E73" s="9" t="n">
        <f aca="false">D73-C73</f>
        <v>-83</v>
      </c>
      <c r="F73" s="10" t="n">
        <f aca="false">IF(AND(C73=0,D73=0),0,IF(C73=0,"New",(D73-C73)/C73))</f>
        <v>-0.354700854700855</v>
      </c>
      <c r="G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3171.8</v>
      </c>
      <c r="H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2047.6</v>
      </c>
      <c r="I73" s="11" t="n">
        <f aca="false">H73-G73</f>
        <v>-1124.2</v>
      </c>
      <c r="J73" s="10" t="n">
        <f aca="false">IF(AND(G73=0,H73=0),0,IF(G73=0,"New",(H73-G73)/G73))</f>
        <v>-0.354435966958825</v>
      </c>
    </row>
    <row r="74" customFormat="false" ht="15" hidden="false" customHeight="true" outlineLevel="0" collapsed="false">
      <c r="A74" s="8" t="s">
        <v>263</v>
      </c>
      <c r="B74" s="8" t="str">
        <f aca="false">IFERROR(INDEX('Source 2026'!$C:$C,MATCH($A74,'Source 2026'!$B:$B,0)),IFERROR(INDEX('Source 2025'!$C:$C,MATCH($A74,'Source 2025'!$B:$B,0)),""))</f>
        <v>פיקה לברך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56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33</v>
      </c>
      <c r="E74" s="9" t="n">
        <f aca="false">D74-C74</f>
        <v>-23</v>
      </c>
      <c r="F74" s="10" t="n">
        <f aca="false">IF(AND(C74=0,D74=0),0,IF(C74=0,"New",(D74-C74)/C74))</f>
        <v>-0.410714285714286</v>
      </c>
      <c r="G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2715.5</v>
      </c>
      <c r="H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1600.2</v>
      </c>
      <c r="I74" s="11" t="n">
        <f aca="false">H74-G74</f>
        <v>-1115.3</v>
      </c>
      <c r="J74" s="10" t="n">
        <f aca="false">IF(AND(G74=0,H74=0),0,IF(G74=0,"New",(H74-G74)/G74))</f>
        <v>-0.410716258515927</v>
      </c>
    </row>
    <row r="75" customFormat="false" ht="15" hidden="false" customHeight="true" outlineLevel="0" collapsed="false">
      <c r="A75" s="8" t="s">
        <v>329</v>
      </c>
      <c r="B75" s="8" t="str">
        <f aca="false">IFERROR(INDEX('Source 2026'!$C:$C,MATCH($A75,'Source 2026'!$B:$B,0)),IFERROR(INDEX('Source 2025'!$C:$C,MATCH($A75,'Source 2025'!$B:$B,0)),""))</f>
        <v>חגורת גב אפורה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18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27</v>
      </c>
      <c r="E75" s="9" t="n">
        <f aca="false">D75-C75</f>
        <v>9</v>
      </c>
      <c r="F75" s="10" t="n">
        <f aca="false">IF(AND(C75=0,D75=0),0,IF(C75=0,"New",(D75-C75)/C75))</f>
        <v>0.5</v>
      </c>
      <c r="G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1603.4</v>
      </c>
      <c r="H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2679.2</v>
      </c>
      <c r="I75" s="11" t="n">
        <f aca="false">H75-G75</f>
        <v>1075.8</v>
      </c>
      <c r="J75" s="10" t="n">
        <f aca="false">IF(AND(G75=0,H75=0),0,IF(G75=0,"New",(H75-G75)/G75))</f>
        <v>0.67094923288013</v>
      </c>
    </row>
    <row r="76" customFormat="false" ht="15" hidden="false" customHeight="true" outlineLevel="0" collapsed="false">
      <c r="A76" s="8" t="s">
        <v>195</v>
      </c>
      <c r="B76" s="8" t="str">
        <f aca="false">IFERROR(INDEX('Source 2026'!$C:$C,MATCH($A76,'Source 2026'!$B:$B,0)),IFERROR(INDEX('Source 2025'!$C:$C,MATCH($A76,'Source 2025'!$B:$B,0)),""))</f>
        <v>מדבקה לשחרור לחץ 2 יח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84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47</v>
      </c>
      <c r="E76" s="9" t="n">
        <f aca="false">D76-C76</f>
        <v>-37</v>
      </c>
      <c r="F76" s="10" t="n">
        <f aca="false">IF(AND(C76=0,D76=0),0,IF(C76=0,"New",(D76-C76)/C76))</f>
        <v>-0.44047619047619</v>
      </c>
      <c r="G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2425.3</v>
      </c>
      <c r="H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1357.1</v>
      </c>
      <c r="I76" s="11" t="n">
        <f aca="false">H76-G76</f>
        <v>-1068.2</v>
      </c>
      <c r="J76" s="10" t="n">
        <f aca="false">IF(AND(G76=0,H76=0),0,IF(G76=0,"New",(H76-G76)/G76))</f>
        <v>-0.440440357893869</v>
      </c>
    </row>
    <row r="77" customFormat="false" ht="15" hidden="false" customHeight="true" outlineLevel="0" collapsed="false">
      <c r="A77" s="8" t="s">
        <v>71</v>
      </c>
      <c r="B77" s="8" t="str">
        <f aca="false">IFERROR(INDEX('Source 2026'!$C:$C,MATCH($A77,'Source 2026'!$B:$B,0)),IFERROR(INDEX('Source 2025'!$C:$C,MATCH($A77,'Source 2025'!$B:$B,0)),""))</f>
        <v>מישר כתפיים אקטיב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66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79</v>
      </c>
      <c r="E77" s="9" t="n">
        <f aca="false">D77-C77</f>
        <v>13</v>
      </c>
      <c r="F77" s="10" t="n">
        <f aca="false">IF(AND(C77=0,D77=0),0,IF(C77=0,"New",(D77-C77)/C77))</f>
        <v>0.196969696969697</v>
      </c>
      <c r="G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5247</v>
      </c>
      <c r="H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6280.5</v>
      </c>
      <c r="I77" s="11" t="n">
        <f aca="false">H77-G77</f>
        <v>1033.5</v>
      </c>
      <c r="J77" s="10" t="n">
        <f aca="false">IF(AND(G77=0,H77=0),0,IF(G77=0,"New",(H77-G77)/G77))</f>
        <v>0.196969696969697</v>
      </c>
    </row>
    <row r="78" customFormat="false" ht="15" hidden="false" customHeight="true" outlineLevel="0" collapsed="false">
      <c r="A78" s="8" t="s">
        <v>240</v>
      </c>
      <c r="B78" s="8" t="str">
        <f aca="false">IFERROR(INDEX('Source 2026'!$C:$C,MATCH($A78,'Source 2026'!$B:$B,0)),IFERROR(INDEX('Source 2025'!$C:$C,MATCH($A78,'Source 2025'!$B:$B,0)),""))</f>
        <v>S חגורת שבר דו צדדי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9</v>
      </c>
      <c r="E78" s="9" t="n">
        <f aca="false">D78-C78</f>
        <v>3</v>
      </c>
      <c r="F78" s="10" t="n">
        <f aca="false">IF(AND(C78=0,D78=0),0,IF(C78=0,"New",(D78-C78)/C78))</f>
        <v>0.5</v>
      </c>
      <c r="G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1810.2</v>
      </c>
      <c r="H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2715.4</v>
      </c>
      <c r="I78" s="11" t="n">
        <f aca="false">H78-G78</f>
        <v>905.2</v>
      </c>
      <c r="J78" s="10" t="n">
        <f aca="false">IF(AND(G78=0,H78=0),0,IF(G78=0,"New",(H78-G78)/G78))</f>
        <v>0.500055242514639</v>
      </c>
    </row>
    <row r="79" customFormat="false" ht="15" hidden="false" customHeight="true" outlineLevel="0" collapsed="false">
      <c r="A79" s="8" t="s">
        <v>178</v>
      </c>
      <c r="B79" s="8" t="str">
        <f aca="false">IFERROR(INDEX('Source 2026'!$C:$C,MATCH($A79,'Source 2026'!$B:$B,0)),IFERROR(INDEX('Source 2025'!$C:$C,MATCH($A79,'Source 2025'!$B:$B,0)),""))</f>
        <v>רפידת בולמת זעזועים -זוג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168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101</v>
      </c>
      <c r="E79" s="9" t="n">
        <f aca="false">D79-C79</f>
        <v>-67</v>
      </c>
      <c r="F79" s="10" t="n">
        <f aca="false">IF(AND(C79=0,D79=0),0,IF(C79=0,"New",(D79-C79)/C79))</f>
        <v>-0.398809523809524</v>
      </c>
      <c r="G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2246.9</v>
      </c>
      <c r="H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1347.3</v>
      </c>
      <c r="I79" s="11" t="n">
        <f aca="false">H79-G79</f>
        <v>-899.6</v>
      </c>
      <c r="J79" s="10" t="n">
        <f aca="false">IF(AND(G79=0,H79=0),0,IF(G79=0,"New",(H79-G79)/G79))</f>
        <v>-0.40037384841337</v>
      </c>
    </row>
    <row r="80" customFormat="false" ht="15" hidden="false" customHeight="true" outlineLevel="0" collapsed="false">
      <c r="A80" s="8" t="s">
        <v>120</v>
      </c>
      <c r="B80" s="8" t="str">
        <f aca="false">IFERROR(INDEX('Source 2026'!$C:$C,MATCH($A80,'Source 2026'!$B:$B,0)),IFERROR(INDEX('Source 2025'!$C:$C,MATCH($A80,'Source 2025'!$B:$B,0)),""))</f>
        <v>שרוול מטטרזלי מסיליקון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59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43</v>
      </c>
      <c r="E80" s="9" t="n">
        <f aca="false">D80-C80</f>
        <v>-16</v>
      </c>
      <c r="F80" s="10" t="n">
        <f aca="false">IF(AND(C80=0,D80=0),0,IF(C80=0,"New",(D80-C80)/C80))</f>
        <v>-0.271186440677966</v>
      </c>
      <c r="G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3304</v>
      </c>
      <c r="H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2408</v>
      </c>
      <c r="I80" s="11" t="n">
        <f aca="false">H80-G80</f>
        <v>-896</v>
      </c>
      <c r="J80" s="10" t="n">
        <f aca="false">IF(AND(G80=0,H80=0),0,IF(G80=0,"New",(H80-G80)/G80))</f>
        <v>-0.271186440677966</v>
      </c>
    </row>
    <row r="81" customFormat="false" ht="15" hidden="false" customHeight="true" outlineLevel="0" collapsed="false">
      <c r="A81" s="8" t="s">
        <v>225</v>
      </c>
      <c r="B81" s="8" t="str">
        <f aca="false">IFERROR(INDEX('Source 2026'!$C:$C,MATCH($A81,'Source 2026'!$B:$B,0)),IFERROR(INDEX('Source 2025'!$C:$C,MATCH($A81,'Source 2025'!$B:$B,0)),""))</f>
        <v>מפריד הלוקס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28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8</v>
      </c>
      <c r="E81" s="9" t="n">
        <f aca="false">D81-C81</f>
        <v>-20</v>
      </c>
      <c r="F81" s="10" t="n">
        <f aca="false">IF(AND(C81=0,D81=0),0,IF(C81=0,"New",(D81-C81)/C81))</f>
        <v>-0.714285714285714</v>
      </c>
      <c r="G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1223.6</v>
      </c>
      <c r="H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349.6</v>
      </c>
      <c r="I81" s="11" t="n">
        <f aca="false">H81-G81</f>
        <v>-874</v>
      </c>
      <c r="J81" s="10" t="n">
        <f aca="false">IF(AND(G81=0,H81=0),0,IF(G81=0,"New",(H81-G81)/G81))</f>
        <v>-0.714285714285714</v>
      </c>
    </row>
    <row r="82" customFormat="false" ht="15" hidden="false" customHeight="true" outlineLevel="0" collapsed="false">
      <c r="A82" s="8" t="s">
        <v>209</v>
      </c>
      <c r="B82" s="8" t="str">
        <f aca="false">IFERROR(INDEX('Source 2026'!$C:$C,MATCH($A82,'Source 2026'!$B:$B,0)),IFERROR(INDEX('Source 2025'!$C:$C,MATCH($A82,'Source 2025'!$B:$B,0)),""))</f>
        <v>S ח.הריון מכנס למניעת כאבים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-1</v>
      </c>
      <c r="E82" s="9" t="n">
        <f aca="false">D82-C82</f>
        <v>-3</v>
      </c>
      <c r="F82" s="10" t="n">
        <f aca="false">IF(AND(C82=0,D82=0),0,IF(C82=0,"New",(D82-C82)/C82))</f>
        <v>-1.5</v>
      </c>
      <c r="G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573.6</v>
      </c>
      <c r="H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-286.8</v>
      </c>
      <c r="I82" s="11" t="n">
        <f aca="false">H82-G82</f>
        <v>-860.4</v>
      </c>
      <c r="J82" s="10" t="n">
        <f aca="false">IF(AND(G82=0,H82=0),0,IF(G82=0,"New",(H82-G82)/G82))</f>
        <v>-1.5</v>
      </c>
    </row>
    <row r="83" customFormat="false" ht="15" hidden="false" customHeight="true" outlineLevel="0" collapsed="false">
      <c r="A83" s="8" t="s">
        <v>190</v>
      </c>
      <c r="B83" s="8" t="str">
        <f aca="false">IFERROR(INDEX('Source 2026'!$C:$C,MATCH($A83,'Source 2026'!$B:$B,0)),IFERROR(INDEX('Source 2025'!$C:$C,MATCH($A83,'Source 2025'!$B:$B,0)),""))</f>
        <v>S-M חבק יד עם צמדן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73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48</v>
      </c>
      <c r="E83" s="9" t="n">
        <f aca="false">D83-C83</f>
        <v>-25</v>
      </c>
      <c r="F83" s="10" t="n">
        <f aca="false">IF(AND(C83=0,D83=0),0,IF(C83=0,"New",(D83-C83)/C83))</f>
        <v>-0.342465753424658</v>
      </c>
      <c r="G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2509</v>
      </c>
      <c r="H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1652.1</v>
      </c>
      <c r="I83" s="11" t="n">
        <f aca="false">H83-G83</f>
        <v>-856.899999999999</v>
      </c>
      <c r="J83" s="10" t="n">
        <f aca="false">IF(AND(G83=0,H83=0),0,IF(G83=0,"New",(H83-G83)/G83))</f>
        <v>-0.341530490235153</v>
      </c>
    </row>
    <row r="84" customFormat="false" ht="15" hidden="false" customHeight="true" outlineLevel="0" collapsed="false">
      <c r="A84" s="8" t="s">
        <v>132</v>
      </c>
      <c r="B84" s="8" t="str">
        <f aca="false">IFERROR(INDEX('Source 2026'!$C:$C,MATCH($A84,'Source 2026'!$B:$B,0)),IFERROR(INDEX('Source 2025'!$C:$C,MATCH($A84,'Source 2025'!$B:$B,0)),""))</f>
        <v>תחבושת א.נצמ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355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277</v>
      </c>
      <c r="E84" s="9" t="n">
        <f aca="false">D84-C84</f>
        <v>-78</v>
      </c>
      <c r="F84" s="10" t="n">
        <f aca="false">IF(AND(C84=0,D84=0),0,IF(C84=0,"New",(D84-C84)/C84))</f>
        <v>-0.219718309859155</v>
      </c>
      <c r="G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3897.9</v>
      </c>
      <c r="H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3041.5</v>
      </c>
      <c r="I84" s="11" t="n">
        <f aca="false">H84-G84</f>
        <v>-856.4</v>
      </c>
      <c r="J84" s="10" t="n">
        <f aca="false">IF(AND(G84=0,H84=0),0,IF(G84=0,"New",(H84-G84)/G84))</f>
        <v>-0.219708047923241</v>
      </c>
    </row>
    <row r="85" customFormat="false" ht="15" hidden="false" customHeight="true" outlineLevel="0" collapsed="false">
      <c r="A85" s="8" t="s">
        <v>319</v>
      </c>
      <c r="B85" s="8" t="str">
        <f aca="false">IFERROR(INDEX('Source 2026'!$C:$C,MATCH($A85,'Source 2026'!$B:$B,0)),IFERROR(INDEX('Source 2025'!$C:$C,MATCH($A85,'Source 2025'!$B:$B,0)),""))</f>
        <v>תחבושת אלסטית מקררת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134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87</v>
      </c>
      <c r="E85" s="9" t="n">
        <f aca="false">D85-C85</f>
        <v>-47</v>
      </c>
      <c r="F85" s="10" t="n">
        <f aca="false">IF(AND(C85=0,D85=0),0,IF(C85=0,"New",(D85-C85)/C85))</f>
        <v>-0.350746268656716</v>
      </c>
      <c r="G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2363.5</v>
      </c>
      <c r="H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1525</v>
      </c>
      <c r="I85" s="11" t="n">
        <f aca="false">H85-G85</f>
        <v>-838.5</v>
      </c>
      <c r="J85" s="10" t="n">
        <f aca="false">IF(AND(G85=0,H85=0),0,IF(G85=0,"New",(H85-G85)/G85))</f>
        <v>-0.354770467526973</v>
      </c>
    </row>
    <row r="86" customFormat="false" ht="15" hidden="false" customHeight="true" outlineLevel="0" collapsed="false">
      <c r="A86" s="8" t="s">
        <v>235</v>
      </c>
      <c r="B86" s="8" t="str">
        <f aca="false">IFERROR(INDEX('Source 2026'!$C:$C,MATCH($A86,'Source 2026'!$B:$B,0)),IFERROR(INDEX('Source 2025'!$C:$C,MATCH($A86,'Source 2025'!$B:$B,0)),""))</f>
        <v>סיליק.לכרית כף הרגל373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57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18</v>
      </c>
      <c r="E86" s="9" t="n">
        <f aca="false">D86-C86</f>
        <v>-39</v>
      </c>
      <c r="F86" s="10" t="n">
        <f aca="false">IF(AND(C86=0,D86=0),0,IF(C86=0,"New",(D86-C86)/C86))</f>
        <v>-0.68421052631579</v>
      </c>
      <c r="G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1110.8</v>
      </c>
      <c r="H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344.5</v>
      </c>
      <c r="I86" s="11" t="n">
        <f aca="false">H86-G86</f>
        <v>-766.3</v>
      </c>
      <c r="J86" s="10" t="n">
        <f aca="false">IF(AND(G86=0,H86=0),0,IF(G86=0,"New",(H86-G86)/G86))</f>
        <v>-0.689863161685272</v>
      </c>
    </row>
    <row r="87" customFormat="false" ht="15" hidden="false" customHeight="true" outlineLevel="0" collapsed="false">
      <c r="A87" s="8" t="s">
        <v>131</v>
      </c>
      <c r="B87" s="8" t="str">
        <f aca="false">IFERROR(INDEX('Source 2026'!$C:$C,MATCH($A87,'Source 2026'!$B:$B,0)),IFERROR(INDEX('Source 2025'!$C:$C,MATCH($A87,'Source 2025'!$B:$B,0)),""))</f>
        <v>גרב.כסף לסכרתים שחור35-38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32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8</v>
      </c>
      <c r="E87" s="9" t="n">
        <f aca="false">D87-C87</f>
        <v>-24</v>
      </c>
      <c r="F87" s="10" t="n">
        <f aca="false">IF(AND(C87=0,D87=0),0,IF(C87=0,"New",(D87-C87)/C87))</f>
        <v>-0.75</v>
      </c>
      <c r="G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1006.7</v>
      </c>
      <c r="H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251.6</v>
      </c>
      <c r="I87" s="11" t="n">
        <f aca="false">H87-G87</f>
        <v>-755.1</v>
      </c>
      <c r="J87" s="10" t="n">
        <f aca="false">IF(AND(G87=0,H87=0),0,IF(G87=0,"New",(H87-G87)/G87))</f>
        <v>-0.750074500844343</v>
      </c>
    </row>
    <row r="88" customFormat="false" ht="15" hidden="false" customHeight="true" outlineLevel="0" collapsed="false">
      <c r="A88" s="8" t="s">
        <v>129</v>
      </c>
      <c r="B88" s="8" t="str">
        <f aca="false">IFERROR(INDEX('Source 2026'!$C:$C,MATCH($A88,'Source 2026'!$B:$B,0)),IFERROR(INDEX('Source 2025'!$C:$C,MATCH($A88,'Source 2025'!$B:$B,0)),""))</f>
        <v>S ח.גב ""איטלקית"" אורירית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0</v>
      </c>
      <c r="E88" s="9" t="n">
        <f aca="false">D88-C88</f>
        <v>-3</v>
      </c>
      <c r="F88" s="10" t="n">
        <f aca="false">IF(AND(C88=0,D88=0),0,IF(C88=0,"New",(D88-C88)/C88))</f>
        <v>-1</v>
      </c>
      <c r="G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732.6</v>
      </c>
      <c r="H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0</v>
      </c>
      <c r="I88" s="11" t="n">
        <f aca="false">H88-G88</f>
        <v>-732.6</v>
      </c>
      <c r="J88" s="10" t="n">
        <f aca="false">IF(AND(G88=0,H88=0),0,IF(G88=0,"New",(H88-G88)/G88))</f>
        <v>-1</v>
      </c>
    </row>
    <row r="89" customFormat="false" ht="15" hidden="false" customHeight="true" outlineLevel="0" collapsed="false">
      <c r="A89" s="8" t="s">
        <v>144</v>
      </c>
      <c r="B89" s="8" t="str">
        <f aca="false">IFERROR(INDEX('Source 2026'!$C:$C,MATCH($A89,'Source 2026'!$B:$B,0)),IFERROR(INDEX('Source 2025'!$C:$C,MATCH($A89,'Source 2025'!$B:$B,0)),""))</f>
        <v>S מגן ירך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62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40</v>
      </c>
      <c r="E89" s="9" t="n">
        <f aca="false">D89-C89</f>
        <v>-22</v>
      </c>
      <c r="F89" s="10" t="n">
        <f aca="false">IF(AND(C89=0,D89=0),0,IF(C89=0,"New",(D89-C89)/C89))</f>
        <v>-0.354838709677419</v>
      </c>
      <c r="G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1888.5</v>
      </c>
      <c r="H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1171.1</v>
      </c>
      <c r="I89" s="11" t="n">
        <f aca="false">H89-G89</f>
        <v>-717.4</v>
      </c>
      <c r="J89" s="10" t="n">
        <f aca="false">IF(AND(G89=0,H89=0),0,IF(G89=0,"New",(H89-G89)/G89))</f>
        <v>-0.379878210219751</v>
      </c>
    </row>
    <row r="90" customFormat="false" ht="15" hidden="false" customHeight="true" outlineLevel="0" collapsed="false">
      <c r="A90" s="8" t="s">
        <v>168</v>
      </c>
      <c r="B90" s="8" t="str">
        <f aca="false">IFERROR(INDEX('Source 2026'!$C:$C,MATCH($A90,'Source 2026'!$B:$B,0)),IFERROR(INDEX('Source 2025'!$C:$C,MATCH($A90,'Source 2025'!$B:$B,0)),""))</f>
        <v>S חגורת שבר לצד ימין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5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1</v>
      </c>
      <c r="E90" s="9" t="n">
        <f aca="false">D90-C90</f>
        <v>-4</v>
      </c>
      <c r="F90" s="10" t="n">
        <f aca="false">IF(AND(C90=0,D90=0),0,IF(C90=0,"New",(D90-C90)/C90))</f>
        <v>-0.8</v>
      </c>
      <c r="G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894.4</v>
      </c>
      <c r="H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178.9</v>
      </c>
      <c r="I90" s="11" t="n">
        <f aca="false">H90-G90</f>
        <v>-715.5</v>
      </c>
      <c r="J90" s="10" t="n">
        <f aca="false">IF(AND(G90=0,H90=0),0,IF(G90=0,"New",(H90-G90)/G90))</f>
        <v>-0.799977638640429</v>
      </c>
    </row>
    <row r="91" customFormat="false" ht="15" hidden="false" customHeight="true" outlineLevel="0" collapsed="false">
      <c r="A91" s="8" t="s">
        <v>328</v>
      </c>
      <c r="B91" s="8" t="str">
        <f aca="false">IFERROR(INDEX('Source 2026'!$C:$C,MATCH($A91,'Source 2026'!$B:$B,0)),IFERROR(INDEX('Source 2025'!$C:$C,MATCH($A91,'Source 2025'!$B:$B,0)),""))</f>
        <v>XXL מגן ברך ארוך עם כרית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1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-3</v>
      </c>
      <c r="E91" s="9" t="n">
        <f aca="false">D91-C91</f>
        <v>-4</v>
      </c>
      <c r="F91" s="10" t="n">
        <f aca="false">IF(AND(C91=0,D91=0),0,IF(C91=0,"New",(D91-C91)/C91))</f>
        <v>-4</v>
      </c>
      <c r="G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122.5</v>
      </c>
      <c r="H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-590.2</v>
      </c>
      <c r="I91" s="11" t="n">
        <f aca="false">H91-G91</f>
        <v>-712.7</v>
      </c>
      <c r="J91" s="10" t="n">
        <f aca="false">IF(AND(G91=0,H91=0),0,IF(G91=0,"New",(H91-G91)/G91))</f>
        <v>-5.81795918367347</v>
      </c>
    </row>
    <row r="92" customFormat="false" ht="15" hidden="false" customHeight="true" outlineLevel="0" collapsed="false">
      <c r="A92" s="8" t="s">
        <v>246</v>
      </c>
      <c r="B92" s="8" t="str">
        <f aca="false">IFERROR(INDEX('Source 2026'!$C:$C,MATCH($A92,'Source 2026'!$B:$B,0)),IFERROR(INDEX('Source 2025'!$C:$C,MATCH($A92,'Source 2025'!$B:$B,0)),""))</f>
        <v>S מקבע כתף ויד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33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29</v>
      </c>
      <c r="E92" s="9" t="n">
        <f aca="false">D92-C92</f>
        <v>-4</v>
      </c>
      <c r="F92" s="10" t="n">
        <f aca="false">IF(AND(C92=0,D92=0),0,IF(C92=0,"New",(D92-C92)/C92))</f>
        <v>-0.121212121212121</v>
      </c>
      <c r="G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5822.7</v>
      </c>
      <c r="H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5116.8</v>
      </c>
      <c r="I92" s="11" t="n">
        <f aca="false">H92-G92</f>
        <v>-705.9</v>
      </c>
      <c r="J92" s="10" t="n">
        <f aca="false">IF(AND(G92=0,H92=0),0,IF(G92=0,"New",(H92-G92)/G92))</f>
        <v>-0.121232417950435</v>
      </c>
    </row>
    <row r="93" customFormat="false" ht="15" hidden="false" customHeight="true" outlineLevel="0" collapsed="false">
      <c r="A93" s="8" t="s">
        <v>218</v>
      </c>
      <c r="B93" s="8" t="str">
        <f aca="false">IFERROR(INDEX('Source 2026'!$C:$C,MATCH($A93,'Source 2026'!$B:$B,0)),IFERROR(INDEX('Source 2025'!$C:$C,MATCH($A93,'Source 2025'!$B:$B,0)),""))</f>
        <v>S ""חגורת גב ""לומבו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7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12</v>
      </c>
      <c r="E93" s="9" t="n">
        <f aca="false">D93-C93</f>
        <v>5</v>
      </c>
      <c r="F93" s="10" t="n">
        <f aca="false">IF(AND(C93=0,D93=0),0,IF(C93=0,"New",(D93-C93)/C93))</f>
        <v>0.714285714285714</v>
      </c>
      <c r="G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988.1</v>
      </c>
      <c r="H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1693.8</v>
      </c>
      <c r="I93" s="11" t="n">
        <f aca="false">H93-G93</f>
        <v>705.7</v>
      </c>
      <c r="J93" s="10" t="n">
        <f aca="false">IF(AND(G93=0,H93=0),0,IF(G93=0,"New",(H93-G93)/G93))</f>
        <v>0.714198967715818</v>
      </c>
    </row>
    <row r="94" customFormat="false" ht="15" hidden="false" customHeight="true" outlineLevel="0" collapsed="false">
      <c r="A94" s="8" t="s">
        <v>160</v>
      </c>
      <c r="B94" s="8" t="str">
        <f aca="false">IFERROR(INDEX('Source 2026'!$C:$C,MATCH($A94,'Source 2026'!$B:$B,0)),IFERROR(INDEX('Source 2025'!$C:$C,MATCH($A94,'Source 2025'!$B:$B,0)),""))</f>
        <v>S ח.גב סג. כפולה שחור+אדום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3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-4</v>
      </c>
      <c r="E94" s="9" t="n">
        <f aca="false">D94-C94</f>
        <v>-7</v>
      </c>
      <c r="F94" s="10" t="n">
        <f aca="false">IF(AND(C94=0,D94=0),0,IF(C94=0,"New",(D94-C94)/C94))</f>
        <v>-2.33333333333333</v>
      </c>
      <c r="G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297.7</v>
      </c>
      <c r="H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-396.9</v>
      </c>
      <c r="I94" s="11" t="n">
        <f aca="false">H94-G94</f>
        <v>-694.6</v>
      </c>
      <c r="J94" s="10" t="n">
        <f aca="false">IF(AND(G94=0,H94=0),0,IF(G94=0,"New",(H94-G94)/G94))</f>
        <v>-2.33322136378905</v>
      </c>
    </row>
    <row r="95" customFormat="false" ht="15" hidden="false" customHeight="true" outlineLevel="0" collapsed="false">
      <c r="A95" s="8" t="s">
        <v>290</v>
      </c>
      <c r="B95" s="8" t="str">
        <f aca="false">IFERROR(INDEX('Source 2026'!$C:$C,MATCH($A95,'Source 2026'!$B:$B,0)),IFERROR(INDEX('Source 2025'!$C:$C,MATCH($A95,'Source 2025'!$B:$B,0)),""))</f>
        <v>קיבוע לאצבע הדק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13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30</v>
      </c>
      <c r="E95" s="9" t="n">
        <f aca="false">D95-C95</f>
        <v>17</v>
      </c>
      <c r="F95" s="10" t="n">
        <f aca="false">IF(AND(C95=0,D95=0),0,IF(C95=0,"New",(D95-C95)/C95))</f>
        <v>1.30769230769231</v>
      </c>
      <c r="G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527.2</v>
      </c>
      <c r="H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1216.8</v>
      </c>
      <c r="I95" s="11" t="n">
        <f aca="false">H95-G95</f>
        <v>689.6</v>
      </c>
      <c r="J95" s="10" t="n">
        <f aca="false">IF(AND(G95=0,H95=0),0,IF(G95=0,"New",(H95-G95)/G95))</f>
        <v>1.30804248861912</v>
      </c>
    </row>
    <row r="96" customFormat="false" ht="15" hidden="false" customHeight="true" outlineLevel="0" collapsed="false">
      <c r="A96" s="8" t="s">
        <v>232</v>
      </c>
      <c r="B96" s="8" t="str">
        <f aca="false">IFERROR(INDEX('Source 2026'!$C:$C,MATCH($A96,'Source 2026'!$B:$B,0)),IFERROR(INDEX('Source 2025'!$C:$C,MATCH($A96,'Source 2025'!$B:$B,0)),""))</f>
        <v>בננה לתמיכת אצבעות ז.כרית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53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24</v>
      </c>
      <c r="E96" s="9" t="n">
        <f aca="false">D96-C96</f>
        <v>-29</v>
      </c>
      <c r="F96" s="10" t="n">
        <f aca="false">IF(AND(C96=0,D96=0),0,IF(C96=0,"New",(D96-C96)/C96))</f>
        <v>-0.547169811320755</v>
      </c>
      <c r="G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1249.8</v>
      </c>
      <c r="H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565.9</v>
      </c>
      <c r="I96" s="11" t="n">
        <f aca="false">H96-G96</f>
        <v>-683.9</v>
      </c>
      <c r="J96" s="10" t="n">
        <f aca="false">IF(AND(G96=0,H96=0),0,IF(G96=0,"New",(H96-G96)/G96))</f>
        <v>-0.547207553208513</v>
      </c>
    </row>
    <row r="97" customFormat="false" ht="15" hidden="false" customHeight="true" outlineLevel="0" collapsed="false">
      <c r="A97" s="8" t="s">
        <v>226</v>
      </c>
      <c r="B97" s="8" t="str">
        <f aca="false">IFERROR(INDEX('Source 2026'!$C:$C,MATCH($A97,'Source 2026'!$B:$B,0)),IFERROR(INDEX('Source 2025'!$C:$C,MATCH($A97,'Source 2025'!$B:$B,0)),""))</f>
        <v>סד ליישור אצבע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577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533</v>
      </c>
      <c r="E97" s="9" t="n">
        <f aca="false">D97-C97</f>
        <v>-44</v>
      </c>
      <c r="F97" s="10" t="n">
        <f aca="false">IF(AND(C97=0,D97=0),0,IF(C97=0,"New",(D97-C97)/C97))</f>
        <v>-0.0762564991334489</v>
      </c>
      <c r="G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8885.8</v>
      </c>
      <c r="H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8208.2</v>
      </c>
      <c r="I97" s="11" t="n">
        <f aca="false">H97-G97</f>
        <v>-677.6</v>
      </c>
      <c r="J97" s="10" t="n">
        <f aca="false">IF(AND(G97=0,H97=0),0,IF(G97=0,"New",(H97-G97)/G97))</f>
        <v>-0.0762564991334489</v>
      </c>
    </row>
    <row r="98" customFormat="false" ht="15" hidden="false" customHeight="true" outlineLevel="0" collapsed="false">
      <c r="A98" s="8" t="s">
        <v>66</v>
      </c>
      <c r="B98" s="8" t="str">
        <f aca="false">IFERROR(INDEX('Source 2026'!$C:$C,MATCH($A98,'Source 2026'!$B:$B,0)),IFERROR(INDEX('Source 2025'!$C:$C,MATCH($A98,'Source 2025'!$B:$B,0)),""))</f>
        <v>L מגן ברך שחור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129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105</v>
      </c>
      <c r="E98" s="9" t="n">
        <f aca="false">D98-C98</f>
        <v>-24</v>
      </c>
      <c r="F98" s="10" t="n">
        <f aca="false">IF(AND(C98=0,D98=0),0,IF(C98=0,"New",(D98-C98)/C98))</f>
        <v>-0.186046511627907</v>
      </c>
      <c r="G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3579.9</v>
      </c>
      <c r="H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2914.1</v>
      </c>
      <c r="I98" s="11" t="n">
        <f aca="false">H98-G98</f>
        <v>-665.8</v>
      </c>
      <c r="J98" s="10" t="n">
        <f aca="false">IF(AND(G98=0,H98=0),0,IF(G98=0,"New",(H98-G98)/G98))</f>
        <v>-0.185982848682924</v>
      </c>
    </row>
    <row r="99" customFormat="false" ht="15" hidden="false" customHeight="true" outlineLevel="0" collapsed="false">
      <c r="A99" s="8" t="s">
        <v>85</v>
      </c>
      <c r="B99" s="8" t="str">
        <f aca="false">IFERROR(INDEX('Source 2026'!$C:$C,MATCH($A99,'Source 2026'!$B:$B,0)),IFERROR(INDEX('Source 2025'!$C:$C,MATCH($A99,'Source 2025'!$B:$B,0)),""))</f>
        <v>לציפורן חודרנית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185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164</v>
      </c>
      <c r="E99" s="9" t="n">
        <f aca="false">D99-C99</f>
        <v>-21</v>
      </c>
      <c r="F99" s="10" t="n">
        <f aca="false">IF(AND(C99=0,D99=0),0,IF(C99=0,"New",(D99-C99)/C99))</f>
        <v>-0.113513513513514</v>
      </c>
      <c r="G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6186.6</v>
      </c>
      <c r="H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5523.8</v>
      </c>
      <c r="I99" s="11" t="n">
        <f aca="false">H99-G99</f>
        <v>-662.8</v>
      </c>
      <c r="J99" s="10" t="n">
        <f aca="false">IF(AND(G99=0,H99=0),0,IF(G99=0,"New",(H99-G99)/G99))</f>
        <v>-0.107134775159215</v>
      </c>
    </row>
    <row r="100" customFormat="false" ht="15" hidden="false" customHeight="true" outlineLevel="0" collapsed="false">
      <c r="A100" s="8" t="s">
        <v>61</v>
      </c>
      <c r="B100" s="8" t="str">
        <f aca="false">IFERROR(INDEX('Source 2026'!$C:$C,MATCH($A100,'Source 2026'!$B:$B,0)),IFERROR(INDEX('Source 2025'!$C:$C,MATCH($A100,'Source 2025'!$B:$B,0)),""))</f>
        <v>L סד ליד דו צדדי לאחר שבר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183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189</v>
      </c>
      <c r="E100" s="9" t="n">
        <f aca="false">D100-C100</f>
        <v>6</v>
      </c>
      <c r="F100" s="10" t="n">
        <f aca="false">IF(AND(C100=0,D100=0),0,IF(C100=0,"New",(D100-C100)/C100))</f>
        <v>0.0327868852459016</v>
      </c>
      <c r="G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15986.6</v>
      </c>
      <c r="H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16626.9</v>
      </c>
      <c r="I100" s="11" t="n">
        <f aca="false">H100-G100</f>
        <v>640.300000000003</v>
      </c>
      <c r="J100" s="10" t="n">
        <f aca="false">IF(AND(G100=0,H100=0),0,IF(G100=0,"New",(H100-G100)/G100))</f>
        <v>0.0400522937960544</v>
      </c>
    </row>
    <row r="101" customFormat="false" ht="15" hidden="false" customHeight="true" outlineLevel="0" collapsed="false">
      <c r="A101" s="8" t="s">
        <v>277</v>
      </c>
      <c r="B101" s="8" t="str">
        <f aca="false">IFERROR(INDEX('Source 2026'!$C:$C,MATCH($A101,'Source 2026'!$B:$B,0)),IFERROR(INDEX('Source 2025'!$C:$C,MATCH($A101,'Source 2025'!$B:$B,0)),""))</f>
        <v>סד לאגודל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0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7</v>
      </c>
      <c r="E101" s="9" t="n">
        <f aca="false">D101-C101</f>
        <v>7</v>
      </c>
      <c r="F101" s="10" t="str">
        <f aca="false">IF(AND(C101=0,D101=0),0,IF(C101=0,"New",(D101-C101)/C101))</f>
        <v>New</v>
      </c>
      <c r="G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0</v>
      </c>
      <c r="H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617.4</v>
      </c>
      <c r="I101" s="11" t="n">
        <f aca="false">H101-G101</f>
        <v>617.4</v>
      </c>
      <c r="J101" s="10" t="str">
        <f aca="false">IF(AND(G101=0,H101=0),0,IF(G101=0,"New",(H101-G101)/G101))</f>
        <v>New</v>
      </c>
    </row>
    <row r="102" customFormat="false" ht="15" hidden="false" customHeight="true" outlineLevel="0" collapsed="false">
      <c r="A102" s="8" t="s">
        <v>212</v>
      </c>
      <c r="B102" s="8" t="str">
        <f aca="false">IFERROR(INDEX('Source 2026'!$C:$C,MATCH($A102,'Source 2026'!$B:$B,0)),IFERROR(INDEX('Source 2025'!$C:$C,MATCH($A102,'Source 2025'!$B:$B,0)),""))</f>
        <v>רפ.אורטופדית ספורט זוג35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16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0</v>
      </c>
      <c r="E102" s="9" t="n">
        <f aca="false">D102-C102</f>
        <v>-16</v>
      </c>
      <c r="F102" s="10" t="n">
        <f aca="false">IF(AND(C102=0,D102=0),0,IF(C102=0,"New",(D102-C102)/C102))</f>
        <v>-1</v>
      </c>
      <c r="G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605.5</v>
      </c>
      <c r="H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0</v>
      </c>
      <c r="I102" s="11" t="n">
        <f aca="false">H102-G102</f>
        <v>-605.5</v>
      </c>
      <c r="J102" s="10" t="n">
        <f aca="false">IF(AND(G102=0,H102=0),0,IF(G102=0,"New",(H102-G102)/G102))</f>
        <v>-1</v>
      </c>
    </row>
    <row r="103" customFormat="false" ht="15" hidden="false" customHeight="true" outlineLevel="0" collapsed="false">
      <c r="A103" s="8" t="s">
        <v>104</v>
      </c>
      <c r="B103" s="8" t="str">
        <f aca="false">IFERROR(INDEX('Source 2026'!$C:$C,MATCH($A103,'Source 2026'!$B:$B,0)),IFERROR(INDEX('Source 2025'!$C:$C,MATCH($A103,'Source 2025'!$B:$B,0)),""))</f>
        <v>גרב.כסף לסכרתים שחור35-38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25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2</v>
      </c>
      <c r="E103" s="9" t="n">
        <f aca="false">D103-C103</f>
        <v>-23</v>
      </c>
      <c r="F103" s="10" t="n">
        <f aca="false">IF(AND(C103=0,D103=0),0,IF(C103=0,"New",(D103-C103)/C103))</f>
        <v>-0.92</v>
      </c>
      <c r="G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600.5</v>
      </c>
      <c r="H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21.1</v>
      </c>
      <c r="I103" s="11" t="n">
        <f aca="false">H103-G103</f>
        <v>-579.4</v>
      </c>
      <c r="J103" s="10" t="n">
        <f aca="false">IF(AND(G103=0,H103=0),0,IF(G103=0,"New",(H103-G103)/G103))</f>
        <v>-0.964862614487927</v>
      </c>
    </row>
    <row r="104" customFormat="false" ht="15" hidden="false" customHeight="true" outlineLevel="0" collapsed="false">
      <c r="A104" s="8" t="s">
        <v>96</v>
      </c>
      <c r="B104" s="8" t="str">
        <f aca="false">IFERROR(INDEX('Source 2026'!$C:$C,MATCH($A104,'Source 2026'!$B:$B,0)),IFERROR(INDEX('Source 2025'!$C:$C,MATCH($A104,'Source 2025'!$B:$B,0)),""))</f>
        <v>S תומך זרוע וכתף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7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4</v>
      </c>
      <c r="E104" s="9" t="n">
        <f aca="false">D104-C104</f>
        <v>-3</v>
      </c>
      <c r="F104" s="10" t="n">
        <f aca="false">IF(AND(C104=0,D104=0),0,IF(C104=0,"New",(D104-C104)/C104))</f>
        <v>-0.428571428571429</v>
      </c>
      <c r="G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1311.1</v>
      </c>
      <c r="H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749.2</v>
      </c>
      <c r="I104" s="11" t="n">
        <f aca="false">H104-G104</f>
        <v>-561.9</v>
      </c>
      <c r="J104" s="10" t="n">
        <f aca="false">IF(AND(G104=0,H104=0),0,IF(G104=0,"New",(H104-G104)/G104))</f>
        <v>-0.428571428571429</v>
      </c>
    </row>
    <row r="105" customFormat="false" ht="15" hidden="false" customHeight="true" outlineLevel="0" collapsed="false">
      <c r="A105" s="8" t="s">
        <v>158</v>
      </c>
      <c r="B105" s="8" t="str">
        <f aca="false">IFERROR(INDEX('Source 2026'!$C:$C,MATCH($A105,'Source 2026'!$B:$B,0)),IFERROR(INDEX('Source 2025'!$C:$C,MATCH($A105,'Source 2025'!$B:$B,0)),""))</f>
        <v>3667 מגן בוניון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79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60</v>
      </c>
      <c r="E105" s="9" t="n">
        <f aca="false">D105-C105</f>
        <v>-19</v>
      </c>
      <c r="F105" s="10" t="n">
        <f aca="false">IF(AND(C105=0,D105=0),0,IF(C105=0,"New",(D105-C105)/C105))</f>
        <v>-0.240506329113924</v>
      </c>
      <c r="G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2285.5</v>
      </c>
      <c r="H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1729.8</v>
      </c>
      <c r="I105" s="11" t="n">
        <f aca="false">H105-G105</f>
        <v>-555.7</v>
      </c>
      <c r="J105" s="10" t="n">
        <f aca="false">IF(AND(G105=0,H105=0),0,IF(G105=0,"New",(H105-G105)/G105))</f>
        <v>-0.243141544519799</v>
      </c>
    </row>
    <row r="106" customFormat="false" ht="15" hidden="false" customHeight="true" outlineLevel="0" collapsed="false">
      <c r="A106" s="8" t="s">
        <v>175</v>
      </c>
      <c r="B106" s="8" t="str">
        <f aca="false">IFERROR(INDEX('Source 2026'!$C:$C,MATCH($A106,'Source 2026'!$B:$B,0)),IFERROR(INDEX('Source 2025'!$C:$C,MATCH($A106,'Source 2025'!$B:$B,0)),""))</f>
        <v>סד ליישור אצבע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249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215</v>
      </c>
      <c r="E106" s="9" t="n">
        <f aca="false">D106-C106</f>
        <v>-34</v>
      </c>
      <c r="F106" s="10" t="n">
        <f aca="false">IF(AND(C106=0,D106=0),0,IF(C106=0,"New",(D106-C106)/C106))</f>
        <v>-0.136546184738956</v>
      </c>
      <c r="G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3834.6</v>
      </c>
      <c r="H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3311</v>
      </c>
      <c r="I106" s="11" t="n">
        <f aca="false">H106-G106</f>
        <v>-523.6</v>
      </c>
      <c r="J106" s="10" t="n">
        <f aca="false">IF(AND(G106=0,H106=0),0,IF(G106=0,"New",(H106-G106)/G106))</f>
        <v>-0.136546184738956</v>
      </c>
    </row>
    <row r="107" customFormat="false" ht="15" hidden="false" customHeight="true" outlineLevel="0" collapsed="false">
      <c r="A107" s="8" t="s">
        <v>60</v>
      </c>
      <c r="B107" s="8" t="str">
        <f aca="false">IFERROR(INDEX('Source 2026'!$C:$C,MATCH($A107,'Source 2026'!$B:$B,0)),IFERROR(INDEX('Source 2025'!$C:$C,MATCH($A107,'Source 2025'!$B:$B,0)),""))</f>
        <v>L עקבים לדורבן-זוג כריות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295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288</v>
      </c>
      <c r="E107" s="9" t="n">
        <f aca="false">D107-C107</f>
        <v>-7</v>
      </c>
      <c r="F107" s="10" t="n">
        <f aca="false">IF(AND(C107=0,D107=0),0,IF(C107=0,"New",(D107-C107)/C107))</f>
        <v>-0.023728813559322</v>
      </c>
      <c r="G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25755.1</v>
      </c>
      <c r="H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25241.6</v>
      </c>
      <c r="I107" s="11" t="n">
        <f aca="false">H107-G107</f>
        <v>-513.5</v>
      </c>
      <c r="J107" s="10" t="n">
        <f aca="false">IF(AND(G107=0,H107=0),0,IF(G107=0,"New",(H107-G107)/G107))</f>
        <v>-0.0199377987272424</v>
      </c>
    </row>
    <row r="108" customFormat="false" ht="15" hidden="false" customHeight="true" outlineLevel="0" collapsed="false">
      <c r="A108" s="8" t="s">
        <v>208</v>
      </c>
      <c r="B108" s="8" t="str">
        <f aca="false">IFERROR(INDEX('Source 2026'!$C:$C,MATCH($A108,'Source 2026'!$B:$B,0)),IFERROR(INDEX('Source 2025'!$C:$C,MATCH($A108,'Source 2025'!$B:$B,0)),""))</f>
        <v>0 חגורה למנותחי בית חזה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0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</v>
      </c>
      <c r="E108" s="9" t="n">
        <f aca="false">D108-C108</f>
        <v>2</v>
      </c>
      <c r="F108" s="10" t="str">
        <f aca="false">IF(AND(C108=0,D108=0),0,IF(C108=0,"New",(D108-C108)/C108))</f>
        <v>New</v>
      </c>
      <c r="G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0</v>
      </c>
      <c r="H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502.9</v>
      </c>
      <c r="I108" s="11" t="n">
        <f aca="false">H108-G108</f>
        <v>502.9</v>
      </c>
      <c r="J108" s="10" t="str">
        <f aca="false">IF(AND(G108=0,H108=0),0,IF(G108=0,"New",(H108-G108)/G108))</f>
        <v>New</v>
      </c>
    </row>
    <row r="109" customFormat="false" ht="15" hidden="false" customHeight="true" outlineLevel="0" collapsed="false">
      <c r="A109" s="8" t="s">
        <v>128</v>
      </c>
      <c r="B109" s="8" t="str">
        <f aca="false">IFERROR(INDEX('Source 2026'!$C:$C,MATCH($A109,'Source 2026'!$B:$B,0)),IFERROR(INDEX('Source 2025'!$C:$C,MATCH($A109,'Source 2025'!$B:$B,0)),""))</f>
        <v>Lמ.ברך+כרית סיל.סביב לפיקה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3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0</v>
      </c>
      <c r="E109" s="9" t="n">
        <f aca="false">D109-C109</f>
        <v>-3</v>
      </c>
      <c r="F109" s="10" t="n">
        <f aca="false">IF(AND(C109=0,D109=0),0,IF(C109=0,"New",(D109-C109)/C109))</f>
        <v>-1</v>
      </c>
      <c r="G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489.6</v>
      </c>
      <c r="H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0</v>
      </c>
      <c r="I109" s="11" t="n">
        <f aca="false">H109-G109</f>
        <v>-489.6</v>
      </c>
      <c r="J109" s="10" t="n">
        <f aca="false">IF(AND(G109=0,H109=0),0,IF(G109=0,"New",(H109-G109)/G109))</f>
        <v>-1</v>
      </c>
    </row>
    <row r="110" customFormat="false" ht="15" hidden="false" customHeight="true" outlineLevel="0" collapsed="false">
      <c r="A110" s="8" t="s">
        <v>287</v>
      </c>
      <c r="B110" s="8" t="str">
        <f aca="false">IFERROR(INDEX('Source 2026'!$C:$C,MATCH($A110,'Source 2026'!$B:$B,0)),IFERROR(INDEX('Source 2025'!$C:$C,MATCH($A110,'Source 2025'!$B:$B,0)),""))</f>
        <v>S מגן קרסול שמאל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20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25</v>
      </c>
      <c r="E110" s="9" t="n">
        <f aca="false">D110-C110</f>
        <v>5</v>
      </c>
      <c r="F110" s="10" t="n">
        <f aca="false">IF(AND(C110=0,D110=0),0,IF(C110=0,"New",(D110-C110)/C110))</f>
        <v>0.25</v>
      </c>
      <c r="G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1384.7</v>
      </c>
      <c r="H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1862.2</v>
      </c>
      <c r="I110" s="11" t="n">
        <f aca="false">H110-G110</f>
        <v>477.5</v>
      </c>
      <c r="J110" s="10" t="n">
        <f aca="false">IF(AND(G110=0,H110=0),0,IF(G110=0,"New",(H110-G110)/G110))</f>
        <v>0.34484003755326</v>
      </c>
    </row>
    <row r="111" customFormat="false" ht="15" hidden="false" customHeight="true" outlineLevel="0" collapsed="false">
      <c r="A111" s="8" t="s">
        <v>119</v>
      </c>
      <c r="B111" s="8" t="str">
        <f aca="false">IFERROR(INDEX('Source 2026'!$C:$C,MATCH($A111,'Source 2026'!$B:$B,0)),IFERROR(INDEX('Source 2025'!$C:$C,MATCH($A111,'Source 2025'!$B:$B,0)),""))</f>
        <v>אמבט לכף הרגל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201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157</v>
      </c>
      <c r="E111" s="9" t="n">
        <f aca="false">D111-C111</f>
        <v>-44</v>
      </c>
      <c r="F111" s="10" t="n">
        <f aca="false">IF(AND(C111=0,D111=0),0,IF(C111=0,"New",(D111-C111)/C111))</f>
        <v>-0.218905472636816</v>
      </c>
      <c r="G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2183.4</v>
      </c>
      <c r="H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1717.6</v>
      </c>
      <c r="I111" s="11" t="n">
        <f aca="false">H111-G111</f>
        <v>-465.8</v>
      </c>
      <c r="J111" s="10" t="n">
        <f aca="false">IF(AND(G111=0,H111=0),0,IF(G111=0,"New",(H111-G111)/G111))</f>
        <v>-0.213336997343593</v>
      </c>
    </row>
    <row r="112" customFormat="false" ht="15" hidden="false" customHeight="true" outlineLevel="0" collapsed="false">
      <c r="A112" s="8" t="s">
        <v>340</v>
      </c>
      <c r="B112" s="8" t="str">
        <f aca="false">IFERROR(INDEX('Source 2026'!$C:$C,MATCH($A112,'Source 2026'!$B:$B,0)),IFERROR(INDEX('Source 2025'!$C:$C,MATCH($A112,'Source 2025'!$B:$B,0)),""))</f>
        <v>Mמגן קרסול+ צמדן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-7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9" t="n">
        <f aca="false">D112-C112</f>
        <v>7</v>
      </c>
      <c r="F112" s="10" t="n">
        <f aca="false">IF(AND(C112=0,D112=0),0,IF(C112=0,"New",(D112-C112)/C112))</f>
        <v>-1</v>
      </c>
      <c r="G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-448.2</v>
      </c>
      <c r="H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I112" s="11" t="n">
        <f aca="false">H112-G112</f>
        <v>448.2</v>
      </c>
      <c r="J112" s="10" t="n">
        <f aca="false">IF(AND(G112=0,H112=0),0,IF(G112=0,"New",(H112-G112)/G112))</f>
        <v>-1</v>
      </c>
    </row>
    <row r="113" customFormat="false" ht="15" hidden="false" customHeight="true" outlineLevel="0" collapsed="false">
      <c r="A113" s="8" t="s">
        <v>224</v>
      </c>
      <c r="B113" s="8" t="str">
        <f aca="false">IFERROR(INDEX('Source 2026'!$C:$C,MATCH($A113,'Source 2026'!$B:$B,0)),IFERROR(INDEX('Source 2025'!$C:$C,MATCH($A113,'Source 2025'!$B:$B,0)),""))</f>
        <v>טייפ חבישה לספורט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218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189</v>
      </c>
      <c r="E113" s="9" t="n">
        <f aca="false">D113-C113</f>
        <v>-29</v>
      </c>
      <c r="F113" s="10" t="n">
        <f aca="false">IF(AND(C113=0,D113=0),0,IF(C113=0,"New",(D113-C113)/C113))</f>
        <v>-0.13302752293578</v>
      </c>
      <c r="G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3357.2</v>
      </c>
      <c r="H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2910.6</v>
      </c>
      <c r="I113" s="11" t="n">
        <f aca="false">H113-G113</f>
        <v>-446.6</v>
      </c>
      <c r="J113" s="10" t="n">
        <f aca="false">IF(AND(G113=0,H113=0),0,IF(G113=0,"New",(H113-G113)/G113))</f>
        <v>-0.13302752293578</v>
      </c>
    </row>
    <row r="114" customFormat="false" ht="15" hidden="false" customHeight="true" outlineLevel="0" collapsed="false">
      <c r="A114" s="8" t="s">
        <v>282</v>
      </c>
      <c r="B114" s="8" t="str">
        <f aca="false">IFERROR(INDEX('Source 2026'!$C:$C,MATCH($A114,'Source 2026'!$B:$B,0)),IFERROR(INDEX('Source 2025'!$C:$C,MATCH($A114,'Source 2025'!$B:$B,0)),""))</f>
        <v>מגן זרת מסיליקון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17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32</v>
      </c>
      <c r="E114" s="9" t="n">
        <f aca="false">D114-C114</f>
        <v>15</v>
      </c>
      <c r="F114" s="10" t="n">
        <f aca="false">IF(AND(C114=0,D114=0),0,IF(C114=0,"New",(D114-C114)/C114))</f>
        <v>0.882352941176471</v>
      </c>
      <c r="G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467.8</v>
      </c>
      <c r="H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880.7</v>
      </c>
      <c r="I114" s="11" t="n">
        <f aca="false">H114-G114</f>
        <v>412.9</v>
      </c>
      <c r="J114" s="10" t="n">
        <f aca="false">IF(AND(G114=0,H114=0),0,IF(G114=0,"New",(H114-G114)/G114))</f>
        <v>0.882642154766995</v>
      </c>
    </row>
    <row r="115" customFormat="false" ht="15" hidden="false" customHeight="true" outlineLevel="0" collapsed="false">
      <c r="A115" s="8" t="s">
        <v>145</v>
      </c>
      <c r="B115" s="8" t="str">
        <f aca="false">IFERROR(INDEX('Source 2026'!$C:$C,MATCH($A115,'Source 2026'!$B:$B,0)),IFERROR(INDEX('Source 2025'!$C:$C,MATCH($A115,'Source 2025'!$B:$B,0)),""))</f>
        <v>כרית ליישור אצבע פטיש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66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81</v>
      </c>
      <c r="E115" s="9" t="n">
        <f aca="false">D115-C115</f>
        <v>15</v>
      </c>
      <c r="F115" s="10" t="n">
        <f aca="false">IF(AND(C115=0,D115=0),0,IF(C115=0,"New",(D115-C115)/C115))</f>
        <v>0.227272727272727</v>
      </c>
      <c r="G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1727.3</v>
      </c>
      <c r="H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2128.2</v>
      </c>
      <c r="I115" s="11" t="n">
        <f aca="false">H115-G115</f>
        <v>400.9</v>
      </c>
      <c r="J115" s="10" t="n">
        <f aca="false">IF(AND(G115=0,H115=0),0,IF(G115=0,"New",(H115-G115)/G115))</f>
        <v>0.232096335321021</v>
      </c>
    </row>
    <row r="116" customFormat="false" ht="15" hidden="false" customHeight="true" outlineLevel="0" collapsed="false">
      <c r="A116" s="8" t="s">
        <v>308</v>
      </c>
      <c r="B116" s="8" t="str">
        <f aca="false">IFERROR(INDEX('Source 2026'!$C:$C,MATCH($A116,'Source 2026'!$B:$B,0)),IFERROR(INDEX('Source 2025'!$C:$C,MATCH($A116,'Source 2025'!$B:$B,0)),""))</f>
        <v>S מגן מרפק רגיל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-4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0</v>
      </c>
      <c r="E116" s="9" t="n">
        <f aca="false">D116-C116</f>
        <v>4</v>
      </c>
      <c r="F116" s="10" t="n">
        <f aca="false">IF(AND(C116=0,D116=0),0,IF(C116=0,"New",(D116-C116)/C116))</f>
        <v>-1</v>
      </c>
      <c r="G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-390.6</v>
      </c>
      <c r="H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0</v>
      </c>
      <c r="I116" s="11" t="n">
        <f aca="false">H116-G116</f>
        <v>390.6</v>
      </c>
      <c r="J116" s="10" t="n">
        <f aca="false">IF(AND(G116=0,H116=0),0,IF(G116=0,"New",(H116-G116)/G116))</f>
        <v>-1</v>
      </c>
    </row>
    <row r="117" customFormat="false" ht="15" hidden="false" customHeight="true" outlineLevel="0" collapsed="false">
      <c r="A117" s="8" t="s">
        <v>204</v>
      </c>
      <c r="B117" s="8" t="str">
        <f aca="false">IFERROR(INDEX('Source 2026'!$C:$C,MATCH($A117,'Source 2026'!$B:$B,0)),IFERROR(INDEX('Source 2025'!$C:$C,MATCH($A117,'Source 2025'!$B:$B,0)),""))</f>
        <v>סכינים למקצוע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69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23</v>
      </c>
      <c r="E117" s="9" t="n">
        <f aca="false">D117-C117</f>
        <v>-46</v>
      </c>
      <c r="F117" s="10" t="n">
        <f aca="false">IF(AND(C117=0,D117=0),0,IF(C117=0,"New",(D117-C117)/C117))</f>
        <v>-0.666666666666667</v>
      </c>
      <c r="G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564.4</v>
      </c>
      <c r="H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188.1</v>
      </c>
      <c r="I117" s="11" t="n">
        <f aca="false">H117-G117</f>
        <v>-376.3</v>
      </c>
      <c r="J117" s="10" t="n">
        <f aca="false">IF(AND(G117=0,H117=0),0,IF(G117=0,"New",(H117-G117)/G117))</f>
        <v>-0.666725726435152</v>
      </c>
    </row>
    <row r="118" customFormat="false" ht="15" hidden="false" customHeight="true" outlineLevel="0" collapsed="false">
      <c r="A118" s="8" t="s">
        <v>100</v>
      </c>
      <c r="B118" s="8" t="str">
        <f aca="false">IFERROR(INDEX('Source 2026'!$C:$C,MATCH($A118,'Source 2026'!$B:$B,0)),IFERROR(INDEX('Source 2025'!$C:$C,MATCH($A118,'Source 2025'!$B:$B,0)),""))</f>
        <v>Sמיישר כתף יציב יישור ג.רחב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8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6</v>
      </c>
      <c r="E118" s="9" t="n">
        <f aca="false">D118-C118</f>
        <v>-2</v>
      </c>
      <c r="F118" s="10" t="n">
        <f aca="false">IF(AND(C118=0,D118=0),0,IF(C118=0,"New",(D118-C118)/C118))</f>
        <v>-0.25</v>
      </c>
      <c r="G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1344</v>
      </c>
      <c r="H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968.6</v>
      </c>
      <c r="I118" s="11" t="n">
        <f aca="false">H118-G118</f>
        <v>-375.4</v>
      </c>
      <c r="J118" s="10" t="n">
        <f aca="false">IF(AND(G118=0,H118=0),0,IF(G118=0,"New",(H118-G118)/G118))</f>
        <v>-0.279315476190476</v>
      </c>
    </row>
    <row r="119" customFormat="false" ht="15" hidden="false" customHeight="true" outlineLevel="0" collapsed="false">
      <c r="A119" s="8" t="s">
        <v>78</v>
      </c>
      <c r="B119" s="8" t="str">
        <f aca="false">IFERROR(INDEX('Source 2026'!$C:$C,MATCH($A119,'Source 2026'!$B:$B,0)),IFERROR(INDEX('Source 2025'!$C:$C,MATCH($A119,'Source 2025'!$B:$B,0)),""))</f>
        <v>חבק לשורש כף היד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60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45</v>
      </c>
      <c r="E119" s="9" t="n">
        <f aca="false">D119-C119</f>
        <v>-15</v>
      </c>
      <c r="F119" s="10" t="n">
        <f aca="false">IF(AND(C119=0,D119=0),0,IF(C119=0,"New",(D119-C119)/C119))</f>
        <v>-0.25</v>
      </c>
      <c r="G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1495.8</v>
      </c>
      <c r="H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1121.9</v>
      </c>
      <c r="I119" s="11" t="n">
        <f aca="false">H119-G119</f>
        <v>-373.9</v>
      </c>
      <c r="J119" s="10" t="n">
        <f aca="false">IF(AND(G119=0,H119=0),0,IF(G119=0,"New",(H119-G119)/G119))</f>
        <v>-0.249966573071266</v>
      </c>
    </row>
    <row r="120" customFormat="false" ht="15" hidden="false" customHeight="true" outlineLevel="0" collapsed="false">
      <c r="A120" s="8" t="s">
        <v>210</v>
      </c>
      <c r="B120" s="8" t="str">
        <f aca="false">IFERROR(INDEX('Source 2026'!$C:$C,MATCH($A120,'Source 2026'!$B:$B,0)),IFERROR(INDEX('Source 2025'!$C:$C,MATCH($A120,'Source 2025'!$B:$B,0)),""))</f>
        <v>S  חגורת גב פוג'יאמה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12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8</v>
      </c>
      <c r="E120" s="9" t="n">
        <f aca="false">D120-C120</f>
        <v>-4</v>
      </c>
      <c r="F120" s="10" t="n">
        <f aca="false">IF(AND(C120=0,D120=0),0,IF(C120=0,"New",(D120-C120)/C120))</f>
        <v>-0.333333333333333</v>
      </c>
      <c r="G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1058.4</v>
      </c>
      <c r="H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705.6</v>
      </c>
      <c r="I120" s="11" t="n">
        <f aca="false">H120-G120</f>
        <v>-352.8</v>
      </c>
      <c r="J120" s="10" t="n">
        <f aca="false">IF(AND(G120=0,H120=0),0,IF(G120=0,"New",(H120-G120)/G120))</f>
        <v>-0.333333333333333</v>
      </c>
    </row>
    <row r="121" customFormat="false" ht="15" hidden="false" customHeight="true" outlineLevel="0" collapsed="false">
      <c r="A121" s="8" t="s">
        <v>278</v>
      </c>
      <c r="B121" s="8" t="str">
        <f aca="false">IFERROR(INDEX('Source 2026'!$C:$C,MATCH($A121,'Source 2026'!$B:$B,0)),IFERROR(INDEX('Source 2025'!$C:$C,MATCH($A121,'Source 2025'!$B:$B,0)),""))</f>
        <v>S חגורת שבר לצד שמאל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-1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1</v>
      </c>
      <c r="E121" s="9" t="n">
        <f aca="false">D121-C121</f>
        <v>2</v>
      </c>
      <c r="F121" s="10" t="n">
        <f aca="false">IF(AND(C121=0,D121=0),0,IF(C121=0,"New",(D121-C121)/C121))</f>
        <v>-2</v>
      </c>
      <c r="G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-178.9</v>
      </c>
      <c r="H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172</v>
      </c>
      <c r="I121" s="11" t="n">
        <f aca="false">H121-G121</f>
        <v>350.9</v>
      </c>
      <c r="J121" s="10" t="n">
        <f aca="false">IF(AND(G121=0,H121=0),0,IF(G121=0,"New",(H121-G121)/G121))</f>
        <v>-1.96143096702068</v>
      </c>
    </row>
    <row r="122" customFormat="false" ht="15" hidden="false" customHeight="true" outlineLevel="0" collapsed="false">
      <c r="A122" s="8" t="s">
        <v>288</v>
      </c>
      <c r="B122" s="8" t="str">
        <f aca="false">IFERROR(INDEX('Source 2026'!$C:$C,MATCH($A122,'Source 2026'!$B:$B,0)),IFERROR(INDEX('Source 2025'!$C:$C,MATCH($A122,'Source 2025'!$B:$B,0)),""))</f>
        <v>L-מדרס סיליקון לנעלי עקב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8</v>
      </c>
      <c r="E122" s="9" t="n">
        <f aca="false">D122-C122</f>
        <v>7</v>
      </c>
      <c r="F122" s="10" t="n">
        <f aca="false">IF(AND(C122=0,D122=0),0,IF(C122=0,"New",(D122-C122)/C122))</f>
        <v>7</v>
      </c>
      <c r="G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-33.7</v>
      </c>
      <c r="H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310.9</v>
      </c>
      <c r="I122" s="11" t="n">
        <f aca="false">H122-G122</f>
        <v>344.6</v>
      </c>
      <c r="J122" s="10" t="n">
        <f aca="false">IF(AND(G122=0,H122=0),0,IF(G122=0,"New",(H122-G122)/G122))</f>
        <v>-10.2255192878338</v>
      </c>
    </row>
    <row r="123" customFormat="false" ht="15" hidden="false" customHeight="true" outlineLevel="0" collapsed="false">
      <c r="A123" s="8" t="s">
        <v>164</v>
      </c>
      <c r="B123" s="8" t="str">
        <f aca="false">IFERROR(INDEX('Source 2026'!$C:$C,MATCH($A123,'Source 2026'!$B:$B,0)),IFERROR(INDEX('Source 2025'!$C:$C,MATCH($A123,'Source 2025'!$B:$B,0)),""))</f>
        <v>מגן קרסול עקב סגור+רצוע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116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110</v>
      </c>
      <c r="E123" s="9" t="n">
        <f aca="false">D123-C123</f>
        <v>-6</v>
      </c>
      <c r="F123" s="10" t="n">
        <f aca="false">IF(AND(C123=0,D123=0),0,IF(C123=0,"New",(D123-C123)/C123))</f>
        <v>-0.0517241379310345</v>
      </c>
      <c r="G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6647.9</v>
      </c>
      <c r="H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6304.1</v>
      </c>
      <c r="I123" s="11" t="n">
        <f aca="false">H123-G123</f>
        <v>-343.800000000001</v>
      </c>
      <c r="J123" s="10" t="n">
        <f aca="false">IF(AND(G123=0,H123=0),0,IF(G123=0,"New",(H123-G123)/G123))</f>
        <v>-0.051715579355887</v>
      </c>
    </row>
    <row r="124" customFormat="false" ht="15" hidden="false" customHeight="true" outlineLevel="0" collapsed="false">
      <c r="A124" s="8" t="s">
        <v>341</v>
      </c>
      <c r="B124" s="8" t="str">
        <f aca="false">IFERROR(INDEX('Source 2026'!$C:$C,MATCH($A124,'Source 2026'!$B:$B,0)),IFERROR(INDEX('Source 2025'!$C:$C,MATCH($A124,'Source 2025'!$B:$B,0)),""))</f>
        <v>L-XL רצועת טניס אלבו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0</v>
      </c>
      <c r="E124" s="9" t="n">
        <f aca="false">D124-C124</f>
        <v>6</v>
      </c>
      <c r="F124" s="10" t="n">
        <f aca="false">IF(AND(C124=0,D124=0),0,IF(C124=0,"New",(D124-C124)/C124))</f>
        <v>-1</v>
      </c>
      <c r="G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-317.4</v>
      </c>
      <c r="H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0</v>
      </c>
      <c r="I124" s="11" t="n">
        <f aca="false">H124-G124</f>
        <v>317.4</v>
      </c>
      <c r="J124" s="10" t="n">
        <f aca="false">IF(AND(G124=0,H124=0),0,IF(G124=0,"New",(H124-G124)/G124))</f>
        <v>-1</v>
      </c>
    </row>
    <row r="125" customFormat="false" ht="15" hidden="false" customHeight="true" outlineLevel="0" collapsed="false">
      <c r="A125" s="8" t="s">
        <v>206</v>
      </c>
      <c r="B125" s="8" t="str">
        <f aca="false">IFERROR(INDEX('Source 2026'!$C:$C,MATCH($A125,'Source 2026'!$B:$B,0)),IFERROR(INDEX('Source 2025'!$C:$C,MATCH($A125,'Source 2025'!$B:$B,0)),""))</f>
        <v>נגד פטרת הציפורן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-15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-6</v>
      </c>
      <c r="E125" s="9" t="n">
        <f aca="false">D125-C125</f>
        <v>9</v>
      </c>
      <c r="F125" s="10" t="n">
        <f aca="false">IF(AND(C125=0,D125=0),0,IF(C125=0,"New",(D125-C125)/C125))</f>
        <v>-0.6</v>
      </c>
      <c r="G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-507.9</v>
      </c>
      <c r="H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-191.6</v>
      </c>
      <c r="I125" s="11" t="n">
        <f aca="false">H125-G125</f>
        <v>316.3</v>
      </c>
      <c r="J125" s="10" t="n">
        <f aca="false">IF(AND(G125=0,H125=0),0,IF(G125=0,"New",(H125-G125)/G125))</f>
        <v>-0.622760385902737</v>
      </c>
    </row>
    <row r="126" customFormat="false" ht="15" hidden="false" customHeight="true" outlineLevel="0" collapsed="false">
      <c r="A126" s="8" t="s">
        <v>211</v>
      </c>
      <c r="B126" s="8" t="str">
        <f aca="false">IFERROR(INDEX('Source 2026'!$C:$C,MATCH($A126,'Source 2026'!$B:$B,0)),IFERROR(INDEX('Source 2025'!$C:$C,MATCH($A126,'Source 2025'!$B:$B,0)),""))</f>
        <v>344-אבן טבעית להסרת עור קשה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118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160</v>
      </c>
      <c r="E126" s="9" t="n">
        <f aca="false">D126-C126</f>
        <v>42</v>
      </c>
      <c r="F126" s="10" t="n">
        <f aca="false">IF(AND(C126=0,D126=0),0,IF(C126=0,"New",(D126-C126)/C126))</f>
        <v>0.355932203389831</v>
      </c>
      <c r="G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852</v>
      </c>
      <c r="H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1155.2</v>
      </c>
      <c r="I126" s="11" t="n">
        <f aca="false">H126-G126</f>
        <v>303.2</v>
      </c>
      <c r="J126" s="10" t="n">
        <f aca="false">IF(AND(G126=0,H126=0),0,IF(G126=0,"New",(H126-G126)/G126))</f>
        <v>0.355868544600939</v>
      </c>
    </row>
    <row r="127" customFormat="false" ht="15" hidden="false" customHeight="true" outlineLevel="0" collapsed="false">
      <c r="A127" s="8" t="s">
        <v>342</v>
      </c>
      <c r="B127" s="8" t="str">
        <f aca="false">IFERROR(INDEX('Source 2026'!$C:$C,MATCH($A127,'Source 2026'!$B:$B,0)),IFERROR(INDEX('Source 2025'!$C:$C,MATCH($A127,'Source 2025'!$B:$B,0)),""))</f>
        <v>תתמדרס.ציפוי עור גבר זו43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-4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-1</v>
      </c>
      <c r="E127" s="9" t="n">
        <f aca="false">D127-C127</f>
        <v>3</v>
      </c>
      <c r="F127" s="10" t="n">
        <f aca="false">IF(AND(C127=0,D127=0),0,IF(C127=0,"New",(D127-C127)/C127))</f>
        <v>-0.75</v>
      </c>
      <c r="G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-387</v>
      </c>
      <c r="H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-96.7</v>
      </c>
      <c r="I127" s="11" t="n">
        <f aca="false">H127-G127</f>
        <v>290.3</v>
      </c>
      <c r="J127" s="10" t="n">
        <f aca="false">IF(AND(G127=0,H127=0),0,IF(G127=0,"New",(H127-G127)/G127))</f>
        <v>-0.750129198966408</v>
      </c>
    </row>
    <row r="128" customFormat="false" ht="15" hidden="false" customHeight="true" outlineLevel="0" collapsed="false">
      <c r="A128" s="8" t="s">
        <v>174</v>
      </c>
      <c r="B128" s="8" t="str">
        <f aca="false">IFERROR(INDEX('Source 2026'!$C:$C,MATCH($A128,'Source 2026'!$B:$B,0)),IFERROR(INDEX('Source 2025'!$C:$C,MATCH($A128,'Source 2025'!$B:$B,0)),""))</f>
        <v>לחץ מיבלת2יח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88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67</v>
      </c>
      <c r="E128" s="9" t="n">
        <f aca="false">D128-C128</f>
        <v>-21</v>
      </c>
      <c r="F128" s="10" t="n">
        <f aca="false">IF(AND(C128=0,D128=0),0,IF(C128=0,"New",(D128-C128)/C128))</f>
        <v>-0.238636363636364</v>
      </c>
      <c r="G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1149.1</v>
      </c>
      <c r="H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891.3</v>
      </c>
      <c r="I128" s="11" t="n">
        <f aca="false">H128-G128</f>
        <v>-257.8</v>
      </c>
      <c r="J128" s="10" t="n">
        <f aca="false">IF(AND(G128=0,H128=0),0,IF(G128=0,"New",(H128-G128)/G128))</f>
        <v>-0.224349490905926</v>
      </c>
    </row>
    <row r="129" customFormat="false" ht="15" hidden="false" customHeight="true" outlineLevel="0" collapsed="false">
      <c r="A129" s="8" t="s">
        <v>146</v>
      </c>
      <c r="B129" s="8" t="str">
        <f aca="false">IFERROR(INDEX('Source 2026'!$C:$C,MATCH($A129,'Source 2026'!$B:$B,0)),IFERROR(INDEX('Source 2025'!$C:$C,MATCH($A129,'Source 2025'!$B:$B,0)),""))</f>
        <v>גרב.כסף לסכרתים אפור35-38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4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-4</v>
      </c>
      <c r="E129" s="9" t="n">
        <f aca="false">D129-C129</f>
        <v>-8</v>
      </c>
      <c r="F129" s="10" t="n">
        <f aca="false">IF(AND(C129=0,D129=0),0,IF(C129=0,"New",(D129-C129)/C129))</f>
        <v>-2</v>
      </c>
      <c r="G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96.1</v>
      </c>
      <c r="H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-136.3</v>
      </c>
      <c r="I129" s="11" t="n">
        <f aca="false">H129-G129</f>
        <v>-232.4</v>
      </c>
      <c r="J129" s="10" t="n">
        <f aca="false">IF(AND(G129=0,H129=0),0,IF(G129=0,"New",(H129-G129)/G129))</f>
        <v>-2.41831425598335</v>
      </c>
    </row>
    <row r="130" customFormat="false" ht="15" hidden="false" customHeight="true" outlineLevel="0" collapsed="false">
      <c r="A130" s="8" t="s">
        <v>116</v>
      </c>
      <c r="B130" s="8" t="str">
        <f aca="false">IFERROR(INDEX('Source 2026'!$C:$C,MATCH($A130,'Source 2026'!$B:$B,0)),IFERROR(INDEX('Source 2025'!$C:$C,MATCH($A130,'Source 2025'!$B:$B,0)),""))</f>
        <v>חגורת בטן קלה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-1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2</v>
      </c>
      <c r="E130" s="9" t="n">
        <f aca="false">D130-C130</f>
        <v>3</v>
      </c>
      <c r="F130" s="10" t="n">
        <f aca="false">IF(AND(C130=0,D130=0),0,IF(C130=0,"New",(D130-C130)/C130))</f>
        <v>-3</v>
      </c>
      <c r="G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-75.3</v>
      </c>
      <c r="H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150.5</v>
      </c>
      <c r="I130" s="11" t="n">
        <f aca="false">H130-G130</f>
        <v>225.8</v>
      </c>
      <c r="J130" s="10" t="n">
        <f aca="false">IF(AND(G130=0,H130=0),0,IF(G130=0,"New",(H130-G130)/G130))</f>
        <v>-2.99867197875166</v>
      </c>
    </row>
    <row r="131" customFormat="false" ht="15" hidden="false" customHeight="true" outlineLevel="0" collapsed="false">
      <c r="A131" s="8" t="s">
        <v>272</v>
      </c>
      <c r="B131" s="8" t="str">
        <f aca="false">IFERROR(INDEX('Source 2026'!$C:$C,MATCH($A131,'Source 2026'!$B:$B,0)),IFERROR(INDEX('Source 2025'!$C:$C,MATCH($A131,'Source 2025'!$B:$B,0)),""))</f>
        <v>L-XLחגורת הריון בכאב.חזק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0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-1</v>
      </c>
      <c r="E131" s="9" t="n">
        <f aca="false">D131-C131</f>
        <v>-1</v>
      </c>
      <c r="F131" s="10" t="str">
        <f aca="false">IF(AND(C131=0,D131=0),0,IF(C131=0,"New",(D131-C131)/C131))</f>
        <v>New</v>
      </c>
      <c r="G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0</v>
      </c>
      <c r="H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-223.2</v>
      </c>
      <c r="I131" s="11" t="n">
        <f aca="false">H131-G131</f>
        <v>-223.2</v>
      </c>
      <c r="J131" s="10" t="str">
        <f aca="false">IF(AND(G131=0,H131=0),0,IF(G131=0,"New",(H131-G131)/G131))</f>
        <v>New</v>
      </c>
    </row>
    <row r="132" customFormat="false" ht="15" hidden="false" customHeight="true" outlineLevel="0" collapsed="false">
      <c r="A132" s="8" t="s">
        <v>138</v>
      </c>
      <c r="B132" s="8" t="str">
        <f aca="false">IFERROR(INDEX('Source 2026'!$C:$C,MATCH($A132,'Source 2026'!$B:$B,0)),IFERROR(INDEX('Source 2025'!$C:$C,MATCH($A132,'Source 2025'!$B:$B,0)),""))</f>
        <v>חבק טניס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123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116</v>
      </c>
      <c r="E132" s="9" t="n">
        <f aca="false">D132-C132</f>
        <v>-7</v>
      </c>
      <c r="F132" s="10" t="n">
        <f aca="false">IF(AND(C132=0,D132=0),0,IF(C132=0,"New",(D132-C132)/C132))</f>
        <v>-0.0569105691056911</v>
      </c>
      <c r="G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3539</v>
      </c>
      <c r="H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3323</v>
      </c>
      <c r="I132" s="11" t="n">
        <f aca="false">H132-G132</f>
        <v>-216</v>
      </c>
      <c r="J132" s="10" t="n">
        <f aca="false">IF(AND(G132=0,H132=0),0,IF(G132=0,"New",(H132-G132)/G132))</f>
        <v>-0.0610341904492795</v>
      </c>
    </row>
    <row r="133" customFormat="false" ht="15" hidden="false" customHeight="true" outlineLevel="0" collapsed="false">
      <c r="A133" s="8" t="s">
        <v>213</v>
      </c>
      <c r="B133" s="8" t="str">
        <f aca="false">IFERROR(INDEX('Source 2026'!$C:$C,MATCH($A133,'Source 2026'!$B:$B,0)),IFERROR(INDEX('Source 2025'!$C:$C,MATCH($A133,'Source 2025'!$B:$B,0)),""))</f>
        <v>רפידת מגבת כותנה-זוג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54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34</v>
      </c>
      <c r="E133" s="9" t="n">
        <f aca="false">D133-C133</f>
        <v>-20</v>
      </c>
      <c r="F133" s="10" t="n">
        <f aca="false">IF(AND(C133=0,D133=0),0,IF(C133=0,"New",(D133-C133)/C133))</f>
        <v>-0.37037037037037</v>
      </c>
      <c r="G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576.7</v>
      </c>
      <c r="H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363.1</v>
      </c>
      <c r="I133" s="11" t="n">
        <f aca="false">H133-G133</f>
        <v>-213.6</v>
      </c>
      <c r="J133" s="10" t="n">
        <f aca="false">IF(AND(G133=0,H133=0),0,IF(G133=0,"New",(H133-G133)/G133))</f>
        <v>-0.370383214843073</v>
      </c>
    </row>
    <row r="134" customFormat="false" ht="15" hidden="false" customHeight="true" outlineLevel="0" collapsed="false">
      <c r="A134" s="8" t="s">
        <v>234</v>
      </c>
      <c r="B134" s="8" t="str">
        <f aca="false">IFERROR(INDEX('Source 2026'!$C:$C,MATCH($A134,'Source 2026'!$B:$B,0)),IFERROR(INDEX('Source 2025'!$C:$C,MATCH($A134,'Source 2025'!$B:$B,0)),""))</f>
        <v>S מגן מרפק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10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6</v>
      </c>
      <c r="E134" s="9" t="n">
        <f aca="false">D134-C134</f>
        <v>-4</v>
      </c>
      <c r="F134" s="10" t="n">
        <f aca="false">IF(AND(C134=0,D134=0),0,IF(C134=0,"New",(D134-C134)/C134))</f>
        <v>-0.4</v>
      </c>
      <c r="G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647.5</v>
      </c>
      <c r="H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447</v>
      </c>
      <c r="I134" s="11" t="n">
        <f aca="false">H134-G134</f>
        <v>-200.5</v>
      </c>
      <c r="J134" s="10" t="n">
        <f aca="false">IF(AND(G134=0,H134=0),0,IF(G134=0,"New",(H134-G134)/G134))</f>
        <v>-0.309652509652509</v>
      </c>
    </row>
    <row r="135" customFormat="false" ht="15" hidden="false" customHeight="true" outlineLevel="0" collapsed="false">
      <c r="A135" s="8" t="s">
        <v>166</v>
      </c>
      <c r="B135" s="8" t="str">
        <f aca="false">IFERROR(INDEX('Source 2026'!$C:$C,MATCH($A135,'Source 2026'!$B:$B,0)),IFERROR(INDEX('Source 2025'!$C:$C,MATCH($A135,'Source 2025'!$B:$B,0)),""))</f>
        <v>לחץ א.הבוניון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35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26</v>
      </c>
      <c r="E135" s="9" t="n">
        <f aca="false">D135-C135</f>
        <v>-9</v>
      </c>
      <c r="F135" s="10" t="n">
        <f aca="false">IF(AND(C135=0,D135=0),0,IF(C135=0,"New",(D135-C135)/C135))</f>
        <v>-0.257142857142857</v>
      </c>
      <c r="G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658.2</v>
      </c>
      <c r="H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463</v>
      </c>
      <c r="I135" s="11" t="n">
        <f aca="false">H135-G135</f>
        <v>-195.2</v>
      </c>
      <c r="J135" s="10" t="n">
        <f aca="false">IF(AND(G135=0,H135=0),0,IF(G135=0,"New",(H135-G135)/G135))</f>
        <v>-0.296566393193558</v>
      </c>
    </row>
    <row r="136" customFormat="false" ht="15" hidden="false" customHeight="true" outlineLevel="0" collapsed="false">
      <c r="A136" s="8" t="s">
        <v>241</v>
      </c>
      <c r="B136" s="8" t="str">
        <f aca="false">IFERROR(INDEX('Source 2026'!$C:$C,MATCH($A136,'Source 2026'!$B:$B,0)),IFERROR(INDEX('Source 2025'!$C:$C,MATCH($A136,'Source 2025'!$B:$B,0)),""))</f>
        <v>XLסד ליד שמאל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-2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0</v>
      </c>
      <c r="E136" s="9" t="n">
        <f aca="false">D136-C136</f>
        <v>2</v>
      </c>
      <c r="F136" s="10" t="n">
        <f aca="false">IF(AND(C136=0,D136=0),0,IF(C136=0,"New",(D136-C136)/C136))</f>
        <v>-1</v>
      </c>
      <c r="G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-194.1</v>
      </c>
      <c r="H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0</v>
      </c>
      <c r="I136" s="11" t="n">
        <f aca="false">H136-G136</f>
        <v>194.1</v>
      </c>
      <c r="J136" s="10" t="n">
        <f aca="false">IF(AND(G136=0,H136=0),0,IF(G136=0,"New",(H136-G136)/G136))</f>
        <v>-1</v>
      </c>
    </row>
    <row r="137" customFormat="false" ht="15" hidden="false" customHeight="true" outlineLevel="0" collapsed="false">
      <c r="A137" s="8" t="s">
        <v>248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9" t="n">
        <f aca="false">D137-C137</f>
        <v>2</v>
      </c>
      <c r="F137" s="10" t="str">
        <f aca="false">IF(AND(C137=0,D137=0),0,IF(C137=0,"New",(D137-C137)/C137))</f>
        <v>New</v>
      </c>
      <c r="G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H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I137" s="11" t="n">
        <f aca="false">H137-G137</f>
        <v>194.1</v>
      </c>
      <c r="J137" s="10" t="str">
        <f aca="false">IF(AND(G137=0,H137=0),0,IF(G137=0,"New",(H137-G137)/G137))</f>
        <v>New</v>
      </c>
    </row>
    <row r="138" customFormat="false" ht="15" hidden="false" customHeight="true" outlineLevel="0" collapsed="false">
      <c r="A138" s="8" t="s">
        <v>198</v>
      </c>
      <c r="B138" s="8" t="str">
        <f aca="false">IFERROR(INDEX('Source 2026'!$C:$C,MATCH($A138,'Source 2026'!$B:$B,0)),IFERROR(INDEX('Source 2025'!$C:$C,MATCH($A138,'Source 2025'!$B:$B,0)),""))</f>
        <v>L מיצב פיקה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9" t="n">
        <f aca="false">D138-C138</f>
        <v>-2</v>
      </c>
      <c r="F138" s="10" t="n">
        <f aca="false">IF(AND(C138=0,D138=0),0,IF(C138=0,"New",(D138-C138)/C138))</f>
        <v>-1</v>
      </c>
      <c r="G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176.4</v>
      </c>
      <c r="H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I138" s="11" t="n">
        <f aca="false">H138-G138</f>
        <v>-176.4</v>
      </c>
      <c r="J138" s="10" t="n">
        <f aca="false">IF(AND(G138=0,H138=0),0,IF(G138=0,"New",(H138-G138)/G138))</f>
        <v>-1</v>
      </c>
    </row>
    <row r="139" customFormat="false" ht="15" hidden="false" customHeight="true" outlineLevel="0" collapsed="false">
      <c r="A139" s="8" t="s">
        <v>256</v>
      </c>
      <c r="B139" s="8" t="str">
        <f aca="false">IFERROR(INDEX('Source 2026'!$C:$C,MATCH($A139,'Source 2026'!$B:$B,0)),IFERROR(INDEX('Source 2025'!$C:$C,MATCH($A139,'Source 2025'!$B:$B,0)),""))</f>
        <v>M חבק יד אגודלי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-3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-1</v>
      </c>
      <c r="E139" s="9" t="n">
        <f aca="false">D139-C139</f>
        <v>2</v>
      </c>
      <c r="F139" s="10" t="n">
        <f aca="false">IF(AND(C139=0,D139=0),0,IF(C139=0,"New",(D139-C139)/C139))</f>
        <v>-0.666666666666667</v>
      </c>
      <c r="G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-242.5</v>
      </c>
      <c r="H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-68.5</v>
      </c>
      <c r="I139" s="11" t="n">
        <f aca="false">H139-G139</f>
        <v>174</v>
      </c>
      <c r="J139" s="10" t="n">
        <f aca="false">IF(AND(G139=0,H139=0),0,IF(G139=0,"New",(H139-G139)/G139))</f>
        <v>-0.717525773195876</v>
      </c>
    </row>
    <row r="140" customFormat="false" ht="15" hidden="false" customHeight="true" outlineLevel="0" collapsed="false">
      <c r="A140" s="8" t="s">
        <v>177</v>
      </c>
      <c r="B140" s="8" t="str">
        <f aca="false">IFERROR(INDEX('Source 2026'!$C:$C,MATCH($A140,'Source 2026'!$B:$B,0)),IFERROR(INDEX('Source 2025'!$C:$C,MATCH($A140,'Source 2025'!$B:$B,0)),""))</f>
        <v>9 מ""ס להתאמהX5 מדבקה גדולה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45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38</v>
      </c>
      <c r="E140" s="9" t="n">
        <f aca="false">D140-C140</f>
        <v>-7</v>
      </c>
      <c r="F140" s="10" t="n">
        <f aca="false">IF(AND(C140=0,D140=0),0,IF(C140=0,"New",(D140-C140)/C140))</f>
        <v>-0.155555555555556</v>
      </c>
      <c r="G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960.4</v>
      </c>
      <c r="H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795</v>
      </c>
      <c r="I140" s="11" t="n">
        <f aca="false">H140-G140</f>
        <v>-165.4</v>
      </c>
      <c r="J140" s="10" t="n">
        <f aca="false">IF(AND(G140=0,H140=0),0,IF(G140=0,"New",(H140-G140)/G140))</f>
        <v>-0.172219908371512</v>
      </c>
    </row>
    <row r="141" customFormat="false" ht="15" hidden="false" customHeight="true" outlineLevel="0" collapsed="false">
      <c r="A141" s="8" t="s">
        <v>343</v>
      </c>
      <c r="B141" s="8" t="str">
        <f aca="false">IFERROR(INDEX('Source 2026'!$C:$C,MATCH($A141,'Source 2026'!$B:$B,0)),IFERROR(INDEX('Source 2025'!$C:$C,MATCH($A141,'Source 2025'!$B:$B,0)),""))</f>
        <v>L  ""ח.גב קלה ""מיקדו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-1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9" t="n">
        <f aca="false">D141-C141</f>
        <v>1</v>
      </c>
      <c r="F141" s="10" t="n">
        <f aca="false">IF(AND(C141=0,D141=0),0,IF(C141=0,"New",(D141-C141)/C141))</f>
        <v>-1</v>
      </c>
      <c r="G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-158.8</v>
      </c>
      <c r="H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I141" s="11" t="n">
        <f aca="false">H141-G141</f>
        <v>158.8</v>
      </c>
      <c r="J141" s="10" t="n">
        <f aca="false">IF(AND(G141=0,H141=0),0,IF(G141=0,"New",(H141-G141)/G141))</f>
        <v>-1</v>
      </c>
    </row>
    <row r="142" customFormat="false" ht="15" hidden="false" customHeight="true" outlineLevel="0" collapsed="false">
      <c r="A142" s="8" t="s">
        <v>280</v>
      </c>
      <c r="B142" s="8" t="str">
        <f aca="false">IFERROR(INDEX('Source 2026'!$C:$C,MATCH($A142,'Source 2026'!$B:$B,0)),IFERROR(INDEX('Source 2025'!$C:$C,MATCH($A142,'Source 2025'!$B:$B,0)),""))</f>
        <v>גרב כסף לסכרתיים לבן35-38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18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13</v>
      </c>
      <c r="E142" s="9" t="n">
        <f aca="false">D142-C142</f>
        <v>-5</v>
      </c>
      <c r="F142" s="10" t="n">
        <f aca="false">IF(AND(C142=0,D142=0),0,IF(C142=0,"New",(D142-C142)/C142))</f>
        <v>-0.277777777777778</v>
      </c>
      <c r="G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562.8</v>
      </c>
      <c r="H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409</v>
      </c>
      <c r="I142" s="11" t="n">
        <f aca="false">H142-G142</f>
        <v>-153.8</v>
      </c>
      <c r="J142" s="10" t="n">
        <f aca="false">IF(AND(G142=0,H142=0),0,IF(G142=0,"New",(H142-G142)/G142))</f>
        <v>-0.273276474769012</v>
      </c>
    </row>
    <row r="143" customFormat="false" ht="15" hidden="false" customHeight="true" outlineLevel="0" collapsed="false">
      <c r="A143" s="8" t="s">
        <v>267</v>
      </c>
      <c r="B143" s="8" t="str">
        <f aca="false">IFERROR(INDEX('Source 2026'!$C:$C,MATCH($A143,'Source 2026'!$B:$B,0)),IFERROR(INDEX('Source 2025'!$C:$C,MATCH($A143,'Source 2025'!$B:$B,0)),""))</f>
        <v>XL סד לאגודל כפפה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-2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0</v>
      </c>
      <c r="E143" s="9" t="n">
        <f aca="false">D143-C143</f>
        <v>2</v>
      </c>
      <c r="F143" s="10" t="n">
        <f aca="false">IF(AND(C143=0,D143=0),0,IF(C143=0,"New",(D143-C143)/C143))</f>
        <v>-1</v>
      </c>
      <c r="G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-132.3</v>
      </c>
      <c r="H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0</v>
      </c>
      <c r="I143" s="11" t="n">
        <f aca="false">H143-G143</f>
        <v>132.3</v>
      </c>
      <c r="J143" s="10" t="n">
        <f aca="false">IF(AND(G143=0,H143=0),0,IF(G143=0,"New",(H143-G143)/G143))</f>
        <v>-1</v>
      </c>
    </row>
    <row r="144" customFormat="false" ht="15" hidden="false" customHeight="true" outlineLevel="0" collapsed="false">
      <c r="A144" s="8" t="s">
        <v>276</v>
      </c>
      <c r="B144" s="8" t="str">
        <f aca="false">IFERROR(INDEX('Source 2026'!$C:$C,MATCH($A144,'Source 2026'!$B:$B,0)),IFERROR(INDEX('Source 2025'!$C:$C,MATCH($A144,'Source 2025'!$B:$B,0)),""))</f>
        <v>ריפוד סיליקון לנעלי אצבע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4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7</v>
      </c>
      <c r="E144" s="9" t="n">
        <f aca="false">D144-C144</f>
        <v>3</v>
      </c>
      <c r="F144" s="10" t="n">
        <f aca="false">IF(AND(C144=0,D144=0),0,IF(C144=0,"New",(D144-C144)/C144))</f>
        <v>0.75</v>
      </c>
      <c r="G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43.8</v>
      </c>
      <c r="H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171.6</v>
      </c>
      <c r="I144" s="11" t="n">
        <f aca="false">H144-G144</f>
        <v>127.8</v>
      </c>
      <c r="J144" s="10" t="n">
        <f aca="false">IF(AND(G144=0,H144=0),0,IF(G144=0,"New",(H144-G144)/G144))</f>
        <v>2.91780821917808</v>
      </c>
    </row>
    <row r="145" customFormat="false" ht="15" hidden="false" customHeight="true" outlineLevel="0" collapsed="false">
      <c r="A145" s="8" t="s">
        <v>311</v>
      </c>
      <c r="B145" s="8" t="str">
        <f aca="false">IFERROR(INDEX('Source 2026'!$C:$C,MATCH($A145,'Source 2026'!$B:$B,0)),IFERROR(INDEX('Source 2025'!$C:$C,MATCH($A145,'Source 2025'!$B:$B,0)),""))</f>
        <v>ג.כסף לסכרתיים אפור35-38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0</v>
      </c>
      <c r="E145" s="9" t="n">
        <f aca="false">D145-C145</f>
        <v>-4</v>
      </c>
      <c r="F145" s="10" t="n">
        <f aca="false">IF(AND(C145=0,D145=0),0,IF(C145=0,"New",(D145-C145)/C145))</f>
        <v>-1</v>
      </c>
      <c r="G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125.8</v>
      </c>
      <c r="H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0</v>
      </c>
      <c r="I145" s="11" t="n">
        <f aca="false">H145-G145</f>
        <v>-125.8</v>
      </c>
      <c r="J145" s="10" t="n">
        <f aca="false">IF(AND(G145=0,H145=0),0,IF(G145=0,"New",(H145-G145)/G145))</f>
        <v>-1</v>
      </c>
    </row>
    <row r="146" customFormat="false" ht="15" hidden="false" customHeight="true" outlineLevel="0" collapsed="false">
      <c r="A146" s="8" t="s">
        <v>344</v>
      </c>
      <c r="B146" s="8" t="str">
        <f aca="false">IFERROR(INDEX('Source 2026'!$C:$C,MATCH($A146,'Source 2026'!$B:$B,0)),IFERROR(INDEX('Source 2025'!$C:$C,MATCH($A146,'Source 2025'!$B:$B,0)),""))</f>
        <v>099 חגורת גב שרוכים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0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-1</v>
      </c>
      <c r="E146" s="9" t="n">
        <f aca="false">D146-C146</f>
        <v>-1</v>
      </c>
      <c r="F146" s="10" t="str">
        <f aca="false">IF(AND(C146=0,D146=0),0,IF(C146=0,"New",(D146-C146)/C146))</f>
        <v>New</v>
      </c>
      <c r="G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0</v>
      </c>
      <c r="H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-121.5</v>
      </c>
      <c r="I146" s="11" t="n">
        <f aca="false">H146-G146</f>
        <v>-121.5</v>
      </c>
      <c r="J146" s="10" t="str">
        <f aca="false">IF(AND(G146=0,H146=0),0,IF(G146=0,"New",(H146-G146)/G146))</f>
        <v>New</v>
      </c>
    </row>
    <row r="147" customFormat="false" ht="15" hidden="false" customHeight="true" outlineLevel="0" collapsed="false">
      <c r="A147" s="8" t="s">
        <v>305</v>
      </c>
      <c r="B147" s="8" t="str">
        <f aca="false">IFERROR(INDEX('Source 2026'!$C:$C,MATCH($A147,'Source 2026'!$B:$B,0)),IFERROR(INDEX('Source 2025'!$C:$C,MATCH($A147,'Source 2025'!$B:$B,0)),""))</f>
        <v>רצועת טניס אלבו עם פלסטיק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1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0</v>
      </c>
      <c r="E147" s="9" t="n">
        <f aca="false">D147-C147</f>
        <v>-1</v>
      </c>
      <c r="F147" s="10" t="n">
        <f aca="false">IF(AND(C147=0,D147=0),0,IF(C147=0,"New",(D147-C147)/C147))</f>
        <v>-1</v>
      </c>
      <c r="G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105.9</v>
      </c>
      <c r="H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0</v>
      </c>
      <c r="I147" s="11" t="n">
        <f aca="false">H147-G147</f>
        <v>-105.9</v>
      </c>
      <c r="J147" s="10" t="n">
        <f aca="false">IF(AND(G147=0,H147=0),0,IF(G147=0,"New",(H147-G147)/G147))</f>
        <v>-1</v>
      </c>
    </row>
    <row r="148" customFormat="false" ht="15" hidden="false" customHeight="true" outlineLevel="0" collapsed="false">
      <c r="A148" s="8" t="s">
        <v>179</v>
      </c>
      <c r="B148" s="8" t="str">
        <f aca="false">IFERROR(INDEX('Source 2026'!$C:$C,MATCH($A148,'Source 2026'!$B:$B,0)),IFERROR(INDEX('Source 2025'!$C:$C,MATCH($A148,'Source 2025'!$B:$B,0)),""))</f>
        <v>S מתלה אשכים לאחר ניתוח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0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-1</v>
      </c>
      <c r="E148" s="9" t="n">
        <f aca="false">D148-C148</f>
        <v>-1</v>
      </c>
      <c r="F148" s="10" t="str">
        <f aca="false">IF(AND(C148=0,D148=0),0,IF(C148=0,"New",(D148-C148)/C148))</f>
        <v>New</v>
      </c>
      <c r="G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0</v>
      </c>
      <c r="H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-104.2</v>
      </c>
      <c r="I148" s="11" t="n">
        <f aca="false">H148-G148</f>
        <v>-104.2</v>
      </c>
      <c r="J148" s="10" t="str">
        <f aca="false">IF(AND(G148=0,H148=0),0,IF(G148=0,"New",(H148-G148)/G148))</f>
        <v>New</v>
      </c>
    </row>
    <row r="149" customFormat="false" ht="15" hidden="false" customHeight="true" outlineLevel="0" collapsed="false">
      <c r="A149" s="8" t="s">
        <v>14</v>
      </c>
      <c r="B149" s="8" t="str">
        <f aca="false">IFERROR(INDEX('Source 2026'!$C:$C,MATCH($A149,'Source 2026'!$B:$B,0)),IFERROR(INDEX('Source 2025'!$C:$C,MATCH($A149,'Source 2025'!$B:$B,0)),""))</f>
        <v>CARE  תחבושת אלסטית 5 ס""מ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-11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0</v>
      </c>
      <c r="E149" s="9" t="n">
        <f aca="false">D149-C149</f>
        <v>11</v>
      </c>
      <c r="F149" s="10" t="n">
        <f aca="false">IF(AND(C149=0,D149=0),0,IF(C149=0,"New",(D149-C149)/C149))</f>
        <v>-1</v>
      </c>
      <c r="G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-98.4</v>
      </c>
      <c r="H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0</v>
      </c>
      <c r="I149" s="11" t="n">
        <f aca="false">H149-G149</f>
        <v>98.4</v>
      </c>
      <c r="J149" s="10" t="n">
        <f aca="false">IF(AND(G149=0,H149=0),0,IF(G149=0,"New",(H149-G149)/G149))</f>
        <v>-1</v>
      </c>
    </row>
    <row r="150" customFormat="false" ht="15" hidden="false" customHeight="true" outlineLevel="0" collapsed="false">
      <c r="A150" s="8" t="s">
        <v>334</v>
      </c>
      <c r="B150" s="8" t="str">
        <f aca="false">IFERROR(INDEX('Source 2026'!$C:$C,MATCH($A150,'Source 2026'!$B:$B,0)),IFERROR(INDEX('Source 2025'!$C:$C,MATCH($A150,'Source 2025'!$B:$B,0)),""))</f>
        <v>ריפוד סיליקון לעקב אחורי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87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91</v>
      </c>
      <c r="E150" s="9" t="n">
        <f aca="false">D150-C150</f>
        <v>4</v>
      </c>
      <c r="F150" s="10" t="n">
        <f aca="false">IF(AND(C150=0,D150=0),0,IF(C150=0,"New",(D150-C150)/C150))</f>
        <v>0.0459770114942529</v>
      </c>
      <c r="G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1870.3</v>
      </c>
      <c r="H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1968.5</v>
      </c>
      <c r="I150" s="11" t="n">
        <f aca="false">H150-G150</f>
        <v>98.2000000000001</v>
      </c>
      <c r="J150" s="10" t="n">
        <f aca="false">IF(AND(G150=0,H150=0),0,IF(G150=0,"New",(H150-G150)/G150))</f>
        <v>0.0525049457306315</v>
      </c>
    </row>
    <row r="151" customFormat="false" ht="15" hidden="false" customHeight="true" outlineLevel="0" collapsed="false">
      <c r="A151" s="8" t="s">
        <v>200</v>
      </c>
      <c r="B151" s="8" t="str">
        <f aca="false">IFERROR(INDEX('Source 2026'!$C:$C,MATCH($A151,'Source 2026'!$B:$B,0)),IFERROR(INDEX('Source 2025'!$C:$C,MATCH($A151,'Source 2025'!$B:$B,0)),""))</f>
        <v>S מגן שוק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1</v>
      </c>
      <c r="E151" s="9" t="n">
        <f aca="false">D151-C151</f>
        <v>1</v>
      </c>
      <c r="F151" s="10" t="str">
        <f aca="false">IF(AND(C151=0,D151=0),0,IF(C151=0,"New",(D151-C151)/C151))</f>
        <v>New</v>
      </c>
      <c r="G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H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97</v>
      </c>
      <c r="I151" s="11" t="n">
        <f aca="false">H151-G151</f>
        <v>97</v>
      </c>
      <c r="J151" s="10" t="str">
        <f aca="false">IF(AND(G151=0,H151=0),0,IF(G151=0,"New",(H151-G151)/G151))</f>
        <v>New</v>
      </c>
    </row>
    <row r="152" customFormat="false" ht="15" hidden="false" customHeight="true" outlineLevel="0" collapsed="false">
      <c r="A152" s="8" t="s">
        <v>111</v>
      </c>
      <c r="B152" s="8" t="str">
        <f aca="false">IFERROR(INDEX('Source 2026'!$C:$C,MATCH($A152,'Source 2026'!$B:$B,0)),IFERROR(INDEX('Source 2025'!$C:$C,MATCH($A152,'Source 2025'!$B:$B,0)),""))</f>
        <v>סד לש.כף יד ימין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24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26</v>
      </c>
      <c r="E152" s="9" t="n">
        <f aca="false">D152-C152</f>
        <v>2</v>
      </c>
      <c r="F152" s="10" t="n">
        <f aca="false">IF(AND(C152=0,D152=0),0,IF(C152=0,"New",(D152-C152)/C152))</f>
        <v>0.0833333333333333</v>
      </c>
      <c r="G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822.5</v>
      </c>
      <c r="H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901.9</v>
      </c>
      <c r="I152" s="11" t="n">
        <f aca="false">H152-G152</f>
        <v>79.3999999999999</v>
      </c>
      <c r="J152" s="10" t="n">
        <f aca="false">IF(AND(G152=0,H152=0),0,IF(G152=0,"New",(H152-G152)/G152))</f>
        <v>0.0965349544072947</v>
      </c>
    </row>
    <row r="153" customFormat="false" ht="15" hidden="false" customHeight="true" outlineLevel="0" collapsed="false">
      <c r="A153" s="8" t="s">
        <v>239</v>
      </c>
      <c r="B153" s="8" t="str">
        <f aca="false">IFERROR(INDEX('Source 2026'!$C:$C,MATCH($A153,'Source 2026'!$B:$B,0)),IFERROR(INDEX('Source 2025'!$C:$C,MATCH($A153,'Source 2025'!$B:$B,0)),""))</f>
        <v>גרבי כסף לסכרת מידה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3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0</v>
      </c>
      <c r="E153" s="9" t="n">
        <f aca="false">D153-C153</f>
        <v>-3</v>
      </c>
      <c r="F153" s="10" t="n">
        <f aca="false">IF(AND(C153=0,D153=0),0,IF(C153=0,"New",(D153-C153)/C153))</f>
        <v>-1</v>
      </c>
      <c r="G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79</v>
      </c>
      <c r="H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0</v>
      </c>
      <c r="I153" s="11" t="n">
        <f aca="false">H153-G153</f>
        <v>-79</v>
      </c>
      <c r="J153" s="10" t="n">
        <f aca="false">IF(AND(G153=0,H153=0),0,IF(G153=0,"New",(H153-G153)/G153))</f>
        <v>-1</v>
      </c>
    </row>
    <row r="154" customFormat="false" ht="15" hidden="false" customHeight="true" outlineLevel="0" collapsed="false">
      <c r="A154" s="8" t="s">
        <v>283</v>
      </c>
      <c r="B154" s="8" t="str">
        <f aca="false">IFERROR(INDEX('Source 2026'!$C:$C,MATCH($A154,'Source 2026'!$B:$B,0)),IFERROR(INDEX('Source 2025'!$C:$C,MATCH($A154,'Source 2025'!$B:$B,0)),""))</f>
        <v>בקט.לנעל120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9" t="n">
        <f aca="false">D154-C154</f>
        <v>-3</v>
      </c>
      <c r="F154" s="10" t="n">
        <f aca="false">IF(AND(C154=0,D154=0),0,IF(C154=0,"New",(D154-C154)/C154))</f>
        <v>-1</v>
      </c>
      <c r="G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76.1</v>
      </c>
      <c r="H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I154" s="11" t="n">
        <f aca="false">H154-G154</f>
        <v>-76.1</v>
      </c>
      <c r="J154" s="10" t="n">
        <f aca="false">IF(AND(G154=0,H154=0),0,IF(G154=0,"New",(H154-G154)/G154))</f>
        <v>-1</v>
      </c>
    </row>
    <row r="155" customFormat="false" ht="15" hidden="false" customHeight="true" outlineLevel="0" collapsed="false">
      <c r="A155" s="8" t="s">
        <v>201</v>
      </c>
      <c r="B155" s="8" t="str">
        <f aca="false">IFERROR(INDEX('Source 2026'!$C:$C,MATCH($A155,'Source 2026'!$B:$B,0)),IFERROR(INDEX('Source 2025'!$C:$C,MATCH($A155,'Source 2025'!$B:$B,0)),""))</f>
        <v>ריפוד סיליק.לעקב תחתון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41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44</v>
      </c>
      <c r="E155" s="9" t="n">
        <f aca="false">D155-C155</f>
        <v>3</v>
      </c>
      <c r="F155" s="10" t="n">
        <f aca="false">IF(AND(C155=0,D155=0),0,IF(C155=0,"New",(D155-C155)/C155))</f>
        <v>0.0731707317073171</v>
      </c>
      <c r="G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869.5</v>
      </c>
      <c r="H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940.6</v>
      </c>
      <c r="I155" s="11" t="n">
        <f aca="false">H155-G155</f>
        <v>71.1</v>
      </c>
      <c r="J155" s="10" t="n">
        <f aca="false">IF(AND(G155=0,H155=0),0,IF(G155=0,"New",(H155-G155)/G155))</f>
        <v>0.0817711328349627</v>
      </c>
    </row>
    <row r="156" customFormat="false" ht="15" hidden="false" customHeight="true" outlineLevel="0" collapsed="false">
      <c r="A156" s="8" t="s">
        <v>94</v>
      </c>
      <c r="B156" s="8" t="str">
        <f aca="false">IFERROR(INDEX('Source 2026'!$C:$C,MATCH($A156,'Source 2026'!$B:$B,0)),IFERROR(INDEX('Source 2025'!$C:$C,MATCH($A156,'Source 2025'!$B:$B,0)),""))</f>
        <v>טייפ קינזיולוגי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-1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9" t="n">
        <f aca="false">D156-C156</f>
        <v>1</v>
      </c>
      <c r="F156" s="10" t="n">
        <f aca="false">IF(AND(C156=0,D156=0),0,IF(C156=0,"New",(D156-C156)/C156))</f>
        <v>-1</v>
      </c>
      <c r="G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-63.1</v>
      </c>
      <c r="H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I156" s="11" t="n">
        <f aca="false">H156-G156</f>
        <v>63.1</v>
      </c>
      <c r="J156" s="10" t="n">
        <f aca="false">IF(AND(G156=0,H156=0),0,IF(G156=0,"New",(H156-G156)/G156))</f>
        <v>-1</v>
      </c>
    </row>
    <row r="157" customFormat="false" ht="15" hidden="false" customHeight="true" outlineLevel="0" collapsed="false">
      <c r="A157" s="8" t="s">
        <v>153</v>
      </c>
      <c r="B157" s="8" t="str">
        <f aca="false">IFERROR(INDEX('Source 2026'!$C:$C,MATCH($A157,'Source 2026'!$B:$B,0)),IFERROR(INDEX('Source 2025'!$C:$C,MATCH($A157,'Source 2025'!$B:$B,0)),""))</f>
        <v>מתלה ליד לילדים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15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16</v>
      </c>
      <c r="E157" s="9" t="n">
        <f aca="false">D157-C157</f>
        <v>1</v>
      </c>
      <c r="F157" s="10" t="n">
        <f aca="false">IF(AND(C157=0,D157=0),0,IF(C157=0,"New",(D157-C157)/C157))</f>
        <v>0.0666666666666667</v>
      </c>
      <c r="G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727.4</v>
      </c>
      <c r="H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775.9</v>
      </c>
      <c r="I157" s="11" t="n">
        <f aca="false">H157-G157</f>
        <v>48.5</v>
      </c>
      <c r="J157" s="10" t="n">
        <f aca="false">IF(AND(G157=0,H157=0),0,IF(G157=0,"New",(H157-G157)/G157))</f>
        <v>0.0666758317294474</v>
      </c>
    </row>
    <row r="158" customFormat="false" ht="15" hidden="false" customHeight="true" outlineLevel="0" collapsed="false">
      <c r="A158" s="8" t="s">
        <v>95</v>
      </c>
      <c r="B158" s="8" t="str">
        <f aca="false">IFERROR(INDEX('Source 2026'!$C:$C,MATCH($A158,'Source 2026'!$B:$B,0)),IFERROR(INDEX('Source 2025'!$C:$C,MATCH($A158,'Source 2025'!$B:$B,0)),""))</f>
        <v>סד לאגודל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47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45</v>
      </c>
      <c r="E158" s="9" t="n">
        <f aca="false">D158-C158</f>
        <v>-2</v>
      </c>
      <c r="F158" s="10" t="n">
        <f aca="false">IF(AND(C158=0,D158=0),0,IF(C158=0,"New",(D158-C158)/C158))</f>
        <v>-0.0425531914893617</v>
      </c>
      <c r="G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1130.8</v>
      </c>
      <c r="H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1082.7</v>
      </c>
      <c r="I158" s="11" t="n">
        <f aca="false">H158-G158</f>
        <v>-48.1000000000001</v>
      </c>
      <c r="J158" s="10" t="n">
        <f aca="false">IF(AND(G158=0,H158=0),0,IF(G158=0,"New",(H158-G158)/G158))</f>
        <v>-0.0425362575168024</v>
      </c>
    </row>
    <row r="159" customFormat="false" ht="15" hidden="false" customHeight="true" outlineLevel="0" collapsed="false">
      <c r="A159" s="8" t="s">
        <v>102</v>
      </c>
      <c r="B159" s="8" t="str">
        <f aca="false">IFERROR(INDEX('Source 2026'!$C:$C,MATCH($A159,'Source 2026'!$B:$B,0)),IFERROR(INDEX('Source 2025'!$C:$C,MATCH($A159,'Source 2025'!$B:$B,0)),""))</f>
        <v>טייפ קינזיולוגי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0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-1</v>
      </c>
      <c r="E159" s="9" t="n">
        <f aca="false">D159-C159</f>
        <v>-1</v>
      </c>
      <c r="F159" s="10" t="str">
        <f aca="false">IF(AND(C159=0,D159=0),0,IF(C159=0,"New",(D159-C159)/C159))</f>
        <v>New</v>
      </c>
      <c r="G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0</v>
      </c>
      <c r="H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-44.1</v>
      </c>
      <c r="I159" s="11" t="n">
        <f aca="false">H159-G159</f>
        <v>-44.1</v>
      </c>
      <c r="J159" s="10" t="str">
        <f aca="false">IF(AND(G159=0,H159=0),0,IF(G159=0,"New",(H159-G159)/G159))</f>
        <v>New</v>
      </c>
    </row>
    <row r="160" customFormat="false" ht="15" hidden="false" customHeight="true" outlineLevel="0" collapsed="false">
      <c r="A160" s="8" t="s">
        <v>258</v>
      </c>
      <c r="B160" s="8" t="str">
        <f aca="false">IFERROR(INDEX('Source 2026'!$C:$C,MATCH($A160,'Source 2026'!$B:$B,0)),IFERROR(INDEX('Source 2025'!$C:$C,MATCH($A160,'Source 2025'!$B:$B,0)),""))</f>
        <v>מיישר בוניון-האלוקס ולגוס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28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27</v>
      </c>
      <c r="E160" s="9" t="n">
        <f aca="false">D160-C160</f>
        <v>-1</v>
      </c>
      <c r="F160" s="10" t="n">
        <f aca="false">IF(AND(C160=0,D160=0),0,IF(C160=0,"New",(D160-C160)/C160))</f>
        <v>-0.0357142857142857</v>
      </c>
      <c r="G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1234.2</v>
      </c>
      <c r="H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1190.2</v>
      </c>
      <c r="I160" s="11" t="n">
        <f aca="false">H160-G160</f>
        <v>-44</v>
      </c>
      <c r="J160" s="10" t="n">
        <f aca="false">IF(AND(G160=0,H160=0),0,IF(G160=0,"New",(H160-G160)/G160))</f>
        <v>-0.035650623885918</v>
      </c>
    </row>
    <row r="161" customFormat="false" ht="15" hidden="false" customHeight="true" outlineLevel="0" collapsed="false">
      <c r="A161" s="8" t="s">
        <v>194</v>
      </c>
      <c r="B161" s="8" t="str">
        <f aca="false">IFERROR(INDEX('Source 2026'!$C:$C,MATCH($A161,'Source 2026'!$B:$B,0)),IFERROR(INDEX('Source 2025'!$C:$C,MATCH($A161,'Source 2025'!$B:$B,0)),""))</f>
        <v>מדרס מטטרזלי לנעלי עקב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22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24</v>
      </c>
      <c r="E161" s="9" t="n">
        <f aca="false">D161-C161</f>
        <v>2</v>
      </c>
      <c r="F161" s="10" t="n">
        <f aca="false">IF(AND(C161=0,D161=0),0,IF(C161=0,"New",(D161-C161)/C161))</f>
        <v>0.0909090909090909</v>
      </c>
      <c r="G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480.3</v>
      </c>
      <c r="H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524</v>
      </c>
      <c r="I161" s="11" t="n">
        <f aca="false">H161-G161</f>
        <v>43.7000000000001</v>
      </c>
      <c r="J161" s="10" t="n">
        <f aca="false">IF(AND(G161=0,H161=0),0,IF(G161=0,"New",(H161-G161)/G161))</f>
        <v>0.0909848011659382</v>
      </c>
    </row>
    <row r="162" customFormat="false" ht="15" hidden="false" customHeight="true" outlineLevel="0" collapsed="false">
      <c r="A162" s="8" t="s">
        <v>58</v>
      </c>
      <c r="B162" s="8" t="str">
        <f aca="false">IFERROR(INDEX('Source 2026'!$C:$C,MATCH($A162,'Source 2026'!$B:$B,0)),IFERROR(INDEX('Source 2025'!$C:$C,MATCH($A162,'Source 2025'!$B:$B,0)),""))</f>
        <v>חגורת גב עם תמיכות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22</v>
      </c>
      <c r="E162" s="9" t="n">
        <f aca="false">D162-C162</f>
        <v>0</v>
      </c>
      <c r="F162" s="10" t="n">
        <f aca="false">IF(AND(C162=0,D162=0),0,IF(C162=0,"New",(D162-C162)/C162))</f>
        <v>0</v>
      </c>
      <c r="G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1983.7</v>
      </c>
      <c r="H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1940.1</v>
      </c>
      <c r="I162" s="11" t="n">
        <f aca="false">H162-G162</f>
        <v>-43.5999999999999</v>
      </c>
      <c r="J162" s="10" t="n">
        <f aca="false">IF(AND(G162=0,H162=0),0,IF(G162=0,"New",(H162-G162)/G162))</f>
        <v>-0.0219791299087563</v>
      </c>
    </row>
    <row r="163" customFormat="false" ht="15" hidden="false" customHeight="true" outlineLevel="0" collapsed="false">
      <c r="A163" s="8" t="s">
        <v>92</v>
      </c>
      <c r="B163" s="8" t="str">
        <f aca="false">IFERROR(INDEX('Source 2026'!$C:$C,MATCH($A163,'Source 2026'!$B:$B,0)),IFERROR(INDEX('Source 2025'!$C:$C,MATCH($A163,'Source 2025'!$B:$B,0)),""))</f>
        <v>סד לש.כף יד שמאל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23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9" t="n">
        <f aca="false">D163-C163</f>
        <v>-1</v>
      </c>
      <c r="F163" s="10" t="n">
        <f aca="false">IF(AND(C163=0,D163=0),0,IF(C163=0,"New",(D163-C163)/C163))</f>
        <v>-0.0434782608695652</v>
      </c>
      <c r="G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788.2</v>
      </c>
      <c r="H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754</v>
      </c>
      <c r="I163" s="11" t="n">
        <f aca="false">H163-G163</f>
        <v>-34.2</v>
      </c>
      <c r="J163" s="10" t="n">
        <f aca="false">IF(AND(G163=0,H163=0),0,IF(G163=0,"New",(H163-G163)/G163))</f>
        <v>-0.0433900025374271</v>
      </c>
    </row>
    <row r="164" customFormat="false" ht="15" hidden="false" customHeight="true" outlineLevel="0" collapsed="false">
      <c r="A164" s="8" t="s">
        <v>345</v>
      </c>
      <c r="B164" s="8" t="str">
        <f aca="false">IFERROR(INDEX('Source 2026'!$C:$C,MATCH($A164,'Source 2026'!$B:$B,0)),IFERROR(INDEX('Source 2025'!$C:$C,MATCH($A164,'Source 2025'!$B:$B,0)),""))</f>
        <v>נוזלי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-1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0</v>
      </c>
      <c r="E164" s="9" t="n">
        <f aca="false">D164-C164</f>
        <v>1</v>
      </c>
      <c r="F164" s="10" t="n">
        <f aca="false">IF(AND(C164=0,D164=0),0,IF(C164=0,"New",(D164-C164)/C164))</f>
        <v>-1</v>
      </c>
      <c r="G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-20.8</v>
      </c>
      <c r="H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0</v>
      </c>
      <c r="I164" s="11" t="n">
        <f aca="false">H164-G164</f>
        <v>20.8</v>
      </c>
      <c r="J164" s="10" t="n">
        <f aca="false">IF(AND(G164=0,H164=0),0,IF(G164=0,"New",(H164-G164)/G164))</f>
        <v>-1</v>
      </c>
    </row>
    <row r="165" customFormat="false" ht="15" hidden="false" customHeight="true" outlineLevel="0" collapsed="false">
      <c r="A165" s="8" t="s">
        <v>167</v>
      </c>
      <c r="B165" s="8" t="str">
        <f aca="false">IFERROR(INDEX('Source 2026'!$C:$C,MATCH($A165,'Source 2026'!$B:$B,0)),IFERROR(INDEX('Source 2025'!$C:$C,MATCH($A165,'Source 2025'!$B:$B,0)),""))</f>
        <v>35-38 גרב.כסף לסכרתים לבן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21</v>
      </c>
      <c r="E165" s="9" t="n">
        <f aca="false">D165-C165</f>
        <v>0</v>
      </c>
      <c r="F165" s="10" t="n">
        <f aca="false">IF(AND(C165=0,D165=0),0,IF(C165=0,"New",(D165-C165)/C165))</f>
        <v>0</v>
      </c>
      <c r="G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477.5</v>
      </c>
      <c r="H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490.9</v>
      </c>
      <c r="I165" s="11" t="n">
        <f aca="false">H165-G165</f>
        <v>13.4000000000001</v>
      </c>
      <c r="J165" s="10" t="n">
        <f aca="false">IF(AND(G165=0,H165=0),0,IF(G165=0,"New",(H165-G165)/G165))</f>
        <v>0.0280628272251311</v>
      </c>
    </row>
    <row r="166" customFormat="false" ht="15" hidden="false" customHeight="true" outlineLevel="0" collapsed="false">
      <c r="A166" s="8" t="s">
        <v>140</v>
      </c>
      <c r="B166" s="8" t="str">
        <f aca="false">IFERROR(INDEX('Source 2026'!$C:$C,MATCH($A166,'Source 2026'!$B:$B,0)),IFERROR(INDEX('Source 2025'!$C:$C,MATCH($A166,'Source 2025'!$B:$B,0)),""))</f>
        <v>M מדרס ג'ל ספורט לגבר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</v>
      </c>
      <c r="E166" s="9" t="n">
        <f aca="false">D166-C166</f>
        <v>0</v>
      </c>
      <c r="F166" s="10" t="n">
        <f aca="false">IF(AND(C166=0,D166=0),0,IF(C166=0,"New",(D166-C166)/C166))</f>
        <v>0</v>
      </c>
      <c r="G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131.4</v>
      </c>
      <c r="H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131.3</v>
      </c>
      <c r="I166" s="11" t="n">
        <f aca="false">H166-G166</f>
        <v>-0.0999999999999943</v>
      </c>
      <c r="J166" s="10" t="n">
        <f aca="false">IF(AND(G166=0,H166=0),0,IF(G166=0,"New",(H166-G166)/G166))</f>
        <v>-0.000761035007610307</v>
      </c>
    </row>
    <row r="167" customFormat="false" ht="15" hidden="false" customHeight="true" outlineLevel="0" collapsed="false">
      <c r="A167" s="8" t="s">
        <v>207</v>
      </c>
      <c r="B167" s="8" t="str">
        <f aca="false">IFERROR(INDEX('Source 2026'!$C:$C,MATCH($A167,'Source 2026'!$B:$B,0)),IFERROR(INDEX('Source 2025'!$C:$C,MATCH($A167,'Source 2025'!$B:$B,0)),""))</f>
        <v>חגורת גב אפורה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146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146</v>
      </c>
      <c r="E167" s="9" t="n">
        <f aca="false">D167-C167</f>
        <v>0</v>
      </c>
      <c r="F167" s="10" t="n">
        <f aca="false">IF(AND(C167=0,D167=0),0,IF(C167=0,"New",(D167-C167)/C167))</f>
        <v>0</v>
      </c>
      <c r="G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14487.6</v>
      </c>
      <c r="H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14487.6</v>
      </c>
      <c r="I167" s="11" t="n">
        <f aca="false">H167-G167</f>
        <v>0</v>
      </c>
      <c r="J167" s="10" t="n">
        <f aca="false">IF(AND(G167=0,H167=0),0,IF(G167=0,"New",(H167-G167)/G167))</f>
        <v>0</v>
      </c>
    </row>
    <row r="168" customFormat="false" ht="15" hidden="false" customHeight="true" outlineLevel="0" collapsed="false">
      <c r="A168" s="8" t="s">
        <v>273</v>
      </c>
      <c r="B168" s="8" t="str">
        <f aca="false">IFERROR(INDEX('Source 2026'!$C:$C,MATCH($A168,'Source 2026'!$B:$B,0)),IFERROR(INDEX('Source 2025'!$C:$C,MATCH($A168,'Source 2025'!$B:$B,0)),""))</f>
        <v>M'חגורת גב+סגירה כפו בז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-5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-5</v>
      </c>
      <c r="E168" s="9" t="n">
        <f aca="false">D168-C168</f>
        <v>0</v>
      </c>
      <c r="F168" s="10" t="n">
        <f aca="false">IF(AND(C168=0,D168=0),0,IF(C168=0,"New",(D168-C168)/C168))</f>
        <v>-0</v>
      </c>
      <c r="G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-496.1</v>
      </c>
      <c r="H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-496.1</v>
      </c>
      <c r="I168" s="11" t="n">
        <f aca="false">H168-G168</f>
        <v>0</v>
      </c>
      <c r="J168" s="10" t="n">
        <f aca="false">IF(AND(G168=0,H168=0),0,IF(G168=0,"New",(H168-G168)/G168))</f>
        <v>-0</v>
      </c>
    </row>
    <row r="170" customFormat="false" ht="15" hidden="false" customHeight="true" outlineLevel="0" collapsed="false">
      <c r="A170" s="14"/>
      <c r="B170" s="15" t="s">
        <v>337</v>
      </c>
      <c r="C170" s="16" t="n">
        <f aca="false">SUM(C6:C168)</f>
        <v>27268</v>
      </c>
      <c r="D170" s="16" t="n">
        <f aca="false">SUM(D6:D168)</f>
        <v>19109</v>
      </c>
      <c r="E170" s="16" t="n">
        <f aca="false">SUM(E6:E168)</f>
        <v>-8159</v>
      </c>
      <c r="F170" s="17" t="n">
        <f aca="false">IF(C170=0,"N/A",E170/C170)</f>
        <v>-0.299215197300866</v>
      </c>
      <c r="G170" s="18" t="n">
        <f aca="false">SUM(G6:G168)</f>
        <v>889501.1</v>
      </c>
      <c r="H170" s="18" t="n">
        <f aca="false">SUM(H6:H168)</f>
        <v>676265.8</v>
      </c>
      <c r="I170" s="18" t="n">
        <f aca="false">SUM(I6:I168)</f>
        <v>-213235.3</v>
      </c>
      <c r="J170" s="17" t="n">
        <f aca="false">IF(G170=0,"N/A",I170/G170)</f>
        <v>-0.239724605174743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9" t="s">
        <v>346</v>
      </c>
    </row>
    <row r="2" customFormat="false" ht="15" hidden="false" customHeight="false" outlineLevel="0" collapsed="false">
      <c r="A2" s="20" t="s">
        <v>1</v>
      </c>
      <c r="B2" s="21" t="n">
        <v>46284</v>
      </c>
    </row>
    <row r="3" customFormat="false" ht="90" hidden="false" customHeight="true" outlineLevel="0" collapsed="false">
      <c r="A3" s="5" t="s">
        <v>347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348</v>
      </c>
      <c r="B4" s="5"/>
      <c r="C4" s="5"/>
      <c r="D4" s="5"/>
      <c r="E4" s="5"/>
      <c r="F4" s="5"/>
      <c r="G4" s="5"/>
      <c r="H4" s="5"/>
      <c r="I4" s="22" t="s">
        <v>349</v>
      </c>
      <c r="J4" s="23" t="n">
        <v>12</v>
      </c>
      <c r="K4" s="24" t="s">
        <v>350</v>
      </c>
      <c r="L4" s="23" t="n">
        <v>9.5</v>
      </c>
    </row>
    <row r="5" customFormat="false" ht="22.35" hidden="false" customHeight="false" outlineLevel="0" collapsed="false">
      <c r="I5" s="25" t="s">
        <v>351</v>
      </c>
      <c r="J5" s="26" t="n">
        <f aca="false">J4/L4</f>
        <v>1.26315789473684</v>
      </c>
    </row>
    <row r="6" customFormat="false" ht="43.5" hidden="false" customHeight="true" outlineLevel="0" collapsed="false">
      <c r="A6" s="6" t="s">
        <v>49</v>
      </c>
      <c r="B6" s="6" t="s">
        <v>50</v>
      </c>
      <c r="C6" s="6" t="s">
        <v>7</v>
      </c>
      <c r="D6" s="27" t="s">
        <v>352</v>
      </c>
      <c r="E6" s="6" t="s">
        <v>353</v>
      </c>
      <c r="F6" s="6" t="s">
        <v>354</v>
      </c>
      <c r="G6" s="6" t="s">
        <v>355</v>
      </c>
      <c r="H6" s="6" t="s">
        <v>10</v>
      </c>
      <c r="I6" s="27" t="s">
        <v>356</v>
      </c>
      <c r="J6" s="6" t="s">
        <v>357</v>
      </c>
      <c r="K6" s="6" t="s">
        <v>358</v>
      </c>
      <c r="L6" s="6" t="s">
        <v>359</v>
      </c>
    </row>
    <row r="7" customFormat="false" ht="15" hidden="false" customHeight="false" outlineLevel="0" collapsed="false">
      <c r="A7" s="28" t="s">
        <v>127</v>
      </c>
      <c r="B7" s="28" t="str">
        <f aca="false">IFERROR(INDEX('Source 2026'!$C:$C,MATCH($A7,'Source 2026'!$B:$B,0)),IFERROR(INDEX('Source 2025'!$C:$C,MATCH($A7,'Source 2025'!$B:$B,0)),""))</f>
        <v>אפיק ג'ל מולט.ספורט35-38</v>
      </c>
      <c r="C7" s="29" t="n">
        <f aca="false">SUMIFS('Source 2025'!$Q:$Q,'Source 2025'!$B:$B,$A7,'Source 2025'!$A:$A,"Quantity (units)")</f>
        <v>2855</v>
      </c>
      <c r="D7" s="29" t="n">
        <f aca="false">SUMIFS('Source 2026'!$Q:$Q,'Source 2026'!$B:$B,$A7,'Source 2026'!$A:$A,"Quantity (units)")</f>
        <v>481</v>
      </c>
      <c r="E7" s="30" t="n">
        <f aca="false">D7*$J$5</f>
        <v>607.578947368421</v>
      </c>
      <c r="F7" s="30" t="n">
        <f aca="false">E7-C7</f>
        <v>-2247.42105263158</v>
      </c>
      <c r="G7" s="31" t="n">
        <f aca="false">IF(AND(C7=0,E7=0),0,IF(C7=0,"New",(E7-C7)/C7))</f>
        <v>-0.787187759240483</v>
      </c>
      <c r="H7" s="32" t="n">
        <f aca="false">SUMIFS('Source 2025'!$Q:$Q,'Source 2025'!$B:$B,$A7,'Source 2025'!$A:$A,"Amount (NIS)")</f>
        <v>265726.2</v>
      </c>
      <c r="I7" s="32" t="n">
        <f aca="false">SUMIFS('Source 2026'!$Q:$Q,'Source 2026'!$B:$B,$A7,'Source 2026'!$A:$A,"Amount (NIS)")</f>
        <v>47626.6</v>
      </c>
      <c r="J7" s="32" t="n">
        <f aca="false">I7*$J$5</f>
        <v>60159.9157894737</v>
      </c>
      <c r="K7" s="32" t="n">
        <f aca="false">J7-H7</f>
        <v>-205566.284210526</v>
      </c>
      <c r="L7" s="31" t="n">
        <f aca="false">IF(AND(H7=0,J7=0),0,IF(H7=0,"New",(J7-H7)/H7))</f>
        <v>-0.773601866170992</v>
      </c>
    </row>
    <row r="8" customFormat="false" ht="15" hidden="false" customHeight="false" outlineLevel="0" collapsed="false">
      <c r="A8" s="28" t="s">
        <v>264</v>
      </c>
      <c r="B8" s="28" t="str">
        <f aca="false">IFERROR(INDEX('Source 2026'!$C:$C,MATCH($A8,'Source 2026'!$B:$B,0)),IFERROR(INDEX('Source 2025'!$C:$C,MATCH($A8,'Source 2025'!$B:$B,0)),""))</f>
        <v>מדרסי אפיק ג'ל נוחות</v>
      </c>
      <c r="C8" s="29" t="n">
        <f aca="false">SUMIFS('Source 2025'!$Q:$Q,'Source 2025'!$B:$B,$A8,'Source 2025'!$A:$A,"Quantity (units)")</f>
        <v>1776</v>
      </c>
      <c r="D8" s="29" t="n">
        <f aca="false">SUMIFS('Source 2026'!$Q:$Q,'Source 2026'!$B:$B,$A8,'Source 2026'!$A:$A,"Quantity (units)")</f>
        <v>112</v>
      </c>
      <c r="E8" s="30" t="n">
        <f aca="false">D8*$J$5</f>
        <v>141.473684210526</v>
      </c>
      <c r="F8" s="30" t="n">
        <f aca="false">E8-C8</f>
        <v>-1634.52631578947</v>
      </c>
      <c r="G8" s="31" t="n">
        <f aca="false">IF(AND(C8=0,E8=0),0,IF(C8=0,"New",(E8-C8)/C8))</f>
        <v>-0.920341394025605</v>
      </c>
      <c r="H8" s="32" t="n">
        <f aca="false">SUMIFS('Source 2025'!$Q:$Q,'Source 2025'!$B:$B,$A8,'Source 2025'!$A:$A,"Amount (NIS)")</f>
        <v>164431.7</v>
      </c>
      <c r="I8" s="32" t="n">
        <f aca="false">SUMIFS('Source 2026'!$Q:$Q,'Source 2026'!$B:$B,$A8,'Source 2026'!$A:$A,"Amount (NIS)")</f>
        <v>11519.9</v>
      </c>
      <c r="J8" s="32" t="n">
        <f aca="false">I8*$J$5</f>
        <v>14551.4526315789</v>
      </c>
      <c r="K8" s="32" t="n">
        <f aca="false">J8-H8</f>
        <v>-149880.247368421</v>
      </c>
      <c r="L8" s="31" t="n">
        <f aca="false">IF(AND(H8=0,J8=0),0,IF(H8=0,"New",(J8-H8)/H8))</f>
        <v>-0.911504578304676</v>
      </c>
    </row>
    <row r="9" customFormat="false" ht="15" hidden="false" customHeight="false" outlineLevel="0" collapsed="false">
      <c r="A9" s="28" t="s">
        <v>147</v>
      </c>
      <c r="B9" s="28" t="str">
        <f aca="false">IFERROR(INDEX('Source 2026'!$C:$C,MATCH($A9,'Source 2026'!$B:$B,0)),IFERROR(INDEX('Source 2025'!$C:$C,MATCH($A9,'Source 2025'!$B:$B,0)),""))</f>
        <v>מדרסי אפיק ג'ל נוחות</v>
      </c>
      <c r="C9" s="29" t="n">
        <f aca="false">SUMIFS('Source 2025'!$Q:$Q,'Source 2025'!$B:$B,$A9,'Source 2025'!$A:$A,"Quantity (units)")</f>
        <v>2025</v>
      </c>
      <c r="D9" s="29" t="n">
        <f aca="false">SUMIFS('Source 2026'!$Q:$Q,'Source 2026'!$B:$B,$A9,'Source 2026'!$A:$A,"Quantity (units)")</f>
        <v>522</v>
      </c>
      <c r="E9" s="30" t="n">
        <f aca="false">D9*$J$5</f>
        <v>659.368421052632</v>
      </c>
      <c r="F9" s="30" t="n">
        <f aca="false">E9-C9</f>
        <v>-1365.63157894737</v>
      </c>
      <c r="G9" s="31" t="n">
        <f aca="false">IF(AND(C9=0,E9=0),0,IF(C9=0,"New",(E9-C9)/C9))</f>
        <v>-0.674385964912281</v>
      </c>
      <c r="H9" s="32" t="n">
        <f aca="false">SUMIFS('Source 2025'!$Q:$Q,'Source 2025'!$B:$B,$A9,'Source 2025'!$A:$A,"Amount (NIS)")</f>
        <v>188767.1</v>
      </c>
      <c r="I9" s="32" t="n">
        <f aca="false">SUMIFS('Source 2026'!$Q:$Q,'Source 2026'!$B:$B,$A9,'Source 2026'!$A:$A,"Amount (NIS)")</f>
        <v>52314</v>
      </c>
      <c r="J9" s="32" t="n">
        <f aca="false">I9*$J$5</f>
        <v>66080.8421052632</v>
      </c>
      <c r="K9" s="32" t="n">
        <f aca="false">J9-H9</f>
        <v>-122686.257894737</v>
      </c>
      <c r="L9" s="31" t="n">
        <f aca="false">IF(AND(H9=0,J9=0),0,IF(H9=0,"New",(J9-H9)/H9))</f>
        <v>-0.649934537823259</v>
      </c>
    </row>
    <row r="10" customFormat="false" ht="15" hidden="false" customHeight="false" outlineLevel="0" collapsed="false">
      <c r="A10" s="28" t="s">
        <v>155</v>
      </c>
      <c r="B10" s="28" t="str">
        <f aca="false">IFERROR(INDEX('Source 2026'!$C:$C,MATCH($A10,'Source 2026'!$B:$B,0)),IFERROR(INDEX('Source 2025'!$C:$C,MATCH($A10,'Source 2025'!$B:$B,0)),""))</f>
        <v>מדרסי אפיק ג'ל נוחות</v>
      </c>
      <c r="C10" s="29" t="n">
        <f aca="false">SUMIFS('Source 2025'!$Q:$Q,'Source 2025'!$B:$B,$A10,'Source 2025'!$A:$A,"Quantity (units)")</f>
        <v>2122</v>
      </c>
      <c r="D10" s="29" t="n">
        <f aca="false">SUMIFS('Source 2026'!$Q:$Q,'Source 2026'!$B:$B,$A10,'Source 2026'!$A:$A,"Quantity (units)")</f>
        <v>789</v>
      </c>
      <c r="E10" s="30" t="n">
        <f aca="false">D10*$J$5</f>
        <v>996.631578947368</v>
      </c>
      <c r="F10" s="30" t="n">
        <f aca="false">E10-C10</f>
        <v>-1125.36842105263</v>
      </c>
      <c r="G10" s="31" t="n">
        <f aca="false">IF(AND(C10=0,E10=0),0,IF(C10=0,"New",(E10-C10)/C10))</f>
        <v>-0.530333845924897</v>
      </c>
      <c r="H10" s="32" t="n">
        <f aca="false">SUMIFS('Source 2025'!$Q:$Q,'Source 2025'!$B:$B,$A10,'Source 2025'!$A:$A,"Amount (NIS)")</f>
        <v>197774.9</v>
      </c>
      <c r="I10" s="32" t="n">
        <f aca="false">SUMIFS('Source 2026'!$Q:$Q,'Source 2026'!$B:$B,$A10,'Source 2026'!$A:$A,"Amount (NIS)")</f>
        <v>78734.4</v>
      </c>
      <c r="J10" s="32" t="n">
        <f aca="false">I10*$J$5</f>
        <v>99453.9789473684</v>
      </c>
      <c r="K10" s="32" t="n">
        <f aca="false">J10-H10</f>
        <v>-98320.9210526316</v>
      </c>
      <c r="L10" s="31" t="n">
        <f aca="false">IF(AND(H10=0,J10=0),0,IF(H10=0,"New",(J10-H10)/H10))</f>
        <v>-0.497135486113918</v>
      </c>
    </row>
    <row r="11" customFormat="false" ht="15" hidden="false" customHeight="false" outlineLevel="0" collapsed="false">
      <c r="A11" s="28" t="s">
        <v>61</v>
      </c>
      <c r="B11" s="28" t="str">
        <f aca="false">IFERROR(INDEX('Source 2026'!$C:$C,MATCH($A11,'Source 2026'!$B:$B,0)),IFERROR(INDEX('Source 2025'!$C:$C,MATCH($A11,'Source 2025'!$B:$B,0)),""))</f>
        <v>L סד ליד דו צדדי לאחר שבר</v>
      </c>
      <c r="C11" s="29" t="n">
        <f aca="false">SUMIFS('Source 2025'!$Q:$Q,'Source 2025'!$B:$B,$A11,'Source 2025'!$A:$A,"Quantity (units)")</f>
        <v>2550</v>
      </c>
      <c r="D11" s="29" t="n">
        <f aca="false">SUMIFS('Source 2026'!$Q:$Q,'Source 2026'!$B:$B,$A11,'Source 2026'!$A:$A,"Quantity (units)")</f>
        <v>1172</v>
      </c>
      <c r="E11" s="30" t="n">
        <f aca="false">D11*$J$5</f>
        <v>1480.42105263158</v>
      </c>
      <c r="F11" s="30" t="n">
        <f aca="false">E11-C11</f>
        <v>-1069.57894736842</v>
      </c>
      <c r="G11" s="31" t="n">
        <f aca="false">IF(AND(C11=0,E11=0),0,IF(C11=0,"New",(E11-C11)/C11))</f>
        <v>-0.419442724458204</v>
      </c>
      <c r="H11" s="32" t="n">
        <f aca="false">SUMIFS('Source 2025'!$Q:$Q,'Source 2025'!$B:$B,$A11,'Source 2025'!$A:$A,"Amount (NIS)")</f>
        <v>208574.2</v>
      </c>
      <c r="I11" s="32" t="n">
        <f aca="false">SUMIFS('Source 2026'!$Q:$Q,'Source 2026'!$B:$B,$A11,'Source 2026'!$A:$A,"Amount (NIS)")</f>
        <v>97035.9</v>
      </c>
      <c r="J11" s="32" t="n">
        <f aca="false">I11*$J$5</f>
        <v>122571.663157895</v>
      </c>
      <c r="K11" s="32" t="n">
        <f aca="false">J11-H11</f>
        <v>-86002.5368421053</v>
      </c>
      <c r="L11" s="31" t="n">
        <f aca="false">IF(AND(H11=0,J11=0),0,IF(H11=0,"New",(J11-H11)/H11))</f>
        <v>-0.412335451086977</v>
      </c>
    </row>
    <row r="12" customFormat="false" ht="15" hidden="false" customHeight="false" outlineLevel="0" collapsed="false">
      <c r="A12" s="28" t="s">
        <v>70</v>
      </c>
      <c r="B12" s="28" t="str">
        <f aca="false">IFERROR(INDEX('Source 2026'!$C:$C,MATCH($A12,'Source 2026'!$B:$B,0)),IFERROR(INDEX('Source 2025'!$C:$C,MATCH($A12,'Source 2025'!$B:$B,0)),""))</f>
        <v>S מגן קרסול חום</v>
      </c>
      <c r="C12" s="29" t="n">
        <f aca="false">SUMIFS('Source 2025'!$Q:$Q,'Source 2025'!$B:$B,$A12,'Source 2025'!$A:$A,"Quantity (units)")</f>
        <v>10751</v>
      </c>
      <c r="D12" s="29" t="n">
        <f aca="false">SUMIFS('Source 2026'!$Q:$Q,'Source 2026'!$B:$B,$A12,'Source 2026'!$A:$A,"Quantity (units)")</f>
        <v>7007</v>
      </c>
      <c r="E12" s="30" t="n">
        <f aca="false">D12*$J$5</f>
        <v>8850.94736842105</v>
      </c>
      <c r="F12" s="30" t="n">
        <f aca="false">E12-C12</f>
        <v>-1900.05263157895</v>
      </c>
      <c r="G12" s="31" t="n">
        <f aca="false">IF(AND(C12=0,E12=0),0,IF(C12=0,"New",(E12-C12)/C12))</f>
        <v>-0.176732641761599</v>
      </c>
      <c r="H12" s="32" t="n">
        <f aca="false">SUMIFS('Source 2025'!$Q:$Q,'Source 2025'!$B:$B,$A12,'Source 2025'!$A:$A,"Amount (NIS)")</f>
        <v>276617</v>
      </c>
      <c r="I12" s="32" t="n">
        <f aca="false">SUMIFS('Source 2026'!$Q:$Q,'Source 2026'!$B:$B,$A12,'Source 2026'!$A:$A,"Amount (NIS)")</f>
        <v>183180</v>
      </c>
      <c r="J12" s="32" t="n">
        <f aca="false">I12*$J$5</f>
        <v>231385.263157895</v>
      </c>
      <c r="K12" s="32" t="n">
        <f aca="false">J12-H12</f>
        <v>-45231.7368421053</v>
      </c>
      <c r="L12" s="31" t="n">
        <f aca="false">IF(AND(H12=0,J12=0),0,IF(H12=0,"New",(J12-H12)/H12))</f>
        <v>-0.163517559810515</v>
      </c>
    </row>
    <row r="13" customFormat="false" ht="15" hidden="false" customHeight="false" outlineLevel="0" collapsed="false">
      <c r="A13" s="28" t="s">
        <v>54</v>
      </c>
      <c r="B13" s="28" t="str">
        <f aca="false">IFERROR(INDEX('Source 2026'!$C:$C,MATCH($A13,'Source 2026'!$B:$B,0)),IFERROR(INDEX('Source 2025'!$C:$C,MATCH($A13,'Source 2025'!$B:$B,0)),""))</f>
        <v>S  חבק יד ארוך</v>
      </c>
      <c r="C13" s="29" t="n">
        <f aca="false">SUMIFS('Source 2025'!$Q:$Q,'Source 2025'!$B:$B,$A13,'Source 2025'!$A:$A,"Quantity (units)")</f>
        <v>8258</v>
      </c>
      <c r="D13" s="29" t="n">
        <f aca="false">SUMIFS('Source 2026'!$Q:$Q,'Source 2026'!$B:$B,$A13,'Source 2026'!$A:$A,"Quantity (units)")</f>
        <v>5458</v>
      </c>
      <c r="E13" s="30" t="n">
        <f aca="false">D13*$J$5</f>
        <v>6894.31578947368</v>
      </c>
      <c r="F13" s="30" t="n">
        <f aca="false">E13-C13</f>
        <v>-1363.68421052632</v>
      </c>
      <c r="G13" s="31" t="n">
        <f aca="false">IF(AND(C13=0,E13=0),0,IF(C13=0,"New",(E13-C13)/C13))</f>
        <v>-0.165134924985023</v>
      </c>
      <c r="H13" s="32" t="n">
        <f aca="false">SUMIFS('Source 2025'!$Q:$Q,'Source 2025'!$B:$B,$A13,'Source 2025'!$A:$A,"Amount (NIS)")</f>
        <v>269862.5</v>
      </c>
      <c r="I13" s="32" t="n">
        <f aca="false">SUMIFS('Source 2026'!$Q:$Q,'Source 2026'!$B:$B,$A13,'Source 2026'!$A:$A,"Amount (NIS)")</f>
        <v>179838.7</v>
      </c>
      <c r="J13" s="32" t="n">
        <f aca="false">I13*$J$5</f>
        <v>227164.673684211</v>
      </c>
      <c r="K13" s="32" t="n">
        <f aca="false">J13-H13</f>
        <v>-42697.8263157895</v>
      </c>
      <c r="L13" s="31" t="n">
        <f aca="false">IF(AND(H13=0,J13=0),0,IF(H13=0,"New",(J13-H13)/H13))</f>
        <v>-0.158220672808521</v>
      </c>
    </row>
    <row r="14" customFormat="false" ht="15" hidden="false" customHeight="false" outlineLevel="0" collapsed="false">
      <c r="A14" s="28" t="s">
        <v>56</v>
      </c>
      <c r="B14" s="28" t="str">
        <f aca="false">IFERROR(INDEX('Source 2026'!$C:$C,MATCH($A14,'Source 2026'!$B:$B,0)),IFERROR(INDEX('Source 2025'!$C:$C,MATCH($A14,'Source 2025'!$B:$B,0)),""))</f>
        <v>טיסה אנטי בקטרי35-38</v>
      </c>
      <c r="C14" s="29" t="n">
        <f aca="false">SUMIFS('Source 2025'!$Q:$Q,'Source 2025'!$B:$B,$A14,'Source 2025'!$A:$A,"Quantity (units)")</f>
        <v>0</v>
      </c>
      <c r="D14" s="29" t="n">
        <f aca="false">SUMIFS('Source 2026'!$Q:$Q,'Source 2026'!$B:$B,$A14,'Source 2026'!$A:$A,"Quantity (units)")</f>
        <v>1552</v>
      </c>
      <c r="E14" s="30" t="n">
        <f aca="false">D14*$J$5</f>
        <v>1960.42105263158</v>
      </c>
      <c r="F14" s="30" t="n">
        <f aca="false">E14-C14</f>
        <v>1960.42105263158</v>
      </c>
      <c r="G14" s="31" t="str">
        <f aca="false">IF(AND(C14=0,E14=0),0,IF(C14=0,"New",(E14-C14)/C14))</f>
        <v>New</v>
      </c>
      <c r="H14" s="32" t="n">
        <f aca="false">SUMIFS('Source 2025'!$Q:$Q,'Source 2025'!$B:$B,$A14,'Source 2025'!$A:$A,"Amount (NIS)")</f>
        <v>0</v>
      </c>
      <c r="I14" s="32" t="n">
        <f aca="false">SUMIFS('Source 2026'!$Q:$Q,'Source 2026'!$B:$B,$A14,'Source 2026'!$A:$A,"Amount (NIS)")</f>
        <v>84761</v>
      </c>
      <c r="J14" s="32" t="n">
        <f aca="false">I14*$J$5</f>
        <v>107066.526315789</v>
      </c>
      <c r="K14" s="32" t="n">
        <f aca="false">J14-H14</f>
        <v>107066.526315789</v>
      </c>
      <c r="L14" s="31" t="str">
        <f aca="false">IF(AND(H14=0,J14=0),0,IF(H14=0,"New",(J14-H14)/H14))</f>
        <v>New</v>
      </c>
    </row>
    <row r="15" customFormat="false" ht="15" hidden="false" customHeight="false" outlineLevel="0" collapsed="false">
      <c r="A15" s="28" t="s">
        <v>55</v>
      </c>
      <c r="B15" s="28" t="str">
        <f aca="false">IFERROR(INDEX('Source 2026'!$C:$C,MATCH($A15,'Source 2026'!$B:$B,0)),IFERROR(INDEX('Source 2025'!$C:$C,MATCH($A15,'Source 2025'!$B:$B,0)),""))</f>
        <v>35-38 גרבי טיסה מידה</v>
      </c>
      <c r="C15" s="29" t="n">
        <f aca="false">SUMIFS('Source 2025'!$Q:$Q,'Source 2025'!$B:$B,$A15,'Source 2025'!$A:$A,"Quantity (units)")</f>
        <v>1506</v>
      </c>
      <c r="D15" s="29" t="n">
        <f aca="false">SUMIFS('Source 2026'!$Q:$Q,'Source 2026'!$B:$B,$A15,'Source 2026'!$A:$A,"Quantity (units)")</f>
        <v>-10</v>
      </c>
      <c r="E15" s="30" t="n">
        <f aca="false">D15*$J$5</f>
        <v>-12.6315789473684</v>
      </c>
      <c r="F15" s="30" t="n">
        <f aca="false">E15-C15</f>
        <v>-1518.63157894737</v>
      </c>
      <c r="G15" s="31" t="n">
        <f aca="false">IF(AND(C15=0,E15=0),0,IF(C15=0,"New",(E15-C15)/C15))</f>
        <v>-1.00838750262109</v>
      </c>
      <c r="H15" s="32" t="n">
        <f aca="false">SUMIFS('Source 2025'!$Q:$Q,'Source 2025'!$B:$B,$A15,'Source 2025'!$A:$A,"Amount (NIS)")</f>
        <v>79204.9</v>
      </c>
      <c r="I15" s="32" t="n">
        <f aca="false">SUMIFS('Source 2026'!$Q:$Q,'Source 2026'!$B:$B,$A15,'Source 2026'!$A:$A,"Amount (NIS)")</f>
        <v>-514.5</v>
      </c>
      <c r="J15" s="32" t="n">
        <f aca="false">I15*$J$5</f>
        <v>-649.894736842105</v>
      </c>
      <c r="K15" s="32" t="n">
        <f aca="false">J15-H15</f>
        <v>-79854.7947368421</v>
      </c>
      <c r="L15" s="31" t="n">
        <f aca="false">IF(AND(H15=0,J15=0),0,IF(H15=0,"New",(J15-H15)/H15))</f>
        <v>-1.00820523397974</v>
      </c>
    </row>
    <row r="16" customFormat="false" ht="15" hidden="false" customHeight="false" outlineLevel="0" collapsed="false">
      <c r="A16" s="28" t="s">
        <v>69</v>
      </c>
      <c r="B16" s="28" t="str">
        <f aca="false">IFERROR(INDEX('Source 2026'!$C:$C,MATCH($A16,'Source 2026'!$B:$B,0)),IFERROR(INDEX('Source 2025'!$C:$C,MATCH($A16,'Source 2025'!$B:$B,0)),""))</f>
        <v>M מגן קרסול עקב סגור</v>
      </c>
      <c r="C16" s="29" t="n">
        <f aca="false">SUMIFS('Source 2025'!$Q:$Q,'Source 2025'!$B:$B,$A16,'Source 2025'!$A:$A,"Quantity (units)")</f>
        <v>6177</v>
      </c>
      <c r="D16" s="29" t="n">
        <f aca="false">SUMIFS('Source 2026'!$Q:$Q,'Source 2026'!$B:$B,$A16,'Source 2026'!$A:$A,"Quantity (units)")</f>
        <v>4200</v>
      </c>
      <c r="E16" s="30" t="n">
        <f aca="false">D16*$J$5</f>
        <v>5305.26315789474</v>
      </c>
      <c r="F16" s="30" t="n">
        <f aca="false">E16-C16</f>
        <v>-871.736842105263</v>
      </c>
      <c r="G16" s="31" t="n">
        <f aca="false">IF(AND(C16=0,E16=0),0,IF(C16=0,"New",(E16-C16)/C16))</f>
        <v>-0.141126249329005</v>
      </c>
      <c r="H16" s="32" t="n">
        <f aca="false">SUMIFS('Source 2025'!$Q:$Q,'Source 2025'!$B:$B,$A16,'Source 2025'!$A:$A,"Amount (NIS)")</f>
        <v>231846.4</v>
      </c>
      <c r="I16" s="32" t="n">
        <f aca="false">SUMIFS('Source 2026'!$Q:$Q,'Source 2026'!$B:$B,$A16,'Source 2026'!$A:$A,"Amount (NIS)")</f>
        <v>159810.8</v>
      </c>
      <c r="J16" s="32" t="n">
        <f aca="false">I16*$J$5</f>
        <v>201866.273684211</v>
      </c>
      <c r="K16" s="32" t="n">
        <f aca="false">J16-H16</f>
        <v>-29980.1263157895</v>
      </c>
      <c r="L16" s="31" t="n">
        <f aca="false">IF(AND(H16=0,J16=0),0,IF(H16=0,"New",(J16-H16)/H16))</f>
        <v>-0.129310294728706</v>
      </c>
    </row>
    <row r="17" customFormat="false" ht="15" hidden="false" customHeight="false" outlineLevel="0" collapsed="false">
      <c r="A17" s="28" t="s">
        <v>71</v>
      </c>
      <c r="B17" s="28" t="str">
        <f aca="false">IFERROR(INDEX('Source 2026'!$C:$C,MATCH($A17,'Source 2026'!$B:$B,0)),IFERROR(INDEX('Source 2025'!$C:$C,MATCH($A17,'Source 2025'!$B:$B,0)),""))</f>
        <v>מישר כתפיים אקטיב</v>
      </c>
      <c r="C17" s="29" t="n">
        <f aca="false">SUMIFS('Source 2025'!$Q:$Q,'Source 2025'!$B:$B,$A17,'Source 2025'!$A:$A,"Quantity (units)")</f>
        <v>659</v>
      </c>
      <c r="D17" s="29" t="n">
        <f aca="false">SUMIFS('Source 2026'!$Q:$Q,'Source 2026'!$B:$B,$A17,'Source 2026'!$A:$A,"Quantity (units)")</f>
        <v>1707</v>
      </c>
      <c r="E17" s="30" t="n">
        <f aca="false">D17*$J$5</f>
        <v>2156.21052631579</v>
      </c>
      <c r="F17" s="30" t="n">
        <f aca="false">E17-C17</f>
        <v>1497.21052631579</v>
      </c>
      <c r="G17" s="31" t="n">
        <f aca="false">IF(AND(C17=0,E17=0),0,IF(C17=0,"New",(E17-C17)/C17))</f>
        <v>2.27194313553231</v>
      </c>
      <c r="H17" s="32" t="n">
        <f aca="false">SUMIFS('Source 2025'!$Q:$Q,'Source 2025'!$B:$B,$A17,'Source 2025'!$A:$A,"Amount (NIS)")</f>
        <v>40255.2</v>
      </c>
      <c r="I17" s="32" t="n">
        <f aca="false">SUMIFS('Source 2026'!$Q:$Q,'Source 2026'!$B:$B,$A17,'Source 2026'!$A:$A,"Amount (NIS)")</f>
        <v>109715.2</v>
      </c>
      <c r="J17" s="32" t="n">
        <f aca="false">I17*$J$5</f>
        <v>138587.621052632</v>
      </c>
      <c r="K17" s="32" t="n">
        <f aca="false">J17-H17</f>
        <v>98332.4210526316</v>
      </c>
      <c r="L17" s="31" t="n">
        <f aca="false">IF(AND(H17=0,J17=0),0,IF(H17=0,"New",(J17-H17)/H17))</f>
        <v>2.44272593485144</v>
      </c>
    </row>
    <row r="18" customFormat="false" ht="15" hidden="false" customHeight="false" outlineLevel="0" collapsed="false">
      <c r="A18" s="28" t="s">
        <v>63</v>
      </c>
      <c r="B18" s="28" t="str">
        <f aca="false">IFERROR(INDEX('Source 2026'!$C:$C,MATCH($A18,'Source 2026'!$B:$B,0)),IFERROR(INDEX('Source 2025'!$C:$C,MATCH($A18,'Source 2025'!$B:$B,0)),""))</f>
        <v>S מגן ברך חום</v>
      </c>
      <c r="C18" s="29" t="n">
        <f aca="false">SUMIFS('Source 2025'!$Q:$Q,'Source 2025'!$B:$B,$A18,'Source 2025'!$A:$A,"Quantity (units)")</f>
        <v>10069</v>
      </c>
      <c r="D18" s="29" t="n">
        <f aca="false">SUMIFS('Source 2026'!$Q:$Q,'Source 2026'!$B:$B,$A18,'Source 2026'!$A:$A,"Quantity (units)")</f>
        <v>7331</v>
      </c>
      <c r="E18" s="30" t="n">
        <f aca="false">D18*$J$5</f>
        <v>9260.21052631579</v>
      </c>
      <c r="F18" s="30" t="n">
        <f aca="false">E18-C18</f>
        <v>-808.789473684212</v>
      </c>
      <c r="G18" s="31" t="n">
        <f aca="false">IF(AND(C18=0,E18=0),0,IF(C18=0,"New",(E18-C18)/C18))</f>
        <v>-0.0803247068908742</v>
      </c>
      <c r="H18" s="32" t="n">
        <f aca="false">SUMIFS('Source 2025'!$Q:$Q,'Source 2025'!$B:$B,$A18,'Source 2025'!$A:$A,"Amount (NIS)")</f>
        <v>259116.9</v>
      </c>
      <c r="I18" s="32" t="n">
        <f aca="false">SUMIFS('Source 2026'!$Q:$Q,'Source 2026'!$B:$B,$A18,'Source 2026'!$A:$A,"Amount (NIS)")</f>
        <v>190767.7</v>
      </c>
      <c r="J18" s="32" t="n">
        <f aca="false">I18*$J$5</f>
        <v>240969.726315789</v>
      </c>
      <c r="K18" s="32" t="n">
        <f aca="false">J18-H18</f>
        <v>-18147.1736842105</v>
      </c>
      <c r="L18" s="31" t="n">
        <f aca="false">IF(AND(H18=0,J18=0),0,IF(H18=0,"New",(J18-H18)/H18))</f>
        <v>-0.070034697405729</v>
      </c>
    </row>
    <row r="19" customFormat="false" ht="15" hidden="false" customHeight="false" outlineLevel="0" collapsed="false">
      <c r="A19" s="28" t="s">
        <v>170</v>
      </c>
      <c r="B19" s="28" t="str">
        <f aca="false">IFERROR(INDEX('Source 2026'!$C:$C,MATCH($A19,'Source 2026'!$B:$B,0)),IFERROR(INDEX('Source 2025'!$C:$C,MATCH($A19,'Source 2025'!$B:$B,0)),""))</f>
        <v>S 'מגן ברך ארוך בז</v>
      </c>
      <c r="C19" s="29" t="n">
        <f aca="false">SUMIFS('Source 2025'!$Q:$Q,'Source 2025'!$B:$B,$A19,'Source 2025'!$A:$A,"Quantity (units)")</f>
        <v>9351</v>
      </c>
      <c r="D19" s="29" t="n">
        <f aca="false">SUMIFS('Source 2026'!$Q:$Q,'Source 2026'!$B:$B,$A19,'Source 2026'!$A:$A,"Quantity (units)")</f>
        <v>7130</v>
      </c>
      <c r="E19" s="30" t="n">
        <f aca="false">D19*$J$5</f>
        <v>9006.31578947368</v>
      </c>
      <c r="F19" s="30" t="n">
        <f aca="false">E19-C19</f>
        <v>-344.684210526317</v>
      </c>
      <c r="G19" s="31" t="n">
        <f aca="false">IF(AND(C19=0,E19=0),0,IF(C19=0,"New",(E19-C19)/C19))</f>
        <v>-0.0368606791280416</v>
      </c>
      <c r="H19" s="32" t="n">
        <f aca="false">SUMIFS('Source 2025'!$Q:$Q,'Source 2025'!$B:$B,$A19,'Source 2025'!$A:$A,"Amount (NIS)")</f>
        <v>290388.7</v>
      </c>
      <c r="I19" s="32" t="n">
        <f aca="false">SUMIFS('Source 2026'!$Q:$Q,'Source 2026'!$B:$B,$A19,'Source 2026'!$A:$A,"Amount (NIS)")</f>
        <v>222926.7</v>
      </c>
      <c r="J19" s="32" t="n">
        <f aca="false">I19*$J$5</f>
        <v>281591.621052632</v>
      </c>
      <c r="K19" s="32" t="n">
        <f aca="false">J19-H19</f>
        <v>-8797.07894736843</v>
      </c>
      <c r="L19" s="31" t="n">
        <f aca="false">IF(AND(H19=0,J19=0),0,IF(H19=0,"New",(J19-H19)/H19))</f>
        <v>-0.0302941503831534</v>
      </c>
    </row>
    <row r="20" customFormat="false" ht="15" hidden="false" customHeight="false" outlineLevel="0" collapsed="false">
      <c r="A20" s="28" t="s">
        <v>90</v>
      </c>
      <c r="B20" s="28" t="str">
        <f aca="false">IFERROR(INDEX('Source 2026'!$C:$C,MATCH($A20,'Source 2026'!$B:$B,0)),IFERROR(INDEX('Source 2025'!$C:$C,MATCH($A20,'Source 2025'!$B:$B,0)),""))</f>
        <v>Sמגן ברך ארוך לבן</v>
      </c>
      <c r="C20" s="29" t="n">
        <f aca="false">SUMIFS('Source 2025'!$Q:$Q,'Source 2025'!$B:$B,$A20,'Source 2025'!$A:$A,"Quantity (units)")</f>
        <v>4657</v>
      </c>
      <c r="D20" s="29" t="n">
        <f aca="false">SUMIFS('Source 2026'!$Q:$Q,'Source 2026'!$B:$B,$A20,'Source 2026'!$A:$A,"Quantity (units)")</f>
        <v>2675</v>
      </c>
      <c r="E20" s="30" t="n">
        <f aca="false">D20*$J$5</f>
        <v>3378.94736842105</v>
      </c>
      <c r="F20" s="30" t="n">
        <f aca="false">E20-C20</f>
        <v>-1278.05263157895</v>
      </c>
      <c r="G20" s="31" t="n">
        <f aca="false">IF(AND(C20=0,E20=0),0,IF(C20=0,"New",(E20-C20)/C20))</f>
        <v>-0.274436897483132</v>
      </c>
      <c r="H20" s="32" t="n">
        <f aca="false">SUMIFS('Source 2025'!$Q:$Q,'Source 2025'!$B:$B,$A20,'Source 2025'!$A:$A,"Amount (NIS)")</f>
        <v>144547.9</v>
      </c>
      <c r="I20" s="32" t="n">
        <f aca="false">SUMIFS('Source 2026'!$Q:$Q,'Source 2026'!$B:$B,$A20,'Source 2026'!$A:$A,"Amount (NIS)")</f>
        <v>83475.2</v>
      </c>
      <c r="J20" s="32" t="n">
        <f aca="false">I20*$J$5</f>
        <v>105442.357894737</v>
      </c>
      <c r="K20" s="32" t="n">
        <f aca="false">J20-H20</f>
        <v>-39105.5421052631</v>
      </c>
      <c r="L20" s="31" t="n">
        <f aca="false">IF(AND(H20=0,J20=0),0,IF(H20=0,"New",(J20-H20)/H20))</f>
        <v>-0.270536909254739</v>
      </c>
    </row>
    <row r="21" customFormat="false" ht="15" hidden="false" customHeight="false" outlineLevel="0" collapsed="false">
      <c r="A21" s="28" t="s">
        <v>65</v>
      </c>
      <c r="B21" s="28" t="str">
        <f aca="false">IFERROR(INDEX('Source 2026'!$C:$C,MATCH($A21,'Source 2026'!$B:$B,0)),IFERROR(INDEX('Source 2025'!$C:$C,MATCH($A21,'Source 2025'!$B:$B,0)),""))</f>
        <v>L סד לאגודל לאחר שבר</v>
      </c>
      <c r="C21" s="29" t="n">
        <f aca="false">SUMIFS('Source 2025'!$Q:$Q,'Source 2025'!$B:$B,$A21,'Source 2025'!$A:$A,"Quantity (units)")</f>
        <v>1991</v>
      </c>
      <c r="D21" s="29" t="n">
        <f aca="false">SUMIFS('Source 2026'!$Q:$Q,'Source 2026'!$B:$B,$A21,'Source 2026'!$A:$A,"Quantity (units)")</f>
        <v>1240</v>
      </c>
      <c r="E21" s="30" t="n">
        <f aca="false">D21*$J$5</f>
        <v>1566.31578947368</v>
      </c>
      <c r="F21" s="30" t="n">
        <f aca="false">E21-C21</f>
        <v>-424.684210526316</v>
      </c>
      <c r="G21" s="31" t="n">
        <f aca="false">IF(AND(C21=0,E21=0),0,IF(C21=0,"New",(E21-C21)/C21))</f>
        <v>-0.213301964101615</v>
      </c>
      <c r="H21" s="32" t="n">
        <f aca="false">SUMIFS('Source 2025'!$Q:$Q,'Source 2025'!$B:$B,$A21,'Source 2025'!$A:$A,"Amount (NIS)")</f>
        <v>162880.5</v>
      </c>
      <c r="I21" s="32" t="n">
        <f aca="false">SUMIFS('Source 2026'!$Q:$Q,'Source 2026'!$B:$B,$A21,'Source 2026'!$A:$A,"Amount (NIS)")</f>
        <v>101877.3</v>
      </c>
      <c r="J21" s="32" t="n">
        <f aca="false">I21*$J$5</f>
        <v>128687.115789474</v>
      </c>
      <c r="K21" s="32" t="n">
        <f aca="false">J21-H21</f>
        <v>-34193.3842105263</v>
      </c>
      <c r="L21" s="31" t="n">
        <f aca="false">IF(AND(H21=0,J21=0),0,IF(H21=0,"New",(J21-H21)/H21))</f>
        <v>-0.209929268454642</v>
      </c>
    </row>
    <row r="22" customFormat="false" ht="15" hidden="false" customHeight="false" outlineLevel="0" collapsed="false">
      <c r="A22" s="28" t="s">
        <v>64</v>
      </c>
      <c r="B22" s="28" t="str">
        <f aca="false">IFERROR(INDEX('Source 2026'!$C:$C,MATCH($A22,'Source 2026'!$B:$B,0)),IFERROR(INDEX('Source 2025'!$C:$C,MATCH($A22,'Source 2025'!$B:$B,0)),""))</f>
        <v>סד ליד דו צדדי</v>
      </c>
      <c r="C22" s="29" t="n">
        <f aca="false">SUMIFS('Source 2025'!$Q:$Q,'Source 2025'!$B:$B,$A22,'Source 2025'!$A:$A,"Quantity (units)")</f>
        <v>4521</v>
      </c>
      <c r="D22" s="29" t="n">
        <f aca="false">SUMIFS('Source 2026'!$Q:$Q,'Source 2026'!$B:$B,$A22,'Source 2026'!$A:$A,"Quantity (units)")</f>
        <v>3632</v>
      </c>
      <c r="E22" s="30" t="n">
        <f aca="false">D22*$J$5</f>
        <v>4587.78947368421</v>
      </c>
      <c r="F22" s="30" t="n">
        <f aca="false">E22-C22</f>
        <v>66.78947368421</v>
      </c>
      <c r="G22" s="31" t="n">
        <f aca="false">IF(AND(C22=0,E22=0),0,IF(C22=0,"New",(E22-C22)/C22))</f>
        <v>0.014773163831942</v>
      </c>
      <c r="H22" s="32" t="n">
        <f aca="false">SUMIFS('Source 2025'!$Q:$Q,'Source 2025'!$B:$B,$A22,'Source 2025'!$A:$A,"Amount (NIS)")</f>
        <v>304743.2</v>
      </c>
      <c r="I22" s="32" t="n">
        <f aca="false">SUMIFS('Source 2026'!$Q:$Q,'Source 2026'!$B:$B,$A22,'Source 2026'!$A:$A,"Amount (NIS)")</f>
        <v>245794.8</v>
      </c>
      <c r="J22" s="32" t="n">
        <f aca="false">I22*$J$5</f>
        <v>310477.642105263</v>
      </c>
      <c r="K22" s="32" t="n">
        <f aca="false">J22-H22</f>
        <v>5734.44210526312</v>
      </c>
      <c r="L22" s="31" t="n">
        <f aca="false">IF(AND(H22=0,J22=0),0,IF(H22=0,"New",(J22-H22)/H22))</f>
        <v>0.0188172930692567</v>
      </c>
    </row>
    <row r="23" customFormat="false" ht="15" hidden="false" customHeight="false" outlineLevel="0" collapsed="false">
      <c r="A23" s="28" t="s">
        <v>149</v>
      </c>
      <c r="B23" s="28" t="str">
        <f aca="false">IFERROR(INDEX('Source 2026'!$C:$C,MATCH($A23,'Source 2026'!$B:$B,0)),IFERROR(INDEX('Source 2025'!$C:$C,MATCH($A23,'Source 2025'!$B:$B,0)),""))</f>
        <v>גב אפורה</v>
      </c>
      <c r="C23" s="29" t="n">
        <f aca="false">SUMIFS('Source 2025'!$Q:$Q,'Source 2025'!$B:$B,$A23,'Source 2025'!$A:$A,"Quantity (units)")</f>
        <v>1499</v>
      </c>
      <c r="D23" s="29" t="n">
        <f aca="false">SUMIFS('Source 2026'!$Q:$Q,'Source 2026'!$B:$B,$A23,'Source 2026'!$A:$A,"Quantity (units)")</f>
        <v>892</v>
      </c>
      <c r="E23" s="30" t="n">
        <f aca="false">D23*$J$5</f>
        <v>1126.73684210526</v>
      </c>
      <c r="F23" s="30" t="n">
        <f aca="false">E23-C23</f>
        <v>-372.263157894737</v>
      </c>
      <c r="G23" s="31" t="n">
        <f aca="false">IF(AND(C23=0,E23=0),0,IF(C23=0,"New",(E23-C23)/C23))</f>
        <v>-0.248340999262666</v>
      </c>
      <c r="H23" s="32" t="n">
        <f aca="false">SUMIFS('Source 2025'!$Q:$Q,'Source 2025'!$B:$B,$A23,'Source 2025'!$A:$A,"Amount (NIS)")</f>
        <v>137916.9</v>
      </c>
      <c r="I23" s="32" t="n">
        <f aca="false">SUMIFS('Source 2026'!$Q:$Q,'Source 2026'!$B:$B,$A23,'Source 2026'!$A:$A,"Amount (NIS)")</f>
        <v>83552.7</v>
      </c>
      <c r="J23" s="32" t="n">
        <f aca="false">I23*$J$5</f>
        <v>105540.252631579</v>
      </c>
      <c r="K23" s="32" t="n">
        <f aca="false">J23-H23</f>
        <v>-32376.6473684211</v>
      </c>
      <c r="L23" s="31" t="n">
        <f aca="false">IF(AND(H23=0,J23=0),0,IF(H23=0,"New",(J23-H23)/H23))</f>
        <v>-0.23475474991405</v>
      </c>
    </row>
    <row r="24" customFormat="false" ht="15" hidden="false" customHeight="false" outlineLevel="0" collapsed="false">
      <c r="A24" s="28" t="s">
        <v>207</v>
      </c>
      <c r="B24" s="28" t="str">
        <f aca="false">IFERROR(INDEX('Source 2026'!$C:$C,MATCH($A24,'Source 2026'!$B:$B,0)),IFERROR(INDEX('Source 2025'!$C:$C,MATCH($A24,'Source 2025'!$B:$B,0)),""))</f>
        <v>חגורת גב אפורה</v>
      </c>
      <c r="C24" s="29" t="n">
        <f aca="false">SUMIFS('Source 2025'!$Q:$Q,'Source 2025'!$B:$B,$A24,'Source 2025'!$A:$A,"Quantity (units)")</f>
        <v>1760</v>
      </c>
      <c r="D24" s="29" t="n">
        <f aca="false">SUMIFS('Source 2026'!$Q:$Q,'Source 2026'!$B:$B,$A24,'Source 2026'!$A:$A,"Quantity (units)")</f>
        <v>1180</v>
      </c>
      <c r="E24" s="30" t="n">
        <f aca="false">D24*$J$5</f>
        <v>1490.52631578947</v>
      </c>
      <c r="F24" s="30" t="n">
        <f aca="false">E24-C24</f>
        <v>-269.473684210526</v>
      </c>
      <c r="G24" s="31" t="n">
        <f aca="false">IF(AND(C24=0,E24=0),0,IF(C24=0,"New",(E24-C24)/C24))</f>
        <v>-0.15311004784689</v>
      </c>
      <c r="H24" s="32" t="n">
        <f aca="false">SUMIFS('Source 2025'!$Q:$Q,'Source 2025'!$B:$B,$A24,'Source 2025'!$A:$A,"Amount (NIS)")</f>
        <v>161994.9</v>
      </c>
      <c r="I24" s="32" t="n">
        <f aca="false">SUMIFS('Source 2026'!$Q:$Q,'Source 2026'!$B:$B,$A24,'Source 2026'!$A:$A,"Amount (NIS)")</f>
        <v>110437.7</v>
      </c>
      <c r="J24" s="32" t="n">
        <f aca="false">I24*$J$5</f>
        <v>139500.252631579</v>
      </c>
      <c r="K24" s="32" t="n">
        <f aca="false">J24-H24</f>
        <v>-22494.6473684211</v>
      </c>
      <c r="L24" s="31" t="n">
        <f aca="false">IF(AND(H24=0,J24=0),0,IF(H24=0,"New",(J24-H24)/H24))</f>
        <v>-0.138860219478644</v>
      </c>
    </row>
    <row r="25" customFormat="false" ht="15" hidden="false" customHeight="false" outlineLevel="0" collapsed="false">
      <c r="A25" s="28" t="s">
        <v>75</v>
      </c>
      <c r="B25" s="28" t="str">
        <f aca="false">IFERROR(INDEX('Source 2026'!$C:$C,MATCH($A25,'Source 2026'!$B:$B,0)),IFERROR(INDEX('Source 2025'!$C:$C,MATCH($A25,'Source 2025'!$B:$B,0)),""))</f>
        <v>S מגן קרסול לבן</v>
      </c>
      <c r="C25" s="29" t="n">
        <f aca="false">SUMIFS('Source 2025'!$Q:$Q,'Source 2025'!$B:$B,$A25,'Source 2025'!$A:$A,"Quantity (units)")</f>
        <v>5910</v>
      </c>
      <c r="D25" s="29" t="n">
        <f aca="false">SUMIFS('Source 2026'!$Q:$Q,'Source 2026'!$B:$B,$A25,'Source 2026'!$A:$A,"Quantity (units)")</f>
        <v>3889</v>
      </c>
      <c r="E25" s="30" t="n">
        <f aca="false">D25*$J$5</f>
        <v>4912.42105263158</v>
      </c>
      <c r="F25" s="30" t="n">
        <f aca="false">E25-C25</f>
        <v>-997.578947368422</v>
      </c>
      <c r="G25" s="31" t="n">
        <f aca="false">IF(AND(C25=0,E25=0),0,IF(C25=0,"New",(E25-C25)/C25))</f>
        <v>-0.168795084157093</v>
      </c>
      <c r="H25" s="32" t="n">
        <f aca="false">SUMIFS('Source 2025'!$Q:$Q,'Source 2025'!$B:$B,$A25,'Source 2025'!$A:$A,"Amount (NIS)")</f>
        <v>151929.9</v>
      </c>
      <c r="I25" s="32" t="n">
        <f aca="false">SUMIFS('Source 2026'!$Q:$Q,'Source 2026'!$B:$B,$A25,'Source 2026'!$A:$A,"Amount (NIS)")</f>
        <v>101337</v>
      </c>
      <c r="J25" s="32" t="n">
        <f aca="false">I25*$J$5</f>
        <v>128004.631578947</v>
      </c>
      <c r="K25" s="32" t="n">
        <f aca="false">J25-H25</f>
        <v>-23925.2684210526</v>
      </c>
      <c r="L25" s="31" t="n">
        <f aca="false">IF(AND(H25=0,J25=0),0,IF(H25=0,"New",(J25-H25)/H25))</f>
        <v>-0.157475707027074</v>
      </c>
    </row>
    <row r="26" customFormat="false" ht="15" hidden="false" customHeight="false" outlineLevel="0" collapsed="false">
      <c r="A26" s="28" t="s">
        <v>84</v>
      </c>
      <c r="B26" s="28" t="str">
        <f aca="false">IFERROR(INDEX('Source 2026'!$C:$C,MATCH($A26,'Source 2026'!$B:$B,0)),IFERROR(INDEX('Source 2025'!$C:$C,MATCH($A26,'Source 2025'!$B:$B,0)),""))</f>
        <v>S""חגורת בטן""אורירית</v>
      </c>
      <c r="C26" s="29" t="n">
        <f aca="false">SUMIFS('Source 2025'!$Q:$Q,'Source 2025'!$B:$B,$A26,'Source 2025'!$A:$A,"Quantity (units)")</f>
        <v>1369</v>
      </c>
      <c r="D26" s="29" t="n">
        <f aca="false">SUMIFS('Source 2026'!$Q:$Q,'Source 2026'!$B:$B,$A26,'Source 2026'!$A:$A,"Quantity (units)")</f>
        <v>805</v>
      </c>
      <c r="E26" s="30" t="n">
        <f aca="false">D26*$J$5</f>
        <v>1016.84210526316</v>
      </c>
      <c r="F26" s="30" t="n">
        <f aca="false">E26-C26</f>
        <v>-352.157894736842</v>
      </c>
      <c r="G26" s="31" t="n">
        <f aca="false">IF(AND(C26=0,E26=0),0,IF(C26=0,"New",(E26-C26)/C26))</f>
        <v>-0.257237322671178</v>
      </c>
      <c r="H26" s="32" t="n">
        <f aca="false">SUMIFS('Source 2025'!$Q:$Q,'Source 2025'!$B:$B,$A26,'Source 2025'!$A:$A,"Amount (NIS)")</f>
        <v>122995.2</v>
      </c>
      <c r="I26" s="32" t="n">
        <f aca="false">SUMIFS('Source 2026'!$Q:$Q,'Source 2026'!$B:$B,$A26,'Source 2026'!$A:$A,"Amount (NIS)")</f>
        <v>72957.1</v>
      </c>
      <c r="J26" s="32" t="n">
        <f aca="false">I26*$J$5</f>
        <v>92156.3368421052</v>
      </c>
      <c r="K26" s="32" t="n">
        <f aca="false">J26-H26</f>
        <v>-30838.8631578948</v>
      </c>
      <c r="L26" s="31" t="n">
        <f aca="false">IF(AND(H26=0,J26=0),0,IF(H26=0,"New",(J26-H26)/H26))</f>
        <v>-0.250732249371478</v>
      </c>
    </row>
    <row r="27" customFormat="false" ht="15" hidden="false" customHeight="false" outlineLevel="0" collapsed="false">
      <c r="A27" s="28" t="s">
        <v>76</v>
      </c>
      <c r="B27" s="28" t="str">
        <f aca="false">IFERROR(INDEX('Source 2026'!$C:$C,MATCH($A27,'Source 2026'!$B:$B,0)),IFERROR(INDEX('Source 2025'!$C:$C,MATCH($A27,'Source 2025'!$B:$B,0)),""))</f>
        <v>L מגן ברך לבן</v>
      </c>
      <c r="C27" s="29" t="n">
        <f aca="false">SUMIFS('Source 2025'!$Q:$Q,'Source 2025'!$B:$B,$A27,'Source 2025'!$A:$A,"Quantity (units)")</f>
        <v>5449</v>
      </c>
      <c r="D27" s="29" t="n">
        <f aca="false">SUMIFS('Source 2026'!$Q:$Q,'Source 2026'!$B:$B,$A27,'Source 2026'!$A:$A,"Quantity (units)")</f>
        <v>3475</v>
      </c>
      <c r="E27" s="30" t="n">
        <f aca="false">D27*$J$5</f>
        <v>4389.47368421053</v>
      </c>
      <c r="F27" s="30" t="n">
        <f aca="false">E27-C27</f>
        <v>-1059.52631578947</v>
      </c>
      <c r="G27" s="31" t="n">
        <f aca="false">IF(AND(C27=0,E27=0),0,IF(C27=0,"New",(E27-C27)/C27))</f>
        <v>-0.19444417614048</v>
      </c>
      <c r="H27" s="32" t="n">
        <f aca="false">SUMIFS('Source 2025'!$Q:$Q,'Source 2025'!$B:$B,$A27,'Source 2025'!$A:$A,"Amount (NIS)")</f>
        <v>140113</v>
      </c>
      <c r="I27" s="32" t="n">
        <f aca="false">SUMIFS('Source 2026'!$Q:$Q,'Source 2026'!$B:$B,$A27,'Source 2026'!$A:$A,"Amount (NIS)")</f>
        <v>90544.3</v>
      </c>
      <c r="J27" s="32" t="n">
        <f aca="false">I27*$J$5</f>
        <v>114371.747368421</v>
      </c>
      <c r="K27" s="32" t="n">
        <f aca="false">J27-H27</f>
        <v>-25741.2526315789</v>
      </c>
      <c r="L27" s="31" t="n">
        <f aca="false">IF(AND(H27=0,J27=0),0,IF(H27=0,"New",(J27-H27)/H27))</f>
        <v>-0.183717803712567</v>
      </c>
    </row>
    <row r="28" customFormat="false" ht="15" hidden="false" customHeight="false" outlineLevel="0" collapsed="false">
      <c r="A28" s="28" t="s">
        <v>101</v>
      </c>
      <c r="B28" s="28" t="str">
        <f aca="false">IFERROR(INDEX('Source 2026'!$C:$C,MATCH($A28,'Source 2026'!$B:$B,0)),IFERROR(INDEX('Source 2025'!$C:$C,MATCH($A28,'Source 2025'!$B:$B,0)),""))</f>
        <v>יד אגודלי</v>
      </c>
      <c r="C28" s="29" t="n">
        <f aca="false">SUMIFS('Source 2025'!$Q:$Q,'Source 2025'!$B:$B,$A28,'Source 2025'!$A:$A,"Quantity (units)")</f>
        <v>5414</v>
      </c>
      <c r="D28" s="29" t="n">
        <f aca="false">SUMIFS('Source 2026'!$Q:$Q,'Source 2026'!$B:$B,$A28,'Source 2026'!$A:$A,"Quantity (units)")</f>
        <v>4087</v>
      </c>
      <c r="E28" s="30" t="n">
        <f aca="false">D28*$J$5</f>
        <v>5162.52631578947</v>
      </c>
      <c r="F28" s="30" t="n">
        <f aca="false">E28-C28</f>
        <v>-251.473684210527</v>
      </c>
      <c r="G28" s="31" t="n">
        <f aca="false">IF(AND(C28=0,E28=0),0,IF(C28=0,"New",(E28-C28)/C28))</f>
        <v>-0.0464487780218926</v>
      </c>
      <c r="H28" s="32" t="n">
        <f aca="false">SUMIFS('Source 2025'!$Q:$Q,'Source 2025'!$B:$B,$A28,'Source 2025'!$A:$A,"Amount (NIS)")</f>
        <v>199054.3</v>
      </c>
      <c r="I28" s="32" t="n">
        <f aca="false">SUMIFS('Source 2026'!$Q:$Q,'Source 2026'!$B:$B,$A28,'Source 2026'!$A:$A,"Amount (NIS)")</f>
        <v>152480.8</v>
      </c>
      <c r="J28" s="32" t="n">
        <f aca="false">I28*$J$5</f>
        <v>192607.326315789</v>
      </c>
      <c r="K28" s="32" t="n">
        <f aca="false">J28-H28</f>
        <v>-6446.97368421053</v>
      </c>
      <c r="L28" s="31" t="n">
        <f aca="false">IF(AND(H28=0,J28=0),0,IF(H28=0,"New",(J28-H28)/H28))</f>
        <v>-0.0323880151506927</v>
      </c>
    </row>
    <row r="29" customFormat="false" ht="15" hidden="false" customHeight="false" outlineLevel="0" collapsed="false">
      <c r="A29" s="28" t="s">
        <v>72</v>
      </c>
      <c r="B29" s="28" t="str">
        <f aca="false">IFERROR(INDEX('Source 2026'!$C:$C,MATCH($A29,'Source 2026'!$B:$B,0)),IFERROR(INDEX('Source 2025'!$C:$C,MATCH($A29,'Source 2025'!$B:$B,0)),""))</f>
        <v>יד אגודלי</v>
      </c>
      <c r="C29" s="29" t="n">
        <f aca="false">SUMIFS('Source 2025'!$Q:$Q,'Source 2025'!$B:$B,$A29,'Source 2025'!$A:$A,"Quantity (units)")</f>
        <v>4392</v>
      </c>
      <c r="D29" s="29" t="n">
        <f aca="false">SUMIFS('Source 2026'!$Q:$Q,'Source 2026'!$B:$B,$A29,'Source 2026'!$A:$A,"Quantity (units)")</f>
        <v>3316</v>
      </c>
      <c r="E29" s="30" t="n">
        <f aca="false">D29*$J$5</f>
        <v>4188.63157894737</v>
      </c>
      <c r="F29" s="30" t="n">
        <f aca="false">E29-C29</f>
        <v>-203.368421052632</v>
      </c>
      <c r="G29" s="31" t="n">
        <f aca="false">IF(AND(C29=0,E29=0),0,IF(C29=0,"New",(E29-C29)/C29))</f>
        <v>-0.0463042853034225</v>
      </c>
      <c r="H29" s="32" t="n">
        <f aca="false">SUMIFS('Source 2025'!$Q:$Q,'Source 2025'!$B:$B,$A29,'Source 2025'!$A:$A,"Amount (NIS)")</f>
        <v>161481.4</v>
      </c>
      <c r="I29" s="32" t="n">
        <f aca="false">SUMIFS('Source 2026'!$Q:$Q,'Source 2026'!$B:$B,$A29,'Source 2026'!$A:$A,"Amount (NIS)")</f>
        <v>123767.5</v>
      </c>
      <c r="J29" s="32" t="n">
        <f aca="false">I29*$J$5</f>
        <v>156337.894736842</v>
      </c>
      <c r="K29" s="32" t="n">
        <f aca="false">J29-H29</f>
        <v>-5143.50526315789</v>
      </c>
      <c r="L29" s="31" t="n">
        <f aca="false">IF(AND(H29=0,J29=0),0,IF(H29=0,"New",(J29-H29)/H29))</f>
        <v>-0.0318519982063438</v>
      </c>
    </row>
    <row r="30" customFormat="false" ht="15" hidden="false" customHeight="false" outlineLevel="0" collapsed="false">
      <c r="A30" s="28" t="s">
        <v>325</v>
      </c>
      <c r="B30" s="28" t="str">
        <f aca="false">IFERROR(INDEX('Source 2026'!$C:$C,MATCH($A30,'Source 2026'!$B:$B,0)),IFERROR(INDEX('Source 2025'!$C:$C,MATCH($A30,'Source 2025'!$B:$B,0)),""))</f>
        <v>חגורת גב אפורה</v>
      </c>
      <c r="C30" s="29" t="n">
        <f aca="false">SUMIFS('Source 2025'!$Q:$Q,'Source 2025'!$B:$B,$A30,'Source 2025'!$A:$A,"Quantity (units)")</f>
        <v>1204</v>
      </c>
      <c r="D30" s="29" t="n">
        <f aca="false">SUMIFS('Source 2026'!$Q:$Q,'Source 2026'!$B:$B,$A30,'Source 2026'!$A:$A,"Quantity (units)")</f>
        <v>807</v>
      </c>
      <c r="E30" s="30" t="n">
        <f aca="false">D30*$J$5</f>
        <v>1019.36842105263</v>
      </c>
      <c r="F30" s="30" t="n">
        <f aca="false">E30-C30</f>
        <v>-184.631578947368</v>
      </c>
      <c r="G30" s="31" t="n">
        <f aca="false">IF(AND(C30=0,E30=0),0,IF(C30=0,"New",(E30-C30)/C30))</f>
        <v>-0.153348487497814</v>
      </c>
      <c r="H30" s="32" t="n">
        <f aca="false">SUMIFS('Source 2025'!$Q:$Q,'Source 2025'!$B:$B,$A30,'Source 2025'!$A:$A,"Amount (NIS)")</f>
        <v>110749.4</v>
      </c>
      <c r="I30" s="32" t="n">
        <f aca="false">SUMIFS('Source 2026'!$Q:$Q,'Source 2026'!$B:$B,$A30,'Source 2026'!$A:$A,"Amount (NIS)")</f>
        <v>75572.3</v>
      </c>
      <c r="J30" s="32" t="n">
        <f aca="false">I30*$J$5</f>
        <v>95459.7473684211</v>
      </c>
      <c r="K30" s="32" t="n">
        <f aca="false">J30-H30</f>
        <v>-15289.6526315789</v>
      </c>
      <c r="L30" s="31" t="n">
        <f aca="false">IF(AND(H30=0,J30=0),0,IF(H30=0,"New",(J30-H30)/H30))</f>
        <v>-0.138056302170296</v>
      </c>
    </row>
    <row r="31" customFormat="false" ht="15" hidden="false" customHeight="false" outlineLevel="0" collapsed="false">
      <c r="A31" s="28" t="s">
        <v>67</v>
      </c>
      <c r="B31" s="28" t="str">
        <f aca="false">IFERROR(INDEX('Source 2026'!$C:$C,MATCH($A31,'Source 2026'!$B:$B,0)),IFERROR(INDEX('Source 2025'!$C:$C,MATCH($A31,'Source 2025'!$B:$B,0)),""))</f>
        <v>L (מתלה ליד )כיס</v>
      </c>
      <c r="C31" s="29" t="n">
        <f aca="false">SUMIFS('Source 2025'!$Q:$Q,'Source 2025'!$B:$B,$A31,'Source 2025'!$A:$A,"Quantity (units)")</f>
        <v>2070</v>
      </c>
      <c r="D31" s="29" t="n">
        <f aca="false">SUMIFS('Source 2026'!$Q:$Q,'Source 2026'!$B:$B,$A31,'Source 2026'!$A:$A,"Quantity (units)")</f>
        <v>1381</v>
      </c>
      <c r="E31" s="30" t="n">
        <f aca="false">D31*$J$5</f>
        <v>1744.42105263158</v>
      </c>
      <c r="F31" s="30" t="n">
        <f aca="false">E31-C31</f>
        <v>-325.578947368421</v>
      </c>
      <c r="G31" s="31" t="n">
        <f aca="false">IF(AND(C31=0,E31=0),0,IF(C31=0,"New",(E31-C31)/C31))</f>
        <v>-0.157284515636918</v>
      </c>
      <c r="H31" s="32" t="n">
        <f aca="false">SUMIFS('Source 2025'!$Q:$Q,'Source 2025'!$B:$B,$A31,'Source 2025'!$A:$A,"Amount (NIS)")</f>
        <v>100585.5</v>
      </c>
      <c r="I31" s="32" t="n">
        <f aca="false">SUMIFS('Source 2026'!$Q:$Q,'Source 2026'!$B:$B,$A31,'Source 2026'!$A:$A,"Amount (NIS)")</f>
        <v>67122.1</v>
      </c>
      <c r="J31" s="32" t="n">
        <f aca="false">I31*$J$5</f>
        <v>84785.8105263158</v>
      </c>
      <c r="K31" s="32" t="n">
        <f aca="false">J31-H31</f>
        <v>-15799.6894736842</v>
      </c>
      <c r="L31" s="31" t="n">
        <f aca="false">IF(AND(H31=0,J31=0),0,IF(H31=0,"New",(J31-H31)/H31))</f>
        <v>-0.157077207685842</v>
      </c>
    </row>
    <row r="32" customFormat="false" ht="15" hidden="false" customHeight="false" outlineLevel="0" collapsed="false">
      <c r="A32" s="28" t="s">
        <v>60</v>
      </c>
      <c r="B32" s="28" t="str">
        <f aca="false">IFERROR(INDEX('Source 2026'!$C:$C,MATCH($A32,'Source 2026'!$B:$B,0)),IFERROR(INDEX('Source 2025'!$C:$C,MATCH($A32,'Source 2025'!$B:$B,0)),""))</f>
        <v>L עקבים לדורבן-זוג כריות</v>
      </c>
      <c r="C32" s="29" t="n">
        <f aca="false">SUMIFS('Source 2025'!$Q:$Q,'Source 2025'!$B:$B,$A32,'Source 2025'!$A:$A,"Quantity (units)")</f>
        <v>1284</v>
      </c>
      <c r="D32" s="29" t="n">
        <f aca="false">SUMIFS('Source 2026'!$Q:$Q,'Source 2026'!$B:$B,$A32,'Source 2026'!$A:$A,"Quantity (units)")</f>
        <v>924</v>
      </c>
      <c r="E32" s="30" t="n">
        <f aca="false">D32*$J$5</f>
        <v>1167.15789473684</v>
      </c>
      <c r="F32" s="30" t="n">
        <f aca="false">E32-C32</f>
        <v>-116.842105263158</v>
      </c>
      <c r="G32" s="31" t="n">
        <f aca="false">IF(AND(C32=0,E32=0),0,IF(C32=0,"New",(E32-C32)/C32))</f>
        <v>-0.0909985243482538</v>
      </c>
      <c r="H32" s="32" t="n">
        <f aca="false">SUMIFS('Source 2025'!$Q:$Q,'Source 2025'!$B:$B,$A32,'Source 2025'!$A:$A,"Amount (NIS)")</f>
        <v>104119.4</v>
      </c>
      <c r="I32" s="32" t="n">
        <f aca="false">SUMIFS('Source 2026'!$Q:$Q,'Source 2026'!$B:$B,$A32,'Source 2026'!$A:$A,"Amount (NIS)")</f>
        <v>74448.4</v>
      </c>
      <c r="J32" s="32" t="n">
        <f aca="false">I32*$J$5</f>
        <v>94040.0842105263</v>
      </c>
      <c r="K32" s="32" t="n">
        <f aca="false">J32-H32</f>
        <v>-10079.3157894737</v>
      </c>
      <c r="L32" s="31" t="n">
        <f aca="false">IF(AND(H32=0,J32=0),0,IF(H32=0,"New",(J32-H32)/H32))</f>
        <v>-0.0968053579781837</v>
      </c>
    </row>
    <row r="33" customFormat="false" ht="15" hidden="false" customHeight="false" outlineLevel="0" collapsed="false">
      <c r="A33" s="28" t="s">
        <v>59</v>
      </c>
      <c r="B33" s="28" t="str">
        <f aca="false">IFERROR(INDEX('Source 2026'!$C:$C,MATCH($A33,'Source 2026'!$B:$B,0)),IFERROR(INDEX('Source 2025'!$C:$C,MATCH($A33,'Source 2025'!$B:$B,0)),""))</f>
        <v>1 תומך ברך גנושילד</v>
      </c>
      <c r="C33" s="29" t="n">
        <f aca="false">SUMIFS('Source 2025'!$Q:$Q,'Source 2025'!$B:$B,$A33,'Source 2025'!$A:$A,"Quantity (units)")</f>
        <v>0</v>
      </c>
      <c r="D33" s="29" t="n">
        <f aca="false">SUMIFS('Source 2026'!$Q:$Q,'Source 2026'!$B:$B,$A33,'Source 2026'!$A:$A,"Quantity (units)")</f>
        <v>149</v>
      </c>
      <c r="E33" s="30" t="n">
        <f aca="false">D33*$J$5</f>
        <v>188.210526315789</v>
      </c>
      <c r="F33" s="30" t="n">
        <f aca="false">E33-C33</f>
        <v>188.210526315789</v>
      </c>
      <c r="G33" s="31" t="str">
        <f aca="false">IF(AND(C33=0,E33=0),0,IF(C33=0,"New",(E33-C33)/C33))</f>
        <v>New</v>
      </c>
      <c r="H33" s="32" t="n">
        <f aca="false">SUMIFS('Source 2025'!$Q:$Q,'Source 2025'!$B:$B,$A33,'Source 2025'!$A:$A,"Amount (NIS)")</f>
        <v>0</v>
      </c>
      <c r="I33" s="32" t="n">
        <f aca="false">SUMIFS('Source 2026'!$Q:$Q,'Source 2026'!$B:$B,$A33,'Source 2026'!$A:$A,"Amount (NIS)")</f>
        <v>26893.1</v>
      </c>
      <c r="J33" s="32" t="n">
        <f aca="false">I33*$J$5</f>
        <v>33970.2315789474</v>
      </c>
      <c r="K33" s="32" t="n">
        <f aca="false">J33-H33</f>
        <v>33970.2315789474</v>
      </c>
      <c r="L33" s="31" t="str">
        <f aca="false">IF(AND(H33=0,J33=0),0,IF(H33=0,"New",(J33-H33)/H33))</f>
        <v>New</v>
      </c>
    </row>
    <row r="34" customFormat="false" ht="15" hidden="false" customHeight="false" outlineLevel="0" collapsed="false">
      <c r="A34" s="28" t="s">
        <v>89</v>
      </c>
      <c r="B34" s="28" t="str">
        <f aca="false">IFERROR(INDEX('Source 2026'!$C:$C,MATCH($A34,'Source 2026'!$B:$B,0)),IFERROR(INDEX('Source 2025'!$C:$C,MATCH($A34,'Source 2025'!$B:$B,0)),""))</f>
        <v>M 'מגן מרפק בז</v>
      </c>
      <c r="C34" s="29" t="n">
        <f aca="false">SUMIFS('Source 2025'!$Q:$Q,'Source 2025'!$B:$B,$A34,'Source 2025'!$A:$A,"Quantity (units)")</f>
        <v>3002</v>
      </c>
      <c r="D34" s="29" t="n">
        <f aca="false">SUMIFS('Source 2026'!$Q:$Q,'Source 2026'!$B:$B,$A34,'Source 2026'!$A:$A,"Quantity (units)")</f>
        <v>1943</v>
      </c>
      <c r="E34" s="30" t="n">
        <f aca="false">D34*$J$5</f>
        <v>2454.31578947368</v>
      </c>
      <c r="F34" s="30" t="n">
        <f aca="false">E34-C34</f>
        <v>-547.684210526316</v>
      </c>
      <c r="G34" s="31" t="n">
        <f aca="false">IF(AND(C34=0,E34=0),0,IF(C34=0,"New",(E34-C34)/C34))</f>
        <v>-0.182439776990778</v>
      </c>
      <c r="H34" s="32" t="n">
        <f aca="false">SUMIFS('Source 2025'!$Q:$Q,'Source 2025'!$B:$B,$A34,'Source 2025'!$A:$A,"Amount (NIS)")</f>
        <v>77209.1</v>
      </c>
      <c r="I34" s="32" t="n">
        <f aca="false">SUMIFS('Source 2026'!$Q:$Q,'Source 2026'!$B:$B,$A34,'Source 2026'!$A:$A,"Amount (NIS)")</f>
        <v>50700.2</v>
      </c>
      <c r="J34" s="32" t="n">
        <f aca="false">I34*$J$5</f>
        <v>64042.3578947368</v>
      </c>
      <c r="K34" s="32" t="n">
        <f aca="false">J34-H34</f>
        <v>-13166.7421052632</v>
      </c>
      <c r="L34" s="31" t="n">
        <f aca="false">IF(AND(H34=0,J34=0),0,IF(H34=0,"New",(J34-H34)/H34))</f>
        <v>-0.170533552460308</v>
      </c>
    </row>
    <row r="35" customFormat="false" ht="15" hidden="false" customHeight="false" outlineLevel="0" collapsed="false">
      <c r="A35" s="28" t="s">
        <v>122</v>
      </c>
      <c r="B35" s="28" t="str">
        <f aca="false">IFERROR(INDEX('Source 2026'!$C:$C,MATCH($A35,'Source 2026'!$B:$B,0)),IFERROR(INDEX('Source 2025'!$C:$C,MATCH($A35,'Source 2025'!$B:$B,0)),""))</f>
        <v>מגן ברך עם תמיכות</v>
      </c>
      <c r="C35" s="29" t="n">
        <f aca="false">SUMIFS('Source 2025'!$Q:$Q,'Source 2025'!$B:$B,$A35,'Source 2025'!$A:$A,"Quantity (units)")</f>
        <v>87</v>
      </c>
      <c r="D35" s="29" t="n">
        <f aca="false">SUMIFS('Source 2026'!$Q:$Q,'Source 2026'!$B:$B,$A35,'Source 2026'!$A:$A,"Quantity (units)")</f>
        <v>480</v>
      </c>
      <c r="E35" s="30" t="n">
        <f aca="false">D35*$J$5</f>
        <v>606.315789473684</v>
      </c>
      <c r="F35" s="30" t="n">
        <f aca="false">E35-C35</f>
        <v>519.315789473684</v>
      </c>
      <c r="G35" s="31" t="n">
        <f aca="false">IF(AND(C35=0,E35=0),0,IF(C35=0,"New",(E35-C35)/C35))</f>
        <v>5.96914700544465</v>
      </c>
      <c r="H35" s="32" t="n">
        <f aca="false">SUMIFS('Source 2025'!$Q:$Q,'Source 2025'!$B:$B,$A35,'Source 2025'!$A:$A,"Amount (NIS)")</f>
        <v>5062.6</v>
      </c>
      <c r="I35" s="32" t="n">
        <f aca="false">SUMIFS('Source 2026'!$Q:$Q,'Source 2026'!$B:$B,$A35,'Source 2026'!$A:$A,"Amount (NIS)")</f>
        <v>30593.7</v>
      </c>
      <c r="J35" s="32" t="n">
        <f aca="false">I35*$J$5</f>
        <v>38644.6736842105</v>
      </c>
      <c r="K35" s="32" t="n">
        <f aca="false">J35-H35</f>
        <v>33582.0736842105</v>
      </c>
      <c r="L35" s="31" t="n">
        <f aca="false">IF(AND(H35=0,J35=0),0,IF(H35=0,"New",(J35-H35)/H35))</f>
        <v>6.63336500695503</v>
      </c>
    </row>
    <row r="36" customFormat="false" ht="15" hidden="false" customHeight="false" outlineLevel="0" collapsed="false">
      <c r="A36" s="28" t="s">
        <v>120</v>
      </c>
      <c r="B36" s="28" t="str">
        <f aca="false">IFERROR(INDEX('Source 2026'!$C:$C,MATCH($A36,'Source 2026'!$B:$B,0)),IFERROR(INDEX('Source 2025'!$C:$C,MATCH($A36,'Source 2025'!$B:$B,0)),""))</f>
        <v>שרוול מטטרזלי מסיליקון</v>
      </c>
      <c r="C36" s="29" t="n">
        <f aca="false">SUMIFS('Source 2025'!$Q:$Q,'Source 2025'!$B:$B,$A36,'Source 2025'!$A:$A,"Quantity (units)")</f>
        <v>1179</v>
      </c>
      <c r="D36" s="29" t="n">
        <f aca="false">SUMIFS('Source 2026'!$Q:$Q,'Source 2026'!$B:$B,$A36,'Source 2026'!$A:$A,"Quantity (units)")</f>
        <v>724</v>
      </c>
      <c r="E36" s="30" t="n">
        <f aca="false">D36*$J$5</f>
        <v>914.526315789474</v>
      </c>
      <c r="F36" s="30" t="n">
        <f aca="false">E36-C36</f>
        <v>-264.473684210526</v>
      </c>
      <c r="G36" s="31" t="n">
        <f aca="false">IF(AND(C36=0,E36=0),0,IF(C36=0,"New",(E36-C36)/C36))</f>
        <v>-0.224320342841837</v>
      </c>
      <c r="H36" s="32" t="n">
        <f aca="false">SUMIFS('Source 2025'!$Q:$Q,'Source 2025'!$B:$B,$A36,'Source 2025'!$A:$A,"Amount (NIS)")</f>
        <v>61190.5</v>
      </c>
      <c r="I36" s="32" t="n">
        <f aca="false">SUMIFS('Source 2026'!$Q:$Q,'Source 2026'!$B:$B,$A36,'Source 2026'!$A:$A,"Amount (NIS)")</f>
        <v>37711.2</v>
      </c>
      <c r="J36" s="32" t="n">
        <f aca="false">I36*$J$5</f>
        <v>47635.2</v>
      </c>
      <c r="K36" s="32" t="n">
        <f aca="false">J36-H36</f>
        <v>-13555.3</v>
      </c>
      <c r="L36" s="31" t="n">
        <f aca="false">IF(AND(H36=0,J36=0),0,IF(H36=0,"New",(J36-H36)/H36))</f>
        <v>-0.221526217304974</v>
      </c>
    </row>
    <row r="37" customFormat="false" ht="15" hidden="false" customHeight="false" outlineLevel="0" collapsed="false">
      <c r="A37" s="28" t="s">
        <v>263</v>
      </c>
      <c r="B37" s="28" t="str">
        <f aca="false">IFERROR(INDEX('Source 2026'!$C:$C,MATCH($A37,'Source 2026'!$B:$B,0)),IFERROR(INDEX('Source 2025'!$C:$C,MATCH($A37,'Source 2025'!$B:$B,0)),""))</f>
        <v>פיקה לברך</v>
      </c>
      <c r="C37" s="29" t="n">
        <f aca="false">SUMIFS('Source 2025'!$Q:$Q,'Source 2025'!$B:$B,$A37,'Source 2025'!$A:$A,"Quantity (units)")</f>
        <v>965</v>
      </c>
      <c r="D37" s="29" t="n">
        <f aca="false">SUMIFS('Source 2026'!$Q:$Q,'Source 2026'!$B:$B,$A37,'Source 2026'!$A:$A,"Quantity (units)")</f>
        <v>461</v>
      </c>
      <c r="E37" s="30" t="n">
        <f aca="false">D37*$J$5</f>
        <v>582.315789473684</v>
      </c>
      <c r="F37" s="30" t="n">
        <f aca="false">E37-C37</f>
        <v>-382.684210526316</v>
      </c>
      <c r="G37" s="31" t="n">
        <f aca="false">IF(AND(C37=0,E37=0),0,IF(C37=0,"New",(E37-C37)/C37))</f>
        <v>-0.396563948731934</v>
      </c>
      <c r="H37" s="32" t="n">
        <f aca="false">SUMIFS('Source 2025'!$Q:$Q,'Source 2025'!$B:$B,$A37,'Source 2025'!$A:$A,"Amount (NIS)")</f>
        <v>43385.1</v>
      </c>
      <c r="I37" s="32" t="n">
        <f aca="false">SUMIFS('Source 2026'!$Q:$Q,'Source 2026'!$B:$B,$A37,'Source 2026'!$A:$A,"Amount (NIS)")</f>
        <v>20707.1</v>
      </c>
      <c r="J37" s="32" t="n">
        <f aca="false">I37*$J$5</f>
        <v>26156.3368421053</v>
      </c>
      <c r="K37" s="32" t="n">
        <f aca="false">J37-H37</f>
        <v>-17228.7631578947</v>
      </c>
      <c r="L37" s="31" t="n">
        <f aca="false">IF(AND(H37=0,J37=0),0,IF(H37=0,"New",(J37-H37)/H37))</f>
        <v>-0.397112445468484</v>
      </c>
    </row>
    <row r="38" customFormat="false" ht="15" hidden="false" customHeight="false" outlineLevel="0" collapsed="false">
      <c r="A38" s="28" t="s">
        <v>85</v>
      </c>
      <c r="B38" s="28" t="str">
        <f aca="false">IFERROR(INDEX('Source 2026'!$C:$C,MATCH($A38,'Source 2026'!$B:$B,0)),IFERROR(INDEX('Source 2025'!$C:$C,MATCH($A38,'Source 2025'!$B:$B,0)),""))</f>
        <v>לציפורן חודרנית</v>
      </c>
      <c r="C38" s="29" t="n">
        <f aca="false">SUMIFS('Source 2025'!$Q:$Q,'Source 2025'!$B:$B,$A38,'Source 2025'!$A:$A,"Quantity (units)")</f>
        <v>2132</v>
      </c>
      <c r="D38" s="29" t="n">
        <f aca="false">SUMIFS('Source 2026'!$Q:$Q,'Source 2026'!$B:$B,$A38,'Source 2026'!$A:$A,"Quantity (units)")</f>
        <v>1430</v>
      </c>
      <c r="E38" s="30" t="n">
        <f aca="false">D38*$J$5</f>
        <v>1806.31578947368</v>
      </c>
      <c r="F38" s="30" t="n">
        <f aca="false">E38-C38</f>
        <v>-325.684210526316</v>
      </c>
      <c r="G38" s="31" t="n">
        <f aca="false">IF(AND(C38=0,E38=0),0,IF(C38=0,"New",(E38-C38)/C38))</f>
        <v>-0.152759948652118</v>
      </c>
      <c r="H38" s="32" t="n">
        <f aca="false">SUMIFS('Source 2025'!$Q:$Q,'Source 2025'!$B:$B,$A38,'Source 2025'!$A:$A,"Amount (NIS)")</f>
        <v>66609.4</v>
      </c>
      <c r="I38" s="32" t="n">
        <f aca="false">SUMIFS('Source 2026'!$Q:$Q,'Source 2026'!$B:$B,$A38,'Source 2026'!$A:$A,"Amount (NIS)")</f>
        <v>44688.8</v>
      </c>
      <c r="J38" s="32" t="n">
        <f aca="false">I38*$J$5</f>
        <v>56449.0105263158</v>
      </c>
      <c r="K38" s="32" t="n">
        <f aca="false">J38-H38</f>
        <v>-10160.3894736842</v>
      </c>
      <c r="L38" s="31" t="n">
        <f aca="false">IF(AND(H38=0,J38=0),0,IF(H38=0,"New",(J38-H38)/H38))</f>
        <v>-0.152536871277691</v>
      </c>
    </row>
    <row r="39" customFormat="false" ht="15" hidden="false" customHeight="false" outlineLevel="0" collapsed="false">
      <c r="A39" s="28" t="s">
        <v>105</v>
      </c>
      <c r="B39" s="28" t="str">
        <f aca="false">IFERROR(INDEX('Source 2026'!$C:$C,MATCH($A39,'Source 2026'!$B:$B,0)),IFERROR(INDEX('Source 2025'!$C:$C,MATCH($A39,'Source 2025'!$B:$B,0)),""))</f>
        <v>תחבושת א.נצמ</v>
      </c>
      <c r="C39" s="29" t="n">
        <f aca="false">SUMIFS('Source 2025'!$Q:$Q,'Source 2025'!$B:$B,$A39,'Source 2025'!$A:$A,"Quantity (units)")</f>
        <v>3203</v>
      </c>
      <c r="D39" s="29" t="n">
        <f aca="false">SUMIFS('Source 2026'!$Q:$Q,'Source 2026'!$B:$B,$A39,'Source 2026'!$A:$A,"Quantity (units)")</f>
        <v>1177</v>
      </c>
      <c r="E39" s="30" t="n">
        <f aca="false">D39*$J$5</f>
        <v>1486.73684210526</v>
      </c>
      <c r="F39" s="30" t="n">
        <f aca="false">E39-C39</f>
        <v>-1716.26315789474</v>
      </c>
      <c r="G39" s="31" t="n">
        <f aca="false">IF(AND(C39=0,E39=0),0,IF(C39=0,"New",(E39-C39)/C39))</f>
        <v>-0.535829896314311</v>
      </c>
      <c r="H39" s="32" t="n">
        <f aca="false">SUMIFS('Source 2025'!$Q:$Q,'Source 2025'!$B:$B,$A39,'Source 2025'!$A:$A,"Amount (NIS)")</f>
        <v>32526.4</v>
      </c>
      <c r="I39" s="32" t="n">
        <f aca="false">SUMIFS('Source 2026'!$Q:$Q,'Source 2026'!$B:$B,$A39,'Source 2026'!$A:$A,"Amount (NIS)")</f>
        <v>12016.1</v>
      </c>
      <c r="J39" s="32" t="n">
        <f aca="false">I39*$J$5</f>
        <v>15178.2315789474</v>
      </c>
      <c r="K39" s="32" t="n">
        <f aca="false">J39-H39</f>
        <v>-17348.1684210526</v>
      </c>
      <c r="L39" s="31" t="n">
        <f aca="false">IF(AND(H39=0,J39=0),0,IF(H39=0,"New",(J39-H39)/H39))</f>
        <v>-0.533356547944213</v>
      </c>
    </row>
    <row r="40" customFormat="false" ht="15" hidden="false" customHeight="false" outlineLevel="0" collapsed="false">
      <c r="A40" s="28" t="s">
        <v>83</v>
      </c>
      <c r="B40" s="28" t="str">
        <f aca="false">IFERROR(INDEX('Source 2026'!$C:$C,MATCH($A40,'Source 2026'!$B:$B,0)),IFERROR(INDEX('Source 2025'!$C:$C,MATCH($A40,'Source 2025'!$B:$B,0)),""))</f>
        <v>טייפ קינזיולוגי</v>
      </c>
      <c r="C40" s="29" t="n">
        <f aca="false">SUMIFS('Source 2025'!$Q:$Q,'Source 2025'!$B:$B,$A40,'Source 2025'!$A:$A,"Quantity (units)")</f>
        <v>1200</v>
      </c>
      <c r="D40" s="29" t="n">
        <f aca="false">SUMIFS('Source 2026'!$Q:$Q,'Source 2026'!$B:$B,$A40,'Source 2026'!$A:$A,"Quantity (units)")</f>
        <v>711</v>
      </c>
      <c r="E40" s="30" t="n">
        <f aca="false">D40*$J$5</f>
        <v>898.105263157895</v>
      </c>
      <c r="F40" s="30" t="n">
        <f aca="false">E40-C40</f>
        <v>-301.894736842105</v>
      </c>
      <c r="G40" s="31" t="n">
        <f aca="false">IF(AND(C40=0,E40=0),0,IF(C40=0,"New",(E40-C40)/C40))</f>
        <v>-0.251578947368421</v>
      </c>
      <c r="H40" s="32" t="n">
        <f aca="false">SUMIFS('Source 2025'!$Q:$Q,'Source 2025'!$B:$B,$A40,'Source 2025'!$A:$A,"Amount (NIS)")</f>
        <v>48495.6</v>
      </c>
      <c r="I40" s="32" t="n">
        <f aca="false">SUMIFS('Source 2026'!$Q:$Q,'Source 2026'!$B:$B,$A40,'Source 2026'!$A:$A,"Amount (NIS)")</f>
        <v>28682.6</v>
      </c>
      <c r="J40" s="32" t="n">
        <f aca="false">I40*$J$5</f>
        <v>36230.6526315789</v>
      </c>
      <c r="K40" s="32" t="n">
        <f aca="false">J40-H40</f>
        <v>-12264.9473684211</v>
      </c>
      <c r="L40" s="31" t="n">
        <f aca="false">IF(AND(H40=0,J40=0),0,IF(H40=0,"New",(J40-H40)/H40))</f>
        <v>-0.252908457023339</v>
      </c>
    </row>
    <row r="41" customFormat="false" ht="15" hidden="false" customHeight="false" outlineLevel="0" collapsed="false">
      <c r="A41" s="28" t="s">
        <v>94</v>
      </c>
      <c r="B41" s="28" t="str">
        <f aca="false">IFERROR(INDEX('Source 2026'!$C:$C,MATCH($A41,'Source 2026'!$B:$B,0)),IFERROR(INDEX('Source 2025'!$C:$C,MATCH($A41,'Source 2025'!$B:$B,0)),""))</f>
        <v>טייפ קינזיולוגי</v>
      </c>
      <c r="C41" s="29" t="n">
        <f aca="false">SUMIFS('Source 2025'!$Q:$Q,'Source 2025'!$B:$B,$A41,'Source 2025'!$A:$A,"Quantity (units)")</f>
        <v>1251</v>
      </c>
      <c r="D41" s="29" t="n">
        <f aca="false">SUMIFS('Source 2026'!$Q:$Q,'Source 2026'!$B:$B,$A41,'Source 2026'!$A:$A,"Quantity (units)")</f>
        <v>779</v>
      </c>
      <c r="E41" s="30" t="n">
        <f aca="false">D41*$J$5</f>
        <v>984</v>
      </c>
      <c r="F41" s="30" t="n">
        <f aca="false">E41-C41</f>
        <v>-267</v>
      </c>
      <c r="G41" s="31" t="n">
        <f aca="false">IF(AND(C41=0,E41=0),0,IF(C41=0,"New",(E41-C41)/C41))</f>
        <v>-0.213429256594724</v>
      </c>
      <c r="H41" s="32" t="n">
        <f aca="false">SUMIFS('Source 2025'!$Q:$Q,'Source 2025'!$B:$B,$A41,'Source 2025'!$A:$A,"Amount (NIS)")</f>
        <v>49688.4</v>
      </c>
      <c r="I41" s="32" t="n">
        <f aca="false">SUMIFS('Source 2026'!$Q:$Q,'Source 2026'!$B:$B,$A41,'Source 2026'!$A:$A,"Amount (NIS)")</f>
        <v>31161.7</v>
      </c>
      <c r="J41" s="32" t="n">
        <f aca="false">I41*$J$5</f>
        <v>39362.1473684211</v>
      </c>
      <c r="K41" s="32" t="n">
        <f aca="false">J41-H41</f>
        <v>-10326.252631579</v>
      </c>
      <c r="L41" s="31" t="n">
        <f aca="false">IF(AND(H41=0,J41=0),0,IF(H41=0,"New",(J41-H41)/H41))</f>
        <v>-0.207820188043466</v>
      </c>
    </row>
    <row r="42" customFormat="false" ht="15" hidden="false" customHeight="false" outlineLevel="0" collapsed="false">
      <c r="A42" s="28" t="s">
        <v>62</v>
      </c>
      <c r="B42" s="28" t="str">
        <f aca="false">IFERROR(INDEX('Source 2026'!$C:$C,MATCH($A42,'Source 2026'!$B:$B,0)),IFERROR(INDEX('Source 2025'!$C:$C,MATCH($A42,'Source 2025'!$B:$B,0)),""))</f>
        <v>L צוארון ספוגי</v>
      </c>
      <c r="C42" s="29" t="n">
        <f aca="false">SUMIFS('Source 2025'!$Q:$Q,'Source 2025'!$B:$B,$A42,'Source 2025'!$A:$A,"Quantity (units)")</f>
        <v>2106</v>
      </c>
      <c r="D42" s="29" t="n">
        <f aca="false">SUMIFS('Source 2026'!$Q:$Q,'Source 2026'!$B:$B,$A42,'Source 2026'!$A:$A,"Quantity (units)")</f>
        <v>1412</v>
      </c>
      <c r="E42" s="30" t="n">
        <f aca="false">D42*$J$5</f>
        <v>1783.57894736842</v>
      </c>
      <c r="F42" s="30" t="n">
        <f aca="false">E42-C42</f>
        <v>-322.421052631579</v>
      </c>
      <c r="G42" s="31" t="n">
        <f aca="false">IF(AND(C42=0,E42=0),0,IF(C42=0,"New",(E42-C42)/C42))</f>
        <v>-0.153096416254311</v>
      </c>
      <c r="H42" s="32" t="n">
        <f aca="false">SUMIFS('Source 2025'!$Q:$Q,'Source 2025'!$B:$B,$A42,'Source 2025'!$A:$A,"Amount (NIS)")</f>
        <v>63047.1</v>
      </c>
      <c r="I42" s="32" t="n">
        <f aca="false">SUMIFS('Source 2026'!$Q:$Q,'Source 2026'!$B:$B,$A42,'Source 2026'!$A:$A,"Amount (NIS)")</f>
        <v>44553.7</v>
      </c>
      <c r="J42" s="32" t="n">
        <f aca="false">I42*$J$5</f>
        <v>56278.3578947368</v>
      </c>
      <c r="K42" s="32" t="n">
        <f aca="false">J42-H42</f>
        <v>-6768.74210526316</v>
      </c>
      <c r="L42" s="31" t="n">
        <f aca="false">IF(AND(H42=0,J42=0),0,IF(H42=0,"New",(J42-H42)/H42))</f>
        <v>-0.107360086431623</v>
      </c>
    </row>
    <row r="43" customFormat="false" ht="15" hidden="false" customHeight="false" outlineLevel="0" collapsed="false">
      <c r="A43" s="28" t="s">
        <v>112</v>
      </c>
      <c r="B43" s="28" t="str">
        <f aca="false">IFERROR(INDEX('Source 2026'!$C:$C,MATCH($A43,'Source 2026'!$B:$B,0)),IFERROR(INDEX('Source 2025'!$C:$C,MATCH($A43,'Source 2025'!$B:$B,0)),""))</f>
        <v>L מגן מרפק רגיל לבן</v>
      </c>
      <c r="C43" s="29" t="n">
        <f aca="false">SUMIFS('Source 2025'!$Q:$Q,'Source 2025'!$B:$B,$A43,'Source 2025'!$A:$A,"Quantity (units)")</f>
        <v>1603</v>
      </c>
      <c r="D43" s="29" t="n">
        <f aca="false">SUMIFS('Source 2026'!$Q:$Q,'Source 2026'!$B:$B,$A43,'Source 2026'!$A:$A,"Quantity (units)")</f>
        <v>911</v>
      </c>
      <c r="E43" s="30" t="n">
        <f aca="false">D43*$J$5</f>
        <v>1150.73684210526</v>
      </c>
      <c r="F43" s="30" t="n">
        <f aca="false">E43-C43</f>
        <v>-452.263157894737</v>
      </c>
      <c r="G43" s="31" t="n">
        <f aca="false">IF(AND(C43=0,E43=0),0,IF(C43=0,"New",(E43-C43)/C43))</f>
        <v>-0.282135469678563</v>
      </c>
      <c r="H43" s="32" t="n">
        <f aca="false">SUMIFS('Source 2025'!$Q:$Q,'Source 2025'!$B:$B,$A43,'Source 2025'!$A:$A,"Amount (NIS)")</f>
        <v>41250</v>
      </c>
      <c r="I43" s="32" t="n">
        <f aca="false">SUMIFS('Source 2026'!$Q:$Q,'Source 2026'!$B:$B,$A43,'Source 2026'!$A:$A,"Amount (NIS)")</f>
        <v>23677.1</v>
      </c>
      <c r="J43" s="32" t="n">
        <f aca="false">I43*$J$5</f>
        <v>29907.9157894737</v>
      </c>
      <c r="K43" s="32" t="n">
        <f aca="false">J43-H43</f>
        <v>-11342.0842105263</v>
      </c>
      <c r="L43" s="31" t="n">
        <f aca="false">IF(AND(H43=0,J43=0),0,IF(H43=0,"New",(J43-H43)/H43))</f>
        <v>-0.27495961722488</v>
      </c>
    </row>
    <row r="44" customFormat="false" ht="15" hidden="false" customHeight="false" outlineLevel="0" collapsed="false">
      <c r="A44" s="28" t="s">
        <v>184</v>
      </c>
      <c r="B44" s="28" t="str">
        <f aca="false">IFERROR(INDEX('Source 2026'!$C:$C,MATCH($A44,'Source 2026'!$B:$B,0)),IFERROR(INDEX('Source 2025'!$C:$C,MATCH($A44,'Source 2025'!$B:$B,0)),""))</f>
        <v>חבק ""טניס אלבו רצועה</v>
      </c>
      <c r="C44" s="29" t="n">
        <f aca="false">SUMIFS('Source 2025'!$Q:$Q,'Source 2025'!$B:$B,$A44,'Source 2025'!$A:$A,"Quantity (units)")</f>
        <v>224</v>
      </c>
      <c r="D44" s="29" t="n">
        <f aca="false">SUMIFS('Source 2026'!$Q:$Q,'Source 2026'!$B:$B,$A44,'Source 2026'!$A:$A,"Quantity (units)")</f>
        <v>-25</v>
      </c>
      <c r="E44" s="30" t="n">
        <f aca="false">D44*$J$5</f>
        <v>-31.5789473684211</v>
      </c>
      <c r="F44" s="30" t="n">
        <f aca="false">E44-C44</f>
        <v>-255.578947368421</v>
      </c>
      <c r="G44" s="31" t="n">
        <f aca="false">IF(AND(C44=0,E44=0),0,IF(C44=0,"New",(E44-C44)/C44))</f>
        <v>-1.14097744360902</v>
      </c>
      <c r="H44" s="32" t="n">
        <f aca="false">SUMIFS('Source 2025'!$Q:$Q,'Source 2025'!$B:$B,$A44,'Source 2025'!$A:$A,"Amount (NIS)")</f>
        <v>15661.5</v>
      </c>
      <c r="I44" s="32" t="n">
        <f aca="false">SUMIFS('Source 2026'!$Q:$Q,'Source 2026'!$B:$B,$A44,'Source 2026'!$A:$A,"Amount (NIS)")</f>
        <v>-1715.2</v>
      </c>
      <c r="J44" s="32" t="n">
        <f aca="false">I44*$J$5</f>
        <v>-2166.56842105263</v>
      </c>
      <c r="K44" s="32" t="n">
        <f aca="false">J44-H44</f>
        <v>-17828.0684210526</v>
      </c>
      <c r="L44" s="31" t="n">
        <f aca="false">IF(AND(H44=0,J44=0),0,IF(H44=0,"New",(J44-H44)/H44))</f>
        <v>-1.13833722319399</v>
      </c>
    </row>
    <row r="45" customFormat="false" ht="15" hidden="false" customHeight="false" outlineLevel="0" collapsed="false">
      <c r="A45" s="28" t="s">
        <v>102</v>
      </c>
      <c r="B45" s="28" t="str">
        <f aca="false">IFERROR(INDEX('Source 2026'!$C:$C,MATCH($A45,'Source 2026'!$B:$B,0)),IFERROR(INDEX('Source 2025'!$C:$C,MATCH($A45,'Source 2025'!$B:$B,0)),""))</f>
        <v>טייפ קינזיולוגי</v>
      </c>
      <c r="C45" s="29" t="n">
        <f aca="false">SUMIFS('Source 2025'!$Q:$Q,'Source 2025'!$B:$B,$A45,'Source 2025'!$A:$A,"Quantity (units)")</f>
        <v>1150</v>
      </c>
      <c r="D45" s="29" t="n">
        <f aca="false">SUMIFS('Source 2026'!$Q:$Q,'Source 2026'!$B:$B,$A45,'Source 2026'!$A:$A,"Quantity (units)")</f>
        <v>705</v>
      </c>
      <c r="E45" s="30" t="n">
        <f aca="false">D45*$J$5</f>
        <v>890.526315789474</v>
      </c>
      <c r="F45" s="30" t="n">
        <f aca="false">E45-C45</f>
        <v>-259.473684210526</v>
      </c>
      <c r="G45" s="31" t="n">
        <f aca="false">IF(AND(C45=0,E45=0),0,IF(C45=0,"New",(E45-C45)/C45))</f>
        <v>-0.225629290617849</v>
      </c>
      <c r="H45" s="32" t="n">
        <f aca="false">SUMIFS('Source 2025'!$Q:$Q,'Source 2025'!$B:$B,$A45,'Source 2025'!$A:$A,"Amount (NIS)")</f>
        <v>45598.1</v>
      </c>
      <c r="I45" s="32" t="n">
        <f aca="false">SUMIFS('Source 2026'!$Q:$Q,'Source 2026'!$B:$B,$A45,'Source 2026'!$A:$A,"Amount (NIS)")</f>
        <v>28253.3</v>
      </c>
      <c r="J45" s="32" t="n">
        <f aca="false">I45*$J$5</f>
        <v>35688.3789473684</v>
      </c>
      <c r="K45" s="32" t="n">
        <f aca="false">J45-H45</f>
        <v>-9909.72105263158</v>
      </c>
      <c r="L45" s="31" t="n">
        <f aca="false">IF(AND(H45=0,J45=0),0,IF(H45=0,"New",(J45-H45)/H45))</f>
        <v>-0.217327499449135</v>
      </c>
    </row>
    <row r="46" customFormat="false" ht="15" hidden="false" customHeight="false" outlineLevel="0" collapsed="false">
      <c r="A46" s="28" t="s">
        <v>246</v>
      </c>
      <c r="B46" s="28" t="str">
        <f aca="false">IFERROR(INDEX('Source 2026'!$C:$C,MATCH($A46,'Source 2026'!$B:$B,0)),IFERROR(INDEX('Source 2025'!$C:$C,MATCH($A46,'Source 2025'!$B:$B,0)),""))</f>
        <v>S מקבע כתף ויד</v>
      </c>
      <c r="C46" s="29" t="n">
        <f aca="false">SUMIFS('Source 2025'!$Q:$Q,'Source 2025'!$B:$B,$A46,'Source 2025'!$A:$A,"Quantity (units)")</f>
        <v>541</v>
      </c>
      <c r="D46" s="29" t="n">
        <f aca="false">SUMIFS('Source 2026'!$Q:$Q,'Source 2026'!$B:$B,$A46,'Source 2026'!$A:$A,"Quantity (units)")</f>
        <v>434</v>
      </c>
      <c r="E46" s="30" t="n">
        <f aca="false">D46*$J$5</f>
        <v>548.21052631579</v>
      </c>
      <c r="F46" s="30" t="n">
        <f aca="false">E46-C46</f>
        <v>7.21052631578948</v>
      </c>
      <c r="G46" s="31" t="n">
        <f aca="false">IF(AND(C46=0,E46=0),0,IF(C46=0,"New",(E46-C46)/C46))</f>
        <v>0.0133281447611635</v>
      </c>
      <c r="H46" s="32" t="n">
        <f aca="false">SUMIFS('Source 2025'!$Q:$Q,'Source 2025'!$B:$B,$A46,'Source 2025'!$A:$A,"Amount (NIS)")</f>
        <v>87145.9</v>
      </c>
      <c r="I46" s="32" t="n">
        <f aca="false">SUMIFS('Source 2026'!$Q:$Q,'Source 2026'!$B:$B,$A46,'Source 2026'!$A:$A,"Amount (NIS)")</f>
        <v>69975.1</v>
      </c>
      <c r="J46" s="32" t="n">
        <f aca="false">I46*$J$5</f>
        <v>88389.6</v>
      </c>
      <c r="K46" s="32" t="n">
        <f aca="false">J46-H46</f>
        <v>1243.7</v>
      </c>
      <c r="L46" s="31" t="n">
        <f aca="false">IF(AND(H46=0,J46=0),0,IF(H46=0,"New",(J46-H46)/H46))</f>
        <v>0.0142714688814964</v>
      </c>
    </row>
    <row r="47" customFormat="false" ht="15" hidden="false" customHeight="false" outlineLevel="0" collapsed="false">
      <c r="A47" s="28" t="s">
        <v>93</v>
      </c>
      <c r="B47" s="28" t="str">
        <f aca="false">IFERROR(INDEX('Source 2026'!$C:$C,MATCH($A47,'Source 2026'!$B:$B,0)),IFERROR(INDEX('Source 2025'!$C:$C,MATCH($A47,'Source 2025'!$B:$B,0)),""))</f>
        <v>טייפ קינזיולוגי</v>
      </c>
      <c r="C47" s="29" t="n">
        <f aca="false">SUMIFS('Source 2025'!$Q:$Q,'Source 2025'!$B:$B,$A47,'Source 2025'!$A:$A,"Quantity (units)")</f>
        <v>796</v>
      </c>
      <c r="D47" s="29" t="n">
        <f aca="false">SUMIFS('Source 2026'!$Q:$Q,'Source 2026'!$B:$B,$A47,'Source 2026'!$A:$A,"Quantity (units)")</f>
        <v>387</v>
      </c>
      <c r="E47" s="30" t="n">
        <f aca="false">D47*$J$5</f>
        <v>488.842105263158</v>
      </c>
      <c r="F47" s="30" t="n">
        <f aca="false">E47-C47</f>
        <v>-307.157894736842</v>
      </c>
      <c r="G47" s="31" t="n">
        <f aca="false">IF(AND(C47=0,E47=0),0,IF(C47=0,"New",(E47-C47)/C47))</f>
        <v>-0.385876752181963</v>
      </c>
      <c r="H47" s="32" t="n">
        <f aca="false">SUMIFS('Source 2025'!$Q:$Q,'Source 2025'!$B:$B,$A47,'Source 2025'!$A:$A,"Amount (NIS)")</f>
        <v>32148.2</v>
      </c>
      <c r="I47" s="32" t="n">
        <f aca="false">SUMIFS('Source 2026'!$Q:$Q,'Source 2026'!$B:$B,$A47,'Source 2026'!$A:$A,"Amount (NIS)")</f>
        <v>15624.9</v>
      </c>
      <c r="J47" s="32" t="n">
        <f aca="false">I47*$J$5</f>
        <v>19736.7157894737</v>
      </c>
      <c r="K47" s="32" t="n">
        <f aca="false">J47-H47</f>
        <v>-12411.4842105263</v>
      </c>
      <c r="L47" s="31" t="n">
        <f aca="false">IF(AND(H47=0,J47=0),0,IF(H47=0,"New",(J47-H47)/H47))</f>
        <v>-0.386070890766087</v>
      </c>
    </row>
    <row r="48" customFormat="false" ht="15" hidden="false" customHeight="false" outlineLevel="0" collapsed="false">
      <c r="A48" s="28" t="s">
        <v>218</v>
      </c>
      <c r="B48" s="28" t="str">
        <f aca="false">IFERROR(INDEX('Source 2026'!$C:$C,MATCH($A48,'Source 2026'!$B:$B,0)),IFERROR(INDEX('Source 2025'!$C:$C,MATCH($A48,'Source 2025'!$B:$B,0)),""))</f>
        <v>S ""חגורת גב ""לומבו</v>
      </c>
      <c r="C48" s="29" t="n">
        <f aca="false">SUMIFS('Source 2025'!$Q:$Q,'Source 2025'!$B:$B,$A48,'Source 2025'!$A:$A,"Quantity (units)")</f>
        <v>170</v>
      </c>
      <c r="D48" s="29" t="n">
        <f aca="false">SUMIFS('Source 2026'!$Q:$Q,'Source 2026'!$B:$B,$A48,'Source 2026'!$A:$A,"Quantity (units)")</f>
        <v>45</v>
      </c>
      <c r="E48" s="30" t="n">
        <f aca="false">D48*$J$5</f>
        <v>56.8421052631579</v>
      </c>
      <c r="F48" s="30" t="n">
        <f aca="false">E48-C48</f>
        <v>-113.157894736842</v>
      </c>
      <c r="G48" s="31" t="n">
        <f aca="false">IF(AND(C48=0,E48=0),0,IF(C48=0,"New",(E48-C48)/C48))</f>
        <v>-0.665634674922601</v>
      </c>
      <c r="H48" s="32" t="n">
        <f aca="false">SUMIFS('Source 2025'!$Q:$Q,'Source 2025'!$B:$B,$A48,'Source 2025'!$A:$A,"Amount (NIS)")</f>
        <v>22281.9</v>
      </c>
      <c r="I48" s="32" t="n">
        <f aca="false">SUMIFS('Source 2026'!$Q:$Q,'Source 2026'!$B:$B,$A48,'Source 2026'!$A:$A,"Amount (NIS)")</f>
        <v>6031.7</v>
      </c>
      <c r="J48" s="32" t="n">
        <f aca="false">I48*$J$5</f>
        <v>7618.98947368421</v>
      </c>
      <c r="K48" s="32" t="n">
        <f aca="false">J48-H48</f>
        <v>-14662.9105263158</v>
      </c>
      <c r="L48" s="31" t="n">
        <f aca="false">IF(AND(H48=0,J48=0),0,IF(H48=0,"New",(J48-H48)/H48))</f>
        <v>-0.658063743501039</v>
      </c>
    </row>
    <row r="49" customFormat="false" ht="15" hidden="false" customHeight="false" outlineLevel="0" collapsed="false">
      <c r="A49" s="28" t="s">
        <v>227</v>
      </c>
      <c r="B49" s="28" t="str">
        <f aca="false">IFERROR(INDEX('Source 2026'!$C:$C,MATCH($A49,'Source 2026'!$B:$B,0)),IFERROR(INDEX('Source 2025'!$C:$C,MATCH($A49,'Source 2025'!$B:$B,0)),""))</f>
        <v>45 M מגן ברך רגיל</v>
      </c>
      <c r="C49" s="29" t="n">
        <f aca="false">SUMIFS('Source 2025'!$Q:$Q,'Source 2025'!$B:$B,$A49,'Source 2025'!$A:$A,"Quantity (units)")</f>
        <v>260</v>
      </c>
      <c r="D49" s="29" t="n">
        <f aca="false">SUMIFS('Source 2026'!$Q:$Q,'Source 2026'!$B:$B,$A49,'Source 2026'!$A:$A,"Quantity (units)")</f>
        <v>102</v>
      </c>
      <c r="E49" s="30" t="n">
        <f aca="false">D49*$J$5</f>
        <v>128.842105263158</v>
      </c>
      <c r="F49" s="30" t="n">
        <f aca="false">E49-C49</f>
        <v>-131.157894736842</v>
      </c>
      <c r="G49" s="31" t="n">
        <f aca="false">IF(AND(C49=0,E49=0),0,IF(C49=0,"New",(E49-C49)/C49))</f>
        <v>-0.504453441295547</v>
      </c>
      <c r="H49" s="32" t="n">
        <f aca="false">SUMIFS('Source 2025'!$Q:$Q,'Source 2025'!$B:$B,$A49,'Source 2025'!$A:$A,"Amount (NIS)")</f>
        <v>23410.8</v>
      </c>
      <c r="I49" s="32" t="n">
        <f aca="false">SUMIFS('Source 2026'!$Q:$Q,'Source 2026'!$B:$B,$A49,'Source 2026'!$A:$A,"Amount (NIS)")</f>
        <v>9335.7</v>
      </c>
      <c r="J49" s="32" t="n">
        <f aca="false">I49*$J$5</f>
        <v>11792.4631578947</v>
      </c>
      <c r="K49" s="32" t="n">
        <f aca="false">J49-H49</f>
        <v>-11618.3368421053</v>
      </c>
      <c r="L49" s="31" t="n">
        <f aca="false">IF(AND(H49=0,J49=0),0,IF(H49=0,"New",(J49-H49)/H49))</f>
        <v>-0.496281068656571</v>
      </c>
    </row>
    <row r="50" customFormat="false" ht="15" hidden="false" customHeight="false" outlineLevel="0" collapsed="false">
      <c r="A50" s="28" t="s">
        <v>103</v>
      </c>
      <c r="B50" s="28" t="str">
        <f aca="false">IFERROR(INDEX('Source 2026'!$C:$C,MATCH($A50,'Source 2026'!$B:$B,0)),IFERROR(INDEX('Source 2025'!$C:$C,MATCH($A50,'Source 2025'!$B:$B,0)),""))</f>
        <v>0 מ.בוניון+מפריד אצבע</v>
      </c>
      <c r="C50" s="29" t="n">
        <f aca="false">SUMIFS('Source 2025'!$Q:$Q,'Source 2025'!$B:$B,$A50,'Source 2025'!$A:$A,"Quantity (units)")</f>
        <v>1818</v>
      </c>
      <c r="D50" s="29" t="n">
        <f aca="false">SUMIFS('Source 2026'!$Q:$Q,'Source 2026'!$B:$B,$A50,'Source 2026'!$A:$A,"Quantity (units)")</f>
        <v>1418</v>
      </c>
      <c r="E50" s="30" t="n">
        <f aca="false">D50*$J$5</f>
        <v>1791.15789473684</v>
      </c>
      <c r="F50" s="30" t="n">
        <f aca="false">E50-C50</f>
        <v>-26.8421052631579</v>
      </c>
      <c r="G50" s="31" t="n">
        <f aca="false">IF(AND(C50=0,E50=0),0,IF(C50=0,"New",(E50-C50)/C50))</f>
        <v>-0.0147646343581727</v>
      </c>
      <c r="H50" s="32" t="n">
        <f aca="false">SUMIFS('Source 2025'!$Q:$Q,'Source 2025'!$B:$B,$A50,'Source 2025'!$A:$A,"Amount (NIS)")</f>
        <v>63005.9</v>
      </c>
      <c r="I50" s="32" t="n">
        <f aca="false">SUMIFS('Source 2026'!$Q:$Q,'Source 2026'!$B:$B,$A50,'Source 2026'!$A:$A,"Amount (NIS)")</f>
        <v>49012.5</v>
      </c>
      <c r="J50" s="32" t="n">
        <f aca="false">I50*$J$5</f>
        <v>61910.5263157895</v>
      </c>
      <c r="K50" s="32" t="n">
        <f aca="false">J50-H50</f>
        <v>-1095.37368421053</v>
      </c>
      <c r="L50" s="31" t="n">
        <f aca="false">IF(AND(H50=0,J50=0),0,IF(H50=0,"New",(J50-H50)/H50))</f>
        <v>-0.0173852557333603</v>
      </c>
    </row>
    <row r="51" customFormat="false" ht="15" hidden="false" customHeight="false" outlineLevel="0" collapsed="false">
      <c r="A51" s="28" t="s">
        <v>107</v>
      </c>
      <c r="B51" s="28" t="str">
        <f aca="false">IFERROR(INDEX('Source 2026'!$C:$C,MATCH($A51,'Source 2026'!$B:$B,0)),IFERROR(INDEX('Source 2025'!$C:$C,MATCH($A51,'Source 2025'!$B:$B,0)),""))</f>
        <v>S-L אצבעון מסיליקון יחידה</v>
      </c>
      <c r="C51" s="29" t="n">
        <f aca="false">SUMIFS('Source 2025'!$Q:$Q,'Source 2025'!$B:$B,$A51,'Source 2025'!$A:$A,"Quantity (units)")</f>
        <v>2172</v>
      </c>
      <c r="D51" s="29" t="n">
        <f aca="false">SUMIFS('Source 2026'!$Q:$Q,'Source 2026'!$B:$B,$A51,'Source 2026'!$A:$A,"Quantity (units)")</f>
        <v>1549</v>
      </c>
      <c r="E51" s="30" t="n">
        <f aca="false">D51*$J$5</f>
        <v>1956.63157894737</v>
      </c>
      <c r="F51" s="30" t="n">
        <f aca="false">E51-C51</f>
        <v>-215.368421052632</v>
      </c>
      <c r="G51" s="31" t="n">
        <f aca="false">IF(AND(C51=0,E51=0),0,IF(C51=0,"New",(E51-C51)/C51))</f>
        <v>-0.0991567316080256</v>
      </c>
      <c r="H51" s="32" t="n">
        <f aca="false">SUMIFS('Source 2025'!$Q:$Q,'Source 2025'!$B:$B,$A51,'Source 2025'!$A:$A,"Amount (NIS)")</f>
        <v>48349.5</v>
      </c>
      <c r="I51" s="32" t="n">
        <f aca="false">SUMIFS('Source 2026'!$Q:$Q,'Source 2026'!$B:$B,$A51,'Source 2026'!$A:$A,"Amount (NIS)")</f>
        <v>34693.3</v>
      </c>
      <c r="J51" s="32" t="n">
        <f aca="false">I51*$J$5</f>
        <v>43823.1157894737</v>
      </c>
      <c r="K51" s="32" t="n">
        <f aca="false">J51-H51</f>
        <v>-4526.38421052632</v>
      </c>
      <c r="L51" s="31" t="n">
        <f aca="false">IF(AND(H51=0,J51=0),0,IF(H51=0,"New",(J51-H51)/H51))</f>
        <v>-0.0936180148817737</v>
      </c>
    </row>
    <row r="52" customFormat="false" ht="15" hidden="false" customHeight="false" outlineLevel="0" collapsed="false">
      <c r="A52" s="28" t="s">
        <v>191</v>
      </c>
      <c r="B52" s="28" t="str">
        <f aca="false">IFERROR(INDEX('Source 2026'!$C:$C,MATCH($A52,'Source 2026'!$B:$B,0)),IFERROR(INDEX('Source 2025'!$C:$C,MATCH($A52,'Source 2025'!$B:$B,0)),""))</f>
        <v>XS חגורת פאבליק</v>
      </c>
      <c r="C52" s="29" t="n">
        <f aca="false">SUMIFS('Source 2025'!$Q:$Q,'Source 2025'!$B:$B,$A52,'Source 2025'!$A:$A,"Quantity (units)")</f>
        <v>0</v>
      </c>
      <c r="D52" s="29" t="n">
        <f aca="false">SUMIFS('Source 2026'!$Q:$Q,'Source 2026'!$B:$B,$A52,'Source 2026'!$A:$A,"Quantity (units)")</f>
        <v>47</v>
      </c>
      <c r="E52" s="30" t="n">
        <f aca="false">D52*$J$5</f>
        <v>59.3684210526316</v>
      </c>
      <c r="F52" s="30" t="n">
        <f aca="false">E52-C52</f>
        <v>59.3684210526316</v>
      </c>
      <c r="G52" s="31" t="str">
        <f aca="false">IF(AND(C52=0,E52=0),0,IF(C52=0,"New",(E52-C52)/C52))</f>
        <v>New</v>
      </c>
      <c r="H52" s="32" t="n">
        <f aca="false">SUMIFS('Source 2025'!$Q:$Q,'Source 2025'!$B:$B,$A52,'Source 2025'!$A:$A,"Amount (NIS)")</f>
        <v>0</v>
      </c>
      <c r="I52" s="32" t="n">
        <f aca="false">SUMIFS('Source 2026'!$Q:$Q,'Source 2026'!$B:$B,$A52,'Source 2026'!$A:$A,"Amount (NIS)")</f>
        <v>13130.3</v>
      </c>
      <c r="J52" s="32" t="n">
        <f aca="false">I52*$J$5</f>
        <v>16585.6421052632</v>
      </c>
      <c r="K52" s="32" t="n">
        <f aca="false">J52-H52</f>
        <v>16585.6421052632</v>
      </c>
      <c r="L52" s="31" t="str">
        <f aca="false">IF(AND(H52=0,J52=0),0,IF(H52=0,"New",(J52-H52)/H52))</f>
        <v>New</v>
      </c>
    </row>
    <row r="53" customFormat="false" ht="15" hidden="false" customHeight="false" outlineLevel="0" collapsed="false">
      <c r="A53" s="28" t="s">
        <v>98</v>
      </c>
      <c r="B53" s="28" t="str">
        <f aca="false">IFERROR(INDEX('Source 2026'!$C:$C,MATCH($A53,'Source 2026'!$B:$B,0)),IFERROR(INDEX('Source 2025'!$C:$C,MATCH($A53,'Source 2025'!$B:$B,0)),""))</f>
        <v>Sמיישר כתף יציב יישור גב צר</v>
      </c>
      <c r="C53" s="29" t="n">
        <f aca="false">SUMIFS('Source 2025'!$Q:$Q,'Source 2025'!$B:$B,$A53,'Source 2025'!$A:$A,"Quantity (units)")</f>
        <v>155</v>
      </c>
      <c r="D53" s="29" t="n">
        <f aca="false">SUMIFS('Source 2026'!$Q:$Q,'Source 2026'!$B:$B,$A53,'Source 2026'!$A:$A,"Quantity (units)")</f>
        <v>52</v>
      </c>
      <c r="E53" s="30" t="n">
        <f aca="false">D53*$J$5</f>
        <v>65.6842105263158</v>
      </c>
      <c r="F53" s="30" t="n">
        <f aca="false">E53-C53</f>
        <v>-89.3157894736842</v>
      </c>
      <c r="G53" s="31" t="n">
        <f aca="false">IF(AND(C53=0,E53=0),0,IF(C53=0,"New",(E53-C53)/C53))</f>
        <v>-0.576230899830221</v>
      </c>
      <c r="H53" s="32" t="n">
        <f aca="false">SUMIFS('Source 2025'!$Q:$Q,'Source 2025'!$B:$B,$A53,'Source 2025'!$A:$A,"Amount (NIS)")</f>
        <v>20571.3</v>
      </c>
      <c r="I53" s="32" t="n">
        <f aca="false">SUMIFS('Source 2026'!$Q:$Q,'Source 2026'!$B:$B,$A53,'Source 2026'!$A:$A,"Amount (NIS)")</f>
        <v>7911.2</v>
      </c>
      <c r="J53" s="32" t="n">
        <f aca="false">I53*$J$5</f>
        <v>9993.0947368421</v>
      </c>
      <c r="K53" s="32" t="n">
        <f aca="false">J53-H53</f>
        <v>-10578.2052631579</v>
      </c>
      <c r="L53" s="31" t="n">
        <f aca="false">IF(AND(H53=0,J53=0),0,IF(H53=0,"New",(J53-H53)/H53))</f>
        <v>-0.514221525288042</v>
      </c>
    </row>
    <row r="54" customFormat="false" ht="15" hidden="false" customHeight="false" outlineLevel="0" collapsed="false">
      <c r="A54" s="28" t="s">
        <v>150</v>
      </c>
      <c r="B54" s="28" t="str">
        <f aca="false">IFERROR(INDEX('Source 2026'!$C:$C,MATCH($A54,'Source 2026'!$B:$B,0)),IFERROR(INDEX('Source 2025'!$C:$C,MATCH($A54,'Source 2025'!$B:$B,0)),""))</f>
        <v>נצמדת שחור 20 מ""מ</v>
      </c>
      <c r="C54" s="29" t="n">
        <f aca="false">SUMIFS('Source 2025'!$Q:$Q,'Source 2025'!$B:$B,$A54,'Source 2025'!$A:$A,"Quantity (units)")</f>
        <v>1790</v>
      </c>
      <c r="D54" s="29" t="n">
        <f aca="false">SUMIFS('Source 2026'!$Q:$Q,'Source 2026'!$B:$B,$A54,'Source 2026'!$A:$A,"Quantity (units)")</f>
        <v>580</v>
      </c>
      <c r="E54" s="30" t="n">
        <f aca="false">D54*$J$5</f>
        <v>732.631578947368</v>
      </c>
      <c r="F54" s="30" t="n">
        <f aca="false">E54-C54</f>
        <v>-1057.36842105263</v>
      </c>
      <c r="G54" s="31" t="n">
        <f aca="false">IF(AND(C54=0,E54=0),0,IF(C54=0,"New",(E54-C54)/C54))</f>
        <v>-0.590708615113202</v>
      </c>
      <c r="H54" s="32" t="n">
        <f aca="false">SUMIFS('Source 2025'!$Q:$Q,'Source 2025'!$B:$B,$A54,'Source 2025'!$A:$A,"Amount (NIS)")</f>
        <v>18164.7</v>
      </c>
      <c r="I54" s="32" t="n">
        <f aca="false">SUMIFS('Source 2026'!$Q:$Q,'Source 2026'!$B:$B,$A54,'Source 2026'!$A:$A,"Amount (NIS)")</f>
        <v>5942.1</v>
      </c>
      <c r="J54" s="32" t="n">
        <f aca="false">I54*$J$5</f>
        <v>7505.81052631579</v>
      </c>
      <c r="K54" s="32" t="n">
        <f aca="false">J54-H54</f>
        <v>-10658.8894736842</v>
      </c>
      <c r="L54" s="31" t="n">
        <f aca="false">IF(AND(H54=0,J54=0),0,IF(H54=0,"New",(J54-H54)/H54))</f>
        <v>-0.586791385141743</v>
      </c>
    </row>
    <row r="55" customFormat="false" ht="15" hidden="false" customHeight="false" outlineLevel="0" collapsed="false">
      <c r="A55" s="28" t="s">
        <v>139</v>
      </c>
      <c r="B55" s="28" t="str">
        <f aca="false">IFERROR(INDEX('Source 2026'!$C:$C,MATCH($A55,'Source 2026'!$B:$B,0)),IFERROR(INDEX('Source 2025'!$C:$C,MATCH($A55,'Source 2025'!$B:$B,0)),""))</f>
        <v>נצמדת כחול20מ""מ</v>
      </c>
      <c r="C55" s="29" t="n">
        <f aca="false">SUMIFS('Source 2025'!$Q:$Q,'Source 2025'!$B:$B,$A55,'Source 2025'!$A:$A,"Quantity (units)")</f>
        <v>1556</v>
      </c>
      <c r="D55" s="29" t="n">
        <f aca="false">SUMIFS('Source 2026'!$Q:$Q,'Source 2026'!$B:$B,$A55,'Source 2026'!$A:$A,"Quantity (units)")</f>
        <v>358</v>
      </c>
      <c r="E55" s="30" t="n">
        <f aca="false">D55*$J$5</f>
        <v>452.210526315789</v>
      </c>
      <c r="F55" s="30" t="n">
        <f aca="false">E55-C55</f>
        <v>-1103.78947368421</v>
      </c>
      <c r="G55" s="31" t="n">
        <f aca="false">IF(AND(C55=0,E55=0),0,IF(C55=0,"New",(E55-C55)/C55))</f>
        <v>-0.709376268434583</v>
      </c>
      <c r="H55" s="32" t="n">
        <f aca="false">SUMIFS('Source 2025'!$Q:$Q,'Source 2025'!$B:$B,$A55,'Source 2025'!$A:$A,"Amount (NIS)")</f>
        <v>15795.7</v>
      </c>
      <c r="I55" s="32" t="n">
        <f aca="false">SUMIFS('Source 2026'!$Q:$Q,'Source 2026'!$B:$B,$A55,'Source 2026'!$A:$A,"Amount (NIS)")</f>
        <v>3674.8</v>
      </c>
      <c r="J55" s="32" t="n">
        <f aca="false">I55*$J$5</f>
        <v>4641.85263157895</v>
      </c>
      <c r="K55" s="32" t="n">
        <f aca="false">J55-H55</f>
        <v>-11153.8473684211</v>
      </c>
      <c r="L55" s="31" t="n">
        <f aca="false">IF(AND(H55=0,J55=0),0,IF(H55=0,"New",(J55-H55)/H55))</f>
        <v>-0.706131881994534</v>
      </c>
    </row>
    <row r="56" customFormat="false" ht="15" hidden="false" customHeight="false" outlineLevel="0" collapsed="false">
      <c r="A56" s="28" t="s">
        <v>82</v>
      </c>
      <c r="B56" s="28" t="str">
        <f aca="false">IFERROR(INDEX('Source 2026'!$C:$C,MATCH($A56,'Source 2026'!$B:$B,0)),IFERROR(INDEX('Source 2025'!$C:$C,MATCH($A56,'Source 2025'!$B:$B,0)),""))</f>
        <v>טלק מעושר באלוורה</v>
      </c>
      <c r="C56" s="29" t="n">
        <f aca="false">SUMIFS('Source 2025'!$Q:$Q,'Source 2025'!$B:$B,$A56,'Source 2025'!$A:$A,"Quantity (units)")</f>
        <v>1282</v>
      </c>
      <c r="D56" s="29" t="n">
        <f aca="false">SUMIFS('Source 2026'!$Q:$Q,'Source 2026'!$B:$B,$A56,'Source 2026'!$A:$A,"Quantity (units)")</f>
        <v>562</v>
      </c>
      <c r="E56" s="30" t="n">
        <f aca="false">D56*$J$5</f>
        <v>709.894736842105</v>
      </c>
      <c r="F56" s="30" t="n">
        <f aca="false">E56-C56</f>
        <v>-572.105263157895</v>
      </c>
      <c r="G56" s="31" t="n">
        <f aca="false">IF(AND(C56=0,E56=0),0,IF(C56=0,"New",(E56-C56)/C56))</f>
        <v>-0.446259955661384</v>
      </c>
      <c r="H56" s="32" t="n">
        <f aca="false">SUMIFS('Source 2025'!$Q:$Q,'Source 2025'!$B:$B,$A56,'Source 2025'!$A:$A,"Amount (NIS)")</f>
        <v>20668.1</v>
      </c>
      <c r="I56" s="32" t="n">
        <f aca="false">SUMIFS('Source 2026'!$Q:$Q,'Source 2026'!$B:$B,$A56,'Source 2026'!$A:$A,"Amount (NIS)")</f>
        <v>9322</v>
      </c>
      <c r="J56" s="32" t="n">
        <f aca="false">I56*$J$5</f>
        <v>11775.1578947368</v>
      </c>
      <c r="K56" s="32" t="n">
        <f aca="false">J56-H56</f>
        <v>-8892.94210526316</v>
      </c>
      <c r="L56" s="31" t="n">
        <f aca="false">IF(AND(H56=0,J56=0),0,IF(H56=0,"New",(J56-H56)/H56))</f>
        <v>-0.430273808684067</v>
      </c>
    </row>
    <row r="57" customFormat="false" ht="15" hidden="false" customHeight="false" outlineLevel="0" collapsed="false">
      <c r="A57" s="28" t="s">
        <v>108</v>
      </c>
      <c r="B57" s="28" t="str">
        <f aca="false">IFERROR(INDEX('Source 2026'!$C:$C,MATCH($A57,'Source 2026'!$B:$B,0)),IFERROR(INDEX('Source 2025'!$C:$C,MATCH($A57,'Source 2025'!$B:$B,0)),""))</f>
        <v>למניעת שפשוף 5 יח</v>
      </c>
      <c r="C57" s="29" t="n">
        <f aca="false">SUMIFS('Source 2025'!$Q:$Q,'Source 2025'!$B:$B,$A57,'Source 2025'!$A:$A,"Quantity (units)")</f>
        <v>4057</v>
      </c>
      <c r="D57" s="29" t="n">
        <f aca="false">SUMIFS('Source 2026'!$Q:$Q,'Source 2026'!$B:$B,$A57,'Source 2026'!$A:$A,"Quantity (units)")</f>
        <v>2898</v>
      </c>
      <c r="E57" s="30" t="n">
        <f aca="false">D57*$J$5</f>
        <v>3660.63157894737</v>
      </c>
      <c r="F57" s="30" t="n">
        <f aca="false">E57-C57</f>
        <v>-396.368421052632</v>
      </c>
      <c r="G57" s="31" t="n">
        <f aca="false">IF(AND(C57=0,E57=0),0,IF(C57=0,"New",(E57-C57)/C57))</f>
        <v>-0.0976998819454355</v>
      </c>
      <c r="H57" s="32" t="n">
        <f aca="false">SUMIFS('Source 2025'!$Q:$Q,'Source 2025'!$B:$B,$A57,'Source 2025'!$A:$A,"Amount (NIS)")</f>
        <v>50190</v>
      </c>
      <c r="I57" s="32" t="n">
        <f aca="false">SUMIFS('Source 2026'!$Q:$Q,'Source 2026'!$B:$B,$A57,'Source 2026'!$A:$A,"Amount (NIS)")</f>
        <v>39121.1</v>
      </c>
      <c r="J57" s="32" t="n">
        <f aca="false">I57*$J$5</f>
        <v>49416.1263157895</v>
      </c>
      <c r="K57" s="32" t="n">
        <f aca="false">J57-H57</f>
        <v>-773.873684210528</v>
      </c>
      <c r="L57" s="31" t="n">
        <f aca="false">IF(AND(H57=0,J57=0),0,IF(H57=0,"New",(J57-H57)/H57))</f>
        <v>-0.0154188819328657</v>
      </c>
    </row>
    <row r="58" customFormat="false" ht="15" hidden="false" customHeight="false" outlineLevel="0" collapsed="false">
      <c r="A58" s="28" t="s">
        <v>87</v>
      </c>
      <c r="B58" s="28" t="str">
        <f aca="false">IFERROR(INDEX('Source 2026'!$C:$C,MATCH($A58,'Source 2026'!$B:$B,0)),IFERROR(INDEX('Source 2025'!$C:$C,MATCH($A58,'Source 2025'!$B:$B,0)),""))</f>
        <v>מדרס אורטופ.מתכוון35-36</v>
      </c>
      <c r="C58" s="29" t="n">
        <f aca="false">SUMIFS('Source 2025'!$Q:$Q,'Source 2025'!$B:$B,$A58,'Source 2025'!$A:$A,"Quantity (units)")</f>
        <v>492</v>
      </c>
      <c r="D58" s="29" t="n">
        <f aca="false">SUMIFS('Source 2026'!$Q:$Q,'Source 2026'!$B:$B,$A58,'Source 2026'!$A:$A,"Quantity (units)")</f>
        <v>347</v>
      </c>
      <c r="E58" s="30" t="n">
        <f aca="false">D58*$J$5</f>
        <v>438.315789473684</v>
      </c>
      <c r="F58" s="30" t="n">
        <f aca="false">E58-C58</f>
        <v>-53.6842105263158</v>
      </c>
      <c r="G58" s="31" t="n">
        <f aca="false">IF(AND(C58=0,E58=0),0,IF(C58=0,"New",(E58-C58)/C58))</f>
        <v>-0.109114249037227</v>
      </c>
      <c r="H58" s="32" t="n">
        <f aca="false">SUMIFS('Source 2025'!$Q:$Q,'Source 2025'!$B:$B,$A58,'Source 2025'!$A:$A,"Amount (NIS)")</f>
        <v>32730.3</v>
      </c>
      <c r="I58" s="32" t="n">
        <f aca="false">SUMIFS('Source 2026'!$Q:$Q,'Source 2026'!$B:$B,$A58,'Source 2026'!$A:$A,"Amount (NIS)")</f>
        <v>22593.7</v>
      </c>
      <c r="J58" s="32" t="n">
        <f aca="false">I58*$J$5</f>
        <v>28539.4105263158</v>
      </c>
      <c r="K58" s="32" t="n">
        <f aca="false">J58-H58</f>
        <v>-4190.88947368421</v>
      </c>
      <c r="L58" s="31" t="n">
        <f aca="false">IF(AND(H58=0,J58=0),0,IF(H58=0,"New",(J58-H58)/H58))</f>
        <v>-0.128043112152477</v>
      </c>
    </row>
    <row r="59" customFormat="false" ht="15" hidden="false" customHeight="false" outlineLevel="0" collapsed="false">
      <c r="A59" s="28" t="s">
        <v>117</v>
      </c>
      <c r="B59" s="28" t="str">
        <f aca="false">IFERROR(INDEX('Source 2026'!$C:$C,MATCH($A59,'Source 2026'!$B:$B,0)),IFERROR(INDEX('Source 2025'!$C:$C,MATCH($A59,'Source 2025'!$B:$B,0)),""))</f>
        <v>מטטרזלי סיליקון362</v>
      </c>
      <c r="C59" s="29" t="n">
        <f aca="false">SUMIFS('Source 2025'!$Q:$Q,'Source 2025'!$B:$B,$A59,'Source 2025'!$A:$A,"Quantity (units)")</f>
        <v>2204</v>
      </c>
      <c r="D59" s="29" t="n">
        <f aca="false">SUMIFS('Source 2026'!$Q:$Q,'Source 2026'!$B:$B,$A59,'Source 2026'!$A:$A,"Quantity (units)")</f>
        <v>1727</v>
      </c>
      <c r="E59" s="30" t="n">
        <f aca="false">D59*$J$5</f>
        <v>2181.47368421053</v>
      </c>
      <c r="F59" s="30" t="n">
        <f aca="false">E59-C59</f>
        <v>-22.5263157894738</v>
      </c>
      <c r="G59" s="31" t="n">
        <f aca="false">IF(AND(C59=0,E59=0),0,IF(C59=0,"New",(E59-C59)/C59))</f>
        <v>-0.0102206514471297</v>
      </c>
      <c r="H59" s="32" t="n">
        <f aca="false">SUMIFS('Source 2025'!$Q:$Q,'Source 2025'!$B:$B,$A59,'Source 2025'!$A:$A,"Amount (NIS)")</f>
        <v>51118.9</v>
      </c>
      <c r="I59" s="32" t="n">
        <f aca="false">SUMIFS('Source 2026'!$Q:$Q,'Source 2026'!$B:$B,$A59,'Source 2026'!$A:$A,"Amount (NIS)")</f>
        <v>41072.9</v>
      </c>
      <c r="J59" s="32" t="n">
        <f aca="false">I59*$J$5</f>
        <v>51881.5578947368</v>
      </c>
      <c r="K59" s="32" t="n">
        <f aca="false">J59-H59</f>
        <v>762.65789473684</v>
      </c>
      <c r="L59" s="31" t="n">
        <f aca="false">IF(AND(H59=0,J59=0),0,IF(H59=0,"New",(J59-H59)/H59))</f>
        <v>0.0149192939350581</v>
      </c>
    </row>
    <row r="60" customFormat="false" ht="15" hidden="false" customHeight="false" outlineLevel="0" collapsed="false">
      <c r="A60" s="28" t="s">
        <v>143</v>
      </c>
      <c r="B60" s="28" t="str">
        <f aca="false">IFERROR(INDEX('Source 2026'!$C:$C,MATCH($A60,'Source 2026'!$B:$B,0)),IFERROR(INDEX('Source 2025'!$C:$C,MATCH($A60,'Source 2025'!$B:$B,0)),""))</f>
        <v>בליסטר פלסטר</v>
      </c>
      <c r="C60" s="29" t="n">
        <f aca="false">SUMIFS('Source 2025'!$Q:$Q,'Source 2025'!$B:$B,$A60,'Source 2025'!$A:$A,"Quantity (units)")</f>
        <v>1909</v>
      </c>
      <c r="D60" s="29" t="n">
        <f aca="false">SUMIFS('Source 2026'!$Q:$Q,'Source 2026'!$B:$B,$A60,'Source 2026'!$A:$A,"Quantity (units)")</f>
        <v>1332</v>
      </c>
      <c r="E60" s="30" t="n">
        <f aca="false">D60*$J$5</f>
        <v>1682.52631578947</v>
      </c>
      <c r="F60" s="30" t="n">
        <f aca="false">E60-C60</f>
        <v>-226.473684210526</v>
      </c>
      <c r="G60" s="31" t="n">
        <f aca="false">IF(AND(C60=0,E60=0),0,IF(C60=0,"New",(E60-C60)/C60))</f>
        <v>-0.118634721954178</v>
      </c>
      <c r="H60" s="32" t="n">
        <f aca="false">SUMIFS('Source 2025'!$Q:$Q,'Source 2025'!$B:$B,$A60,'Source 2025'!$A:$A,"Amount (NIS)")</f>
        <v>33927.9</v>
      </c>
      <c r="I60" s="32" t="n">
        <f aca="false">SUMIFS('Source 2026'!$Q:$Q,'Source 2026'!$B:$B,$A60,'Source 2026'!$A:$A,"Amount (NIS)")</f>
        <v>23901.8</v>
      </c>
      <c r="J60" s="32" t="n">
        <f aca="false">I60*$J$5</f>
        <v>30191.7473684211</v>
      </c>
      <c r="K60" s="32" t="n">
        <f aca="false">J60-H60</f>
        <v>-3736.15263157895</v>
      </c>
      <c r="L60" s="31" t="n">
        <f aca="false">IF(AND(H60=0,J60=0),0,IF(H60=0,"New",(J60-H60)/H60))</f>
        <v>-0.110120362049492</v>
      </c>
    </row>
    <row r="61" customFormat="false" ht="15" hidden="false" customHeight="false" outlineLevel="0" collapsed="false">
      <c r="A61" s="28" t="s">
        <v>133</v>
      </c>
      <c r="B61" s="28" t="str">
        <f aca="false">IFERROR(INDEX('Source 2026'!$C:$C,MATCH($A61,'Source 2026'!$B:$B,0)),IFERROR(INDEX('Source 2025'!$C:$C,MATCH($A61,'Source 2025'!$B:$B,0)),""))</f>
        <v>תחבושת א.נצמ</v>
      </c>
      <c r="C61" s="29" t="n">
        <f aca="false">SUMIFS('Source 2025'!$Q:$Q,'Source 2025'!$B:$B,$A61,'Source 2025'!$A:$A,"Quantity (units)")</f>
        <v>1749</v>
      </c>
      <c r="D61" s="29" t="n">
        <f aca="false">SUMIFS('Source 2026'!$Q:$Q,'Source 2026'!$B:$B,$A61,'Source 2026'!$A:$A,"Quantity (units)")</f>
        <v>820</v>
      </c>
      <c r="E61" s="30" t="n">
        <f aca="false">D61*$J$5</f>
        <v>1035.78947368421</v>
      </c>
      <c r="F61" s="30" t="n">
        <f aca="false">E61-C61</f>
        <v>-713.21052631579</v>
      </c>
      <c r="G61" s="31" t="n">
        <f aca="false">IF(AND(C61=0,E61=0),0,IF(C61=0,"New",(E61-C61)/C61))</f>
        <v>-0.407781890403539</v>
      </c>
      <c r="H61" s="32" t="n">
        <f aca="false">SUMIFS('Source 2025'!$Q:$Q,'Source 2025'!$B:$B,$A61,'Source 2025'!$A:$A,"Amount (NIS)")</f>
        <v>17832.6</v>
      </c>
      <c r="I61" s="32" t="n">
        <f aca="false">SUMIFS('Source 2026'!$Q:$Q,'Source 2026'!$B:$B,$A61,'Source 2026'!$A:$A,"Amount (NIS)")</f>
        <v>8468.2</v>
      </c>
      <c r="J61" s="32" t="n">
        <f aca="false">I61*$J$5</f>
        <v>10696.6736842105</v>
      </c>
      <c r="K61" s="32" t="n">
        <f aca="false">J61-H61</f>
        <v>-7135.92631578947</v>
      </c>
      <c r="L61" s="31" t="n">
        <f aca="false">IF(AND(H61=0,J61=0),0,IF(H61=0,"New",(J61-H61)/H61))</f>
        <v>-0.400161856139288</v>
      </c>
    </row>
    <row r="62" customFormat="false" ht="15" hidden="false" customHeight="false" outlineLevel="0" collapsed="false">
      <c r="A62" s="28" t="s">
        <v>121</v>
      </c>
      <c r="B62" s="28" t="str">
        <f aca="false">IFERROR(INDEX('Source 2026'!$C:$C,MATCH($A62,'Source 2026'!$B:$B,0)),IFERROR(INDEX('Source 2025'!$C:$C,MATCH($A62,'Source 2025'!$B:$B,0)),""))</f>
        <v>תחבושת א.נצמ</v>
      </c>
      <c r="C62" s="29" t="n">
        <f aca="false">SUMIFS('Source 2025'!$Q:$Q,'Source 2025'!$B:$B,$A62,'Source 2025'!$A:$A,"Quantity (units)")</f>
        <v>2756</v>
      </c>
      <c r="D62" s="29" t="n">
        <f aca="false">SUMIFS('Source 2026'!$Q:$Q,'Source 2026'!$B:$B,$A62,'Source 2026'!$A:$A,"Quantity (units)")</f>
        <v>1822</v>
      </c>
      <c r="E62" s="30" t="n">
        <f aca="false">D62*$J$5</f>
        <v>2301.47368421053</v>
      </c>
      <c r="F62" s="30" t="n">
        <f aca="false">E62-C62</f>
        <v>-454.526315789474</v>
      </c>
      <c r="G62" s="31" t="n">
        <f aca="false">IF(AND(C62=0,E62=0),0,IF(C62=0,"New",(E62-C62)/C62))</f>
        <v>-0.16492246581621</v>
      </c>
      <c r="H62" s="32" t="n">
        <f aca="false">SUMIFS('Source 2025'!$Q:$Q,'Source 2025'!$B:$B,$A62,'Source 2025'!$A:$A,"Amount (NIS)")</f>
        <v>28005.4</v>
      </c>
      <c r="I62" s="32" t="n">
        <f aca="false">SUMIFS('Source 2026'!$Q:$Q,'Source 2026'!$B:$B,$A62,'Source 2026'!$A:$A,"Amount (NIS)")</f>
        <v>18650.2</v>
      </c>
      <c r="J62" s="32" t="n">
        <f aca="false">I62*$J$5</f>
        <v>23558.1473684211</v>
      </c>
      <c r="K62" s="32" t="n">
        <f aca="false">J62-H62</f>
        <v>-4447.25263157895</v>
      </c>
      <c r="L62" s="31" t="n">
        <f aca="false">IF(AND(H62=0,J62=0),0,IF(H62=0,"New",(J62-H62)/H62))</f>
        <v>-0.158799825447198</v>
      </c>
    </row>
    <row r="63" customFormat="false" ht="15" hidden="false" customHeight="false" outlineLevel="0" collapsed="false">
      <c r="A63" s="28" t="s">
        <v>233</v>
      </c>
      <c r="B63" s="28" t="str">
        <f aca="false">IFERROR(INDEX('Source 2026'!$C:$C,MATCH($A63,'Source 2026'!$B:$B,0)),IFERROR(INDEX('Source 2025'!$C:$C,MATCH($A63,'Source 2025'!$B:$B,0)),""))</f>
        <v>L שמאל CTS כפפות</v>
      </c>
      <c r="C63" s="29" t="n">
        <f aca="false">SUMIFS('Source 2025'!$Q:$Q,'Source 2025'!$B:$B,$A63,'Source 2025'!$A:$A,"Quantity (units)")</f>
        <v>0</v>
      </c>
      <c r="D63" s="29" t="n">
        <f aca="false">SUMIFS('Source 2026'!$Q:$Q,'Source 2026'!$B:$B,$A63,'Source 2026'!$A:$A,"Quantity (units)")</f>
        <v>93</v>
      </c>
      <c r="E63" s="30" t="n">
        <f aca="false">D63*$J$5</f>
        <v>117.473684210526</v>
      </c>
      <c r="F63" s="30" t="n">
        <f aca="false">E63-C63</f>
        <v>117.473684210526</v>
      </c>
      <c r="G63" s="31" t="str">
        <f aca="false">IF(AND(C63=0,E63=0),0,IF(C63=0,"New",(E63-C63)/C63))</f>
        <v>New</v>
      </c>
      <c r="H63" s="32" t="n">
        <f aca="false">SUMIFS('Source 2025'!$Q:$Q,'Source 2025'!$B:$B,$A63,'Source 2025'!$A:$A,"Amount (NIS)")</f>
        <v>0</v>
      </c>
      <c r="I63" s="32" t="n">
        <f aca="false">SUMIFS('Source 2026'!$Q:$Q,'Source 2026'!$B:$B,$A63,'Source 2026'!$A:$A,"Amount (NIS)")</f>
        <v>9344.9</v>
      </c>
      <c r="J63" s="32" t="n">
        <f aca="false">I63*$J$5</f>
        <v>11804.0842105263</v>
      </c>
      <c r="K63" s="32" t="n">
        <f aca="false">J63-H63</f>
        <v>11804.0842105263</v>
      </c>
      <c r="L63" s="31" t="str">
        <f aca="false">IF(AND(H63=0,J63=0),0,IF(H63=0,"New",(J63-H63)/H63))</f>
        <v>New</v>
      </c>
    </row>
    <row r="64" customFormat="false" ht="15" hidden="false" customHeight="false" outlineLevel="0" collapsed="false">
      <c r="A64" s="28" t="s">
        <v>180</v>
      </c>
      <c r="B64" s="28" t="str">
        <f aca="false">IFERROR(INDEX('Source 2026'!$C:$C,MATCH($A64,'Source 2026'!$B:$B,0)),IFERROR(INDEX('Source 2025'!$C:$C,MATCH($A64,'Source 2025'!$B:$B,0)),""))</f>
        <v>תחבושת נצמדת ורוד 20ממ</v>
      </c>
      <c r="C64" s="29" t="n">
        <f aca="false">SUMIFS('Source 2025'!$Q:$Q,'Source 2025'!$B:$B,$A64,'Source 2025'!$A:$A,"Quantity (units)")</f>
        <v>1134</v>
      </c>
      <c r="D64" s="29" t="n">
        <f aca="false">SUMIFS('Source 2026'!$Q:$Q,'Source 2026'!$B:$B,$A64,'Source 2026'!$A:$A,"Quantity (units)")</f>
        <v>283</v>
      </c>
      <c r="E64" s="30" t="n">
        <f aca="false">D64*$J$5</f>
        <v>357.473684210526</v>
      </c>
      <c r="F64" s="30" t="n">
        <f aca="false">E64-C64</f>
        <v>-776.526315789474</v>
      </c>
      <c r="G64" s="31" t="n">
        <f aca="false">IF(AND(C64=0,E64=0),0,IF(C64=0,"New",(E64-C64)/C64))</f>
        <v>-0.684767474241159</v>
      </c>
      <c r="H64" s="32" t="n">
        <f aca="false">SUMIFS('Source 2025'!$Q:$Q,'Source 2025'!$B:$B,$A64,'Source 2025'!$A:$A,"Amount (NIS)")</f>
        <v>11512.2</v>
      </c>
      <c r="I64" s="32" t="n">
        <f aca="false">SUMIFS('Source 2026'!$Q:$Q,'Source 2026'!$B:$B,$A64,'Source 2026'!$A:$A,"Amount (NIS)")</f>
        <v>2916</v>
      </c>
      <c r="J64" s="32" t="n">
        <f aca="false">I64*$J$5</f>
        <v>3683.36842105263</v>
      </c>
      <c r="K64" s="32" t="n">
        <f aca="false">J64-H64</f>
        <v>-7828.83157894737</v>
      </c>
      <c r="L64" s="31" t="n">
        <f aca="false">IF(AND(H64=0,J64=0),0,IF(H64=0,"New",(J64-H64)/H64))</f>
        <v>-0.680046522727834</v>
      </c>
    </row>
    <row r="65" customFormat="false" ht="15" hidden="false" customHeight="false" outlineLevel="0" collapsed="false">
      <c r="A65" s="28" t="s">
        <v>162</v>
      </c>
      <c r="B65" s="28" t="str">
        <f aca="false">IFERROR(INDEX('Source 2026'!$C:$C,MATCH($A65,'Source 2026'!$B:$B,0)),IFERROR(INDEX('Source 2025'!$C:$C,MATCH($A65,'Source 2025'!$B:$B,0)),""))</f>
        <v>שרוול מגן לבוניון</v>
      </c>
      <c r="C65" s="29" t="n">
        <f aca="false">SUMIFS('Source 2025'!$Q:$Q,'Source 2025'!$B:$B,$A65,'Source 2025'!$A:$A,"Quantity (units)")</f>
        <v>968</v>
      </c>
      <c r="D65" s="29" t="n">
        <f aca="false">SUMIFS('Source 2026'!$Q:$Q,'Source 2026'!$B:$B,$A65,'Source 2026'!$A:$A,"Quantity (units)")</f>
        <v>650</v>
      </c>
      <c r="E65" s="30" t="n">
        <f aca="false">D65*$J$5</f>
        <v>821.052631578947</v>
      </c>
      <c r="F65" s="30" t="n">
        <f aca="false">E65-C65</f>
        <v>-146.947368421053</v>
      </c>
      <c r="G65" s="31" t="n">
        <f aca="false">IF(AND(C65=0,E65=0),0,IF(C65=0,"New",(E65-C65)/C65))</f>
        <v>-0.151805132666377</v>
      </c>
      <c r="H65" s="32" t="n">
        <f aca="false">SUMIFS('Source 2025'!$Q:$Q,'Source 2025'!$B:$B,$A65,'Source 2025'!$A:$A,"Amount (NIS)")</f>
        <v>27666.3</v>
      </c>
      <c r="I65" s="32" t="n">
        <f aca="false">SUMIFS('Source 2026'!$Q:$Q,'Source 2026'!$B:$B,$A65,'Source 2026'!$A:$A,"Amount (NIS)")</f>
        <v>19108.9</v>
      </c>
      <c r="J65" s="32" t="n">
        <f aca="false">I65*$J$5</f>
        <v>24137.5578947368</v>
      </c>
      <c r="K65" s="32" t="n">
        <f aca="false">J65-H65</f>
        <v>-3528.74210526316</v>
      </c>
      <c r="L65" s="31" t="n">
        <f aca="false">IF(AND(H65=0,J65=0),0,IF(H65=0,"New",(J65-H65)/H65))</f>
        <v>-0.127546585747395</v>
      </c>
    </row>
    <row r="66" customFormat="false" ht="15" hidden="false" customHeight="false" outlineLevel="0" collapsed="false">
      <c r="A66" s="28" t="s">
        <v>329</v>
      </c>
      <c r="B66" s="28" t="str">
        <f aca="false">IFERROR(INDEX('Source 2026'!$C:$C,MATCH($A66,'Source 2026'!$B:$B,0)),IFERROR(INDEX('Source 2025'!$C:$C,MATCH($A66,'Source 2025'!$B:$B,0)),""))</f>
        <v>חגורת גב אפורה</v>
      </c>
      <c r="C66" s="29" t="n">
        <f aca="false">SUMIFS('Source 2025'!$Q:$Q,'Source 2025'!$B:$B,$A66,'Source 2025'!$A:$A,"Quantity (units)")</f>
        <v>359</v>
      </c>
      <c r="D66" s="29" t="n">
        <f aca="false">SUMIFS('Source 2026'!$Q:$Q,'Source 2026'!$B:$B,$A66,'Source 2026'!$A:$A,"Quantity (units)")</f>
        <v>263</v>
      </c>
      <c r="E66" s="30" t="n">
        <f aca="false">D66*$J$5</f>
        <v>332.21052631579</v>
      </c>
      <c r="F66" s="30" t="n">
        <f aca="false">E66-C66</f>
        <v>-26.7894736842105</v>
      </c>
      <c r="G66" s="31" t="n">
        <f aca="false">IF(AND(C66=0,E66=0),0,IF(C66=0,"New",(E66-C66)/C66))</f>
        <v>-0.07462248937106</v>
      </c>
      <c r="H66" s="32" t="n">
        <f aca="false">SUMIFS('Source 2025'!$Q:$Q,'Source 2025'!$B:$B,$A66,'Source 2025'!$A:$A,"Amount (NIS)")</f>
        <v>33059.8</v>
      </c>
      <c r="I66" s="32" t="n">
        <f aca="false">SUMIFS('Source 2026'!$Q:$Q,'Source 2026'!$B:$B,$A66,'Source 2026'!$A:$A,"Amount (NIS)")</f>
        <v>24607.7</v>
      </c>
      <c r="J66" s="32" t="n">
        <f aca="false">I66*$J$5</f>
        <v>31083.4105263158</v>
      </c>
      <c r="K66" s="32" t="n">
        <f aca="false">J66-H66</f>
        <v>-1976.38947368422</v>
      </c>
      <c r="L66" s="31" t="n">
        <f aca="false">IF(AND(H66=0,J66=0),0,IF(H66=0,"New",(J66-H66)/H66))</f>
        <v>-0.0597822574148729</v>
      </c>
    </row>
    <row r="67" customFormat="false" ht="15" hidden="false" customHeight="false" outlineLevel="0" collapsed="false">
      <c r="A67" s="28" t="s">
        <v>68</v>
      </c>
      <c r="B67" s="28" t="str">
        <f aca="false">IFERROR(INDEX('Source 2026'!$C:$C,MATCH($A67,'Source 2026'!$B:$B,0)),IFERROR(INDEX('Source 2025'!$C:$C,MATCH($A67,'Source 2025'!$B:$B,0)),""))</f>
        <v>דאודורנט אנטיבק.נעל333</v>
      </c>
      <c r="C67" s="29" t="n">
        <f aca="false">SUMIFS('Source 2025'!$Q:$Q,'Source 2025'!$B:$B,$A67,'Source 2025'!$A:$A,"Quantity (units)")</f>
        <v>1663</v>
      </c>
      <c r="D67" s="29" t="n">
        <f aca="false">SUMIFS('Source 2026'!$Q:$Q,'Source 2026'!$B:$B,$A67,'Source 2026'!$A:$A,"Quantity (units)")</f>
        <v>1283</v>
      </c>
      <c r="E67" s="30" t="n">
        <f aca="false">D67*$J$5</f>
        <v>1620.63157894737</v>
      </c>
      <c r="F67" s="30" t="n">
        <f aca="false">E67-C67</f>
        <v>-42.3684210526317</v>
      </c>
      <c r="G67" s="31" t="n">
        <f aca="false">IF(AND(C67=0,E67=0),0,IF(C67=0,"New",(E67-C67)/C67))</f>
        <v>-0.0254771022565434</v>
      </c>
      <c r="H67" s="32" t="n">
        <f aca="false">SUMIFS('Source 2025'!$Q:$Q,'Source 2025'!$B:$B,$A67,'Source 2025'!$A:$A,"Amount (NIS)")</f>
        <v>30574.4</v>
      </c>
      <c r="I67" s="32" t="n">
        <f aca="false">SUMIFS('Source 2026'!$Q:$Q,'Source 2026'!$B:$B,$A67,'Source 2026'!$A:$A,"Amount (NIS)")</f>
        <v>22225.7</v>
      </c>
      <c r="J67" s="32" t="n">
        <f aca="false">I67*$J$5</f>
        <v>28074.5684210526</v>
      </c>
      <c r="K67" s="32" t="n">
        <f aca="false">J67-H67</f>
        <v>-2499.83157894737</v>
      </c>
      <c r="L67" s="31" t="n">
        <f aca="false">IF(AND(H67=0,J67=0),0,IF(H67=0,"New",(J67-H67)/H67))</f>
        <v>-0.0817622448501809</v>
      </c>
    </row>
    <row r="68" customFormat="false" ht="15" hidden="false" customHeight="false" outlineLevel="0" collapsed="false">
      <c r="A68" s="28" t="s">
        <v>88</v>
      </c>
      <c r="B68" s="28" t="str">
        <f aca="false">IFERROR(INDEX('Source 2026'!$C:$C,MATCH($A68,'Source 2026'!$B:$B,0)),IFERROR(INDEX('Source 2025'!$C:$C,MATCH($A68,'Source 2025'!$B:$B,0)),""))</f>
        <v>חגורת גב +סגירה כפולה</v>
      </c>
      <c r="C68" s="29" t="n">
        <f aca="false">SUMIFS('Source 2025'!$Q:$Q,'Source 2025'!$B:$B,$A68,'Source 2025'!$A:$A,"Quantity (units)")</f>
        <v>132</v>
      </c>
      <c r="D68" s="29" t="n">
        <f aca="false">SUMIFS('Source 2026'!$Q:$Q,'Source 2026'!$B:$B,$A68,'Source 2026'!$A:$A,"Quantity (units)")</f>
        <v>42</v>
      </c>
      <c r="E68" s="30" t="n">
        <f aca="false">D68*$J$5</f>
        <v>53.0526315789474</v>
      </c>
      <c r="F68" s="30" t="n">
        <f aca="false">E68-C68</f>
        <v>-78.9473684210526</v>
      </c>
      <c r="G68" s="31" t="n">
        <f aca="false">IF(AND(C68=0,E68=0),0,IF(C68=0,"New",(E68-C68)/C68))</f>
        <v>-0.598086124401914</v>
      </c>
      <c r="H68" s="32" t="n">
        <f aca="false">SUMIFS('Source 2025'!$Q:$Q,'Source 2025'!$B:$B,$A68,'Source 2025'!$A:$A,"Amount (NIS)")</f>
        <v>12600.2</v>
      </c>
      <c r="I68" s="32" t="n">
        <f aca="false">SUMIFS('Source 2026'!$Q:$Q,'Source 2026'!$B:$B,$A68,'Source 2026'!$A:$A,"Amount (NIS)")</f>
        <v>4263.8</v>
      </c>
      <c r="J68" s="32" t="n">
        <f aca="false">I68*$J$5</f>
        <v>5385.85263157895</v>
      </c>
      <c r="K68" s="32" t="n">
        <f aca="false">J68-H68</f>
        <v>-7214.34736842105</v>
      </c>
      <c r="L68" s="31" t="n">
        <f aca="false">IF(AND(H68=0,J68=0),0,IF(H68=0,"New",(J68-H68)/H68))</f>
        <v>-0.572558163237175</v>
      </c>
    </row>
    <row r="69" customFormat="false" ht="15" hidden="false" customHeight="false" outlineLevel="0" collapsed="false">
      <c r="A69" s="28" t="s">
        <v>80</v>
      </c>
      <c r="B69" s="28" t="str">
        <f aca="false">IFERROR(INDEX('Source 2026'!$C:$C,MATCH($A69,'Source 2026'!$B:$B,0)),IFERROR(INDEX('Source 2025'!$C:$C,MATCH($A69,'Source 2025'!$B:$B,0)),""))</f>
        <v>L חבק יד מתכוון עם צמדן</v>
      </c>
      <c r="C69" s="29" t="n">
        <f aca="false">SUMIFS('Source 2025'!$Q:$Q,'Source 2025'!$B:$B,$A69,'Source 2025'!$A:$A,"Quantity (units)")</f>
        <v>739</v>
      </c>
      <c r="D69" s="29" t="n">
        <f aca="false">SUMIFS('Source 2026'!$Q:$Q,'Source 2026'!$B:$B,$A69,'Source 2026'!$A:$A,"Quantity (units)")</f>
        <v>398</v>
      </c>
      <c r="E69" s="30" t="n">
        <f aca="false">D69*$J$5</f>
        <v>502.736842105263</v>
      </c>
      <c r="F69" s="30" t="n">
        <f aca="false">E69-C69</f>
        <v>-236.263157894737</v>
      </c>
      <c r="G69" s="31" t="n">
        <f aca="false">IF(AND(C69=0,E69=0),0,IF(C69=0,"New",(E69-C69)/C69))</f>
        <v>-0.319706573605869</v>
      </c>
      <c r="H69" s="32" t="n">
        <f aca="false">SUMIFS('Source 2025'!$Q:$Q,'Source 2025'!$B:$B,$A69,'Source 2025'!$A:$A,"Amount (NIS)")</f>
        <v>18552.4</v>
      </c>
      <c r="I69" s="32" t="n">
        <f aca="false">SUMIFS('Source 2026'!$Q:$Q,'Source 2026'!$B:$B,$A69,'Source 2026'!$A:$A,"Amount (NIS)")</f>
        <v>10262</v>
      </c>
      <c r="J69" s="32" t="n">
        <f aca="false">I69*$J$5</f>
        <v>12962.5263157895</v>
      </c>
      <c r="K69" s="32" t="n">
        <f aca="false">J69-H69</f>
        <v>-5589.87368421052</v>
      </c>
      <c r="L69" s="31" t="n">
        <f aca="false">IF(AND(H69=0,J69=0),0,IF(H69=0,"New",(J69-H69)/H69))</f>
        <v>-0.301301916960098</v>
      </c>
    </row>
    <row r="70" customFormat="false" ht="15" hidden="false" customHeight="false" outlineLevel="0" collapsed="false">
      <c r="A70" s="28" t="s">
        <v>134</v>
      </c>
      <c r="B70" s="28" t="str">
        <f aca="false">IFERROR(INDEX('Source 2026'!$C:$C,MATCH($A70,'Source 2026'!$B:$B,0)),IFERROR(INDEX('Source 2025'!$C:$C,MATCH($A70,'Source 2025'!$B:$B,0)),""))</f>
        <v>S מגן קרסול מתכוון עם סקוטש</v>
      </c>
      <c r="C70" s="29" t="n">
        <f aca="false">SUMIFS('Source 2025'!$Q:$Q,'Source 2025'!$B:$B,$A70,'Source 2025'!$A:$A,"Quantity (units)")</f>
        <v>97</v>
      </c>
      <c r="D70" s="29" t="n">
        <f aca="false">SUMIFS('Source 2026'!$Q:$Q,'Source 2026'!$B:$B,$A70,'Source 2026'!$A:$A,"Quantity (units)")</f>
        <v>-36</v>
      </c>
      <c r="E70" s="30" t="n">
        <f aca="false">D70*$J$5</f>
        <v>-45.4736842105263</v>
      </c>
      <c r="F70" s="30" t="n">
        <f aca="false">E70-C70</f>
        <v>-142.473684210526</v>
      </c>
      <c r="G70" s="31" t="n">
        <f aca="false">IF(AND(C70=0,E70=0),0,IF(C70=0,"New",(E70-C70)/C70))</f>
        <v>-1.46880086814976</v>
      </c>
      <c r="H70" s="32" t="n">
        <f aca="false">SUMIFS('Source 2025'!$Q:$Q,'Source 2025'!$B:$B,$A70,'Source 2025'!$A:$A,"Amount (NIS)")</f>
        <v>5669.5</v>
      </c>
      <c r="I70" s="32" t="n">
        <f aca="false">SUMIFS('Source 2026'!$Q:$Q,'Source 2026'!$B:$B,$A70,'Source 2026'!$A:$A,"Amount (NIS)")</f>
        <v>-1982.7</v>
      </c>
      <c r="J70" s="32" t="n">
        <f aca="false">I70*$J$5</f>
        <v>-2504.46315789474</v>
      </c>
      <c r="K70" s="32" t="n">
        <f aca="false">J70-H70</f>
        <v>-8173.96315789474</v>
      </c>
      <c r="L70" s="31" t="n">
        <f aca="false">IF(AND(H70=0,J70=0),0,IF(H70=0,"New",(J70-H70)/H70))</f>
        <v>-1.44174321507977</v>
      </c>
    </row>
    <row r="71" customFormat="false" ht="15" hidden="false" customHeight="false" outlineLevel="0" collapsed="false">
      <c r="A71" s="28" t="s">
        <v>158</v>
      </c>
      <c r="B71" s="28" t="str">
        <f aca="false">IFERROR(INDEX('Source 2026'!$C:$C,MATCH($A71,'Source 2026'!$B:$B,0)),IFERROR(INDEX('Source 2025'!$C:$C,MATCH($A71,'Source 2025'!$B:$B,0)),""))</f>
        <v>3667 מגן בוניון</v>
      </c>
      <c r="C71" s="29" t="n">
        <f aca="false">SUMIFS('Source 2025'!$Q:$Q,'Source 2025'!$B:$B,$A71,'Source 2025'!$A:$A,"Quantity (units)")</f>
        <v>962</v>
      </c>
      <c r="D71" s="29" t="n">
        <f aca="false">SUMIFS('Source 2026'!$Q:$Q,'Source 2026'!$B:$B,$A71,'Source 2026'!$A:$A,"Quantity (units)")</f>
        <v>673</v>
      </c>
      <c r="E71" s="30" t="n">
        <f aca="false">D71*$J$5</f>
        <v>850.105263157895</v>
      </c>
      <c r="F71" s="30" t="n">
        <f aca="false">E71-C71</f>
        <v>-111.894736842105</v>
      </c>
      <c r="G71" s="31" t="n">
        <f aca="false">IF(AND(C71=0,E71=0),0,IF(C71=0,"New",(E71-C71)/C71))</f>
        <v>-0.116314695262064</v>
      </c>
      <c r="H71" s="32" t="n">
        <f aca="false">SUMIFS('Source 2025'!$Q:$Q,'Source 2025'!$B:$B,$A71,'Source 2025'!$A:$A,"Amount (NIS)")</f>
        <v>25707.7</v>
      </c>
      <c r="I71" s="32" t="n">
        <f aca="false">SUMIFS('Source 2026'!$Q:$Q,'Source 2026'!$B:$B,$A71,'Source 2026'!$A:$A,"Amount (NIS)")</f>
        <v>18182.5</v>
      </c>
      <c r="J71" s="32" t="n">
        <f aca="false">I71*$J$5</f>
        <v>22967.3684210526</v>
      </c>
      <c r="K71" s="32" t="n">
        <f aca="false">J71-H71</f>
        <v>-2740.33157894737</v>
      </c>
      <c r="L71" s="31" t="n">
        <f aca="false">IF(AND(H71=0,J71=0),0,IF(H71=0,"New",(J71-H71)/H71))</f>
        <v>-0.106595750648536</v>
      </c>
    </row>
    <row r="72" customFormat="false" ht="15" hidden="false" customHeight="false" outlineLevel="0" collapsed="false">
      <c r="A72" s="28" t="s">
        <v>81</v>
      </c>
      <c r="B72" s="28" t="str">
        <f aca="false">IFERROR(INDEX('Source 2026'!$C:$C,MATCH($A72,'Source 2026'!$B:$B,0)),IFERROR(INDEX('Source 2025'!$C:$C,MATCH($A72,'Source 2025'!$B:$B,0)),""))</f>
        <v>L חגורת גב +סגירה</v>
      </c>
      <c r="C72" s="29" t="n">
        <f aca="false">SUMIFS('Source 2025'!$Q:$Q,'Source 2025'!$B:$B,$A72,'Source 2025'!$A:$A,"Quantity (units)")</f>
        <v>164</v>
      </c>
      <c r="D72" s="29" t="n">
        <f aca="false">SUMIFS('Source 2026'!$Q:$Q,'Source 2026'!$B:$B,$A72,'Source 2026'!$A:$A,"Quantity (units)")</f>
        <v>82</v>
      </c>
      <c r="E72" s="30" t="n">
        <f aca="false">D72*$J$5</f>
        <v>103.578947368421</v>
      </c>
      <c r="F72" s="30" t="n">
        <f aca="false">E72-C72</f>
        <v>-60.421052631579</v>
      </c>
      <c r="G72" s="31" t="n">
        <f aca="false">IF(AND(C72=0,E72=0),0,IF(C72=0,"New",(E72-C72)/C72))</f>
        <v>-0.368421052631579</v>
      </c>
      <c r="H72" s="32" t="n">
        <f aca="false">SUMIFS('Source 2025'!$Q:$Q,'Source 2025'!$B:$B,$A72,'Source 2025'!$A:$A,"Amount (NIS)")</f>
        <v>15702.7</v>
      </c>
      <c r="I72" s="32" t="n">
        <f aca="false">SUMIFS('Source 2026'!$Q:$Q,'Source 2026'!$B:$B,$A72,'Source 2026'!$A:$A,"Amount (NIS)")</f>
        <v>8230.7</v>
      </c>
      <c r="J72" s="32" t="n">
        <f aca="false">I72*$J$5</f>
        <v>10396.6736842105</v>
      </c>
      <c r="K72" s="32" t="n">
        <f aca="false">J72-H72</f>
        <v>-5306.02631578947</v>
      </c>
      <c r="L72" s="31" t="n">
        <f aca="false">IF(AND(H72=0,J72=0),0,IF(H72=0,"New",(J72-H72)/H72))</f>
        <v>-0.337905348493538</v>
      </c>
    </row>
    <row r="73" customFormat="false" ht="15" hidden="false" customHeight="false" outlineLevel="0" collapsed="false">
      <c r="A73" s="28" t="s">
        <v>258</v>
      </c>
      <c r="B73" s="28" t="str">
        <f aca="false">IFERROR(INDEX('Source 2026'!$C:$C,MATCH($A73,'Source 2026'!$B:$B,0)),IFERROR(INDEX('Source 2025'!$C:$C,MATCH($A73,'Source 2025'!$B:$B,0)),""))</f>
        <v>מיישר בוניון-האלוקס ולגוס</v>
      </c>
      <c r="C73" s="29" t="n">
        <f aca="false">SUMIFS('Source 2025'!$Q:$Q,'Source 2025'!$B:$B,$A73,'Source 2025'!$A:$A,"Quantity (units)")</f>
        <v>830</v>
      </c>
      <c r="D73" s="29" t="n">
        <f aca="false">SUMIFS('Source 2026'!$Q:$Q,'Source 2026'!$B:$B,$A73,'Source 2026'!$A:$A,"Quantity (units)")</f>
        <v>654</v>
      </c>
      <c r="E73" s="30" t="n">
        <f aca="false">D73*$J$5</f>
        <v>826.105263157895</v>
      </c>
      <c r="F73" s="30" t="n">
        <f aca="false">E73-C73</f>
        <v>-3.89473684210532</v>
      </c>
      <c r="G73" s="31" t="n">
        <f aca="false">IF(AND(C73=0,E73=0),0,IF(C73=0,"New",(E73-C73)/C73))</f>
        <v>-0.00469245402663291</v>
      </c>
      <c r="H73" s="32" t="n">
        <f aca="false">SUMIFS('Source 2025'!$Q:$Q,'Source 2025'!$B:$B,$A73,'Source 2025'!$A:$A,"Amount (NIS)")</f>
        <v>33989.9</v>
      </c>
      <c r="I73" s="32" t="n">
        <f aca="false">SUMIFS('Source 2026'!$Q:$Q,'Source 2026'!$B:$B,$A73,'Source 2026'!$A:$A,"Amount (NIS)")</f>
        <v>26677.6</v>
      </c>
      <c r="J73" s="32" t="n">
        <f aca="false">I73*$J$5</f>
        <v>33698.0210526316</v>
      </c>
      <c r="K73" s="32" t="n">
        <f aca="false">J73-H73</f>
        <v>-291.878947368423</v>
      </c>
      <c r="L73" s="31" t="n">
        <f aca="false">IF(AND(H73=0,J73=0),0,IF(H73=0,"New",(J73-H73)/H73))</f>
        <v>-0.00858722583380424</v>
      </c>
    </row>
    <row r="74" customFormat="false" ht="15" hidden="false" customHeight="false" outlineLevel="0" collapsed="false">
      <c r="A74" s="28" t="s">
        <v>142</v>
      </c>
      <c r="B74" s="28" t="str">
        <f aca="false">IFERROR(INDEX('Source 2026'!$C:$C,MATCH($A74,'Source 2026'!$B:$B,0)),IFERROR(INDEX('Source 2025'!$C:$C,MATCH($A74,'Source 2025'!$B:$B,0)),""))</f>
        <v>S-M סד לאגודל</v>
      </c>
      <c r="C74" s="29" t="n">
        <f aca="false">SUMIFS('Source 2025'!$Q:$Q,'Source 2025'!$B:$B,$A74,'Source 2025'!$A:$A,"Quantity (units)")</f>
        <v>484</v>
      </c>
      <c r="D74" s="29" t="n">
        <f aca="false">SUMIFS('Source 2026'!$Q:$Q,'Source 2026'!$B:$B,$A74,'Source 2026'!$A:$A,"Quantity (units)")</f>
        <v>360</v>
      </c>
      <c r="E74" s="30" t="n">
        <f aca="false">D74*$J$5</f>
        <v>454.736842105263</v>
      </c>
      <c r="F74" s="30" t="n">
        <f aca="false">E74-C74</f>
        <v>-29.2631578947369</v>
      </c>
      <c r="G74" s="31" t="n">
        <f aca="false">IF(AND(C74=0,E74=0),0,IF(C74=0,"New",(E74-C74)/C74))</f>
        <v>-0.0604610700304481</v>
      </c>
      <c r="H74" s="32" t="n">
        <f aca="false">SUMIFS('Source 2025'!$Q:$Q,'Source 2025'!$B:$B,$A74,'Source 2025'!$A:$A,"Amount (NIS)")</f>
        <v>28166.5</v>
      </c>
      <c r="I74" s="32" t="n">
        <f aca="false">SUMIFS('Source 2026'!$Q:$Q,'Source 2026'!$B:$B,$A74,'Source 2026'!$A:$A,"Amount (NIS)")</f>
        <v>21127.7</v>
      </c>
      <c r="J74" s="32" t="n">
        <f aca="false">I74*$J$5</f>
        <v>26687.6210526316</v>
      </c>
      <c r="K74" s="32" t="n">
        <f aca="false">J74-H74</f>
        <v>-1478.87894736842</v>
      </c>
      <c r="L74" s="31" t="n">
        <f aca="false">IF(AND(H74=0,J74=0),0,IF(H74=0,"New",(J74-H74)/H74))</f>
        <v>-0.0525048886928949</v>
      </c>
    </row>
    <row r="75" customFormat="false" ht="15" hidden="false" customHeight="false" outlineLevel="0" collapsed="false">
      <c r="A75" s="28" t="s">
        <v>230</v>
      </c>
      <c r="B75" s="28" t="str">
        <f aca="false">IFERROR(INDEX('Source 2026'!$C:$C,MATCH($A75,'Source 2026'!$B:$B,0)),IFERROR(INDEX('Source 2025'!$C:$C,MATCH($A75,'Source 2025'!$B:$B,0)),""))</f>
        <v>S-M STRAP4U</v>
      </c>
      <c r="C75" s="29" t="n">
        <f aca="false">SUMIFS('Source 2025'!$Q:$Q,'Source 2025'!$B:$B,$A75,'Source 2025'!$A:$A,"Quantity (units)")</f>
        <v>496</v>
      </c>
      <c r="D75" s="29" t="n">
        <f aca="false">SUMIFS('Source 2026'!$Q:$Q,'Source 2026'!$B:$B,$A75,'Source 2026'!$A:$A,"Quantity (units)")</f>
        <v>89</v>
      </c>
      <c r="E75" s="30" t="n">
        <f aca="false">D75*$J$5</f>
        <v>112.421052631579</v>
      </c>
      <c r="F75" s="30" t="n">
        <f aca="false">E75-C75</f>
        <v>-383.578947368421</v>
      </c>
      <c r="G75" s="31" t="n">
        <f aca="false">IF(AND(C75=0,E75=0),0,IF(C75=0,"New",(E75-C75)/C75))</f>
        <v>-0.773344651952462</v>
      </c>
      <c r="H75" s="32" t="n">
        <f aca="false">SUMIFS('Source 2025'!$Q:$Q,'Source 2025'!$B:$B,$A75,'Source 2025'!$A:$A,"Amount (NIS)")</f>
        <v>8292.2</v>
      </c>
      <c r="I75" s="32" t="n">
        <f aca="false">SUMIFS('Source 2026'!$Q:$Q,'Source 2026'!$B:$B,$A75,'Source 2026'!$A:$A,"Amount (NIS)")</f>
        <v>1612.2</v>
      </c>
      <c r="J75" s="32" t="n">
        <f aca="false">I75*$J$5</f>
        <v>2036.46315789474</v>
      </c>
      <c r="K75" s="32" t="n">
        <f aca="false">J75-H75</f>
        <v>-6255.73684210526</v>
      </c>
      <c r="L75" s="31" t="n">
        <f aca="false">IF(AND(H75=0,J75=0),0,IF(H75=0,"New",(J75-H75)/H75))</f>
        <v>-0.754412199670204</v>
      </c>
    </row>
    <row r="76" customFormat="false" ht="15" hidden="false" customHeight="false" outlineLevel="0" collapsed="false">
      <c r="A76" s="28" t="s">
        <v>262</v>
      </c>
      <c r="B76" s="28" t="str">
        <f aca="false">IFERROR(INDEX('Source 2026'!$C:$C,MATCH($A76,'Source 2026'!$B:$B,0)),IFERROR(INDEX('Source 2025'!$C:$C,MATCH($A76,'Source 2025'!$B:$B,0)),""))</f>
        <v>L ימין CTS כפפות</v>
      </c>
      <c r="C76" s="29" t="n">
        <f aca="false">SUMIFS('Source 2025'!$Q:$Q,'Source 2025'!$B:$B,$A76,'Source 2025'!$A:$A,"Quantity (units)")</f>
        <v>0</v>
      </c>
      <c r="D76" s="29" t="n">
        <f aca="false">SUMIFS('Source 2026'!$Q:$Q,'Source 2026'!$B:$B,$A76,'Source 2026'!$A:$A,"Quantity (units)")</f>
        <v>64</v>
      </c>
      <c r="E76" s="30" t="n">
        <f aca="false">D76*$J$5</f>
        <v>80.8421052631579</v>
      </c>
      <c r="F76" s="30" t="n">
        <f aca="false">E76-C76</f>
        <v>80.8421052631579</v>
      </c>
      <c r="G76" s="31" t="str">
        <f aca="false">IF(AND(C76=0,E76=0),0,IF(C76=0,"New",(E76-C76)/C76))</f>
        <v>New</v>
      </c>
      <c r="H76" s="32" t="n">
        <f aca="false">SUMIFS('Source 2025'!$Q:$Q,'Source 2025'!$B:$B,$A76,'Source 2025'!$A:$A,"Amount (NIS)")</f>
        <v>0</v>
      </c>
      <c r="I76" s="32" t="n">
        <f aca="false">SUMIFS('Source 2026'!$Q:$Q,'Source 2026'!$B:$B,$A76,'Source 2026'!$A:$A,"Amount (NIS)")</f>
        <v>6431.2</v>
      </c>
      <c r="J76" s="32" t="n">
        <f aca="false">I76*$J$5</f>
        <v>8123.62105263158</v>
      </c>
      <c r="K76" s="32" t="n">
        <f aca="false">J76-H76</f>
        <v>8123.62105263158</v>
      </c>
      <c r="L76" s="31" t="str">
        <f aca="false">IF(AND(H76=0,J76=0),0,IF(H76=0,"New",(J76-H76)/H76))</f>
        <v>New</v>
      </c>
    </row>
    <row r="77" customFormat="false" ht="15" hidden="false" customHeight="false" outlineLevel="0" collapsed="false">
      <c r="A77" s="28" t="s">
        <v>151</v>
      </c>
      <c r="B77" s="28" t="str">
        <f aca="false">IFERROR(INDEX('Source 2026'!$C:$C,MATCH($A77,'Source 2026'!$B:$B,0)),IFERROR(INDEX('Source 2025'!$C:$C,MATCH($A77,'Source 2025'!$B:$B,0)),""))</f>
        <v>גב אפורה</v>
      </c>
      <c r="C77" s="29" t="n">
        <f aca="false">SUMIFS('Source 2025'!$Q:$Q,'Source 2025'!$B:$B,$A77,'Source 2025'!$A:$A,"Quantity (units)")</f>
        <v>161</v>
      </c>
      <c r="D77" s="29" t="n">
        <f aca="false">SUMIFS('Source 2026'!$Q:$Q,'Source 2026'!$B:$B,$A77,'Source 2026'!$A:$A,"Quantity (units)")</f>
        <v>95</v>
      </c>
      <c r="E77" s="30" t="n">
        <f aca="false">D77*$J$5</f>
        <v>120</v>
      </c>
      <c r="F77" s="30" t="n">
        <f aca="false">E77-C77</f>
        <v>-41</v>
      </c>
      <c r="G77" s="31" t="n">
        <f aca="false">IF(AND(C77=0,E77=0),0,IF(C77=0,"New",(E77-C77)/C77))</f>
        <v>-0.254658385093168</v>
      </c>
      <c r="H77" s="32" t="n">
        <f aca="false">SUMIFS('Source 2025'!$Q:$Q,'Source 2025'!$B:$B,$A77,'Source 2025'!$A:$A,"Amount (NIS)")</f>
        <v>14776.5</v>
      </c>
      <c r="I77" s="32" t="n">
        <f aca="false">SUMIFS('Source 2026'!$Q:$Q,'Source 2026'!$B:$B,$A77,'Source 2026'!$A:$A,"Amount (NIS)")</f>
        <v>8894.8</v>
      </c>
      <c r="J77" s="32" t="n">
        <f aca="false">I77*$J$5</f>
        <v>11235.5368421053</v>
      </c>
      <c r="K77" s="32" t="n">
        <f aca="false">J77-H77</f>
        <v>-3540.96315789474</v>
      </c>
      <c r="L77" s="31" t="n">
        <f aca="false">IF(AND(H77=0,J77=0),0,IF(H77=0,"New",(J77-H77)/H77))</f>
        <v>-0.23963476857813</v>
      </c>
    </row>
    <row r="78" customFormat="false" ht="15" hidden="false" customHeight="false" outlineLevel="0" collapsed="false">
      <c r="A78" s="28" t="s">
        <v>104</v>
      </c>
      <c r="B78" s="28" t="str">
        <f aca="false">IFERROR(INDEX('Source 2026'!$C:$C,MATCH($A78,'Source 2026'!$B:$B,0)),IFERROR(INDEX('Source 2025'!$C:$C,MATCH($A78,'Source 2025'!$B:$B,0)),""))</f>
        <v>גרב.כסף לסכרתים שחור35-38</v>
      </c>
      <c r="C78" s="29" t="n">
        <f aca="false">SUMIFS('Source 2025'!$Q:$Q,'Source 2025'!$B:$B,$A78,'Source 2025'!$A:$A,"Quantity (units)")</f>
        <v>438</v>
      </c>
      <c r="D78" s="29" t="n">
        <f aca="false">SUMIFS('Source 2026'!$Q:$Q,'Source 2026'!$B:$B,$A78,'Source 2026'!$A:$A,"Quantity (units)")</f>
        <v>176</v>
      </c>
      <c r="E78" s="30" t="n">
        <f aca="false">D78*$J$5</f>
        <v>222.315789473684</v>
      </c>
      <c r="F78" s="30" t="n">
        <f aca="false">E78-C78</f>
        <v>-215.684210526316</v>
      </c>
      <c r="G78" s="31" t="n">
        <f aca="false">IF(AND(C78=0,E78=0),0,IF(C78=0,"New",(E78-C78)/C78))</f>
        <v>-0.492429704397981</v>
      </c>
      <c r="H78" s="32" t="n">
        <f aca="false">SUMIFS('Source 2025'!$Q:$Q,'Source 2025'!$B:$B,$A78,'Source 2025'!$A:$A,"Amount (NIS)")</f>
        <v>9732.4</v>
      </c>
      <c r="I78" s="32" t="n">
        <f aca="false">SUMIFS('Source 2026'!$Q:$Q,'Source 2026'!$B:$B,$A78,'Source 2026'!$A:$A,"Amount (NIS)")</f>
        <v>3919.7</v>
      </c>
      <c r="J78" s="32" t="n">
        <f aca="false">I78*$J$5</f>
        <v>4951.2</v>
      </c>
      <c r="K78" s="32" t="n">
        <f aca="false">J78-H78</f>
        <v>-4781.2</v>
      </c>
      <c r="L78" s="31" t="n">
        <f aca="false">IF(AND(H78=0,J78=0),0,IF(H78=0,"New",(J78-H78)/H78))</f>
        <v>-0.491266285808228</v>
      </c>
    </row>
    <row r="79" customFormat="false" ht="15" hidden="false" customHeight="false" outlineLevel="0" collapsed="false">
      <c r="A79" s="28" t="s">
        <v>138</v>
      </c>
      <c r="B79" s="28" t="str">
        <f aca="false">IFERROR(INDEX('Source 2026'!$C:$C,MATCH($A79,'Source 2026'!$B:$B,0)),IFERROR(INDEX('Source 2025'!$C:$C,MATCH($A79,'Source 2025'!$B:$B,0)),""))</f>
        <v>חבק טניס</v>
      </c>
      <c r="C79" s="29" t="n">
        <f aca="false">SUMIFS('Source 2025'!$Q:$Q,'Source 2025'!$B:$B,$A79,'Source 2025'!$A:$A,"Quantity (units)")</f>
        <v>803</v>
      </c>
      <c r="D79" s="29" t="n">
        <f aca="false">SUMIFS('Source 2026'!$Q:$Q,'Source 2026'!$B:$B,$A79,'Source 2026'!$A:$A,"Quantity (units)")</f>
        <v>571</v>
      </c>
      <c r="E79" s="30" t="n">
        <f aca="false">D79*$J$5</f>
        <v>721.263157894737</v>
      </c>
      <c r="F79" s="30" t="n">
        <f aca="false">E79-C79</f>
        <v>-81.7368421052632</v>
      </c>
      <c r="G79" s="31" t="n">
        <f aca="false">IF(AND(C79=0,E79=0),0,IF(C79=0,"New",(E79-C79)/C79))</f>
        <v>-0.101789342596841</v>
      </c>
      <c r="H79" s="32" t="n">
        <f aca="false">SUMIFS('Source 2025'!$Q:$Q,'Source 2025'!$B:$B,$A79,'Source 2025'!$A:$A,"Amount (NIS)")</f>
        <v>21410.6</v>
      </c>
      <c r="I79" s="32" t="n">
        <f aca="false">SUMIFS('Source 2026'!$Q:$Q,'Source 2026'!$B:$B,$A79,'Source 2026'!$A:$A,"Amount (NIS)")</f>
        <v>15737.5</v>
      </c>
      <c r="J79" s="32" t="n">
        <f aca="false">I79*$J$5</f>
        <v>19878.9473684211</v>
      </c>
      <c r="K79" s="32" t="n">
        <f aca="false">J79-H79</f>
        <v>-1531.65263157895</v>
      </c>
      <c r="L79" s="31" t="n">
        <f aca="false">IF(AND(H79=0,J79=0),0,IF(H79=0,"New",(J79-H79)/H79))</f>
        <v>-0.07153711860382</v>
      </c>
    </row>
    <row r="80" customFormat="false" ht="15" hidden="false" customHeight="false" outlineLevel="0" collapsed="false">
      <c r="A80" s="28" t="s">
        <v>172</v>
      </c>
      <c r="B80" s="28" t="str">
        <f aca="false">IFERROR(INDEX('Source 2026'!$C:$C,MATCH($A80,'Source 2026'!$B:$B,0)),IFERROR(INDEX('Source 2025'!$C:$C,MATCH($A80,'Source 2025'!$B:$B,0)),""))</f>
        <v>מקבע קרסול</v>
      </c>
      <c r="C80" s="29" t="n">
        <f aca="false">SUMIFS('Source 2025'!$Q:$Q,'Source 2025'!$B:$B,$A80,'Source 2025'!$A:$A,"Quantity (units)")</f>
        <v>0</v>
      </c>
      <c r="D80" s="29" t="n">
        <f aca="false">SUMIFS('Source 2026'!$Q:$Q,'Source 2026'!$B:$B,$A80,'Source 2026'!$A:$A,"Quantity (units)")</f>
        <v>40</v>
      </c>
      <c r="E80" s="30" t="n">
        <f aca="false">D80*$J$5</f>
        <v>50.5263157894737</v>
      </c>
      <c r="F80" s="30" t="n">
        <f aca="false">E80-C80</f>
        <v>50.5263157894737</v>
      </c>
      <c r="G80" s="31" t="str">
        <f aca="false">IF(AND(C80=0,E80=0),0,IF(C80=0,"New",(E80-C80)/C80))</f>
        <v>New</v>
      </c>
      <c r="H80" s="32" t="n">
        <f aca="false">SUMIFS('Source 2025'!$Q:$Q,'Source 2025'!$B:$B,$A80,'Source 2025'!$A:$A,"Amount (NIS)")</f>
        <v>0</v>
      </c>
      <c r="I80" s="32" t="n">
        <f aca="false">SUMIFS('Source 2026'!$Q:$Q,'Source 2026'!$B:$B,$A80,'Source 2026'!$A:$A,"Amount (NIS)")</f>
        <v>5635.8</v>
      </c>
      <c r="J80" s="32" t="n">
        <f aca="false">I80*$J$5</f>
        <v>7118.90526315789</v>
      </c>
      <c r="K80" s="32" t="n">
        <f aca="false">J80-H80</f>
        <v>7118.90526315789</v>
      </c>
      <c r="L80" s="31" t="str">
        <f aca="false">IF(AND(H80=0,J80=0),0,IF(H80=0,"New",(J80-H80)/H80))</f>
        <v>New</v>
      </c>
    </row>
    <row r="81" customFormat="false" ht="15" hidden="false" customHeight="false" outlineLevel="0" collapsed="false">
      <c r="A81" s="28" t="s">
        <v>119</v>
      </c>
      <c r="B81" s="28" t="str">
        <f aca="false">IFERROR(INDEX('Source 2026'!$C:$C,MATCH($A81,'Source 2026'!$B:$B,0)),IFERROR(INDEX('Source 2025'!$C:$C,MATCH($A81,'Source 2025'!$B:$B,0)),""))</f>
        <v>אמבט לכף הרגל</v>
      </c>
      <c r="C81" s="29" t="n">
        <f aca="false">SUMIFS('Source 2025'!$Q:$Q,'Source 2025'!$B:$B,$A81,'Source 2025'!$A:$A,"Quantity (units)")</f>
        <v>871</v>
      </c>
      <c r="D81" s="29" t="n">
        <f aca="false">SUMIFS('Source 2026'!$Q:$Q,'Source 2026'!$B:$B,$A81,'Source 2026'!$A:$A,"Quantity (units)")</f>
        <v>320</v>
      </c>
      <c r="E81" s="30" t="n">
        <f aca="false">D81*$J$5</f>
        <v>404.21052631579</v>
      </c>
      <c r="F81" s="30" t="n">
        <f aca="false">E81-C81</f>
        <v>-466.789473684211</v>
      </c>
      <c r="G81" s="31" t="n">
        <f aca="false">IF(AND(C81=0,E81=0),0,IF(C81=0,"New",(E81-C81)/C81))</f>
        <v>-0.535923620762584</v>
      </c>
      <c r="H81" s="32" t="n">
        <f aca="false">SUMIFS('Source 2025'!$Q:$Q,'Source 2025'!$B:$B,$A81,'Source 2025'!$A:$A,"Amount (NIS)")</f>
        <v>8834.2</v>
      </c>
      <c r="I81" s="32" t="n">
        <f aca="false">SUMIFS('Source 2026'!$Q:$Q,'Source 2026'!$B:$B,$A81,'Source 2026'!$A:$A,"Amount (NIS)")</f>
        <v>3240.5</v>
      </c>
      <c r="J81" s="32" t="n">
        <f aca="false">I81*$J$5</f>
        <v>4093.26315789474</v>
      </c>
      <c r="K81" s="32" t="n">
        <f aca="false">J81-H81</f>
        <v>-4740.93684210526</v>
      </c>
      <c r="L81" s="31" t="n">
        <f aca="false">IF(AND(H81=0,J81=0),0,IF(H81=0,"New",(J81-H81)/H81))</f>
        <v>-0.536657178024639</v>
      </c>
    </row>
    <row r="82" customFormat="false" ht="15" hidden="false" customHeight="false" outlineLevel="0" collapsed="false">
      <c r="A82" s="28" t="s">
        <v>115</v>
      </c>
      <c r="B82" s="28" t="str">
        <f aca="false">IFERROR(INDEX('Source 2026'!$C:$C,MATCH($A82,'Source 2026'!$B:$B,0)),IFERROR(INDEX('Source 2025'!$C:$C,MATCH($A82,'Source 2025'!$B:$B,0)),""))</f>
        <v>S מגן קרסול עקב סגור+רצוע</v>
      </c>
      <c r="C82" s="29" t="n">
        <f aca="false">SUMIFS('Source 2025'!$Q:$Q,'Source 2025'!$B:$B,$A82,'Source 2025'!$A:$A,"Quantity (units)")</f>
        <v>288</v>
      </c>
      <c r="D82" s="29" t="n">
        <f aca="false">SUMIFS('Source 2026'!$Q:$Q,'Source 2026'!$B:$B,$A82,'Source 2026'!$A:$A,"Quantity (units)")</f>
        <v>191</v>
      </c>
      <c r="E82" s="30" t="n">
        <f aca="false">D82*$J$5</f>
        <v>241.263157894737</v>
      </c>
      <c r="F82" s="30" t="n">
        <f aca="false">E82-C82</f>
        <v>-46.7368421052632</v>
      </c>
      <c r="G82" s="31" t="n">
        <f aca="false">IF(AND(C82=0,E82=0),0,IF(C82=0,"New",(E82-C82)/C82))</f>
        <v>-0.162280701754386</v>
      </c>
      <c r="H82" s="32" t="n">
        <f aca="false">SUMIFS('Source 2025'!$Q:$Q,'Source 2025'!$B:$B,$A82,'Source 2025'!$A:$A,"Amount (NIS)")</f>
        <v>15220.9</v>
      </c>
      <c r="I82" s="32" t="n">
        <f aca="false">SUMIFS('Source 2026'!$Q:$Q,'Source 2026'!$B:$B,$A82,'Source 2026'!$A:$A,"Amount (NIS)")</f>
        <v>10242</v>
      </c>
      <c r="J82" s="32" t="n">
        <f aca="false">I82*$J$5</f>
        <v>12937.2631578947</v>
      </c>
      <c r="K82" s="32" t="n">
        <f aca="false">J82-H82</f>
        <v>-2283.63684210526</v>
      </c>
      <c r="L82" s="31" t="n">
        <f aca="false">IF(AND(H82=0,J82=0),0,IF(H82=0,"New",(J82-H82)/H82))</f>
        <v>-0.150032970593412</v>
      </c>
    </row>
    <row r="83" customFormat="false" ht="15" hidden="false" customHeight="false" outlineLevel="0" collapsed="false">
      <c r="A83" s="28" t="s">
        <v>195</v>
      </c>
      <c r="B83" s="28" t="str">
        <f aca="false">IFERROR(INDEX('Source 2026'!$C:$C,MATCH($A83,'Source 2026'!$B:$B,0)),IFERROR(INDEX('Source 2025'!$C:$C,MATCH($A83,'Source 2025'!$B:$B,0)),""))</f>
        <v>מדבקה לשחרור לחץ 2 יח</v>
      </c>
      <c r="C83" s="29" t="n">
        <f aca="false">SUMIFS('Source 2025'!$Q:$Q,'Source 2025'!$B:$B,$A83,'Source 2025'!$A:$A,"Quantity (units)")</f>
        <v>571</v>
      </c>
      <c r="D83" s="29" t="n">
        <f aca="false">SUMIFS('Source 2026'!$Q:$Q,'Source 2026'!$B:$B,$A83,'Source 2026'!$A:$A,"Quantity (units)")</f>
        <v>409</v>
      </c>
      <c r="E83" s="30" t="n">
        <f aca="false">D83*$J$5</f>
        <v>516.631578947368</v>
      </c>
      <c r="F83" s="30" t="n">
        <f aca="false">E83-C83</f>
        <v>-54.3684210526316</v>
      </c>
      <c r="G83" s="31" t="n">
        <f aca="false">IF(AND(C83=0,E83=0),0,IF(C83=0,"New",(E83-C83)/C83))</f>
        <v>-0.0952161489538206</v>
      </c>
      <c r="H83" s="32" t="n">
        <f aca="false">SUMIFS('Source 2025'!$Q:$Q,'Source 2025'!$B:$B,$A83,'Source 2025'!$A:$A,"Amount (NIS)")</f>
        <v>15313.6</v>
      </c>
      <c r="I83" s="32" t="n">
        <f aca="false">SUMIFS('Source 2026'!$Q:$Q,'Source 2026'!$B:$B,$A83,'Source 2026'!$A:$A,"Amount (NIS)")</f>
        <v>11036.9</v>
      </c>
      <c r="J83" s="32" t="n">
        <f aca="false">I83*$J$5</f>
        <v>13941.3473684211</v>
      </c>
      <c r="K83" s="32" t="n">
        <f aca="false">J83-H83</f>
        <v>-1372.25263157895</v>
      </c>
      <c r="L83" s="31" t="n">
        <f aca="false">IF(AND(H83=0,J83=0),0,IF(H83=0,"New",(J83-H83)/H83))</f>
        <v>-0.0896100610946446</v>
      </c>
    </row>
    <row r="84" customFormat="false" ht="15" hidden="false" customHeight="false" outlineLevel="0" collapsed="false">
      <c r="A84" s="28" t="s">
        <v>193</v>
      </c>
      <c r="B84" s="28" t="str">
        <f aca="false">IFERROR(INDEX('Source 2026'!$C:$C,MATCH($A84,'Source 2026'!$B:$B,0)),IFERROR(INDEX('Source 2025'!$C:$C,MATCH($A84,'Source 2025'!$B:$B,0)),""))</f>
        <v>סד ליישור אצבע</v>
      </c>
      <c r="C84" s="29" t="n">
        <f aca="false">SUMIFS('Source 2025'!$Q:$Q,'Source 2025'!$B:$B,$A84,'Source 2025'!$A:$A,"Quantity (units)")</f>
        <v>1303</v>
      </c>
      <c r="D84" s="29" t="n">
        <f aca="false">SUMIFS('Source 2026'!$Q:$Q,'Source 2026'!$B:$B,$A84,'Source 2026'!$A:$A,"Quantity (units)")</f>
        <v>1525</v>
      </c>
      <c r="E84" s="30" t="n">
        <f aca="false">D84*$J$5</f>
        <v>1926.31578947368</v>
      </c>
      <c r="F84" s="30" t="n">
        <f aca="false">E84-C84</f>
        <v>623.315789473684</v>
      </c>
      <c r="G84" s="31" t="n">
        <f aca="false">IF(AND(C84=0,E84=0),0,IF(C84=0,"New",(E84-C84)/C84))</f>
        <v>0.478369754008967</v>
      </c>
      <c r="H84" s="32" t="n">
        <f aca="false">SUMIFS('Source 2025'!$Q:$Q,'Source 2025'!$B:$B,$A84,'Source 2025'!$A:$A,"Amount (NIS)")</f>
        <v>18579.7</v>
      </c>
      <c r="I84" s="32" t="n">
        <f aca="false">SUMIFS('Source 2026'!$Q:$Q,'Source 2026'!$B:$B,$A84,'Source 2026'!$A:$A,"Amount (NIS)")</f>
        <v>22856</v>
      </c>
      <c r="J84" s="32" t="n">
        <f aca="false">I84*$J$5</f>
        <v>28870.7368421053</v>
      </c>
      <c r="K84" s="32" t="n">
        <f aca="false">J84-H84</f>
        <v>10291.0368421053</v>
      </c>
      <c r="L84" s="31" t="n">
        <f aca="false">IF(AND(H84=0,J84=0),0,IF(H84=0,"New",(J84-H84)/H84))</f>
        <v>0.553886060706323</v>
      </c>
    </row>
    <row r="85" customFormat="false" ht="15" hidden="false" customHeight="false" outlineLevel="0" collapsed="false">
      <c r="A85" s="28" t="s">
        <v>202</v>
      </c>
      <c r="B85" s="28" t="str">
        <f aca="false">IFERROR(INDEX('Source 2026'!$C:$C,MATCH($A85,'Source 2026'!$B:$B,0)),IFERROR(INDEX('Source 2025'!$C:$C,MATCH($A85,'Source 2025'!$B:$B,0)),""))</f>
        <v>S חגורה למנותחי בית החזה</v>
      </c>
      <c r="C85" s="29" t="n">
        <f aca="false">SUMIFS('Source 2025'!$Q:$Q,'Source 2025'!$B:$B,$A85,'Source 2025'!$A:$A,"Quantity (units)")</f>
        <v>63</v>
      </c>
      <c r="D85" s="29" t="n">
        <f aca="false">SUMIFS('Source 2026'!$Q:$Q,'Source 2026'!$B:$B,$A85,'Source 2026'!$A:$A,"Quantity (units)")</f>
        <v>94</v>
      </c>
      <c r="E85" s="30" t="n">
        <f aca="false">D85*$J$5</f>
        <v>118.736842105263</v>
      </c>
      <c r="F85" s="30" t="n">
        <f aca="false">E85-C85</f>
        <v>55.7368421052632</v>
      </c>
      <c r="G85" s="31" t="n">
        <f aca="false">IF(AND(C85=0,E85=0),0,IF(C85=0,"New",(E85-C85)/C85))</f>
        <v>0.884711779448621</v>
      </c>
      <c r="H85" s="32" t="n">
        <f aca="false">SUMIFS('Source 2025'!$Q:$Q,'Source 2025'!$B:$B,$A85,'Source 2025'!$A:$A,"Amount (NIS)")</f>
        <v>8325.8</v>
      </c>
      <c r="I85" s="32" t="n">
        <f aca="false">SUMIFS('Source 2026'!$Q:$Q,'Source 2026'!$B:$B,$A85,'Source 2026'!$A:$A,"Amount (NIS)")</f>
        <v>12508.9</v>
      </c>
      <c r="J85" s="32" t="n">
        <f aca="false">I85*$J$5</f>
        <v>15800.7157894737</v>
      </c>
      <c r="K85" s="32" t="n">
        <f aca="false">J85-H85</f>
        <v>7474.91578947368</v>
      </c>
      <c r="L85" s="31" t="n">
        <f aca="false">IF(AND(H85=0,J85=0),0,IF(H85=0,"New",(J85-H85)/H85))</f>
        <v>0.897801507299441</v>
      </c>
    </row>
    <row r="86" customFormat="false" ht="15" hidden="false" customHeight="false" outlineLevel="0" collapsed="false">
      <c r="A86" s="28" t="s">
        <v>247</v>
      </c>
      <c r="B86" s="28" t="str">
        <f aca="false">IFERROR(INDEX('Source 2026'!$C:$C,MATCH($A86,'Source 2026'!$B:$B,0)),IFERROR(INDEX('Source 2025'!$C:$C,MATCH($A86,'Source 2025'!$B:$B,0)),""))</f>
        <v>כפפות אגודל לחץ</v>
      </c>
      <c r="C86" s="29" t="n">
        <f aca="false">SUMIFS('Source 2025'!$Q:$Q,'Source 2025'!$B:$B,$A86,'Source 2025'!$A:$A,"Quantity (units)")</f>
        <v>395</v>
      </c>
      <c r="D86" s="29" t="n">
        <f aca="false">SUMIFS('Source 2026'!$Q:$Q,'Source 2026'!$B:$B,$A86,'Source 2026'!$A:$A,"Quantity (units)")</f>
        <v>247</v>
      </c>
      <c r="E86" s="30" t="n">
        <f aca="false">D86*$J$5</f>
        <v>312</v>
      </c>
      <c r="F86" s="30" t="n">
        <f aca="false">E86-C86</f>
        <v>-83</v>
      </c>
      <c r="G86" s="31" t="n">
        <f aca="false">IF(AND(C86=0,E86=0),0,IF(C86=0,"New",(E86-C86)/C86))</f>
        <v>-0.210126582278481</v>
      </c>
      <c r="H86" s="32" t="n">
        <f aca="false">SUMIFS('Source 2025'!$Q:$Q,'Source 2025'!$B:$B,$A86,'Source 2025'!$A:$A,"Amount (NIS)")</f>
        <v>11254.2</v>
      </c>
      <c r="I86" s="32" t="n">
        <f aca="false">SUMIFS('Source 2026'!$Q:$Q,'Source 2026'!$B:$B,$A86,'Source 2026'!$A:$A,"Amount (NIS)")</f>
        <v>7189.1</v>
      </c>
      <c r="J86" s="32" t="n">
        <f aca="false">I86*$J$5</f>
        <v>9080.96842105263</v>
      </c>
      <c r="K86" s="32" t="n">
        <f aca="false">J86-H86</f>
        <v>-2173.23157894737</v>
      </c>
      <c r="L86" s="31" t="n">
        <f aca="false">IF(AND(H86=0,J86=0),0,IF(H86=0,"New",(J86-H86)/H86))</f>
        <v>-0.193104048172893</v>
      </c>
    </row>
    <row r="87" customFormat="false" ht="15" hidden="false" customHeight="false" outlineLevel="0" collapsed="false">
      <c r="A87" s="28" t="s">
        <v>190</v>
      </c>
      <c r="B87" s="28" t="str">
        <f aca="false">IFERROR(INDEX('Source 2026'!$C:$C,MATCH($A87,'Source 2026'!$B:$B,0)),IFERROR(INDEX('Source 2025'!$C:$C,MATCH($A87,'Source 2025'!$B:$B,0)),""))</f>
        <v>S-M חבק יד עם צמדן</v>
      </c>
      <c r="C87" s="29" t="n">
        <f aca="false">SUMIFS('Source 2025'!$Q:$Q,'Source 2025'!$B:$B,$A87,'Source 2025'!$A:$A,"Quantity (units)")</f>
        <v>308</v>
      </c>
      <c r="D87" s="29" t="n">
        <f aca="false">SUMIFS('Source 2026'!$Q:$Q,'Source 2026'!$B:$B,$A87,'Source 2026'!$A:$A,"Quantity (units)")</f>
        <v>185</v>
      </c>
      <c r="E87" s="30" t="n">
        <f aca="false">D87*$J$5</f>
        <v>233.684210526316</v>
      </c>
      <c r="F87" s="30" t="n">
        <f aca="false">E87-C87</f>
        <v>-74.3157894736842</v>
      </c>
      <c r="G87" s="31" t="n">
        <f aca="false">IF(AND(C87=0,E87=0),0,IF(C87=0,"New",(E87-C87)/C87))</f>
        <v>-0.241285030758715</v>
      </c>
      <c r="H87" s="32" t="n">
        <f aca="false">SUMIFS('Source 2025'!$Q:$Q,'Source 2025'!$B:$B,$A87,'Source 2025'!$A:$A,"Amount (NIS)")</f>
        <v>9804.1</v>
      </c>
      <c r="I87" s="32" t="n">
        <f aca="false">SUMIFS('Source 2026'!$Q:$Q,'Source 2026'!$B:$B,$A87,'Source 2026'!$A:$A,"Amount (NIS)")</f>
        <v>5808.7</v>
      </c>
      <c r="J87" s="32" t="n">
        <f aca="false">I87*$J$5</f>
        <v>7337.30526315789</v>
      </c>
      <c r="K87" s="32" t="n">
        <f aca="false">J87-H87</f>
        <v>-2466.79473684211</v>
      </c>
      <c r="L87" s="31" t="n">
        <f aca="false">IF(AND(H87=0,J87=0),0,IF(H87=0,"New",(J87-H87)/H87))</f>
        <v>-0.251608483883488</v>
      </c>
    </row>
    <row r="88" customFormat="false" ht="15" hidden="false" customHeight="false" outlineLevel="0" collapsed="false">
      <c r="A88" s="28" t="s">
        <v>131</v>
      </c>
      <c r="B88" s="28" t="str">
        <f aca="false">IFERROR(INDEX('Source 2026'!$C:$C,MATCH($A88,'Source 2026'!$B:$B,0)),IFERROR(INDEX('Source 2025'!$C:$C,MATCH($A88,'Source 2025'!$B:$B,0)),""))</f>
        <v>גרב.כסף לסכרתים שחור35-38</v>
      </c>
      <c r="C88" s="29" t="n">
        <f aca="false">SUMIFS('Source 2025'!$Q:$Q,'Source 2025'!$B:$B,$A88,'Source 2025'!$A:$A,"Quantity (units)")</f>
        <v>201</v>
      </c>
      <c r="D88" s="29" t="n">
        <f aca="false">SUMIFS('Source 2026'!$Q:$Q,'Source 2026'!$B:$B,$A88,'Source 2026'!$A:$A,"Quantity (units)")</f>
        <v>65</v>
      </c>
      <c r="E88" s="30" t="n">
        <f aca="false">D88*$J$5</f>
        <v>82.1052631578947</v>
      </c>
      <c r="F88" s="30" t="n">
        <f aca="false">E88-C88</f>
        <v>-118.894736842105</v>
      </c>
      <c r="G88" s="31" t="n">
        <f aca="false">IF(AND(C88=0,E88=0),0,IF(C88=0,"New",(E88-C88)/C88))</f>
        <v>-0.591516103692066</v>
      </c>
      <c r="H88" s="32" t="n">
        <f aca="false">SUMIFS('Source 2025'!$Q:$Q,'Source 2025'!$B:$B,$A88,'Source 2025'!$A:$A,"Amount (NIS)")</f>
        <v>5852.8</v>
      </c>
      <c r="I88" s="32" t="n">
        <f aca="false">SUMIFS('Source 2026'!$Q:$Q,'Source 2026'!$B:$B,$A88,'Source 2026'!$A:$A,"Amount (NIS)")</f>
        <v>1918.6</v>
      </c>
      <c r="J88" s="32" t="n">
        <f aca="false">I88*$J$5</f>
        <v>2423.49473684211</v>
      </c>
      <c r="K88" s="32" t="n">
        <f aca="false">J88-H88</f>
        <v>-3429.3052631579</v>
      </c>
      <c r="L88" s="31" t="n">
        <f aca="false">IF(AND(H88=0,J88=0),0,IF(H88=0,"New",(J88-H88)/H88))</f>
        <v>-0.585925584875255</v>
      </c>
    </row>
    <row r="89" customFormat="false" ht="15" hidden="false" customHeight="false" outlineLevel="0" collapsed="false">
      <c r="A89" s="28" t="s">
        <v>146</v>
      </c>
      <c r="B89" s="28" t="str">
        <f aca="false">IFERROR(INDEX('Source 2026'!$C:$C,MATCH($A89,'Source 2026'!$B:$B,0)),IFERROR(INDEX('Source 2025'!$C:$C,MATCH($A89,'Source 2025'!$B:$B,0)),""))</f>
        <v>גרב.כסף לסכרתים אפור35-38</v>
      </c>
      <c r="C89" s="29" t="n">
        <f aca="false">SUMIFS('Source 2025'!$Q:$Q,'Source 2025'!$B:$B,$A89,'Source 2025'!$A:$A,"Quantity (units)")</f>
        <v>157</v>
      </c>
      <c r="D89" s="29" t="n">
        <f aca="false">SUMIFS('Source 2026'!$Q:$Q,'Source 2026'!$B:$B,$A89,'Source 2026'!$A:$A,"Quantity (units)")</f>
        <v>-9</v>
      </c>
      <c r="E89" s="30" t="n">
        <f aca="false">D89*$J$5</f>
        <v>-11.3684210526316</v>
      </c>
      <c r="F89" s="30" t="n">
        <f aca="false">E89-C89</f>
        <v>-168.368421052632</v>
      </c>
      <c r="G89" s="31" t="n">
        <f aca="false">IF(AND(C89=0,E89=0),0,IF(C89=0,"New",(E89-C89)/C89))</f>
        <v>-1.072410325176</v>
      </c>
      <c r="H89" s="32" t="n">
        <f aca="false">SUMIFS('Source 2025'!$Q:$Q,'Source 2025'!$B:$B,$A89,'Source 2025'!$A:$A,"Amount (NIS)")</f>
        <v>3499.7</v>
      </c>
      <c r="I89" s="32" t="n">
        <f aca="false">SUMIFS('Source 2026'!$Q:$Q,'Source 2026'!$B:$B,$A89,'Source 2026'!$A:$A,"Amount (NIS)")</f>
        <v>-191.9</v>
      </c>
      <c r="J89" s="32" t="n">
        <f aca="false">I89*$J$5</f>
        <v>-242.4</v>
      </c>
      <c r="K89" s="32" t="n">
        <f aca="false">J89-H89</f>
        <v>-3742.1</v>
      </c>
      <c r="L89" s="31" t="n">
        <f aca="false">IF(AND(H89=0,J89=0),0,IF(H89=0,"New",(J89-H89)/H89))</f>
        <v>-1.06926307969255</v>
      </c>
    </row>
    <row r="90" customFormat="false" ht="15" hidden="false" customHeight="false" outlineLevel="0" collapsed="false">
      <c r="A90" s="28" t="s">
        <v>316</v>
      </c>
      <c r="B90" s="28" t="str">
        <f aca="false">IFERROR(INDEX('Source 2026'!$C:$C,MATCH($A90,'Source 2026'!$B:$B,0)),IFERROR(INDEX('Source 2025'!$C:$C,MATCH($A90,'Source 2025'!$B:$B,0)),""))</f>
        <v>L-XL STRAP4U</v>
      </c>
      <c r="C90" s="29" t="n">
        <f aca="false">SUMIFS('Source 2025'!$Q:$Q,'Source 2025'!$B:$B,$A90,'Source 2025'!$A:$A,"Quantity (units)")</f>
        <v>328</v>
      </c>
      <c r="D90" s="29" t="n">
        <f aca="false">SUMIFS('Source 2026'!$Q:$Q,'Source 2026'!$B:$B,$A90,'Source 2026'!$A:$A,"Quantity (units)")</f>
        <v>118</v>
      </c>
      <c r="E90" s="30" t="n">
        <f aca="false">D90*$J$5</f>
        <v>149.052631578947</v>
      </c>
      <c r="F90" s="30" t="n">
        <f aca="false">E90-C90</f>
        <v>-178.947368421053</v>
      </c>
      <c r="G90" s="31" t="n">
        <f aca="false">IF(AND(C90=0,E90=0),0,IF(C90=0,"New",(E90-C90)/C90))</f>
        <v>-0.545571245186136</v>
      </c>
      <c r="H90" s="32" t="n">
        <f aca="false">SUMIFS('Source 2025'!$Q:$Q,'Source 2025'!$B:$B,$A90,'Source 2025'!$A:$A,"Amount (NIS)")</f>
        <v>5450</v>
      </c>
      <c r="I90" s="32" t="n">
        <f aca="false">SUMIFS('Source 2026'!$Q:$Q,'Source 2026'!$B:$B,$A90,'Source 2026'!$A:$A,"Amount (NIS)")</f>
        <v>1978.2</v>
      </c>
      <c r="J90" s="32" t="n">
        <f aca="false">I90*$J$5</f>
        <v>2498.77894736842</v>
      </c>
      <c r="K90" s="32" t="n">
        <f aca="false">J90-H90</f>
        <v>-2951.22105263158</v>
      </c>
      <c r="L90" s="31" t="n">
        <f aca="false">IF(AND(H90=0,J90=0),0,IF(H90=0,"New",(J90-H90)/H90))</f>
        <v>-0.541508450024143</v>
      </c>
    </row>
    <row r="91" customFormat="false" ht="15" hidden="false" customHeight="false" outlineLevel="0" collapsed="false">
      <c r="A91" s="28" t="s">
        <v>192</v>
      </c>
      <c r="B91" s="28" t="str">
        <f aca="false">IFERROR(INDEX('Source 2026'!$C:$C,MATCH($A91,'Source 2026'!$B:$B,0)),IFERROR(INDEX('Source 2025'!$C:$C,MATCH($A91,'Source 2025'!$B:$B,0)),""))</f>
        <v>חבק טניס אלבו</v>
      </c>
      <c r="C91" s="29" t="n">
        <f aca="false">SUMIFS('Source 2025'!$Q:$Q,'Source 2025'!$B:$B,$A91,'Source 2025'!$A:$A,"Quantity (units)")</f>
        <v>922</v>
      </c>
      <c r="D91" s="29" t="n">
        <f aca="false">SUMIFS('Source 2026'!$Q:$Q,'Source 2026'!$B:$B,$A91,'Source 2026'!$A:$A,"Quantity (units)")</f>
        <v>909</v>
      </c>
      <c r="E91" s="30" t="n">
        <f aca="false">D91*$J$5</f>
        <v>1148.21052631579</v>
      </c>
      <c r="F91" s="30" t="n">
        <f aca="false">E91-C91</f>
        <v>226.210526315789</v>
      </c>
      <c r="G91" s="31" t="n">
        <f aca="false">IF(AND(C91=0,E91=0),0,IF(C91=0,"New",(E91-C91)/C91))</f>
        <v>0.245347642424934</v>
      </c>
      <c r="H91" s="32" t="n">
        <f aca="false">SUMIFS('Source 2025'!$Q:$Q,'Source 2025'!$B:$B,$A91,'Source 2025'!$A:$A,"Amount (NIS)")</f>
        <v>62831.2</v>
      </c>
      <c r="I91" s="32" t="n">
        <f aca="false">SUMIFS('Source 2026'!$Q:$Q,'Source 2026'!$B:$B,$A91,'Source 2026'!$A:$A,"Amount (NIS)")</f>
        <v>66257.5</v>
      </c>
      <c r="J91" s="32" t="n">
        <f aca="false">I91*$J$5</f>
        <v>83693.6842105263</v>
      </c>
      <c r="K91" s="32" t="n">
        <f aca="false">J91-H91</f>
        <v>20862.4842105263</v>
      </c>
      <c r="L91" s="31" t="n">
        <f aca="false">IF(AND(H91=0,J91=0),0,IF(H91=0,"New",(J91-H91)/H91))</f>
        <v>0.332040199940894</v>
      </c>
    </row>
    <row r="92" customFormat="false" ht="15" hidden="false" customHeight="false" outlineLevel="0" collapsed="false">
      <c r="A92" s="28" t="s">
        <v>275</v>
      </c>
      <c r="B92" s="28" t="str">
        <f aca="false">IFERROR(INDEX('Source 2026'!$C:$C,MATCH($A92,'Source 2026'!$B:$B,0)),IFERROR(INDEX('Source 2025'!$C:$C,MATCH($A92,'Source 2025'!$B:$B,0)),""))</f>
        <v>11 אפורUG חגורת בטן</v>
      </c>
      <c r="C92" s="29" t="n">
        <f aca="false">SUMIFS('Source 2025'!$Q:$Q,'Source 2025'!$B:$B,$A92,'Source 2025'!$A:$A,"Quantity (units)")</f>
        <v>45</v>
      </c>
      <c r="D92" s="29" t="n">
        <f aca="false">SUMIFS('Source 2026'!$Q:$Q,'Source 2026'!$B:$B,$A92,'Source 2026'!$A:$A,"Quantity (units)")</f>
        <v>2</v>
      </c>
      <c r="E92" s="30" t="n">
        <f aca="false">D92*$J$5</f>
        <v>2.52631578947368</v>
      </c>
      <c r="F92" s="30" t="n">
        <f aca="false">E92-C92</f>
        <v>-42.4736842105263</v>
      </c>
      <c r="G92" s="31" t="n">
        <f aca="false">IF(AND(C92=0,E92=0),0,IF(C92=0,"New",(E92-C92)/C92))</f>
        <v>-0.943859649122807</v>
      </c>
      <c r="H92" s="32" t="n">
        <f aca="false">SUMIFS('Source 2025'!$Q:$Q,'Source 2025'!$B:$B,$A92,'Source 2025'!$A:$A,"Amount (NIS)")</f>
        <v>3611.3</v>
      </c>
      <c r="I92" s="32" t="n">
        <f aca="false">SUMIFS('Source 2026'!$Q:$Q,'Source 2026'!$B:$B,$A92,'Source 2026'!$A:$A,"Amount (NIS)")</f>
        <v>203.1</v>
      </c>
      <c r="J92" s="32" t="n">
        <f aca="false">I92*$J$5</f>
        <v>256.547368421053</v>
      </c>
      <c r="K92" s="32" t="n">
        <f aca="false">J92-H92</f>
        <v>-3354.75263157895</v>
      </c>
      <c r="L92" s="31" t="n">
        <f aca="false">IF(AND(H92=0,J92=0),0,IF(H92=0,"New",(J92-H92)/H92))</f>
        <v>-0.928959829307714</v>
      </c>
    </row>
    <row r="93" customFormat="false" ht="15" hidden="false" customHeight="false" outlineLevel="0" collapsed="false">
      <c r="A93" s="28" t="s">
        <v>114</v>
      </c>
      <c r="B93" s="28" t="str">
        <f aca="false">IFERROR(INDEX('Source 2026'!$C:$C,MATCH($A93,'Source 2026'!$B:$B,0)),IFERROR(INDEX('Source 2025'!$C:$C,MATCH($A93,'Source 2025'!$B:$B,0)),""))</f>
        <v>S-M חבק יד עם צמדןחום</v>
      </c>
      <c r="C93" s="29" t="n">
        <f aca="false">SUMIFS('Source 2025'!$Q:$Q,'Source 2025'!$B:$B,$A93,'Source 2025'!$A:$A,"Quantity (units)")</f>
        <v>218</v>
      </c>
      <c r="D93" s="29" t="n">
        <f aca="false">SUMIFS('Source 2026'!$Q:$Q,'Source 2026'!$B:$B,$A93,'Source 2026'!$A:$A,"Quantity (units)")</f>
        <v>118</v>
      </c>
      <c r="E93" s="30" t="n">
        <f aca="false">D93*$J$5</f>
        <v>149.052631578947</v>
      </c>
      <c r="F93" s="30" t="n">
        <f aca="false">E93-C93</f>
        <v>-68.9473684210526</v>
      </c>
      <c r="G93" s="31" t="n">
        <f aca="false">IF(AND(C93=0,E93=0),0,IF(C93=0,"New",(E93-C93)/C93))</f>
        <v>-0.316272332206663</v>
      </c>
      <c r="H93" s="32" t="n">
        <f aca="false">SUMIFS('Source 2025'!$Q:$Q,'Source 2025'!$B:$B,$A93,'Source 2025'!$A:$A,"Amount (NIS)")</f>
        <v>6935.2</v>
      </c>
      <c r="I93" s="32" t="n">
        <f aca="false">SUMIFS('Source 2026'!$Q:$Q,'Source 2026'!$B:$B,$A93,'Source 2026'!$A:$A,"Amount (NIS)")</f>
        <v>3707.3</v>
      </c>
      <c r="J93" s="32" t="n">
        <f aca="false">I93*$J$5</f>
        <v>4682.90526315789</v>
      </c>
      <c r="K93" s="32" t="n">
        <f aca="false">J93-H93</f>
        <v>-2252.29473684211</v>
      </c>
      <c r="L93" s="31" t="n">
        <f aca="false">IF(AND(H93=0,J93=0),0,IF(H93=0,"New",(J93-H93)/H93))</f>
        <v>-0.324762766299762</v>
      </c>
    </row>
    <row r="94" customFormat="false" ht="15" hidden="false" customHeight="false" outlineLevel="0" collapsed="false">
      <c r="A94" s="28" t="s">
        <v>144</v>
      </c>
      <c r="B94" s="28" t="str">
        <f aca="false">IFERROR(INDEX('Source 2026'!$C:$C,MATCH($A94,'Source 2026'!$B:$B,0)),IFERROR(INDEX('Source 2025'!$C:$C,MATCH($A94,'Source 2025'!$B:$B,0)),""))</f>
        <v>S מגן ירך</v>
      </c>
      <c r="C94" s="29" t="n">
        <f aca="false">SUMIFS('Source 2025'!$Q:$Q,'Source 2025'!$B:$B,$A94,'Source 2025'!$A:$A,"Quantity (units)")</f>
        <v>218</v>
      </c>
      <c r="D94" s="29" t="n">
        <f aca="false">SUMIFS('Source 2026'!$Q:$Q,'Source 2026'!$B:$B,$A94,'Source 2026'!$A:$A,"Quantity (units)")</f>
        <v>103</v>
      </c>
      <c r="E94" s="30" t="n">
        <f aca="false">D94*$J$5</f>
        <v>130.105263157895</v>
      </c>
      <c r="F94" s="30" t="n">
        <f aca="false">E94-C94</f>
        <v>-87.8947368421053</v>
      </c>
      <c r="G94" s="31" t="n">
        <f aca="false">IF(AND(C94=0,E94=0),0,IF(C94=0,"New",(E94-C94)/C94))</f>
        <v>-0.403186866248189</v>
      </c>
      <c r="H94" s="32" t="n">
        <f aca="false">SUMIFS('Source 2025'!$Q:$Q,'Source 2025'!$B:$B,$A94,'Source 2025'!$A:$A,"Amount (NIS)")</f>
        <v>6229.2</v>
      </c>
      <c r="I94" s="32" t="n">
        <f aca="false">SUMIFS('Source 2026'!$Q:$Q,'Source 2026'!$B:$B,$A94,'Source 2026'!$A:$A,"Amount (NIS)")</f>
        <v>3003.9</v>
      </c>
      <c r="J94" s="32" t="n">
        <f aca="false">I94*$J$5</f>
        <v>3794.4</v>
      </c>
      <c r="K94" s="32" t="n">
        <f aca="false">J94-H94</f>
        <v>-2434.8</v>
      </c>
      <c r="L94" s="31" t="n">
        <f aca="false">IF(AND(H94=0,J94=0),0,IF(H94=0,"New",(J94-H94)/H94))</f>
        <v>-0.390868811404354</v>
      </c>
    </row>
    <row r="95" customFormat="false" ht="15" hidden="false" customHeight="false" outlineLevel="0" collapsed="false">
      <c r="A95" s="28" t="s">
        <v>261</v>
      </c>
      <c r="B95" s="28" t="str">
        <f aca="false">IFERROR(INDEX('Source 2026'!$C:$C,MATCH($A95,'Source 2026'!$B:$B,0)),IFERROR(INDEX('Source 2025'!$C:$C,MATCH($A95,'Source 2025'!$B:$B,0)),""))</f>
        <v>S ימין CTS כפפות</v>
      </c>
      <c r="C95" s="29" t="n">
        <f aca="false">SUMIFS('Source 2025'!$Q:$Q,'Source 2025'!$B:$B,$A95,'Source 2025'!$A:$A,"Quantity (units)")</f>
        <v>0</v>
      </c>
      <c r="D95" s="29" t="n">
        <f aca="false">SUMIFS('Source 2026'!$Q:$Q,'Source 2026'!$B:$B,$A95,'Source 2026'!$A:$A,"Quantity (units)")</f>
        <v>31</v>
      </c>
      <c r="E95" s="30" t="n">
        <f aca="false">D95*$J$5</f>
        <v>39.1578947368421</v>
      </c>
      <c r="F95" s="30" t="n">
        <f aca="false">E95-C95</f>
        <v>39.1578947368421</v>
      </c>
      <c r="G95" s="31" t="str">
        <f aca="false">IF(AND(C95=0,E95=0),0,IF(C95=0,"New",(E95-C95)/C95))</f>
        <v>New</v>
      </c>
      <c r="H95" s="32" t="n">
        <f aca="false">SUMIFS('Source 2025'!$Q:$Q,'Source 2025'!$B:$B,$A95,'Source 2025'!$A:$A,"Amount (NIS)")</f>
        <v>0</v>
      </c>
      <c r="I95" s="32" t="n">
        <f aca="false">SUMIFS('Source 2026'!$Q:$Q,'Source 2026'!$B:$B,$A95,'Source 2026'!$A:$A,"Amount (NIS)")</f>
        <v>3111.6</v>
      </c>
      <c r="J95" s="32" t="n">
        <f aca="false">I95*$J$5</f>
        <v>3930.44210526316</v>
      </c>
      <c r="K95" s="32" t="n">
        <f aca="false">J95-H95</f>
        <v>3930.44210526316</v>
      </c>
      <c r="L95" s="31" t="str">
        <f aca="false">IF(AND(H95=0,J95=0),0,IF(H95=0,"New",(J95-H95)/H95))</f>
        <v>New</v>
      </c>
    </row>
    <row r="96" customFormat="false" ht="15" hidden="false" customHeight="false" outlineLevel="0" collapsed="false">
      <c r="A96" s="28" t="s">
        <v>153</v>
      </c>
      <c r="B96" s="28" t="str">
        <f aca="false">IFERROR(INDEX('Source 2026'!$C:$C,MATCH($A96,'Source 2026'!$B:$B,0)),IFERROR(INDEX('Source 2025'!$C:$C,MATCH($A96,'Source 2025'!$B:$B,0)),""))</f>
        <v>מתלה ליד לילדים</v>
      </c>
      <c r="C96" s="29" t="n">
        <f aca="false">SUMIFS('Source 2025'!$Q:$Q,'Source 2025'!$B:$B,$A96,'Source 2025'!$A:$A,"Quantity (units)")</f>
        <v>299</v>
      </c>
      <c r="D96" s="29" t="n">
        <f aca="false">SUMIFS('Source 2026'!$Q:$Q,'Source 2026'!$B:$B,$A96,'Source 2026'!$A:$A,"Quantity (units)")</f>
        <v>236</v>
      </c>
      <c r="E96" s="30" t="n">
        <f aca="false">D96*$J$5</f>
        <v>298.105263157895</v>
      </c>
      <c r="F96" s="30" t="n">
        <f aca="false">E96-C96</f>
        <v>-0.89473684210526</v>
      </c>
      <c r="G96" s="31" t="n">
        <f aca="false">IF(AND(C96=0,E96=0),0,IF(C96=0,"New",(E96-C96)/C96))</f>
        <v>-0.00299243091005104</v>
      </c>
      <c r="H96" s="32" t="n">
        <f aca="false">SUMIFS('Source 2025'!$Q:$Q,'Source 2025'!$B:$B,$A96,'Source 2025'!$A:$A,"Amount (NIS)")</f>
        <v>13367.2</v>
      </c>
      <c r="I96" s="32" t="n">
        <f aca="false">SUMIFS('Source 2026'!$Q:$Q,'Source 2026'!$B:$B,$A96,'Source 2026'!$A:$A,"Amount (NIS)")</f>
        <v>10544.6</v>
      </c>
      <c r="J96" s="32" t="n">
        <f aca="false">I96*$J$5</f>
        <v>13319.4947368421</v>
      </c>
      <c r="K96" s="32" t="n">
        <f aca="false">J96-H96</f>
        <v>-47.7052631578954</v>
      </c>
      <c r="L96" s="31" t="n">
        <f aca="false">IF(AND(H96=0,J96=0),0,IF(H96=0,"New",(J96-H96)/H96))</f>
        <v>-0.00356882990887361</v>
      </c>
    </row>
    <row r="97" customFormat="false" ht="15" hidden="false" customHeight="false" outlineLevel="0" collapsed="false">
      <c r="A97" s="28" t="s">
        <v>79</v>
      </c>
      <c r="B97" s="28" t="str">
        <f aca="false">IFERROR(INDEX('Source 2026'!$C:$C,MATCH($A97,'Source 2026'!$B:$B,0)),IFERROR(INDEX('Source 2025'!$C:$C,MATCH($A97,'Source 2025'!$B:$B,0)),""))</f>
        <v>L מתלה רשת לזרוע שחור</v>
      </c>
      <c r="C97" s="29" t="n">
        <f aca="false">SUMIFS('Source 2025'!$Q:$Q,'Source 2025'!$B:$B,$A97,'Source 2025'!$A:$A,"Quantity (units)")</f>
        <v>2789</v>
      </c>
      <c r="D97" s="29" t="n">
        <f aca="false">SUMIFS('Source 2026'!$Q:$Q,'Source 2026'!$B:$B,$A97,'Source 2026'!$A:$A,"Quantity (units)")</f>
        <v>2847</v>
      </c>
      <c r="E97" s="30" t="n">
        <f aca="false">D97*$J$5</f>
        <v>3596.21052631579</v>
      </c>
      <c r="F97" s="30" t="n">
        <f aca="false">E97-C97</f>
        <v>807.210526315789</v>
      </c>
      <c r="G97" s="31" t="n">
        <f aca="false">IF(AND(C97=0,E97=0),0,IF(C97=0,"New",(E97-C97)/C97))</f>
        <v>0.289426506387877</v>
      </c>
      <c r="H97" s="32" t="n">
        <f aca="false">SUMIFS('Source 2025'!$Q:$Q,'Source 2025'!$B:$B,$A97,'Source 2025'!$A:$A,"Amount (NIS)")</f>
        <v>136637.6</v>
      </c>
      <c r="I97" s="32" t="n">
        <f aca="false">SUMIFS('Source 2026'!$Q:$Q,'Source 2026'!$B:$B,$A97,'Source 2026'!$A:$A,"Amount (NIS)")</f>
        <v>139434.1</v>
      </c>
      <c r="J97" s="32" t="n">
        <f aca="false">I97*$J$5</f>
        <v>176127.284210526</v>
      </c>
      <c r="K97" s="32" t="n">
        <f aca="false">J97-H97</f>
        <v>39489.6842105263</v>
      </c>
      <c r="L97" s="31" t="n">
        <f aca="false">IF(AND(H97=0,J97=0),0,IF(H97=0,"New",(J97-H97)/H97))</f>
        <v>0.289010376430253</v>
      </c>
    </row>
    <row r="98" customFormat="false" ht="15" hidden="false" customHeight="false" outlineLevel="0" collapsed="false">
      <c r="A98" s="28" t="s">
        <v>132</v>
      </c>
      <c r="B98" s="28" t="str">
        <f aca="false">IFERROR(INDEX('Source 2026'!$C:$C,MATCH($A98,'Source 2026'!$B:$B,0)),IFERROR(INDEX('Source 2025'!$C:$C,MATCH($A98,'Source 2025'!$B:$B,0)),""))</f>
        <v>תחבושת א.נצמ</v>
      </c>
      <c r="C98" s="29" t="n">
        <f aca="false">SUMIFS('Source 2025'!$Q:$Q,'Source 2025'!$B:$B,$A98,'Source 2025'!$A:$A,"Quantity (units)")</f>
        <v>980</v>
      </c>
      <c r="D98" s="29" t="n">
        <f aca="false">SUMIFS('Source 2026'!$Q:$Q,'Source 2026'!$B:$B,$A98,'Source 2026'!$A:$A,"Quantity (units)")</f>
        <v>697</v>
      </c>
      <c r="E98" s="30" t="n">
        <f aca="false">D98*$J$5</f>
        <v>880.421052631579</v>
      </c>
      <c r="F98" s="30" t="n">
        <f aca="false">E98-C98</f>
        <v>-99.5789473684212</v>
      </c>
      <c r="G98" s="31" t="n">
        <f aca="false">IF(AND(C98=0,E98=0),0,IF(C98=0,"New",(E98-C98)/C98))</f>
        <v>-0.101611170784103</v>
      </c>
      <c r="H98" s="32" t="n">
        <f aca="false">SUMIFS('Source 2025'!$Q:$Q,'Source 2025'!$B:$B,$A98,'Source 2025'!$A:$A,"Amount (NIS)")</f>
        <v>9936.3</v>
      </c>
      <c r="I98" s="32" t="n">
        <f aca="false">SUMIFS('Source 2026'!$Q:$Q,'Source 2026'!$B:$B,$A98,'Source 2026'!$A:$A,"Amount (NIS)")</f>
        <v>7156.9</v>
      </c>
      <c r="J98" s="32" t="n">
        <f aca="false">I98*$J$5</f>
        <v>9040.29473684211</v>
      </c>
      <c r="K98" s="32" t="n">
        <f aca="false">J98-H98</f>
        <v>-896.005263157895</v>
      </c>
      <c r="L98" s="31" t="n">
        <f aca="false">IF(AND(H98=0,J98=0),0,IF(H98=0,"New",(J98-H98)/H98))</f>
        <v>-0.0901749406879719</v>
      </c>
    </row>
    <row r="99" customFormat="false" ht="15" hidden="false" customHeight="false" outlineLevel="0" collapsed="false">
      <c r="A99" s="28" t="s">
        <v>251</v>
      </c>
      <c r="B99" s="28" t="str">
        <f aca="false">IFERROR(INDEX('Source 2026'!$C:$C,MATCH($A99,'Source 2026'!$B:$B,0)),IFERROR(INDEX('Source 2025'!$C:$C,MATCH($A99,'Source 2025'!$B:$B,0)),""))</f>
        <v>11 אפורUG חגורת בטן</v>
      </c>
      <c r="C99" s="29" t="n">
        <f aca="false">SUMIFS('Source 2025'!$Q:$Q,'Source 2025'!$B:$B,$A99,'Source 2025'!$A:$A,"Quantity (units)")</f>
        <v>34</v>
      </c>
      <c r="D99" s="29" t="n">
        <f aca="false">SUMIFS('Source 2026'!$Q:$Q,'Source 2026'!$B:$B,$A99,'Source 2026'!$A:$A,"Quantity (units)")</f>
        <v>0</v>
      </c>
      <c r="E99" s="30" t="n">
        <f aca="false">D99*$J$5</f>
        <v>0</v>
      </c>
      <c r="F99" s="30" t="n">
        <f aca="false">E99-C99</f>
        <v>-34</v>
      </c>
      <c r="G99" s="31" t="n">
        <f aca="false">IF(AND(C99=0,E99=0),0,IF(C99=0,"New",(E99-C99)/C99))</f>
        <v>-1</v>
      </c>
      <c r="H99" s="32" t="n">
        <f aca="false">SUMIFS('Source 2025'!$Q:$Q,'Source 2025'!$B:$B,$A99,'Source 2025'!$A:$A,"Amount (NIS)")</f>
        <v>2730.6</v>
      </c>
      <c r="I99" s="32" t="n">
        <f aca="false">SUMIFS('Source 2026'!$Q:$Q,'Source 2026'!$B:$B,$A99,'Source 2026'!$A:$A,"Amount (NIS)")</f>
        <v>68.2</v>
      </c>
      <c r="J99" s="32" t="n">
        <f aca="false">I99*$J$5</f>
        <v>86.1473684210526</v>
      </c>
      <c r="K99" s="32" t="n">
        <f aca="false">J99-H99</f>
        <v>-2644.45263157895</v>
      </c>
      <c r="L99" s="31" t="n">
        <f aca="false">IF(AND(H99=0,J99=0),0,IF(H99=0,"New",(J99-H99)/H99))</f>
        <v>-0.96845112121107</v>
      </c>
    </row>
    <row r="100" customFormat="false" ht="15" hidden="false" customHeight="false" outlineLevel="0" collapsed="false">
      <c r="A100" s="28" t="s">
        <v>221</v>
      </c>
      <c r="B100" s="28" t="str">
        <f aca="false">IFERROR(INDEX('Source 2026'!$C:$C,MATCH($A100,'Source 2026'!$B:$B,0)),IFERROR(INDEX('Source 2025'!$C:$C,MATCH($A100,'Source 2025'!$B:$B,0)),""))</f>
        <v>כפפות לחץ</v>
      </c>
      <c r="C100" s="29" t="n">
        <f aca="false">SUMIFS('Source 2025'!$Q:$Q,'Source 2025'!$B:$B,$A100,'Source 2025'!$A:$A,"Quantity (units)")</f>
        <v>258</v>
      </c>
      <c r="D100" s="29" t="n">
        <f aca="false">SUMIFS('Source 2026'!$Q:$Q,'Source 2026'!$B:$B,$A100,'Source 2026'!$A:$A,"Quantity (units)")</f>
        <v>162</v>
      </c>
      <c r="E100" s="30" t="n">
        <f aca="false">D100*$J$5</f>
        <v>204.631578947368</v>
      </c>
      <c r="F100" s="30" t="n">
        <f aca="false">E100-C100</f>
        <v>-53.3684210526316</v>
      </c>
      <c r="G100" s="31" t="n">
        <f aca="false">IF(AND(C100=0,E100=0),0,IF(C100=0,"New",(E100-C100)/C100))</f>
        <v>-0.206854345165239</v>
      </c>
      <c r="H100" s="32" t="n">
        <f aca="false">SUMIFS('Source 2025'!$Q:$Q,'Source 2025'!$B:$B,$A100,'Source 2025'!$A:$A,"Amount (NIS)")</f>
        <v>7344.8</v>
      </c>
      <c r="I100" s="32" t="n">
        <f aca="false">SUMIFS('Source 2026'!$Q:$Q,'Source 2026'!$B:$B,$A100,'Source 2026'!$A:$A,"Amount (NIS)")</f>
        <v>4690.8</v>
      </c>
      <c r="J100" s="32" t="n">
        <f aca="false">I100*$J$5</f>
        <v>5925.22105263158</v>
      </c>
      <c r="K100" s="32" t="n">
        <f aca="false">J100-H100</f>
        <v>-1419.57894736842</v>
      </c>
      <c r="L100" s="31" t="n">
        <f aca="false">IF(AND(H100=0,J100=0),0,IF(H100=0,"New",(J100-H100)/H100))</f>
        <v>-0.193276732840707</v>
      </c>
    </row>
    <row r="101" customFormat="false" ht="15" hidden="false" customHeight="false" outlineLevel="0" collapsed="false">
      <c r="A101" s="28" t="s">
        <v>109</v>
      </c>
      <c r="B101" s="28" t="str">
        <f aca="false">IFERROR(INDEX('Source 2026'!$C:$C,MATCH($A101,'Source 2026'!$B:$B,0)),IFERROR(INDEX('Source 2025'!$C:$C,MATCH($A101,'Source 2025'!$B:$B,0)),""))</f>
        <v>L סד לילה שחור לבוהן שמאל</v>
      </c>
      <c r="C101" s="29" t="n">
        <f aca="false">SUMIFS('Source 2025'!$Q:$Q,'Source 2025'!$B:$B,$A101,'Source 2025'!$A:$A,"Quantity (units)")</f>
        <v>87</v>
      </c>
      <c r="D101" s="29" t="n">
        <f aca="false">SUMIFS('Source 2026'!$Q:$Q,'Source 2026'!$B:$B,$A101,'Source 2026'!$A:$A,"Quantity (units)")</f>
        <v>40</v>
      </c>
      <c r="E101" s="30" t="n">
        <f aca="false">D101*$J$5</f>
        <v>50.5263157894737</v>
      </c>
      <c r="F101" s="30" t="n">
        <f aca="false">E101-C101</f>
        <v>-36.4736842105263</v>
      </c>
      <c r="G101" s="31" t="n">
        <f aca="false">IF(AND(C101=0,E101=0),0,IF(C101=0,"New",(E101-C101)/C101))</f>
        <v>-0.419237749546279</v>
      </c>
      <c r="H101" s="32" t="n">
        <f aca="false">SUMIFS('Source 2025'!$Q:$Q,'Source 2025'!$B:$B,$A101,'Source 2025'!$A:$A,"Amount (NIS)")</f>
        <v>5148.8</v>
      </c>
      <c r="I101" s="32" t="n">
        <f aca="false">SUMIFS('Source 2026'!$Q:$Q,'Source 2026'!$B:$B,$A101,'Source 2026'!$A:$A,"Amount (NIS)")</f>
        <v>2571.3</v>
      </c>
      <c r="J101" s="32" t="n">
        <f aca="false">I101*$J$5</f>
        <v>3247.95789473684</v>
      </c>
      <c r="K101" s="32" t="n">
        <f aca="false">J101-H101</f>
        <v>-1900.84210526316</v>
      </c>
      <c r="L101" s="31" t="n">
        <f aca="false">IF(AND(H101=0,J101=0),0,IF(H101=0,"New",(J101-H101)/H101))</f>
        <v>-0.369181577311832</v>
      </c>
    </row>
    <row r="102" customFormat="false" ht="15" hidden="false" customHeight="false" outlineLevel="0" collapsed="false">
      <c r="A102" s="28" t="s">
        <v>97</v>
      </c>
      <c r="B102" s="28" t="str">
        <f aca="false">IFERROR(INDEX('Source 2026'!$C:$C,MATCH($A102,'Source 2026'!$B:$B,0)),IFERROR(INDEX('Source 2025'!$C:$C,MATCH($A102,'Source 2025'!$B:$B,0)),""))</f>
        <v>חגורת גב +סגירה כפולה</v>
      </c>
      <c r="C102" s="29" t="n">
        <f aca="false">SUMIFS('Source 2025'!$Q:$Q,'Source 2025'!$B:$B,$A102,'Source 2025'!$A:$A,"Quantity (units)")</f>
        <v>65</v>
      </c>
      <c r="D102" s="29" t="n">
        <f aca="false">SUMIFS('Source 2026'!$Q:$Q,'Source 2026'!$B:$B,$A102,'Source 2026'!$A:$A,"Quantity (units)")</f>
        <v>36</v>
      </c>
      <c r="E102" s="30" t="n">
        <f aca="false">D102*$J$5</f>
        <v>45.4736842105263</v>
      </c>
      <c r="F102" s="30" t="n">
        <f aca="false">E102-C102</f>
        <v>-19.5263157894737</v>
      </c>
      <c r="G102" s="31" t="n">
        <f aca="false">IF(AND(C102=0,E102=0),0,IF(C102=0,"New",(E102-C102)/C102))</f>
        <v>-0.300404858299595</v>
      </c>
      <c r="H102" s="32" t="n">
        <f aca="false">SUMIFS('Source 2025'!$Q:$Q,'Source 2025'!$B:$B,$A102,'Source 2025'!$A:$A,"Amount (NIS)")</f>
        <v>6213.6</v>
      </c>
      <c r="I102" s="32" t="n">
        <f aca="false">SUMIFS('Source 2026'!$Q:$Q,'Source 2026'!$B:$B,$A102,'Source 2026'!$A:$A,"Amount (NIS)")</f>
        <v>3644.6</v>
      </c>
      <c r="J102" s="32" t="n">
        <f aca="false">I102*$J$5</f>
        <v>4603.70526315789</v>
      </c>
      <c r="K102" s="32" t="n">
        <f aca="false">J102-H102</f>
        <v>-1609.89473684211</v>
      </c>
      <c r="L102" s="31" t="n">
        <f aca="false">IF(AND(H102=0,J102=0),0,IF(H102=0,"New",(J102-H102)/H102))</f>
        <v>-0.259092110345389</v>
      </c>
    </row>
    <row r="103" customFormat="false" ht="15" hidden="false" customHeight="false" outlineLevel="0" collapsed="false">
      <c r="A103" s="28" t="s">
        <v>185</v>
      </c>
      <c r="B103" s="28" t="str">
        <f aca="false">IFERROR(INDEX('Source 2026'!$C:$C,MATCH($A103,'Source 2026'!$B:$B,0)),IFERROR(INDEX('Source 2025'!$C:$C,MATCH($A103,'Source 2025'!$B:$B,0)),""))</f>
        <v>רצועת ""פיקה""+כרית</v>
      </c>
      <c r="C103" s="29" t="n">
        <f aca="false">SUMIFS('Source 2025'!$Q:$Q,'Source 2025'!$B:$B,$A103,'Source 2025'!$A:$A,"Quantity (units)")</f>
        <v>40</v>
      </c>
      <c r="D103" s="29" t="n">
        <f aca="false">SUMIFS('Source 2026'!$Q:$Q,'Source 2026'!$B:$B,$A103,'Source 2026'!$A:$A,"Quantity (units)")</f>
        <v>12</v>
      </c>
      <c r="E103" s="30" t="n">
        <f aca="false">D103*$J$5</f>
        <v>15.1578947368421</v>
      </c>
      <c r="F103" s="30" t="n">
        <f aca="false">E103-C103</f>
        <v>-24.8421052631579</v>
      </c>
      <c r="G103" s="31" t="n">
        <f aca="false">IF(AND(C103=0,E103=0),0,IF(C103=0,"New",(E103-C103)/C103))</f>
        <v>-0.621052631578947</v>
      </c>
      <c r="H103" s="32" t="n">
        <f aca="false">SUMIFS('Source 2025'!$Q:$Q,'Source 2025'!$B:$B,$A103,'Source 2025'!$A:$A,"Amount (NIS)")</f>
        <v>3726.4</v>
      </c>
      <c r="I103" s="32" t="n">
        <f aca="false">SUMIFS('Source 2026'!$Q:$Q,'Source 2026'!$B:$B,$A103,'Source 2026'!$A:$A,"Amount (NIS)")</f>
        <v>1185.3</v>
      </c>
      <c r="J103" s="32" t="n">
        <f aca="false">I103*$J$5</f>
        <v>1497.22105263158</v>
      </c>
      <c r="K103" s="32" t="n">
        <f aca="false">J103-H103</f>
        <v>-2229.17894736842</v>
      </c>
      <c r="L103" s="31" t="n">
        <f aca="false">IF(AND(H103=0,J103=0),0,IF(H103=0,"New",(J103-H103)/H103))</f>
        <v>-0.598212469774694</v>
      </c>
    </row>
    <row r="104" customFormat="false" ht="15" hidden="false" customHeight="false" outlineLevel="0" collapsed="false">
      <c r="A104" s="28" t="s">
        <v>229</v>
      </c>
      <c r="B104" s="28" t="str">
        <f aca="false">IFERROR(INDEX('Source 2026'!$C:$C,MATCH($A104,'Source 2026'!$B:$B,0)),IFERROR(INDEX('Source 2025'!$C:$C,MATCH($A104,'Source 2025'!$B:$B,0)),""))</f>
        <v>כפפות לחץ</v>
      </c>
      <c r="C104" s="29" t="n">
        <f aca="false">SUMIFS('Source 2025'!$Q:$Q,'Source 2025'!$B:$B,$A104,'Source 2025'!$A:$A,"Quantity (units)")</f>
        <v>246</v>
      </c>
      <c r="D104" s="29" t="n">
        <f aca="false">SUMIFS('Source 2026'!$Q:$Q,'Source 2026'!$B:$B,$A104,'Source 2026'!$A:$A,"Quantity (units)")</f>
        <v>155</v>
      </c>
      <c r="E104" s="30" t="n">
        <f aca="false">D104*$J$5</f>
        <v>195.789473684211</v>
      </c>
      <c r="F104" s="30" t="n">
        <f aca="false">E104-C104</f>
        <v>-50.2105263157895</v>
      </c>
      <c r="G104" s="31" t="n">
        <f aca="false">IF(AND(C104=0,E104=0),0,IF(C104=0,"New",(E104-C104)/C104))</f>
        <v>-0.20410783055199</v>
      </c>
      <c r="H104" s="32" t="n">
        <f aca="false">SUMIFS('Source 2025'!$Q:$Q,'Source 2025'!$B:$B,$A104,'Source 2025'!$A:$A,"Amount (NIS)")</f>
        <v>6998.3</v>
      </c>
      <c r="I104" s="32" t="n">
        <f aca="false">SUMIFS('Source 2026'!$Q:$Q,'Source 2026'!$B:$B,$A104,'Source 2026'!$A:$A,"Amount (NIS)")</f>
        <v>4476.9</v>
      </c>
      <c r="J104" s="32" t="n">
        <f aca="false">I104*$J$5</f>
        <v>5655.03157894737</v>
      </c>
      <c r="K104" s="32" t="n">
        <f aca="false">J104-H104</f>
        <v>-1343.26842105263</v>
      </c>
      <c r="L104" s="31" t="n">
        <f aca="false">IF(AND(H104=0,J104=0),0,IF(H104=0,"New",(J104-H104)/H104))</f>
        <v>-0.19194210323259</v>
      </c>
    </row>
    <row r="105" customFormat="false" ht="15" hidden="false" customHeight="false" outlineLevel="0" collapsed="false">
      <c r="A105" s="28" t="s">
        <v>319</v>
      </c>
      <c r="B105" s="28" t="str">
        <f aca="false">IFERROR(INDEX('Source 2026'!$C:$C,MATCH($A105,'Source 2026'!$B:$B,0)),IFERROR(INDEX('Source 2025'!$C:$C,MATCH($A105,'Source 2025'!$B:$B,0)),""))</f>
        <v>תחבושת אלסטית מקררת</v>
      </c>
      <c r="C105" s="29" t="n">
        <f aca="false">SUMIFS('Source 2025'!$Q:$Q,'Source 2025'!$B:$B,$A105,'Source 2025'!$A:$A,"Quantity (units)")</f>
        <v>283</v>
      </c>
      <c r="D105" s="29" t="n">
        <f aca="false">SUMIFS('Source 2026'!$Q:$Q,'Source 2026'!$B:$B,$A105,'Source 2026'!$A:$A,"Quantity (units)")</f>
        <v>428</v>
      </c>
      <c r="E105" s="30" t="n">
        <f aca="false">D105*$J$5</f>
        <v>540.631578947368</v>
      </c>
      <c r="F105" s="30" t="n">
        <f aca="false">E105-C105</f>
        <v>257.631578947368</v>
      </c>
      <c r="G105" s="31" t="n">
        <f aca="false">IF(AND(C105=0,E105=0),0,IF(C105=0,"New",(E105-C105)/C105))</f>
        <v>0.910358936209783</v>
      </c>
      <c r="H105" s="32" t="n">
        <f aca="false">SUMIFS('Source 2025'!$Q:$Q,'Source 2025'!$B:$B,$A105,'Source 2025'!$A:$A,"Amount (NIS)")</f>
        <v>4566.7</v>
      </c>
      <c r="I105" s="32" t="n">
        <f aca="false">SUMIFS('Source 2026'!$Q:$Q,'Source 2026'!$B:$B,$A105,'Source 2026'!$A:$A,"Amount (NIS)")</f>
        <v>7064.7</v>
      </c>
      <c r="J105" s="32" t="n">
        <f aca="false">I105*$J$5</f>
        <v>8923.83157894737</v>
      </c>
      <c r="K105" s="32" t="n">
        <f aca="false">J105-H105</f>
        <v>4357.13157894737</v>
      </c>
      <c r="L105" s="31" t="n">
        <f aca="false">IF(AND(H105=0,J105=0),0,IF(H105=0,"New",(J105-H105)/H105))</f>
        <v>0.954109439846578</v>
      </c>
    </row>
    <row r="106" customFormat="false" ht="15" hidden="false" customHeight="false" outlineLevel="0" collapsed="false">
      <c r="A106" s="28" t="s">
        <v>173</v>
      </c>
      <c r="B106" s="28" t="str">
        <f aca="false">IFERROR(INDEX('Source 2026'!$C:$C,MATCH($A106,'Source 2026'!$B:$B,0)),IFERROR(INDEX('Source 2025'!$C:$C,MATCH($A106,'Source 2025'!$B:$B,0)),""))</f>
        <v>נצמדת בז' 20 מ""מ</v>
      </c>
      <c r="C106" s="29" t="n">
        <f aca="false">SUMIFS('Source 2025'!$Q:$Q,'Source 2025'!$B:$B,$A106,'Source 2025'!$A:$A,"Quantity (units)")</f>
        <v>1235</v>
      </c>
      <c r="D106" s="29" t="n">
        <f aca="false">SUMIFS('Source 2026'!$Q:$Q,'Source 2026'!$B:$B,$A106,'Source 2026'!$A:$A,"Quantity (units)")</f>
        <v>988</v>
      </c>
      <c r="E106" s="30" t="n">
        <f aca="false">D106*$J$5</f>
        <v>1248</v>
      </c>
      <c r="F106" s="30" t="n">
        <f aca="false">E106-C106</f>
        <v>13</v>
      </c>
      <c r="G106" s="31" t="n">
        <f aca="false">IF(AND(C106=0,E106=0),0,IF(C106=0,"New",(E106-C106)/C106))</f>
        <v>0.0105263157894737</v>
      </c>
      <c r="H106" s="32" t="n">
        <f aca="false">SUMIFS('Source 2025'!$Q:$Q,'Source 2025'!$B:$B,$A106,'Source 2025'!$A:$A,"Amount (NIS)")</f>
        <v>12532.2</v>
      </c>
      <c r="I106" s="32" t="n">
        <f aca="false">SUMIFS('Source 2026'!$Q:$Q,'Source 2026'!$B:$B,$A106,'Source 2026'!$A:$A,"Amount (NIS)")</f>
        <v>10070.6</v>
      </c>
      <c r="J106" s="32" t="n">
        <f aca="false">I106*$J$5</f>
        <v>12720.7578947368</v>
      </c>
      <c r="K106" s="32" t="n">
        <f aca="false">J106-H106</f>
        <v>188.557894736841</v>
      </c>
      <c r="L106" s="31" t="n">
        <f aca="false">IF(AND(H106=0,J106=0),0,IF(H106=0,"New",(J106-H106)/H106))</f>
        <v>0.0150458734090456</v>
      </c>
    </row>
    <row r="107" customFormat="false" ht="15" hidden="false" customHeight="false" outlineLevel="0" collapsed="false">
      <c r="A107" s="28" t="s">
        <v>303</v>
      </c>
      <c r="B107" s="28" t="str">
        <f aca="false">IFERROR(INDEX('Source 2026'!$C:$C,MATCH($A107,'Source 2026'!$B:$B,0)),IFERROR(INDEX('Source 2025'!$C:$C,MATCH($A107,'Source 2025'!$B:$B,0)),""))</f>
        <v>11 אפורUG חגורת בטן</v>
      </c>
      <c r="C107" s="29" t="n">
        <f aca="false">SUMIFS('Source 2025'!$Q:$Q,'Source 2025'!$B:$B,$A107,'Source 2025'!$A:$A,"Quantity (units)")</f>
        <v>32</v>
      </c>
      <c r="D107" s="29" t="n">
        <f aca="false">SUMIFS('Source 2026'!$Q:$Q,'Source 2026'!$B:$B,$A107,'Source 2026'!$A:$A,"Quantity (units)")</f>
        <v>1</v>
      </c>
      <c r="E107" s="30" t="n">
        <f aca="false">D107*$J$5</f>
        <v>1.26315789473684</v>
      </c>
      <c r="F107" s="30" t="n">
        <f aca="false">E107-C107</f>
        <v>-30.7368421052632</v>
      </c>
      <c r="G107" s="31" t="n">
        <f aca="false">IF(AND(C107=0,E107=0),0,IF(C107=0,"New",(E107-C107)/C107))</f>
        <v>-0.960526315789474</v>
      </c>
      <c r="H107" s="32" t="n">
        <f aca="false">SUMIFS('Source 2025'!$Q:$Q,'Source 2025'!$B:$B,$A107,'Source 2025'!$A:$A,"Amount (NIS)")</f>
        <v>2549.6</v>
      </c>
      <c r="I107" s="32" t="n">
        <f aca="false">SUMIFS('Source 2026'!$Q:$Q,'Source 2026'!$B:$B,$A107,'Source 2026'!$A:$A,"Amount (NIS)")</f>
        <v>132.3</v>
      </c>
      <c r="J107" s="32" t="n">
        <f aca="false">I107*$J$5</f>
        <v>167.115789473684</v>
      </c>
      <c r="K107" s="32" t="n">
        <f aca="false">J107-H107</f>
        <v>-2382.48421052632</v>
      </c>
      <c r="L107" s="31" t="n">
        <f aca="false">IF(AND(H107=0,J107=0),0,IF(H107=0,"New",(J107-H107)/H107))</f>
        <v>-0.934454114577312</v>
      </c>
    </row>
    <row r="108" customFormat="false" ht="15" hidden="false" customHeight="false" outlineLevel="0" collapsed="false">
      <c r="A108" s="28" t="s">
        <v>219</v>
      </c>
      <c r="B108" s="28" t="str">
        <f aca="false">IFERROR(INDEX('Source 2026'!$C:$C,MATCH($A108,'Source 2026'!$B:$B,0)),IFERROR(INDEX('Source 2025'!$C:$C,MATCH($A108,'Source 2025'!$B:$B,0)),""))</f>
        <v>כפפות אגודל לחץ</v>
      </c>
      <c r="C108" s="29" t="n">
        <f aca="false">SUMIFS('Source 2025'!$Q:$Q,'Source 2025'!$B:$B,$A108,'Source 2025'!$A:$A,"Quantity (units)")</f>
        <v>419</v>
      </c>
      <c r="D108" s="29" t="n">
        <f aca="false">SUMIFS('Source 2026'!$Q:$Q,'Source 2026'!$B:$B,$A108,'Source 2026'!$A:$A,"Quantity (units)")</f>
        <v>324</v>
      </c>
      <c r="E108" s="30" t="n">
        <f aca="false">D108*$J$5</f>
        <v>409.263157894737</v>
      </c>
      <c r="F108" s="30" t="n">
        <f aca="false">E108-C108</f>
        <v>-9.73684210526318</v>
      </c>
      <c r="G108" s="31" t="n">
        <f aca="false">IF(AND(C108=0,E108=0),0,IF(C108=0,"New",(E108-C108)/C108))</f>
        <v>-0.0232382866474062</v>
      </c>
      <c r="H108" s="32" t="n">
        <f aca="false">SUMIFS('Source 2025'!$Q:$Q,'Source 2025'!$B:$B,$A108,'Source 2025'!$A:$A,"Amount (NIS)")</f>
        <v>11927.2</v>
      </c>
      <c r="I108" s="32" t="n">
        <f aca="false">SUMIFS('Source 2026'!$Q:$Q,'Source 2026'!$B:$B,$A108,'Source 2026'!$A:$A,"Amount (NIS)")</f>
        <v>9579</v>
      </c>
      <c r="J108" s="32" t="n">
        <f aca="false">I108*$J$5</f>
        <v>12099.7894736842</v>
      </c>
      <c r="K108" s="32" t="n">
        <f aca="false">J108-H108</f>
        <v>172.589473684209</v>
      </c>
      <c r="L108" s="31" t="n">
        <f aca="false">IF(AND(H108=0,J108=0),0,IF(H108=0,"New",(J108-H108)/H108))</f>
        <v>0.0144702422768302</v>
      </c>
    </row>
    <row r="109" customFormat="false" ht="15" hidden="false" customHeight="false" outlineLevel="0" collapsed="false">
      <c r="A109" s="28" t="s">
        <v>318</v>
      </c>
      <c r="B109" s="28" t="str">
        <f aca="false">IFERROR(INDEX('Source 2026'!$C:$C,MATCH($A109,'Source 2026'!$B:$B,0)),IFERROR(INDEX('Source 2025'!$C:$C,MATCH($A109,'Source 2025'!$B:$B,0)),""))</f>
        <v>S-M STRAP4U</v>
      </c>
      <c r="C109" s="29" t="n">
        <f aca="false">SUMIFS('Source 2025'!$Q:$Q,'Source 2025'!$B:$B,$A109,'Source 2025'!$A:$A,"Quantity (units)")</f>
        <v>95</v>
      </c>
      <c r="D109" s="29" t="n">
        <f aca="false">SUMIFS('Source 2026'!$Q:$Q,'Source 2026'!$B:$B,$A109,'Source 2026'!$A:$A,"Quantity (units)")</f>
        <v>-57</v>
      </c>
      <c r="E109" s="30" t="n">
        <f aca="false">D109*$J$5</f>
        <v>-72</v>
      </c>
      <c r="F109" s="30" t="n">
        <f aca="false">E109-C109</f>
        <v>-167</v>
      </c>
      <c r="G109" s="31" t="n">
        <f aca="false">IF(AND(C109=0,E109=0),0,IF(C109=0,"New",(E109-C109)/C109))</f>
        <v>-1.75789473684211</v>
      </c>
      <c r="H109" s="32" t="n">
        <f aca="false">SUMIFS('Source 2025'!$Q:$Q,'Source 2025'!$B:$B,$A109,'Source 2025'!$A:$A,"Amount (NIS)")</f>
        <v>1673</v>
      </c>
      <c r="I109" s="32" t="n">
        <f aca="false">SUMIFS('Source 2026'!$Q:$Q,'Source 2026'!$B:$B,$A109,'Source 2026'!$A:$A,"Amount (NIS)")</f>
        <v>-564.6</v>
      </c>
      <c r="J109" s="32" t="n">
        <f aca="false">I109*$J$5</f>
        <v>-713.178947368421</v>
      </c>
      <c r="K109" s="32" t="n">
        <f aca="false">J109-H109</f>
        <v>-2386.17894736842</v>
      </c>
      <c r="L109" s="31" t="n">
        <f aca="false">IF(AND(H109=0,J109=0),0,IF(H109=0,"New",(J109-H109)/H109))</f>
        <v>-1.42628747601221</v>
      </c>
    </row>
    <row r="110" customFormat="false" ht="15" hidden="false" customHeight="false" outlineLevel="0" collapsed="false">
      <c r="A110" s="28" t="s">
        <v>311</v>
      </c>
      <c r="B110" s="28" t="str">
        <f aca="false">IFERROR(INDEX('Source 2026'!$C:$C,MATCH($A110,'Source 2026'!$B:$B,0)),IFERROR(INDEX('Source 2025'!$C:$C,MATCH($A110,'Source 2025'!$B:$B,0)),""))</f>
        <v>ג.כסף לסכרתיים אפור35-38</v>
      </c>
      <c r="C110" s="29" t="n">
        <f aca="false">SUMIFS('Source 2025'!$Q:$Q,'Source 2025'!$B:$B,$A110,'Source 2025'!$A:$A,"Quantity (units)")</f>
        <v>74</v>
      </c>
      <c r="D110" s="29" t="n">
        <f aca="false">SUMIFS('Source 2026'!$Q:$Q,'Source 2026'!$B:$B,$A110,'Source 2026'!$A:$A,"Quantity (units)")</f>
        <v>1</v>
      </c>
      <c r="E110" s="30" t="n">
        <f aca="false">D110*$J$5</f>
        <v>1.26315789473684</v>
      </c>
      <c r="F110" s="30" t="n">
        <f aca="false">E110-C110</f>
        <v>-72.7368421052632</v>
      </c>
      <c r="G110" s="31" t="n">
        <f aca="false">IF(AND(C110=0,E110=0),0,IF(C110=0,"New",(E110-C110)/C110))</f>
        <v>-0.982930298719772</v>
      </c>
      <c r="H110" s="32" t="n">
        <f aca="false">SUMIFS('Source 2025'!$Q:$Q,'Source 2025'!$B:$B,$A110,'Source 2025'!$A:$A,"Amount (NIS)")</f>
        <v>2161.6</v>
      </c>
      <c r="I110" s="32" t="n">
        <f aca="false">SUMIFS('Source 2026'!$Q:$Q,'Source 2026'!$B:$B,$A110,'Source 2026'!$A:$A,"Amount (NIS)")</f>
        <v>35</v>
      </c>
      <c r="J110" s="32" t="n">
        <f aca="false">I110*$J$5</f>
        <v>44.2105263157895</v>
      </c>
      <c r="K110" s="32" t="n">
        <f aca="false">J110-H110</f>
        <v>-2117.38947368421</v>
      </c>
      <c r="L110" s="31" t="n">
        <f aca="false">IF(AND(H110=0,J110=0),0,IF(H110=0,"New",(J110-H110)/H110))</f>
        <v>-0.979547313880556</v>
      </c>
    </row>
    <row r="111" customFormat="false" ht="15" hidden="false" customHeight="false" outlineLevel="0" collapsed="false">
      <c r="A111" s="28" t="s">
        <v>177</v>
      </c>
      <c r="B111" s="28" t="str">
        <f aca="false">IFERROR(INDEX('Source 2026'!$C:$C,MATCH($A111,'Source 2026'!$B:$B,0)),IFERROR(INDEX('Source 2025'!$C:$C,MATCH($A111,'Source 2025'!$B:$B,0)),""))</f>
        <v>9 מ""ס להתאמהX5 מדבקה גדולה</v>
      </c>
      <c r="C111" s="29" t="n">
        <f aca="false">SUMIFS('Source 2025'!$Q:$Q,'Source 2025'!$B:$B,$A111,'Source 2025'!$A:$A,"Quantity (units)")</f>
        <v>208</v>
      </c>
      <c r="D111" s="29" t="n">
        <f aca="false">SUMIFS('Source 2026'!$Q:$Q,'Source 2026'!$B:$B,$A111,'Source 2026'!$A:$A,"Quantity (units)")</f>
        <v>102</v>
      </c>
      <c r="E111" s="30" t="n">
        <f aca="false">D111*$J$5</f>
        <v>128.842105263158</v>
      </c>
      <c r="F111" s="30" t="n">
        <f aca="false">E111-C111</f>
        <v>-79.1578947368421</v>
      </c>
      <c r="G111" s="31" t="n">
        <f aca="false">IF(AND(C111=0,E111=0),0,IF(C111=0,"New",(E111-C111)/C111))</f>
        <v>-0.380566801619433</v>
      </c>
      <c r="H111" s="32" t="n">
        <f aca="false">SUMIFS('Source 2025'!$Q:$Q,'Source 2025'!$B:$B,$A111,'Source 2025'!$A:$A,"Amount (NIS)")</f>
        <v>4120.4</v>
      </c>
      <c r="I111" s="32" t="n">
        <f aca="false">SUMIFS('Source 2026'!$Q:$Q,'Source 2026'!$B:$B,$A111,'Source 2026'!$A:$A,"Amount (NIS)")</f>
        <v>2001.2</v>
      </c>
      <c r="J111" s="32" t="n">
        <f aca="false">I111*$J$5</f>
        <v>2527.83157894737</v>
      </c>
      <c r="K111" s="32" t="n">
        <f aca="false">J111-H111</f>
        <v>-1592.56842105263</v>
      </c>
      <c r="L111" s="31" t="n">
        <f aca="false">IF(AND(H111=0,J111=0),0,IF(H111=0,"New",(J111-H111)/H111))</f>
        <v>-0.386508208196445</v>
      </c>
    </row>
    <row r="112" customFormat="false" ht="15" hidden="false" customHeight="false" outlineLevel="0" collapsed="false">
      <c r="A112" s="28" t="s">
        <v>232</v>
      </c>
      <c r="B112" s="28" t="str">
        <f aca="false">IFERROR(INDEX('Source 2026'!$C:$C,MATCH($A112,'Source 2026'!$B:$B,0)),IFERROR(INDEX('Source 2025'!$C:$C,MATCH($A112,'Source 2025'!$B:$B,0)),""))</f>
        <v>בננה לתמיכת אצבעות ז.כרית</v>
      </c>
      <c r="C112" s="29" t="n">
        <f aca="false">SUMIFS('Source 2025'!$Q:$Q,'Source 2025'!$B:$B,$A112,'Source 2025'!$A:$A,"Quantity (units)")</f>
        <v>199</v>
      </c>
      <c r="D112" s="29" t="n">
        <f aca="false">SUMIFS('Source 2026'!$Q:$Q,'Source 2026'!$B:$B,$A112,'Source 2026'!$A:$A,"Quantity (units)")</f>
        <v>101</v>
      </c>
      <c r="E112" s="30" t="n">
        <f aca="false">D112*$J$5</f>
        <v>127.578947368421</v>
      </c>
      <c r="F112" s="30" t="n">
        <f aca="false">E112-C112</f>
        <v>-71.421052631579</v>
      </c>
      <c r="G112" s="31" t="n">
        <f aca="false">IF(AND(C112=0,E112=0),0,IF(C112=0,"New",(E112-C112)/C112))</f>
        <v>-0.358899761967734</v>
      </c>
      <c r="H112" s="32" t="n">
        <f aca="false">SUMIFS('Source 2025'!$Q:$Q,'Source 2025'!$B:$B,$A112,'Source 2025'!$A:$A,"Amount (NIS)")</f>
        <v>4320.4</v>
      </c>
      <c r="I112" s="32" t="n">
        <f aca="false">SUMIFS('Source 2026'!$Q:$Q,'Source 2026'!$B:$B,$A112,'Source 2026'!$A:$A,"Amount (NIS)")</f>
        <v>2224.3</v>
      </c>
      <c r="J112" s="32" t="n">
        <f aca="false">I112*$J$5</f>
        <v>2809.64210526316</v>
      </c>
      <c r="K112" s="32" t="n">
        <f aca="false">J112-H112</f>
        <v>-1510.75789473684</v>
      </c>
      <c r="L112" s="31" t="n">
        <f aca="false">IF(AND(H112=0,J112=0),0,IF(H112=0,"New",(J112-H112)/H112))</f>
        <v>-0.349680097846691</v>
      </c>
    </row>
    <row r="113" customFormat="false" ht="15" hidden="false" customHeight="false" outlineLevel="0" collapsed="false">
      <c r="A113" s="28" t="s">
        <v>77</v>
      </c>
      <c r="B113" s="28" t="str">
        <f aca="false">IFERROR(INDEX('Source 2026'!$C:$C,MATCH($A113,'Source 2026'!$B:$B,0)),IFERROR(INDEX('Source 2025'!$C:$C,MATCH($A113,'Source 2025'!$B:$B,0)),""))</f>
        <v>תרסיס דאודורנט לכף הרגל</v>
      </c>
      <c r="C113" s="29" t="n">
        <f aca="false">SUMIFS('Source 2025'!$Q:$Q,'Source 2025'!$B:$B,$A113,'Source 2025'!$A:$A,"Quantity (units)")</f>
        <v>583</v>
      </c>
      <c r="D113" s="29" t="n">
        <f aca="false">SUMIFS('Source 2026'!$Q:$Q,'Source 2026'!$B:$B,$A113,'Source 2026'!$A:$A,"Quantity (units)")</f>
        <v>536</v>
      </c>
      <c r="E113" s="30" t="n">
        <f aca="false">D113*$J$5</f>
        <v>677.052631578947</v>
      </c>
      <c r="F113" s="30" t="n">
        <f aca="false">E113-C113</f>
        <v>94.0526315789473</v>
      </c>
      <c r="G113" s="31" t="n">
        <f aca="false">IF(AND(C113=0,E113=0),0,IF(C113=0,"New",(E113-C113)/C113))</f>
        <v>0.161325268574524</v>
      </c>
      <c r="H113" s="32" t="n">
        <f aca="false">SUMIFS('Source 2025'!$Q:$Q,'Source 2025'!$B:$B,$A113,'Source 2025'!$A:$A,"Amount (NIS)")</f>
        <v>12662</v>
      </c>
      <c r="I113" s="32" t="n">
        <f aca="false">SUMIFS('Source 2026'!$Q:$Q,'Source 2026'!$B:$B,$A113,'Source 2026'!$A:$A,"Amount (NIS)")</f>
        <v>10680.7</v>
      </c>
      <c r="J113" s="32" t="n">
        <f aca="false">I113*$J$5</f>
        <v>13491.4105263158</v>
      </c>
      <c r="K113" s="32" t="n">
        <f aca="false">J113-H113</f>
        <v>829.410526315789</v>
      </c>
      <c r="L113" s="31" t="n">
        <f aca="false">IF(AND(H113=0,J113=0),0,IF(H113=0,"New",(J113-H113)/H113))</f>
        <v>0.0655039114133462</v>
      </c>
    </row>
    <row r="114" customFormat="false" ht="15" hidden="false" customHeight="false" outlineLevel="0" collapsed="false">
      <c r="A114" s="28" t="s">
        <v>189</v>
      </c>
      <c r="B114" s="28" t="str">
        <f aca="false">IFERROR(INDEX('Source 2026'!$C:$C,MATCH($A114,'Source 2026'!$B:$B,0)),IFERROR(INDEX('Source 2025'!$C:$C,MATCH($A114,'Source 2025'!$B:$B,0)),""))</f>
        <v>לגבס קצר יד</v>
      </c>
      <c r="C114" s="29" t="n">
        <f aca="false">SUMIFS('Source 2025'!$Q:$Q,'Source 2025'!$B:$B,$A114,'Source 2025'!$A:$A,"Quantity (units)")</f>
        <v>1526</v>
      </c>
      <c r="D114" s="29" t="n">
        <f aca="false">SUMIFS('Source 2026'!$Q:$Q,'Source 2026'!$B:$B,$A114,'Source 2026'!$A:$A,"Quantity (units)")</f>
        <v>1595</v>
      </c>
      <c r="E114" s="30" t="n">
        <f aca="false">D114*$J$5</f>
        <v>2014.73684210526</v>
      </c>
      <c r="F114" s="30" t="n">
        <f aca="false">E114-C114</f>
        <v>488.736842105263</v>
      </c>
      <c r="G114" s="31" t="n">
        <f aca="false">IF(AND(C114=0,E114=0),0,IF(C114=0,"New",(E114-C114)/C114))</f>
        <v>0.32027315996413</v>
      </c>
      <c r="H114" s="32" t="n">
        <f aca="false">SUMIFS('Source 2025'!$Q:$Q,'Source 2025'!$B:$B,$A114,'Source 2025'!$A:$A,"Amount (NIS)")</f>
        <v>50607.4</v>
      </c>
      <c r="I114" s="32" t="n">
        <f aca="false">SUMIFS('Source 2026'!$Q:$Q,'Source 2026'!$B:$B,$A114,'Source 2026'!$A:$A,"Amount (NIS)")</f>
        <v>52502.9</v>
      </c>
      <c r="J114" s="32" t="n">
        <f aca="false">I114*$J$5</f>
        <v>66319.4526315789</v>
      </c>
      <c r="K114" s="32" t="n">
        <f aca="false">J114-H114</f>
        <v>15712.0526315789</v>
      </c>
      <c r="L114" s="31" t="n">
        <f aca="false">IF(AND(H114=0,J114=0),0,IF(H114=0,"New",(J114-H114)/H114))</f>
        <v>0.3104694695159</v>
      </c>
    </row>
    <row r="115" customFormat="false" ht="15" hidden="false" customHeight="false" outlineLevel="0" collapsed="false">
      <c r="A115" s="28" t="s">
        <v>225</v>
      </c>
      <c r="B115" s="28" t="str">
        <f aca="false">IFERROR(INDEX('Source 2026'!$C:$C,MATCH($A115,'Source 2026'!$B:$B,0)),IFERROR(INDEX('Source 2025'!$C:$C,MATCH($A115,'Source 2025'!$B:$B,0)),""))</f>
        <v>מפריד הלוקס</v>
      </c>
      <c r="C115" s="29" t="n">
        <f aca="false">SUMIFS('Source 2025'!$Q:$Q,'Source 2025'!$B:$B,$A115,'Source 2025'!$A:$A,"Quantity (units)")</f>
        <v>106</v>
      </c>
      <c r="D115" s="29" t="n">
        <f aca="false">SUMIFS('Source 2026'!$Q:$Q,'Source 2026'!$B:$B,$A115,'Source 2026'!$A:$A,"Quantity (units)")</f>
        <v>57</v>
      </c>
      <c r="E115" s="30" t="n">
        <f aca="false">D115*$J$5</f>
        <v>72</v>
      </c>
      <c r="F115" s="30" t="n">
        <f aca="false">E115-C115</f>
        <v>-34</v>
      </c>
      <c r="G115" s="31" t="n">
        <f aca="false">IF(AND(C115=0,E115=0),0,IF(C115=0,"New",(E115-C115)/C115))</f>
        <v>-0.320754716981132</v>
      </c>
      <c r="H115" s="32" t="n">
        <f aca="false">SUMIFS('Source 2025'!$Q:$Q,'Source 2025'!$B:$B,$A115,'Source 2025'!$A:$A,"Amount (NIS)")</f>
        <v>4298.2</v>
      </c>
      <c r="I115" s="32" t="n">
        <f aca="false">SUMIFS('Source 2026'!$Q:$Q,'Source 2026'!$B:$B,$A115,'Source 2026'!$A:$A,"Amount (NIS)")</f>
        <v>2453.1</v>
      </c>
      <c r="J115" s="32" t="n">
        <f aca="false">I115*$J$5</f>
        <v>3098.65263157895</v>
      </c>
      <c r="K115" s="32" t="n">
        <f aca="false">J115-H115</f>
        <v>-1199.54736842105</v>
      </c>
      <c r="L115" s="31" t="n">
        <f aca="false">IF(AND(H115=0,J115=0),0,IF(H115=0,"New",(J115-H115)/H115))</f>
        <v>-0.279081329026349</v>
      </c>
    </row>
    <row r="116" customFormat="false" ht="15" hidden="false" customHeight="false" outlineLevel="0" collapsed="false">
      <c r="A116" s="28" t="s">
        <v>228</v>
      </c>
      <c r="B116" s="28" t="str">
        <f aca="false">IFERROR(INDEX('Source 2026'!$C:$C,MATCH($A116,'Source 2026'!$B:$B,0)),IFERROR(INDEX('Source 2025'!$C:$C,MATCH($A116,'Source 2025'!$B:$B,0)),""))</f>
        <v>כפפות לחץ</v>
      </c>
      <c r="C116" s="29" t="n">
        <f aca="false">SUMIFS('Source 2025'!$Q:$Q,'Source 2025'!$B:$B,$A116,'Source 2025'!$A:$A,"Quantity (units)")</f>
        <v>180</v>
      </c>
      <c r="D116" s="29" t="n">
        <f aca="false">SUMIFS('Source 2026'!$Q:$Q,'Source 2026'!$B:$B,$A116,'Source 2026'!$A:$A,"Quantity (units)")</f>
        <v>113</v>
      </c>
      <c r="E116" s="30" t="n">
        <f aca="false">D116*$J$5</f>
        <v>142.736842105263</v>
      </c>
      <c r="F116" s="30" t="n">
        <f aca="false">E116-C116</f>
        <v>-37.2631578947369</v>
      </c>
      <c r="G116" s="31" t="n">
        <f aca="false">IF(AND(C116=0,E116=0),0,IF(C116=0,"New",(E116-C116)/C116))</f>
        <v>-0.207017543859649</v>
      </c>
      <c r="H116" s="32" t="n">
        <f aca="false">SUMIFS('Source 2025'!$Q:$Q,'Source 2025'!$B:$B,$A116,'Source 2025'!$A:$A,"Amount (NIS)")</f>
        <v>5113.7</v>
      </c>
      <c r="I116" s="32" t="n">
        <f aca="false">SUMIFS('Source 2026'!$Q:$Q,'Source 2026'!$B:$B,$A116,'Source 2026'!$A:$A,"Amount (NIS)")</f>
        <v>3300.4</v>
      </c>
      <c r="J116" s="32" t="n">
        <f aca="false">I116*$J$5</f>
        <v>4168.92631578947</v>
      </c>
      <c r="K116" s="32" t="n">
        <f aca="false">J116-H116</f>
        <v>-944.773684210526</v>
      </c>
      <c r="L116" s="31" t="n">
        <f aca="false">IF(AND(H116=0,J116=0),0,IF(H116=0,"New",(J116-H116)/H116))</f>
        <v>-0.184753443536094</v>
      </c>
    </row>
    <row r="117" customFormat="false" ht="15" hidden="false" customHeight="false" outlineLevel="0" collapsed="false">
      <c r="A117" s="28" t="s">
        <v>220</v>
      </c>
      <c r="B117" s="28" t="str">
        <f aca="false">IFERROR(INDEX('Source 2026'!$C:$C,MATCH($A117,'Source 2026'!$B:$B,0)),IFERROR(INDEX('Source 2025'!$C:$C,MATCH($A117,'Source 2025'!$B:$B,0)),""))</f>
        <v>0 כרית חום וקור</v>
      </c>
      <c r="C117" s="29" t="n">
        <f aca="false">SUMIFS('Source 2025'!$Q:$Q,'Source 2025'!$B:$B,$A117,'Source 2025'!$A:$A,"Quantity (units)")</f>
        <v>21</v>
      </c>
      <c r="D117" s="29" t="n">
        <f aca="false">SUMIFS('Source 2026'!$Q:$Q,'Source 2026'!$B:$B,$A117,'Source 2026'!$A:$A,"Quantity (units)")</f>
        <v>67</v>
      </c>
      <c r="E117" s="30" t="n">
        <f aca="false">D117*$J$5</f>
        <v>84.6315789473684</v>
      </c>
      <c r="F117" s="30" t="n">
        <f aca="false">E117-C117</f>
        <v>63.6315789473684</v>
      </c>
      <c r="G117" s="31" t="n">
        <f aca="false">IF(AND(C117=0,E117=0),0,IF(C117=0,"New",(E117-C117)/C117))</f>
        <v>3.03007518796992</v>
      </c>
      <c r="H117" s="32" t="n">
        <f aca="false">SUMIFS('Source 2025'!$Q:$Q,'Source 2025'!$B:$B,$A117,'Source 2025'!$A:$A,"Amount (NIS)")</f>
        <v>826.4</v>
      </c>
      <c r="I117" s="32" t="n">
        <f aca="false">SUMIFS('Source 2026'!$Q:$Q,'Source 2026'!$B:$B,$A117,'Source 2026'!$A:$A,"Amount (NIS)")</f>
        <v>2616.2</v>
      </c>
      <c r="J117" s="32" t="n">
        <f aca="false">I117*$J$5</f>
        <v>3304.67368421053</v>
      </c>
      <c r="K117" s="32" t="n">
        <f aca="false">J117-H117</f>
        <v>2478.27368421053</v>
      </c>
      <c r="L117" s="31" t="n">
        <f aca="false">IF(AND(H117=0,J117=0),0,IF(H117=0,"New",(J117-H117)/H117))</f>
        <v>2.99887909512406</v>
      </c>
    </row>
    <row r="118" customFormat="false" ht="15" hidden="false" customHeight="false" outlineLevel="0" collapsed="false">
      <c r="A118" s="28" t="s">
        <v>161</v>
      </c>
      <c r="B118" s="28" t="str">
        <f aca="false">IFERROR(INDEX('Source 2026'!$C:$C,MATCH($A118,'Source 2026'!$B:$B,0)),IFERROR(INDEX('Source 2025'!$C:$C,MATCH($A118,'Source 2025'!$B:$B,0)),""))</f>
        <v>סד לאגודל</v>
      </c>
      <c r="C118" s="29" t="n">
        <f aca="false">SUMIFS('Source 2025'!$Q:$Q,'Source 2025'!$B:$B,$A118,'Source 2025'!$A:$A,"Quantity (units)")</f>
        <v>145</v>
      </c>
      <c r="D118" s="29" t="n">
        <f aca="false">SUMIFS('Source 2026'!$Q:$Q,'Source 2026'!$B:$B,$A118,'Source 2026'!$A:$A,"Quantity (units)")</f>
        <v>128</v>
      </c>
      <c r="E118" s="30" t="n">
        <f aca="false">D118*$J$5</f>
        <v>161.684210526316</v>
      </c>
      <c r="F118" s="30" t="n">
        <f aca="false">E118-C118</f>
        <v>16.6842105263158</v>
      </c>
      <c r="G118" s="31" t="n">
        <f aca="false">IF(AND(C118=0,E118=0),0,IF(C118=0,"New",(E118-C118)/C118))</f>
        <v>0.115063520871143</v>
      </c>
      <c r="H118" s="32" t="n">
        <f aca="false">SUMIFS('Source 2025'!$Q:$Q,'Source 2025'!$B:$B,$A118,'Source 2025'!$A:$A,"Amount (NIS)")</f>
        <v>14778.5</v>
      </c>
      <c r="I118" s="32" t="n">
        <f aca="false">SUMIFS('Source 2026'!$Q:$Q,'Source 2026'!$B:$B,$A118,'Source 2026'!$A:$A,"Amount (NIS)")</f>
        <v>13023.1</v>
      </c>
      <c r="J118" s="32" t="n">
        <f aca="false">I118*$J$5</f>
        <v>16450.2315789474</v>
      </c>
      <c r="K118" s="32" t="n">
        <f aca="false">J118-H118</f>
        <v>1671.73157894737</v>
      </c>
      <c r="L118" s="31" t="n">
        <f aca="false">IF(AND(H118=0,J118=0),0,IF(H118=0,"New",(J118-H118)/H118))</f>
        <v>0.113119164931987</v>
      </c>
    </row>
    <row r="119" customFormat="false" ht="15" hidden="false" customHeight="false" outlineLevel="0" collapsed="false">
      <c r="A119" s="28" t="s">
        <v>287</v>
      </c>
      <c r="B119" s="28" t="str">
        <f aca="false">IFERROR(INDEX('Source 2026'!$C:$C,MATCH($A119,'Source 2026'!$B:$B,0)),IFERROR(INDEX('Source 2025'!$C:$C,MATCH($A119,'Source 2025'!$B:$B,0)),""))</f>
        <v>S מגן קרסול שמאל</v>
      </c>
      <c r="C119" s="29" t="n">
        <f aca="false">SUMIFS('Source 2025'!$Q:$Q,'Source 2025'!$B:$B,$A119,'Source 2025'!$A:$A,"Quantity (units)")</f>
        <v>48</v>
      </c>
      <c r="D119" s="29" t="n">
        <f aca="false">SUMIFS('Source 2026'!$Q:$Q,'Source 2026'!$B:$B,$A119,'Source 2026'!$A:$A,"Quantity (units)")</f>
        <v>24</v>
      </c>
      <c r="E119" s="30" t="n">
        <f aca="false">D119*$J$5</f>
        <v>30.3157894736842</v>
      </c>
      <c r="F119" s="30" t="n">
        <f aca="false">E119-C119</f>
        <v>-17.6842105263158</v>
      </c>
      <c r="G119" s="31" t="n">
        <f aca="false">IF(AND(C119=0,E119=0),0,IF(C119=0,"New",(E119-C119)/C119))</f>
        <v>-0.368421052631579</v>
      </c>
      <c r="H119" s="32" t="n">
        <f aca="false">SUMIFS('Source 2025'!$Q:$Q,'Source 2025'!$B:$B,$A119,'Source 2025'!$A:$A,"Amount (NIS)")</f>
        <v>3556.9</v>
      </c>
      <c r="I119" s="32" t="n">
        <f aca="false">SUMIFS('Source 2026'!$Q:$Q,'Source 2026'!$B:$B,$A119,'Source 2026'!$A:$A,"Amount (NIS)")</f>
        <v>1803.2</v>
      </c>
      <c r="J119" s="32" t="n">
        <f aca="false">I119*$J$5</f>
        <v>2277.72631578947</v>
      </c>
      <c r="K119" s="32" t="n">
        <f aca="false">J119-H119</f>
        <v>-1279.17368421053</v>
      </c>
      <c r="L119" s="31" t="n">
        <f aca="false">IF(AND(H119=0,J119=0),0,IF(H119=0,"New",(J119-H119)/H119))</f>
        <v>-0.359631612980552</v>
      </c>
    </row>
    <row r="120" customFormat="false" ht="15" hidden="false" customHeight="false" outlineLevel="0" collapsed="false">
      <c r="A120" s="28" t="s">
        <v>152</v>
      </c>
      <c r="B120" s="28" t="str">
        <f aca="false">IFERROR(INDEX('Source 2026'!$C:$C,MATCH($A120,'Source 2026'!$B:$B,0)),IFERROR(INDEX('Source 2025'!$C:$C,MATCH($A120,'Source 2025'!$B:$B,0)),""))</f>
        <v>L-XL חגורת הריון</v>
      </c>
      <c r="C120" s="29" t="n">
        <f aca="false">SUMIFS('Source 2025'!$Q:$Q,'Source 2025'!$B:$B,$A120,'Source 2025'!$A:$A,"Quantity (units)")</f>
        <v>62</v>
      </c>
      <c r="D120" s="29" t="n">
        <f aca="false">SUMIFS('Source 2026'!$Q:$Q,'Source 2026'!$B:$B,$A120,'Source 2026'!$A:$A,"Quantity (units)")</f>
        <v>44</v>
      </c>
      <c r="E120" s="30" t="n">
        <f aca="false">D120*$J$5</f>
        <v>55.5789473684211</v>
      </c>
      <c r="F120" s="30" t="n">
        <f aca="false">E120-C120</f>
        <v>-6.42105263157895</v>
      </c>
      <c r="G120" s="31" t="n">
        <f aca="false">IF(AND(C120=0,E120=0),0,IF(C120=0,"New",(E120-C120)/C120))</f>
        <v>-0.103565365025467</v>
      </c>
      <c r="H120" s="32" t="n">
        <f aca="false">SUMIFS('Source 2025'!$Q:$Q,'Source 2025'!$B:$B,$A120,'Source 2025'!$A:$A,"Amount (NIS)")</f>
        <v>6256.2</v>
      </c>
      <c r="I120" s="32" t="n">
        <f aca="false">SUMIFS('Source 2026'!$Q:$Q,'Source 2026'!$B:$B,$A120,'Source 2026'!$A:$A,"Amount (NIS)")</f>
        <v>4505</v>
      </c>
      <c r="J120" s="32" t="n">
        <f aca="false">I120*$J$5</f>
        <v>5690.52631578947</v>
      </c>
      <c r="K120" s="32" t="n">
        <f aca="false">J120-H120</f>
        <v>-565.673684210527</v>
      </c>
      <c r="L120" s="31" t="n">
        <f aca="false">IF(AND(H120=0,J120=0),0,IF(H120=0,"New",(J120-H120)/H120))</f>
        <v>-0.0904180947237183</v>
      </c>
    </row>
    <row r="121" customFormat="false" ht="15" hidden="false" customHeight="false" outlineLevel="0" collapsed="false">
      <c r="A121" s="28" t="s">
        <v>210</v>
      </c>
      <c r="B121" s="28" t="str">
        <f aca="false">IFERROR(INDEX('Source 2026'!$C:$C,MATCH($A121,'Source 2026'!$B:$B,0)),IFERROR(INDEX('Source 2025'!$C:$C,MATCH($A121,'Source 2025'!$B:$B,0)),""))</f>
        <v>S  חגורת גב פוג'יאמה</v>
      </c>
      <c r="C121" s="29" t="n">
        <f aca="false">SUMIFS('Source 2025'!$Q:$Q,'Source 2025'!$B:$B,$A121,'Source 2025'!$A:$A,"Quantity (units)")</f>
        <v>28</v>
      </c>
      <c r="D121" s="29" t="n">
        <f aca="false">SUMIFS('Source 2026'!$Q:$Q,'Source 2026'!$B:$B,$A121,'Source 2026'!$A:$A,"Quantity (units)")</f>
        <v>8</v>
      </c>
      <c r="E121" s="30" t="n">
        <f aca="false">D121*$J$5</f>
        <v>10.1052631578947</v>
      </c>
      <c r="F121" s="30" t="n">
        <f aca="false">E121-C121</f>
        <v>-17.8947368421053</v>
      </c>
      <c r="G121" s="31" t="n">
        <f aca="false">IF(AND(C121=0,E121=0),0,IF(C121=0,"New",(E121-C121)/C121))</f>
        <v>-0.639097744360902</v>
      </c>
      <c r="H121" s="32" t="n">
        <f aca="false">SUMIFS('Source 2025'!$Q:$Q,'Source 2025'!$B:$B,$A121,'Source 2025'!$A:$A,"Amount (NIS)")</f>
        <v>2272.7</v>
      </c>
      <c r="I121" s="32" t="n">
        <f aca="false">SUMIFS('Source 2026'!$Q:$Q,'Source 2026'!$B:$B,$A121,'Source 2026'!$A:$A,"Amount (NIS)")</f>
        <v>647.1</v>
      </c>
      <c r="J121" s="32" t="n">
        <f aca="false">I121*$J$5</f>
        <v>817.389473684211</v>
      </c>
      <c r="K121" s="32" t="n">
        <f aca="false">J121-H121</f>
        <v>-1455.31052631579</v>
      </c>
      <c r="L121" s="31" t="n">
        <f aca="false">IF(AND(H121=0,J121=0),0,IF(H121=0,"New",(J121-H121)/H121))</f>
        <v>-0.640344315710736</v>
      </c>
    </row>
    <row r="122" customFormat="false" ht="15" hidden="false" customHeight="false" outlineLevel="0" collapsed="false">
      <c r="A122" s="28" t="s">
        <v>171</v>
      </c>
      <c r="B122" s="28" t="str">
        <f aca="false">IFERROR(INDEX('Source 2026'!$C:$C,MATCH($A122,'Source 2026'!$B:$B,0)),IFERROR(INDEX('Source 2025'!$C:$C,MATCH($A122,'Source 2025'!$B:$B,0)),""))</f>
        <v>S-M סד לאגודל</v>
      </c>
      <c r="C122" s="29" t="n">
        <f aca="false">SUMIFS('Source 2025'!$Q:$Q,'Source 2025'!$B:$B,$A122,'Source 2025'!$A:$A,"Quantity (units)")</f>
        <v>2213</v>
      </c>
      <c r="D122" s="29" t="n">
        <f aca="false">SUMIFS('Source 2026'!$Q:$Q,'Source 2026'!$B:$B,$A122,'Source 2026'!$A:$A,"Quantity (units)")</f>
        <v>2170</v>
      </c>
      <c r="E122" s="30" t="n">
        <f aca="false">D122*$J$5</f>
        <v>2741.05263157895</v>
      </c>
      <c r="F122" s="30" t="n">
        <f aca="false">E122-C122</f>
        <v>528.052631578947</v>
      </c>
      <c r="G122" s="31" t="n">
        <f aca="false">IF(AND(C122=0,E122=0),0,IF(C122=0,"New",(E122-C122)/C122))</f>
        <v>0.238613932028444</v>
      </c>
      <c r="H122" s="32" t="n">
        <f aca="false">SUMIFS('Source 2025'!$Q:$Q,'Source 2025'!$B:$B,$A122,'Source 2025'!$A:$A,"Amount (NIS)")</f>
        <v>129432.9</v>
      </c>
      <c r="I122" s="32" t="n">
        <f aca="false">SUMIFS('Source 2026'!$Q:$Q,'Source 2026'!$B:$B,$A122,'Source 2026'!$A:$A,"Amount (NIS)")</f>
        <v>127810.9</v>
      </c>
      <c r="J122" s="32" t="n">
        <f aca="false">I122*$J$5</f>
        <v>161445.347368421</v>
      </c>
      <c r="K122" s="32" t="n">
        <f aca="false">J122-H122</f>
        <v>32012.447368421</v>
      </c>
      <c r="L122" s="31" t="n">
        <f aca="false">IF(AND(H122=0,J122=0),0,IF(H122=0,"New",(J122-H122)/H122))</f>
        <v>0.247328518239343</v>
      </c>
    </row>
    <row r="123" customFormat="false" ht="15" hidden="false" customHeight="false" outlineLevel="0" collapsed="false">
      <c r="A123" s="28" t="s">
        <v>223</v>
      </c>
      <c r="B123" s="28" t="str">
        <f aca="false">IFERROR(INDEX('Source 2026'!$C:$C,MATCH($A123,'Source 2026'!$B:$B,0)),IFERROR(INDEX('Source 2025'!$C:$C,MATCH($A123,'Source 2025'!$B:$B,0)),""))</f>
        <v>כפפות אגודל לחץ</v>
      </c>
      <c r="C123" s="29" t="n">
        <f aca="false">SUMIFS('Source 2025'!$Q:$Q,'Source 2025'!$B:$B,$A123,'Source 2025'!$A:$A,"Quantity (units)")</f>
        <v>244</v>
      </c>
      <c r="D123" s="29" t="n">
        <f aca="false">SUMIFS('Source 2026'!$Q:$Q,'Source 2026'!$B:$B,$A123,'Source 2026'!$A:$A,"Quantity (units)")</f>
        <v>183</v>
      </c>
      <c r="E123" s="30" t="n">
        <f aca="false">D123*$J$5</f>
        <v>231.157894736842</v>
      </c>
      <c r="F123" s="30" t="n">
        <f aca="false">E123-C123</f>
        <v>-12.8421052631579</v>
      </c>
      <c r="G123" s="31" t="n">
        <f aca="false">IF(AND(C123=0,E123=0),0,IF(C123=0,"New",(E123-C123)/C123))</f>
        <v>-0.0526315789473685</v>
      </c>
      <c r="H123" s="32" t="n">
        <f aca="false">SUMIFS('Source 2025'!$Q:$Q,'Source 2025'!$B:$B,$A123,'Source 2025'!$A:$A,"Amount (NIS)")</f>
        <v>6942.4</v>
      </c>
      <c r="I123" s="32" t="n">
        <f aca="false">SUMIFS('Source 2026'!$Q:$Q,'Source 2026'!$B:$B,$A123,'Source 2026'!$A:$A,"Amount (NIS)")</f>
        <v>5400.6</v>
      </c>
      <c r="J123" s="32" t="n">
        <f aca="false">I123*$J$5</f>
        <v>6821.81052631579</v>
      </c>
      <c r="K123" s="32" t="n">
        <f aca="false">J123-H123</f>
        <v>-120.58947368421</v>
      </c>
      <c r="L123" s="31" t="n">
        <f aca="false">IF(AND(H123=0,J123=0),0,IF(H123=0,"New",(J123-H123)/H123))</f>
        <v>-0.0173699979379192</v>
      </c>
    </row>
    <row r="124" customFormat="false" ht="15" hidden="false" customHeight="false" outlineLevel="0" collapsed="false">
      <c r="A124" s="28" t="s">
        <v>208</v>
      </c>
      <c r="B124" s="28" t="str">
        <f aca="false">IFERROR(INDEX('Source 2026'!$C:$C,MATCH($A124,'Source 2026'!$B:$B,0)),IFERROR(INDEX('Source 2025'!$C:$C,MATCH($A124,'Source 2025'!$B:$B,0)),""))</f>
        <v>0 חגורה למנותחי בית חזה</v>
      </c>
      <c r="C124" s="29" t="n">
        <f aca="false">SUMIFS('Source 2025'!$Q:$Q,'Source 2025'!$B:$B,$A124,'Source 2025'!$A:$A,"Quantity (units)")</f>
        <v>2</v>
      </c>
      <c r="D124" s="29" t="n">
        <f aca="false">SUMIFS('Source 2026'!$Q:$Q,'Source 2026'!$B:$B,$A124,'Source 2026'!$A:$A,"Quantity (units)")</f>
        <v>11</v>
      </c>
      <c r="E124" s="30" t="n">
        <f aca="false">D124*$J$5</f>
        <v>13.8947368421053</v>
      </c>
      <c r="F124" s="30" t="n">
        <f aca="false">E124-C124</f>
        <v>11.8947368421053</v>
      </c>
      <c r="G124" s="31" t="n">
        <f aca="false">IF(AND(C124=0,E124=0),0,IF(C124=0,"New",(E124-C124)/C124))</f>
        <v>5.94736842105263</v>
      </c>
      <c r="H124" s="32" t="n">
        <f aca="false">SUMIFS('Source 2025'!$Q:$Q,'Source 2025'!$B:$B,$A124,'Source 2025'!$A:$A,"Amount (NIS)")</f>
        <v>442.1</v>
      </c>
      <c r="I124" s="32" t="n">
        <f aca="false">SUMIFS('Source 2026'!$Q:$Q,'Source 2026'!$B:$B,$A124,'Source 2026'!$A:$A,"Amount (NIS)")</f>
        <v>1896.4</v>
      </c>
      <c r="J124" s="32" t="n">
        <f aca="false">I124*$J$5</f>
        <v>2395.45263157895</v>
      </c>
      <c r="K124" s="32" t="n">
        <f aca="false">J124-H124</f>
        <v>1953.35263157895</v>
      </c>
      <c r="L124" s="31" t="n">
        <f aca="false">IF(AND(H124=0,J124=0),0,IF(H124=0,"New",(J124-H124)/H124))</f>
        <v>4.41835021845498</v>
      </c>
    </row>
    <row r="125" customFormat="false" ht="15" hidden="false" customHeight="false" outlineLevel="0" collapsed="false">
      <c r="A125" s="28" t="s">
        <v>145</v>
      </c>
      <c r="B125" s="28" t="str">
        <f aca="false">IFERROR(INDEX('Source 2026'!$C:$C,MATCH($A125,'Source 2026'!$B:$B,0)),IFERROR(INDEX('Source 2025'!$C:$C,MATCH($A125,'Source 2025'!$B:$B,0)),""))</f>
        <v>כרית ליישור אצבע פטיש</v>
      </c>
      <c r="C125" s="29" t="n">
        <f aca="false">SUMIFS('Source 2025'!$Q:$Q,'Source 2025'!$B:$B,$A125,'Source 2025'!$A:$A,"Quantity (units)")</f>
        <v>235</v>
      </c>
      <c r="D125" s="29" t="n">
        <f aca="false">SUMIFS('Source 2026'!$Q:$Q,'Source 2026'!$B:$B,$A125,'Source 2026'!$A:$A,"Quantity (units)")</f>
        <v>177</v>
      </c>
      <c r="E125" s="30" t="n">
        <f aca="false">D125*$J$5</f>
        <v>223.578947368421</v>
      </c>
      <c r="F125" s="30" t="n">
        <f aca="false">E125-C125</f>
        <v>-11.421052631579</v>
      </c>
      <c r="G125" s="31" t="n">
        <f aca="false">IF(AND(C125=0,E125=0),0,IF(C125=0,"New",(E125-C125)/C125))</f>
        <v>-0.0486002239641658</v>
      </c>
      <c r="H125" s="32" t="n">
        <f aca="false">SUMIFS('Source 2025'!$Q:$Q,'Source 2025'!$B:$B,$A125,'Source 2025'!$A:$A,"Amount (NIS)")</f>
        <v>5701.6</v>
      </c>
      <c r="I125" s="32" t="n">
        <f aca="false">SUMIFS('Source 2026'!$Q:$Q,'Source 2026'!$B:$B,$A125,'Source 2026'!$A:$A,"Amount (NIS)")</f>
        <v>4296.7</v>
      </c>
      <c r="J125" s="32" t="n">
        <f aca="false">I125*$J$5</f>
        <v>5427.41052631579</v>
      </c>
      <c r="K125" s="32" t="n">
        <f aca="false">J125-H125</f>
        <v>-274.189473684211</v>
      </c>
      <c r="L125" s="31" t="n">
        <f aca="false">IF(AND(H125=0,J125=0),0,IF(H125=0,"New",(J125-H125)/H125))</f>
        <v>-0.0480899175116128</v>
      </c>
    </row>
    <row r="126" customFormat="false" ht="15" hidden="false" customHeight="false" outlineLevel="0" collapsed="false">
      <c r="A126" s="28" t="s">
        <v>125</v>
      </c>
      <c r="B126" s="28" t="str">
        <f aca="false">IFERROR(INDEX('Source 2026'!$C:$C,MATCH($A126,'Source 2026'!$B:$B,0)),IFERROR(INDEX('Source 2025'!$C:$C,MATCH($A126,'Source 2025'!$B:$B,0)),""))</f>
        <v>גרבי ג'ל לריכוך עור העקב</v>
      </c>
      <c r="C126" s="29" t="n">
        <f aca="false">SUMIFS('Source 2025'!$Q:$Q,'Source 2025'!$B:$B,$A126,'Source 2025'!$A:$A,"Quantity (units)")</f>
        <v>111</v>
      </c>
      <c r="D126" s="29" t="n">
        <f aca="false">SUMIFS('Source 2026'!$Q:$Q,'Source 2026'!$B:$B,$A126,'Source 2026'!$A:$A,"Quantity (units)")</f>
        <v>62</v>
      </c>
      <c r="E126" s="30" t="n">
        <f aca="false">D126*$J$5</f>
        <v>78.3157894736842</v>
      </c>
      <c r="F126" s="30" t="n">
        <f aca="false">E126-C126</f>
        <v>-32.6842105263158</v>
      </c>
      <c r="G126" s="31" t="n">
        <f aca="false">IF(AND(C126=0,E126=0),0,IF(C126=0,"New",(E126-C126)/C126))</f>
        <v>-0.294452347083926</v>
      </c>
      <c r="H126" s="32" t="n">
        <f aca="false">SUMIFS('Source 2025'!$Q:$Q,'Source 2025'!$B:$B,$A126,'Source 2025'!$A:$A,"Amount (NIS)")</f>
        <v>3384.7</v>
      </c>
      <c r="I126" s="32" t="n">
        <f aca="false">SUMIFS('Source 2026'!$Q:$Q,'Source 2026'!$B:$B,$A126,'Source 2026'!$A:$A,"Amount (NIS)")</f>
        <v>1987</v>
      </c>
      <c r="J126" s="32" t="n">
        <f aca="false">I126*$J$5</f>
        <v>2509.89473684211</v>
      </c>
      <c r="K126" s="32" t="n">
        <f aca="false">J126-H126</f>
        <v>-874.805263157895</v>
      </c>
      <c r="L126" s="31" t="n">
        <f aca="false">IF(AND(H126=0,J126=0),0,IF(H126=0,"New",(J126-H126)/H126))</f>
        <v>-0.258458729919312</v>
      </c>
    </row>
    <row r="127" customFormat="false" ht="15" hidden="false" customHeight="false" outlineLevel="0" collapsed="false">
      <c r="A127" s="28" t="s">
        <v>290</v>
      </c>
      <c r="B127" s="28" t="str">
        <f aca="false">IFERROR(INDEX('Source 2026'!$C:$C,MATCH($A127,'Source 2026'!$B:$B,0)),IFERROR(INDEX('Source 2025'!$C:$C,MATCH($A127,'Source 2025'!$B:$B,0)),""))</f>
        <v>קיבוע לאצבע הדק</v>
      </c>
      <c r="C127" s="29" t="n">
        <f aca="false">SUMIFS('Source 2025'!$Q:$Q,'Source 2025'!$B:$B,$A127,'Source 2025'!$A:$A,"Quantity (units)")</f>
        <v>217</v>
      </c>
      <c r="D127" s="29" t="n">
        <f aca="false">SUMIFS('Source 2026'!$Q:$Q,'Source 2026'!$B:$B,$A127,'Source 2026'!$A:$A,"Quantity (units)")</f>
        <v>158</v>
      </c>
      <c r="E127" s="30" t="n">
        <f aca="false">D127*$J$5</f>
        <v>199.578947368421</v>
      </c>
      <c r="F127" s="30" t="n">
        <f aca="false">E127-C127</f>
        <v>-17.421052631579</v>
      </c>
      <c r="G127" s="31" t="n">
        <f aca="false">IF(AND(C127=0,E127=0),0,IF(C127=0,"New",(E127-C127)/C127))</f>
        <v>-0.0802813485326219</v>
      </c>
      <c r="H127" s="32" t="n">
        <f aca="false">SUMIFS('Source 2025'!$Q:$Q,'Source 2025'!$B:$B,$A127,'Source 2025'!$A:$A,"Amount (NIS)")</f>
        <v>5300.6</v>
      </c>
      <c r="I127" s="32" t="n">
        <f aca="false">SUMIFS('Source 2026'!$Q:$Q,'Source 2026'!$B:$B,$A127,'Source 2026'!$A:$A,"Amount (NIS)")</f>
        <v>3912.8</v>
      </c>
      <c r="J127" s="32" t="n">
        <f aca="false">I127*$J$5</f>
        <v>4942.48421052632</v>
      </c>
      <c r="K127" s="32" t="n">
        <f aca="false">J127-H127</f>
        <v>-358.115789473684</v>
      </c>
      <c r="L127" s="31" t="n">
        <f aca="false">IF(AND(H127=0,J127=0),0,IF(H127=0,"New",(J127-H127)/H127))</f>
        <v>-0.0675613684250244</v>
      </c>
    </row>
    <row r="128" customFormat="false" ht="15" hidden="false" customHeight="false" outlineLevel="0" collapsed="false">
      <c r="A128" s="28" t="s">
        <v>159</v>
      </c>
      <c r="B128" s="28" t="str">
        <f aca="false">IFERROR(INDEX('Source 2026'!$C:$C,MATCH($A128,'Source 2026'!$B:$B,0)),IFERROR(INDEX('Source 2025'!$C:$C,MATCH($A128,'Source 2025'!$B:$B,0)),""))</f>
        <v>S מגן שוק</v>
      </c>
      <c r="C128" s="29" t="n">
        <f aca="false">SUMIFS('Source 2025'!$Q:$Q,'Source 2025'!$B:$B,$A128,'Source 2025'!$A:$A,"Quantity (units)")</f>
        <v>16</v>
      </c>
      <c r="D128" s="29" t="n">
        <f aca="false">SUMIFS('Source 2026'!$Q:$Q,'Source 2026'!$B:$B,$A128,'Source 2026'!$A:$A,"Quantity (units)")</f>
        <v>26</v>
      </c>
      <c r="E128" s="30" t="n">
        <f aca="false">D128*$J$5</f>
        <v>32.8421052631579</v>
      </c>
      <c r="F128" s="30" t="n">
        <f aca="false">E128-C128</f>
        <v>16.8421052631579</v>
      </c>
      <c r="G128" s="31" t="n">
        <f aca="false">IF(AND(C128=0,E128=0),0,IF(C128=0,"New",(E128-C128)/C128))</f>
        <v>1.05263157894737</v>
      </c>
      <c r="H128" s="32" t="n">
        <f aca="false">SUMIFS('Source 2025'!$Q:$Q,'Source 2025'!$B:$B,$A128,'Source 2025'!$A:$A,"Amount (NIS)")</f>
        <v>2172.2</v>
      </c>
      <c r="I128" s="32" t="n">
        <f aca="false">SUMIFS('Source 2026'!$Q:$Q,'Source 2026'!$B:$B,$A128,'Source 2026'!$A:$A,"Amount (NIS)")</f>
        <v>3489.8</v>
      </c>
      <c r="J128" s="32" t="n">
        <f aca="false">I128*$J$5</f>
        <v>4408.16842105263</v>
      </c>
      <c r="K128" s="32" t="n">
        <f aca="false">J128-H128</f>
        <v>2235.96842105263</v>
      </c>
      <c r="L128" s="31" t="n">
        <f aca="false">IF(AND(H128=0,J128=0),0,IF(H128=0,"New",(J128-H128)/H128))</f>
        <v>1.02935660669028</v>
      </c>
    </row>
    <row r="129" customFormat="false" ht="15" hidden="false" customHeight="false" outlineLevel="0" collapsed="false">
      <c r="A129" s="28" t="s">
        <v>226</v>
      </c>
      <c r="B129" s="28" t="str">
        <f aca="false">IFERROR(INDEX('Source 2026'!$C:$C,MATCH($A129,'Source 2026'!$B:$B,0)),IFERROR(INDEX('Source 2025'!$C:$C,MATCH($A129,'Source 2025'!$B:$B,0)),""))</f>
        <v>סד ליישור אצבע</v>
      </c>
      <c r="C129" s="29" t="n">
        <f aca="false">SUMIFS('Source 2025'!$Q:$Q,'Source 2025'!$B:$B,$A129,'Source 2025'!$A:$A,"Quantity (units)")</f>
        <v>2021</v>
      </c>
      <c r="D129" s="29" t="n">
        <f aca="false">SUMIFS('Source 2026'!$Q:$Q,'Source 2026'!$B:$B,$A129,'Source 2026'!$A:$A,"Quantity (units)")</f>
        <v>1845</v>
      </c>
      <c r="E129" s="30" t="n">
        <f aca="false">D129*$J$5</f>
        <v>2330.52631578947</v>
      </c>
      <c r="F129" s="30" t="n">
        <f aca="false">E129-C129</f>
        <v>309.526315789474</v>
      </c>
      <c r="G129" s="31" t="n">
        <f aca="false">IF(AND(C129=0,E129=0),0,IF(C129=0,"New",(E129-C129)/C129))</f>
        <v>0.153155030078908</v>
      </c>
      <c r="H129" s="32" t="n">
        <f aca="false">SUMIFS('Source 2025'!$Q:$Q,'Source 2025'!$B:$B,$A129,'Source 2025'!$A:$A,"Amount (NIS)")</f>
        <v>28832.9</v>
      </c>
      <c r="I129" s="32" t="n">
        <f aca="false">SUMIFS('Source 2026'!$Q:$Q,'Source 2026'!$B:$B,$A129,'Source 2026'!$A:$A,"Amount (NIS)")</f>
        <v>27547.4</v>
      </c>
      <c r="J129" s="32" t="n">
        <f aca="false">I129*$J$5</f>
        <v>34796.7157894737</v>
      </c>
      <c r="K129" s="32" t="n">
        <f aca="false">J129-H129</f>
        <v>5963.81578947368</v>
      </c>
      <c r="L129" s="31" t="n">
        <f aca="false">IF(AND(H129=0,J129=0),0,IF(H129=0,"New",(J129-H129)/H129))</f>
        <v>0.206840650419267</v>
      </c>
    </row>
    <row r="130" customFormat="false" ht="15" hidden="false" customHeight="false" outlineLevel="0" collapsed="false">
      <c r="A130" s="28" t="s">
        <v>360</v>
      </c>
      <c r="B130" s="28" t="str">
        <f aca="false">IFERROR(INDEX('Source 2026'!$C:$C,MATCH($A130,'Source 2026'!$B:$B,0)),IFERROR(INDEX('Source 2025'!$C:$C,MATCH($A130,'Source 2025'!$B:$B,0)),""))</f>
        <v>11 אפורUGחגורת בטן</v>
      </c>
      <c r="C130" s="29" t="n">
        <f aca="false">SUMIFS('Source 2025'!$Q:$Q,'Source 2025'!$B:$B,$A130,'Source 2025'!$A:$A,"Quantity (units)")</f>
        <v>15</v>
      </c>
      <c r="D130" s="29" t="n">
        <f aca="false">SUMIFS('Source 2026'!$Q:$Q,'Source 2026'!$B:$B,$A130,'Source 2026'!$A:$A,"Quantity (units)")</f>
        <v>0</v>
      </c>
      <c r="E130" s="30" t="n">
        <f aca="false">D130*$J$5</f>
        <v>0</v>
      </c>
      <c r="F130" s="30" t="n">
        <f aca="false">E130-C130</f>
        <v>-15</v>
      </c>
      <c r="G130" s="31" t="n">
        <f aca="false">IF(AND(C130=0,E130=0),0,IF(C130=0,"New",(E130-C130)/C130))</f>
        <v>-1</v>
      </c>
      <c r="H130" s="32" t="n">
        <f aca="false">SUMIFS('Source 2025'!$Q:$Q,'Source 2025'!$B:$B,$A130,'Source 2025'!$A:$A,"Amount (NIS)")</f>
        <v>1210.5</v>
      </c>
      <c r="I130" s="32" t="n">
        <f aca="false">SUMIFS('Source 2026'!$Q:$Q,'Source 2026'!$B:$B,$A130,'Source 2026'!$A:$A,"Amount (NIS)")</f>
        <v>25.9</v>
      </c>
      <c r="J130" s="32" t="n">
        <f aca="false">I130*$J$5</f>
        <v>32.7157894736842</v>
      </c>
      <c r="K130" s="32" t="n">
        <f aca="false">J130-H130</f>
        <v>-1177.78421052632</v>
      </c>
      <c r="L130" s="31" t="n">
        <f aca="false">IF(AND(H130=0,J130=0),0,IF(H130=0,"New",(J130-H130)/H130))</f>
        <v>-0.972973325507076</v>
      </c>
    </row>
    <row r="131" customFormat="false" ht="15" hidden="false" customHeight="false" outlineLevel="0" collapsed="false">
      <c r="A131" s="28" t="s">
        <v>164</v>
      </c>
      <c r="B131" s="28" t="str">
        <f aca="false">IFERROR(INDEX('Source 2026'!$C:$C,MATCH($A131,'Source 2026'!$B:$B,0)),IFERROR(INDEX('Source 2025'!$C:$C,MATCH($A131,'Source 2025'!$B:$B,0)),""))</f>
        <v>מגן קרסול עקב סגור+רצוע</v>
      </c>
      <c r="C131" s="29" t="n">
        <f aca="false">SUMIFS('Source 2025'!$Q:$Q,'Source 2025'!$B:$B,$A131,'Source 2025'!$A:$A,"Quantity (units)")</f>
        <v>83</v>
      </c>
      <c r="D131" s="29" t="n">
        <f aca="false">SUMIFS('Source 2026'!$Q:$Q,'Source 2026'!$B:$B,$A131,'Source 2026'!$A:$A,"Quantity (units)")</f>
        <v>59</v>
      </c>
      <c r="E131" s="30" t="n">
        <f aca="false">D131*$J$5</f>
        <v>74.5263157894737</v>
      </c>
      <c r="F131" s="30" t="n">
        <f aca="false">E131-C131</f>
        <v>-8.47368421052632</v>
      </c>
      <c r="G131" s="31" t="n">
        <f aca="false">IF(AND(C131=0,E131=0),0,IF(C131=0,"New",(E131-C131)/C131))</f>
        <v>-0.102092580849715</v>
      </c>
      <c r="H131" s="32" t="n">
        <f aca="false">SUMIFS('Source 2025'!$Q:$Q,'Source 2025'!$B:$B,$A131,'Source 2025'!$A:$A,"Amount (NIS)")</f>
        <v>4401.3</v>
      </c>
      <c r="I131" s="32" t="n">
        <f aca="false">SUMIFS('Source 2026'!$Q:$Q,'Source 2026'!$B:$B,$A131,'Source 2026'!$A:$A,"Amount (NIS)")</f>
        <v>3227.7</v>
      </c>
      <c r="J131" s="32" t="n">
        <f aca="false">I131*$J$5</f>
        <v>4077.09473684211</v>
      </c>
      <c r="K131" s="32" t="n">
        <f aca="false">J131-H131</f>
        <v>-324.205263157895</v>
      </c>
      <c r="L131" s="31" t="n">
        <f aca="false">IF(AND(H131=0,J131=0),0,IF(H131=0,"New",(J131-H131)/H131))</f>
        <v>-0.0736612508026936</v>
      </c>
    </row>
    <row r="132" customFormat="false" ht="15" hidden="false" customHeight="false" outlineLevel="0" collapsed="false">
      <c r="A132" s="28" t="s">
        <v>252</v>
      </c>
      <c r="B132" s="28" t="str">
        <f aca="false">IFERROR(INDEX('Source 2026'!$C:$C,MATCH($A132,'Source 2026'!$B:$B,0)),IFERROR(INDEX('Source 2025'!$C:$C,MATCH($A132,'Source 2025'!$B:$B,0)),""))</f>
        <v>כפפות לחץ</v>
      </c>
      <c r="C132" s="29" t="n">
        <f aca="false">SUMIFS('Source 2025'!$Q:$Q,'Source 2025'!$B:$B,$A132,'Source 2025'!$A:$A,"Quantity (units)")</f>
        <v>76</v>
      </c>
      <c r="D132" s="29" t="n">
        <f aca="false">SUMIFS('Source 2026'!$Q:$Q,'Source 2026'!$B:$B,$A132,'Source 2026'!$A:$A,"Quantity (units)")</f>
        <v>34</v>
      </c>
      <c r="E132" s="30" t="n">
        <f aca="false">D132*$J$5</f>
        <v>42.9473684210526</v>
      </c>
      <c r="F132" s="30" t="n">
        <f aca="false">E132-C132</f>
        <v>-33.0526315789474</v>
      </c>
      <c r="G132" s="31" t="n">
        <f aca="false">IF(AND(C132=0,E132=0),0,IF(C132=0,"New",(E132-C132)/C132))</f>
        <v>-0.434903047091413</v>
      </c>
      <c r="H132" s="32" t="n">
        <f aca="false">SUMIFS('Source 2025'!$Q:$Q,'Source 2025'!$B:$B,$A132,'Source 2025'!$A:$A,"Amount (NIS)")</f>
        <v>2156.6</v>
      </c>
      <c r="I132" s="32" t="n">
        <f aca="false">SUMIFS('Source 2026'!$Q:$Q,'Source 2026'!$B:$B,$A132,'Source 2026'!$A:$A,"Amount (NIS)")</f>
        <v>993.8</v>
      </c>
      <c r="J132" s="32" t="n">
        <f aca="false">I132*$J$5</f>
        <v>1255.32631578947</v>
      </c>
      <c r="K132" s="32" t="n">
        <f aca="false">J132-H132</f>
        <v>-901.273684210526</v>
      </c>
      <c r="L132" s="31" t="n">
        <f aca="false">IF(AND(H132=0,J132=0),0,IF(H132=0,"New",(J132-H132)/H132))</f>
        <v>-0.417914163132026</v>
      </c>
    </row>
    <row r="133" customFormat="false" ht="15" hidden="false" customHeight="false" outlineLevel="0" collapsed="false">
      <c r="A133" s="28" t="s">
        <v>100</v>
      </c>
      <c r="B133" s="28" t="str">
        <f aca="false">IFERROR(INDEX('Source 2026'!$C:$C,MATCH($A133,'Source 2026'!$B:$B,0)),IFERROR(INDEX('Source 2025'!$C:$C,MATCH($A133,'Source 2025'!$B:$B,0)),""))</f>
        <v>Sמיישר כתף יציב יישור ג.רחב</v>
      </c>
      <c r="C133" s="29" t="n">
        <f aca="false">SUMIFS('Source 2025'!$Q:$Q,'Source 2025'!$B:$B,$A133,'Source 2025'!$A:$A,"Quantity (units)")</f>
        <v>22</v>
      </c>
      <c r="D133" s="29" t="n">
        <f aca="false">SUMIFS('Source 2026'!$Q:$Q,'Source 2026'!$B:$B,$A133,'Source 2026'!$A:$A,"Quantity (units)")</f>
        <v>27</v>
      </c>
      <c r="E133" s="30" t="n">
        <f aca="false">D133*$J$5</f>
        <v>34.1052631578947</v>
      </c>
      <c r="F133" s="30" t="n">
        <f aca="false">E133-C133</f>
        <v>12.1052631578947</v>
      </c>
      <c r="G133" s="31" t="n">
        <f aca="false">IF(AND(C133=0,E133=0),0,IF(C133=0,"New",(E133-C133)/C133))</f>
        <v>0.550239234449761</v>
      </c>
      <c r="H133" s="32" t="n">
        <f aca="false">SUMIFS('Source 2025'!$Q:$Q,'Source 2025'!$B:$B,$A133,'Source 2025'!$A:$A,"Amount (NIS)")</f>
        <v>3604.4</v>
      </c>
      <c r="I133" s="32" t="n">
        <f aca="false">SUMIFS('Source 2026'!$Q:$Q,'Source 2026'!$B:$B,$A133,'Source 2026'!$A:$A,"Amount (NIS)")</f>
        <v>4676.4</v>
      </c>
      <c r="J133" s="32" t="n">
        <f aca="false">I133*$J$5</f>
        <v>5907.03157894737</v>
      </c>
      <c r="K133" s="32" t="n">
        <f aca="false">J133-H133</f>
        <v>2302.63157894737</v>
      </c>
      <c r="L133" s="31" t="n">
        <f aca="false">IF(AND(H133=0,J133=0),0,IF(H133=0,"New",(J133-H133)/H133))</f>
        <v>0.638839079721276</v>
      </c>
    </row>
    <row r="134" customFormat="false" ht="15" hidden="false" customHeight="false" outlineLevel="0" collapsed="false">
      <c r="A134" s="28" t="s">
        <v>215</v>
      </c>
      <c r="B134" s="28" t="str">
        <f aca="false">IFERROR(INDEX('Source 2026'!$C:$C,MATCH($A134,'Source 2026'!$B:$B,0)),IFERROR(INDEX('Source 2025'!$C:$C,MATCH($A134,'Source 2025'!$B:$B,0)),""))</f>
        <v>S מגן קרסול ימין</v>
      </c>
      <c r="C134" s="29" t="n">
        <f aca="false">SUMIFS('Source 2025'!$Q:$Q,'Source 2025'!$B:$B,$A134,'Source 2025'!$A:$A,"Quantity (units)")</f>
        <v>56</v>
      </c>
      <c r="D134" s="29" t="n">
        <f aca="false">SUMIFS('Source 2026'!$Q:$Q,'Source 2026'!$B:$B,$A134,'Source 2026'!$A:$A,"Quantity (units)")</f>
        <v>41</v>
      </c>
      <c r="E134" s="30" t="n">
        <f aca="false">D134*$J$5</f>
        <v>51.7894736842105</v>
      </c>
      <c r="F134" s="30" t="n">
        <f aca="false">E134-C134</f>
        <v>-4.21052631578948</v>
      </c>
      <c r="G134" s="31" t="n">
        <f aca="false">IF(AND(C134=0,E134=0),0,IF(C134=0,"New",(E134-C134)/C134))</f>
        <v>-0.0751879699248121</v>
      </c>
      <c r="H134" s="32" t="n">
        <f aca="false">SUMIFS('Source 2025'!$Q:$Q,'Source 2025'!$B:$B,$A134,'Source 2025'!$A:$A,"Amount (NIS)")</f>
        <v>4138</v>
      </c>
      <c r="I134" s="32" t="n">
        <f aca="false">SUMIFS('Source 2026'!$Q:$Q,'Source 2026'!$B:$B,$A134,'Source 2026'!$A:$A,"Amount (NIS)")</f>
        <v>3071.2</v>
      </c>
      <c r="J134" s="32" t="n">
        <f aca="false">I134*$J$5</f>
        <v>3879.41052631579</v>
      </c>
      <c r="K134" s="32" t="n">
        <f aca="false">J134-H134</f>
        <v>-258.589473684211</v>
      </c>
      <c r="L134" s="31" t="n">
        <f aca="false">IF(AND(H134=0,J134=0),0,IF(H134=0,"New",(J134-H134)/H134))</f>
        <v>-0.0624914146167739</v>
      </c>
    </row>
    <row r="135" customFormat="false" ht="15" hidden="false" customHeight="false" outlineLevel="0" collapsed="false">
      <c r="A135" s="28" t="s">
        <v>234</v>
      </c>
      <c r="B135" s="28" t="str">
        <f aca="false">IFERROR(INDEX('Source 2026'!$C:$C,MATCH($A135,'Source 2026'!$B:$B,0)),IFERROR(INDEX('Source 2025'!$C:$C,MATCH($A135,'Source 2025'!$B:$B,0)),""))</f>
        <v>S מגן מרפק</v>
      </c>
      <c r="C135" s="29" t="n">
        <f aca="false">SUMIFS('Source 2025'!$Q:$Q,'Source 2025'!$B:$B,$A135,'Source 2025'!$A:$A,"Quantity (units)")</f>
        <v>54</v>
      </c>
      <c r="D135" s="29" t="n">
        <f aca="false">SUMIFS('Source 2026'!$Q:$Q,'Source 2026'!$B:$B,$A135,'Source 2026'!$A:$A,"Quantity (units)")</f>
        <v>39</v>
      </c>
      <c r="E135" s="30" t="n">
        <f aca="false">D135*$J$5</f>
        <v>49.2631578947368</v>
      </c>
      <c r="F135" s="30" t="n">
        <f aca="false">E135-C135</f>
        <v>-4.73684210526316</v>
      </c>
      <c r="G135" s="31" t="n">
        <f aca="false">IF(AND(C135=0,E135=0),0,IF(C135=0,"New",(E135-C135)/C135))</f>
        <v>-0.087719298245614</v>
      </c>
      <c r="H135" s="32" t="n">
        <f aca="false">SUMIFS('Source 2025'!$Q:$Q,'Source 2025'!$B:$B,$A135,'Source 2025'!$A:$A,"Amount (NIS)")</f>
        <v>4015.1</v>
      </c>
      <c r="I135" s="32" t="n">
        <f aca="false">SUMIFS('Source 2026'!$Q:$Q,'Source 2026'!$B:$B,$A135,'Source 2026'!$A:$A,"Amount (NIS)")</f>
        <v>2951.2</v>
      </c>
      <c r="J135" s="32" t="n">
        <f aca="false">I135*$J$5</f>
        <v>3727.83157894737</v>
      </c>
      <c r="K135" s="32" t="n">
        <f aca="false">J135-H135</f>
        <v>-287.268421052632</v>
      </c>
      <c r="L135" s="31" t="n">
        <f aca="false">IF(AND(H135=0,J135=0),0,IF(H135=0,"New",(J135-H135)/H135))</f>
        <v>-0.0715470152804742</v>
      </c>
    </row>
    <row r="136" customFormat="false" ht="15" hidden="false" customHeight="false" outlineLevel="0" collapsed="false">
      <c r="A136" s="28" t="s">
        <v>163</v>
      </c>
      <c r="B136" s="28" t="str">
        <f aca="false">IFERROR(INDEX('Source 2026'!$C:$C,MATCH($A136,'Source 2026'!$B:$B,0)),IFERROR(INDEX('Source 2025'!$C:$C,MATCH($A136,'Source 2025'!$B:$B,0)),""))</f>
        <v>S מגן ברך מחמם</v>
      </c>
      <c r="C136" s="29" t="n">
        <f aca="false">SUMIFS('Source 2025'!$Q:$Q,'Source 2025'!$B:$B,$A136,'Source 2025'!$A:$A,"Quantity (units)")</f>
        <v>30</v>
      </c>
      <c r="D136" s="29" t="n">
        <f aca="false">SUMIFS('Source 2026'!$Q:$Q,'Source 2026'!$B:$B,$A136,'Source 2026'!$A:$A,"Quantity (units)")</f>
        <v>8</v>
      </c>
      <c r="E136" s="30" t="n">
        <f aca="false">D136*$J$5</f>
        <v>10.1052631578947</v>
      </c>
      <c r="F136" s="30" t="n">
        <f aca="false">E136-C136</f>
        <v>-19.8947368421053</v>
      </c>
      <c r="G136" s="31" t="n">
        <f aca="false">IF(AND(C136=0,E136=0),0,IF(C136=0,"New",(E136-C136)/C136))</f>
        <v>-0.663157894736842</v>
      </c>
      <c r="H136" s="32" t="n">
        <f aca="false">SUMIFS('Source 2025'!$Q:$Q,'Source 2025'!$B:$B,$A136,'Source 2025'!$A:$A,"Amount (NIS)")</f>
        <v>1458.6</v>
      </c>
      <c r="I136" s="32" t="n">
        <f aca="false">SUMIFS('Source 2026'!$Q:$Q,'Source 2026'!$B:$B,$A136,'Source 2026'!$A:$A,"Amount (NIS)")</f>
        <v>395.8</v>
      </c>
      <c r="J136" s="32" t="n">
        <f aca="false">I136*$J$5</f>
        <v>499.957894736842</v>
      </c>
      <c r="K136" s="32" t="n">
        <f aca="false">J136-H136</f>
        <v>-958.642105263158</v>
      </c>
      <c r="L136" s="31" t="n">
        <f aca="false">IF(AND(H136=0,J136=0),0,IF(H136=0,"New",(J136-H136)/H136))</f>
        <v>-0.657234406460413</v>
      </c>
    </row>
    <row r="137" customFormat="false" ht="15" hidden="false" customHeight="false" outlineLevel="0" collapsed="false">
      <c r="A137" s="28" t="s">
        <v>280</v>
      </c>
      <c r="B137" s="28" t="str">
        <f aca="false">IFERROR(INDEX('Source 2026'!$C:$C,MATCH($A137,'Source 2026'!$B:$B,0)),IFERROR(INDEX('Source 2025'!$C:$C,MATCH($A137,'Source 2025'!$B:$B,0)),""))</f>
        <v>גרב כסף לסכרתיים לבן35-38</v>
      </c>
      <c r="C137" s="29" t="n">
        <f aca="false">SUMIFS('Source 2025'!$Q:$Q,'Source 2025'!$B:$B,$A137,'Source 2025'!$A:$A,"Quantity (units)")</f>
        <v>89</v>
      </c>
      <c r="D137" s="29" t="n">
        <f aca="false">SUMIFS('Source 2026'!$Q:$Q,'Source 2026'!$B:$B,$A137,'Source 2026'!$A:$A,"Quantity (units)")</f>
        <v>54</v>
      </c>
      <c r="E137" s="30" t="n">
        <f aca="false">D137*$J$5</f>
        <v>68.2105263157895</v>
      </c>
      <c r="F137" s="30" t="n">
        <f aca="false">E137-C137</f>
        <v>-20.7894736842105</v>
      </c>
      <c r="G137" s="31" t="n">
        <f aca="false">IF(AND(C137=0,E137=0),0,IF(C137=0,"New",(E137-C137)/C137))</f>
        <v>-0.233589591957422</v>
      </c>
      <c r="H137" s="32" t="n">
        <f aca="false">SUMIFS('Source 2025'!$Q:$Q,'Source 2025'!$B:$B,$A137,'Source 2025'!$A:$A,"Amount (NIS)")</f>
        <v>2600.4</v>
      </c>
      <c r="I137" s="32" t="n">
        <f aca="false">SUMIFS('Source 2026'!$Q:$Q,'Source 2026'!$B:$B,$A137,'Source 2026'!$A:$A,"Amount (NIS)")</f>
        <v>1575.2</v>
      </c>
      <c r="J137" s="32" t="n">
        <f aca="false">I137*$J$5</f>
        <v>1989.72631578947</v>
      </c>
      <c r="K137" s="32" t="n">
        <f aca="false">J137-H137</f>
        <v>-610.673684210527</v>
      </c>
      <c r="L137" s="31" t="n">
        <f aca="false">IF(AND(H137=0,J137=0),0,IF(H137=0,"New",(J137-H137)/H137))</f>
        <v>-0.234838364947903</v>
      </c>
    </row>
    <row r="138" customFormat="false" ht="15" hidden="false" customHeight="false" outlineLevel="0" collapsed="false">
      <c r="A138" s="28" t="s">
        <v>135</v>
      </c>
      <c r="B138" s="28" t="str">
        <f aca="false">IFERROR(INDEX('Source 2026'!$C:$C,MATCH($A138,'Source 2026'!$B:$B,0)),IFERROR(INDEX('Source 2025'!$C:$C,MATCH($A138,'Source 2025'!$B:$B,0)),""))</f>
        <v>S-Lטבעת אלסטית מסיליקון</v>
      </c>
      <c r="C138" s="29" t="n">
        <f aca="false">SUMIFS('Source 2025'!$Q:$Q,'Source 2025'!$B:$B,$A138,'Source 2025'!$A:$A,"Quantity (units)")</f>
        <v>223</v>
      </c>
      <c r="D138" s="29" t="n">
        <f aca="false">SUMIFS('Source 2026'!$Q:$Q,'Source 2026'!$B:$B,$A138,'Source 2026'!$A:$A,"Quantity (units)")</f>
        <v>131</v>
      </c>
      <c r="E138" s="30" t="n">
        <f aca="false">D138*$J$5</f>
        <v>165.473684210526</v>
      </c>
      <c r="F138" s="30" t="n">
        <f aca="false">E138-C138</f>
        <v>-57.5263157894737</v>
      </c>
      <c r="G138" s="31" t="n">
        <f aca="false">IF(AND(C138=0,E138=0),0,IF(C138=0,"New",(E138-C138)/C138))</f>
        <v>-0.257965541656833</v>
      </c>
      <c r="H138" s="32" t="n">
        <f aca="false">SUMIFS('Source 2025'!$Q:$Q,'Source 2025'!$B:$B,$A138,'Source 2025'!$A:$A,"Amount (NIS)")</f>
        <v>2310.4</v>
      </c>
      <c r="I138" s="32" t="n">
        <f aca="false">SUMIFS('Source 2026'!$Q:$Q,'Source 2026'!$B:$B,$A138,'Source 2026'!$A:$A,"Amount (NIS)")</f>
        <v>1378</v>
      </c>
      <c r="J138" s="32" t="n">
        <f aca="false">I138*$J$5</f>
        <v>1740.63157894737</v>
      </c>
      <c r="K138" s="32" t="n">
        <f aca="false">J138-H138</f>
        <v>-569.768421052632</v>
      </c>
      <c r="L138" s="31" t="n">
        <f aca="false">IF(AND(H138=0,J138=0),0,IF(H138=0,"New",(J138-H138)/H138))</f>
        <v>-0.246610293045634</v>
      </c>
    </row>
    <row r="139" customFormat="false" ht="15" hidden="false" customHeight="false" outlineLevel="0" collapsed="false">
      <c r="A139" s="28" t="s">
        <v>222</v>
      </c>
      <c r="B139" s="28" t="str">
        <f aca="false">IFERROR(INDEX('Source 2026'!$C:$C,MATCH($A139,'Source 2026'!$B:$B,0)),IFERROR(INDEX('Source 2025'!$C:$C,MATCH($A139,'Source 2025'!$B:$B,0)),""))</f>
        <v>0 רפידת לילדים אנטי ריח</v>
      </c>
      <c r="C139" s="29" t="n">
        <f aca="false">SUMIFS('Source 2025'!$Q:$Q,'Source 2025'!$B:$B,$A139,'Source 2025'!$A:$A,"Quantity (units)")</f>
        <v>140</v>
      </c>
      <c r="D139" s="29" t="n">
        <f aca="false">SUMIFS('Source 2026'!$Q:$Q,'Source 2026'!$B:$B,$A139,'Source 2026'!$A:$A,"Quantity (units)")</f>
        <v>56</v>
      </c>
      <c r="E139" s="30" t="n">
        <f aca="false">D139*$J$5</f>
        <v>70.7368421052632</v>
      </c>
      <c r="F139" s="30" t="n">
        <f aca="false">E139-C139</f>
        <v>-69.2631578947369</v>
      </c>
      <c r="G139" s="31" t="n">
        <f aca="false">IF(AND(C139=0,E139=0),0,IF(C139=0,"New",(E139-C139)/C139))</f>
        <v>-0.494736842105263</v>
      </c>
      <c r="H139" s="32" t="n">
        <f aca="false">SUMIFS('Source 2025'!$Q:$Q,'Source 2025'!$B:$B,$A139,'Source 2025'!$A:$A,"Amount (NIS)")</f>
        <v>1434.1</v>
      </c>
      <c r="I139" s="32" t="n">
        <f aca="false">SUMIFS('Source 2026'!$Q:$Q,'Source 2026'!$B:$B,$A139,'Source 2026'!$A:$A,"Amount (NIS)")</f>
        <v>574.5</v>
      </c>
      <c r="J139" s="32" t="n">
        <f aca="false">I139*$J$5</f>
        <v>725.684210526316</v>
      </c>
      <c r="K139" s="32" t="n">
        <f aca="false">J139-H139</f>
        <v>-708.415789473684</v>
      </c>
      <c r="L139" s="31" t="n">
        <f aca="false">IF(AND(H139=0,J139=0),0,IF(H139=0,"New",(J139-H139)/H139))</f>
        <v>-0.49397935253726</v>
      </c>
    </row>
    <row r="140" customFormat="false" ht="15" hidden="false" customHeight="false" outlineLevel="0" collapsed="false">
      <c r="A140" s="28" t="s">
        <v>292</v>
      </c>
      <c r="B140" s="28" t="str">
        <f aca="false">IFERROR(INDEX('Source 2026'!$C:$C,MATCH($A140,'Source 2026'!$B:$B,0)),IFERROR(INDEX('Source 2025'!$C:$C,MATCH($A140,'Source 2025'!$B:$B,0)),""))</f>
        <v>סד לילה לבוהן</v>
      </c>
      <c r="C140" s="29" t="n">
        <f aca="false">SUMIFS('Source 2025'!$Q:$Q,'Source 2025'!$B:$B,$A140,'Source 2025'!$A:$A,"Quantity (units)")</f>
        <v>-16</v>
      </c>
      <c r="D140" s="29" t="n">
        <f aca="false">SUMIFS('Source 2026'!$Q:$Q,'Source 2026'!$B:$B,$A140,'Source 2026'!$A:$A,"Quantity (units)")</f>
        <v>-3</v>
      </c>
      <c r="E140" s="30" t="n">
        <f aca="false">D140*$J$5</f>
        <v>-3.78947368421053</v>
      </c>
      <c r="F140" s="30" t="n">
        <f aca="false">E140-C140</f>
        <v>12.2105263157895</v>
      </c>
      <c r="G140" s="31" t="n">
        <f aca="false">IF(AND(C140=0,E140=0),0,IF(C140=0,"New",(E140-C140)/C140))</f>
        <v>-0.763157894736842</v>
      </c>
      <c r="H140" s="32" t="n">
        <f aca="false">SUMIFS('Source 2025'!$Q:$Q,'Source 2025'!$B:$B,$A140,'Source 2025'!$A:$A,"Amount (NIS)")</f>
        <v>-1026.6</v>
      </c>
      <c r="I140" s="32" t="n">
        <f aca="false">SUMIFS('Source 2026'!$Q:$Q,'Source 2026'!$B:$B,$A140,'Source 2026'!$A:$A,"Amount (NIS)")</f>
        <v>-192.5</v>
      </c>
      <c r="J140" s="32" t="n">
        <f aca="false">I140*$J$5</f>
        <v>-243.157894736842</v>
      </c>
      <c r="K140" s="32" t="n">
        <f aca="false">J140-H140</f>
        <v>783.442105263158</v>
      </c>
      <c r="L140" s="31" t="n">
        <f aca="false">IF(AND(H140=0,J140=0),0,IF(H140=0,"New",(J140-H140)/H140))</f>
        <v>-0.763142514380633</v>
      </c>
    </row>
    <row r="141" customFormat="false" ht="15" hidden="false" customHeight="false" outlineLevel="0" collapsed="false">
      <c r="A141" s="28" t="s">
        <v>128</v>
      </c>
      <c r="B141" s="28" t="str">
        <f aca="false">IFERROR(INDEX('Source 2026'!$C:$C,MATCH($A141,'Source 2026'!$B:$B,0)),IFERROR(INDEX('Source 2025'!$C:$C,MATCH($A141,'Source 2025'!$B:$B,0)),""))</f>
        <v>Lמ.ברך+כרית סיל.סביב לפיקה</v>
      </c>
      <c r="C141" s="29" t="n">
        <f aca="false">SUMIFS('Source 2025'!$Q:$Q,'Source 2025'!$B:$B,$A141,'Source 2025'!$A:$A,"Quantity (units)")</f>
        <v>-3</v>
      </c>
      <c r="D141" s="29" t="n">
        <f aca="false">SUMIFS('Source 2026'!$Q:$Q,'Source 2026'!$B:$B,$A141,'Source 2026'!$A:$A,"Quantity (units)")</f>
        <v>-9</v>
      </c>
      <c r="E141" s="30" t="n">
        <f aca="false">D141*$J$5</f>
        <v>-11.3684210526316</v>
      </c>
      <c r="F141" s="30" t="n">
        <f aca="false">E141-C141</f>
        <v>-8.36842105263158</v>
      </c>
      <c r="G141" s="31" t="n">
        <f aca="false">IF(AND(C141=0,E141=0),0,IF(C141=0,"New",(E141-C141)/C141))</f>
        <v>2.78947368421053</v>
      </c>
      <c r="H141" s="32" t="n">
        <f aca="false">SUMIFS('Source 2025'!$Q:$Q,'Source 2025'!$B:$B,$A141,'Source 2025'!$A:$A,"Amount (NIS)")</f>
        <v>-386.4</v>
      </c>
      <c r="I141" s="32" t="n">
        <f aca="false">SUMIFS('Source 2026'!$Q:$Q,'Source 2026'!$B:$B,$A141,'Source 2026'!$A:$A,"Amount (NIS)")</f>
        <v>-1207.9</v>
      </c>
      <c r="J141" s="32" t="n">
        <f aca="false">I141*$J$5</f>
        <v>-1525.76842105263</v>
      </c>
      <c r="K141" s="32" t="n">
        <f aca="false">J141-H141</f>
        <v>-1139.36842105263</v>
      </c>
      <c r="L141" s="31" t="n">
        <f aca="false">IF(AND(H141=0,J141=0),0,IF(H141=0,"New",(J141-H141)/H141))</f>
        <v>2.94867603792089</v>
      </c>
    </row>
    <row r="142" customFormat="false" ht="15" hidden="false" customHeight="false" outlineLevel="0" collapsed="false">
      <c r="A142" s="28" t="s">
        <v>160</v>
      </c>
      <c r="B142" s="28" t="str">
        <f aca="false">IFERROR(INDEX('Source 2026'!$C:$C,MATCH($A142,'Source 2026'!$B:$B,0)),IFERROR(INDEX('Source 2025'!$C:$C,MATCH($A142,'Source 2025'!$B:$B,0)),""))</f>
        <v>S ח.גב סג. כפולה שחור+אדום</v>
      </c>
      <c r="C142" s="29" t="n">
        <f aca="false">SUMIFS('Source 2025'!$Q:$Q,'Source 2025'!$B:$B,$A142,'Source 2025'!$A:$A,"Quantity (units)")</f>
        <v>-6</v>
      </c>
      <c r="D142" s="29" t="n">
        <f aca="false">SUMIFS('Source 2026'!$Q:$Q,'Source 2026'!$B:$B,$A142,'Source 2026'!$A:$A,"Quantity (units)")</f>
        <v>-14</v>
      </c>
      <c r="E142" s="30" t="n">
        <f aca="false">D142*$J$5</f>
        <v>-17.6842105263158</v>
      </c>
      <c r="F142" s="30" t="n">
        <f aca="false">E142-C142</f>
        <v>-11.6842105263158</v>
      </c>
      <c r="G142" s="31" t="n">
        <f aca="false">IF(AND(C142=0,E142=0),0,IF(C142=0,"New",(E142-C142)/C142))</f>
        <v>1.94736842105263</v>
      </c>
      <c r="H142" s="32" t="n">
        <f aca="false">SUMIFS('Source 2025'!$Q:$Q,'Source 2025'!$B:$B,$A142,'Source 2025'!$A:$A,"Amount (NIS)")</f>
        <v>-445.1</v>
      </c>
      <c r="I142" s="32" t="n">
        <f aca="false">SUMIFS('Source 2026'!$Q:$Q,'Source 2026'!$B:$B,$A142,'Source 2026'!$A:$A,"Amount (NIS)")</f>
        <v>-1258.6</v>
      </c>
      <c r="J142" s="32" t="n">
        <f aca="false">I142*$J$5</f>
        <v>-1589.81052631579</v>
      </c>
      <c r="K142" s="32" t="n">
        <f aca="false">J142-H142</f>
        <v>-1144.71052631579</v>
      </c>
      <c r="L142" s="31" t="n">
        <f aca="false">IF(AND(H142=0,J142=0),0,IF(H142=0,"New",(J142-H142)/H142))</f>
        <v>2.57180527143516</v>
      </c>
    </row>
    <row r="143" customFormat="false" ht="15" hidden="false" customHeight="false" outlineLevel="0" collapsed="false">
      <c r="A143" s="28" t="s">
        <v>169</v>
      </c>
      <c r="B143" s="28" t="str">
        <f aca="false">IFERROR(INDEX('Source 2026'!$C:$C,MATCH($A143,'Source 2026'!$B:$B,0)),IFERROR(INDEX('Source 2025'!$C:$C,MATCH($A143,'Source 2025'!$B:$B,0)),""))</f>
        <v>סד ליישור אצבע</v>
      </c>
      <c r="C143" s="29" t="n">
        <f aca="false">SUMIFS('Source 2025'!$Q:$Q,'Source 2025'!$B:$B,$A143,'Source 2025'!$A:$A,"Quantity (units)")</f>
        <v>1840</v>
      </c>
      <c r="D143" s="29" t="n">
        <f aca="false">SUMIFS('Source 2026'!$Q:$Q,'Source 2026'!$B:$B,$A143,'Source 2026'!$A:$A,"Quantity (units)")</f>
        <v>1704</v>
      </c>
      <c r="E143" s="30" t="n">
        <f aca="false">D143*$J$5</f>
        <v>2152.42105263158</v>
      </c>
      <c r="F143" s="30" t="n">
        <f aca="false">E143-C143</f>
        <v>312.421052631579</v>
      </c>
      <c r="G143" s="31" t="n">
        <f aca="false">IF(AND(C143=0,E143=0),0,IF(C143=0,"New",(E143-C143)/C143))</f>
        <v>0.169794050343249</v>
      </c>
      <c r="H143" s="32" t="n">
        <f aca="false">SUMIFS('Source 2025'!$Q:$Q,'Source 2025'!$B:$B,$A143,'Source 2025'!$A:$A,"Amount (NIS)")</f>
        <v>26241.7</v>
      </c>
      <c r="I143" s="32" t="n">
        <f aca="false">SUMIFS('Source 2026'!$Q:$Q,'Source 2026'!$B:$B,$A143,'Source 2026'!$A:$A,"Amount (NIS)")</f>
        <v>25451.8</v>
      </c>
      <c r="J143" s="32" t="n">
        <f aca="false">I143*$J$5</f>
        <v>32149.6421052632</v>
      </c>
      <c r="K143" s="32" t="n">
        <f aca="false">J143-H143</f>
        <v>5907.94210526316</v>
      </c>
      <c r="L143" s="31" t="n">
        <f aca="false">IF(AND(H143=0,J143=0),0,IF(H143=0,"New",(J143-H143)/H143))</f>
        <v>0.225135646900283</v>
      </c>
    </row>
    <row r="144" customFormat="false" ht="15" hidden="false" customHeight="false" outlineLevel="0" collapsed="false">
      <c r="A144" s="28" t="s">
        <v>175</v>
      </c>
      <c r="B144" s="28" t="str">
        <f aca="false">IFERROR(INDEX('Source 2026'!$C:$C,MATCH($A144,'Source 2026'!$B:$B,0)),IFERROR(INDEX('Source 2025'!$C:$C,MATCH($A144,'Source 2025'!$B:$B,0)),""))</f>
        <v>סד ליישור אצבע</v>
      </c>
      <c r="C144" s="29" t="n">
        <f aca="false">SUMIFS('Source 2025'!$Q:$Q,'Source 2025'!$B:$B,$A144,'Source 2025'!$A:$A,"Quantity (units)")</f>
        <v>1128</v>
      </c>
      <c r="D144" s="29" t="n">
        <f aca="false">SUMIFS('Source 2026'!$Q:$Q,'Source 2026'!$B:$B,$A144,'Source 2026'!$A:$A,"Quantity (units)")</f>
        <v>1023</v>
      </c>
      <c r="E144" s="30" t="n">
        <f aca="false">D144*$J$5</f>
        <v>1292.21052631579</v>
      </c>
      <c r="F144" s="30" t="n">
        <f aca="false">E144-C144</f>
        <v>164.210526315789</v>
      </c>
      <c r="G144" s="31" t="n">
        <f aca="false">IF(AND(C144=0,E144=0),0,IF(C144=0,"New",(E144-C144)/C144))</f>
        <v>0.145576707726764</v>
      </c>
      <c r="H144" s="32" t="n">
        <f aca="false">SUMIFS('Source 2025'!$Q:$Q,'Source 2025'!$B:$B,$A144,'Source 2025'!$A:$A,"Amount (NIS)")</f>
        <v>16083.8</v>
      </c>
      <c r="I144" s="32" t="n">
        <f aca="false">SUMIFS('Source 2026'!$Q:$Q,'Source 2026'!$B:$B,$A144,'Source 2026'!$A:$A,"Amount (NIS)")</f>
        <v>15302.1</v>
      </c>
      <c r="J144" s="32" t="n">
        <f aca="false">I144*$J$5</f>
        <v>19328.9684210526</v>
      </c>
      <c r="K144" s="32" t="n">
        <f aca="false">J144-H144</f>
        <v>3245.16842105263</v>
      </c>
      <c r="L144" s="31" t="n">
        <f aca="false">IF(AND(H144=0,J144=0),0,IF(H144=0,"New",(J144-H144)/H144))</f>
        <v>0.20176627544813</v>
      </c>
    </row>
    <row r="145" customFormat="false" ht="15" hidden="false" customHeight="false" outlineLevel="0" collapsed="false">
      <c r="A145" s="28" t="s">
        <v>95</v>
      </c>
      <c r="B145" s="28" t="str">
        <f aca="false">IFERROR(INDEX('Source 2026'!$C:$C,MATCH($A145,'Source 2026'!$B:$B,0)),IFERROR(INDEX('Source 2025'!$C:$C,MATCH($A145,'Source 2025'!$B:$B,0)),""))</f>
        <v>סד לאגודל</v>
      </c>
      <c r="C145" s="29" t="n">
        <f aca="false">SUMIFS('Source 2025'!$Q:$Q,'Source 2025'!$B:$B,$A145,'Source 2025'!$A:$A,"Quantity (units)")</f>
        <v>194</v>
      </c>
      <c r="D145" s="29" t="n">
        <f aca="false">SUMIFS('Source 2026'!$Q:$Q,'Source 2026'!$B:$B,$A145,'Source 2026'!$A:$A,"Quantity (units)")</f>
        <v>141</v>
      </c>
      <c r="E145" s="30" t="n">
        <f aca="false">D145*$J$5</f>
        <v>178.105263157895</v>
      </c>
      <c r="F145" s="30" t="n">
        <f aca="false">E145-C145</f>
        <v>-15.8947368421053</v>
      </c>
      <c r="G145" s="31" t="n">
        <f aca="false">IF(AND(C145=0,E145=0),0,IF(C145=0,"New",(E145-C145)/C145))</f>
        <v>-0.0819316332067281</v>
      </c>
      <c r="H145" s="32" t="n">
        <f aca="false">SUMIFS('Source 2025'!$Q:$Q,'Source 2025'!$B:$B,$A145,'Source 2025'!$A:$A,"Amount (NIS)")</f>
        <v>4329.5</v>
      </c>
      <c r="I145" s="32" t="n">
        <f aca="false">SUMIFS('Source 2026'!$Q:$Q,'Source 2026'!$B:$B,$A145,'Source 2026'!$A:$A,"Amount (NIS)")</f>
        <v>3548.1</v>
      </c>
      <c r="J145" s="32" t="n">
        <f aca="false">I145*$J$5</f>
        <v>4481.81052631579</v>
      </c>
      <c r="K145" s="32" t="n">
        <f aca="false">J145-H145</f>
        <v>152.31052631579</v>
      </c>
      <c r="L145" s="31" t="n">
        <f aca="false">IF(AND(H145=0,J145=0),0,IF(H145=0,"New",(J145-H145)/H145))</f>
        <v>0.0351797035028963</v>
      </c>
    </row>
    <row r="146" customFormat="false" ht="15" hidden="false" customHeight="false" outlineLevel="0" collapsed="false">
      <c r="A146" s="28" t="s">
        <v>167</v>
      </c>
      <c r="B146" s="28" t="str">
        <f aca="false">IFERROR(INDEX('Source 2026'!$C:$C,MATCH($A146,'Source 2026'!$B:$B,0)),IFERROR(INDEX('Source 2025'!$C:$C,MATCH($A146,'Source 2025'!$B:$B,0)),""))</f>
        <v>35-38 גרב.כסף לסכרתים לבן</v>
      </c>
      <c r="C146" s="29" t="n">
        <f aca="false">SUMIFS('Source 2025'!$Q:$Q,'Source 2025'!$B:$B,$A146,'Source 2025'!$A:$A,"Quantity (units)")</f>
        <v>188</v>
      </c>
      <c r="D146" s="29" t="n">
        <f aca="false">SUMIFS('Source 2026'!$Q:$Q,'Source 2026'!$B:$B,$A146,'Source 2026'!$A:$A,"Quantity (units)")</f>
        <v>152</v>
      </c>
      <c r="E146" s="30" t="n">
        <f aca="false">D146*$J$5</f>
        <v>192</v>
      </c>
      <c r="F146" s="30" t="n">
        <f aca="false">E146-C146</f>
        <v>4</v>
      </c>
      <c r="G146" s="31" t="n">
        <f aca="false">IF(AND(C146=0,E146=0),0,IF(C146=0,"New",(E146-C146)/C146))</f>
        <v>0.0212765957446809</v>
      </c>
      <c r="H146" s="32" t="n">
        <f aca="false">SUMIFS('Source 2025'!$Q:$Q,'Source 2025'!$B:$B,$A146,'Source 2025'!$A:$A,"Amount (NIS)")</f>
        <v>4182</v>
      </c>
      <c r="I146" s="32" t="n">
        <f aca="false">SUMIFS('Source 2026'!$Q:$Q,'Source 2026'!$B:$B,$A146,'Source 2026'!$A:$A,"Amount (NIS)")</f>
        <v>3446.8</v>
      </c>
      <c r="J146" s="32" t="n">
        <f aca="false">I146*$J$5</f>
        <v>4353.85263157895</v>
      </c>
      <c r="K146" s="32" t="n">
        <f aca="false">J146-H146</f>
        <v>171.852631578948</v>
      </c>
      <c r="L146" s="31" t="n">
        <f aca="false">IF(AND(H146=0,J146=0),0,IF(H146=0,"New",(J146-H146)/H146))</f>
        <v>0.0410934078381032</v>
      </c>
    </row>
    <row r="147" customFormat="false" ht="15" hidden="false" customHeight="false" outlineLevel="0" collapsed="false">
      <c r="A147" s="28" t="s">
        <v>328</v>
      </c>
      <c r="B147" s="28" t="str">
        <f aca="false">IFERROR(INDEX('Source 2026'!$C:$C,MATCH($A147,'Source 2026'!$B:$B,0)),IFERROR(INDEX('Source 2025'!$C:$C,MATCH($A147,'Source 2025'!$B:$B,0)),""))</f>
        <v>XXL מגן ברך ארוך עם כרית</v>
      </c>
      <c r="C147" s="29" t="n">
        <f aca="false">SUMIFS('Source 2025'!$Q:$Q,'Source 2025'!$B:$B,$A147,'Source 2025'!$A:$A,"Quantity (units)")</f>
        <v>-4</v>
      </c>
      <c r="D147" s="29" t="n">
        <f aca="false">SUMIFS('Source 2026'!$Q:$Q,'Source 2026'!$B:$B,$A147,'Source 2026'!$A:$A,"Quantity (units)")</f>
        <v>0</v>
      </c>
      <c r="E147" s="30" t="n">
        <f aca="false">D147*$J$5</f>
        <v>0</v>
      </c>
      <c r="F147" s="30" t="n">
        <f aca="false">E147-C147</f>
        <v>4</v>
      </c>
      <c r="G147" s="31" t="n">
        <f aca="false">IF(AND(C147=0,E147=0),0,IF(C147=0,"New",(E147-C147)/C147))</f>
        <v>-1</v>
      </c>
      <c r="H147" s="32" t="n">
        <f aca="false">SUMIFS('Source 2025'!$Q:$Q,'Source 2025'!$B:$B,$A147,'Source 2025'!$A:$A,"Amount (NIS)")</f>
        <v>-730.8</v>
      </c>
      <c r="I147" s="32" t="n">
        <f aca="false">SUMIFS('Source 2026'!$Q:$Q,'Source 2026'!$B:$B,$A147,'Source 2026'!$A:$A,"Amount (NIS)")</f>
        <v>0</v>
      </c>
      <c r="J147" s="32" t="n">
        <f aca="false">I147*$J$5</f>
        <v>0</v>
      </c>
      <c r="K147" s="32" t="n">
        <f aca="false">J147-H147</f>
        <v>730.8</v>
      </c>
      <c r="L147" s="31" t="n">
        <f aca="false">IF(AND(H147=0,J147=0),0,IF(H147=0,"New",(J147-H147)/H147))</f>
        <v>-1</v>
      </c>
    </row>
    <row r="148" customFormat="false" ht="15" hidden="false" customHeight="false" outlineLevel="0" collapsed="false">
      <c r="A148" s="28" t="s">
        <v>165</v>
      </c>
      <c r="B148" s="28" t="str">
        <f aca="false">IFERROR(INDEX('Source 2026'!$C:$C,MATCH($A148,'Source 2026'!$B:$B,0)),IFERROR(INDEX('Source 2025'!$C:$C,MATCH($A148,'Source 2025'!$B:$B,0)),""))</f>
        <v>חגורת גב +סגירה כפולה</v>
      </c>
      <c r="C148" s="29" t="n">
        <f aca="false">SUMIFS('Source 2025'!$Q:$Q,'Source 2025'!$B:$B,$A148,'Source 2025'!$A:$A,"Quantity (units)")</f>
        <v>11</v>
      </c>
      <c r="D148" s="29" t="n">
        <f aca="false">SUMIFS('Source 2026'!$Q:$Q,'Source 2026'!$B:$B,$A148,'Source 2026'!$A:$A,"Quantity (units)")</f>
        <v>3</v>
      </c>
      <c r="E148" s="30" t="n">
        <f aca="false">D148*$J$5</f>
        <v>3.78947368421053</v>
      </c>
      <c r="F148" s="30" t="n">
        <f aca="false">E148-C148</f>
        <v>-7.21052631578947</v>
      </c>
      <c r="G148" s="31" t="n">
        <f aca="false">IF(AND(C148=0,E148=0),0,IF(C148=0,"New",(E148-C148)/C148))</f>
        <v>-0.655502392344498</v>
      </c>
      <c r="H148" s="32" t="n">
        <f aca="false">SUMIFS('Source 2025'!$Q:$Q,'Source 2025'!$B:$B,$A148,'Source 2025'!$A:$A,"Amount (NIS)")</f>
        <v>1035.5</v>
      </c>
      <c r="I148" s="32" t="n">
        <f aca="false">SUMIFS('Source 2026'!$Q:$Q,'Source 2026'!$B:$B,$A148,'Source 2026'!$A:$A,"Amount (NIS)")</f>
        <v>314.7</v>
      </c>
      <c r="J148" s="32" t="n">
        <f aca="false">I148*$J$5</f>
        <v>397.515789473684</v>
      </c>
      <c r="K148" s="32" t="n">
        <f aca="false">J148-H148</f>
        <v>-637.984210526316</v>
      </c>
      <c r="L148" s="31" t="n">
        <f aca="false">IF(AND(H148=0,J148=0),0,IF(H148=0,"New",(J148-H148)/H148))</f>
        <v>-0.616112226486061</v>
      </c>
    </row>
    <row r="149" customFormat="false" ht="15" hidden="false" customHeight="false" outlineLevel="0" collapsed="false">
      <c r="A149" s="28" t="s">
        <v>126</v>
      </c>
      <c r="B149" s="28" t="str">
        <f aca="false">IFERROR(INDEX('Source 2026'!$C:$C,MATCH($A149,'Source 2026'!$B:$B,0)),IFERROR(INDEX('Source 2025'!$C:$C,MATCH($A149,'Source 2025'!$B:$B,0)),""))</f>
        <v>S מגן ברך</v>
      </c>
      <c r="C149" s="29" t="n">
        <f aca="false">SUMIFS('Source 2025'!$Q:$Q,'Source 2025'!$B:$B,$A149,'Source 2025'!$A:$A,"Quantity (units)")</f>
        <v>82</v>
      </c>
      <c r="D149" s="29" t="n">
        <f aca="false">SUMIFS('Source 2026'!$Q:$Q,'Source 2026'!$B:$B,$A149,'Source 2026'!$A:$A,"Quantity (units)")</f>
        <v>78</v>
      </c>
      <c r="E149" s="30" t="n">
        <f aca="false">D149*$J$5</f>
        <v>98.5263157894737</v>
      </c>
      <c r="F149" s="30" t="n">
        <f aca="false">E149-C149</f>
        <v>16.5263157894737</v>
      </c>
      <c r="G149" s="31" t="n">
        <f aca="false">IF(AND(C149=0,E149=0),0,IF(C149=0,"New",(E149-C149)/C149))</f>
        <v>0.201540436456996</v>
      </c>
      <c r="H149" s="32" t="n">
        <f aca="false">SUMIFS('Source 2025'!$Q:$Q,'Source 2025'!$B:$B,$A149,'Source 2025'!$A:$A,"Amount (NIS)")</f>
        <v>10943</v>
      </c>
      <c r="I149" s="32" t="n">
        <f aca="false">SUMIFS('Source 2026'!$Q:$Q,'Source 2026'!$B:$B,$A149,'Source 2026'!$A:$A,"Amount (NIS)")</f>
        <v>10297.7</v>
      </c>
      <c r="J149" s="32" t="n">
        <f aca="false">I149*$J$5</f>
        <v>13007.6210526316</v>
      </c>
      <c r="K149" s="32" t="n">
        <f aca="false">J149-H149</f>
        <v>2064.62105263158</v>
      </c>
      <c r="L149" s="31" t="n">
        <f aca="false">IF(AND(H149=0,J149=0),0,IF(H149=0,"New",(J149-H149)/H149))</f>
        <v>0.188670479085404</v>
      </c>
    </row>
    <row r="150" customFormat="false" ht="15" hidden="false" customHeight="false" outlineLevel="0" collapsed="false">
      <c r="A150" s="28" t="s">
        <v>194</v>
      </c>
      <c r="B150" s="28" t="str">
        <f aca="false">IFERROR(INDEX('Source 2026'!$C:$C,MATCH($A150,'Source 2026'!$B:$B,0)),IFERROR(INDEX('Source 2025'!$C:$C,MATCH($A150,'Source 2025'!$B:$B,0)),""))</f>
        <v>מדרס מטטרזלי לנעלי עקב</v>
      </c>
      <c r="C150" s="29" t="n">
        <f aca="false">SUMIFS('Source 2025'!$Q:$Q,'Source 2025'!$B:$B,$A150,'Source 2025'!$A:$A,"Quantity (units)")</f>
        <v>44</v>
      </c>
      <c r="D150" s="29" t="n">
        <f aca="false">SUMIFS('Source 2026'!$Q:$Q,'Source 2026'!$B:$B,$A150,'Source 2026'!$A:$A,"Quantity (units)")</f>
        <v>13</v>
      </c>
      <c r="E150" s="30" t="n">
        <f aca="false">D150*$J$5</f>
        <v>16.4210526315789</v>
      </c>
      <c r="F150" s="30" t="n">
        <f aca="false">E150-C150</f>
        <v>-27.5789473684211</v>
      </c>
      <c r="G150" s="31" t="n">
        <f aca="false">IF(AND(C150=0,E150=0),0,IF(C150=0,"New",(E150-C150)/C150))</f>
        <v>-0.626794258373206</v>
      </c>
      <c r="H150" s="32" t="n">
        <f aca="false">SUMIFS('Source 2025'!$Q:$Q,'Source 2025'!$B:$B,$A150,'Source 2025'!$A:$A,"Amount (NIS)")</f>
        <v>891.9</v>
      </c>
      <c r="I150" s="32" t="n">
        <f aca="false">SUMIFS('Source 2026'!$Q:$Q,'Source 2026'!$B:$B,$A150,'Source 2026'!$A:$A,"Amount (NIS)")</f>
        <v>266.4</v>
      </c>
      <c r="J150" s="32" t="n">
        <f aca="false">I150*$J$5</f>
        <v>336.505263157895</v>
      </c>
      <c r="K150" s="32" t="n">
        <f aca="false">J150-H150</f>
        <v>-555.394736842105</v>
      </c>
      <c r="L150" s="31" t="n">
        <f aca="false">IF(AND(H150=0,J150=0),0,IF(H150=0,"New",(J150-H150)/H150))</f>
        <v>-0.622709650007966</v>
      </c>
    </row>
    <row r="151" customFormat="false" ht="15" hidden="false" customHeight="false" outlineLevel="0" collapsed="false">
      <c r="A151" s="28" t="s">
        <v>279</v>
      </c>
      <c r="B151" s="28" t="str">
        <f aca="false">IFERROR(INDEX('Source 2026'!$C:$C,MATCH($A151,'Source 2026'!$B:$B,0)),IFERROR(INDEX('Source 2025'!$C:$C,MATCH($A151,'Source 2025'!$B:$B,0)),""))</f>
        <v>11אפורUGחגורת בטן</v>
      </c>
      <c r="C151" s="29" t="n">
        <f aca="false">SUMIFS('Source 2025'!$Q:$Q,'Source 2025'!$B:$B,$A151,'Source 2025'!$A:$A,"Quantity (units)")</f>
        <v>8</v>
      </c>
      <c r="D151" s="29" t="n">
        <f aca="false">SUMIFS('Source 2026'!$Q:$Q,'Source 2026'!$B:$B,$A151,'Source 2026'!$A:$A,"Quantity (units)")</f>
        <v>0</v>
      </c>
      <c r="E151" s="30" t="n">
        <f aca="false">D151*$J$5</f>
        <v>0</v>
      </c>
      <c r="F151" s="30" t="n">
        <f aca="false">E151-C151</f>
        <v>-8</v>
      </c>
      <c r="G151" s="31" t="n">
        <f aca="false">IF(AND(C151=0,E151=0),0,IF(C151=0,"New",(E151-C151)/C151))</f>
        <v>-1</v>
      </c>
      <c r="H151" s="32" t="n">
        <f aca="false">SUMIFS('Source 2025'!$Q:$Q,'Source 2025'!$B:$B,$A151,'Source 2025'!$A:$A,"Amount (NIS)")</f>
        <v>635.4</v>
      </c>
      <c r="I151" s="32" t="n">
        <f aca="false">SUMIFS('Source 2026'!$Q:$Q,'Source 2026'!$B:$B,$A151,'Source 2026'!$A:$A,"Amount (NIS)")</f>
        <v>17</v>
      </c>
      <c r="J151" s="32" t="n">
        <f aca="false">I151*$J$5</f>
        <v>21.4736842105263</v>
      </c>
      <c r="K151" s="32" t="n">
        <f aca="false">J151-H151</f>
        <v>-613.926315789474</v>
      </c>
      <c r="L151" s="31" t="n">
        <f aca="false">IF(AND(H151=0,J151=0),0,IF(H151=0,"New",(J151-H151)/H151))</f>
        <v>-0.966204462998857</v>
      </c>
    </row>
    <row r="152" customFormat="false" ht="15" hidden="false" customHeight="false" outlineLevel="0" collapsed="false">
      <c r="A152" s="28" t="s">
        <v>239</v>
      </c>
      <c r="B152" s="28" t="str">
        <f aca="false">IFERROR(INDEX('Source 2026'!$C:$C,MATCH($A152,'Source 2026'!$B:$B,0)),IFERROR(INDEX('Source 2025'!$C:$C,MATCH($A152,'Source 2025'!$B:$B,0)),""))</f>
        <v>גרבי כסף לסכרת מידה</v>
      </c>
      <c r="C152" s="29" t="n">
        <f aca="false">SUMIFS('Source 2025'!$Q:$Q,'Source 2025'!$B:$B,$A152,'Source 2025'!$A:$A,"Quantity (units)")</f>
        <v>39</v>
      </c>
      <c r="D152" s="29" t="n">
        <f aca="false">SUMIFS('Source 2026'!$Q:$Q,'Source 2026'!$B:$B,$A152,'Source 2026'!$A:$A,"Quantity (units)")</f>
        <v>18</v>
      </c>
      <c r="E152" s="30" t="n">
        <f aca="false">D152*$J$5</f>
        <v>22.7368421052632</v>
      </c>
      <c r="F152" s="30" t="n">
        <f aca="false">E152-C152</f>
        <v>-16.2631578947368</v>
      </c>
      <c r="G152" s="31" t="n">
        <f aca="false">IF(AND(C152=0,E152=0),0,IF(C152=0,"New",(E152-C152)/C152))</f>
        <v>-0.417004048582996</v>
      </c>
      <c r="H152" s="32" t="n">
        <f aca="false">SUMIFS('Source 2025'!$Q:$Q,'Source 2025'!$B:$B,$A152,'Source 2025'!$A:$A,"Amount (NIS)")</f>
        <v>1147.9</v>
      </c>
      <c r="I152" s="32" t="n">
        <f aca="false">SUMIFS('Source 2026'!$Q:$Q,'Source 2026'!$B:$B,$A152,'Source 2026'!$A:$A,"Amount (NIS)")</f>
        <v>530.1</v>
      </c>
      <c r="J152" s="32" t="n">
        <f aca="false">I152*$J$5</f>
        <v>669.6</v>
      </c>
      <c r="K152" s="32" t="n">
        <f aca="false">J152-H152</f>
        <v>-478.3</v>
      </c>
      <c r="L152" s="31" t="n">
        <f aca="false">IF(AND(H152=0,J152=0),0,IF(H152=0,"New",(J152-H152)/H152))</f>
        <v>-0.4166739263002</v>
      </c>
    </row>
    <row r="153" customFormat="false" ht="15" hidden="false" customHeight="false" outlineLevel="0" collapsed="false">
      <c r="A153" s="28" t="s">
        <v>157</v>
      </c>
      <c r="B153" s="28" t="str">
        <f aca="false">IFERROR(INDEX('Source 2026'!$C:$C,MATCH($A153,'Source 2026'!$B:$B,0)),IFERROR(INDEX('Source 2025'!$C:$C,MATCH($A153,'Source 2025'!$B:$B,0)),""))</f>
        <v>37-38 מדרסי סיליק.לח.סכרת</v>
      </c>
      <c r="C153" s="29" t="n">
        <f aca="false">SUMIFS('Source 2025'!$Q:$Q,'Source 2025'!$B:$B,$A153,'Source 2025'!$A:$A,"Quantity (units)")</f>
        <v>-6</v>
      </c>
      <c r="D153" s="29" t="n">
        <f aca="false">SUMIFS('Source 2026'!$Q:$Q,'Source 2026'!$B:$B,$A153,'Source 2026'!$A:$A,"Quantity (units)")</f>
        <v>0</v>
      </c>
      <c r="E153" s="30" t="n">
        <f aca="false">D153*$J$5</f>
        <v>0</v>
      </c>
      <c r="F153" s="30" t="n">
        <f aca="false">E153-C153</f>
        <v>6</v>
      </c>
      <c r="G153" s="31" t="n">
        <f aca="false">IF(AND(C153=0,E153=0),0,IF(C153=0,"New",(E153-C153)/C153))</f>
        <v>-1</v>
      </c>
      <c r="H153" s="32" t="n">
        <f aca="false">SUMIFS('Source 2025'!$Q:$Q,'Source 2025'!$B:$B,$A153,'Source 2025'!$A:$A,"Amount (NIS)")</f>
        <v>-615.6</v>
      </c>
      <c r="I153" s="32" t="n">
        <f aca="false">SUMIFS('Source 2026'!$Q:$Q,'Source 2026'!$B:$B,$A153,'Source 2026'!$A:$A,"Amount (NIS)")</f>
        <v>0</v>
      </c>
      <c r="J153" s="32" t="n">
        <f aca="false">I153*$J$5</f>
        <v>0</v>
      </c>
      <c r="K153" s="32" t="n">
        <f aca="false">J153-H153</f>
        <v>615.6</v>
      </c>
      <c r="L153" s="31" t="n">
        <f aca="false">IF(AND(H153=0,J153=0),0,IF(H153=0,"New",(J153-H153)/H153))</f>
        <v>-1</v>
      </c>
    </row>
    <row r="154" customFormat="false" ht="15" hidden="false" customHeight="false" outlineLevel="0" collapsed="false">
      <c r="A154" s="28" t="s">
        <v>96</v>
      </c>
      <c r="B154" s="28" t="str">
        <f aca="false">IFERROR(INDEX('Source 2026'!$C:$C,MATCH($A154,'Source 2026'!$B:$B,0)),IFERROR(INDEX('Source 2025'!$C:$C,MATCH($A154,'Source 2025'!$B:$B,0)),""))</f>
        <v>S תומך זרוע וכתף</v>
      </c>
      <c r="C154" s="29" t="n">
        <f aca="false">SUMIFS('Source 2025'!$Q:$Q,'Source 2025'!$B:$B,$A154,'Source 2025'!$A:$A,"Quantity (units)")</f>
        <v>13</v>
      </c>
      <c r="D154" s="29" t="n">
        <f aca="false">SUMIFS('Source 2026'!$Q:$Q,'Source 2026'!$B:$B,$A154,'Source 2026'!$A:$A,"Quantity (units)")</f>
        <v>18</v>
      </c>
      <c r="E154" s="30" t="n">
        <f aca="false">D154*$J$5</f>
        <v>22.7368421052632</v>
      </c>
      <c r="F154" s="30" t="n">
        <f aca="false">E154-C154</f>
        <v>9.73684210526316</v>
      </c>
      <c r="G154" s="31" t="n">
        <f aca="false">IF(AND(C154=0,E154=0),0,IF(C154=0,"New",(E154-C154)/C154))</f>
        <v>0.748987854251012</v>
      </c>
      <c r="H154" s="32" t="n">
        <f aca="false">SUMIFS('Source 2025'!$Q:$Q,'Source 2025'!$B:$B,$A154,'Source 2025'!$A:$A,"Amount (NIS)")</f>
        <v>2138.2</v>
      </c>
      <c r="I154" s="32" t="n">
        <f aca="false">SUMIFS('Source 2026'!$Q:$Q,'Source 2026'!$B:$B,$A154,'Source 2026'!$A:$A,"Amount (NIS)")</f>
        <v>2741</v>
      </c>
      <c r="J154" s="32" t="n">
        <f aca="false">I154*$J$5</f>
        <v>3462.31578947368</v>
      </c>
      <c r="K154" s="32" t="n">
        <f aca="false">J154-H154</f>
        <v>1324.11578947368</v>
      </c>
      <c r="L154" s="31" t="n">
        <f aca="false">IF(AND(H154=0,J154=0),0,IF(H154=0,"New",(J154-H154)/H154))</f>
        <v>0.619266574442842</v>
      </c>
    </row>
    <row r="155" customFormat="false" ht="15" hidden="false" customHeight="false" outlineLevel="0" collapsed="false">
      <c r="A155" s="28" t="s">
        <v>141</v>
      </c>
      <c r="B155" s="28" t="str">
        <f aca="false">IFERROR(INDEX('Source 2026'!$C:$C,MATCH($A155,'Source 2026'!$B:$B,0)),IFERROR(INDEX('Source 2025'!$C:$C,MATCH($A155,'Source 2025'!$B:$B,0)),""))</f>
        <v>S חבק יד</v>
      </c>
      <c r="C155" s="29" t="n">
        <f aca="false">SUMIFS('Source 2025'!$Q:$Q,'Source 2025'!$B:$B,$A155,'Source 2025'!$A:$A,"Quantity (units)")</f>
        <v>34</v>
      </c>
      <c r="D155" s="29" t="n">
        <f aca="false">SUMIFS('Source 2026'!$Q:$Q,'Source 2026'!$B:$B,$A155,'Source 2026'!$A:$A,"Quantity (units)")</f>
        <v>26</v>
      </c>
      <c r="E155" s="30" t="n">
        <f aca="false">D155*$J$5</f>
        <v>32.8421052631579</v>
      </c>
      <c r="F155" s="30" t="n">
        <f aca="false">E155-C155</f>
        <v>-1.15789473684211</v>
      </c>
      <c r="G155" s="31" t="n">
        <f aca="false">IF(AND(C155=0,E155=0),0,IF(C155=0,"New",(E155-C155)/C155))</f>
        <v>-0.0340557275541797</v>
      </c>
      <c r="H155" s="32" t="n">
        <f aca="false">SUMIFS('Source 2025'!$Q:$Q,'Source 2025'!$B:$B,$A155,'Source 2025'!$A:$A,"Amount (NIS)")</f>
        <v>2534.3</v>
      </c>
      <c r="I155" s="32" t="n">
        <f aca="false">SUMIFS('Source 2026'!$Q:$Q,'Source 2026'!$B:$B,$A155,'Source 2026'!$A:$A,"Amount (NIS)")</f>
        <v>1944.3</v>
      </c>
      <c r="J155" s="32" t="n">
        <f aca="false">I155*$J$5</f>
        <v>2455.95789473684</v>
      </c>
      <c r="K155" s="32" t="n">
        <f aca="false">J155-H155</f>
        <v>-78.3421052631579</v>
      </c>
      <c r="L155" s="31" t="n">
        <f aca="false">IF(AND(H155=0,J155=0),0,IF(H155=0,"New",(J155-H155)/H155))</f>
        <v>-0.0309127195924547</v>
      </c>
    </row>
    <row r="156" customFormat="false" ht="15" hidden="false" customHeight="false" outlineLevel="0" collapsed="false">
      <c r="A156" s="28" t="s">
        <v>256</v>
      </c>
      <c r="B156" s="28" t="str">
        <f aca="false">IFERROR(INDEX('Source 2026'!$C:$C,MATCH($A156,'Source 2026'!$B:$B,0)),IFERROR(INDEX('Source 2025'!$C:$C,MATCH($A156,'Source 2025'!$B:$B,0)),""))</f>
        <v>M חבק יד אגודלי</v>
      </c>
      <c r="C156" s="29" t="n">
        <f aca="false">SUMIFS('Source 2025'!$Q:$Q,'Source 2025'!$B:$B,$A156,'Source 2025'!$A:$A,"Quantity (units)")</f>
        <v>-11</v>
      </c>
      <c r="D156" s="29" t="n">
        <f aca="false">SUMIFS('Source 2026'!$Q:$Q,'Source 2026'!$B:$B,$A156,'Source 2026'!$A:$A,"Quantity (units)")</f>
        <v>-2</v>
      </c>
      <c r="E156" s="30" t="n">
        <f aca="false">D156*$J$5</f>
        <v>-2.52631578947368</v>
      </c>
      <c r="F156" s="30" t="n">
        <f aca="false">E156-C156</f>
        <v>8.47368421052632</v>
      </c>
      <c r="G156" s="31" t="n">
        <f aca="false">IF(AND(C156=0,E156=0),0,IF(C156=0,"New",(E156-C156)/C156))</f>
        <v>-0.770334928229665</v>
      </c>
      <c r="H156" s="32" t="n">
        <f aca="false">SUMIFS('Source 2025'!$Q:$Q,'Source 2025'!$B:$B,$A156,'Source 2025'!$A:$A,"Amount (NIS)")</f>
        <v>-699.8</v>
      </c>
      <c r="I156" s="32" t="n">
        <f aca="false">SUMIFS('Source 2026'!$Q:$Q,'Source 2026'!$B:$B,$A156,'Source 2026'!$A:$A,"Amount (NIS)")</f>
        <v>-124</v>
      </c>
      <c r="J156" s="32" t="n">
        <f aca="false">I156*$J$5</f>
        <v>-156.631578947368</v>
      </c>
      <c r="K156" s="32" t="n">
        <f aca="false">J156-H156</f>
        <v>543.168421052632</v>
      </c>
      <c r="L156" s="31" t="n">
        <f aca="false">IF(AND(H156=0,J156=0),0,IF(H156=0,"New",(J156-H156)/H156))</f>
        <v>-0.776176651975753</v>
      </c>
    </row>
    <row r="157" customFormat="false" ht="15" hidden="false" customHeight="false" outlineLevel="0" collapsed="false">
      <c r="A157" s="28" t="s">
        <v>242</v>
      </c>
      <c r="B157" s="28" t="str">
        <f aca="false">IFERROR(INDEX('Source 2026'!$C:$C,MATCH($A157,'Source 2026'!$B:$B,0)),IFERROR(INDEX('Source 2025'!$C:$C,MATCH($A157,'Source 2025'!$B:$B,0)),""))</f>
        <v>Sחגורה למנותחי בטן</v>
      </c>
      <c r="C157" s="29" t="n">
        <f aca="false">SUMIFS('Source 2025'!$Q:$Q,'Source 2025'!$B:$B,$A157,'Source 2025'!$A:$A,"Quantity (units)")</f>
        <v>6</v>
      </c>
      <c r="D157" s="29" t="n">
        <f aca="false">SUMIFS('Source 2026'!$Q:$Q,'Source 2026'!$B:$B,$A157,'Source 2026'!$A:$A,"Quantity (units)")</f>
        <v>1</v>
      </c>
      <c r="E157" s="30" t="n">
        <f aca="false">D157*$J$5</f>
        <v>1.26315789473684</v>
      </c>
      <c r="F157" s="30" t="n">
        <f aca="false">E157-C157</f>
        <v>-4.73684210526316</v>
      </c>
      <c r="G157" s="31" t="n">
        <f aca="false">IF(AND(C157=0,E157=0),0,IF(C157=0,"New",(E157-C157)/C157))</f>
        <v>-0.789473684210526</v>
      </c>
      <c r="H157" s="32" t="n">
        <f aca="false">SUMIFS('Source 2025'!$Q:$Q,'Source 2025'!$B:$B,$A157,'Source 2025'!$A:$A,"Amount (NIS)")</f>
        <v>630.4</v>
      </c>
      <c r="I157" s="32" t="n">
        <f aca="false">SUMIFS('Source 2026'!$Q:$Q,'Source 2026'!$B:$B,$A157,'Source 2026'!$A:$A,"Amount (NIS)")</f>
        <v>99.2</v>
      </c>
      <c r="J157" s="32" t="n">
        <f aca="false">I157*$J$5</f>
        <v>125.305263157895</v>
      </c>
      <c r="K157" s="32" t="n">
        <f aca="false">J157-H157</f>
        <v>-505.094736842105</v>
      </c>
      <c r="L157" s="31" t="n">
        <f aca="false">IF(AND(H157=0,J157=0),0,IF(H157=0,"New",(J157-H157)/H157))</f>
        <v>-0.80122896072669</v>
      </c>
    </row>
    <row r="158" customFormat="false" ht="15" hidden="false" customHeight="false" outlineLevel="0" collapsed="false">
      <c r="A158" s="28" t="s">
        <v>315</v>
      </c>
      <c r="B158" s="28" t="str">
        <f aca="false">IFERROR(INDEX('Source 2026'!$C:$C,MATCH($A158,'Source 2026'!$B:$B,0)),IFERROR(INDEX('Source 2025'!$C:$C,MATCH($A158,'Source 2025'!$B:$B,0)),""))</f>
        <v>סד לילה לבוהן</v>
      </c>
      <c r="C158" s="29" t="n">
        <f aca="false">SUMIFS('Source 2025'!$Q:$Q,'Source 2025'!$B:$B,$A158,'Source 2025'!$A:$A,"Quantity (units)")</f>
        <v>-12</v>
      </c>
      <c r="D158" s="29" t="n">
        <f aca="false">SUMIFS('Source 2026'!$Q:$Q,'Source 2026'!$B:$B,$A158,'Source 2026'!$A:$A,"Quantity (units)")</f>
        <v>-4</v>
      </c>
      <c r="E158" s="30" t="n">
        <f aca="false">D158*$J$5</f>
        <v>-5.05263157894737</v>
      </c>
      <c r="F158" s="30" t="n">
        <f aca="false">E158-C158</f>
        <v>6.94736842105263</v>
      </c>
      <c r="G158" s="31" t="n">
        <f aca="false">IF(AND(C158=0,E158=0),0,IF(C158=0,"New",(E158-C158)/C158))</f>
        <v>-0.578947368421053</v>
      </c>
      <c r="H158" s="32" t="n">
        <f aca="false">SUMIFS('Source 2025'!$Q:$Q,'Source 2025'!$B:$B,$A158,'Source 2025'!$A:$A,"Amount (NIS)")</f>
        <v>-769.9</v>
      </c>
      <c r="I158" s="32" t="n">
        <f aca="false">SUMIFS('Source 2026'!$Q:$Q,'Source 2026'!$B:$B,$A158,'Source 2026'!$A:$A,"Amount (NIS)")</f>
        <v>-256.6</v>
      </c>
      <c r="J158" s="32" t="n">
        <f aca="false">I158*$J$5</f>
        <v>-324.126315789474</v>
      </c>
      <c r="K158" s="32" t="n">
        <f aca="false">J158-H158</f>
        <v>445.773684210526</v>
      </c>
      <c r="L158" s="31" t="n">
        <f aca="false">IF(AND(H158=0,J158=0),0,IF(H158=0,"New",(J158-H158)/H158))</f>
        <v>-0.5790020576835</v>
      </c>
    </row>
    <row r="159" customFormat="false" ht="15" hidden="false" customHeight="false" outlineLevel="0" collapsed="false">
      <c r="A159" s="28" t="s">
        <v>273</v>
      </c>
      <c r="B159" s="28" t="str">
        <f aca="false">IFERROR(INDEX('Source 2026'!$C:$C,MATCH($A159,'Source 2026'!$B:$B,0)),IFERROR(INDEX('Source 2025'!$C:$C,MATCH($A159,'Source 2025'!$B:$B,0)),""))</f>
        <v>M'חגורת גב+סגירה כפו בז</v>
      </c>
      <c r="C159" s="29" t="n">
        <f aca="false">SUMIFS('Source 2025'!$Q:$Q,'Source 2025'!$B:$B,$A159,'Source 2025'!$A:$A,"Quantity (units)")</f>
        <v>-12</v>
      </c>
      <c r="D159" s="29" t="n">
        <f aca="false">SUMIFS('Source 2026'!$Q:$Q,'Source 2026'!$B:$B,$A159,'Source 2026'!$A:$A,"Quantity (units)")</f>
        <v>-17</v>
      </c>
      <c r="E159" s="30" t="n">
        <f aca="false">D159*$J$5</f>
        <v>-21.4736842105263</v>
      </c>
      <c r="F159" s="30" t="n">
        <f aca="false">E159-C159</f>
        <v>-9.47368421052632</v>
      </c>
      <c r="G159" s="31" t="n">
        <f aca="false">IF(AND(C159=0,E159=0),0,IF(C159=0,"New",(E159-C159)/C159))</f>
        <v>0.789473684210526</v>
      </c>
      <c r="H159" s="32" t="n">
        <f aca="false">SUMIFS('Source 2025'!$Q:$Q,'Source 2025'!$B:$B,$A159,'Source 2025'!$A:$A,"Amount (NIS)")</f>
        <v>-1099.2</v>
      </c>
      <c r="I159" s="32" t="n">
        <f aca="false">SUMIFS('Source 2026'!$Q:$Q,'Source 2026'!$B:$B,$A159,'Source 2026'!$A:$A,"Amount (NIS)")</f>
        <v>-1561.8</v>
      </c>
      <c r="J159" s="32" t="n">
        <f aca="false">I159*$J$5</f>
        <v>-1972.8</v>
      </c>
      <c r="K159" s="32" t="n">
        <f aca="false">J159-H159</f>
        <v>-873.6</v>
      </c>
      <c r="L159" s="31" t="n">
        <f aca="false">IF(AND(H159=0,J159=0),0,IF(H159=0,"New",(J159-H159)/H159))</f>
        <v>0.794759825327511</v>
      </c>
    </row>
    <row r="160" customFormat="false" ht="15" hidden="false" customHeight="false" outlineLevel="0" collapsed="false">
      <c r="A160" s="28" t="s">
        <v>200</v>
      </c>
      <c r="B160" s="28" t="str">
        <f aca="false">IFERROR(INDEX('Source 2026'!$C:$C,MATCH($A160,'Source 2026'!$B:$B,0)),IFERROR(INDEX('Source 2025'!$C:$C,MATCH($A160,'Source 2025'!$B:$B,0)),""))</f>
        <v>S מגן שוק</v>
      </c>
      <c r="C160" s="29" t="n">
        <f aca="false">SUMIFS('Source 2025'!$Q:$Q,'Source 2025'!$B:$B,$A160,'Source 2025'!$A:$A,"Quantity (units)")</f>
        <v>-5</v>
      </c>
      <c r="D160" s="29" t="n">
        <f aca="false">SUMIFS('Source 2026'!$Q:$Q,'Source 2026'!$B:$B,$A160,'Source 2026'!$A:$A,"Quantity (units)")</f>
        <v>0</v>
      </c>
      <c r="E160" s="30" t="n">
        <f aca="false">D160*$J$5</f>
        <v>0</v>
      </c>
      <c r="F160" s="30" t="n">
        <f aca="false">E160-C160</f>
        <v>5</v>
      </c>
      <c r="G160" s="31" t="n">
        <f aca="false">IF(AND(C160=0,E160=0),0,IF(C160=0,"New",(E160-C160)/C160))</f>
        <v>-1</v>
      </c>
      <c r="H160" s="32" t="n">
        <f aca="false">SUMIFS('Source 2025'!$Q:$Q,'Source 2025'!$B:$B,$A160,'Source 2025'!$A:$A,"Amount (NIS)")</f>
        <v>-450.5</v>
      </c>
      <c r="I160" s="32" t="n">
        <f aca="false">SUMIFS('Source 2026'!$Q:$Q,'Source 2026'!$B:$B,$A160,'Source 2026'!$A:$A,"Amount (NIS)")</f>
        <v>0</v>
      </c>
      <c r="J160" s="32" t="n">
        <f aca="false">I160*$J$5</f>
        <v>0</v>
      </c>
      <c r="K160" s="32" t="n">
        <f aca="false">J160-H160</f>
        <v>450.5</v>
      </c>
      <c r="L160" s="31" t="n">
        <f aca="false">IF(AND(H160=0,J160=0),0,IF(H160=0,"New",(J160-H160)/H160))</f>
        <v>-1</v>
      </c>
    </row>
    <row r="161" customFormat="false" ht="15" hidden="false" customHeight="false" outlineLevel="0" collapsed="false">
      <c r="A161" s="28" t="s">
        <v>203</v>
      </c>
      <c r="B161" s="28" t="str">
        <f aca="false">IFERROR(INDEX('Source 2026'!$C:$C,MATCH($A161,'Source 2026'!$B:$B,0)),IFERROR(INDEX('Source 2025'!$C:$C,MATCH($A161,'Source 2025'!$B:$B,0)),""))</f>
        <v>להסרת עור קשה</v>
      </c>
      <c r="C161" s="29" t="n">
        <f aca="false">SUMIFS('Source 2025'!$Q:$Q,'Source 2025'!$B:$B,$A161,'Source 2025'!$A:$A,"Quantity (units)")</f>
        <v>68</v>
      </c>
      <c r="D161" s="29" t="n">
        <f aca="false">SUMIFS('Source 2026'!$Q:$Q,'Source 2026'!$B:$B,$A161,'Source 2026'!$A:$A,"Quantity (units)")</f>
        <v>50</v>
      </c>
      <c r="E161" s="30" t="n">
        <f aca="false">D161*$J$5</f>
        <v>63.1578947368421</v>
      </c>
      <c r="F161" s="30" t="n">
        <f aca="false">E161-C161</f>
        <v>-4.8421052631579</v>
      </c>
      <c r="G161" s="31" t="n">
        <f aca="false">IF(AND(C161=0,E161=0),0,IF(C161=0,"New",(E161-C161)/C161))</f>
        <v>-0.0712074303405573</v>
      </c>
      <c r="H161" s="32" t="n">
        <f aca="false">SUMIFS('Source 2025'!$Q:$Q,'Source 2025'!$B:$B,$A161,'Source 2025'!$A:$A,"Amount (NIS)")</f>
        <v>1686.8</v>
      </c>
      <c r="I161" s="32" t="n">
        <f aca="false">SUMIFS('Source 2026'!$Q:$Q,'Source 2026'!$B:$B,$A161,'Source 2026'!$A:$A,"Amount (NIS)")</f>
        <v>1237.6</v>
      </c>
      <c r="J161" s="32" t="n">
        <f aca="false">I161*$J$5</f>
        <v>1563.28421052632</v>
      </c>
      <c r="K161" s="32" t="n">
        <f aca="false">J161-H161</f>
        <v>-123.515789473684</v>
      </c>
      <c r="L161" s="31" t="n">
        <f aca="false">IF(AND(H161=0,J161=0),0,IF(H161=0,"New",(J161-H161)/H161))</f>
        <v>-0.0732249166905884</v>
      </c>
    </row>
    <row r="162" customFormat="false" ht="15" hidden="false" customHeight="false" outlineLevel="0" collapsed="false">
      <c r="A162" s="28" t="s">
        <v>181</v>
      </c>
      <c r="B162" s="28" t="str">
        <f aca="false">IFERROR(INDEX('Source 2026'!$C:$C,MATCH($A162,'Source 2026'!$B:$B,0)),IFERROR(INDEX('Source 2025'!$C:$C,MATCH($A162,'Source 2025'!$B:$B,0)),""))</f>
        <v>Sמ.ברך מוצלב+ספירלות בצדדים</v>
      </c>
      <c r="C162" s="29" t="n">
        <f aca="false">SUMIFS('Source 2025'!$Q:$Q,'Source 2025'!$B:$B,$A162,'Source 2025'!$A:$A,"Quantity (units)")</f>
        <v>7</v>
      </c>
      <c r="D162" s="29" t="n">
        <f aca="false">SUMIFS('Source 2026'!$Q:$Q,'Source 2026'!$B:$B,$A162,'Source 2026'!$A:$A,"Quantity (units)")</f>
        <v>3</v>
      </c>
      <c r="E162" s="30" t="n">
        <f aca="false">D162*$J$5</f>
        <v>3.78947368421053</v>
      </c>
      <c r="F162" s="30" t="n">
        <f aca="false">E162-C162</f>
        <v>-3.21052631578947</v>
      </c>
      <c r="G162" s="31" t="n">
        <f aca="false">IF(AND(C162=0,E162=0),0,IF(C162=0,"New",(E162-C162)/C162))</f>
        <v>-0.458646616541353</v>
      </c>
      <c r="H162" s="32" t="n">
        <f aca="false">SUMIFS('Source 2025'!$Q:$Q,'Source 2025'!$B:$B,$A162,'Source 2025'!$A:$A,"Amount (NIS)")</f>
        <v>745.3</v>
      </c>
      <c r="I162" s="32" t="n">
        <f aca="false">SUMIFS('Source 2026'!$Q:$Q,'Source 2026'!$B:$B,$A162,'Source 2026'!$A:$A,"Amount (NIS)")</f>
        <v>322.6</v>
      </c>
      <c r="J162" s="32" t="n">
        <f aca="false">I162*$J$5</f>
        <v>407.494736842105</v>
      </c>
      <c r="K162" s="32" t="n">
        <f aca="false">J162-H162</f>
        <v>-337.805263157895</v>
      </c>
      <c r="L162" s="31" t="n">
        <f aca="false">IF(AND(H162=0,J162=0),0,IF(H162=0,"New",(J162-H162)/H162))</f>
        <v>-0.453247367714873</v>
      </c>
    </row>
    <row r="163" customFormat="false" ht="15" hidden="false" customHeight="false" outlineLevel="0" collapsed="false">
      <c r="A163" s="28" t="s">
        <v>204</v>
      </c>
      <c r="B163" s="28" t="str">
        <f aca="false">IFERROR(INDEX('Source 2026'!$C:$C,MATCH($A163,'Source 2026'!$B:$B,0)),IFERROR(INDEX('Source 2025'!$C:$C,MATCH($A163,'Source 2025'!$B:$B,0)),""))</f>
        <v>סכינים למקצוע</v>
      </c>
      <c r="C163" s="29" t="n">
        <f aca="false">SUMIFS('Source 2025'!$Q:$Q,'Source 2025'!$B:$B,$A163,'Source 2025'!$A:$A,"Quantity (units)")</f>
        <v>97</v>
      </c>
      <c r="D163" s="29" t="n">
        <f aca="false">SUMIFS('Source 2026'!$Q:$Q,'Source 2026'!$B:$B,$A163,'Source 2026'!$A:$A,"Quantity (units)")</f>
        <v>50</v>
      </c>
      <c r="E163" s="30" t="n">
        <f aca="false">D163*$J$5</f>
        <v>63.1578947368421</v>
      </c>
      <c r="F163" s="30" t="n">
        <f aca="false">E163-C163</f>
        <v>-33.8421052631579</v>
      </c>
      <c r="G163" s="31" t="n">
        <f aca="false">IF(AND(C163=0,E163=0),0,IF(C163=0,"New",(E163-C163)/C163))</f>
        <v>-0.348887683125339</v>
      </c>
      <c r="H163" s="32" t="n">
        <f aca="false">SUMIFS('Source 2025'!$Q:$Q,'Source 2025'!$B:$B,$A163,'Source 2025'!$A:$A,"Amount (NIS)")</f>
        <v>791.2</v>
      </c>
      <c r="I163" s="32" t="n">
        <f aca="false">SUMIFS('Source 2026'!$Q:$Q,'Source 2026'!$B:$B,$A163,'Source 2026'!$A:$A,"Amount (NIS)")</f>
        <v>387.7</v>
      </c>
      <c r="J163" s="32" t="n">
        <f aca="false">I163*$J$5</f>
        <v>489.726315789474</v>
      </c>
      <c r="K163" s="32" t="n">
        <f aca="false">J163-H163</f>
        <v>-301.473684210526</v>
      </c>
      <c r="L163" s="31" t="n">
        <f aca="false">IF(AND(H163=0,J163=0),0,IF(H163=0,"New",(J163-H163)/H163))</f>
        <v>-0.381033473471343</v>
      </c>
    </row>
    <row r="164" customFormat="false" ht="15" hidden="false" customHeight="false" outlineLevel="0" collapsed="false">
      <c r="A164" s="28" t="s">
        <v>361</v>
      </c>
      <c r="B164" s="28" t="str">
        <f aca="false">IFERROR(INDEX('Source 2026'!$C:$C,MATCH($A164,'Source 2026'!$B:$B,0)),IFERROR(INDEX('Source 2025'!$C:$C,MATCH($A164,'Source 2025'!$B:$B,0)),""))</f>
        <v>כרית שינה חלומי</v>
      </c>
      <c r="C164" s="29" t="n">
        <f aca="false">SUMIFS('Source 2025'!$Q:$Q,'Source 2025'!$B:$B,$A164,'Source 2025'!$A:$A,"Quantity (units)")</f>
        <v>-3</v>
      </c>
      <c r="D164" s="29" t="n">
        <f aca="false">SUMIFS('Source 2026'!$Q:$Q,'Source 2026'!$B:$B,$A164,'Source 2026'!$A:$A,"Quantity (units)")</f>
        <v>0</v>
      </c>
      <c r="E164" s="30" t="n">
        <f aca="false">D164*$J$5</f>
        <v>0</v>
      </c>
      <c r="F164" s="30" t="n">
        <f aca="false">E164-C164</f>
        <v>3</v>
      </c>
      <c r="G164" s="31" t="n">
        <f aca="false">IF(AND(C164=0,E164=0),0,IF(C164=0,"New",(E164-C164)/C164))</f>
        <v>-1</v>
      </c>
      <c r="H164" s="32" t="n">
        <f aca="false">SUMIFS('Source 2025'!$Q:$Q,'Source 2025'!$B:$B,$A164,'Source 2025'!$A:$A,"Amount (NIS)")</f>
        <v>-393.2</v>
      </c>
      <c r="I164" s="32" t="n">
        <f aca="false">SUMIFS('Source 2026'!$Q:$Q,'Source 2026'!$B:$B,$A164,'Source 2026'!$A:$A,"Amount (NIS)")</f>
        <v>0</v>
      </c>
      <c r="J164" s="32" t="n">
        <f aca="false">I164*$J$5</f>
        <v>0</v>
      </c>
      <c r="K164" s="32" t="n">
        <f aca="false">J164-H164</f>
        <v>393.2</v>
      </c>
      <c r="L164" s="31" t="n">
        <f aca="false">IF(AND(H164=0,J164=0),0,IF(H164=0,"New",(J164-H164)/H164))</f>
        <v>-1</v>
      </c>
    </row>
    <row r="165" customFormat="false" ht="15" hidden="false" customHeight="false" outlineLevel="0" collapsed="false">
      <c r="A165" s="28" t="s">
        <v>282</v>
      </c>
      <c r="B165" s="28" t="str">
        <f aca="false">IFERROR(INDEX('Source 2026'!$C:$C,MATCH($A165,'Source 2026'!$B:$B,0)),IFERROR(INDEX('Source 2025'!$C:$C,MATCH($A165,'Source 2025'!$B:$B,0)),""))</f>
        <v>מגן זרת מסיליקון</v>
      </c>
      <c r="C165" s="29" t="n">
        <f aca="false">SUMIFS('Source 2025'!$Q:$Q,'Source 2025'!$B:$B,$A165,'Source 2025'!$A:$A,"Quantity (units)")</f>
        <v>84</v>
      </c>
      <c r="D165" s="29" t="n">
        <f aca="false">SUMIFS('Source 2026'!$Q:$Q,'Source 2026'!$B:$B,$A165,'Source 2026'!$A:$A,"Quantity (units)")</f>
        <v>69</v>
      </c>
      <c r="E165" s="30" t="n">
        <f aca="false">D165*$J$5</f>
        <v>87.1578947368421</v>
      </c>
      <c r="F165" s="30" t="n">
        <f aca="false">E165-C165</f>
        <v>3.1578947368421</v>
      </c>
      <c r="G165" s="31" t="n">
        <f aca="false">IF(AND(C165=0,E165=0),0,IF(C165=0,"New",(E165-C165)/C165))</f>
        <v>0.0375939849624059</v>
      </c>
      <c r="H165" s="32" t="n">
        <f aca="false">SUMIFS('Source 2025'!$Q:$Q,'Source 2025'!$B:$B,$A165,'Source 2025'!$A:$A,"Amount (NIS)")</f>
        <v>2147.5</v>
      </c>
      <c r="I165" s="32" t="n">
        <f aca="false">SUMIFS('Source 2026'!$Q:$Q,'Source 2026'!$B:$B,$A165,'Source 2026'!$A:$A,"Amount (NIS)")</f>
        <v>1774.1</v>
      </c>
      <c r="J165" s="32" t="n">
        <f aca="false">I165*$J$5</f>
        <v>2240.96842105263</v>
      </c>
      <c r="K165" s="32" t="n">
        <f aca="false">J165-H165</f>
        <v>93.4684210526311</v>
      </c>
      <c r="L165" s="31" t="n">
        <f aca="false">IF(AND(H165=0,J165=0),0,IF(H165=0,"New",(J165-H165)/H165))</f>
        <v>0.043524293854543</v>
      </c>
    </row>
    <row r="166" customFormat="false" ht="15" hidden="false" customHeight="false" outlineLevel="0" collapsed="false">
      <c r="A166" s="28" t="s">
        <v>113</v>
      </c>
      <c r="B166" s="28" t="str">
        <f aca="false">IFERROR(INDEX('Source 2026'!$C:$C,MATCH($A166,'Source 2026'!$B:$B,0)),IFERROR(INDEX('Source 2025'!$C:$C,MATCH($A166,'Source 2025'!$B:$B,0)),""))</f>
        <v>S ח.בטן לאחר ניתוח</v>
      </c>
      <c r="C166" s="29" t="n">
        <f aca="false">SUMIFS('Source 2025'!$Q:$Q,'Source 2025'!$B:$B,$A166,'Source 2025'!$A:$A,"Quantity (units)")</f>
        <v>10</v>
      </c>
      <c r="D166" s="29" t="n">
        <f aca="false">SUMIFS('Source 2026'!$Q:$Q,'Source 2026'!$B:$B,$A166,'Source 2026'!$A:$A,"Quantity (units)")</f>
        <v>14</v>
      </c>
      <c r="E166" s="30" t="n">
        <f aca="false">D166*$J$5</f>
        <v>17.6842105263158</v>
      </c>
      <c r="F166" s="30" t="n">
        <f aca="false">E166-C166</f>
        <v>7.68421052631579</v>
      </c>
      <c r="G166" s="31" t="n">
        <f aca="false">IF(AND(C166=0,E166=0),0,IF(C166=0,"New",(E166-C166)/C166))</f>
        <v>0.768421052631579</v>
      </c>
      <c r="H166" s="32" t="n">
        <f aca="false">SUMIFS('Source 2025'!$Q:$Q,'Source 2025'!$B:$B,$A166,'Source 2025'!$A:$A,"Amount (NIS)")</f>
        <v>882.9</v>
      </c>
      <c r="I166" s="32" t="n">
        <f aca="false">SUMIFS('Source 2026'!$Q:$Q,'Source 2026'!$B:$B,$A166,'Source 2026'!$A:$A,"Amount (NIS)")</f>
        <v>1249.8</v>
      </c>
      <c r="J166" s="32" t="n">
        <f aca="false">I166*$J$5</f>
        <v>1578.69473684211</v>
      </c>
      <c r="K166" s="32" t="n">
        <f aca="false">J166-H166</f>
        <v>695.794736842105</v>
      </c>
      <c r="L166" s="31" t="n">
        <f aca="false">IF(AND(H166=0,J166=0),0,IF(H166=0,"New",(J166-H166)/H166))</f>
        <v>0.788078759590107</v>
      </c>
    </row>
    <row r="167" customFormat="false" ht="15" hidden="false" customHeight="false" outlineLevel="0" collapsed="false">
      <c r="A167" s="28" t="s">
        <v>286</v>
      </c>
      <c r="B167" s="28" t="str">
        <f aca="false">IFERROR(INDEX('Source 2026'!$C:$C,MATCH($A167,'Source 2026'!$B:$B,0)),IFERROR(INDEX('Source 2025'!$C:$C,MATCH($A167,'Source 2025'!$B:$B,0)),""))</f>
        <v>L מגן למפרק כתף</v>
      </c>
      <c r="C167" s="29" t="n">
        <f aca="false">SUMIFS('Source 2025'!$Q:$Q,'Source 2025'!$B:$B,$A167,'Source 2025'!$A:$A,"Quantity (units)")</f>
        <v>-2</v>
      </c>
      <c r="D167" s="29" t="n">
        <f aca="false">SUMIFS('Source 2026'!$Q:$Q,'Source 2026'!$B:$B,$A167,'Source 2026'!$A:$A,"Quantity (units)")</f>
        <v>-1</v>
      </c>
      <c r="E167" s="30" t="n">
        <f aca="false">D167*$J$5</f>
        <v>-1.26315789473684</v>
      </c>
      <c r="F167" s="30" t="n">
        <f aca="false">E167-C167</f>
        <v>0.736842105263158</v>
      </c>
      <c r="G167" s="31" t="n">
        <f aca="false">IF(AND(C167=0,E167=0),0,IF(C167=0,"New",(E167-C167)/C167))</f>
        <v>-0.368421052631579</v>
      </c>
      <c r="H167" s="32" t="n">
        <f aca="false">SUMIFS('Source 2025'!$Q:$Q,'Source 2025'!$B:$B,$A167,'Source 2025'!$A:$A,"Amount (NIS)")</f>
        <v>-570.3</v>
      </c>
      <c r="I167" s="32" t="n">
        <f aca="false">SUMIFS('Source 2026'!$Q:$Q,'Source 2026'!$B:$B,$A167,'Source 2026'!$A:$A,"Amount (NIS)")</f>
        <v>-208.4</v>
      </c>
      <c r="J167" s="32" t="n">
        <f aca="false">I167*$J$5</f>
        <v>-263.242105263158</v>
      </c>
      <c r="K167" s="32" t="n">
        <f aca="false">J167-H167</f>
        <v>307.057894736842</v>
      </c>
      <c r="L167" s="31" t="n">
        <f aca="false">IF(AND(H167=0,J167=0),0,IF(H167=0,"New",(J167-H167)/H167))</f>
        <v>-0.538414684791938</v>
      </c>
    </row>
    <row r="168" customFormat="false" ht="15" hidden="false" customHeight="false" outlineLevel="0" collapsed="false">
      <c r="A168" s="28" t="s">
        <v>212</v>
      </c>
      <c r="B168" s="28" t="str">
        <f aca="false">IFERROR(INDEX('Source 2026'!$C:$C,MATCH($A168,'Source 2026'!$B:$B,0)),IFERROR(INDEX('Source 2025'!$C:$C,MATCH($A168,'Source 2025'!$B:$B,0)),""))</f>
        <v>רפ.אורטופדית ספורט זוג35</v>
      </c>
      <c r="C168" s="29" t="n">
        <f aca="false">SUMIFS('Source 2025'!$Q:$Q,'Source 2025'!$B:$B,$A168,'Source 2025'!$A:$A,"Quantity (units)")</f>
        <v>3</v>
      </c>
      <c r="D168" s="29" t="n">
        <f aca="false">SUMIFS('Source 2026'!$Q:$Q,'Source 2026'!$B:$B,$A168,'Source 2026'!$A:$A,"Quantity (units)")</f>
        <v>-6</v>
      </c>
      <c r="E168" s="30" t="n">
        <f aca="false">D168*$J$5</f>
        <v>-7.57894736842105</v>
      </c>
      <c r="F168" s="30" t="n">
        <f aca="false">E168-C168</f>
        <v>-10.5789473684211</v>
      </c>
      <c r="G168" s="31" t="n">
        <f aca="false">IF(AND(C168=0,E168=0),0,IF(C168=0,"New",(E168-C168)/C168))</f>
        <v>-3.52631578947368</v>
      </c>
      <c r="H168" s="32" t="n">
        <f aca="false">SUMIFS('Source 2025'!$Q:$Q,'Source 2025'!$B:$B,$A168,'Source 2025'!$A:$A,"Amount (NIS)")</f>
        <v>121</v>
      </c>
      <c r="I168" s="32" t="n">
        <f aca="false">SUMIFS('Source 2026'!$Q:$Q,'Source 2026'!$B:$B,$A168,'Source 2026'!$A:$A,"Amount (NIS)")</f>
        <v>-215.2</v>
      </c>
      <c r="J168" s="32" t="n">
        <f aca="false">I168*$J$5</f>
        <v>-271.831578947368</v>
      </c>
      <c r="K168" s="32" t="n">
        <f aca="false">J168-H168</f>
        <v>-392.831578947368</v>
      </c>
      <c r="L168" s="31" t="n">
        <f aca="false">IF(AND(H168=0,J168=0),0,IF(H168=0,"New",(J168-H168)/H168))</f>
        <v>-3.24654197477164</v>
      </c>
    </row>
    <row r="169" customFormat="false" ht="15" hidden="false" customHeight="false" outlineLevel="0" collapsed="false">
      <c r="A169" s="28" t="s">
        <v>168</v>
      </c>
      <c r="B169" s="28" t="str">
        <f aca="false">IFERROR(INDEX('Source 2026'!$C:$C,MATCH($A169,'Source 2026'!$B:$B,0)),IFERROR(INDEX('Source 2025'!$C:$C,MATCH($A169,'Source 2025'!$B:$B,0)),""))</f>
        <v>S חגורת שבר לצד ימין</v>
      </c>
      <c r="C169" s="29" t="n">
        <f aca="false">SUMIFS('Source 2025'!$Q:$Q,'Source 2025'!$B:$B,$A169,'Source 2025'!$A:$A,"Quantity (units)")</f>
        <v>-2</v>
      </c>
      <c r="D169" s="29" t="n">
        <f aca="false">SUMIFS('Source 2026'!$Q:$Q,'Source 2026'!$B:$B,$A169,'Source 2026'!$A:$A,"Quantity (units)")</f>
        <v>0</v>
      </c>
      <c r="E169" s="30" t="n">
        <f aca="false">D169*$J$5</f>
        <v>0</v>
      </c>
      <c r="F169" s="30" t="n">
        <f aca="false">E169-C169</f>
        <v>2</v>
      </c>
      <c r="G169" s="31" t="n">
        <f aca="false">IF(AND(C169=0,E169=0),0,IF(C169=0,"New",(E169-C169)/C169))</f>
        <v>-1</v>
      </c>
      <c r="H169" s="32" t="n">
        <f aca="false">SUMIFS('Source 2025'!$Q:$Q,'Source 2025'!$B:$B,$A169,'Source 2025'!$A:$A,"Amount (NIS)")</f>
        <v>-332.2</v>
      </c>
      <c r="I169" s="32" t="n">
        <f aca="false">SUMIFS('Source 2026'!$Q:$Q,'Source 2026'!$B:$B,$A169,'Source 2026'!$A:$A,"Amount (NIS)")</f>
        <v>0</v>
      </c>
      <c r="J169" s="32" t="n">
        <f aca="false">I169*$J$5</f>
        <v>0</v>
      </c>
      <c r="K169" s="32" t="n">
        <f aca="false">J169-H169</f>
        <v>332.2</v>
      </c>
      <c r="L169" s="31" t="n">
        <f aca="false">IF(AND(H169=0,J169=0),0,IF(H169=0,"New",(J169-H169)/H169))</f>
        <v>-1</v>
      </c>
    </row>
    <row r="170" customFormat="false" ht="15" hidden="false" customHeight="false" outlineLevel="0" collapsed="false">
      <c r="A170" s="28" t="s">
        <v>278</v>
      </c>
      <c r="B170" s="28" t="str">
        <f aca="false">IFERROR(INDEX('Source 2026'!$C:$C,MATCH($A170,'Source 2026'!$B:$B,0)),IFERROR(INDEX('Source 2025'!$C:$C,MATCH($A170,'Source 2025'!$B:$B,0)),""))</f>
        <v>S חגורת שבר לצד שמאל</v>
      </c>
      <c r="C170" s="29" t="n">
        <f aca="false">SUMIFS('Source 2025'!$Q:$Q,'Source 2025'!$B:$B,$A170,'Source 2025'!$A:$A,"Quantity (units)")</f>
        <v>-1</v>
      </c>
      <c r="D170" s="29" t="n">
        <f aca="false">SUMIFS('Source 2026'!$Q:$Q,'Source 2026'!$B:$B,$A170,'Source 2026'!$A:$A,"Quantity (units)")</f>
        <v>0</v>
      </c>
      <c r="E170" s="30" t="n">
        <f aca="false">D170*$J$5</f>
        <v>0</v>
      </c>
      <c r="F170" s="30" t="n">
        <f aca="false">E170-C170</f>
        <v>1</v>
      </c>
      <c r="G170" s="31" t="n">
        <f aca="false">IF(AND(C170=0,E170=0),0,IF(C170=0,"New",(E170-C170)/C170))</f>
        <v>-1</v>
      </c>
      <c r="H170" s="32" t="n">
        <f aca="false">SUMIFS('Source 2025'!$Q:$Q,'Source 2025'!$B:$B,$A170,'Source 2025'!$A:$A,"Amount (NIS)")</f>
        <v>-166.1</v>
      </c>
      <c r="I170" s="32" t="n">
        <f aca="false">SUMIFS('Source 2026'!$Q:$Q,'Source 2026'!$B:$B,$A170,'Source 2026'!$A:$A,"Amount (NIS)")</f>
        <v>162.5</v>
      </c>
      <c r="J170" s="32" t="n">
        <f aca="false">I170*$J$5</f>
        <v>205.263157894737</v>
      </c>
      <c r="K170" s="32" t="n">
        <f aca="false">J170-H170</f>
        <v>371.363157894737</v>
      </c>
      <c r="L170" s="31" t="n">
        <f aca="false">IF(AND(H170=0,J170=0),0,IF(H170=0,"New",(J170-H170)/H170))</f>
        <v>-2.23578060141323</v>
      </c>
    </row>
    <row r="171" customFormat="false" ht="15" hidden="false" customHeight="false" outlineLevel="0" collapsed="false">
      <c r="A171" s="28" t="s">
        <v>209</v>
      </c>
      <c r="B171" s="28" t="str">
        <f aca="false">IFERROR(INDEX('Source 2026'!$C:$C,MATCH($A171,'Source 2026'!$B:$B,0)),IFERROR(INDEX('Source 2025'!$C:$C,MATCH($A171,'Source 2025'!$B:$B,0)),""))</f>
        <v>S ח.הריון מכנס למניעת כאבים</v>
      </c>
      <c r="C171" s="29" t="n">
        <f aca="false">SUMIFS('Source 2025'!$Q:$Q,'Source 2025'!$B:$B,$A171,'Source 2025'!$A:$A,"Quantity (units)")</f>
        <v>0</v>
      </c>
      <c r="D171" s="29" t="n">
        <f aca="false">SUMIFS('Source 2026'!$Q:$Q,'Source 2026'!$B:$B,$A171,'Source 2026'!$A:$A,"Quantity (units)")</f>
        <v>-1</v>
      </c>
      <c r="E171" s="30" t="n">
        <f aca="false">D171*$J$5</f>
        <v>-1.26315789473684</v>
      </c>
      <c r="F171" s="30" t="n">
        <f aca="false">E171-C171</f>
        <v>-1.26315789473684</v>
      </c>
      <c r="G171" s="31" t="str">
        <f aca="false">IF(AND(C171=0,E171=0),0,IF(C171=0,"New",(E171-C171)/C171))</f>
        <v>New</v>
      </c>
      <c r="H171" s="32" t="n">
        <f aca="false">SUMIFS('Source 2025'!$Q:$Q,'Source 2025'!$B:$B,$A171,'Source 2025'!$A:$A,"Amount (NIS)")</f>
        <v>0</v>
      </c>
      <c r="I171" s="32" t="n">
        <f aca="false">SUMIFS('Source 2026'!$Q:$Q,'Source 2026'!$B:$B,$A171,'Source 2026'!$A:$A,"Amount (NIS)")</f>
        <v>-266.2</v>
      </c>
      <c r="J171" s="32" t="n">
        <f aca="false">I171*$J$5</f>
        <v>-336.252631578947</v>
      </c>
      <c r="K171" s="32" t="n">
        <f aca="false">J171-H171</f>
        <v>-336.252631578947</v>
      </c>
      <c r="L171" s="31" t="str">
        <f aca="false">IF(AND(H171=0,J171=0),0,IF(H171=0,"New",(J171-H171)/H171))</f>
        <v>New</v>
      </c>
    </row>
    <row r="172" customFormat="false" ht="15" hidden="false" customHeight="false" outlineLevel="0" collapsed="false">
      <c r="A172" s="28" t="s">
        <v>295</v>
      </c>
      <c r="B172" s="28" t="str">
        <f aca="false">IFERROR(INDEX('Source 2026'!$C:$C,MATCH($A172,'Source 2026'!$B:$B,0)),IFERROR(INDEX('Source 2025'!$C:$C,MATCH($A172,'Source 2025'!$B:$B,0)),""))</f>
        <v>יד לטניס כרית סילי</v>
      </c>
      <c r="C172" s="29" t="n">
        <f aca="false">SUMIFS('Source 2025'!$Q:$Q,'Source 2025'!$B:$B,$A172,'Source 2025'!$A:$A,"Quantity (units)")</f>
        <v>-2</v>
      </c>
      <c r="D172" s="29" t="n">
        <f aca="false">SUMIFS('Source 2026'!$Q:$Q,'Source 2026'!$B:$B,$A172,'Source 2026'!$A:$A,"Quantity (units)")</f>
        <v>0</v>
      </c>
      <c r="E172" s="30" t="n">
        <f aca="false">D172*$J$5</f>
        <v>0</v>
      </c>
      <c r="F172" s="30" t="n">
        <f aca="false">E172-C172</f>
        <v>2</v>
      </c>
      <c r="G172" s="31" t="n">
        <f aca="false">IF(AND(C172=0,E172=0),0,IF(C172=0,"New",(E172-C172)/C172))</f>
        <v>-1</v>
      </c>
      <c r="H172" s="32" t="n">
        <f aca="false">SUMIFS('Source 2025'!$Q:$Q,'Source 2025'!$B:$B,$A172,'Source 2025'!$A:$A,"Amount (NIS)")</f>
        <v>-262.1</v>
      </c>
      <c r="I172" s="32" t="n">
        <f aca="false">SUMIFS('Source 2026'!$Q:$Q,'Source 2026'!$B:$B,$A172,'Source 2026'!$A:$A,"Amount (NIS)")</f>
        <v>0</v>
      </c>
      <c r="J172" s="32" t="n">
        <f aca="false">I172*$J$5</f>
        <v>0</v>
      </c>
      <c r="K172" s="32" t="n">
        <f aca="false">J172-H172</f>
        <v>262.1</v>
      </c>
      <c r="L172" s="31" t="n">
        <f aca="false">IF(AND(H172=0,J172=0),0,IF(H172=0,"New",(J172-H172)/H172))</f>
        <v>-1</v>
      </c>
    </row>
    <row r="173" customFormat="false" ht="15" hidden="false" customHeight="false" outlineLevel="0" collapsed="false">
      <c r="A173" s="28" t="s">
        <v>253</v>
      </c>
      <c r="B173" s="28" t="str">
        <f aca="false">IFERROR(INDEX('Source 2026'!$C:$C,MATCH($A173,'Source 2026'!$B:$B,0)),IFERROR(INDEX('Source 2025'!$C:$C,MATCH($A173,'Source 2025'!$B:$B,0)),""))</f>
        <v>Mמתלה ליד)כיס(+רצועת חיזוק</v>
      </c>
      <c r="C173" s="29" t="n">
        <f aca="false">SUMIFS('Source 2025'!$Q:$Q,'Source 2025'!$B:$B,$A173,'Source 2025'!$A:$A,"Quantity (units)")</f>
        <v>3</v>
      </c>
      <c r="D173" s="29" t="n">
        <f aca="false">SUMIFS('Source 2026'!$Q:$Q,'Source 2026'!$B:$B,$A173,'Source 2026'!$A:$A,"Quantity (units)")</f>
        <v>0</v>
      </c>
      <c r="E173" s="30" t="n">
        <f aca="false">D173*$J$5</f>
        <v>0</v>
      </c>
      <c r="F173" s="30" t="n">
        <f aca="false">E173-C173</f>
        <v>-3</v>
      </c>
      <c r="G173" s="31" t="n">
        <f aca="false">IF(AND(C173=0,E173=0),0,IF(C173=0,"New",(E173-C173)/C173))</f>
        <v>-1</v>
      </c>
      <c r="H173" s="32" t="n">
        <f aca="false">SUMIFS('Source 2025'!$Q:$Q,'Source 2025'!$B:$B,$A173,'Source 2025'!$A:$A,"Amount (NIS)")</f>
        <v>248.7</v>
      </c>
      <c r="I173" s="32" t="n">
        <f aca="false">SUMIFS('Source 2026'!$Q:$Q,'Source 2026'!$B:$B,$A173,'Source 2026'!$A:$A,"Amount (NIS)")</f>
        <v>0</v>
      </c>
      <c r="J173" s="32" t="n">
        <f aca="false">I173*$J$5</f>
        <v>0</v>
      </c>
      <c r="K173" s="32" t="n">
        <f aca="false">J173-H173</f>
        <v>-248.7</v>
      </c>
      <c r="L173" s="31" t="n">
        <f aca="false">IF(AND(H173=0,J173=0),0,IF(H173=0,"New",(J173-H173)/H173))</f>
        <v>-1</v>
      </c>
    </row>
    <row r="174" customFormat="false" ht="15" hidden="false" customHeight="false" outlineLevel="0" collapsed="false">
      <c r="A174" s="28" t="s">
        <v>362</v>
      </c>
      <c r="B174" s="28" t="str">
        <f aca="false">IFERROR(INDEX('Source 2026'!$C:$C,MATCH($A174,'Source 2026'!$B:$B,0)),IFERROR(INDEX('Source 2025'!$C:$C,MATCH($A174,'Source 2025'!$B:$B,0)),""))</f>
        <v>S תתמוקפאעקב סיליקון+ קשת</v>
      </c>
      <c r="C174" s="29" t="n">
        <f aca="false">SUMIFS('Source 2025'!$Q:$Q,'Source 2025'!$B:$B,$A174,'Source 2025'!$A:$A,"Quantity (units)")</f>
        <v>-3</v>
      </c>
      <c r="D174" s="29" t="n">
        <f aca="false">SUMIFS('Source 2026'!$Q:$Q,'Source 2026'!$B:$B,$A174,'Source 2026'!$A:$A,"Quantity (units)")</f>
        <v>0</v>
      </c>
      <c r="E174" s="30" t="n">
        <f aca="false">D174*$J$5</f>
        <v>0</v>
      </c>
      <c r="F174" s="30" t="n">
        <f aca="false">E174-C174</f>
        <v>3</v>
      </c>
      <c r="G174" s="31" t="n">
        <f aca="false">IF(AND(C174=0,E174=0),0,IF(C174=0,"New",(E174-C174)/C174))</f>
        <v>-1</v>
      </c>
      <c r="H174" s="32" t="n">
        <f aca="false">SUMIFS('Source 2025'!$Q:$Q,'Source 2025'!$B:$B,$A174,'Source 2025'!$A:$A,"Amount (NIS)")</f>
        <v>-241.3</v>
      </c>
      <c r="I174" s="32" t="n">
        <f aca="false">SUMIFS('Source 2026'!$Q:$Q,'Source 2026'!$B:$B,$A174,'Source 2026'!$A:$A,"Amount (NIS)")</f>
        <v>0</v>
      </c>
      <c r="J174" s="32" t="n">
        <f aca="false">I174*$J$5</f>
        <v>0</v>
      </c>
      <c r="K174" s="32" t="n">
        <f aca="false">J174-H174</f>
        <v>241.3</v>
      </c>
      <c r="L174" s="31" t="n">
        <f aca="false">IF(AND(H174=0,J174=0),0,IF(H174=0,"New",(J174-H174)/H174))</f>
        <v>-1</v>
      </c>
    </row>
    <row r="175" customFormat="false" ht="15" hidden="false" customHeight="false" outlineLevel="0" collapsed="false">
      <c r="A175" s="28" t="s">
        <v>363</v>
      </c>
      <c r="B175" s="28" t="str">
        <f aca="false">IFERROR(INDEX('Source 2026'!$C:$C,MATCH($A175,'Source 2026'!$B:$B,0)),IFERROR(INDEX('Source 2025'!$C:$C,MATCH($A175,'Source 2025'!$B:$B,0)),""))</f>
        <v>קרסול עם שרוכים בז</v>
      </c>
      <c r="C175" s="29" t="n">
        <f aca="false">SUMIFS('Source 2025'!$Q:$Q,'Source 2025'!$B:$B,$A175,'Source 2025'!$A:$A,"Quantity (units)")</f>
        <v>-2</v>
      </c>
      <c r="D175" s="29" t="n">
        <f aca="false">SUMIFS('Source 2026'!$Q:$Q,'Source 2026'!$B:$B,$A175,'Source 2026'!$A:$A,"Quantity (units)")</f>
        <v>0</v>
      </c>
      <c r="E175" s="30" t="n">
        <f aca="false">D175*$J$5</f>
        <v>0</v>
      </c>
      <c r="F175" s="30" t="n">
        <f aca="false">E175-C175</f>
        <v>2</v>
      </c>
      <c r="G175" s="31" t="n">
        <f aca="false">IF(AND(C175=0,E175=0),0,IF(C175=0,"New",(E175-C175)/C175))</f>
        <v>-1</v>
      </c>
      <c r="H175" s="32" t="n">
        <f aca="false">SUMIFS('Source 2025'!$Q:$Q,'Source 2025'!$B:$B,$A175,'Source 2025'!$A:$A,"Amount (NIS)")</f>
        <v>-213</v>
      </c>
      <c r="I175" s="32" t="n">
        <f aca="false">SUMIFS('Source 2026'!$Q:$Q,'Source 2026'!$B:$B,$A175,'Source 2026'!$A:$A,"Amount (NIS)")</f>
        <v>0</v>
      </c>
      <c r="J175" s="32" t="n">
        <f aca="false">I175*$J$5</f>
        <v>0</v>
      </c>
      <c r="K175" s="32" t="n">
        <f aca="false">J175-H175</f>
        <v>213</v>
      </c>
      <c r="L175" s="31" t="n">
        <f aca="false">IF(AND(H175=0,J175=0),0,IF(H175=0,"New",(J175-H175)/H175))</f>
        <v>-1</v>
      </c>
    </row>
    <row r="176" customFormat="false" ht="15" hidden="false" customHeight="false" outlineLevel="0" collapsed="false">
      <c r="A176" s="28" t="s">
        <v>272</v>
      </c>
      <c r="B176" s="28" t="str">
        <f aca="false">IFERROR(INDEX('Source 2026'!$C:$C,MATCH($A176,'Source 2026'!$B:$B,0)),IFERROR(INDEX('Source 2025'!$C:$C,MATCH($A176,'Source 2025'!$B:$B,0)),""))</f>
        <v>L-XLחגורת הריון בכאב.חזק</v>
      </c>
      <c r="C176" s="29" t="n">
        <f aca="false">SUMIFS('Source 2025'!$Q:$Q,'Source 2025'!$B:$B,$A176,'Source 2025'!$A:$A,"Quantity (units)")</f>
        <v>0</v>
      </c>
      <c r="D176" s="29" t="n">
        <f aca="false">SUMIFS('Source 2026'!$Q:$Q,'Source 2026'!$B:$B,$A176,'Source 2026'!$A:$A,"Quantity (units)")</f>
        <v>-1</v>
      </c>
      <c r="E176" s="30" t="n">
        <f aca="false">D176*$J$5</f>
        <v>-1.26315789473684</v>
      </c>
      <c r="F176" s="30" t="n">
        <f aca="false">E176-C176</f>
        <v>-1.26315789473684</v>
      </c>
      <c r="G176" s="31" t="str">
        <f aca="false">IF(AND(C176=0,E176=0),0,IF(C176=0,"New",(E176-C176)/C176))</f>
        <v>New</v>
      </c>
      <c r="H176" s="32" t="n">
        <f aca="false">SUMIFS('Source 2025'!$Q:$Q,'Source 2025'!$B:$B,$A176,'Source 2025'!$A:$A,"Amount (NIS)")</f>
        <v>0</v>
      </c>
      <c r="I176" s="32" t="n">
        <f aca="false">SUMIFS('Source 2026'!$Q:$Q,'Source 2026'!$B:$B,$A176,'Source 2026'!$A:$A,"Amount (NIS)")</f>
        <v>-207.2</v>
      </c>
      <c r="J176" s="32" t="n">
        <f aca="false">I176*$J$5</f>
        <v>-261.726315789474</v>
      </c>
      <c r="K176" s="32" t="n">
        <f aca="false">J176-H176</f>
        <v>-261.726315789474</v>
      </c>
      <c r="L176" s="31" t="str">
        <f aca="false">IF(AND(H176=0,J176=0),0,IF(H176=0,"New",(J176-H176)/H176))</f>
        <v>New</v>
      </c>
    </row>
    <row r="177" customFormat="false" ht="15" hidden="false" customHeight="false" outlineLevel="0" collapsed="false">
      <c r="A177" s="28" t="s">
        <v>364</v>
      </c>
      <c r="B177" s="28" t="str">
        <f aca="false">IFERROR(INDEX('Source 2026'!$C:$C,MATCH($A177,'Source 2026'!$B:$B,0)),IFERROR(INDEX('Source 2025'!$C:$C,MATCH($A177,'Source 2025'!$B:$B,0)),""))</f>
        <v>L מגן ברך לסקי</v>
      </c>
      <c r="C177" s="29" t="n">
        <f aca="false">SUMIFS('Source 2025'!$Q:$Q,'Source 2025'!$B:$B,$A177,'Source 2025'!$A:$A,"Quantity (units)")</f>
        <v>0</v>
      </c>
      <c r="D177" s="29" t="n">
        <f aca="false">SUMIFS('Source 2026'!$Q:$Q,'Source 2026'!$B:$B,$A177,'Source 2026'!$A:$A,"Quantity (units)")</f>
        <v>-1</v>
      </c>
      <c r="E177" s="30" t="n">
        <f aca="false">D177*$J$5</f>
        <v>-1.26315789473684</v>
      </c>
      <c r="F177" s="30" t="n">
        <f aca="false">E177-C177</f>
        <v>-1.26315789473684</v>
      </c>
      <c r="G177" s="31" t="str">
        <f aca="false">IF(AND(C177=0,E177=0),0,IF(C177=0,"New",(E177-C177)/C177))</f>
        <v>New</v>
      </c>
      <c r="H177" s="32" t="n">
        <f aca="false">SUMIFS('Source 2025'!$Q:$Q,'Source 2025'!$B:$B,$A177,'Source 2025'!$A:$A,"Amount (NIS)")</f>
        <v>0</v>
      </c>
      <c r="I177" s="32" t="n">
        <f aca="false">SUMIFS('Source 2026'!$Q:$Q,'Source 2026'!$B:$B,$A177,'Source 2026'!$A:$A,"Amount (NIS)")</f>
        <v>-204.8</v>
      </c>
      <c r="J177" s="32" t="n">
        <f aca="false">I177*$J$5</f>
        <v>-258.694736842105</v>
      </c>
      <c r="K177" s="32" t="n">
        <f aca="false">J177-H177</f>
        <v>-258.694736842105</v>
      </c>
      <c r="L177" s="31" t="str">
        <f aca="false">IF(AND(H177=0,J177=0),0,IF(H177=0,"New",(J177-H177)/H177))</f>
        <v>New</v>
      </c>
    </row>
    <row r="178" customFormat="false" ht="15" hidden="false" customHeight="false" outlineLevel="0" collapsed="false">
      <c r="A178" s="28" t="s">
        <v>288</v>
      </c>
      <c r="B178" s="28" t="str">
        <f aca="false">IFERROR(INDEX('Source 2026'!$C:$C,MATCH($A178,'Source 2026'!$B:$B,0)),IFERROR(INDEX('Source 2025'!$C:$C,MATCH($A178,'Source 2025'!$B:$B,0)),""))</f>
        <v>L-מדרס סיליקון לנעלי עקב</v>
      </c>
      <c r="C178" s="29" t="n">
        <f aca="false">SUMIFS('Source 2025'!$Q:$Q,'Source 2025'!$B:$B,$A178,'Source 2025'!$A:$A,"Quantity (units)")</f>
        <v>-2</v>
      </c>
      <c r="D178" s="29" t="n">
        <f aca="false">SUMIFS('Source 2026'!$Q:$Q,'Source 2026'!$B:$B,$A178,'Source 2026'!$A:$A,"Quantity (units)")</f>
        <v>3</v>
      </c>
      <c r="E178" s="30" t="n">
        <f aca="false">D178*$J$5</f>
        <v>3.78947368421053</v>
      </c>
      <c r="F178" s="30" t="n">
        <f aca="false">E178-C178</f>
        <v>5.78947368421053</v>
      </c>
      <c r="G178" s="31" t="n">
        <f aca="false">IF(AND(C178=0,E178=0),0,IF(C178=0,"New",(E178-C178)/C178))</f>
        <v>-2.89473684210526</v>
      </c>
      <c r="H178" s="32" t="n">
        <f aca="false">SUMIFS('Source 2025'!$Q:$Q,'Source 2025'!$B:$B,$A178,'Source 2025'!$A:$A,"Amount (NIS)")</f>
        <v>-79.1</v>
      </c>
      <c r="I178" s="32" t="n">
        <f aca="false">SUMIFS('Source 2026'!$Q:$Q,'Source 2026'!$B:$B,$A178,'Source 2026'!$A:$A,"Amount (NIS)")</f>
        <v>114.5</v>
      </c>
      <c r="J178" s="32" t="n">
        <f aca="false">I178*$J$5</f>
        <v>144.631578947368</v>
      </c>
      <c r="K178" s="32" t="n">
        <f aca="false">J178-H178</f>
        <v>223.731578947368</v>
      </c>
      <c r="L178" s="31" t="n">
        <f aca="false">IF(AND(H178=0,J178=0),0,IF(H178=0,"New",(J178-H178)/H178))</f>
        <v>-2.82846496772906</v>
      </c>
    </row>
    <row r="179" customFormat="false" ht="15" hidden="false" customHeight="false" outlineLevel="0" collapsed="false">
      <c r="A179" s="28" t="s">
        <v>179</v>
      </c>
      <c r="B179" s="28" t="str">
        <f aca="false">IFERROR(INDEX('Source 2026'!$C:$C,MATCH($A179,'Source 2026'!$B:$B,0)),IFERROR(INDEX('Source 2025'!$C:$C,MATCH($A179,'Source 2025'!$B:$B,0)),""))</f>
        <v>S מתלה אשכים לאחר ניתוח</v>
      </c>
      <c r="C179" s="29" t="n">
        <f aca="false">SUMIFS('Source 2025'!$Q:$Q,'Source 2025'!$B:$B,$A179,'Source 2025'!$A:$A,"Quantity (units)")</f>
        <v>0</v>
      </c>
      <c r="D179" s="29" t="n">
        <f aca="false">SUMIFS('Source 2026'!$Q:$Q,'Source 2026'!$B:$B,$A179,'Source 2026'!$A:$A,"Quantity (units)")</f>
        <v>-2</v>
      </c>
      <c r="E179" s="30" t="n">
        <f aca="false">D179*$J$5</f>
        <v>-2.52631578947368</v>
      </c>
      <c r="F179" s="30" t="n">
        <f aca="false">E179-C179</f>
        <v>-2.52631578947368</v>
      </c>
      <c r="G179" s="31" t="str">
        <f aca="false">IF(AND(C179=0,E179=0),0,IF(C179=0,"New",(E179-C179)/C179))</f>
        <v>New</v>
      </c>
      <c r="H179" s="32" t="n">
        <f aca="false">SUMIFS('Source 2025'!$Q:$Q,'Source 2025'!$B:$B,$A179,'Source 2025'!$A:$A,"Amount (NIS)")</f>
        <v>0</v>
      </c>
      <c r="I179" s="32" t="n">
        <f aca="false">SUMIFS('Source 2026'!$Q:$Q,'Source 2026'!$B:$B,$A179,'Source 2026'!$A:$A,"Amount (NIS)")</f>
        <v>-193.6</v>
      </c>
      <c r="J179" s="32" t="n">
        <f aca="false">I179*$J$5</f>
        <v>-244.547368421053</v>
      </c>
      <c r="K179" s="32" t="n">
        <f aca="false">J179-H179</f>
        <v>-244.547368421053</v>
      </c>
      <c r="L179" s="31" t="str">
        <f aca="false">IF(AND(H179=0,J179=0),0,IF(H179=0,"New",(J179-H179)/H179))</f>
        <v>New</v>
      </c>
    </row>
    <row r="180" customFormat="false" ht="15" hidden="false" customHeight="false" outlineLevel="0" collapsed="false">
      <c r="A180" s="28" t="s">
        <v>206</v>
      </c>
      <c r="B180" s="28" t="str">
        <f aca="false">IFERROR(INDEX('Source 2026'!$C:$C,MATCH($A180,'Source 2026'!$B:$B,0)),IFERROR(INDEX('Source 2025'!$C:$C,MATCH($A180,'Source 2025'!$B:$B,0)),""))</f>
        <v>נגד פטרת הציפורן</v>
      </c>
      <c r="C180" s="29" t="n">
        <f aca="false">SUMIFS('Source 2025'!$Q:$Q,'Source 2025'!$B:$B,$A180,'Source 2025'!$A:$A,"Quantity (units)")</f>
        <v>-8</v>
      </c>
      <c r="D180" s="29" t="n">
        <f aca="false">SUMIFS('Source 2026'!$Q:$Q,'Source 2026'!$B:$B,$A180,'Source 2026'!$A:$A,"Quantity (units)")</f>
        <v>-2</v>
      </c>
      <c r="E180" s="30" t="n">
        <f aca="false">D180*$J$5</f>
        <v>-2.52631578947368</v>
      </c>
      <c r="F180" s="30" t="n">
        <f aca="false">E180-C180</f>
        <v>5.47368421052632</v>
      </c>
      <c r="G180" s="31" t="n">
        <f aca="false">IF(AND(C180=0,E180=0),0,IF(C180=0,"New",(E180-C180)/C180))</f>
        <v>-0.68421052631579</v>
      </c>
      <c r="H180" s="32" t="n">
        <f aca="false">SUMIFS('Source 2025'!$Q:$Q,'Source 2025'!$B:$B,$A180,'Source 2025'!$A:$A,"Amount (NIS)")</f>
        <v>-235.1</v>
      </c>
      <c r="I180" s="32" t="n">
        <f aca="false">SUMIFS('Source 2026'!$Q:$Q,'Source 2026'!$B:$B,$A180,'Source 2026'!$A:$A,"Amount (NIS)")</f>
        <v>-57.8</v>
      </c>
      <c r="J180" s="32" t="n">
        <f aca="false">I180*$J$5</f>
        <v>-73.0105263157895</v>
      </c>
      <c r="K180" s="32" t="n">
        <f aca="false">J180-H180</f>
        <v>162.089473684211</v>
      </c>
      <c r="L180" s="31" t="n">
        <f aca="false">IF(AND(H180=0,J180=0),0,IF(H180=0,"New",(J180-H180)/H180))</f>
        <v>-0.689449058631266</v>
      </c>
    </row>
    <row r="181" customFormat="false" ht="15" hidden="false" customHeight="false" outlineLevel="0" collapsed="false">
      <c r="A181" s="28" t="s">
        <v>237</v>
      </c>
      <c r="B181" s="28" t="str">
        <f aca="false">IFERROR(INDEX('Source 2026'!$C:$C,MATCH($A181,'Source 2026'!$B:$B,0)),IFERROR(INDEX('Source 2025'!$C:$C,MATCH($A181,'Source 2025'!$B:$B,0)),""))</f>
        <v>כפפות אגודל לחץ</v>
      </c>
      <c r="C181" s="29" t="n">
        <f aca="false">SUMIFS('Source 2025'!$Q:$Q,'Source 2025'!$B:$B,$A181,'Source 2025'!$A:$A,"Quantity (units)")</f>
        <v>62</v>
      </c>
      <c r="D181" s="29" t="n">
        <f aca="false">SUMIFS('Source 2026'!$Q:$Q,'Source 2026'!$B:$B,$A181,'Source 2026'!$A:$A,"Quantity (units)")</f>
        <v>54</v>
      </c>
      <c r="E181" s="30" t="n">
        <f aca="false">D181*$J$5</f>
        <v>68.2105263157895</v>
      </c>
      <c r="F181" s="30" t="n">
        <f aca="false">E181-C181</f>
        <v>6.21052631578947</v>
      </c>
      <c r="G181" s="31" t="n">
        <f aca="false">IF(AND(C181=0,E181=0),0,IF(C181=0,"New",(E181-C181)/C181))</f>
        <v>0.100169779286927</v>
      </c>
      <c r="H181" s="32" t="n">
        <f aca="false">SUMIFS('Source 2025'!$Q:$Q,'Source 2025'!$B:$B,$A181,'Source 2025'!$A:$A,"Amount (NIS)")</f>
        <v>1770</v>
      </c>
      <c r="I181" s="32" t="n">
        <f aca="false">SUMIFS('Source 2026'!$Q:$Q,'Source 2026'!$B:$B,$A181,'Source 2026'!$A:$A,"Amount (NIS)")</f>
        <v>1600</v>
      </c>
      <c r="J181" s="32" t="n">
        <f aca="false">I181*$J$5</f>
        <v>2021.05263157895</v>
      </c>
      <c r="K181" s="32" t="n">
        <f aca="false">J181-H181</f>
        <v>251.052631578947</v>
      </c>
      <c r="L181" s="31" t="n">
        <f aca="false">IF(AND(H181=0,J181=0),0,IF(H181=0,"New",(J181-H181)/H181))</f>
        <v>0.141837644959857</v>
      </c>
    </row>
    <row r="182" customFormat="false" ht="15" hidden="false" customHeight="false" outlineLevel="0" collapsed="false">
      <c r="A182" s="28" t="s">
        <v>343</v>
      </c>
      <c r="B182" s="28" t="str">
        <f aca="false">IFERROR(INDEX('Source 2026'!$C:$C,MATCH($A182,'Source 2026'!$B:$B,0)),IFERROR(INDEX('Source 2025'!$C:$C,MATCH($A182,'Source 2025'!$B:$B,0)),""))</f>
        <v>L  ""ח.גב קלה ""מיקדו</v>
      </c>
      <c r="C182" s="29" t="n">
        <f aca="false">SUMIFS('Source 2025'!$Q:$Q,'Source 2025'!$B:$B,$A182,'Source 2025'!$A:$A,"Quantity (units)")</f>
        <v>-1</v>
      </c>
      <c r="D182" s="29" t="n">
        <f aca="false">SUMIFS('Source 2026'!$Q:$Q,'Source 2026'!$B:$B,$A182,'Source 2026'!$A:$A,"Quantity (units)")</f>
        <v>0</v>
      </c>
      <c r="E182" s="30" t="n">
        <f aca="false">D182*$J$5</f>
        <v>0</v>
      </c>
      <c r="F182" s="30" t="n">
        <f aca="false">E182-C182</f>
        <v>1</v>
      </c>
      <c r="G182" s="31" t="n">
        <f aca="false">IF(AND(C182=0,E182=0),0,IF(C182=0,"New",(E182-C182)/C182))</f>
        <v>-1</v>
      </c>
      <c r="H182" s="32" t="n">
        <f aca="false">SUMIFS('Source 2025'!$Q:$Q,'Source 2025'!$B:$B,$A182,'Source 2025'!$A:$A,"Amount (NIS)")</f>
        <v>-147.4</v>
      </c>
      <c r="I182" s="32" t="n">
        <f aca="false">SUMIFS('Source 2026'!$Q:$Q,'Source 2026'!$B:$B,$A182,'Source 2026'!$A:$A,"Amount (NIS)")</f>
        <v>0</v>
      </c>
      <c r="J182" s="32" t="n">
        <f aca="false">I182*$J$5</f>
        <v>0</v>
      </c>
      <c r="K182" s="32" t="n">
        <f aca="false">J182-H182</f>
        <v>147.4</v>
      </c>
      <c r="L182" s="31" t="n">
        <f aca="false">IF(AND(H182=0,J182=0),0,IF(H182=0,"New",(J182-H182)/H182))</f>
        <v>-1</v>
      </c>
    </row>
    <row r="183" customFormat="false" ht="15" hidden="false" customHeight="false" outlineLevel="0" collapsed="false">
      <c r="A183" s="28" t="s">
        <v>341</v>
      </c>
      <c r="B183" s="28" t="str">
        <f aca="false">IFERROR(INDEX('Source 2026'!$C:$C,MATCH($A183,'Source 2026'!$B:$B,0)),IFERROR(INDEX('Source 2025'!$C:$C,MATCH($A183,'Source 2025'!$B:$B,0)),""))</f>
        <v>L-XL רצועת טניס אלבו</v>
      </c>
      <c r="C183" s="29" t="n">
        <f aca="false">SUMIFS('Source 2025'!$Q:$Q,'Source 2025'!$B:$B,$A183,'Source 2025'!$A:$A,"Quantity (units)")</f>
        <v>2</v>
      </c>
      <c r="D183" s="29" t="n">
        <f aca="false">SUMIFS('Source 2026'!$Q:$Q,'Source 2026'!$B:$B,$A183,'Source 2026'!$A:$A,"Quantity (units)")</f>
        <v>-1</v>
      </c>
      <c r="E183" s="30" t="n">
        <f aca="false">D183*$J$5</f>
        <v>-1.26315789473684</v>
      </c>
      <c r="F183" s="30" t="n">
        <f aca="false">E183-C183</f>
        <v>-3.26315789473684</v>
      </c>
      <c r="G183" s="31" t="n">
        <f aca="false">IF(AND(C183=0,E183=0),0,IF(C183=0,"New",(E183-C183)/C183))</f>
        <v>-1.63157894736842</v>
      </c>
      <c r="H183" s="32" t="n">
        <f aca="false">SUMIFS('Source 2025'!$Q:$Q,'Source 2025'!$B:$B,$A183,'Source 2025'!$A:$A,"Amount (NIS)")</f>
        <v>98.2</v>
      </c>
      <c r="I183" s="32" t="n">
        <f aca="false">SUMIFS('Source 2026'!$Q:$Q,'Source 2026'!$B:$B,$A183,'Source 2026'!$A:$A,"Amount (NIS)")</f>
        <v>-49.1</v>
      </c>
      <c r="J183" s="32" t="n">
        <f aca="false">I183*$J$5</f>
        <v>-62.021052631579</v>
      </c>
      <c r="K183" s="32" t="n">
        <f aca="false">J183-H183</f>
        <v>-160.221052631579</v>
      </c>
      <c r="L183" s="31" t="n">
        <f aca="false">IF(AND(H183=0,J183=0),0,IF(H183=0,"New",(J183-H183)/H183))</f>
        <v>-1.63157894736842</v>
      </c>
    </row>
    <row r="184" customFormat="false" ht="15" hidden="false" customHeight="false" outlineLevel="0" collapsed="false">
      <c r="A184" s="28" t="s">
        <v>281</v>
      </c>
      <c r="B184" s="28" t="str">
        <f aca="false">IFERROR(INDEX('Source 2026'!$C:$C,MATCH($A184,'Source 2026'!$B:$B,0)),IFERROR(INDEX('Source 2025'!$C:$C,MATCH($A184,'Source 2025'!$B:$B,0)),""))</f>
        <v>.חבישת""הלוקס ולגוס""לאחר נית</v>
      </c>
      <c r="C184" s="29" t="n">
        <f aca="false">SUMIFS('Source 2025'!$Q:$Q,'Source 2025'!$B:$B,$A184,'Source 2025'!$A:$A,"Quantity (units)")</f>
        <v>-2</v>
      </c>
      <c r="D184" s="29" t="n">
        <f aca="false">SUMIFS('Source 2026'!$Q:$Q,'Source 2026'!$B:$B,$A184,'Source 2026'!$A:$A,"Quantity (units)")</f>
        <v>0</v>
      </c>
      <c r="E184" s="30" t="n">
        <f aca="false">D184*$J$5</f>
        <v>0</v>
      </c>
      <c r="F184" s="30" t="n">
        <f aca="false">E184-C184</f>
        <v>2</v>
      </c>
      <c r="G184" s="31" t="n">
        <f aca="false">IF(AND(C184=0,E184=0),0,IF(C184=0,"New",(E184-C184)/C184))</f>
        <v>-1</v>
      </c>
      <c r="H184" s="32" t="n">
        <f aca="false">SUMIFS('Source 2025'!$Q:$Q,'Source 2025'!$B:$B,$A184,'Source 2025'!$A:$A,"Amount (NIS)")</f>
        <v>-136.3</v>
      </c>
      <c r="I184" s="32" t="n">
        <f aca="false">SUMIFS('Source 2026'!$Q:$Q,'Source 2026'!$B:$B,$A184,'Source 2026'!$A:$A,"Amount (NIS)")</f>
        <v>0</v>
      </c>
      <c r="J184" s="32" t="n">
        <f aca="false">I184*$J$5</f>
        <v>0</v>
      </c>
      <c r="K184" s="32" t="n">
        <f aca="false">J184-H184</f>
        <v>136.3</v>
      </c>
      <c r="L184" s="31" t="n">
        <f aca="false">IF(AND(H184=0,J184=0),0,IF(H184=0,"New",(J184-H184)/H184))</f>
        <v>-1</v>
      </c>
    </row>
    <row r="185" customFormat="false" ht="15" hidden="false" customHeight="false" outlineLevel="0" collapsed="false">
      <c r="A185" s="28" t="s">
        <v>216</v>
      </c>
      <c r="B185" s="28" t="str">
        <f aca="false">IFERROR(INDEX('Source 2026'!$C:$C,MATCH($A185,'Source 2026'!$B:$B,0)),IFERROR(INDEX('Source 2025'!$C:$C,MATCH($A185,'Source 2025'!$B:$B,0)),""))</f>
        <v>מגן קרסול+כרית סילקון</v>
      </c>
      <c r="C185" s="29" t="n">
        <f aca="false">SUMIFS('Source 2025'!$Q:$Q,'Source 2025'!$B:$B,$A185,'Source 2025'!$A:$A,"Quantity (units)")</f>
        <v>-1</v>
      </c>
      <c r="D185" s="29" t="n">
        <f aca="false">SUMIFS('Source 2026'!$Q:$Q,'Source 2026'!$B:$B,$A185,'Source 2026'!$A:$A,"Quantity (units)")</f>
        <v>0</v>
      </c>
      <c r="E185" s="30" t="n">
        <f aca="false">D185*$J$5</f>
        <v>0</v>
      </c>
      <c r="F185" s="30" t="n">
        <f aca="false">E185-C185</f>
        <v>1</v>
      </c>
      <c r="G185" s="31" t="n">
        <f aca="false">IF(AND(C185=0,E185=0),0,IF(C185=0,"New",(E185-C185)/C185))</f>
        <v>-1</v>
      </c>
      <c r="H185" s="32" t="n">
        <f aca="false">SUMIFS('Source 2025'!$Q:$Q,'Source 2025'!$B:$B,$A185,'Source 2025'!$A:$A,"Amount (NIS)")</f>
        <v>-131.1</v>
      </c>
      <c r="I185" s="32" t="n">
        <f aca="false">SUMIFS('Source 2026'!$Q:$Q,'Source 2026'!$B:$B,$A185,'Source 2026'!$A:$A,"Amount (NIS)")</f>
        <v>0</v>
      </c>
      <c r="J185" s="32" t="n">
        <f aca="false">I185*$J$5</f>
        <v>0</v>
      </c>
      <c r="K185" s="32" t="n">
        <f aca="false">J185-H185</f>
        <v>131.1</v>
      </c>
      <c r="L185" s="31" t="n">
        <f aca="false">IF(AND(H185=0,J185=0),0,IF(H185=0,"New",(J185-H185)/H185))</f>
        <v>-1</v>
      </c>
    </row>
    <row r="186" customFormat="false" ht="15" hidden="false" customHeight="false" outlineLevel="0" collapsed="false">
      <c r="A186" s="28" t="s">
        <v>298</v>
      </c>
      <c r="B186" s="28" t="str">
        <f aca="false">IFERROR(INDEX('Source 2026'!$C:$C,MATCH($A186,'Source 2026'!$B:$B,0)),IFERROR(INDEX('Source 2025'!$C:$C,MATCH($A186,'Source 2025'!$B:$B,0)),""))</f>
        <v>מגן קרסול+כרית סילקון</v>
      </c>
      <c r="C186" s="29" t="n">
        <f aca="false">SUMIFS('Source 2025'!$Q:$Q,'Source 2025'!$B:$B,$A186,'Source 2025'!$A:$A,"Quantity (units)")</f>
        <v>-1</v>
      </c>
      <c r="D186" s="29" t="n">
        <f aca="false">SUMIFS('Source 2026'!$Q:$Q,'Source 2026'!$B:$B,$A186,'Source 2026'!$A:$A,"Quantity (units)")</f>
        <v>0</v>
      </c>
      <c r="E186" s="30" t="n">
        <f aca="false">D186*$J$5</f>
        <v>0</v>
      </c>
      <c r="F186" s="30" t="n">
        <f aca="false">E186-C186</f>
        <v>1</v>
      </c>
      <c r="G186" s="31" t="n">
        <f aca="false">IF(AND(C186=0,E186=0),0,IF(C186=0,"New",(E186-C186)/C186))</f>
        <v>-1</v>
      </c>
      <c r="H186" s="32" t="n">
        <f aca="false">SUMIFS('Source 2025'!$Q:$Q,'Source 2025'!$B:$B,$A186,'Source 2025'!$A:$A,"Amount (NIS)")</f>
        <v>-131.1</v>
      </c>
      <c r="I186" s="32" t="n">
        <f aca="false">SUMIFS('Source 2026'!$Q:$Q,'Source 2026'!$B:$B,$A186,'Source 2026'!$A:$A,"Amount (NIS)")</f>
        <v>0</v>
      </c>
      <c r="J186" s="32" t="n">
        <f aca="false">I186*$J$5</f>
        <v>0</v>
      </c>
      <c r="K186" s="32" t="n">
        <f aca="false">J186-H186</f>
        <v>131.1</v>
      </c>
      <c r="L186" s="31" t="n">
        <f aca="false">IF(AND(H186=0,J186=0),0,IF(H186=0,"New",(J186-H186)/H186))</f>
        <v>-1</v>
      </c>
    </row>
    <row r="187" customFormat="false" ht="15" hidden="false" customHeight="false" outlineLevel="0" collapsed="false">
      <c r="A187" s="28" t="s">
        <v>300</v>
      </c>
      <c r="B187" s="28" t="str">
        <f aca="false">IFERROR(INDEX('Source 2026'!$C:$C,MATCH($A187,'Source 2026'!$B:$B,0)),IFERROR(INDEX('Source 2025'!$C:$C,MATCH($A187,'Source 2025'!$B:$B,0)),""))</f>
        <v>קרסול+כרית סילקון</v>
      </c>
      <c r="C187" s="29" t="n">
        <f aca="false">SUMIFS('Source 2025'!$Q:$Q,'Source 2025'!$B:$B,$A187,'Source 2025'!$A:$A,"Quantity (units)")</f>
        <v>0</v>
      </c>
      <c r="D187" s="29" t="n">
        <f aca="false">SUMIFS('Source 2026'!$Q:$Q,'Source 2026'!$B:$B,$A187,'Source 2026'!$A:$A,"Quantity (units)")</f>
        <v>-1</v>
      </c>
      <c r="E187" s="30" t="n">
        <f aca="false">D187*$J$5</f>
        <v>-1.26315789473684</v>
      </c>
      <c r="F187" s="30" t="n">
        <f aca="false">E187-C187</f>
        <v>-1.26315789473684</v>
      </c>
      <c r="G187" s="31" t="str">
        <f aca="false">IF(AND(C187=0,E187=0),0,IF(C187=0,"New",(E187-C187)/C187))</f>
        <v>New</v>
      </c>
      <c r="H187" s="32" t="n">
        <f aca="false">SUMIFS('Source 2025'!$Q:$Q,'Source 2025'!$B:$B,$A187,'Source 2025'!$A:$A,"Amount (NIS)")</f>
        <v>0</v>
      </c>
      <c r="I187" s="32" t="n">
        <f aca="false">SUMIFS('Source 2026'!$Q:$Q,'Source 2026'!$B:$B,$A187,'Source 2026'!$A:$A,"Amount (NIS)")</f>
        <v>-131.1</v>
      </c>
      <c r="J187" s="32" t="n">
        <f aca="false">I187*$J$5</f>
        <v>-165.6</v>
      </c>
      <c r="K187" s="32" t="n">
        <f aca="false">J187-H187</f>
        <v>-165.6</v>
      </c>
      <c r="L187" s="31" t="str">
        <f aca="false">IF(AND(H187=0,J187=0),0,IF(H187=0,"New",(J187-H187)/H187))</f>
        <v>New</v>
      </c>
    </row>
    <row r="188" customFormat="false" ht="15" hidden="false" customHeight="false" outlineLevel="0" collapsed="false">
      <c r="A188" s="28" t="s">
        <v>123</v>
      </c>
      <c r="B188" s="28" t="str">
        <f aca="false">IFERROR(INDEX('Source 2026'!$C:$C,MATCH($A188,'Source 2026'!$B:$B,0)),IFERROR(INDEX('Source 2025'!$C:$C,MATCH($A188,'Source 2025'!$B:$B,0)),""))</f>
        <v>חגורת גב +סגירה כפולה</v>
      </c>
      <c r="C188" s="29" t="n">
        <f aca="false">SUMIFS('Source 2025'!$Q:$Q,'Source 2025'!$B:$B,$A188,'Source 2025'!$A:$A,"Quantity (units)")</f>
        <v>28</v>
      </c>
      <c r="D188" s="29" t="n">
        <f aca="false">SUMIFS('Source 2026'!$Q:$Q,'Source 2026'!$B:$B,$A188,'Source 2026'!$A:$A,"Quantity (units)")</f>
        <v>26</v>
      </c>
      <c r="E188" s="30" t="n">
        <f aca="false">D188*$J$5</f>
        <v>32.8421052631579</v>
      </c>
      <c r="F188" s="30" t="n">
        <f aca="false">E188-C188</f>
        <v>4.84210526315789</v>
      </c>
      <c r="G188" s="31" t="n">
        <f aca="false">IF(AND(C188=0,E188=0),0,IF(C188=0,"New",(E188-C188)/C188))</f>
        <v>0.172932330827068</v>
      </c>
      <c r="H188" s="32" t="n">
        <f aca="false">SUMIFS('Source 2025'!$Q:$Q,'Source 2025'!$B:$B,$A188,'Source 2025'!$A:$A,"Amount (NIS)")</f>
        <v>2640.1</v>
      </c>
      <c r="I188" s="32" t="n">
        <f aca="false">SUMIFS('Source 2026'!$Q:$Q,'Source 2026'!$B:$B,$A188,'Source 2026'!$A:$A,"Amount (NIS)")</f>
        <v>2509.6</v>
      </c>
      <c r="J188" s="32" t="n">
        <f aca="false">I188*$J$5</f>
        <v>3170.02105263158</v>
      </c>
      <c r="K188" s="32" t="n">
        <f aca="false">J188-H188</f>
        <v>529.921052631579</v>
      </c>
      <c r="L188" s="31" t="n">
        <f aca="false">IF(AND(H188=0,J188=0),0,IF(H188=0,"New",(J188-H188)/H188))</f>
        <v>0.200720068418461</v>
      </c>
    </row>
    <row r="189" customFormat="false" ht="15" hidden="false" customHeight="false" outlineLevel="0" collapsed="false">
      <c r="A189" s="28" t="s">
        <v>267</v>
      </c>
      <c r="B189" s="28" t="str">
        <f aca="false">IFERROR(INDEX('Source 2026'!$C:$C,MATCH($A189,'Source 2026'!$B:$B,0)),IFERROR(INDEX('Source 2025'!$C:$C,MATCH($A189,'Source 2025'!$B:$B,0)),""))</f>
        <v>XL סד לאגודל כפפה</v>
      </c>
      <c r="C189" s="29" t="n">
        <f aca="false">SUMIFS('Source 2025'!$Q:$Q,'Source 2025'!$B:$B,$A189,'Source 2025'!$A:$A,"Quantity (units)")</f>
        <v>2</v>
      </c>
      <c r="D189" s="29" t="n">
        <f aca="false">SUMIFS('Source 2026'!$Q:$Q,'Source 2026'!$B:$B,$A189,'Source 2026'!$A:$A,"Quantity (units)")</f>
        <v>0</v>
      </c>
      <c r="E189" s="30" t="n">
        <f aca="false">D189*$J$5</f>
        <v>0</v>
      </c>
      <c r="F189" s="30" t="n">
        <f aca="false">E189-C189</f>
        <v>-2</v>
      </c>
      <c r="G189" s="31" t="n">
        <f aca="false">IF(AND(C189=0,E189=0),0,IF(C189=0,"New",(E189-C189)/C189))</f>
        <v>-1</v>
      </c>
      <c r="H189" s="32" t="n">
        <f aca="false">SUMIFS('Source 2025'!$Q:$Q,'Source 2025'!$B:$B,$A189,'Source 2025'!$A:$A,"Amount (NIS)")</f>
        <v>122.8</v>
      </c>
      <c r="I189" s="32" t="n">
        <f aca="false">SUMIFS('Source 2026'!$Q:$Q,'Source 2026'!$B:$B,$A189,'Source 2026'!$A:$A,"Amount (NIS)")</f>
        <v>0</v>
      </c>
      <c r="J189" s="32" t="n">
        <f aca="false">I189*$J$5</f>
        <v>0</v>
      </c>
      <c r="K189" s="32" t="n">
        <f aca="false">J189-H189</f>
        <v>-122.8</v>
      </c>
      <c r="L189" s="31" t="n">
        <f aca="false">IF(AND(H189=0,J189=0),0,IF(H189=0,"New",(J189-H189)/H189))</f>
        <v>-1</v>
      </c>
    </row>
    <row r="190" customFormat="false" ht="15" hidden="false" customHeight="false" outlineLevel="0" collapsed="false">
      <c r="A190" s="28" t="s">
        <v>344</v>
      </c>
      <c r="B190" s="28" t="str">
        <f aca="false">IFERROR(INDEX('Source 2026'!$C:$C,MATCH($A190,'Source 2026'!$B:$B,0)),IFERROR(INDEX('Source 2025'!$C:$C,MATCH($A190,'Source 2025'!$B:$B,0)),""))</f>
        <v>099 חגורת גב שרוכים</v>
      </c>
      <c r="C190" s="29" t="n">
        <f aca="false">SUMIFS('Source 2025'!$Q:$Q,'Source 2025'!$B:$B,$A190,'Source 2025'!$A:$A,"Quantity (units)")</f>
        <v>0</v>
      </c>
      <c r="D190" s="29" t="n">
        <f aca="false">SUMIFS('Source 2026'!$Q:$Q,'Source 2026'!$B:$B,$A190,'Source 2026'!$A:$A,"Quantity (units)")</f>
        <v>-1</v>
      </c>
      <c r="E190" s="30" t="n">
        <f aca="false">D190*$J$5</f>
        <v>-1.26315789473684</v>
      </c>
      <c r="F190" s="30" t="n">
        <f aca="false">E190-C190</f>
        <v>-1.26315789473684</v>
      </c>
      <c r="G190" s="31" t="str">
        <f aca="false">IF(AND(C190=0,E190=0),0,IF(C190=0,"New",(E190-C190)/C190))</f>
        <v>New</v>
      </c>
      <c r="H190" s="32" t="n">
        <f aca="false">SUMIFS('Source 2025'!$Q:$Q,'Source 2025'!$B:$B,$A190,'Source 2025'!$A:$A,"Amount (NIS)")</f>
        <v>0</v>
      </c>
      <c r="I190" s="32" t="n">
        <f aca="false">SUMIFS('Source 2026'!$Q:$Q,'Source 2026'!$B:$B,$A190,'Source 2026'!$A:$A,"Amount (NIS)")</f>
        <v>-118.8</v>
      </c>
      <c r="J190" s="32" t="n">
        <f aca="false">I190*$J$5</f>
        <v>-150.063157894737</v>
      </c>
      <c r="K190" s="32" t="n">
        <f aca="false">J190-H190</f>
        <v>-150.063157894737</v>
      </c>
      <c r="L190" s="31" t="str">
        <f aca="false">IF(AND(H190=0,J190=0),0,IF(H190=0,"New",(J190-H190)/H190))</f>
        <v>New</v>
      </c>
    </row>
    <row r="191" customFormat="false" ht="15" hidden="false" customHeight="false" outlineLevel="0" collapsed="false">
      <c r="A191" s="28" t="s">
        <v>365</v>
      </c>
      <c r="B191" s="28" t="str">
        <f aca="false">IFERROR(INDEX('Source 2026'!$C:$C,MATCH($A191,'Source 2026'!$B:$B,0)),IFERROR(INDEX('Source 2025'!$C:$C,MATCH($A191,'Source 2025'!$B:$B,0)),""))</f>
        <v>099 חגורת גב שרוכים</v>
      </c>
      <c r="C191" s="29" t="n">
        <f aca="false">SUMIFS('Source 2025'!$Q:$Q,'Source 2025'!$B:$B,$A191,'Source 2025'!$A:$A,"Quantity (units)")</f>
        <v>0</v>
      </c>
      <c r="D191" s="29" t="n">
        <f aca="false">SUMIFS('Source 2026'!$Q:$Q,'Source 2026'!$B:$B,$A191,'Source 2026'!$A:$A,"Quantity (units)")</f>
        <v>-1</v>
      </c>
      <c r="E191" s="30" t="n">
        <f aca="false">D191*$J$5</f>
        <v>-1.26315789473684</v>
      </c>
      <c r="F191" s="30" t="n">
        <f aca="false">E191-C191</f>
        <v>-1.26315789473684</v>
      </c>
      <c r="G191" s="31" t="str">
        <f aca="false">IF(AND(C191=0,E191=0),0,IF(C191=0,"New",(E191-C191)/C191))</f>
        <v>New</v>
      </c>
      <c r="H191" s="32" t="n">
        <f aca="false">SUMIFS('Source 2025'!$Q:$Q,'Source 2025'!$B:$B,$A191,'Source 2025'!$A:$A,"Amount (NIS)")</f>
        <v>0</v>
      </c>
      <c r="I191" s="32" t="n">
        <f aca="false">SUMIFS('Source 2026'!$Q:$Q,'Source 2026'!$B:$B,$A191,'Source 2026'!$A:$A,"Amount (NIS)")</f>
        <v>-118.8</v>
      </c>
      <c r="J191" s="32" t="n">
        <f aca="false">I191*$J$5</f>
        <v>-150.063157894737</v>
      </c>
      <c r="K191" s="32" t="n">
        <f aca="false">J191-H191</f>
        <v>-150.063157894737</v>
      </c>
      <c r="L191" s="31" t="str">
        <f aca="false">IF(AND(H191=0,J191=0),0,IF(H191=0,"New",(J191-H191)/H191))</f>
        <v>New</v>
      </c>
    </row>
    <row r="192" customFormat="false" ht="15" hidden="false" customHeight="false" outlineLevel="0" collapsed="false">
      <c r="A192" s="28" t="s">
        <v>255</v>
      </c>
      <c r="B192" s="28" t="str">
        <f aca="false">IFERROR(INDEX('Source 2026'!$C:$C,MATCH($A192,'Source 2026'!$B:$B,0)),IFERROR(INDEX('Source 2025'!$C:$C,MATCH($A192,'Source 2025'!$B:$B,0)),""))</f>
        <v>L מגן ברך מוצלב+מוט</v>
      </c>
      <c r="C192" s="29" t="n">
        <f aca="false">SUMIFS('Source 2025'!$Q:$Q,'Source 2025'!$B:$B,$A192,'Source 2025'!$A:$A,"Quantity (units)")</f>
        <v>-1</v>
      </c>
      <c r="D192" s="29" t="n">
        <f aca="false">SUMIFS('Source 2026'!$Q:$Q,'Source 2026'!$B:$B,$A192,'Source 2026'!$A:$A,"Quantity (units)")</f>
        <v>-2</v>
      </c>
      <c r="E192" s="30" t="n">
        <f aca="false">D192*$J$5</f>
        <v>-2.52631578947368</v>
      </c>
      <c r="F192" s="30" t="n">
        <f aca="false">E192-C192</f>
        <v>-1.52631578947368</v>
      </c>
      <c r="G192" s="31" t="n">
        <f aca="false">IF(AND(C192=0,E192=0),0,IF(C192=0,"New",(E192-C192)/C192))</f>
        <v>1.52631578947368</v>
      </c>
      <c r="H192" s="32" t="n">
        <f aca="false">SUMIFS('Source 2025'!$Q:$Q,'Source 2025'!$B:$B,$A192,'Source 2025'!$A:$A,"Amount (NIS)")</f>
        <v>-116.7</v>
      </c>
      <c r="I192" s="32" t="n">
        <f aca="false">SUMIFS('Source 2026'!$Q:$Q,'Source 2026'!$B:$B,$A192,'Source 2026'!$A:$A,"Amount (NIS)")</f>
        <v>-233.4</v>
      </c>
      <c r="J192" s="32" t="n">
        <f aca="false">I192*$J$5</f>
        <v>-294.821052631579</v>
      </c>
      <c r="K192" s="32" t="n">
        <f aca="false">J192-H192</f>
        <v>-178.121052631579</v>
      </c>
      <c r="L192" s="31" t="n">
        <f aca="false">IF(AND(H192=0,J192=0),0,IF(H192=0,"New",(J192-H192)/H192))</f>
        <v>1.52631578947368</v>
      </c>
    </row>
    <row r="193" customFormat="false" ht="15" hidden="false" customHeight="false" outlineLevel="0" collapsed="false">
      <c r="A193" s="28" t="s">
        <v>257</v>
      </c>
      <c r="B193" s="28" t="str">
        <f aca="false">IFERROR(INDEX('Source 2026'!$C:$C,MATCH($A193,'Source 2026'!$B:$B,0)),IFERROR(INDEX('Source 2025'!$C:$C,MATCH($A193,'Source 2025'!$B:$B,0)),""))</f>
        <v>סד לקרסול עם כריות אויר</v>
      </c>
      <c r="C193" s="29" t="n">
        <f aca="false">SUMIFS('Source 2025'!$Q:$Q,'Source 2025'!$B:$B,$A193,'Source 2025'!$A:$A,"Quantity (units)")</f>
        <v>1</v>
      </c>
      <c r="D193" s="29" t="n">
        <f aca="false">SUMIFS('Source 2026'!$Q:$Q,'Source 2026'!$B:$B,$A193,'Source 2026'!$A:$A,"Quantity (units)")</f>
        <v>4</v>
      </c>
      <c r="E193" s="30" t="n">
        <f aca="false">D193*$J$5</f>
        <v>5.05263157894737</v>
      </c>
      <c r="F193" s="30" t="n">
        <f aca="false">E193-C193</f>
        <v>4.05263157894737</v>
      </c>
      <c r="G193" s="31" t="n">
        <f aca="false">IF(AND(C193=0,E193=0),0,IF(C193=0,"New",(E193-C193)/C193))</f>
        <v>4.05263157894737</v>
      </c>
      <c r="H193" s="32" t="n">
        <f aca="false">SUMIFS('Source 2025'!$Q:$Q,'Source 2025'!$B:$B,$A193,'Source 2025'!$A:$A,"Amount (NIS)")</f>
        <v>143.4</v>
      </c>
      <c r="I193" s="32" t="n">
        <f aca="false">SUMIFS('Source 2026'!$Q:$Q,'Source 2026'!$B:$B,$A193,'Source 2026'!$A:$A,"Amount (NIS)")</f>
        <v>257.2</v>
      </c>
      <c r="J193" s="32" t="n">
        <f aca="false">I193*$J$5</f>
        <v>324.884210526316</v>
      </c>
      <c r="K193" s="32" t="n">
        <f aca="false">J193-H193</f>
        <v>181.484210526316</v>
      </c>
      <c r="L193" s="31" t="n">
        <f aca="false">IF(AND(H193=0,J193=0),0,IF(H193=0,"New",(J193-H193)/H193))</f>
        <v>1.26558026866329</v>
      </c>
    </row>
    <row r="194" customFormat="false" ht="15" hidden="false" customHeight="false" outlineLevel="0" collapsed="false">
      <c r="A194" s="28" t="s">
        <v>276</v>
      </c>
      <c r="B194" s="28" t="str">
        <f aca="false">IFERROR(INDEX('Source 2026'!$C:$C,MATCH($A194,'Source 2026'!$B:$B,0)),IFERROR(INDEX('Source 2025'!$C:$C,MATCH($A194,'Source 2025'!$B:$B,0)),""))</f>
        <v>ריפוד סיליקון לנעלי אצבע</v>
      </c>
      <c r="C194" s="29" t="n">
        <f aca="false">SUMIFS('Source 2025'!$Q:$Q,'Source 2025'!$B:$B,$A194,'Source 2025'!$A:$A,"Quantity (units)")</f>
        <v>-3</v>
      </c>
      <c r="D194" s="29" t="n">
        <f aca="false">SUMIFS('Source 2026'!$Q:$Q,'Source 2026'!$B:$B,$A194,'Source 2026'!$A:$A,"Quantity (units)")</f>
        <v>1</v>
      </c>
      <c r="E194" s="30" t="n">
        <f aca="false">D194*$J$5</f>
        <v>1.26315789473684</v>
      </c>
      <c r="F194" s="30" t="n">
        <f aca="false">E194-C194</f>
        <v>4.26315789473684</v>
      </c>
      <c r="G194" s="31" t="n">
        <f aca="false">IF(AND(C194=0,E194=0),0,IF(C194=0,"New",(E194-C194)/C194))</f>
        <v>-1.42105263157895</v>
      </c>
      <c r="H194" s="32" t="n">
        <f aca="false">SUMIFS('Source 2025'!$Q:$Q,'Source 2025'!$B:$B,$A194,'Source 2025'!$A:$A,"Amount (NIS)")</f>
        <v>-85.8</v>
      </c>
      <c r="I194" s="32" t="n">
        <f aca="false">SUMIFS('Source 2026'!$Q:$Q,'Source 2026'!$B:$B,$A194,'Source 2026'!$A:$A,"Amount (NIS)")</f>
        <v>24.3</v>
      </c>
      <c r="J194" s="32" t="n">
        <f aca="false">I194*$J$5</f>
        <v>30.6947368421053</v>
      </c>
      <c r="K194" s="32" t="n">
        <f aca="false">J194-H194</f>
        <v>116.494736842105</v>
      </c>
      <c r="L194" s="31" t="n">
        <f aca="false">IF(AND(H194=0,J194=0),0,IF(H194=0,"New",(J194-H194)/H194))</f>
        <v>-1.35774751564225</v>
      </c>
    </row>
    <row r="195" customFormat="false" ht="15" hidden="false" customHeight="false" outlineLevel="0" collapsed="false">
      <c r="A195" s="28" t="s">
        <v>366</v>
      </c>
      <c r="B195" s="28" t="str">
        <f aca="false">IFERROR(INDEX('Source 2026'!$C:$C,MATCH($A195,'Source 2026'!$B:$B,0)),IFERROR(INDEX('Source 2025'!$C:$C,MATCH($A195,'Source 2025'!$B:$B,0)),""))</f>
        <v>קרסול עם שרוכים בז</v>
      </c>
      <c r="C195" s="29" t="n">
        <f aca="false">SUMIFS('Source 2025'!$Q:$Q,'Source 2025'!$B:$B,$A195,'Source 2025'!$A:$A,"Quantity (units)")</f>
        <v>-1</v>
      </c>
      <c r="D195" s="29" t="n">
        <f aca="false">SUMIFS('Source 2026'!$Q:$Q,'Source 2026'!$B:$B,$A195,'Source 2026'!$A:$A,"Quantity (units)")</f>
        <v>0</v>
      </c>
      <c r="E195" s="30" t="n">
        <f aca="false">D195*$J$5</f>
        <v>0</v>
      </c>
      <c r="F195" s="30" t="n">
        <f aca="false">E195-C195</f>
        <v>1</v>
      </c>
      <c r="G195" s="31" t="n">
        <f aca="false">IF(AND(C195=0,E195=0),0,IF(C195=0,"New",(E195-C195)/C195))</f>
        <v>-1</v>
      </c>
      <c r="H195" s="32" t="n">
        <f aca="false">SUMIFS('Source 2025'!$Q:$Q,'Source 2025'!$B:$B,$A195,'Source 2025'!$A:$A,"Amount (NIS)")</f>
        <v>-106.5</v>
      </c>
      <c r="I195" s="32" t="n">
        <f aca="false">SUMIFS('Source 2026'!$Q:$Q,'Source 2026'!$B:$B,$A195,'Source 2026'!$A:$A,"Amount (NIS)")</f>
        <v>0</v>
      </c>
      <c r="J195" s="32" t="n">
        <f aca="false">I195*$J$5</f>
        <v>0</v>
      </c>
      <c r="K195" s="32" t="n">
        <f aca="false">J195-H195</f>
        <v>106.5</v>
      </c>
      <c r="L195" s="31" t="n">
        <f aca="false">IF(AND(H195=0,J195=0),0,IF(H195=0,"New",(J195-H195)/H195))</f>
        <v>-1</v>
      </c>
    </row>
    <row r="196" customFormat="false" ht="15" hidden="false" customHeight="false" outlineLevel="0" collapsed="false">
      <c r="A196" s="28" t="s">
        <v>367</v>
      </c>
      <c r="B196" s="28" t="str">
        <f aca="false">IFERROR(INDEX('Source 2026'!$C:$C,MATCH($A196,'Source 2026'!$B:$B,0)),IFERROR(INDEX('Source 2025'!$C:$C,MATCH($A196,'Source 2025'!$B:$B,0)),""))</f>
        <v>קרסול עם שרוכים בז</v>
      </c>
      <c r="C196" s="29" t="n">
        <f aca="false">SUMIFS('Source 2025'!$Q:$Q,'Source 2025'!$B:$B,$A196,'Source 2025'!$A:$A,"Quantity (units)")</f>
        <v>-1</v>
      </c>
      <c r="D196" s="29" t="n">
        <f aca="false">SUMIFS('Source 2026'!$Q:$Q,'Source 2026'!$B:$B,$A196,'Source 2026'!$A:$A,"Quantity (units)")</f>
        <v>0</v>
      </c>
      <c r="E196" s="30" t="n">
        <f aca="false">D196*$J$5</f>
        <v>0</v>
      </c>
      <c r="F196" s="30" t="n">
        <f aca="false">E196-C196</f>
        <v>1</v>
      </c>
      <c r="G196" s="31" t="n">
        <f aca="false">IF(AND(C196=0,E196=0),0,IF(C196=0,"New",(E196-C196)/C196))</f>
        <v>-1</v>
      </c>
      <c r="H196" s="32" t="n">
        <f aca="false">SUMIFS('Source 2025'!$Q:$Q,'Source 2025'!$B:$B,$A196,'Source 2025'!$A:$A,"Amount (NIS)")</f>
        <v>-106.5</v>
      </c>
      <c r="I196" s="32" t="n">
        <f aca="false">SUMIFS('Source 2026'!$Q:$Q,'Source 2026'!$B:$B,$A196,'Source 2026'!$A:$A,"Amount (NIS)")</f>
        <v>0</v>
      </c>
      <c r="J196" s="32" t="n">
        <f aca="false">I196*$J$5</f>
        <v>0</v>
      </c>
      <c r="K196" s="32" t="n">
        <f aca="false">J196-H196</f>
        <v>106.5</v>
      </c>
      <c r="L196" s="31" t="n">
        <f aca="false">IF(AND(H196=0,J196=0),0,IF(H196=0,"New",(J196-H196)/H196))</f>
        <v>-1</v>
      </c>
    </row>
    <row r="197" customFormat="false" ht="15" hidden="false" customHeight="false" outlineLevel="0" collapsed="false">
      <c r="A197" s="28" t="s">
        <v>368</v>
      </c>
      <c r="B197" s="28" t="str">
        <f aca="false">IFERROR(INDEX('Source 2026'!$C:$C,MATCH($A197,'Source 2026'!$B:$B,0)),IFERROR(INDEX('Source 2025'!$C:$C,MATCH($A197,'Source 2025'!$B:$B,0)),""))</f>
        <v>קרסול עם שרוכים בז</v>
      </c>
      <c r="C197" s="29" t="n">
        <f aca="false">SUMIFS('Source 2025'!$Q:$Q,'Source 2025'!$B:$B,$A197,'Source 2025'!$A:$A,"Quantity (units)")</f>
        <v>-1</v>
      </c>
      <c r="D197" s="29" t="n">
        <f aca="false">SUMIFS('Source 2026'!$Q:$Q,'Source 2026'!$B:$B,$A197,'Source 2026'!$A:$A,"Quantity (units)")</f>
        <v>0</v>
      </c>
      <c r="E197" s="30" t="n">
        <f aca="false">D197*$J$5</f>
        <v>0</v>
      </c>
      <c r="F197" s="30" t="n">
        <f aca="false">E197-C197</f>
        <v>1</v>
      </c>
      <c r="G197" s="31" t="n">
        <f aca="false">IF(AND(C197=0,E197=0),0,IF(C197=0,"New",(E197-C197)/C197))</f>
        <v>-1</v>
      </c>
      <c r="H197" s="32" t="n">
        <f aca="false">SUMIFS('Source 2025'!$Q:$Q,'Source 2025'!$B:$B,$A197,'Source 2025'!$A:$A,"Amount (NIS)")</f>
        <v>-106.5</v>
      </c>
      <c r="I197" s="32" t="n">
        <f aca="false">SUMIFS('Source 2026'!$Q:$Q,'Source 2026'!$B:$B,$A197,'Source 2026'!$A:$A,"Amount (NIS)")</f>
        <v>0</v>
      </c>
      <c r="J197" s="32" t="n">
        <f aca="false">I197*$J$5</f>
        <v>0</v>
      </c>
      <c r="K197" s="32" t="n">
        <f aca="false">J197-H197</f>
        <v>106.5</v>
      </c>
      <c r="L197" s="31" t="n">
        <f aca="false">IF(AND(H197=0,J197=0),0,IF(H197=0,"New",(J197-H197)/H197))</f>
        <v>-1</v>
      </c>
    </row>
    <row r="198" customFormat="false" ht="15" hidden="false" customHeight="false" outlineLevel="0" collapsed="false">
      <c r="A198" s="28" t="s">
        <v>99</v>
      </c>
      <c r="B198" s="28" t="str">
        <f aca="false">IFERROR(INDEX('Source 2026'!$C:$C,MATCH($A198,'Source 2026'!$B:$B,0)),IFERROR(INDEX('Source 2025'!$C:$C,MATCH($A198,'Source 2025'!$B:$B,0)),""))</f>
        <v>Lעקבים סיליקון כחול לדורבן</v>
      </c>
      <c r="C198" s="29" t="n">
        <f aca="false">SUMIFS('Source 2025'!$Q:$Q,'Source 2025'!$B:$B,$A198,'Source 2025'!$A:$A,"Quantity (units)")</f>
        <v>-5</v>
      </c>
      <c r="D198" s="29" t="n">
        <f aca="false">SUMIFS('Source 2026'!$Q:$Q,'Source 2026'!$B:$B,$A198,'Source 2026'!$A:$A,"Quantity (units)")</f>
        <v>-3</v>
      </c>
      <c r="E198" s="30" t="n">
        <f aca="false">D198*$J$5</f>
        <v>-3.78947368421053</v>
      </c>
      <c r="F198" s="30" t="n">
        <f aca="false">E198-C198</f>
        <v>1.21052631578947</v>
      </c>
      <c r="G198" s="31" t="n">
        <f aca="false">IF(AND(C198=0,E198=0),0,IF(C198=0,"New",(E198-C198)/C198))</f>
        <v>-0.242105263157895</v>
      </c>
      <c r="H198" s="32" t="n">
        <f aca="false">SUMIFS('Source 2025'!$Q:$Q,'Source 2025'!$B:$B,$A198,'Source 2025'!$A:$A,"Amount (NIS)")</f>
        <v>-245.6</v>
      </c>
      <c r="I198" s="32" t="n">
        <f aca="false">SUMIFS('Source 2026'!$Q:$Q,'Source 2026'!$B:$B,$A198,'Source 2026'!$A:$A,"Amount (NIS)")</f>
        <v>-149.4</v>
      </c>
      <c r="J198" s="32" t="n">
        <f aca="false">I198*$J$5</f>
        <v>-188.715789473684</v>
      </c>
      <c r="K198" s="32" t="n">
        <f aca="false">J198-H198</f>
        <v>56.8842105263158</v>
      </c>
      <c r="L198" s="31" t="n">
        <f aca="false">IF(AND(H198=0,J198=0),0,IF(H198=0,"New",(J198-H198)/H198))</f>
        <v>-0.231613235042002</v>
      </c>
    </row>
    <row r="199" customFormat="false" ht="15" hidden="false" customHeight="false" outlineLevel="0" collapsed="false">
      <c r="A199" s="28" t="s">
        <v>248</v>
      </c>
      <c r="B199" s="28" t="str">
        <f aca="false">IFERROR(INDEX('Source 2026'!$C:$C,MATCH($A199,'Source 2026'!$B:$B,0)),IFERROR(INDEX('Source 2025'!$C:$C,MATCH($A199,'Source 2025'!$B:$B,0)),""))</f>
        <v>S מגן ברך רגיל</v>
      </c>
      <c r="C199" s="29" t="n">
        <f aca="false">SUMIFS('Source 2025'!$Q:$Q,'Source 2025'!$B:$B,$A199,'Source 2025'!$A:$A,"Quantity (units)")</f>
        <v>25</v>
      </c>
      <c r="D199" s="29" t="n">
        <f aca="false">SUMIFS('Source 2026'!$Q:$Q,'Source 2026'!$B:$B,$A199,'Source 2026'!$A:$A,"Quantity (units)")</f>
        <v>24</v>
      </c>
      <c r="E199" s="30" t="n">
        <f aca="false">D199*$J$5</f>
        <v>30.3157894736842</v>
      </c>
      <c r="F199" s="30" t="n">
        <f aca="false">E199-C199</f>
        <v>5.31578947368421</v>
      </c>
      <c r="G199" s="31" t="n">
        <f aca="false">IF(AND(C199=0,E199=0),0,IF(C199=0,"New",(E199-C199)/C199))</f>
        <v>0.212631578947368</v>
      </c>
      <c r="H199" s="32" t="n">
        <f aca="false">SUMIFS('Source 2025'!$Q:$Q,'Source 2025'!$B:$B,$A199,'Source 2025'!$A:$A,"Amount (NIS)")</f>
        <v>2254.3</v>
      </c>
      <c r="I199" s="32" t="n">
        <f aca="false">SUMIFS('Source 2026'!$Q:$Q,'Source 2026'!$B:$B,$A199,'Source 2026'!$A:$A,"Amount (NIS)")</f>
        <v>2159.2</v>
      </c>
      <c r="J199" s="32" t="n">
        <f aca="false">I199*$J$5</f>
        <v>2727.41052631579</v>
      </c>
      <c r="K199" s="32" t="n">
        <f aca="false">J199-H199</f>
        <v>473.110526315789</v>
      </c>
      <c r="L199" s="31" t="n">
        <f aca="false">IF(AND(H199=0,J199=0),0,IF(H199=0,"New",(J199-H199)/H199))</f>
        <v>0.209870259644142</v>
      </c>
    </row>
    <row r="200" customFormat="false" ht="15" hidden="false" customHeight="false" outlineLevel="0" collapsed="false">
      <c r="A200" s="28" t="s">
        <v>268</v>
      </c>
      <c r="B200" s="28" t="str">
        <f aca="false">IFERROR(INDEX('Source 2026'!$C:$C,MATCH($A200,'Source 2026'!$B:$B,0)),IFERROR(INDEX('Source 2025'!$C:$C,MATCH($A200,'Source 2025'!$B:$B,0)),""))</f>
        <v>L-XL 'סד יד שמאל בז</v>
      </c>
      <c r="C200" s="29" t="n">
        <f aca="false">SUMIFS('Source 2025'!$Q:$Q,'Source 2025'!$B:$B,$A200,'Source 2025'!$A:$A,"Quantity (units)")</f>
        <v>-2</v>
      </c>
      <c r="D200" s="29" t="n">
        <f aca="false">SUMIFS('Source 2026'!$Q:$Q,'Source 2026'!$B:$B,$A200,'Source 2026'!$A:$A,"Quantity (units)")</f>
        <v>-1</v>
      </c>
      <c r="E200" s="30" t="n">
        <f aca="false">D200*$J$5</f>
        <v>-1.26315789473684</v>
      </c>
      <c r="F200" s="30" t="n">
        <f aca="false">E200-C200</f>
        <v>0.736842105263158</v>
      </c>
      <c r="G200" s="31" t="n">
        <f aca="false">IF(AND(C200=0,E200=0),0,IF(C200=0,"New",(E200-C200)/C200))</f>
        <v>-0.368421052631579</v>
      </c>
      <c r="H200" s="32" t="n">
        <f aca="false">SUMIFS('Source 2025'!$Q:$Q,'Source 2025'!$B:$B,$A200,'Source 2025'!$A:$A,"Amount (NIS)")</f>
        <v>-188.4</v>
      </c>
      <c r="I200" s="32" t="n">
        <f aca="false">SUMIFS('Source 2026'!$Q:$Q,'Source 2026'!$B:$B,$A200,'Source 2026'!$A:$A,"Amount (NIS)")</f>
        <v>-94.2</v>
      </c>
      <c r="J200" s="32" t="n">
        <f aca="false">I200*$J$5</f>
        <v>-118.989473684211</v>
      </c>
      <c r="K200" s="32" t="n">
        <f aca="false">J200-H200</f>
        <v>69.4105263157895</v>
      </c>
      <c r="L200" s="31" t="n">
        <f aca="false">IF(AND(H200=0,J200=0),0,IF(H200=0,"New",(J200-H200)/H200))</f>
        <v>-0.368421052631579</v>
      </c>
    </row>
    <row r="201" customFormat="false" ht="15" hidden="false" customHeight="false" outlineLevel="0" collapsed="false">
      <c r="A201" s="28" t="s">
        <v>369</v>
      </c>
      <c r="B201" s="28" t="str">
        <f aca="false">IFERROR(INDEX('Source 2026'!$C:$C,MATCH($A201,'Source 2026'!$B:$B,0)),IFERROR(INDEX('Source 2025'!$C:$C,MATCH($A201,'Source 2025'!$B:$B,0)),""))</f>
        <v>R-M סד ליד ימין</v>
      </c>
      <c r="C201" s="29" t="n">
        <f aca="false">SUMIFS('Source 2025'!$Q:$Q,'Source 2025'!$B:$B,$A201,'Source 2025'!$A:$A,"Quantity (units)")</f>
        <v>0</v>
      </c>
      <c r="D201" s="29" t="n">
        <f aca="false">SUMIFS('Source 2026'!$Q:$Q,'Source 2026'!$B:$B,$A201,'Source 2026'!$A:$A,"Quantity (units)")</f>
        <v>-1</v>
      </c>
      <c r="E201" s="30" t="n">
        <f aca="false">D201*$J$5</f>
        <v>-1.26315789473684</v>
      </c>
      <c r="F201" s="30" t="n">
        <f aca="false">E201-C201</f>
        <v>-1.26315789473684</v>
      </c>
      <c r="G201" s="31" t="str">
        <f aca="false">IF(AND(C201=0,E201=0),0,IF(C201=0,"New",(E201-C201)/C201))</f>
        <v>New</v>
      </c>
      <c r="H201" s="32" t="n">
        <f aca="false">SUMIFS('Source 2025'!$Q:$Q,'Source 2025'!$B:$B,$A201,'Source 2025'!$A:$A,"Amount (NIS)")</f>
        <v>0</v>
      </c>
      <c r="I201" s="32" t="n">
        <f aca="false">SUMIFS('Source 2026'!$Q:$Q,'Source 2026'!$B:$B,$A201,'Source 2026'!$A:$A,"Amount (NIS)")</f>
        <v>-90.1</v>
      </c>
      <c r="J201" s="32" t="n">
        <f aca="false">I201*$J$5</f>
        <v>-113.810526315789</v>
      </c>
      <c r="K201" s="32" t="n">
        <f aca="false">J201-H201</f>
        <v>-113.810526315789</v>
      </c>
      <c r="L201" s="31" t="str">
        <f aca="false">IF(AND(H201=0,J201=0),0,IF(H201=0,"New",(J201-H201)/H201))</f>
        <v>New</v>
      </c>
    </row>
    <row r="202" customFormat="false" ht="15" hidden="false" customHeight="false" outlineLevel="0" collapsed="false">
      <c r="A202" s="28" t="s">
        <v>370</v>
      </c>
      <c r="B202" s="28" t="str">
        <f aca="false">IFERROR(INDEX('Source 2026'!$C:$C,MATCH($A202,'Source 2026'!$B:$B,0)),IFERROR(INDEX('Source 2025'!$C:$C,MATCH($A202,'Source 2025'!$B:$B,0)),""))</f>
        <v>צוארון ספוגי</v>
      </c>
      <c r="C202" s="29" t="n">
        <f aca="false">SUMIFS('Source 2025'!$Q:$Q,'Source 2025'!$B:$B,$A202,'Source 2025'!$A:$A,"Quantity (units)")</f>
        <v>-3</v>
      </c>
      <c r="D202" s="29" t="n">
        <f aca="false">SUMIFS('Source 2026'!$Q:$Q,'Source 2026'!$B:$B,$A202,'Source 2026'!$A:$A,"Quantity (units)")</f>
        <v>0</v>
      </c>
      <c r="E202" s="30" t="n">
        <f aca="false">D202*$J$5</f>
        <v>0</v>
      </c>
      <c r="F202" s="30" t="n">
        <f aca="false">E202-C202</f>
        <v>3</v>
      </c>
      <c r="G202" s="31" t="n">
        <f aca="false">IF(AND(C202=0,E202=0),0,IF(C202=0,"New",(E202-C202)/C202))</f>
        <v>-1</v>
      </c>
      <c r="H202" s="32" t="n">
        <f aca="false">SUMIFS('Source 2025'!$Q:$Q,'Source 2025'!$B:$B,$A202,'Source 2025'!$A:$A,"Amount (NIS)")</f>
        <v>-90</v>
      </c>
      <c r="I202" s="32" t="n">
        <f aca="false">SUMIFS('Source 2026'!$Q:$Q,'Source 2026'!$B:$B,$A202,'Source 2026'!$A:$A,"Amount (NIS)")</f>
        <v>0</v>
      </c>
      <c r="J202" s="32" t="n">
        <f aca="false">I202*$J$5</f>
        <v>0</v>
      </c>
      <c r="K202" s="32" t="n">
        <f aca="false">J202-H202</f>
        <v>90</v>
      </c>
      <c r="L202" s="31" t="n">
        <f aca="false">IF(AND(H202=0,J202=0),0,IF(H202=0,"New",(J202-H202)/H202))</f>
        <v>-1</v>
      </c>
    </row>
    <row r="203" customFormat="false" ht="15" hidden="false" customHeight="false" outlineLevel="0" collapsed="false">
      <c r="A203" s="28" t="s">
        <v>156</v>
      </c>
      <c r="B203" s="28" t="str">
        <f aca="false">IFERROR(INDEX('Source 2026'!$C:$C,MATCH($A203,'Source 2026'!$B:$B,0)),IFERROR(INDEX('Source 2025'!$C:$C,MATCH($A203,'Source 2025'!$B:$B,0)),""))</f>
        <v>להסרת עור קשה</v>
      </c>
      <c r="C203" s="29" t="n">
        <f aca="false">SUMIFS('Source 2025'!$Q:$Q,'Source 2025'!$B:$B,$A203,'Source 2025'!$A:$A,"Quantity (units)")</f>
        <v>0</v>
      </c>
      <c r="D203" s="29" t="n">
        <f aca="false">SUMIFS('Source 2026'!$Q:$Q,'Source 2026'!$B:$B,$A203,'Source 2026'!$A:$A,"Quantity (units)")</f>
        <v>-4</v>
      </c>
      <c r="E203" s="30" t="n">
        <f aca="false">D203*$J$5</f>
        <v>-5.05263157894737</v>
      </c>
      <c r="F203" s="30" t="n">
        <f aca="false">E203-C203</f>
        <v>-5.05263157894737</v>
      </c>
      <c r="G203" s="31" t="str">
        <f aca="false">IF(AND(C203=0,E203=0),0,IF(C203=0,"New",(E203-C203)/C203))</f>
        <v>New</v>
      </c>
      <c r="H203" s="32" t="n">
        <f aca="false">SUMIFS('Source 2025'!$Q:$Q,'Source 2025'!$B:$B,$A203,'Source 2025'!$A:$A,"Amount (NIS)")</f>
        <v>0</v>
      </c>
      <c r="I203" s="32" t="n">
        <f aca="false">SUMIFS('Source 2026'!$Q:$Q,'Source 2026'!$B:$B,$A203,'Source 2026'!$A:$A,"Amount (NIS)")</f>
        <v>-81.2</v>
      </c>
      <c r="J203" s="32" t="n">
        <f aca="false">I203*$J$5</f>
        <v>-102.568421052632</v>
      </c>
      <c r="K203" s="32" t="n">
        <f aca="false">J203-H203</f>
        <v>-102.568421052632</v>
      </c>
      <c r="L203" s="31" t="str">
        <f aca="false">IF(AND(H203=0,J203=0),0,IF(H203=0,"New",(J203-H203)/H203))</f>
        <v>New</v>
      </c>
    </row>
    <row r="204" customFormat="false" ht="15" hidden="false" customHeight="false" outlineLevel="0" collapsed="false">
      <c r="A204" s="28" t="s">
        <v>371</v>
      </c>
      <c r="B204" s="28" t="str">
        <f aca="false">IFERROR(INDEX('Source 2026'!$C:$C,MATCH($A204,'Source 2026'!$B:$B,0)),IFERROR(INDEX('Source 2025'!$C:$C,MATCH($A204,'Source 2025'!$B:$B,0)),""))</f>
        <v>S'תתחגורת בטן עממית בז</v>
      </c>
      <c r="C204" s="29" t="n">
        <f aca="false">SUMIFS('Source 2025'!$Q:$Q,'Source 2025'!$B:$B,$A204,'Source 2025'!$A:$A,"Quantity (units)")</f>
        <v>0</v>
      </c>
      <c r="D204" s="29" t="n">
        <f aca="false">SUMIFS('Source 2026'!$Q:$Q,'Source 2026'!$B:$B,$A204,'Source 2026'!$A:$A,"Quantity (units)")</f>
        <v>-1</v>
      </c>
      <c r="E204" s="30" t="n">
        <f aca="false">D204*$J$5</f>
        <v>-1.26315789473684</v>
      </c>
      <c r="F204" s="30" t="n">
        <f aca="false">E204-C204</f>
        <v>-1.26315789473684</v>
      </c>
      <c r="G204" s="31" t="str">
        <f aca="false">IF(AND(C204=0,E204=0),0,IF(C204=0,"New",(E204-C204)/C204))</f>
        <v>New</v>
      </c>
      <c r="H204" s="32" t="n">
        <f aca="false">SUMIFS('Source 2025'!$Q:$Q,'Source 2025'!$B:$B,$A204,'Source 2025'!$A:$A,"Amount (NIS)")</f>
        <v>0</v>
      </c>
      <c r="I204" s="32" t="n">
        <f aca="false">SUMIFS('Source 2026'!$Q:$Q,'Source 2026'!$B:$B,$A204,'Source 2026'!$A:$A,"Amount (NIS)")</f>
        <v>-77.8</v>
      </c>
      <c r="J204" s="32" t="n">
        <f aca="false">I204*$J$5</f>
        <v>-98.2736842105263</v>
      </c>
      <c r="K204" s="32" t="n">
        <f aca="false">J204-H204</f>
        <v>-98.2736842105263</v>
      </c>
      <c r="L204" s="31" t="str">
        <f aca="false">IF(AND(H204=0,J204=0),0,IF(H204=0,"New",(J204-H204)/H204))</f>
        <v>New</v>
      </c>
    </row>
    <row r="205" customFormat="false" ht="15" hidden="false" customHeight="false" outlineLevel="0" collapsed="false">
      <c r="A205" s="28" t="s">
        <v>372</v>
      </c>
      <c r="B205" s="28" t="str">
        <f aca="false">IFERROR(INDEX('Source 2026'!$C:$C,MATCH($A205,'Source 2026'!$B:$B,0)),IFERROR(INDEX('Source 2025'!$C:$C,MATCH($A205,'Source 2025'!$B:$B,0)),""))</f>
        <v>רצועת פיקה לברך</v>
      </c>
      <c r="C205" s="29" t="n">
        <f aca="false">SUMIFS('Source 2025'!$Q:$Q,'Source 2025'!$B:$B,$A205,'Source 2025'!$A:$A,"Quantity (units)")</f>
        <v>-1</v>
      </c>
      <c r="D205" s="29" t="n">
        <f aca="false">SUMIFS('Source 2026'!$Q:$Q,'Source 2026'!$B:$B,$A205,'Source 2026'!$A:$A,"Quantity (units)")</f>
        <v>-2</v>
      </c>
      <c r="E205" s="30" t="n">
        <f aca="false">D205*$J$5</f>
        <v>-2.52631578947368</v>
      </c>
      <c r="F205" s="30" t="n">
        <f aca="false">E205-C205</f>
        <v>-1.52631578947368</v>
      </c>
      <c r="G205" s="31" t="n">
        <f aca="false">IF(AND(C205=0,E205=0),0,IF(C205=0,"New",(E205-C205)/C205))</f>
        <v>1.52631578947368</v>
      </c>
      <c r="H205" s="32" t="n">
        <f aca="false">SUMIFS('Source 2025'!$Q:$Q,'Source 2025'!$B:$B,$A205,'Source 2025'!$A:$A,"Amount (NIS)")</f>
        <v>-73.9</v>
      </c>
      <c r="I205" s="32" t="n">
        <f aca="false">SUMIFS('Source 2026'!$Q:$Q,'Source 2026'!$B:$B,$A205,'Source 2026'!$A:$A,"Amount (NIS)")</f>
        <v>-147.8</v>
      </c>
      <c r="J205" s="32" t="n">
        <f aca="false">I205*$J$5</f>
        <v>-186.694736842105</v>
      </c>
      <c r="K205" s="32" t="n">
        <f aca="false">J205-H205</f>
        <v>-112.794736842105</v>
      </c>
      <c r="L205" s="31" t="n">
        <f aca="false">IF(AND(H205=0,J205=0),0,IF(H205=0,"New",(J205-H205)/H205))</f>
        <v>1.52631578947368</v>
      </c>
    </row>
    <row r="206" customFormat="false" ht="15" hidden="false" customHeight="false" outlineLevel="0" collapsed="false">
      <c r="A206" s="28" t="s">
        <v>289</v>
      </c>
      <c r="B206" s="28" t="str">
        <f aca="false">IFERROR(INDEX('Source 2026'!$C:$C,MATCH($A206,'Source 2026'!$B:$B,0)),IFERROR(INDEX('Source 2025'!$C:$C,MATCH($A206,'Source 2025'!$B:$B,0)),""))</f>
        <v>L מתלה אשכים לספורטאים</v>
      </c>
      <c r="C206" s="29" t="n">
        <f aca="false">SUMIFS('Source 2025'!$Q:$Q,'Source 2025'!$B:$B,$A206,'Source 2025'!$A:$A,"Quantity (units)")</f>
        <v>-1</v>
      </c>
      <c r="D206" s="29" t="n">
        <f aca="false">SUMIFS('Source 2026'!$Q:$Q,'Source 2026'!$B:$B,$A206,'Source 2026'!$A:$A,"Quantity (units)")</f>
        <v>0</v>
      </c>
      <c r="E206" s="30" t="n">
        <f aca="false">D206*$J$5</f>
        <v>0</v>
      </c>
      <c r="F206" s="30" t="n">
        <f aca="false">E206-C206</f>
        <v>1</v>
      </c>
      <c r="G206" s="31" t="n">
        <f aca="false">IF(AND(C206=0,E206=0),0,IF(C206=0,"New",(E206-C206)/C206))</f>
        <v>-1</v>
      </c>
      <c r="H206" s="32" t="n">
        <f aca="false">SUMIFS('Source 2025'!$Q:$Q,'Source 2025'!$B:$B,$A206,'Source 2025'!$A:$A,"Amount (NIS)")</f>
        <v>-71.3</v>
      </c>
      <c r="I206" s="32" t="n">
        <f aca="false">SUMIFS('Source 2026'!$Q:$Q,'Source 2026'!$B:$B,$A206,'Source 2026'!$A:$A,"Amount (NIS)")</f>
        <v>0</v>
      </c>
      <c r="J206" s="32" t="n">
        <f aca="false">I206*$J$5</f>
        <v>0</v>
      </c>
      <c r="K206" s="32" t="n">
        <f aca="false">J206-H206</f>
        <v>71.3</v>
      </c>
      <c r="L206" s="31" t="n">
        <f aca="false">IF(AND(H206=0,J206=0),0,IF(H206=0,"New",(J206-H206)/H206))</f>
        <v>-1</v>
      </c>
    </row>
    <row r="207" customFormat="false" ht="15" hidden="false" customHeight="false" outlineLevel="0" collapsed="false">
      <c r="A207" s="28" t="s">
        <v>323</v>
      </c>
      <c r="B207" s="28" t="str">
        <f aca="false">IFERROR(INDEX('Source 2026'!$C:$C,MATCH($A207,'Source 2026'!$B:$B,0)),IFERROR(INDEX('Source 2025'!$C:$C,MATCH($A207,'Source 2025'!$B:$B,0)),""))</f>
        <v>120 תתתרסיס מרענן לרגל</v>
      </c>
      <c r="C207" s="29" t="n">
        <f aca="false">SUMIFS('Source 2025'!$Q:$Q,'Source 2025'!$B:$B,$A207,'Source 2025'!$A:$A,"Quantity (units)")</f>
        <v>-3</v>
      </c>
      <c r="D207" s="29" t="n">
        <f aca="false">SUMIFS('Source 2026'!$Q:$Q,'Source 2026'!$B:$B,$A207,'Source 2026'!$A:$A,"Quantity (units)")</f>
        <v>0</v>
      </c>
      <c r="E207" s="30" t="n">
        <f aca="false">D207*$J$5</f>
        <v>0</v>
      </c>
      <c r="F207" s="30" t="n">
        <f aca="false">E207-C207</f>
        <v>3</v>
      </c>
      <c r="G207" s="31" t="n">
        <f aca="false">IF(AND(C207=0,E207=0),0,IF(C207=0,"New",(E207-C207)/C207))</f>
        <v>-1</v>
      </c>
      <c r="H207" s="32" t="n">
        <f aca="false">SUMIFS('Source 2025'!$Q:$Q,'Source 2025'!$B:$B,$A207,'Source 2025'!$A:$A,"Amount (NIS)")</f>
        <v>-70.7</v>
      </c>
      <c r="I207" s="32" t="n">
        <f aca="false">SUMIFS('Source 2026'!$Q:$Q,'Source 2026'!$B:$B,$A207,'Source 2026'!$A:$A,"Amount (NIS)")</f>
        <v>0</v>
      </c>
      <c r="J207" s="32" t="n">
        <f aca="false">I207*$J$5</f>
        <v>0</v>
      </c>
      <c r="K207" s="32" t="n">
        <f aca="false">J207-H207</f>
        <v>70.7</v>
      </c>
      <c r="L207" s="31" t="n">
        <f aca="false">IF(AND(H207=0,J207=0),0,IF(H207=0,"New",(J207-H207)/H207))</f>
        <v>-1</v>
      </c>
    </row>
    <row r="208" customFormat="false" ht="15" hidden="false" customHeight="false" outlineLevel="0" collapsed="false">
      <c r="A208" s="28" t="s">
        <v>110</v>
      </c>
      <c r="B208" s="28" t="str">
        <f aca="false">IFERROR(INDEX('Source 2026'!$C:$C,MATCH($A208,'Source 2026'!$B:$B,0)),IFERROR(INDEX('Source 2025'!$C:$C,MATCH($A208,'Source 2025'!$B:$B,0)),""))</f>
        <v>סט פלסטרים נגד שפשופים</v>
      </c>
      <c r="C208" s="29" t="n">
        <f aca="false">SUMIFS('Source 2025'!$Q:$Q,'Source 2025'!$B:$B,$A208,'Source 2025'!$A:$A,"Quantity (units)")</f>
        <v>0</v>
      </c>
      <c r="D208" s="29" t="n">
        <f aca="false">SUMIFS('Source 2026'!$Q:$Q,'Source 2026'!$B:$B,$A208,'Source 2026'!$A:$A,"Quantity (units)")</f>
        <v>-3</v>
      </c>
      <c r="E208" s="30" t="n">
        <f aca="false">D208*$J$5</f>
        <v>-3.78947368421053</v>
      </c>
      <c r="F208" s="30" t="n">
        <f aca="false">E208-C208</f>
        <v>-3.78947368421053</v>
      </c>
      <c r="G208" s="31" t="str">
        <f aca="false">IF(AND(C208=0,E208=0),0,IF(C208=0,"New",(E208-C208)/C208))</f>
        <v>New</v>
      </c>
      <c r="H208" s="32" t="n">
        <f aca="false">SUMIFS('Source 2025'!$Q:$Q,'Source 2025'!$B:$B,$A208,'Source 2025'!$A:$A,"Amount (NIS)")</f>
        <v>0</v>
      </c>
      <c r="I208" s="32" t="n">
        <f aca="false">SUMIFS('Source 2026'!$Q:$Q,'Source 2026'!$B:$B,$A208,'Source 2026'!$A:$A,"Amount (NIS)")</f>
        <v>-58.3</v>
      </c>
      <c r="J208" s="32" t="n">
        <f aca="false">I208*$J$5</f>
        <v>-73.6421052631579</v>
      </c>
      <c r="K208" s="32" t="n">
        <f aca="false">J208-H208</f>
        <v>-73.6421052631579</v>
      </c>
      <c r="L208" s="31" t="str">
        <f aca="false">IF(AND(H208=0,J208=0),0,IF(H208=0,"New",(J208-H208)/H208))</f>
        <v>New</v>
      </c>
    </row>
    <row r="209" customFormat="false" ht="15" hidden="false" customHeight="false" outlineLevel="0" collapsed="false">
      <c r="A209" s="28" t="s">
        <v>238</v>
      </c>
      <c r="B209" s="28" t="str">
        <f aca="false">IFERROR(INDEX('Source 2026'!$C:$C,MATCH($A209,'Source 2026'!$B:$B,0)),IFERROR(INDEX('Source 2025'!$C:$C,MATCH($A209,'Source 2025'!$B:$B,0)),""))</f>
        <v>L סד לאגודל כפפה</v>
      </c>
      <c r="C209" s="29" t="n">
        <f aca="false">SUMIFS('Source 2025'!$Q:$Q,'Source 2025'!$B:$B,$A209,'Source 2025'!$A:$A,"Quantity (units)")</f>
        <v>0</v>
      </c>
      <c r="D209" s="29" t="n">
        <f aca="false">SUMIFS('Source 2026'!$Q:$Q,'Source 2026'!$B:$B,$A209,'Source 2026'!$A:$A,"Quantity (units)")</f>
        <v>-1</v>
      </c>
      <c r="E209" s="30" t="n">
        <f aca="false">D209*$J$5</f>
        <v>-1.26315789473684</v>
      </c>
      <c r="F209" s="30" t="n">
        <f aca="false">E209-C209</f>
        <v>-1.26315789473684</v>
      </c>
      <c r="G209" s="31" t="str">
        <f aca="false">IF(AND(C209=0,E209=0),0,IF(C209=0,"New",(E209-C209)/C209))</f>
        <v>New</v>
      </c>
      <c r="H209" s="32" t="n">
        <f aca="false">SUMIFS('Source 2025'!$Q:$Q,'Source 2025'!$B:$B,$A209,'Source 2025'!$A:$A,"Amount (NIS)")</f>
        <v>0</v>
      </c>
      <c r="I209" s="32" t="n">
        <f aca="false">SUMIFS('Source 2026'!$Q:$Q,'Source 2026'!$B:$B,$A209,'Source 2026'!$A:$A,"Amount (NIS)")</f>
        <v>-58.3</v>
      </c>
      <c r="J209" s="32" t="n">
        <f aca="false">I209*$J$5</f>
        <v>-73.6421052631579</v>
      </c>
      <c r="K209" s="32" t="n">
        <f aca="false">J209-H209</f>
        <v>-73.6421052631579</v>
      </c>
      <c r="L209" s="31" t="str">
        <f aca="false">IF(AND(H209=0,J209=0),0,IF(H209=0,"New",(J209-H209)/H209))</f>
        <v>New</v>
      </c>
    </row>
    <row r="210" customFormat="false" ht="15" hidden="false" customHeight="false" outlineLevel="0" collapsed="false">
      <c r="A210" s="28" t="s">
        <v>213</v>
      </c>
      <c r="B210" s="28" t="str">
        <f aca="false">IFERROR(INDEX('Source 2026'!$C:$C,MATCH($A210,'Source 2026'!$B:$B,0)),IFERROR(INDEX('Source 2025'!$C:$C,MATCH($A210,'Source 2025'!$B:$B,0)),""))</f>
        <v>רפידת מגבת כותנה-זוג</v>
      </c>
      <c r="C210" s="29" t="n">
        <f aca="false">SUMIFS('Source 2025'!$Q:$Q,'Source 2025'!$B:$B,$A210,'Source 2025'!$A:$A,"Quantity (units)")</f>
        <v>34</v>
      </c>
      <c r="D210" s="29" t="n">
        <f aca="false">SUMIFS('Source 2026'!$Q:$Q,'Source 2026'!$B:$B,$A210,'Source 2026'!$A:$A,"Quantity (units)")</f>
        <v>28</v>
      </c>
      <c r="E210" s="30" t="n">
        <f aca="false">D210*$J$5</f>
        <v>35.3684210526316</v>
      </c>
      <c r="F210" s="30" t="n">
        <f aca="false">E210-C210</f>
        <v>1.36842105263158</v>
      </c>
      <c r="G210" s="31" t="n">
        <f aca="false">IF(AND(C210=0,E210=0),0,IF(C210=0,"New",(E210-C210)/C210))</f>
        <v>0.0402476780185757</v>
      </c>
      <c r="H210" s="32" t="n">
        <f aca="false">SUMIFS('Source 2025'!$Q:$Q,'Source 2025'!$B:$B,$A210,'Source 2025'!$A:$A,"Amount (NIS)")</f>
        <v>336.9</v>
      </c>
      <c r="I210" s="32" t="n">
        <f aca="false">SUMIFS('Source 2026'!$Q:$Q,'Source 2026'!$B:$B,$A210,'Source 2026'!$A:$A,"Amount (NIS)")</f>
        <v>279.9</v>
      </c>
      <c r="J210" s="32" t="n">
        <f aca="false">I210*$J$5</f>
        <v>353.557894736842</v>
      </c>
      <c r="K210" s="32" t="n">
        <f aca="false">J210-H210</f>
        <v>16.6578947368421</v>
      </c>
      <c r="L210" s="31" t="n">
        <f aca="false">IF(AND(H210=0,J210=0),0,IF(H210=0,"New",(J210-H210)/H210))</f>
        <v>0.0494446267047851</v>
      </c>
    </row>
    <row r="211" customFormat="false" ht="15" hidden="false" customHeight="false" outlineLevel="0" collapsed="false">
      <c r="A211" s="28" t="s">
        <v>106</v>
      </c>
      <c r="B211" s="28" t="str">
        <f aca="false">IFERROR(INDEX('Source 2026'!$C:$C,MATCH($A211,'Source 2026'!$B:$B,0)),IFERROR(INDEX('Source 2025'!$C:$C,MATCH($A211,'Source 2025'!$B:$B,0)),""))</f>
        <v>Lמפר.אצבע סיליק. ליבל.זוג</v>
      </c>
      <c r="C211" s="29" t="n">
        <f aca="false">SUMIFS('Source 2025'!$Q:$Q,'Source 2025'!$B:$B,$A211,'Source 2025'!$A:$A,"Quantity (units)")</f>
        <v>-4</v>
      </c>
      <c r="D211" s="29" t="n">
        <f aca="false">SUMIFS('Source 2026'!$Q:$Q,'Source 2026'!$B:$B,$A211,'Source 2026'!$A:$A,"Quantity (units)")</f>
        <v>0</v>
      </c>
      <c r="E211" s="30" t="n">
        <f aca="false">D211*$J$5</f>
        <v>0</v>
      </c>
      <c r="F211" s="30" t="n">
        <f aca="false">E211-C211</f>
        <v>4</v>
      </c>
      <c r="G211" s="31" t="n">
        <f aca="false">IF(AND(C211=0,E211=0),0,IF(C211=0,"New",(E211-C211)/C211))</f>
        <v>-1</v>
      </c>
      <c r="H211" s="32" t="n">
        <f aca="false">SUMIFS('Source 2025'!$Q:$Q,'Source 2025'!$B:$B,$A211,'Source 2025'!$A:$A,"Amount (NIS)")</f>
        <v>-47.7</v>
      </c>
      <c r="I211" s="32" t="n">
        <f aca="false">SUMIFS('Source 2026'!$Q:$Q,'Source 2026'!$B:$B,$A211,'Source 2026'!$A:$A,"Amount (NIS)")</f>
        <v>0</v>
      </c>
      <c r="J211" s="32" t="n">
        <f aca="false">I211*$J$5</f>
        <v>0</v>
      </c>
      <c r="K211" s="32" t="n">
        <f aca="false">J211-H211</f>
        <v>47.7</v>
      </c>
      <c r="L211" s="31" t="n">
        <f aca="false">IF(AND(H211=0,J211=0),0,IF(H211=0,"New",(J211-H211)/H211))</f>
        <v>-1</v>
      </c>
    </row>
    <row r="212" customFormat="false" ht="15" hidden="false" customHeight="false" outlineLevel="0" collapsed="false">
      <c r="A212" s="28" t="s">
        <v>283</v>
      </c>
      <c r="B212" s="28" t="str">
        <f aca="false">IFERROR(INDEX('Source 2026'!$C:$C,MATCH($A212,'Source 2026'!$B:$B,0)),IFERROR(INDEX('Source 2025'!$C:$C,MATCH($A212,'Source 2025'!$B:$B,0)),""))</f>
        <v>בקט.לנעל120</v>
      </c>
      <c r="C212" s="29" t="n">
        <f aca="false">SUMIFS('Source 2025'!$Q:$Q,'Source 2025'!$B:$B,$A212,'Source 2025'!$A:$A,"Quantity (units)")</f>
        <v>-2</v>
      </c>
      <c r="D212" s="29" t="n">
        <f aca="false">SUMIFS('Source 2026'!$Q:$Q,'Source 2026'!$B:$B,$A212,'Source 2026'!$A:$A,"Quantity (units)")</f>
        <v>0</v>
      </c>
      <c r="E212" s="30" t="n">
        <f aca="false">D212*$J$5</f>
        <v>0</v>
      </c>
      <c r="F212" s="30" t="n">
        <f aca="false">E212-C212</f>
        <v>2</v>
      </c>
      <c r="G212" s="31" t="n">
        <f aca="false">IF(AND(C212=0,E212=0),0,IF(C212=0,"New",(E212-C212)/C212))</f>
        <v>-1</v>
      </c>
      <c r="H212" s="32" t="n">
        <f aca="false">SUMIFS('Source 2025'!$Q:$Q,'Source 2025'!$B:$B,$A212,'Source 2025'!$A:$A,"Amount (NIS)")</f>
        <v>-47.1</v>
      </c>
      <c r="I212" s="32" t="n">
        <f aca="false">SUMIFS('Source 2026'!$Q:$Q,'Source 2026'!$B:$B,$A212,'Source 2026'!$A:$A,"Amount (NIS)")</f>
        <v>0</v>
      </c>
      <c r="J212" s="32" t="n">
        <f aca="false">I212*$J$5</f>
        <v>0</v>
      </c>
      <c r="K212" s="32" t="n">
        <f aca="false">J212-H212</f>
        <v>47.1</v>
      </c>
      <c r="L212" s="31" t="n">
        <f aca="false">IF(AND(H212=0,J212=0),0,IF(H212=0,"New",(J212-H212)/H212))</f>
        <v>-1</v>
      </c>
    </row>
    <row r="213" customFormat="false" ht="15" hidden="false" customHeight="false" outlineLevel="0" collapsed="false">
      <c r="A213" s="28" t="s">
        <v>322</v>
      </c>
      <c r="B213" s="28" t="str">
        <f aca="false">IFERROR(INDEX('Source 2026'!$C:$C,MATCH($A213,'Source 2026'!$B:$B,0)),IFERROR(INDEX('Source 2025'!$C:$C,MATCH($A213,'Source 2025'!$B:$B,0)),""))</f>
        <v>S תתמתלה ליד רצועה</v>
      </c>
      <c r="C213" s="29" t="n">
        <f aca="false">SUMIFS('Source 2025'!$Q:$Q,'Source 2025'!$B:$B,$A213,'Source 2025'!$A:$A,"Quantity (units)")</f>
        <v>-1</v>
      </c>
      <c r="D213" s="29" t="n">
        <f aca="false">SUMIFS('Source 2026'!$Q:$Q,'Source 2026'!$B:$B,$A213,'Source 2026'!$A:$A,"Quantity (units)")</f>
        <v>0</v>
      </c>
      <c r="E213" s="30" t="n">
        <f aca="false">D213*$J$5</f>
        <v>0</v>
      </c>
      <c r="F213" s="30" t="n">
        <f aca="false">E213-C213</f>
        <v>1</v>
      </c>
      <c r="G213" s="31" t="n">
        <f aca="false">IF(AND(C213=0,E213=0),0,IF(C213=0,"New",(E213-C213)/C213))</f>
        <v>-1</v>
      </c>
      <c r="H213" s="32" t="n">
        <f aca="false">SUMIFS('Source 2025'!$Q:$Q,'Source 2025'!$B:$B,$A213,'Source 2025'!$A:$A,"Amount (NIS)")</f>
        <v>-32.3</v>
      </c>
      <c r="I213" s="32" t="n">
        <f aca="false">SUMIFS('Source 2026'!$Q:$Q,'Source 2026'!$B:$B,$A213,'Source 2026'!$A:$A,"Amount (NIS)")</f>
        <v>0</v>
      </c>
      <c r="J213" s="32" t="n">
        <f aca="false">I213*$J$5</f>
        <v>0</v>
      </c>
      <c r="K213" s="32" t="n">
        <f aca="false">J213-H213</f>
        <v>32.3</v>
      </c>
      <c r="L213" s="31" t="n">
        <f aca="false">IF(AND(H213=0,J213=0),0,IF(H213=0,"New",(J213-H213)/H213))</f>
        <v>-1</v>
      </c>
    </row>
    <row r="214" customFormat="false" ht="15" hidden="false" customHeight="false" outlineLevel="0" collapsed="false">
      <c r="A214" s="28" t="s">
        <v>182</v>
      </c>
      <c r="B214" s="28" t="str">
        <f aca="false">IFERROR(INDEX('Source 2026'!$C:$C,MATCH($A214,'Source 2026'!$B:$B,0)),IFERROR(INDEX('Source 2025'!$C:$C,MATCH($A214,'Source 2025'!$B:$B,0)),""))</f>
        <v>XLמפריד אצבע סיליקון ליבלת</v>
      </c>
      <c r="C214" s="29" t="n">
        <f aca="false">SUMIFS('Source 2025'!$Q:$Q,'Source 2025'!$B:$B,$A214,'Source 2025'!$A:$A,"Quantity (units)")</f>
        <v>0</v>
      </c>
      <c r="D214" s="29" t="n">
        <f aca="false">SUMIFS('Source 2026'!$Q:$Q,'Source 2026'!$B:$B,$A214,'Source 2026'!$A:$A,"Quantity (units)")</f>
        <v>-2</v>
      </c>
      <c r="E214" s="30" t="n">
        <f aca="false">D214*$J$5</f>
        <v>-2.52631578947368</v>
      </c>
      <c r="F214" s="30" t="n">
        <f aca="false">E214-C214</f>
        <v>-2.52631578947368</v>
      </c>
      <c r="G214" s="31" t="str">
        <f aca="false">IF(AND(C214=0,E214=0),0,IF(C214=0,"New",(E214-C214)/C214))</f>
        <v>New</v>
      </c>
      <c r="H214" s="32" t="n">
        <f aca="false">SUMIFS('Source 2025'!$Q:$Q,'Source 2025'!$B:$B,$A214,'Source 2025'!$A:$A,"Amount (NIS)")</f>
        <v>0</v>
      </c>
      <c r="I214" s="32" t="n">
        <f aca="false">SUMIFS('Source 2026'!$Q:$Q,'Source 2026'!$B:$B,$A214,'Source 2026'!$A:$A,"Amount (NIS)")</f>
        <v>-25.1</v>
      </c>
      <c r="J214" s="32" t="n">
        <f aca="false">I214*$J$5</f>
        <v>-31.7052631578947</v>
      </c>
      <c r="K214" s="32" t="n">
        <f aca="false">J214-H214</f>
        <v>-31.7052631578947</v>
      </c>
      <c r="L214" s="31" t="str">
        <f aca="false">IF(AND(H214=0,J214=0),0,IF(H214=0,"New",(J214-H214)/H214))</f>
        <v>New</v>
      </c>
    </row>
    <row r="215" customFormat="false" ht="15" hidden="false" customHeight="false" outlineLevel="0" collapsed="false">
      <c r="A215" s="28" t="s">
        <v>91</v>
      </c>
      <c r="B215" s="28" t="str">
        <f aca="false">IFERROR(INDEX('Source 2026'!$C:$C,MATCH($A215,'Source 2026'!$B:$B,0)),IFERROR(INDEX('Source 2025'!$C:$C,MATCH($A215,'Source 2025'!$B:$B,0)),""))</f>
        <v>ציפורניים</v>
      </c>
      <c r="C215" s="29" t="n">
        <f aca="false">SUMIFS('Source 2025'!$Q:$Q,'Source 2025'!$B:$B,$A215,'Source 2025'!$A:$A,"Quantity (units)")</f>
        <v>0</v>
      </c>
      <c r="D215" s="29" t="n">
        <f aca="false">SUMIFS('Source 2026'!$Q:$Q,'Source 2026'!$B:$B,$A215,'Source 2026'!$A:$A,"Quantity (units)")</f>
        <v>-2</v>
      </c>
      <c r="E215" s="30" t="n">
        <f aca="false">D215*$J$5</f>
        <v>-2.52631578947368</v>
      </c>
      <c r="F215" s="30" t="n">
        <f aca="false">E215-C215</f>
        <v>-2.52631578947368</v>
      </c>
      <c r="G215" s="31" t="str">
        <f aca="false">IF(AND(C215=0,E215=0),0,IF(C215=0,"New",(E215-C215)/C215))</f>
        <v>New</v>
      </c>
      <c r="H215" s="32" t="n">
        <f aca="false">SUMIFS('Source 2025'!$Q:$Q,'Source 2025'!$B:$B,$A215,'Source 2025'!$A:$A,"Amount (NIS)")</f>
        <v>0</v>
      </c>
      <c r="I215" s="32" t="n">
        <f aca="false">SUMIFS('Source 2026'!$Q:$Q,'Source 2026'!$B:$B,$A215,'Source 2026'!$A:$A,"Amount (NIS)")</f>
        <v>-24.4</v>
      </c>
      <c r="J215" s="32" t="n">
        <f aca="false">I215*$J$5</f>
        <v>-30.8210526315789</v>
      </c>
      <c r="K215" s="32" t="n">
        <f aca="false">J215-H215</f>
        <v>-30.8210526315789</v>
      </c>
      <c r="L215" s="31" t="str">
        <f aca="false">IF(AND(H215=0,J215=0),0,IF(H215=0,"New",(J215-H215)/H215))</f>
        <v>New</v>
      </c>
    </row>
    <row r="216" customFormat="false" ht="15" hidden="false" customHeight="false" outlineLevel="0" collapsed="false">
      <c r="A216" s="28" t="s">
        <v>201</v>
      </c>
      <c r="B216" s="28" t="str">
        <f aca="false">IFERROR(INDEX('Source 2026'!$C:$C,MATCH($A216,'Source 2026'!$B:$B,0)),IFERROR(INDEX('Source 2025'!$C:$C,MATCH($A216,'Source 2025'!$B:$B,0)),""))</f>
        <v>ריפוד סיליק.לעקב תחתון</v>
      </c>
      <c r="C216" s="29" t="n">
        <f aca="false">SUMIFS('Source 2025'!$Q:$Q,'Source 2025'!$B:$B,$A216,'Source 2025'!$A:$A,"Quantity (units)")</f>
        <v>-2</v>
      </c>
      <c r="D216" s="29" t="n">
        <f aca="false">SUMIFS('Source 2026'!$Q:$Q,'Source 2026'!$B:$B,$A216,'Source 2026'!$A:$A,"Quantity (units)")</f>
        <v>-3</v>
      </c>
      <c r="E216" s="30" t="n">
        <f aca="false">D216*$J$5</f>
        <v>-3.78947368421053</v>
      </c>
      <c r="F216" s="30" t="n">
        <f aca="false">E216-C216</f>
        <v>-1.78947368421053</v>
      </c>
      <c r="G216" s="31" t="n">
        <f aca="false">IF(AND(C216=0,E216=0),0,IF(C216=0,"New",(E216-C216)/C216))</f>
        <v>0.894736842105263</v>
      </c>
      <c r="H216" s="32" t="n">
        <f aca="false">SUMIFS('Source 2025'!$Q:$Q,'Source 2025'!$B:$B,$A216,'Source 2025'!$A:$A,"Amount (NIS)")</f>
        <v>-40.5</v>
      </c>
      <c r="I216" s="32" t="n">
        <f aca="false">SUMIFS('Source 2026'!$Q:$Q,'Source 2026'!$B:$B,$A216,'Source 2026'!$A:$A,"Amount (NIS)")</f>
        <v>-60.8</v>
      </c>
      <c r="J216" s="32" t="n">
        <f aca="false">I216*$J$5</f>
        <v>-76.8</v>
      </c>
      <c r="K216" s="32" t="n">
        <f aca="false">J216-H216</f>
        <v>-36.3</v>
      </c>
      <c r="L216" s="31" t="n">
        <f aca="false">IF(AND(H216=0,J216=0),0,IF(H216=0,"New",(J216-H216)/H216))</f>
        <v>0.896296296296296</v>
      </c>
    </row>
    <row r="217" customFormat="false" ht="15" hidden="false" customHeight="false" outlineLevel="0" collapsed="false">
      <c r="A217" s="28" t="s">
        <v>373</v>
      </c>
      <c r="B217" s="28" t="str">
        <f aca="false">IFERROR(INDEX('Source 2026'!$C:$C,MATCH($A217,'Source 2026'!$B:$B,0)),IFERROR(INDEX('Source 2025'!$C:$C,MATCH($A217,'Source 2025'!$B:$B,0)),""))</f>
        <v>0   גרביים+סיליקון</v>
      </c>
      <c r="C217" s="29" t="n">
        <f aca="false">SUMIFS('Source 2025'!$Q:$Q,'Source 2025'!$B:$B,$A217,'Source 2025'!$A:$A,"Quantity (units)")</f>
        <v>-1</v>
      </c>
      <c r="D217" s="29" t="n">
        <f aca="false">SUMIFS('Source 2026'!$Q:$Q,'Source 2026'!$B:$B,$A217,'Source 2026'!$A:$A,"Quantity (units)")</f>
        <v>-1</v>
      </c>
      <c r="E217" s="30" t="n">
        <f aca="false">D217*$J$5</f>
        <v>-1.26315789473684</v>
      </c>
      <c r="F217" s="30" t="n">
        <f aca="false">E217-C217</f>
        <v>-0.263157894736842</v>
      </c>
      <c r="G217" s="31" t="n">
        <f aca="false">IF(AND(C217=0,E217=0),0,IF(C217=0,"New",(E217-C217)/C217))</f>
        <v>0.263157894736842</v>
      </c>
      <c r="H217" s="32" t="n">
        <f aca="false">SUMIFS('Source 2025'!$Q:$Q,'Source 2025'!$B:$B,$A217,'Source 2025'!$A:$A,"Amount (NIS)")</f>
        <v>-28.4</v>
      </c>
      <c r="I217" s="32" t="n">
        <f aca="false">SUMIFS('Source 2026'!$Q:$Q,'Source 2026'!$B:$B,$A217,'Source 2026'!$A:$A,"Amount (NIS)")</f>
        <v>-31.9</v>
      </c>
      <c r="J217" s="32" t="n">
        <f aca="false">I217*$J$5</f>
        <v>-40.2947368421053</v>
      </c>
      <c r="K217" s="32" t="n">
        <f aca="false">J217-H217</f>
        <v>-11.8947368421053</v>
      </c>
      <c r="L217" s="31" t="n">
        <f aca="false">IF(AND(H217=0,J217=0),0,IF(H217=0,"New",(J217-H217)/H217))</f>
        <v>0.41882876204596</v>
      </c>
    </row>
    <row r="218" customFormat="false" ht="15" hidden="false" customHeight="false" outlineLevel="0" collapsed="false">
      <c r="A218" s="28" t="s">
        <v>241</v>
      </c>
      <c r="B218" s="28" t="str">
        <f aca="false">IFERROR(INDEX('Source 2026'!$C:$C,MATCH($A218,'Source 2026'!$B:$B,0)),IFERROR(INDEX('Source 2025'!$C:$C,MATCH($A218,'Source 2025'!$B:$B,0)),""))</f>
        <v>XLסד ליד שמאל</v>
      </c>
      <c r="C218" s="29" t="n">
        <f aca="false">SUMIFS('Source 2025'!$Q:$Q,'Source 2025'!$B:$B,$A218,'Source 2025'!$A:$A,"Quantity (units)")</f>
        <v>0</v>
      </c>
      <c r="D218" s="29" t="n">
        <f aca="false">SUMIFS('Source 2026'!$Q:$Q,'Source 2026'!$B:$B,$A218,'Source 2026'!$A:$A,"Quantity (units)")</f>
        <v>-1</v>
      </c>
      <c r="E218" s="30" t="n">
        <f aca="false">D218*$J$5</f>
        <v>-1.26315789473684</v>
      </c>
      <c r="F218" s="30" t="n">
        <f aca="false">E218-C218</f>
        <v>-1.26315789473684</v>
      </c>
      <c r="G218" s="31" t="str">
        <f aca="false">IF(AND(C218=0,E218=0),0,IF(C218=0,"New",(E218-C218)/C218))</f>
        <v>New</v>
      </c>
      <c r="H218" s="32" t="n">
        <f aca="false">SUMIFS('Source 2025'!$Q:$Q,'Source 2025'!$B:$B,$A218,'Source 2025'!$A:$A,"Amount (NIS)")</f>
        <v>0</v>
      </c>
      <c r="I218" s="32" t="n">
        <f aca="false">SUMIFS('Source 2026'!$Q:$Q,'Source 2026'!$B:$B,$A218,'Source 2026'!$A:$A,"Amount (NIS)")</f>
        <v>0</v>
      </c>
      <c r="J218" s="32" t="n">
        <f aca="false">I218*$J$5</f>
        <v>0</v>
      </c>
      <c r="K218" s="32" t="n">
        <f aca="false">J218-H218</f>
        <v>0</v>
      </c>
      <c r="L218" s="31" t="n">
        <f aca="false">IF(AND(H218=0,J218=0),0,IF(H218=0,"New",(J218-H218)/H218))</f>
        <v>0</v>
      </c>
    </row>
    <row r="219" customFormat="false" ht="15" hidden="false" customHeight="false" outlineLevel="0" collapsed="false">
      <c r="A219" s="28" t="s">
        <v>198</v>
      </c>
      <c r="B219" s="28" t="str">
        <f aca="false">IFERROR(INDEX('Source 2026'!$C:$C,MATCH($A219,'Source 2026'!$B:$B,0)),IFERROR(INDEX('Source 2025'!$C:$C,MATCH($A219,'Source 2025'!$B:$B,0)),""))</f>
        <v>L מיצב פיקה</v>
      </c>
      <c r="C219" s="29" t="n">
        <f aca="false">SUMIFS('Source 2025'!$Q:$Q,'Source 2025'!$B:$B,$A219,'Source 2025'!$A:$A,"Quantity (units)")</f>
        <v>-1</v>
      </c>
      <c r="D219" s="29" t="n">
        <f aca="false">SUMIFS('Source 2026'!$Q:$Q,'Source 2026'!$B:$B,$A219,'Source 2026'!$A:$A,"Quantity (units)")</f>
        <v>-1</v>
      </c>
      <c r="E219" s="30" t="n">
        <f aca="false">D219*$J$5</f>
        <v>-1.26315789473684</v>
      </c>
      <c r="F219" s="30" t="n">
        <f aca="false">E219-C219</f>
        <v>-0.263157894736842</v>
      </c>
      <c r="G219" s="31" t="n">
        <f aca="false">IF(AND(C219=0,E219=0),0,IF(C219=0,"New",(E219-C219)/C219))</f>
        <v>0.263157894736842</v>
      </c>
      <c r="H219" s="32" t="n">
        <f aca="false">SUMIFS('Source 2025'!$Q:$Q,'Source 2025'!$B:$B,$A219,'Source 2025'!$A:$A,"Amount (NIS)")</f>
        <v>-81.9</v>
      </c>
      <c r="I219" s="32" t="n">
        <f aca="false">SUMIFS('Source 2026'!$Q:$Q,'Source 2026'!$B:$B,$A219,'Source 2026'!$A:$A,"Amount (NIS)")</f>
        <v>-81.9</v>
      </c>
      <c r="J219" s="32" t="n">
        <f aca="false">I219*$J$5</f>
        <v>-103.452631578947</v>
      </c>
      <c r="K219" s="32" t="n">
        <f aca="false">J219-H219</f>
        <v>-21.5526315789474</v>
      </c>
      <c r="L219" s="31" t="n">
        <f aca="false">IF(AND(H219=0,J219=0),0,IF(H219=0,"New",(J219-H219)/H219))</f>
        <v>0.263157894736842</v>
      </c>
    </row>
    <row r="220" customFormat="false" ht="15" hidden="false" customHeight="false" outlineLevel="0" collapsed="false">
      <c r="A220" s="28" t="s">
        <v>374</v>
      </c>
      <c r="B220" s="28" t="str">
        <f aca="false">IFERROR(INDEX('Source 2026'!$C:$C,MATCH($A220,'Source 2026'!$B:$B,0)),IFERROR(INDEX('Source 2025'!$C:$C,MATCH($A220,'Source 2025'!$B:$B,0)),""))</f>
        <v>יד לטניס כרית סיליק</v>
      </c>
      <c r="C220" s="29" t="n">
        <f aca="false">SUMIFS('Source 2025'!$Q:$Q,'Source 2025'!$B:$B,$A220,'Source 2025'!$A:$A,"Quantity (units)")</f>
        <v>-1</v>
      </c>
      <c r="D220" s="29" t="n">
        <f aca="false">SUMIFS('Source 2026'!$Q:$Q,'Source 2026'!$B:$B,$A220,'Source 2026'!$A:$A,"Quantity (units)")</f>
        <v>-1</v>
      </c>
      <c r="E220" s="30" t="n">
        <f aca="false">D220*$J$5</f>
        <v>-1.26315789473684</v>
      </c>
      <c r="F220" s="30" t="n">
        <f aca="false">E220-C220</f>
        <v>-0.263157894736842</v>
      </c>
      <c r="G220" s="31" t="n">
        <f aca="false">IF(AND(C220=0,E220=0),0,IF(C220=0,"New",(E220-C220)/C220))</f>
        <v>0.263157894736842</v>
      </c>
      <c r="H220" s="32" t="n">
        <f aca="false">SUMIFS('Source 2025'!$Q:$Q,'Source 2025'!$B:$B,$A220,'Source 2025'!$A:$A,"Amount (NIS)")</f>
        <v>0</v>
      </c>
      <c r="I220" s="32" t="n">
        <f aca="false">SUMIFS('Source 2026'!$Q:$Q,'Source 2026'!$B:$B,$A220,'Source 2026'!$A:$A,"Amount (NIS)")</f>
        <v>0</v>
      </c>
      <c r="J220" s="32" t="n">
        <f aca="false">I220*$J$5</f>
        <v>0</v>
      </c>
      <c r="K220" s="32" t="n">
        <f aca="false">J220-H220</f>
        <v>0</v>
      </c>
      <c r="L220" s="31" t="n">
        <f aca="false">IF(AND(H220=0,J220=0),0,IF(H220=0,"New",(J220-H220)/H220))</f>
        <v>0</v>
      </c>
    </row>
    <row r="221" customFormat="false" ht="15" hidden="false" customHeight="false" outlineLevel="0" collapsed="false">
      <c r="A221" s="28" t="s">
        <v>375</v>
      </c>
      <c r="B221" s="28" t="str">
        <f aca="false">IFERROR(INDEX('Source 2026'!$C:$C,MATCH($A221,'Source 2026'!$B:$B,0)),IFERROR(INDEX('Source 2025'!$C:$C,MATCH($A221,'Source 2025'!$B:$B,0)),""))</f>
        <v>XL ח.גב מגנטית+מוטות תמיכה</v>
      </c>
      <c r="C221" s="29" t="n">
        <f aca="false">SUMIFS('Source 2025'!$Q:$Q,'Source 2025'!$B:$B,$A221,'Source 2025'!$A:$A,"Quantity (units)")</f>
        <v>-1</v>
      </c>
      <c r="D221" s="29" t="n">
        <f aca="false">SUMIFS('Source 2026'!$Q:$Q,'Source 2026'!$B:$B,$A221,'Source 2026'!$A:$A,"Quantity (units)")</f>
        <v>-1</v>
      </c>
      <c r="E221" s="30" t="n">
        <f aca="false">D221*$J$5</f>
        <v>-1.26315789473684</v>
      </c>
      <c r="F221" s="30" t="n">
        <f aca="false">E221-C221</f>
        <v>-0.263157894736842</v>
      </c>
      <c r="G221" s="31" t="n">
        <f aca="false">IF(AND(C221=0,E221=0),0,IF(C221=0,"New",(E221-C221)/C221))</f>
        <v>0.263157894736842</v>
      </c>
      <c r="H221" s="32" t="n">
        <f aca="false">SUMIFS('Source 2025'!$Q:$Q,'Source 2025'!$B:$B,$A221,'Source 2025'!$A:$A,"Amount (NIS)")</f>
        <v>-178.6</v>
      </c>
      <c r="I221" s="32" t="n">
        <f aca="false">SUMIFS('Source 2026'!$Q:$Q,'Source 2026'!$B:$B,$A221,'Source 2026'!$A:$A,"Amount (NIS)")</f>
        <v>-178.6</v>
      </c>
      <c r="J221" s="32" t="n">
        <f aca="false">I221*$J$5</f>
        <v>-225.6</v>
      </c>
      <c r="K221" s="32" t="n">
        <f aca="false">J221-H221</f>
        <v>-47</v>
      </c>
      <c r="L221" s="31" t="n">
        <f aca="false">IF(AND(H221=0,J221=0),0,IF(H221=0,"New",(J221-H221)/H221))</f>
        <v>0.263157894736842</v>
      </c>
    </row>
    <row r="222" customFormat="false" ht="15" hidden="false" customHeight="false" outlineLevel="0" collapsed="false">
      <c r="A222" s="28" t="s">
        <v>129</v>
      </c>
      <c r="B222" s="28" t="str">
        <f aca="false">IFERROR(INDEX('Source 2026'!$C:$C,MATCH($A222,'Source 2026'!$B:$B,0)),IFERROR(INDEX('Source 2025'!$C:$C,MATCH($A222,'Source 2025'!$B:$B,0)),""))</f>
        <v>S ח.גב ""איטלקית"" אורירית</v>
      </c>
      <c r="C222" s="29" t="n">
        <f aca="false">SUMIFS('Source 2025'!$Q:$Q,'Source 2025'!$B:$B,$A222,'Source 2025'!$A:$A,"Quantity (units)")</f>
        <v>-1</v>
      </c>
      <c r="D222" s="29" t="n">
        <f aca="false">SUMIFS('Source 2026'!$Q:$Q,'Source 2026'!$B:$B,$A222,'Source 2026'!$A:$A,"Quantity (units)")</f>
        <v>-1</v>
      </c>
      <c r="E222" s="30" t="n">
        <f aca="false">D222*$J$5</f>
        <v>-1.26315789473684</v>
      </c>
      <c r="F222" s="30" t="n">
        <f aca="false">E222-C222</f>
        <v>-0.263157894736842</v>
      </c>
      <c r="G222" s="31" t="n">
        <f aca="false">IF(AND(C222=0,E222=0),0,IF(C222=0,"New",(E222-C222)/C222))</f>
        <v>0.263157894736842</v>
      </c>
      <c r="H222" s="32" t="n">
        <f aca="false">SUMIFS('Source 2025'!$Q:$Q,'Source 2025'!$B:$B,$A222,'Source 2025'!$A:$A,"Amount (NIS)")</f>
        <v>-215.4</v>
      </c>
      <c r="I222" s="32" t="n">
        <f aca="false">SUMIFS('Source 2026'!$Q:$Q,'Source 2026'!$B:$B,$A222,'Source 2026'!$A:$A,"Amount (NIS)")</f>
        <v>-215.4</v>
      </c>
      <c r="J222" s="32" t="n">
        <f aca="false">I222*$J$5</f>
        <v>-272.084210526316</v>
      </c>
      <c r="K222" s="32" t="n">
        <f aca="false">J222-H222</f>
        <v>-56.6842105263158</v>
      </c>
      <c r="L222" s="31" t="n">
        <f aca="false">IF(AND(H222=0,J222=0),0,IF(H222=0,"New",(J222-H222)/H222))</f>
        <v>0.263157894736842</v>
      </c>
    </row>
    <row r="223" customFormat="false" ht="15" hidden="false" customHeight="false" outlineLevel="0" collapsed="false">
      <c r="A223" s="28" t="s">
        <v>376</v>
      </c>
      <c r="B223" s="28" t="str">
        <f aca="false">IFERROR(INDEX('Source 2026'!$C:$C,MATCH($A223,'Source 2026'!$B:$B,0)),IFERROR(INDEX('Source 2025'!$C:$C,MATCH($A223,'Source 2025'!$B:$B,0)),""))</f>
        <v>XLסד ליד ימין</v>
      </c>
      <c r="C223" s="29" t="n">
        <f aca="false">SUMIFS('Source 2025'!$Q:$Q,'Source 2025'!$B:$B,$A223,'Source 2025'!$A:$A,"Quantity (units)")</f>
        <v>0</v>
      </c>
      <c r="D223" s="29" t="n">
        <f aca="false">SUMIFS('Source 2026'!$Q:$Q,'Source 2026'!$B:$B,$A223,'Source 2026'!$A:$A,"Quantity (units)")</f>
        <v>-1</v>
      </c>
      <c r="E223" s="30" t="n">
        <f aca="false">D223*$J$5</f>
        <v>-1.26315789473684</v>
      </c>
      <c r="F223" s="30" t="n">
        <f aca="false">E223-C223</f>
        <v>-1.26315789473684</v>
      </c>
      <c r="G223" s="31" t="str">
        <f aca="false">IF(AND(C223=0,E223=0),0,IF(C223=0,"New",(E223-C223)/C223))</f>
        <v>New</v>
      </c>
      <c r="H223" s="32" t="n">
        <f aca="false">SUMIFS('Source 2025'!$Q:$Q,'Source 2025'!$B:$B,$A223,'Source 2025'!$A:$A,"Amount (NIS)")</f>
        <v>0</v>
      </c>
      <c r="I223" s="32" t="n">
        <f aca="false">SUMIFS('Source 2026'!$Q:$Q,'Source 2026'!$B:$B,$A223,'Source 2026'!$A:$A,"Amount (NIS)")</f>
        <v>0</v>
      </c>
      <c r="J223" s="32" t="n">
        <f aca="false">I223*$J$5</f>
        <v>0</v>
      </c>
      <c r="K223" s="32" t="n">
        <f aca="false">J223-H223</f>
        <v>0</v>
      </c>
      <c r="L223" s="31" t="n">
        <f aca="false">IF(AND(H223=0,J223=0),0,IF(H223=0,"New",(J223-H223)/H223))</f>
        <v>0</v>
      </c>
    </row>
    <row r="224" customFormat="false" ht="15" hidden="false" customHeight="false" outlineLevel="0" collapsed="false">
      <c r="A224" s="28" t="s">
        <v>197</v>
      </c>
      <c r="B224" s="28" t="str">
        <f aca="false">IFERROR(INDEX('Source 2026'!$C:$C,MATCH($A224,'Source 2026'!$B:$B,0)),IFERROR(INDEX('Source 2025'!$C:$C,MATCH($A224,'Source 2025'!$B:$B,0)),""))</f>
        <v>L חגורה לשבר טבור</v>
      </c>
      <c r="C224" s="29" t="n">
        <f aca="false">SUMIFS('Source 2025'!$Q:$Q,'Source 2025'!$B:$B,$A224,'Source 2025'!$A:$A,"Quantity (units)")</f>
        <v>-1</v>
      </c>
      <c r="D224" s="29" t="n">
        <f aca="false">SUMIFS('Source 2026'!$Q:$Q,'Source 2026'!$B:$B,$A224,'Source 2026'!$A:$A,"Quantity (units)")</f>
        <v>-1</v>
      </c>
      <c r="E224" s="30" t="n">
        <f aca="false">D224*$J$5</f>
        <v>-1.26315789473684</v>
      </c>
      <c r="F224" s="30" t="n">
        <f aca="false">E224-C224</f>
        <v>-0.263157894736842</v>
      </c>
      <c r="G224" s="31" t="n">
        <f aca="false">IF(AND(C224=0,E224=0),0,IF(C224=0,"New",(E224-C224)/C224))</f>
        <v>0.263157894736842</v>
      </c>
      <c r="H224" s="32" t="n">
        <f aca="false">SUMIFS('Source 2025'!$Q:$Q,'Source 2025'!$B:$B,$A224,'Source 2025'!$A:$A,"Amount (NIS)")</f>
        <v>-135</v>
      </c>
      <c r="I224" s="32" t="n">
        <f aca="false">SUMIFS('Source 2026'!$Q:$Q,'Source 2026'!$B:$B,$A224,'Source 2026'!$A:$A,"Amount (NIS)")</f>
        <v>-135</v>
      </c>
      <c r="J224" s="32" t="n">
        <f aca="false">I224*$J$5</f>
        <v>-170.526315789474</v>
      </c>
      <c r="K224" s="32" t="n">
        <f aca="false">J224-H224</f>
        <v>-35.5263157894737</v>
      </c>
      <c r="L224" s="31" t="n">
        <f aca="false">IF(AND(H224=0,J224=0),0,IF(H224=0,"New",(J224-H224)/H224))</f>
        <v>0.263157894736842</v>
      </c>
    </row>
    <row r="225" customFormat="false" ht="15" hidden="false" customHeight="false" outlineLevel="0" collapsed="false">
      <c r="A225" s="28" t="s">
        <v>377</v>
      </c>
      <c r="B225" s="28" t="str">
        <f aca="false">IFERROR(INDEX('Source 2026'!$C:$C,MATCH($A225,'Source 2026'!$B:$B,0)),IFERROR(INDEX('Source 2025'!$C:$C,MATCH($A225,'Source 2025'!$B:$B,0)),""))</f>
        <v>M מגן מרפק+רצועה לטניס</v>
      </c>
      <c r="C225" s="29" t="n">
        <f aca="false">SUMIFS('Source 2025'!$Q:$Q,'Source 2025'!$B:$B,$A225,'Source 2025'!$A:$A,"Quantity (units)")</f>
        <v>-1</v>
      </c>
      <c r="D225" s="29" t="n">
        <f aca="false">SUMIFS('Source 2026'!$Q:$Q,'Source 2026'!$B:$B,$A225,'Source 2026'!$A:$A,"Quantity (units)")</f>
        <v>-1</v>
      </c>
      <c r="E225" s="30" t="n">
        <f aca="false">D225*$J$5</f>
        <v>-1.26315789473684</v>
      </c>
      <c r="F225" s="30" t="n">
        <f aca="false">E225-C225</f>
        <v>-0.263157894736842</v>
      </c>
      <c r="G225" s="31" t="n">
        <f aca="false">IF(AND(C225=0,E225=0),0,IF(C225=0,"New",(E225-C225)/C225))</f>
        <v>0.263157894736842</v>
      </c>
      <c r="H225" s="32" t="n">
        <f aca="false">SUMIFS('Source 2025'!$Q:$Q,'Source 2025'!$B:$B,$A225,'Source 2025'!$A:$A,"Amount (NIS)")</f>
        <v>0</v>
      </c>
      <c r="I225" s="32" t="n">
        <f aca="false">SUMIFS('Source 2026'!$Q:$Q,'Source 2026'!$B:$B,$A225,'Source 2026'!$A:$A,"Amount (NIS)")</f>
        <v>0</v>
      </c>
      <c r="J225" s="32" t="n">
        <f aca="false">I225*$J$5</f>
        <v>0</v>
      </c>
      <c r="K225" s="32" t="n">
        <f aca="false">J225-H225</f>
        <v>0</v>
      </c>
      <c r="L225" s="31" t="n">
        <f aca="false">IF(AND(H225=0,J225=0),0,IF(H225=0,"New",(J225-H225)/H225))</f>
        <v>0</v>
      </c>
    </row>
    <row r="227" customFormat="false" ht="15" hidden="false" customHeight="false" outlineLevel="0" collapsed="false">
      <c r="A227" s="33"/>
      <c r="B227" s="34" t="s">
        <v>337</v>
      </c>
      <c r="C227" s="35" t="n">
        <f aca="false">SUM(C7:C225)</f>
        <v>176505</v>
      </c>
      <c r="D227" s="35" t="n">
        <f aca="false">SUM(D7:D225)</f>
        <v>118307</v>
      </c>
      <c r="E227" s="35" t="n">
        <f aca="false">SUM(E7:E225)</f>
        <v>149440.421052632</v>
      </c>
      <c r="F227" s="35" t="n">
        <f aca="false">SUM(F7:F225)</f>
        <v>-27064.5789473684</v>
      </c>
      <c r="G227" s="36" t="n">
        <f aca="false">IF(C227=0,"N/A",F227/C227)</f>
        <v>-0.153336046839287</v>
      </c>
      <c r="H227" s="37" t="n">
        <f aca="false">SUM(H7:H225)</f>
        <v>6689220.5</v>
      </c>
      <c r="I227" s="37" t="n">
        <f aca="false">SUM(I7:I225)</f>
        <v>4476515.3</v>
      </c>
      <c r="J227" s="37" t="n">
        <f aca="false">SUM(J7:J225)</f>
        <v>5654545.64210526</v>
      </c>
      <c r="K227" s="37" t="n">
        <f aca="false">SUM(K7:K225)</f>
        <v>-1034674.85789474</v>
      </c>
      <c r="L227" s="36" t="n">
        <f aca="false">IF(H227=0,"N/A",K227/H227)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9" min="9" style="1" width="16"/>
    <col collapsed="false" customWidth="true" hidden="false" outlineLevel="0" max="10" min="10" style="1" width="14"/>
  </cols>
  <sheetData>
    <row r="1" customFormat="false" ht="15" hidden="false" customHeight="true" outlineLevel="0" collapsed="false">
      <c r="A1" s="2" t="s">
        <v>378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379</v>
      </c>
      <c r="B3" s="5"/>
      <c r="C3" s="5"/>
      <c r="D3" s="5"/>
      <c r="E3" s="5"/>
      <c r="F3" s="5"/>
      <c r="G3" s="5"/>
      <c r="H3" s="5"/>
      <c r="I3" s="5"/>
      <c r="J3" s="5"/>
    </row>
    <row r="5" customFormat="false" ht="31.5" hidden="false" customHeight="true" outlineLevel="0" collapsed="false">
      <c r="A5" s="6" t="s">
        <v>49</v>
      </c>
      <c r="B5" s="6" t="s">
        <v>50</v>
      </c>
      <c r="C5" s="6" t="s">
        <v>7</v>
      </c>
      <c r="D5" s="6" t="s">
        <v>8</v>
      </c>
      <c r="E5" s="6" t="s">
        <v>51</v>
      </c>
      <c r="F5" s="6" t="s">
        <v>52</v>
      </c>
      <c r="G5" s="6" t="s">
        <v>10</v>
      </c>
      <c r="H5" s="6" t="s">
        <v>11</v>
      </c>
      <c r="I5" s="6" t="s">
        <v>53</v>
      </c>
      <c r="J5" s="6" t="s">
        <v>12</v>
      </c>
    </row>
    <row r="6" customFormat="false" ht="15" hidden="false" customHeight="true" outlineLevel="0" collapsed="false">
      <c r="A6" s="8" t="s">
        <v>64</v>
      </c>
      <c r="B6" s="8" t="str">
        <f aca="false">IFERROR(INDEX('Source 2026'!$C:$C,MATCH($A6,'Source 2026'!$B:$B,0)),IFERROR(INDEX('Source 2025'!$C:$C,MATCH($A6,'Source 2025'!$B:$B,0)),""))</f>
        <v>סד ליד דו צדדי</v>
      </c>
      <c r="C6" s="9" t="n">
        <f aca="false">SUMIFS('Source 2025'!$T:$T,'Source 2025'!$B:$B,$A6,'Source 2025'!$A:$A,"Quantity (units)")</f>
        <v>0</v>
      </c>
      <c r="D6" s="9" t="n">
        <f aca="false">SUMIFS('Source 2026'!$T:$T,'Source 2026'!$B:$B,$A6,'Source 2026'!$A:$A,"Quantity (units)")</f>
        <v>648</v>
      </c>
      <c r="E6" s="9" t="n">
        <f aca="false">D6-C6</f>
        <v>648</v>
      </c>
      <c r="F6" s="10" t="str">
        <f aca="false">IF(AND(C6=0,D6=0),0,IF(C6=0,"New",(D6-C6)/C6))</f>
        <v>New</v>
      </c>
      <c r="G6" s="11" t="n">
        <f aca="false">SUMIFS('Source 2025'!$T:$T,'Source 2025'!$B:$B,$A6,'Source 2025'!$A:$A,"Amount (NIS)")</f>
        <v>0</v>
      </c>
      <c r="H6" s="11" t="n">
        <f aca="false">SUMIFS('Source 2026'!$T:$T,'Source 2026'!$B:$B,$A6,'Source 2026'!$A:$A,"Amount (NIS)")</f>
        <v>29484</v>
      </c>
      <c r="I6" s="11" t="n">
        <f aca="false">H6-G6</f>
        <v>29484</v>
      </c>
      <c r="J6" s="10" t="str">
        <f aca="false">IF(AND(G6=0,H6=0),0,IF(G6=0,"New",(H6-G6)/G6))</f>
        <v>New</v>
      </c>
    </row>
    <row r="7" customFormat="false" ht="15" hidden="false" customHeight="true" outlineLevel="0" collapsed="false">
      <c r="A7" s="8" t="s">
        <v>161</v>
      </c>
      <c r="B7" s="8" t="str">
        <f aca="false">IFERROR(INDEX('Source 2026'!$C:$C,MATCH($A7,'Source 2026'!$B:$B,0)),IFERROR(INDEX('Source 2025'!$C:$C,MATCH($A7,'Source 2025'!$B:$B,0)),""))</f>
        <v>סד לאגודל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274</v>
      </c>
      <c r="E7" s="9" t="n">
        <f aca="false">D7-C7</f>
        <v>274</v>
      </c>
      <c r="F7" s="10" t="str">
        <f aca="false">IF(AND(C7=0,D7=0),0,IF(C7=0,"New",(D7-C7)/C7))</f>
        <v>New</v>
      </c>
      <c r="G7" s="11" t="n">
        <f aca="false">SUMIFS('Source 2025'!$T:$T,'Source 2025'!$B:$B,$A7,'Source 2025'!$A:$A,"Amount (NIS)")</f>
        <v>0</v>
      </c>
      <c r="H7" s="11" t="n">
        <f aca="false">SUMIFS('Source 2026'!$T:$T,'Source 2026'!$B:$B,$A7,'Source 2026'!$A:$A,"Amount (NIS)")</f>
        <v>21317.2</v>
      </c>
      <c r="I7" s="11" t="n">
        <f aca="false">H7-G7</f>
        <v>21317.2</v>
      </c>
      <c r="J7" s="10" t="str">
        <f aca="false">IF(AND(G7=0,H7=0),0,IF(G7=0,"New",(H7-G7)/G7))</f>
        <v>New</v>
      </c>
    </row>
    <row r="8" customFormat="false" ht="15" hidden="false" customHeight="true" outlineLevel="0" collapsed="false">
      <c r="A8" s="8" t="s">
        <v>56</v>
      </c>
      <c r="B8" s="8" t="str">
        <f aca="false">IFERROR(INDEX('Source 2026'!$C:$C,MATCH($A8,'Source 2026'!$B:$B,0)),IFERROR(INDEX('Source 2025'!$C:$C,MATCH($A8,'Source 2025'!$B:$B,0)),""))</f>
        <v>טיסה אנטי בקטרי35-38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416</v>
      </c>
      <c r="E8" s="9" t="n">
        <f aca="false">D8-C8</f>
        <v>416</v>
      </c>
      <c r="F8" s="10" t="str">
        <f aca="false">IF(AND(C8=0,D8=0),0,IF(C8=0,"New",(D8-C8)/C8))</f>
        <v>New</v>
      </c>
      <c r="G8" s="11" t="n">
        <f aca="false">SUMIFS('Source 2025'!$T:$T,'Source 2025'!$B:$B,$A8,'Source 2025'!$A:$A,"Amount (NIS)")</f>
        <v>0</v>
      </c>
      <c r="H8" s="11" t="n">
        <f aca="false">SUMIFS('Source 2026'!$T:$T,'Source 2026'!$B:$B,$A8,'Source 2026'!$A:$A,"Amount (NIS)")</f>
        <v>17016.6</v>
      </c>
      <c r="I8" s="11" t="n">
        <f aca="false">H8-G8</f>
        <v>17016.6</v>
      </c>
      <c r="J8" s="10" t="str">
        <f aca="false">IF(AND(G8=0,H8=0),0,IF(G8=0,"New",(H8-G8)/G8))</f>
        <v>New</v>
      </c>
    </row>
    <row r="9" customFormat="false" ht="15" hidden="false" customHeight="true" outlineLevel="0" collapsed="false">
      <c r="A9" s="8" t="s">
        <v>60</v>
      </c>
      <c r="B9" s="8" t="str">
        <f aca="false">IFERROR(INDEX('Source 2026'!$C:$C,MATCH($A9,'Source 2026'!$B:$B,0)),IFERROR(INDEX('Source 2025'!$C:$C,MATCH($A9,'Source 2025'!$B:$B,0)),""))</f>
        <v>L עקבים לדורבן-זוג כריות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233</v>
      </c>
      <c r="E9" s="9" t="n">
        <f aca="false">D9-C9</f>
        <v>233</v>
      </c>
      <c r="F9" s="10" t="str">
        <f aca="false">IF(AND(C9=0,D9=0),0,IF(C9=0,"New",(D9-C9)/C9))</f>
        <v>New</v>
      </c>
      <c r="G9" s="11" t="n">
        <f aca="false">SUMIFS('Source 2025'!$T:$T,'Source 2025'!$B:$B,$A9,'Source 2025'!$A:$A,"Amount (NIS)")</f>
        <v>0</v>
      </c>
      <c r="H9" s="11" t="n">
        <f aca="false">SUMIFS('Source 2026'!$T:$T,'Source 2026'!$B:$B,$A9,'Source 2026'!$A:$A,"Amount (NIS)")</f>
        <v>14504.7</v>
      </c>
      <c r="I9" s="11" t="n">
        <f aca="false">H9-G9</f>
        <v>14504.7</v>
      </c>
      <c r="J9" s="10" t="str">
        <f aca="false">IF(AND(G9=0,H9=0),0,IF(G9=0,"New",(H9-G9)/G9))</f>
        <v>New</v>
      </c>
    </row>
    <row r="10" customFormat="false" ht="15" hidden="false" customHeight="true" outlineLevel="0" collapsed="false">
      <c r="A10" s="8" t="s">
        <v>59</v>
      </c>
      <c r="B10" s="8" t="str">
        <f aca="false">IFERROR(INDEX('Source 2026'!$C:$C,MATCH($A10,'Source 2026'!$B:$B,0)),IFERROR(INDEX('Source 2025'!$C:$C,MATCH($A10,'Source 2025'!$B:$B,0)),""))</f>
        <v>1 תומך ברך גנושילד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97</v>
      </c>
      <c r="E10" s="9" t="n">
        <f aca="false">D10-C10</f>
        <v>97</v>
      </c>
      <c r="F10" s="10" t="str">
        <f aca="false">IF(AND(C10=0,D10=0),0,IF(C10=0,"New",(D10-C10)/C10))</f>
        <v>New</v>
      </c>
      <c r="G10" s="11" t="n">
        <f aca="false">SUMIFS('Source 2025'!$T:$T,'Source 2025'!$B:$B,$A10,'Source 2025'!$A:$A,"Amount (NIS)")</f>
        <v>0</v>
      </c>
      <c r="H10" s="11" t="n">
        <f aca="false">SUMIFS('Source 2026'!$T:$T,'Source 2026'!$B:$B,$A10,'Source 2026'!$A:$A,"Amount (NIS)")</f>
        <v>12125</v>
      </c>
      <c r="I10" s="11" t="n">
        <f aca="false">H10-G10</f>
        <v>12125</v>
      </c>
      <c r="J10" s="10" t="str">
        <f aca="false">IF(AND(G10=0,H10=0),0,IF(G10=0,"New",(H10-G10)/G10))</f>
        <v>New</v>
      </c>
    </row>
    <row r="11" customFormat="false" ht="15" hidden="false" customHeight="true" outlineLevel="0" collapsed="false">
      <c r="A11" s="8" t="s">
        <v>69</v>
      </c>
      <c r="B11" s="8" t="str">
        <f aca="false">IFERROR(INDEX('Source 2026'!$C:$C,MATCH($A11,'Source 2026'!$B:$B,0)),IFERROR(INDEX('Source 2025'!$C:$C,MATCH($A11,'Source 2025'!$B:$B,0)),""))</f>
        <v>M מגן קרסול עקב סגור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391</v>
      </c>
      <c r="E11" s="9" t="n">
        <f aca="false">D11-C11</f>
        <v>391</v>
      </c>
      <c r="F11" s="10" t="str">
        <f aca="false">IF(AND(C11=0,D11=0),0,IF(C11=0,"New",(D11-C11)/C11))</f>
        <v>New</v>
      </c>
      <c r="G11" s="11" t="n">
        <f aca="false">SUMIFS('Source 2025'!$T:$T,'Source 2025'!$B:$B,$A11,'Source 2025'!$A:$A,"Amount (NIS)")</f>
        <v>0</v>
      </c>
      <c r="H11" s="11" t="n">
        <f aca="false">SUMIFS('Source 2026'!$T:$T,'Source 2026'!$B:$B,$A11,'Source 2026'!$A:$A,"Amount (NIS)")</f>
        <v>10884.8</v>
      </c>
      <c r="I11" s="11" t="n">
        <f aca="false">H11-G11</f>
        <v>10884.8</v>
      </c>
      <c r="J11" s="10" t="str">
        <f aca="false">IF(AND(G11=0,H11=0),0,IF(G11=0,"New",(H11-G11)/G11))</f>
        <v>New</v>
      </c>
    </row>
    <row r="12" customFormat="false" ht="15" hidden="false" customHeight="true" outlineLevel="0" collapsed="false">
      <c r="A12" s="8" t="s">
        <v>67</v>
      </c>
      <c r="B12" s="8" t="str">
        <f aca="false">IFERROR(INDEX('Source 2026'!$C:$C,MATCH($A12,'Source 2026'!$B:$B,0)),IFERROR(INDEX('Source 2025'!$C:$C,MATCH($A12,'Source 2025'!$B:$B,0)),""))</f>
        <v>L (מתלה ליד )כיס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323</v>
      </c>
      <c r="E12" s="9" t="n">
        <f aca="false">D12-C12</f>
        <v>323</v>
      </c>
      <c r="F12" s="10" t="str">
        <f aca="false">IF(AND(C12=0,D12=0),0,IF(C12=0,"New",(D12-C12)/C12))</f>
        <v>New</v>
      </c>
      <c r="G12" s="11" t="n">
        <f aca="false">SUMIFS('Source 2025'!$T:$T,'Source 2025'!$B:$B,$A12,'Source 2025'!$A:$A,"Amount (NIS)")</f>
        <v>0</v>
      </c>
      <c r="H12" s="11" t="n">
        <f aca="false">SUMIFS('Source 2026'!$T:$T,'Source 2026'!$B:$B,$A12,'Source 2026'!$A:$A,"Amount (NIS)")</f>
        <v>10806.4</v>
      </c>
      <c r="I12" s="11" t="n">
        <f aca="false">H12-G12</f>
        <v>10806.4</v>
      </c>
      <c r="J12" s="10" t="str">
        <f aca="false">IF(AND(G12=0,H12=0),0,IF(G12=0,"New",(H12-G12)/G12))</f>
        <v>New</v>
      </c>
    </row>
    <row r="13" customFormat="false" ht="15" hidden="false" customHeight="true" outlineLevel="0" collapsed="false">
      <c r="A13" s="8" t="s">
        <v>76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617</v>
      </c>
      <c r="E13" s="9" t="n">
        <f aca="false">D13-C13</f>
        <v>617</v>
      </c>
      <c r="F13" s="10" t="str">
        <f aca="false">IF(AND(C13=0,D13=0),0,IF(C13=0,"New",(D13-C13)/C13))</f>
        <v>New</v>
      </c>
      <c r="G13" s="11" t="n">
        <f aca="false">SUMIFS('Source 2025'!$T:$T,'Source 2025'!$B:$B,$A13,'Source 2025'!$A:$A,"Amount (NIS)")</f>
        <v>0</v>
      </c>
      <c r="H13" s="11" t="n">
        <f aca="false">SUMIFS('Source 2026'!$T:$T,'Source 2026'!$B:$B,$A13,'Source 2026'!$A:$A,"Amount (NIS)")</f>
        <v>10007.2</v>
      </c>
      <c r="I13" s="11" t="n">
        <f aca="false">H13-G13</f>
        <v>10007.2</v>
      </c>
      <c r="J13" s="10" t="str">
        <f aca="false">IF(AND(G13=0,H13=0),0,IF(G13=0,"New",(H13-G13)/G13))</f>
        <v>New</v>
      </c>
    </row>
    <row r="14" customFormat="false" ht="15" hidden="false" customHeight="true" outlineLevel="0" collapsed="false">
      <c r="A14" s="8" t="s">
        <v>54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382</v>
      </c>
      <c r="E14" s="9" t="n">
        <f aca="false">D14-C14</f>
        <v>382</v>
      </c>
      <c r="F14" s="10" t="str">
        <f aca="false">IF(AND(C14=0,D14=0),0,IF(C14=0,"New",(D14-C14)/C14))</f>
        <v>New</v>
      </c>
      <c r="G14" s="11" t="n">
        <f aca="false">SUMIFS('Source 2025'!$T:$T,'Source 2025'!$B:$B,$A14,'Source 2025'!$A:$A,"Amount (NIS)")</f>
        <v>0</v>
      </c>
      <c r="H14" s="11" t="n">
        <f aca="false">SUMIFS('Source 2026'!$T:$T,'Source 2026'!$B:$B,$A14,'Source 2026'!$A:$A,"Amount (NIS)")</f>
        <v>8812.9</v>
      </c>
      <c r="I14" s="11" t="n">
        <f aca="false">H14-G14</f>
        <v>8812.9</v>
      </c>
      <c r="J14" s="10" t="str">
        <f aca="false">IF(AND(G14=0,H14=0),0,IF(G14=0,"New",(H14-G14)/G14))</f>
        <v>New</v>
      </c>
    </row>
    <row r="15" customFormat="false" ht="15" hidden="false" customHeight="true" outlineLevel="0" collapsed="false">
      <c r="A15" s="8" t="s">
        <v>90</v>
      </c>
      <c r="B15" s="8" t="str">
        <f aca="false">IFERROR(INDEX('Source 2026'!$C:$C,MATCH($A15,'Source 2026'!$B:$B,0)),IFERROR(INDEX('Source 2025'!$C:$C,MATCH($A15,'Source 2025'!$B:$B,0)),""))</f>
        <v>Sמגן ברך ארוך לבן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442</v>
      </c>
      <c r="E15" s="9" t="n">
        <f aca="false">D15-C15</f>
        <v>442</v>
      </c>
      <c r="F15" s="10" t="str">
        <f aca="false">IF(AND(C15=0,D15=0),0,IF(C15=0,"New",(D15-C15)/C15))</f>
        <v>New</v>
      </c>
      <c r="G15" s="11" t="n">
        <f aca="false">SUMIFS('Source 2025'!$T:$T,'Source 2025'!$B:$B,$A15,'Source 2025'!$A:$A,"Amount (NIS)")</f>
        <v>0</v>
      </c>
      <c r="H15" s="11" t="n">
        <f aca="false">SUMIFS('Source 2026'!$T:$T,'Source 2026'!$B:$B,$A15,'Source 2026'!$A:$A,"Amount (NIS)")</f>
        <v>8727.8</v>
      </c>
      <c r="I15" s="11" t="n">
        <f aca="false">H15-G15</f>
        <v>8727.8</v>
      </c>
      <c r="J15" s="10" t="str">
        <f aca="false">IF(AND(G15=0,H15=0),0,IF(G15=0,"New",(H15-G15)/G15))</f>
        <v>New</v>
      </c>
    </row>
    <row r="16" customFormat="false" ht="15" hidden="false" customHeight="true" outlineLevel="0" collapsed="false">
      <c r="A16" s="8" t="s">
        <v>246</v>
      </c>
      <c r="B16" s="8" t="str">
        <f aca="false">IFERROR(INDEX('Source 2026'!$C:$C,MATCH($A16,'Source 2026'!$B:$B,0)),IFERROR(INDEX('Source 2025'!$C:$C,MATCH($A16,'Source 2025'!$B:$B,0)),""))</f>
        <v>S מקבע כתף ויד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65</v>
      </c>
      <c r="E16" s="9" t="n">
        <f aca="false">D16-C16</f>
        <v>65</v>
      </c>
      <c r="F16" s="10" t="str">
        <f aca="false">IF(AND(C16=0,D16=0),0,IF(C16=0,"New",(D16-C16)/C16))</f>
        <v>New</v>
      </c>
      <c r="G16" s="11" t="n">
        <f aca="false">SUMIFS('Source 2025'!$T:$T,'Source 2025'!$B:$B,$A16,'Source 2025'!$A:$A,"Amount (NIS)")</f>
        <v>0</v>
      </c>
      <c r="H16" s="11" t="n">
        <f aca="false">SUMIFS('Source 2026'!$T:$T,'Source 2026'!$B:$B,$A16,'Source 2026'!$A:$A,"Amount (NIS)")</f>
        <v>8001.2</v>
      </c>
      <c r="I16" s="11" t="n">
        <f aca="false">H16-G16</f>
        <v>8001.2</v>
      </c>
      <c r="J16" s="10" t="str">
        <f aca="false">IF(AND(G16=0,H16=0),0,IF(G16=0,"New",(H16-G16)/G16))</f>
        <v>New</v>
      </c>
    </row>
    <row r="17" customFormat="false" ht="15" hidden="false" customHeight="true" outlineLevel="0" collapsed="false">
      <c r="A17" s="8" t="s">
        <v>84</v>
      </c>
      <c r="B17" s="8" t="str">
        <f aca="false">IFERROR(INDEX('Source 2026'!$C:$C,MATCH($A17,'Source 2026'!$B:$B,0)),IFERROR(INDEX('Source 2025'!$C:$C,MATCH($A17,'Source 2025'!$B:$B,0)),""))</f>
        <v>S""חגורת בטן""אורירית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107</v>
      </c>
      <c r="E17" s="9" t="n">
        <f aca="false">D17-C17</f>
        <v>107</v>
      </c>
      <c r="F17" s="10" t="str">
        <f aca="false">IF(AND(C17=0,D17=0),0,IF(C17=0,"New",(D17-C17)/C17))</f>
        <v>New</v>
      </c>
      <c r="G17" s="11" t="n">
        <f aca="false">SUMIFS('Source 2025'!$T:$T,'Source 2025'!$B:$B,$A17,'Source 2025'!$A:$A,"Amount (NIS)")</f>
        <v>0</v>
      </c>
      <c r="H17" s="11" t="n">
        <f aca="false">SUMIFS('Source 2026'!$T:$T,'Source 2026'!$B:$B,$A17,'Source 2026'!$A:$A,"Amount (NIS)")</f>
        <v>7577.6</v>
      </c>
      <c r="I17" s="11" t="n">
        <f aca="false">H17-G17</f>
        <v>7577.6</v>
      </c>
      <c r="J17" s="10" t="str">
        <f aca="false">IF(AND(G17=0,H17=0),0,IF(G17=0,"New",(H17-G17)/G17))</f>
        <v>New</v>
      </c>
    </row>
    <row r="18" customFormat="false" ht="15" hidden="false" customHeight="true" outlineLevel="0" collapsed="false">
      <c r="A18" s="8" t="s">
        <v>57</v>
      </c>
      <c r="B18" s="8" t="str">
        <f aca="false">IFERROR(INDEX('Source 2026'!$C:$C,MATCH($A18,'Source 2026'!$B:$B,0)),IFERROR(INDEX('Source 2025'!$C:$C,MATCH($A18,'Source 2025'!$B:$B,0)),""))</f>
        <v>מדרס ג'ל לגבר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142</v>
      </c>
      <c r="E18" s="9" t="n">
        <f aca="false">D18-C18</f>
        <v>142</v>
      </c>
      <c r="F18" s="10" t="str">
        <f aca="false">IF(AND(C18=0,D18=0),0,IF(C18=0,"New",(D18-C18)/C18))</f>
        <v>New</v>
      </c>
      <c r="G18" s="11" t="n">
        <f aca="false">SUMIFS('Source 2025'!$T:$T,'Source 2025'!$B:$B,$A18,'Source 2025'!$A:$A,"Amount (NIS)")</f>
        <v>0</v>
      </c>
      <c r="H18" s="11" t="n">
        <f aca="false">SUMIFS('Source 2026'!$T:$T,'Source 2026'!$B:$B,$A18,'Source 2026'!$A:$A,"Amount (NIS)")</f>
        <v>6706.7</v>
      </c>
      <c r="I18" s="11" t="n">
        <f aca="false">H18-G18</f>
        <v>6706.7</v>
      </c>
      <c r="J18" s="10" t="str">
        <f aca="false">IF(AND(G18=0,H18=0),0,IF(G18=0,"New",(H18-G18)/G18))</f>
        <v>New</v>
      </c>
    </row>
    <row r="19" customFormat="false" ht="15" hidden="false" customHeight="true" outlineLevel="0" collapsed="false">
      <c r="A19" s="8" t="s">
        <v>207</v>
      </c>
      <c r="B19" s="8" t="str">
        <f aca="false">IFERROR(INDEX('Source 2026'!$C:$C,MATCH($A19,'Source 2026'!$B:$B,0)),IFERROR(INDEX('Source 2025'!$C:$C,MATCH($A19,'Source 2025'!$B:$B,0)),""))</f>
        <v>חגורת גב אפורה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102</v>
      </c>
      <c r="E19" s="9" t="n">
        <f aca="false">D19-C19</f>
        <v>102</v>
      </c>
      <c r="F19" s="10" t="str">
        <f aca="false">IF(AND(C19=0,D19=0),0,IF(C19=0,"New",(D19-C19)/C19))</f>
        <v>New</v>
      </c>
      <c r="G19" s="11" t="n">
        <f aca="false">SUMIFS('Source 2025'!$T:$T,'Source 2025'!$B:$B,$A19,'Source 2025'!$A:$A,"Amount (NIS)")</f>
        <v>0</v>
      </c>
      <c r="H19" s="11" t="n">
        <f aca="false">SUMIFS('Source 2026'!$T:$T,'Source 2026'!$B:$B,$A19,'Source 2026'!$A:$A,"Amount (NIS)")</f>
        <v>6630</v>
      </c>
      <c r="I19" s="11" t="n">
        <f aca="false">H19-G19</f>
        <v>6630</v>
      </c>
      <c r="J19" s="10" t="str">
        <f aca="false">IF(AND(G19=0,H19=0),0,IF(G19=0,"New",(H19-G19)/G19))</f>
        <v>New</v>
      </c>
    </row>
    <row r="20" customFormat="false" ht="15" hidden="false" customHeight="true" outlineLevel="0" collapsed="false">
      <c r="A20" s="8" t="s">
        <v>380</v>
      </c>
      <c r="B20" s="8" t="str">
        <f aca="false">IFERROR(INDEX('Source 2026'!$C:$C,MATCH($A20,'Source 2026'!$B:$B,0)),IFERROR(INDEX('Source 2025'!$C:$C,MATCH($A20,'Source 2025'!$B:$B,0)),""))</f>
        <v>חבק שורש לכף היד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327</v>
      </c>
      <c r="E20" s="9" t="n">
        <f aca="false">D20-C20</f>
        <v>327</v>
      </c>
      <c r="F20" s="10" t="str">
        <f aca="false">IF(AND(C20=0,D20=0),0,IF(C20=0,"New",(D20-C20)/C20))</f>
        <v>New</v>
      </c>
      <c r="G20" s="11" t="n">
        <f aca="false">SUMIFS('Source 2025'!$T:$T,'Source 2025'!$B:$B,$A20,'Source 2025'!$A:$A,"Amount (NIS)")</f>
        <v>0</v>
      </c>
      <c r="H20" s="11" t="n">
        <f aca="false">SUMIFS('Source 2026'!$T:$T,'Source 2026'!$B:$B,$A20,'Source 2026'!$A:$A,"Amount (NIS)")</f>
        <v>5739.6</v>
      </c>
      <c r="I20" s="11" t="n">
        <f aca="false">H20-G20</f>
        <v>5739.6</v>
      </c>
      <c r="J20" s="10" t="str">
        <f aca="false">IF(AND(G20=0,H20=0),0,IF(G20=0,"New",(H20-G20)/G20))</f>
        <v>New</v>
      </c>
    </row>
    <row r="21" customFormat="false" ht="15" hidden="false" customHeight="true" outlineLevel="0" collapsed="false">
      <c r="A21" s="8" t="s">
        <v>75</v>
      </c>
      <c r="B21" s="8" t="str">
        <f aca="false">IFERROR(INDEX('Source 2026'!$C:$C,MATCH($A21,'Source 2026'!$B:$B,0)),IFERROR(INDEX('Source 2025'!$C:$C,MATCH($A21,'Source 2025'!$B:$B,0)),""))</f>
        <v>S מגן קרסול לבן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321</v>
      </c>
      <c r="E21" s="9" t="n">
        <f aca="false">D21-C21</f>
        <v>321</v>
      </c>
      <c r="F21" s="10" t="str">
        <f aca="false">IF(AND(C21=0,D21=0),0,IF(C21=0,"New",(D21-C21)/C21))</f>
        <v>New</v>
      </c>
      <c r="G21" s="11" t="n">
        <f aca="false">SUMIFS('Source 2025'!$T:$T,'Source 2025'!$B:$B,$A21,'Source 2025'!$A:$A,"Amount (NIS)")</f>
        <v>0</v>
      </c>
      <c r="H21" s="11" t="n">
        <f aca="false">SUMIFS('Source 2026'!$T:$T,'Source 2026'!$B:$B,$A21,'Source 2026'!$A:$A,"Amount (NIS)")</f>
        <v>5202.1</v>
      </c>
      <c r="I21" s="11" t="n">
        <f aca="false">H21-G21</f>
        <v>5202.1</v>
      </c>
      <c r="J21" s="10" t="str">
        <f aca="false">IF(AND(G21=0,H21=0),0,IF(G21=0,"New",(H21-G21)/G21))</f>
        <v>New</v>
      </c>
    </row>
    <row r="22" customFormat="false" ht="15" hidden="false" customHeight="true" outlineLevel="0" collapsed="false">
      <c r="A22" s="8" t="s">
        <v>115</v>
      </c>
      <c r="B22" s="8" t="str">
        <f aca="false">IFERROR(INDEX('Source 2026'!$C:$C,MATCH($A22,'Source 2026'!$B:$B,0)),IFERROR(INDEX('Source 2025'!$C:$C,MATCH($A22,'Source 2025'!$B:$B,0)),""))</f>
        <v>S מגן קרסול עקב סגור+רצוע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119</v>
      </c>
      <c r="E22" s="9" t="n">
        <f aca="false">D22-C22</f>
        <v>119</v>
      </c>
      <c r="F22" s="10" t="str">
        <f aca="false">IF(AND(C22=0,D22=0),0,IF(C22=0,"New",(D22-C22)/C22))</f>
        <v>New</v>
      </c>
      <c r="G22" s="11" t="n">
        <f aca="false">SUMIFS('Source 2025'!$T:$T,'Source 2025'!$B:$B,$A22,'Source 2025'!$A:$A,"Amount (NIS)")</f>
        <v>0</v>
      </c>
      <c r="H22" s="11" t="n">
        <f aca="false">SUMIFS('Source 2026'!$T:$T,'Source 2026'!$B:$B,$A22,'Source 2026'!$A:$A,"Amount (NIS)")</f>
        <v>4723</v>
      </c>
      <c r="I22" s="11" t="n">
        <f aca="false">H22-G22</f>
        <v>4723</v>
      </c>
      <c r="J22" s="10" t="str">
        <f aca="false">IF(AND(G22=0,H22=0),0,IF(G22=0,"New",(H22-G22)/G22))</f>
        <v>New</v>
      </c>
    </row>
    <row r="23" customFormat="false" ht="15" hidden="false" customHeight="true" outlineLevel="0" collapsed="false">
      <c r="A23" s="8" t="s">
        <v>112</v>
      </c>
      <c r="B23" s="8" t="str">
        <f aca="false">IFERROR(INDEX('Source 2026'!$C:$C,MATCH($A23,'Source 2026'!$B:$B,0)),IFERROR(INDEX('Source 2025'!$C:$C,MATCH($A23,'Source 2025'!$B:$B,0)),""))</f>
        <v>L מגן מרפק רגיל לבן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273</v>
      </c>
      <c r="E23" s="9" t="n">
        <f aca="false">D23-C23</f>
        <v>273</v>
      </c>
      <c r="F23" s="10" t="str">
        <f aca="false">IF(AND(C23=0,D23=0),0,IF(C23=0,"New",(D23-C23)/C23))</f>
        <v>New</v>
      </c>
      <c r="G23" s="11" t="n">
        <f aca="false">SUMIFS('Source 2025'!$T:$T,'Source 2025'!$B:$B,$A23,'Source 2025'!$A:$A,"Amount (NIS)")</f>
        <v>0</v>
      </c>
      <c r="H23" s="11" t="n">
        <f aca="false">SUMIFS('Source 2026'!$T:$T,'Source 2026'!$B:$B,$A23,'Source 2026'!$A:$A,"Amount (NIS)")</f>
        <v>4462.7</v>
      </c>
      <c r="I23" s="11" t="n">
        <f aca="false">H23-G23</f>
        <v>4462.7</v>
      </c>
      <c r="J23" s="10" t="str">
        <f aca="false">IF(AND(G23=0,H23=0),0,IF(G23=0,"New",(H23-G23)/G23))</f>
        <v>New</v>
      </c>
    </row>
    <row r="24" customFormat="false" ht="15" hidden="false" customHeight="true" outlineLevel="0" collapsed="false">
      <c r="A24" s="8" t="s">
        <v>81</v>
      </c>
      <c r="B24" s="8" t="str">
        <f aca="false">IFERROR(INDEX('Source 2026'!$C:$C,MATCH($A24,'Source 2026'!$B:$B,0)),IFERROR(INDEX('Source 2025'!$C:$C,MATCH($A24,'Source 2025'!$B:$B,0)),""))</f>
        <v>L חגורת גב +סגירה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69</v>
      </c>
      <c r="E24" s="9" t="n">
        <f aca="false">D24-C24</f>
        <v>69</v>
      </c>
      <c r="F24" s="10" t="str">
        <f aca="false">IF(AND(C24=0,D24=0),0,IF(C24=0,"New",(D24-C24)/C24))</f>
        <v>New</v>
      </c>
      <c r="G24" s="11" t="n">
        <f aca="false">SUMIFS('Source 2025'!$T:$T,'Source 2025'!$B:$B,$A24,'Source 2025'!$A:$A,"Amount (NIS)")</f>
        <v>0</v>
      </c>
      <c r="H24" s="11" t="n">
        <f aca="false">SUMIFS('Source 2026'!$T:$T,'Source 2026'!$B:$B,$A24,'Source 2026'!$A:$A,"Amount (NIS)")</f>
        <v>4241.3</v>
      </c>
      <c r="I24" s="11" t="n">
        <f aca="false">H24-G24</f>
        <v>4241.3</v>
      </c>
      <c r="J24" s="10" t="str">
        <f aca="false">IF(AND(G24=0,H24=0),0,IF(G24=0,"New",(H24-G24)/G24))</f>
        <v>New</v>
      </c>
    </row>
    <row r="25" customFormat="false" ht="15" hidden="false" customHeight="true" outlineLevel="0" collapsed="false">
      <c r="A25" s="8" t="s">
        <v>152</v>
      </c>
      <c r="B25" s="8" t="str">
        <f aca="false">IFERROR(INDEX('Source 2026'!$C:$C,MATCH($A25,'Source 2026'!$B:$B,0)),IFERROR(INDEX('Source 2025'!$C:$C,MATCH($A25,'Source 2025'!$B:$B,0)),""))</f>
        <v>L-XL חגורת הריון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50</v>
      </c>
      <c r="E25" s="9" t="n">
        <f aca="false">D25-C25</f>
        <v>50</v>
      </c>
      <c r="F25" s="10" t="str">
        <f aca="false">IF(AND(C25=0,D25=0),0,IF(C25=0,"New",(D25-C25)/C25))</f>
        <v>New</v>
      </c>
      <c r="G25" s="11" t="n">
        <f aca="false">SUMIFS('Source 2025'!$T:$T,'Source 2025'!$B:$B,$A25,'Source 2025'!$A:$A,"Amount (NIS)")</f>
        <v>0</v>
      </c>
      <c r="H25" s="11" t="n">
        <f aca="false">SUMIFS('Source 2026'!$T:$T,'Source 2026'!$B:$B,$A25,'Source 2026'!$A:$A,"Amount (NIS)")</f>
        <v>3890</v>
      </c>
      <c r="I25" s="11" t="n">
        <f aca="false">H25-G25</f>
        <v>3890</v>
      </c>
      <c r="J25" s="10" t="str">
        <f aca="false">IF(AND(G25=0,H25=0),0,IF(G25=0,"New",(H25-G25)/G25))</f>
        <v>New</v>
      </c>
    </row>
    <row r="26" customFormat="false" ht="15" hidden="false" customHeight="true" outlineLevel="0" collapsed="false">
      <c r="A26" s="8" t="s">
        <v>82</v>
      </c>
      <c r="B26" s="8" t="str">
        <f aca="false">IFERROR(INDEX('Source 2026'!$C:$C,MATCH($A26,'Source 2026'!$B:$B,0)),IFERROR(INDEX('Source 2025'!$C:$C,MATCH($A26,'Source 2025'!$B:$B,0)),""))</f>
        <v>טלק מעושר באלוורה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276</v>
      </c>
      <c r="E26" s="9" t="n">
        <f aca="false">D26-C26</f>
        <v>276</v>
      </c>
      <c r="F26" s="10" t="str">
        <f aca="false">IF(AND(C26=0,D26=0),0,IF(C26=0,"New",(D26-C26)/C26))</f>
        <v>New</v>
      </c>
      <c r="G26" s="11" t="n">
        <f aca="false">SUMIFS('Source 2025'!$T:$T,'Source 2025'!$B:$B,$A26,'Source 2025'!$A:$A,"Amount (NIS)")</f>
        <v>0</v>
      </c>
      <c r="H26" s="11" t="n">
        <f aca="false">SUMIFS('Source 2026'!$T:$T,'Source 2026'!$B:$B,$A26,'Source 2026'!$A:$A,"Amount (NIS)")</f>
        <v>3534.3</v>
      </c>
      <c r="I26" s="11" t="n">
        <f aca="false">H26-G26</f>
        <v>3534.3</v>
      </c>
      <c r="J26" s="10" t="str">
        <f aca="false">IF(AND(G26=0,H26=0),0,IF(G26=0,"New",(H26-G26)/G26))</f>
        <v>New</v>
      </c>
    </row>
    <row r="27" customFormat="false" ht="15" hidden="false" customHeight="true" outlineLevel="0" collapsed="false">
      <c r="A27" s="8" t="s">
        <v>149</v>
      </c>
      <c r="B27" s="8" t="str">
        <f aca="false">IFERROR(INDEX('Source 2026'!$C:$C,MATCH($A27,'Source 2026'!$B:$B,0)),IFERROR(INDEX('Source 2025'!$C:$C,MATCH($A27,'Source 2025'!$B:$B,0)),""))</f>
        <v>גב אפורה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54</v>
      </c>
      <c r="E27" s="9" t="n">
        <f aca="false">D27-C27</f>
        <v>54</v>
      </c>
      <c r="F27" s="10" t="str">
        <f aca="false">IF(AND(C27=0,D27=0),0,IF(C27=0,"New",(D27-C27)/C27))</f>
        <v>New</v>
      </c>
      <c r="G27" s="11" t="n">
        <f aca="false">SUMIFS('Source 2025'!$T:$T,'Source 2025'!$B:$B,$A27,'Source 2025'!$A:$A,"Amount (NIS)")</f>
        <v>0</v>
      </c>
      <c r="H27" s="11" t="n">
        <f aca="false">SUMIFS('Source 2026'!$T:$T,'Source 2026'!$B:$B,$A27,'Source 2026'!$A:$A,"Amount (NIS)")</f>
        <v>3510</v>
      </c>
      <c r="I27" s="11" t="n">
        <f aca="false">H27-G27</f>
        <v>3510</v>
      </c>
      <c r="J27" s="10" t="str">
        <f aca="false">IF(AND(G27=0,H27=0),0,IF(G27=0,"New",(H27-G27)/G27))</f>
        <v>New</v>
      </c>
    </row>
    <row r="28" customFormat="false" ht="15" hidden="false" customHeight="true" outlineLevel="0" collapsed="false">
      <c r="A28" s="8" t="s">
        <v>88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9" t="n">
        <f aca="false">D28-C28</f>
        <v>54</v>
      </c>
      <c r="F28" s="10" t="str">
        <f aca="false">IF(AND(C28=0,D28=0),0,IF(C28=0,"New",(D28-C28)/C28))</f>
        <v>New</v>
      </c>
      <c r="G28" s="11" t="n">
        <f aca="false">SUMIFS('Source 2025'!$T:$T,'Source 2025'!$B:$B,$A28,'Source 2025'!$A:$A,"Amount (NIS)")</f>
        <v>0</v>
      </c>
      <c r="H28" s="11" t="n">
        <f aca="false">SUMIFS('Source 2026'!$T:$T,'Source 2026'!$B:$B,$A28,'Source 2026'!$A:$A,"Amount (NIS)")</f>
        <v>3510</v>
      </c>
      <c r="I28" s="11" t="n">
        <f aca="false">H28-G28</f>
        <v>3510</v>
      </c>
      <c r="J28" s="10" t="str">
        <f aca="false">IF(AND(G28=0,H28=0),0,IF(G28=0,"New",(H28-G28)/G28))</f>
        <v>New</v>
      </c>
    </row>
    <row r="29" customFormat="false" ht="15" hidden="false" customHeight="true" outlineLevel="0" collapsed="false">
      <c r="A29" s="8" t="s">
        <v>73</v>
      </c>
      <c r="B29" s="8" t="str">
        <f aca="false">IFERROR(INDEX('Source 2026'!$C:$C,MATCH($A29,'Source 2026'!$B:$B,0)),IFERROR(INDEX('Source 2025'!$C:$C,MATCH($A29,'Source 2025'!$B:$B,0)),""))</f>
        <v>שרוול מסיליקון לאצבע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298</v>
      </c>
      <c r="E29" s="9" t="n">
        <f aca="false">D29-C29</f>
        <v>298</v>
      </c>
      <c r="F29" s="10" t="str">
        <f aca="false">IF(AND(C29=0,D29=0),0,IF(C29=0,"New",(D29-C29)/C29))</f>
        <v>New</v>
      </c>
      <c r="G29" s="11" t="n">
        <f aca="false">SUMIFS('Source 2025'!$T:$T,'Source 2025'!$B:$B,$A29,'Source 2025'!$A:$A,"Amount (NIS)")</f>
        <v>0</v>
      </c>
      <c r="H29" s="11" t="n">
        <f aca="false">SUMIFS('Source 2026'!$T:$T,'Source 2026'!$B:$B,$A29,'Source 2026'!$A:$A,"Amount (NIS)")</f>
        <v>3483.4</v>
      </c>
      <c r="I29" s="11" t="n">
        <f aca="false">H29-G29</f>
        <v>3483.4</v>
      </c>
      <c r="J29" s="10" t="str">
        <f aca="false">IF(AND(G29=0,H29=0),0,IF(G29=0,"New",(H29-G29)/G29))</f>
        <v>New</v>
      </c>
    </row>
    <row r="30" customFormat="false" ht="15" hidden="false" customHeight="true" outlineLevel="0" collapsed="false">
      <c r="A30" s="8" t="s">
        <v>95</v>
      </c>
      <c r="B30" s="8" t="str">
        <f aca="false">IFERROR(INDEX('Source 2026'!$C:$C,MATCH($A30,'Source 2026'!$B:$B,0)),IFERROR(INDEX('Source 2025'!$C:$C,MATCH($A30,'Source 2025'!$B:$B,0)),""))</f>
        <v>סד לאגודל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167</v>
      </c>
      <c r="E30" s="9" t="n">
        <f aca="false">D30-C30</f>
        <v>167</v>
      </c>
      <c r="F30" s="10" t="str">
        <f aca="false">IF(AND(C30=0,D30=0),0,IF(C30=0,"New",(D30-C30)/C30))</f>
        <v>New</v>
      </c>
      <c r="G30" s="11" t="n">
        <f aca="false">SUMIFS('Source 2025'!$T:$T,'Source 2025'!$B:$B,$A30,'Source 2025'!$A:$A,"Amount (NIS)")</f>
        <v>0</v>
      </c>
      <c r="H30" s="11" t="n">
        <f aca="false">SUMIFS('Source 2026'!$T:$T,'Source 2026'!$B:$B,$A30,'Source 2026'!$A:$A,"Amount (NIS)")</f>
        <v>3340</v>
      </c>
      <c r="I30" s="11" t="n">
        <f aca="false">H30-G30</f>
        <v>3340</v>
      </c>
      <c r="J30" s="10" t="str">
        <f aca="false">IF(AND(G30=0,H30=0),0,IF(G30=0,"New",(H30-G30)/G30))</f>
        <v>New</v>
      </c>
    </row>
    <row r="31" customFormat="false" ht="15" hidden="false" customHeight="true" outlineLevel="0" collapsed="false">
      <c r="A31" s="8" t="s">
        <v>129</v>
      </c>
      <c r="B31" s="8" t="str">
        <f aca="false">IFERROR(INDEX('Source 2026'!$C:$C,MATCH($A31,'Source 2026'!$B:$B,0)),IFERROR(INDEX('Source 2025'!$C:$C,MATCH($A31,'Source 2025'!$B:$B,0)),""))</f>
        <v>S ח.גב ""איטלקית"" אורירית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21</v>
      </c>
      <c r="E31" s="9" t="n">
        <f aca="false">D31-C31</f>
        <v>21</v>
      </c>
      <c r="F31" s="10" t="str">
        <f aca="false">IF(AND(C31=0,D31=0),0,IF(C31=0,"New",(D31-C31)/C31))</f>
        <v>New</v>
      </c>
      <c r="G31" s="11" t="n">
        <f aca="false">SUMIFS('Source 2025'!$T:$T,'Source 2025'!$B:$B,$A31,'Source 2025'!$A:$A,"Amount (NIS)")</f>
        <v>0</v>
      </c>
      <c r="H31" s="11" t="n">
        <f aca="false">SUMIFS('Source 2026'!$T:$T,'Source 2026'!$B:$B,$A31,'Source 2026'!$A:$A,"Amount (NIS)")</f>
        <v>3202.9</v>
      </c>
      <c r="I31" s="11" t="n">
        <f aca="false">H31-G31</f>
        <v>3202.9</v>
      </c>
      <c r="J31" s="10" t="str">
        <f aca="false">IF(AND(G31=0,H31=0),0,IF(G31=0,"New",(H31-G31)/G31))</f>
        <v>New</v>
      </c>
    </row>
    <row r="32" customFormat="false" ht="15" hidden="false" customHeight="true" outlineLevel="0" collapsed="false">
      <c r="A32" s="8" t="s">
        <v>91</v>
      </c>
      <c r="B32" s="8" t="str">
        <f aca="false">IFERROR(INDEX('Source 2026'!$C:$C,MATCH($A32,'Source 2026'!$B:$B,0)),IFERROR(INDEX('Source 2025'!$C:$C,MATCH($A32,'Source 2025'!$B:$B,0)),""))</f>
        <v>ציפורניים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290</v>
      </c>
      <c r="E32" s="9" t="n">
        <f aca="false">D32-C32</f>
        <v>290</v>
      </c>
      <c r="F32" s="10" t="str">
        <f aca="false">IF(AND(C32=0,D32=0),0,IF(C32=0,"New",(D32-C32)/C32))</f>
        <v>New</v>
      </c>
      <c r="G32" s="11" t="n">
        <f aca="false">SUMIFS('Source 2025'!$T:$T,'Source 2025'!$B:$B,$A32,'Source 2025'!$A:$A,"Amount (NIS)")</f>
        <v>0</v>
      </c>
      <c r="H32" s="11" t="n">
        <f aca="false">SUMIFS('Source 2026'!$T:$T,'Source 2026'!$B:$B,$A32,'Source 2026'!$A:$A,"Amount (NIS)")</f>
        <v>2925</v>
      </c>
      <c r="I32" s="11" t="n">
        <f aca="false">H32-G32</f>
        <v>2925</v>
      </c>
      <c r="J32" s="10" t="str">
        <f aca="false">IF(AND(G32=0,H32=0),0,IF(G32=0,"New",(H32-G32)/G32))</f>
        <v>New</v>
      </c>
    </row>
    <row r="33" customFormat="false" ht="15" hidden="false" customHeight="true" outlineLevel="0" collapsed="false">
      <c r="A33" s="8" t="s">
        <v>381</v>
      </c>
      <c r="B33" s="8" t="str">
        <f aca="false">IFERROR(INDEX('Source 2026'!$C:$C,MATCH($A33,'Source 2026'!$B:$B,0)),IFERROR(INDEX('Source 2025'!$C:$C,MATCH($A33,'Source 2025'!$B:$B,0)),""))</f>
        <v>מגן ברך+כרית ג'ל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56</v>
      </c>
      <c r="E33" s="9" t="n">
        <f aca="false">D33-C33</f>
        <v>56</v>
      </c>
      <c r="F33" s="10" t="str">
        <f aca="false">IF(AND(C33=0,D33=0),0,IF(C33=0,"New",(D33-C33)/C33))</f>
        <v>New</v>
      </c>
      <c r="G33" s="11" t="n">
        <f aca="false">SUMIFS('Source 2025'!$T:$T,'Source 2025'!$B:$B,$A33,'Source 2025'!$A:$A,"Amount (NIS)")</f>
        <v>0</v>
      </c>
      <c r="H33" s="11" t="n">
        <f aca="false">SUMIFS('Source 2026'!$T:$T,'Source 2026'!$B:$B,$A33,'Source 2026'!$A:$A,"Amount (NIS)")</f>
        <v>2875.6</v>
      </c>
      <c r="I33" s="11" t="n">
        <f aca="false">H33-G33</f>
        <v>2875.6</v>
      </c>
      <c r="J33" s="10" t="str">
        <f aca="false">IF(AND(G33=0,H33=0),0,IF(G33=0,"New",(H33-G33)/G33))</f>
        <v>New</v>
      </c>
    </row>
    <row r="34" customFormat="false" ht="15" hidden="false" customHeight="true" outlineLevel="0" collapsed="false">
      <c r="A34" s="8" t="s">
        <v>100</v>
      </c>
      <c r="B34" s="8" t="str">
        <f aca="false">IFERROR(INDEX('Source 2026'!$C:$C,MATCH($A34,'Source 2026'!$B:$B,0)),IFERROR(INDEX('Source 2025'!$C:$C,MATCH($A34,'Source 2025'!$B:$B,0)),""))</f>
        <v>Sמיישר כתף יציב יישור ג.רחב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19</v>
      </c>
      <c r="E34" s="9" t="n">
        <f aca="false">D34-C34</f>
        <v>19</v>
      </c>
      <c r="F34" s="10" t="str">
        <f aca="false">IF(AND(C34=0,D34=0),0,IF(C34=0,"New",(D34-C34)/C34))</f>
        <v>New</v>
      </c>
      <c r="G34" s="11" t="n">
        <f aca="false">SUMIFS('Source 2025'!$T:$T,'Source 2025'!$B:$B,$A34,'Source 2025'!$A:$A,"Amount (NIS)")</f>
        <v>0</v>
      </c>
      <c r="H34" s="11" t="n">
        <f aca="false">SUMIFS('Source 2026'!$T:$T,'Source 2026'!$B:$B,$A34,'Source 2026'!$A:$A,"Amount (NIS)")</f>
        <v>2589.7</v>
      </c>
      <c r="I34" s="11" t="n">
        <f aca="false">H34-G34</f>
        <v>2589.7</v>
      </c>
      <c r="J34" s="10" t="str">
        <f aca="false">IF(AND(G34=0,H34=0),0,IF(G34=0,"New",(H34-G34)/G34))</f>
        <v>New</v>
      </c>
    </row>
    <row r="35" customFormat="false" ht="15" hidden="false" customHeight="true" outlineLevel="0" collapsed="false">
      <c r="A35" s="8" t="s">
        <v>382</v>
      </c>
      <c r="B35" s="8" t="str">
        <f aca="false">IFERROR(INDEX('Source 2026'!$C:$C,MATCH($A35,'Source 2026'!$B:$B,0)),IFERROR(INDEX('Source 2025'!$C:$C,MATCH($A35,'Source 2025'!$B:$B,0)),""))</f>
        <v>מגן מרפק לטניס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131</v>
      </c>
      <c r="E35" s="9" t="n">
        <f aca="false">D35-C35</f>
        <v>131</v>
      </c>
      <c r="F35" s="10" t="str">
        <f aca="false">IF(AND(C35=0,D35=0),0,IF(C35=0,"New",(D35-C35)/C35))</f>
        <v>New</v>
      </c>
      <c r="G35" s="11" t="n">
        <f aca="false">SUMIFS('Source 2025'!$T:$T,'Source 2025'!$B:$B,$A35,'Source 2025'!$A:$A,"Amount (NIS)")</f>
        <v>0</v>
      </c>
      <c r="H35" s="11" t="n">
        <f aca="false">SUMIFS('Source 2026'!$T:$T,'Source 2026'!$B:$B,$A35,'Source 2026'!$A:$A,"Amount (NIS)")</f>
        <v>2563.6</v>
      </c>
      <c r="I35" s="11" t="n">
        <f aca="false">H35-G35</f>
        <v>2563.6</v>
      </c>
      <c r="J35" s="10" t="str">
        <f aca="false">IF(AND(G35=0,H35=0),0,IF(G35=0,"New",(H35-G35)/G35))</f>
        <v>New</v>
      </c>
    </row>
    <row r="36" customFormat="false" ht="15" hidden="false" customHeight="true" outlineLevel="0" collapsed="false">
      <c r="A36" s="8" t="s">
        <v>191</v>
      </c>
      <c r="B36" s="8" t="str">
        <f aca="false">IFERROR(INDEX('Source 2026'!$C:$C,MATCH($A36,'Source 2026'!$B:$B,0)),IFERROR(INDEX('Source 2025'!$C:$C,MATCH($A36,'Source 2025'!$B:$B,0)),""))</f>
        <v>XS חגורת פאבליק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12</v>
      </c>
      <c r="E36" s="9" t="n">
        <f aca="false">D36-C36</f>
        <v>12</v>
      </c>
      <c r="F36" s="10" t="str">
        <f aca="false">IF(AND(C36=0,D36=0),0,IF(C36=0,"New",(D36-C36)/C36))</f>
        <v>New</v>
      </c>
      <c r="G36" s="11" t="n">
        <f aca="false">SUMIFS('Source 2025'!$T:$T,'Source 2025'!$B:$B,$A36,'Source 2025'!$A:$A,"Amount (NIS)")</f>
        <v>0</v>
      </c>
      <c r="H36" s="11" t="n">
        <f aca="false">SUMIFS('Source 2026'!$T:$T,'Source 2026'!$B:$B,$A36,'Source 2026'!$A:$A,"Amount (NIS)")</f>
        <v>2547</v>
      </c>
      <c r="I36" s="11" t="n">
        <f aca="false">H36-G36</f>
        <v>2547</v>
      </c>
      <c r="J36" s="10" t="str">
        <f aca="false">IF(AND(G36=0,H36=0),0,IF(G36=0,"New",(H36-G36)/G36))</f>
        <v>New</v>
      </c>
    </row>
    <row r="37" customFormat="false" ht="15" hidden="false" customHeight="true" outlineLevel="0" collapsed="false">
      <c r="A37" s="8" t="s">
        <v>151</v>
      </c>
      <c r="B37" s="8" t="str">
        <f aca="false">IFERROR(INDEX('Source 2026'!$C:$C,MATCH($A37,'Source 2026'!$B:$B,0)),IFERROR(INDEX('Source 2025'!$C:$C,MATCH($A37,'Source 2025'!$B:$B,0)),""))</f>
        <v>גב אפורה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39</v>
      </c>
      <c r="E37" s="9" t="n">
        <f aca="false">D37-C37</f>
        <v>39</v>
      </c>
      <c r="F37" s="10" t="str">
        <f aca="false">IF(AND(C37=0,D37=0),0,IF(C37=0,"New",(D37-C37)/C37))</f>
        <v>New</v>
      </c>
      <c r="G37" s="11" t="n">
        <f aca="false">SUMIFS('Source 2025'!$T:$T,'Source 2025'!$B:$B,$A37,'Source 2025'!$A:$A,"Amount (NIS)")</f>
        <v>0</v>
      </c>
      <c r="H37" s="11" t="n">
        <f aca="false">SUMIFS('Source 2026'!$T:$T,'Source 2026'!$B:$B,$A37,'Source 2026'!$A:$A,"Amount (NIS)")</f>
        <v>2535</v>
      </c>
      <c r="I37" s="11" t="n">
        <f aca="false">H37-G37</f>
        <v>2535</v>
      </c>
      <c r="J37" s="10" t="str">
        <f aca="false">IF(AND(G37=0,H37=0),0,IF(G37=0,"New",(H37-G37)/G37))</f>
        <v>New</v>
      </c>
    </row>
    <row r="38" customFormat="false" ht="15" hidden="false" customHeight="true" outlineLevel="0" collapsed="false">
      <c r="A38" s="8" t="s">
        <v>107</v>
      </c>
      <c r="B38" s="8" t="str">
        <f aca="false">IFERROR(INDEX('Source 2026'!$C:$C,MATCH($A38,'Source 2026'!$B:$B,0)),IFERROR(INDEX('Source 2025'!$C:$C,MATCH($A38,'Source 2025'!$B:$B,0)),""))</f>
        <v>S-L אצבעון מסיליקון יחידה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147</v>
      </c>
      <c r="E38" s="9" t="n">
        <f aca="false">D38-C38</f>
        <v>147</v>
      </c>
      <c r="F38" s="10" t="str">
        <f aca="false">IF(AND(C38=0,D38=0),0,IF(C38=0,"New",(D38-C38)/C38))</f>
        <v>New</v>
      </c>
      <c r="G38" s="11" t="n">
        <f aca="false">SUMIFS('Source 2025'!$T:$T,'Source 2025'!$B:$B,$A38,'Source 2025'!$A:$A,"Amount (NIS)")</f>
        <v>0</v>
      </c>
      <c r="H38" s="11" t="n">
        <f aca="false">SUMIFS('Source 2026'!$T:$T,'Source 2026'!$B:$B,$A38,'Source 2026'!$A:$A,"Amount (NIS)")</f>
        <v>2363.2</v>
      </c>
      <c r="I38" s="11" t="n">
        <f aca="false">H38-G38</f>
        <v>2363.2</v>
      </c>
      <c r="J38" s="10" t="str">
        <f aca="false">IF(AND(G38=0,H38=0),0,IF(G38=0,"New",(H38-G38)/G38))</f>
        <v>New</v>
      </c>
    </row>
    <row r="39" customFormat="false" ht="15" hidden="false" customHeight="true" outlineLevel="0" collapsed="false">
      <c r="A39" s="8" t="s">
        <v>68</v>
      </c>
      <c r="B39" s="8" t="str">
        <f aca="false">IFERROR(INDEX('Source 2026'!$C:$C,MATCH($A39,'Source 2026'!$B:$B,0)),IFERROR(INDEX('Source 2025'!$C:$C,MATCH($A39,'Source 2025'!$B:$B,0)),""))</f>
        <v>דאודורנט אנטיבק.נעל333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156</v>
      </c>
      <c r="E39" s="9" t="n">
        <f aca="false">D39-C39</f>
        <v>156</v>
      </c>
      <c r="F39" s="10" t="str">
        <f aca="false">IF(AND(C39=0,D39=0),0,IF(C39=0,"New",(D39-C39)/C39))</f>
        <v>New</v>
      </c>
      <c r="G39" s="11" t="n">
        <f aca="false">SUMIFS('Source 2025'!$T:$T,'Source 2025'!$B:$B,$A39,'Source 2025'!$A:$A,"Amount (NIS)")</f>
        <v>0</v>
      </c>
      <c r="H39" s="11" t="n">
        <f aca="false">SUMIFS('Source 2026'!$T:$T,'Source 2026'!$B:$B,$A39,'Source 2026'!$A:$A,"Amount (NIS)")</f>
        <v>2308.8</v>
      </c>
      <c r="I39" s="11" t="n">
        <f aca="false">H39-G39</f>
        <v>2308.8</v>
      </c>
      <c r="J39" s="10" t="str">
        <f aca="false">IF(AND(G39=0,H39=0),0,IF(G39=0,"New",(H39-G39)/G39))</f>
        <v>New</v>
      </c>
    </row>
    <row r="40" customFormat="false" ht="15" hidden="false" customHeight="true" outlineLevel="0" collapsed="false">
      <c r="A40" s="8" t="s">
        <v>103</v>
      </c>
      <c r="B40" s="8" t="str">
        <f aca="false">IFERROR(INDEX('Source 2026'!$C:$C,MATCH($A40,'Source 2026'!$B:$B,0)),IFERROR(INDEX('Source 2025'!$C:$C,MATCH($A40,'Source 2025'!$B:$B,0)),""))</f>
        <v>0 מ.בוניון+מפריד אצבע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81</v>
      </c>
      <c r="E40" s="9" t="n">
        <f aca="false">D40-C40</f>
        <v>81</v>
      </c>
      <c r="F40" s="10" t="str">
        <f aca="false">IF(AND(C40=0,D40=0),0,IF(C40=0,"New",(D40-C40)/C40))</f>
        <v>New</v>
      </c>
      <c r="G40" s="11" t="n">
        <f aca="false">SUMIFS('Source 2025'!$T:$T,'Source 2025'!$B:$B,$A40,'Source 2025'!$A:$A,"Amount (NIS)")</f>
        <v>0</v>
      </c>
      <c r="H40" s="11" t="n">
        <f aca="false">SUMIFS('Source 2026'!$T:$T,'Source 2026'!$B:$B,$A40,'Source 2026'!$A:$A,"Amount (NIS)")</f>
        <v>2231.6</v>
      </c>
      <c r="I40" s="11" t="n">
        <f aca="false">H40-G40</f>
        <v>2231.6</v>
      </c>
      <c r="J40" s="10" t="str">
        <f aca="false">IF(AND(G40=0,H40=0),0,IF(G40=0,"New",(H40-G40)/G40))</f>
        <v>New</v>
      </c>
    </row>
    <row r="41" customFormat="false" ht="15" hidden="false" customHeight="true" outlineLevel="0" collapsed="false">
      <c r="A41" s="8" t="s">
        <v>97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35</v>
      </c>
      <c r="E41" s="9" t="n">
        <f aca="false">D41-C41</f>
        <v>35</v>
      </c>
      <c r="F41" s="10" t="str">
        <f aca="false">IF(AND(C41=0,D41=0),0,IF(C41=0,"New",(D41-C41)/C41))</f>
        <v>New</v>
      </c>
      <c r="G41" s="11" t="n">
        <f aca="false">SUMIFS('Source 2025'!$T:$T,'Source 2025'!$B:$B,$A41,'Source 2025'!$A:$A,"Amount (NIS)")</f>
        <v>0</v>
      </c>
      <c r="H41" s="11" t="n">
        <f aca="false">SUMIFS('Source 2026'!$T:$T,'Source 2026'!$B:$B,$A41,'Source 2026'!$A:$A,"Amount (NIS)")</f>
        <v>2193.8</v>
      </c>
      <c r="I41" s="11" t="n">
        <f aca="false">H41-G41</f>
        <v>2193.8</v>
      </c>
      <c r="J41" s="10" t="str">
        <f aca="false">IF(AND(G41=0,H41=0),0,IF(G41=0,"New",(H41-G41)/G41))</f>
        <v>New</v>
      </c>
    </row>
    <row r="42" customFormat="false" ht="15" hidden="false" customHeight="true" outlineLevel="0" collapsed="false">
      <c r="A42" s="8" t="s">
        <v>202</v>
      </c>
      <c r="B42" s="8" t="str">
        <f aca="false">IFERROR(INDEX('Source 2026'!$C:$C,MATCH($A42,'Source 2026'!$B:$B,0)),IFERROR(INDEX('Source 2025'!$C:$C,MATCH($A42,'Source 2025'!$B:$B,0)),""))</f>
        <v>S חגורה למנותחי בית החזה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22</v>
      </c>
      <c r="E42" s="9" t="n">
        <f aca="false">D42-C42</f>
        <v>22</v>
      </c>
      <c r="F42" s="10" t="str">
        <f aca="false">IF(AND(C42=0,D42=0),0,IF(C42=0,"New",(D42-C42)/C42))</f>
        <v>New</v>
      </c>
      <c r="G42" s="11" t="n">
        <f aca="false">SUMIFS('Source 2025'!$T:$T,'Source 2025'!$B:$B,$A42,'Source 2025'!$A:$A,"Amount (NIS)")</f>
        <v>0</v>
      </c>
      <c r="H42" s="11" t="n">
        <f aca="false">SUMIFS('Source 2026'!$T:$T,'Source 2026'!$B:$B,$A42,'Source 2026'!$A:$A,"Amount (NIS)")</f>
        <v>2168.5</v>
      </c>
      <c r="I42" s="11" t="n">
        <f aca="false">H42-G42</f>
        <v>2168.5</v>
      </c>
      <c r="J42" s="10" t="str">
        <f aca="false">IF(AND(G42=0,H42=0),0,IF(G42=0,"New",(H42-G42)/G42))</f>
        <v>New</v>
      </c>
    </row>
    <row r="43" customFormat="false" ht="15" hidden="false" customHeight="true" outlineLevel="0" collapsed="false">
      <c r="A43" s="8" t="s">
        <v>96</v>
      </c>
      <c r="B43" s="8" t="str">
        <f aca="false">IFERROR(INDEX('Source 2026'!$C:$C,MATCH($A43,'Source 2026'!$B:$B,0)),IFERROR(INDEX('Source 2025'!$C:$C,MATCH($A43,'Source 2025'!$B:$B,0)),""))</f>
        <v>S תומך זרוע וכתף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16</v>
      </c>
      <c r="E43" s="9" t="n">
        <f aca="false">D43-C43</f>
        <v>16</v>
      </c>
      <c r="F43" s="10" t="str">
        <f aca="false">IF(AND(C43=0,D43=0),0,IF(C43=0,"New",(D43-C43)/C43))</f>
        <v>New</v>
      </c>
      <c r="G43" s="11" t="n">
        <f aca="false">SUMIFS('Source 2025'!$T:$T,'Source 2025'!$B:$B,$A43,'Source 2025'!$A:$A,"Amount (NIS)")</f>
        <v>0</v>
      </c>
      <c r="H43" s="11" t="n">
        <f aca="false">SUMIFS('Source 2026'!$T:$T,'Source 2026'!$B:$B,$A43,'Source 2026'!$A:$A,"Amount (NIS)")</f>
        <v>2027.2</v>
      </c>
      <c r="I43" s="11" t="n">
        <f aca="false">H43-G43</f>
        <v>2027.2</v>
      </c>
      <c r="J43" s="10" t="str">
        <f aca="false">IF(AND(G43=0,H43=0),0,IF(G43=0,"New",(H43-G43)/G43))</f>
        <v>New</v>
      </c>
    </row>
    <row r="44" customFormat="false" ht="15" hidden="false" customHeight="true" outlineLevel="0" collapsed="false">
      <c r="A44" s="8" t="s">
        <v>383</v>
      </c>
      <c r="B44" s="8" t="str">
        <f aca="false">IFERROR(INDEX('Source 2026'!$C:$C,MATCH($A44,'Source 2026'!$B:$B,0)),IFERROR(INDEX('Source 2025'!$C:$C,MATCH($A44,'Source 2025'!$B:$B,0)),""))</f>
        <v>חבק לקרסול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97</v>
      </c>
      <c r="E44" s="9" t="n">
        <f aca="false">D44-C44</f>
        <v>97</v>
      </c>
      <c r="F44" s="10" t="str">
        <f aca="false">IF(AND(C44=0,D44=0),0,IF(C44=0,"New",(D44-C44)/C44))</f>
        <v>New</v>
      </c>
      <c r="G44" s="11" t="n">
        <f aca="false">SUMIFS('Source 2025'!$T:$T,'Source 2025'!$B:$B,$A44,'Source 2025'!$A:$A,"Amount (NIS)")</f>
        <v>0</v>
      </c>
      <c r="H44" s="11" t="n">
        <f aca="false">SUMIFS('Source 2026'!$T:$T,'Source 2026'!$B:$B,$A44,'Source 2026'!$A:$A,"Amount (NIS)")</f>
        <v>1989.8</v>
      </c>
      <c r="I44" s="11" t="n">
        <f aca="false">H44-G44</f>
        <v>1989.8</v>
      </c>
      <c r="J44" s="10" t="str">
        <f aca="false">IF(AND(G44=0,H44=0),0,IF(G44=0,"New",(H44-G44)/G44))</f>
        <v>New</v>
      </c>
    </row>
    <row r="45" customFormat="false" ht="15" hidden="false" customHeight="true" outlineLevel="0" collapsed="false">
      <c r="A45" s="8" t="s">
        <v>325</v>
      </c>
      <c r="B45" s="8" t="str">
        <f aca="false">IFERROR(INDEX('Source 2026'!$C:$C,MATCH($A45,'Source 2026'!$B:$B,0)),IFERROR(INDEX('Source 2025'!$C:$C,MATCH($A45,'Source 2025'!$B:$B,0)),""))</f>
        <v>חגורת גב אפורה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30</v>
      </c>
      <c r="E45" s="9" t="n">
        <f aca="false">D45-C45</f>
        <v>30</v>
      </c>
      <c r="F45" s="10" t="str">
        <f aca="false">IF(AND(C45=0,D45=0),0,IF(C45=0,"New",(D45-C45)/C45))</f>
        <v>New</v>
      </c>
      <c r="G45" s="11" t="n">
        <f aca="false">SUMIFS('Source 2025'!$T:$T,'Source 2025'!$B:$B,$A45,'Source 2025'!$A:$A,"Amount (NIS)")</f>
        <v>0</v>
      </c>
      <c r="H45" s="11" t="n">
        <f aca="false">SUMIFS('Source 2026'!$T:$T,'Source 2026'!$B:$B,$A45,'Source 2026'!$A:$A,"Amount (NIS)")</f>
        <v>1950</v>
      </c>
      <c r="I45" s="11" t="n">
        <f aca="false">H45-G45</f>
        <v>1950</v>
      </c>
      <c r="J45" s="10" t="str">
        <f aca="false">IF(AND(G45=0,H45=0),0,IF(G45=0,"New",(H45-G45)/G45))</f>
        <v>New</v>
      </c>
    </row>
    <row r="46" customFormat="false" ht="15" hidden="false" customHeight="true" outlineLevel="0" collapsed="false">
      <c r="A46" s="8" t="s">
        <v>172</v>
      </c>
      <c r="B46" s="8" t="str">
        <f aca="false">IFERROR(INDEX('Source 2026'!$C:$C,MATCH($A46,'Source 2026'!$B:$B,0)),IFERROR(INDEX('Source 2025'!$C:$C,MATCH($A46,'Source 2025'!$B:$B,0)),""))</f>
        <v>מקבע קרסול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21</v>
      </c>
      <c r="E46" s="9" t="n">
        <f aca="false">D46-C46</f>
        <v>21</v>
      </c>
      <c r="F46" s="10" t="str">
        <f aca="false">IF(AND(C46=0,D46=0),0,IF(C46=0,"New",(D46-C46)/C46))</f>
        <v>New</v>
      </c>
      <c r="G46" s="11" t="n">
        <f aca="false">SUMIFS('Source 2025'!$T:$T,'Source 2025'!$B:$B,$A46,'Source 2025'!$A:$A,"Amount (NIS)")</f>
        <v>0</v>
      </c>
      <c r="H46" s="11" t="n">
        <f aca="false">SUMIFS('Source 2026'!$T:$T,'Source 2026'!$B:$B,$A46,'Source 2026'!$A:$A,"Amount (NIS)")</f>
        <v>1932</v>
      </c>
      <c r="I46" s="11" t="n">
        <f aca="false">H46-G46</f>
        <v>1932</v>
      </c>
      <c r="J46" s="10" t="str">
        <f aca="false">IF(AND(G46=0,H46=0),0,IF(G46=0,"New",(H46-G46)/G46))</f>
        <v>New</v>
      </c>
    </row>
    <row r="47" customFormat="false" ht="15" hidden="false" customHeight="true" outlineLevel="0" collapsed="false">
      <c r="A47" s="8" t="s">
        <v>120</v>
      </c>
      <c r="B47" s="8" t="str">
        <f aca="false">IFERROR(INDEX('Source 2026'!$C:$C,MATCH($A47,'Source 2026'!$B:$B,0)),IFERROR(INDEX('Source 2025'!$C:$C,MATCH($A47,'Source 2025'!$B:$B,0)),""))</f>
        <v>שרוול מטטרזלי מסיליקון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47</v>
      </c>
      <c r="E47" s="9" t="n">
        <f aca="false">D47-C47</f>
        <v>47</v>
      </c>
      <c r="F47" s="10" t="str">
        <f aca="false">IF(AND(C47=0,D47=0),0,IF(C47=0,"New",(D47-C47)/C47))</f>
        <v>New</v>
      </c>
      <c r="G47" s="11" t="n">
        <f aca="false">SUMIFS('Source 2025'!$T:$T,'Source 2025'!$B:$B,$A47,'Source 2025'!$A:$A,"Amount (NIS)")</f>
        <v>0</v>
      </c>
      <c r="H47" s="11" t="n">
        <f aca="false">SUMIFS('Source 2026'!$T:$T,'Source 2026'!$B:$B,$A47,'Source 2026'!$A:$A,"Amount (NIS)")</f>
        <v>1823.1</v>
      </c>
      <c r="I47" s="11" t="n">
        <f aca="false">H47-G47</f>
        <v>1823.1</v>
      </c>
      <c r="J47" s="10" t="str">
        <f aca="false">IF(AND(G47=0,H47=0),0,IF(G47=0,"New",(H47-G47)/G47))</f>
        <v>New</v>
      </c>
    </row>
    <row r="48" customFormat="false" ht="15" hidden="false" customHeight="true" outlineLevel="0" collapsed="false">
      <c r="A48" s="8" t="s">
        <v>109</v>
      </c>
      <c r="B48" s="8" t="str">
        <f aca="false">IFERROR(INDEX('Source 2026'!$C:$C,MATCH($A48,'Source 2026'!$B:$B,0)),IFERROR(INDEX('Source 2025'!$C:$C,MATCH($A48,'Source 2025'!$B:$B,0)),""))</f>
        <v>L סד לילה שחור לבוהן שמאל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43</v>
      </c>
      <c r="E48" s="9" t="n">
        <f aca="false">D48-C48</f>
        <v>43</v>
      </c>
      <c r="F48" s="10" t="str">
        <f aca="false">IF(AND(C48=0,D48=0),0,IF(C48=0,"New",(D48-C48)/C48))</f>
        <v>New</v>
      </c>
      <c r="G48" s="11" t="n">
        <f aca="false">SUMIFS('Source 2025'!$T:$T,'Source 2025'!$B:$B,$A48,'Source 2025'!$A:$A,"Amount (NIS)")</f>
        <v>0</v>
      </c>
      <c r="H48" s="11" t="n">
        <f aca="false">SUMIFS('Source 2026'!$T:$T,'Source 2026'!$B:$B,$A48,'Source 2026'!$A:$A,"Amount (NIS)")</f>
        <v>1806</v>
      </c>
      <c r="I48" s="11" t="n">
        <f aca="false">H48-G48</f>
        <v>1806</v>
      </c>
      <c r="J48" s="10" t="str">
        <f aca="false">IF(AND(G48=0,H48=0),0,IF(G48=0,"New",(H48-G48)/G48))</f>
        <v>New</v>
      </c>
    </row>
    <row r="49" customFormat="false" ht="15" hidden="false" customHeight="true" outlineLevel="0" collapsed="false">
      <c r="A49" s="8" t="s">
        <v>124</v>
      </c>
      <c r="B49" s="8" t="str">
        <f aca="false">IFERROR(INDEX('Source 2026'!$C:$C,MATCH($A49,'Source 2026'!$B:$B,0)),IFERROR(INDEX('Source 2025'!$C:$C,MATCH($A49,'Source 2025'!$B:$B,0)),""))</f>
        <v>רפידת אנטי ריח -זוג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188</v>
      </c>
      <c r="E49" s="9" t="n">
        <f aca="false">D49-C49</f>
        <v>188</v>
      </c>
      <c r="F49" s="10" t="str">
        <f aca="false">IF(AND(C49=0,D49=0),0,IF(C49=0,"New",(D49-C49)/C49))</f>
        <v>New</v>
      </c>
      <c r="G49" s="11" t="n">
        <f aca="false">SUMIFS('Source 2025'!$T:$T,'Source 2025'!$B:$B,$A49,'Source 2025'!$A:$A,"Amount (NIS)")</f>
        <v>0</v>
      </c>
      <c r="H49" s="11" t="n">
        <f aca="false">SUMIFS('Source 2026'!$T:$T,'Source 2026'!$B:$B,$A49,'Source 2026'!$A:$A,"Amount (NIS)")</f>
        <v>1755.3</v>
      </c>
      <c r="I49" s="11" t="n">
        <f aca="false">H49-G49</f>
        <v>1755.3</v>
      </c>
      <c r="J49" s="10" t="str">
        <f aca="false">IF(AND(G49=0,H49=0),0,IF(G49=0,"New",(H49-G49)/G49))</f>
        <v>New</v>
      </c>
    </row>
    <row r="50" customFormat="false" ht="15" hidden="false" customHeight="true" outlineLevel="0" collapsed="false">
      <c r="A50" s="8" t="s">
        <v>262</v>
      </c>
      <c r="B50" s="8" t="str">
        <f aca="false">IFERROR(INDEX('Source 2026'!$C:$C,MATCH($A50,'Source 2026'!$B:$B,0)),IFERROR(INDEX('Source 2025'!$C:$C,MATCH($A50,'Source 2025'!$B:$B,0)),""))</f>
        <v>L ימין CTS כפפות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23</v>
      </c>
      <c r="E50" s="9" t="n">
        <f aca="false">D50-C50</f>
        <v>23</v>
      </c>
      <c r="F50" s="10" t="str">
        <f aca="false">IF(AND(C50=0,D50=0),0,IF(C50=0,"New",(D50-C50)/C50))</f>
        <v>New</v>
      </c>
      <c r="G50" s="11" t="n">
        <f aca="false">SUMIFS('Source 2025'!$T:$T,'Source 2025'!$B:$B,$A50,'Source 2025'!$A:$A,"Amount (NIS)")</f>
        <v>0</v>
      </c>
      <c r="H50" s="11" t="n">
        <f aca="false">SUMIFS('Source 2026'!$T:$T,'Source 2026'!$B:$B,$A50,'Source 2026'!$A:$A,"Amount (NIS)")</f>
        <v>1633</v>
      </c>
      <c r="I50" s="11" t="n">
        <f aca="false">H50-G50</f>
        <v>1633</v>
      </c>
      <c r="J50" s="10" t="str">
        <f aca="false">IF(AND(G50=0,H50=0),0,IF(G50=0,"New",(H50-G50)/G50))</f>
        <v>New</v>
      </c>
    </row>
    <row r="51" customFormat="false" ht="15" hidden="false" customHeight="true" outlineLevel="0" collapsed="false">
      <c r="A51" s="8" t="s">
        <v>106</v>
      </c>
      <c r="B51" s="8" t="str">
        <f aca="false">IFERROR(INDEX('Source 2026'!$C:$C,MATCH($A51,'Source 2026'!$B:$B,0)),IFERROR(INDEX('Source 2025'!$C:$C,MATCH($A51,'Source 2025'!$B:$B,0)),""))</f>
        <v>Lמפר.אצבע סיליק. ליבל.זוג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183</v>
      </c>
      <c r="E51" s="9" t="n">
        <f aca="false">D51-C51</f>
        <v>183</v>
      </c>
      <c r="F51" s="10" t="str">
        <f aca="false">IF(AND(C51=0,D51=0),0,IF(C51=0,"New",(D51-C51)/C51))</f>
        <v>New</v>
      </c>
      <c r="G51" s="11" t="n">
        <f aca="false">SUMIFS('Source 2025'!$T:$T,'Source 2025'!$B:$B,$A51,'Source 2025'!$A:$A,"Amount (NIS)")</f>
        <v>0</v>
      </c>
      <c r="H51" s="11" t="n">
        <f aca="false">SUMIFS('Source 2026'!$T:$T,'Source 2026'!$B:$B,$A51,'Source 2026'!$A:$A,"Amount (NIS)")</f>
        <v>1582.1</v>
      </c>
      <c r="I51" s="11" t="n">
        <f aca="false">H51-G51</f>
        <v>1582.1</v>
      </c>
      <c r="J51" s="10" t="str">
        <f aca="false">IF(AND(G51=0,H51=0),0,IF(G51=0,"New",(H51-G51)/G51))</f>
        <v>New</v>
      </c>
    </row>
    <row r="52" customFormat="false" ht="15" hidden="false" customHeight="true" outlineLevel="0" collapsed="false">
      <c r="A52" s="8" t="s">
        <v>233</v>
      </c>
      <c r="B52" s="8" t="str">
        <f aca="false">IFERROR(INDEX('Source 2026'!$C:$C,MATCH($A52,'Source 2026'!$B:$B,0)),IFERROR(INDEX('Source 2025'!$C:$C,MATCH($A52,'Source 2025'!$B:$B,0)),""))</f>
        <v>L שמאל CTS כפפות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22</v>
      </c>
      <c r="E52" s="9" t="n">
        <f aca="false">D52-C52</f>
        <v>22</v>
      </c>
      <c r="F52" s="10" t="str">
        <f aca="false">IF(AND(C52=0,D52=0),0,IF(C52=0,"New",(D52-C52)/C52))</f>
        <v>New</v>
      </c>
      <c r="G52" s="11" t="n">
        <f aca="false">SUMIFS('Source 2025'!$T:$T,'Source 2025'!$B:$B,$A52,'Source 2025'!$A:$A,"Amount (NIS)")</f>
        <v>0</v>
      </c>
      <c r="H52" s="11" t="n">
        <f aca="false">SUMIFS('Source 2026'!$T:$T,'Source 2026'!$B:$B,$A52,'Source 2026'!$A:$A,"Amount (NIS)")</f>
        <v>1562</v>
      </c>
      <c r="I52" s="11" t="n">
        <f aca="false">H52-G52</f>
        <v>1562</v>
      </c>
      <c r="J52" s="10" t="str">
        <f aca="false">IF(AND(G52=0,H52=0),0,IF(G52=0,"New",(H52-G52)/G52))</f>
        <v>New</v>
      </c>
    </row>
    <row r="53" customFormat="false" ht="15" hidden="false" customHeight="true" outlineLevel="0" collapsed="false">
      <c r="A53" s="8" t="s">
        <v>102</v>
      </c>
      <c r="B53" s="8" t="str">
        <f aca="false">IFERROR(INDEX('Source 2026'!$C:$C,MATCH($A53,'Source 2026'!$B:$B,0)),IFERROR(INDEX('Source 2025'!$C:$C,MATCH($A53,'Source 2025'!$B:$B,0)),""))</f>
        <v>טייפ קינזיולוגי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60</v>
      </c>
      <c r="E53" s="9" t="n">
        <f aca="false">D53-C53</f>
        <v>60</v>
      </c>
      <c r="F53" s="10" t="str">
        <f aca="false">IF(AND(C53=0,D53=0),0,IF(C53=0,"New",(D53-C53)/C53))</f>
        <v>New</v>
      </c>
      <c r="G53" s="11" t="n">
        <f aca="false">SUMIFS('Source 2025'!$T:$T,'Source 2025'!$B:$B,$A53,'Source 2025'!$A:$A,"Amount (NIS)")</f>
        <v>0</v>
      </c>
      <c r="H53" s="11" t="n">
        <f aca="false">SUMIFS('Source 2026'!$T:$T,'Source 2026'!$B:$B,$A53,'Source 2026'!$A:$A,"Amount (NIS)")</f>
        <v>1500</v>
      </c>
      <c r="I53" s="11" t="n">
        <f aca="false">H53-G53</f>
        <v>1500</v>
      </c>
      <c r="J53" s="10" t="str">
        <f aca="false">IF(AND(G53=0,H53=0),0,IF(G53=0,"New",(H53-G53)/G53))</f>
        <v>New</v>
      </c>
    </row>
    <row r="54" customFormat="false" ht="15" hidden="false" customHeight="true" outlineLevel="0" collapsed="false">
      <c r="A54" s="8" t="s">
        <v>384</v>
      </c>
      <c r="B54" s="8" t="str">
        <f aca="false">IFERROR(INDEX('Source 2026'!$C:$C,MATCH($A54,'Source 2026'!$B:$B,0)),IFERROR(INDEX('Source 2025'!$C:$C,MATCH($A54,'Source 2025'!$B:$B,0)),""))</f>
        <v>H מגן ברך עם ציר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16</v>
      </c>
      <c r="E54" s="9" t="n">
        <f aca="false">D54-C54</f>
        <v>16</v>
      </c>
      <c r="F54" s="10" t="str">
        <f aca="false">IF(AND(C54=0,D54=0),0,IF(C54=0,"New",(D54-C54)/C54))</f>
        <v>New</v>
      </c>
      <c r="G54" s="11" t="n">
        <f aca="false">SUMIFS('Source 2025'!$T:$T,'Source 2025'!$B:$B,$A54,'Source 2025'!$A:$A,"Amount (NIS)")</f>
        <v>0</v>
      </c>
      <c r="H54" s="11" t="n">
        <f aca="false">SUMIFS('Source 2026'!$T:$T,'Source 2026'!$B:$B,$A54,'Source 2026'!$A:$A,"Amount (NIS)")</f>
        <v>1496</v>
      </c>
      <c r="I54" s="11" t="n">
        <f aca="false">H54-G54</f>
        <v>1496</v>
      </c>
      <c r="J54" s="10" t="str">
        <f aca="false">IF(AND(G54=0,H54=0),0,IF(G54=0,"New",(H54-G54)/G54))</f>
        <v>New</v>
      </c>
    </row>
    <row r="55" customFormat="false" ht="15" hidden="false" customHeight="true" outlineLevel="0" collapsed="false">
      <c r="A55" s="8" t="s">
        <v>168</v>
      </c>
      <c r="B55" s="8" t="str">
        <f aca="false">IFERROR(INDEX('Source 2026'!$C:$C,MATCH($A55,'Source 2026'!$B:$B,0)),IFERROR(INDEX('Source 2025'!$C:$C,MATCH($A55,'Source 2025'!$B:$B,0)),""))</f>
        <v>S חגורת שבר לצד ימין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13</v>
      </c>
      <c r="E55" s="9" t="n">
        <f aca="false">D55-C55</f>
        <v>13</v>
      </c>
      <c r="F55" s="10" t="str">
        <f aca="false">IF(AND(C55=0,D55=0),0,IF(C55=0,"New",(D55-C55)/C55))</f>
        <v>New</v>
      </c>
      <c r="G55" s="11" t="n">
        <f aca="false">SUMIFS('Source 2025'!$T:$T,'Source 2025'!$B:$B,$A55,'Source 2025'!$A:$A,"Amount (NIS)")</f>
        <v>0</v>
      </c>
      <c r="H55" s="11" t="n">
        <f aca="false">SUMIFS('Source 2026'!$T:$T,'Source 2026'!$B:$B,$A55,'Source 2026'!$A:$A,"Amount (NIS)")</f>
        <v>1487.2</v>
      </c>
      <c r="I55" s="11" t="n">
        <f aca="false">H55-G55</f>
        <v>1487.2</v>
      </c>
      <c r="J55" s="10" t="str">
        <f aca="false">IF(AND(G55=0,H55=0),0,IF(G55=0,"New",(H55-G55)/G55))</f>
        <v>New</v>
      </c>
    </row>
    <row r="56" customFormat="false" ht="15" hidden="false" customHeight="true" outlineLevel="0" collapsed="false">
      <c r="A56" s="8" t="s">
        <v>135</v>
      </c>
      <c r="B56" s="8" t="str">
        <f aca="false">IFERROR(INDEX('Source 2026'!$C:$C,MATCH($A56,'Source 2026'!$B:$B,0)),IFERROR(INDEX('Source 2025'!$C:$C,MATCH($A56,'Source 2025'!$B:$B,0)),""))</f>
        <v>S-Lטבעת אלסטית מסיליקון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164</v>
      </c>
      <c r="E56" s="9" t="n">
        <f aca="false">D56-C56</f>
        <v>164</v>
      </c>
      <c r="F56" s="10" t="str">
        <f aca="false">IF(AND(C56=0,D56=0),0,IF(C56=0,"New",(D56-C56)/C56))</f>
        <v>New</v>
      </c>
      <c r="G56" s="11" t="n">
        <f aca="false">SUMIFS('Source 2025'!$T:$T,'Source 2025'!$B:$B,$A56,'Source 2025'!$A:$A,"Amount (NIS)")</f>
        <v>0</v>
      </c>
      <c r="H56" s="11" t="n">
        <f aca="false">SUMIFS('Source 2026'!$T:$T,'Source 2026'!$B:$B,$A56,'Source 2026'!$A:$A,"Amount (NIS)")</f>
        <v>1450.1</v>
      </c>
      <c r="I56" s="11" t="n">
        <f aca="false">H56-G56</f>
        <v>1450.1</v>
      </c>
      <c r="J56" s="10" t="str">
        <f aca="false">IF(AND(G56=0,H56=0),0,IF(G56=0,"New",(H56-G56)/G56))</f>
        <v>New</v>
      </c>
    </row>
    <row r="57" customFormat="false" ht="15" hidden="false" customHeight="true" outlineLevel="0" collapsed="false">
      <c r="A57" s="8" t="s">
        <v>94</v>
      </c>
      <c r="B57" s="8" t="str">
        <f aca="false">IFERROR(INDEX('Source 2026'!$C:$C,MATCH($A57,'Source 2026'!$B:$B,0)),IFERROR(INDEX('Source 2025'!$C:$C,MATCH($A57,'Source 2025'!$B:$B,0)),""))</f>
        <v>טייפ קינזיולוגי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57</v>
      </c>
      <c r="E57" s="9" t="n">
        <f aca="false">D57-C57</f>
        <v>57</v>
      </c>
      <c r="F57" s="10" t="str">
        <f aca="false">IF(AND(C57=0,D57=0),0,IF(C57=0,"New",(D57-C57)/C57))</f>
        <v>New</v>
      </c>
      <c r="G57" s="11" t="n">
        <f aca="false">SUMIFS('Source 2025'!$T:$T,'Source 2025'!$B:$B,$A57,'Source 2025'!$A:$A,"Amount (NIS)")</f>
        <v>0</v>
      </c>
      <c r="H57" s="11" t="n">
        <f aca="false">SUMIFS('Source 2026'!$T:$T,'Source 2026'!$B:$B,$A57,'Source 2026'!$A:$A,"Amount (NIS)")</f>
        <v>1425</v>
      </c>
      <c r="I57" s="11" t="n">
        <f aca="false">H57-G57</f>
        <v>1425</v>
      </c>
      <c r="J57" s="10" t="str">
        <f aca="false">IF(AND(G57=0,H57=0),0,IF(G57=0,"New",(H57-G57)/G57))</f>
        <v>New</v>
      </c>
    </row>
    <row r="58" customFormat="false" ht="15" hidden="false" customHeight="true" outlineLevel="0" collapsed="false">
      <c r="A58" s="8" t="s">
        <v>117</v>
      </c>
      <c r="B58" s="8" t="str">
        <f aca="false">IFERROR(INDEX('Source 2026'!$C:$C,MATCH($A58,'Source 2026'!$B:$B,0)),IFERROR(INDEX('Source 2025'!$C:$C,MATCH($A58,'Source 2025'!$B:$B,0)),""))</f>
        <v>מטטרזלי סיליקון362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76</v>
      </c>
      <c r="E58" s="9" t="n">
        <f aca="false">D58-C58</f>
        <v>76</v>
      </c>
      <c r="F58" s="10" t="str">
        <f aca="false">IF(AND(C58=0,D58=0),0,IF(C58=0,"New",(D58-C58)/C58))</f>
        <v>New</v>
      </c>
      <c r="G58" s="11" t="n">
        <f aca="false">SUMIFS('Source 2025'!$T:$T,'Source 2025'!$B:$B,$A58,'Source 2025'!$A:$A,"Amount (NIS)")</f>
        <v>0</v>
      </c>
      <c r="H58" s="11" t="n">
        <f aca="false">SUMIFS('Source 2026'!$T:$T,'Source 2026'!$B:$B,$A58,'Source 2026'!$A:$A,"Amount (NIS)")</f>
        <v>1300.7</v>
      </c>
      <c r="I58" s="11" t="n">
        <f aca="false">H58-G58</f>
        <v>1300.7</v>
      </c>
      <c r="J58" s="10" t="str">
        <f aca="false">IF(AND(G58=0,H58=0),0,IF(G58=0,"New",(H58-G58)/G58))</f>
        <v>New</v>
      </c>
    </row>
    <row r="59" customFormat="false" ht="15" hidden="false" customHeight="true" outlineLevel="0" collapsed="false">
      <c r="A59" s="8" t="s">
        <v>240</v>
      </c>
      <c r="B59" s="8" t="str">
        <f aca="false">IFERROR(INDEX('Source 2026'!$C:$C,MATCH($A59,'Source 2026'!$B:$B,0)),IFERROR(INDEX('Source 2025'!$C:$C,MATCH($A59,'Source 2025'!$B:$B,0)),""))</f>
        <v>S חגורת שבר דו צדדי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</v>
      </c>
      <c r="E59" s="9" t="n">
        <f aca="false">D59-C59</f>
        <v>7</v>
      </c>
      <c r="F59" s="10" t="str">
        <f aca="false">IF(AND(C59=0,D59=0),0,IF(C59=0,"New",(D59-C59)/C59))</f>
        <v>New</v>
      </c>
      <c r="G59" s="11" t="n">
        <f aca="false">SUMIFS('Source 2025'!$T:$T,'Source 2025'!$B:$B,$A59,'Source 2025'!$A:$A,"Amount (NIS)")</f>
        <v>0</v>
      </c>
      <c r="H59" s="11" t="n">
        <f aca="false">SUMIFS('Source 2026'!$T:$T,'Source 2026'!$B:$B,$A59,'Source 2026'!$A:$A,"Amount (NIS)")</f>
        <v>1272.2</v>
      </c>
      <c r="I59" s="11" t="n">
        <f aca="false">H59-G59</f>
        <v>1272.2</v>
      </c>
      <c r="J59" s="10" t="str">
        <f aca="false">IF(AND(G59=0,H59=0),0,IF(G59=0,"New",(H59-G59)/G59))</f>
        <v>New</v>
      </c>
    </row>
    <row r="60" customFormat="false" ht="15" hidden="false" customHeight="true" outlineLevel="0" collapsed="false">
      <c r="A60" s="8" t="s">
        <v>158</v>
      </c>
      <c r="B60" s="8" t="str">
        <f aca="false">IFERROR(INDEX('Source 2026'!$C:$C,MATCH($A60,'Source 2026'!$B:$B,0)),IFERROR(INDEX('Source 2025'!$C:$C,MATCH($A60,'Source 2025'!$B:$B,0)),""))</f>
        <v>3667 מגן בוניון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62</v>
      </c>
      <c r="E60" s="9" t="n">
        <f aca="false">D60-C60</f>
        <v>62</v>
      </c>
      <c r="F60" s="10" t="str">
        <f aca="false">IF(AND(C60=0,D60=0),0,IF(C60=0,"New",(D60-C60)/C60))</f>
        <v>New</v>
      </c>
      <c r="G60" s="11" t="n">
        <f aca="false">SUMIFS('Source 2025'!$T:$T,'Source 2025'!$B:$B,$A60,'Source 2025'!$A:$A,"Amount (NIS)")</f>
        <v>0</v>
      </c>
      <c r="H60" s="11" t="n">
        <f aca="false">SUMIFS('Source 2026'!$T:$T,'Source 2026'!$B:$B,$A60,'Source 2026'!$A:$A,"Amount (NIS)")</f>
        <v>1262</v>
      </c>
      <c r="I60" s="11" t="n">
        <f aca="false">H60-G60</f>
        <v>1262</v>
      </c>
      <c r="J60" s="10" t="str">
        <f aca="false">IF(AND(G60=0,H60=0),0,IF(G60=0,"New",(H60-G60)/G60))</f>
        <v>New</v>
      </c>
    </row>
    <row r="61" customFormat="false" ht="15" hidden="false" customHeight="true" outlineLevel="0" collapsed="false">
      <c r="A61" s="8" t="s">
        <v>278</v>
      </c>
      <c r="B61" s="8" t="str">
        <f aca="false">IFERROR(INDEX('Source 2026'!$C:$C,MATCH($A61,'Source 2026'!$B:$B,0)),IFERROR(INDEX('Source 2025'!$C:$C,MATCH($A61,'Source 2025'!$B:$B,0)),""))</f>
        <v>S חגורת שבר לצד שמאל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10</v>
      </c>
      <c r="E61" s="9" t="n">
        <f aca="false">D61-C61</f>
        <v>10</v>
      </c>
      <c r="F61" s="10" t="str">
        <f aca="false">IF(AND(C61=0,D61=0),0,IF(C61=0,"New",(D61-C61)/C61))</f>
        <v>New</v>
      </c>
      <c r="G61" s="11" t="n">
        <f aca="false">SUMIFS('Source 2025'!$T:$T,'Source 2025'!$B:$B,$A61,'Source 2025'!$A:$A,"Amount (NIS)")</f>
        <v>0</v>
      </c>
      <c r="H61" s="11" t="n">
        <f aca="false">SUMIFS('Source 2026'!$T:$T,'Source 2026'!$B:$B,$A61,'Source 2026'!$A:$A,"Amount (NIS)")</f>
        <v>1202.4</v>
      </c>
      <c r="I61" s="11" t="n">
        <f aca="false">H61-G61</f>
        <v>1202.4</v>
      </c>
      <c r="J61" s="10" t="str">
        <f aca="false">IF(AND(G61=0,H61=0),0,IF(G61=0,"New",(H61-G61)/G61))</f>
        <v>New</v>
      </c>
    </row>
    <row r="62" customFormat="false" ht="15" hidden="false" customHeight="true" outlineLevel="0" collapsed="false">
      <c r="A62" s="8" t="s">
        <v>182</v>
      </c>
      <c r="B62" s="8" t="str">
        <f aca="false">IFERROR(INDEX('Source 2026'!$C:$C,MATCH($A62,'Source 2026'!$B:$B,0)),IFERROR(INDEX('Source 2025'!$C:$C,MATCH($A62,'Source 2025'!$B:$B,0)),""))</f>
        <v>XLמפריד אצבע סיליקון ליבלת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136</v>
      </c>
      <c r="E62" s="9" t="n">
        <f aca="false">D62-C62</f>
        <v>136</v>
      </c>
      <c r="F62" s="10" t="str">
        <f aca="false">IF(AND(C62=0,D62=0),0,IF(C62=0,"New",(D62-C62)/C62))</f>
        <v>New</v>
      </c>
      <c r="G62" s="11" t="n">
        <f aca="false">SUMIFS('Source 2025'!$T:$T,'Source 2025'!$B:$B,$A62,'Source 2025'!$A:$A,"Amount (NIS)")</f>
        <v>0</v>
      </c>
      <c r="H62" s="11" t="n">
        <f aca="false">SUMIFS('Source 2026'!$T:$T,'Source 2026'!$B:$B,$A62,'Source 2026'!$A:$A,"Amount (NIS)")</f>
        <v>1201.7</v>
      </c>
      <c r="I62" s="11" t="n">
        <f aca="false">H62-G62</f>
        <v>1201.7</v>
      </c>
      <c r="J62" s="10" t="str">
        <f aca="false">IF(AND(G62=0,H62=0),0,IF(G62=0,"New",(H62-G62)/G62))</f>
        <v>New</v>
      </c>
    </row>
    <row r="63" customFormat="false" ht="15" hidden="false" customHeight="true" outlineLevel="0" collapsed="false">
      <c r="A63" s="8" t="s">
        <v>385</v>
      </c>
      <c r="B63" s="8" t="str">
        <f aca="false">IFERROR(INDEX('Source 2026'!$C:$C,MATCH($A63,'Source 2026'!$B:$B,0)),IFERROR(INDEX('Source 2025'!$C:$C,MATCH($A63,'Source 2025'!$B:$B,0)),""))</f>
        <v>חבק יד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72</v>
      </c>
      <c r="E63" s="9" t="n">
        <f aca="false">D63-C63</f>
        <v>72</v>
      </c>
      <c r="F63" s="10" t="str">
        <f aca="false">IF(AND(C63=0,D63=0),0,IF(C63=0,"New",(D63-C63)/C63))</f>
        <v>New</v>
      </c>
      <c r="G63" s="11" t="n">
        <f aca="false">SUMIFS('Source 2025'!$T:$T,'Source 2025'!$B:$B,$A63,'Source 2025'!$A:$A,"Amount (NIS)")</f>
        <v>0</v>
      </c>
      <c r="H63" s="11" t="n">
        <f aca="false">SUMIFS('Source 2026'!$T:$T,'Source 2026'!$B:$B,$A63,'Source 2026'!$A:$A,"Amount (NIS)")</f>
        <v>1133</v>
      </c>
      <c r="I63" s="11" t="n">
        <f aca="false">H63-G63</f>
        <v>1133</v>
      </c>
      <c r="J63" s="10" t="str">
        <f aca="false">IF(AND(G63=0,H63=0),0,IF(G63=0,"New",(H63-G63)/G63))</f>
        <v>New</v>
      </c>
    </row>
    <row r="64" customFormat="false" ht="15" hidden="false" customHeight="true" outlineLevel="0" collapsed="false">
      <c r="A64" s="8" t="s">
        <v>145</v>
      </c>
      <c r="B64" s="8" t="str">
        <f aca="false">IFERROR(INDEX('Source 2026'!$C:$C,MATCH($A64,'Source 2026'!$B:$B,0)),IFERROR(INDEX('Source 2025'!$C:$C,MATCH($A64,'Source 2025'!$B:$B,0)),""))</f>
        <v>כרית ליישור אצבע פטיש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57</v>
      </c>
      <c r="E64" s="9" t="n">
        <f aca="false">D64-C64</f>
        <v>57</v>
      </c>
      <c r="F64" s="10" t="str">
        <f aca="false">IF(AND(C64=0,D64=0),0,IF(C64=0,"New",(D64-C64)/C64))</f>
        <v>New</v>
      </c>
      <c r="G64" s="11" t="n">
        <f aca="false">SUMIFS('Source 2025'!$T:$T,'Source 2025'!$B:$B,$A64,'Source 2025'!$A:$A,"Amount (NIS)")</f>
        <v>0</v>
      </c>
      <c r="H64" s="11" t="n">
        <f aca="false">SUMIFS('Source 2026'!$T:$T,'Source 2026'!$B:$B,$A64,'Source 2026'!$A:$A,"Amount (NIS)")</f>
        <v>1095.6</v>
      </c>
      <c r="I64" s="11" t="n">
        <f aca="false">H64-G64</f>
        <v>1095.6</v>
      </c>
      <c r="J64" s="10" t="str">
        <f aca="false">IF(AND(G64=0,H64=0),0,IF(G64=0,"New",(H64-G64)/G64))</f>
        <v>New</v>
      </c>
    </row>
    <row r="65" customFormat="false" ht="15" hidden="false" customHeight="true" outlineLevel="0" collapsed="false">
      <c r="A65" s="8" t="s">
        <v>243</v>
      </c>
      <c r="B65" s="8" t="str">
        <f aca="false">IFERROR(INDEX('Source 2026'!$C:$C,MATCH($A65,'Source 2026'!$B:$B,0)),IFERROR(INDEX('Source 2025'!$C:$C,MATCH($A65,'Source 2025'!$B:$B,0)),""))</f>
        <v>S חגורה אחרי ניתוח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9</v>
      </c>
      <c r="E65" s="9" t="n">
        <f aca="false">D65-C65</f>
        <v>9</v>
      </c>
      <c r="F65" s="10" t="str">
        <f aca="false">IF(AND(C65=0,D65=0),0,IF(C65=0,"New",(D65-C65)/C65))</f>
        <v>New</v>
      </c>
      <c r="G65" s="11" t="n">
        <f aca="false">SUMIFS('Source 2025'!$T:$T,'Source 2025'!$B:$B,$A65,'Source 2025'!$A:$A,"Amount (NIS)")</f>
        <v>0</v>
      </c>
      <c r="H65" s="11" t="n">
        <f aca="false">SUMIFS('Source 2026'!$T:$T,'Source 2026'!$B:$B,$A65,'Source 2026'!$A:$A,"Amount (NIS)")</f>
        <v>1022.3</v>
      </c>
      <c r="I65" s="11" t="n">
        <f aca="false">H65-G65</f>
        <v>1022.3</v>
      </c>
      <c r="J65" s="10" t="str">
        <f aca="false">IF(AND(G65=0,H65=0),0,IF(G65=0,"New",(H65-G65)/G65))</f>
        <v>New</v>
      </c>
    </row>
    <row r="66" customFormat="false" ht="15" hidden="false" customHeight="true" outlineLevel="0" collapsed="false">
      <c r="A66" s="8" t="s">
        <v>203</v>
      </c>
      <c r="B66" s="8" t="str">
        <f aca="false">IFERROR(INDEX('Source 2026'!$C:$C,MATCH($A66,'Source 2026'!$B:$B,0)),IFERROR(INDEX('Source 2025'!$C:$C,MATCH($A66,'Source 2025'!$B:$B,0)),""))</f>
        <v>להסרת עור קשה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48</v>
      </c>
      <c r="E66" s="9" t="n">
        <f aca="false">D66-C66</f>
        <v>48</v>
      </c>
      <c r="F66" s="10" t="str">
        <f aca="false">IF(AND(C66=0,D66=0),0,IF(C66=0,"New",(D66-C66)/C66))</f>
        <v>New</v>
      </c>
      <c r="G66" s="11" t="n">
        <f aca="false">SUMIFS('Source 2025'!$T:$T,'Source 2025'!$B:$B,$A66,'Source 2025'!$A:$A,"Amount (NIS)")</f>
        <v>0</v>
      </c>
      <c r="H66" s="11" t="n">
        <f aca="false">SUMIFS('Source 2026'!$T:$T,'Source 2026'!$B:$B,$A66,'Source 2026'!$A:$A,"Amount (NIS)")</f>
        <v>1004.4</v>
      </c>
      <c r="I66" s="11" t="n">
        <f aca="false">H66-G66</f>
        <v>1004.4</v>
      </c>
      <c r="J66" s="10" t="str">
        <f aca="false">IF(AND(G66=0,H66=0),0,IF(G66=0,"New",(H66-G66)/G66))</f>
        <v>New</v>
      </c>
    </row>
    <row r="67" customFormat="false" ht="15" hidden="false" customHeight="true" outlineLevel="0" collapsed="false">
      <c r="A67" s="8" t="s">
        <v>185</v>
      </c>
      <c r="B67" s="8" t="str">
        <f aca="false">IFERROR(INDEX('Source 2026'!$C:$C,MATCH($A67,'Source 2026'!$B:$B,0)),IFERROR(INDEX('Source 2025'!$C:$C,MATCH($A67,'Source 2025'!$B:$B,0)),""))</f>
        <v>רצועת ""פיקה""+כרית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16</v>
      </c>
      <c r="E67" s="9" t="n">
        <f aca="false">D67-C67</f>
        <v>16</v>
      </c>
      <c r="F67" s="10" t="str">
        <f aca="false">IF(AND(C67=0,D67=0),0,IF(C67=0,"New",(D67-C67)/C67))</f>
        <v>New</v>
      </c>
      <c r="G67" s="11" t="n">
        <f aca="false">SUMIFS('Source 2025'!$T:$T,'Source 2025'!$B:$B,$A67,'Source 2025'!$A:$A,"Amount (NIS)")</f>
        <v>0</v>
      </c>
      <c r="H67" s="11" t="n">
        <f aca="false">SUMIFS('Source 2026'!$T:$T,'Source 2026'!$B:$B,$A67,'Source 2026'!$A:$A,"Amount (NIS)")</f>
        <v>957.1</v>
      </c>
      <c r="I67" s="11" t="n">
        <f aca="false">H67-G67</f>
        <v>957.1</v>
      </c>
      <c r="J67" s="10" t="str">
        <f aca="false">IF(AND(G67=0,H67=0),0,IF(G67=0,"New",(H67-G67)/G67))</f>
        <v>New</v>
      </c>
    </row>
    <row r="68" customFormat="false" ht="15" hidden="false" customHeight="true" outlineLevel="0" collapsed="false">
      <c r="A68" s="8" t="s">
        <v>143</v>
      </c>
      <c r="B68" s="8" t="str">
        <f aca="false">IFERROR(INDEX('Source 2026'!$C:$C,MATCH($A68,'Source 2026'!$B:$B,0)),IFERROR(INDEX('Source 2025'!$C:$C,MATCH($A68,'Source 2025'!$B:$B,0)),""))</f>
        <v>בליסטר פלסטר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78</v>
      </c>
      <c r="E68" s="9" t="n">
        <f aca="false">D68-C68</f>
        <v>78</v>
      </c>
      <c r="F68" s="10" t="str">
        <f aca="false">IF(AND(C68=0,D68=0),0,IF(C68=0,"New",(D68-C68)/C68))</f>
        <v>New</v>
      </c>
      <c r="G68" s="11" t="n">
        <f aca="false">SUMIFS('Source 2025'!$T:$T,'Source 2025'!$B:$B,$A68,'Source 2025'!$A:$A,"Amount (NIS)")</f>
        <v>0</v>
      </c>
      <c r="H68" s="11" t="n">
        <f aca="false">SUMIFS('Source 2026'!$T:$T,'Source 2026'!$B:$B,$A68,'Source 2026'!$A:$A,"Amount (NIS)")</f>
        <v>939.1</v>
      </c>
      <c r="I68" s="11" t="n">
        <f aca="false">H68-G68</f>
        <v>939.1</v>
      </c>
      <c r="J68" s="10" t="str">
        <f aca="false">IF(AND(G68=0,H68=0),0,IF(G68=0,"New",(H68-G68)/G68))</f>
        <v>New</v>
      </c>
    </row>
    <row r="69" customFormat="false" ht="15" hidden="false" customHeight="true" outlineLevel="0" collapsed="false">
      <c r="A69" s="8" t="s">
        <v>164</v>
      </c>
      <c r="B69" s="8" t="str">
        <f aca="false">IFERROR(INDEX('Source 2026'!$C:$C,MATCH($A69,'Source 2026'!$B:$B,0)),IFERROR(INDEX('Source 2025'!$C:$C,MATCH($A69,'Source 2025'!$B:$B,0)),""))</f>
        <v>מגן קרסול עקב סגור+רצוע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23</v>
      </c>
      <c r="E69" s="9" t="n">
        <f aca="false">D69-C69</f>
        <v>23</v>
      </c>
      <c r="F69" s="10" t="str">
        <f aca="false">IF(AND(C69=0,D69=0),0,IF(C69=0,"New",(D69-C69)/C69))</f>
        <v>New</v>
      </c>
      <c r="G69" s="11" t="n">
        <f aca="false">SUMIFS('Source 2025'!$T:$T,'Source 2025'!$B:$B,$A69,'Source 2025'!$A:$A,"Amount (NIS)")</f>
        <v>0</v>
      </c>
      <c r="H69" s="11" t="n">
        <f aca="false">SUMIFS('Source 2026'!$T:$T,'Source 2026'!$B:$B,$A69,'Source 2026'!$A:$A,"Amount (NIS)")</f>
        <v>906.6</v>
      </c>
      <c r="I69" s="11" t="n">
        <f aca="false">H69-G69</f>
        <v>906.6</v>
      </c>
      <c r="J69" s="10" t="str">
        <f aca="false">IF(AND(G69=0,H69=0),0,IF(G69=0,"New",(H69-G69)/G69))</f>
        <v>New</v>
      </c>
    </row>
    <row r="70" customFormat="false" ht="15" hidden="false" customHeight="true" outlineLevel="0" collapsed="false">
      <c r="A70" s="8" t="s">
        <v>319</v>
      </c>
      <c r="B70" s="8" t="str">
        <f aca="false">IFERROR(INDEX('Source 2026'!$C:$C,MATCH($A70,'Source 2026'!$B:$B,0)),IFERROR(INDEX('Source 2025'!$C:$C,MATCH($A70,'Source 2025'!$B:$B,0)),""))</f>
        <v>תחבושת אלסטית מקררת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65</v>
      </c>
      <c r="E70" s="9" t="n">
        <f aca="false">D70-C70</f>
        <v>65</v>
      </c>
      <c r="F70" s="10" t="str">
        <f aca="false">IF(AND(C70=0,D70=0),0,IF(C70=0,"New",(D70-C70)/C70))</f>
        <v>New</v>
      </c>
      <c r="G70" s="11" t="n">
        <f aca="false">SUMIFS('Source 2025'!$T:$T,'Source 2025'!$B:$B,$A70,'Source 2025'!$A:$A,"Amount (NIS)")</f>
        <v>0</v>
      </c>
      <c r="H70" s="11" t="n">
        <f aca="false">SUMIFS('Source 2026'!$T:$T,'Source 2026'!$B:$B,$A70,'Source 2026'!$A:$A,"Amount (NIS)")</f>
        <v>879.9</v>
      </c>
      <c r="I70" s="11" t="n">
        <f aca="false">H70-G70</f>
        <v>879.9</v>
      </c>
      <c r="J70" s="10" t="str">
        <f aca="false">IF(AND(G70=0,H70=0),0,IF(G70=0,"New",(H70-G70)/G70))</f>
        <v>New</v>
      </c>
    </row>
    <row r="71" customFormat="false" ht="15" hidden="false" customHeight="true" outlineLevel="0" collapsed="false">
      <c r="A71" s="8" t="s">
        <v>83</v>
      </c>
      <c r="B71" s="8" t="str">
        <f aca="false">IFERROR(INDEX('Source 2026'!$C:$C,MATCH($A71,'Source 2026'!$B:$B,0)),IFERROR(INDEX('Source 2025'!$C:$C,MATCH($A71,'Source 2025'!$B:$B,0)),""))</f>
        <v>טייפ קינזיולוגי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35</v>
      </c>
      <c r="E71" s="9" t="n">
        <f aca="false">D71-C71</f>
        <v>35</v>
      </c>
      <c r="F71" s="10" t="str">
        <f aca="false">IF(AND(C71=0,D71=0),0,IF(C71=0,"New",(D71-C71)/C71))</f>
        <v>New</v>
      </c>
      <c r="G71" s="11" t="n">
        <f aca="false">SUMIFS('Source 2025'!$T:$T,'Source 2025'!$B:$B,$A71,'Source 2025'!$A:$A,"Amount (NIS)")</f>
        <v>0</v>
      </c>
      <c r="H71" s="11" t="n">
        <f aca="false">SUMIFS('Source 2026'!$T:$T,'Source 2026'!$B:$B,$A71,'Source 2026'!$A:$A,"Amount (NIS)")</f>
        <v>875</v>
      </c>
      <c r="I71" s="11" t="n">
        <f aca="false">H71-G71</f>
        <v>875</v>
      </c>
      <c r="J71" s="10" t="str">
        <f aca="false">IF(AND(G71=0,H71=0),0,IF(G71=0,"New",(H71-G71)/G71))</f>
        <v>New</v>
      </c>
    </row>
    <row r="72" customFormat="false" ht="15" hidden="false" customHeight="true" outlineLevel="0" collapsed="false">
      <c r="A72" s="8" t="s">
        <v>108</v>
      </c>
      <c r="B72" s="8" t="str">
        <f aca="false">IFERROR(INDEX('Source 2026'!$C:$C,MATCH($A72,'Source 2026'!$B:$B,0)),IFERROR(INDEX('Source 2025'!$C:$C,MATCH($A72,'Source 2025'!$B:$B,0)),""))</f>
        <v>למניעת שפשוף 5 יח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90</v>
      </c>
      <c r="E72" s="9" t="n">
        <f aca="false">D72-C72</f>
        <v>90</v>
      </c>
      <c r="F72" s="10" t="str">
        <f aca="false">IF(AND(C72=0,D72=0),0,IF(C72=0,"New",(D72-C72)/C72))</f>
        <v>New</v>
      </c>
      <c r="G72" s="11" t="n">
        <f aca="false">SUMIFS('Source 2025'!$T:$T,'Source 2025'!$B:$B,$A72,'Source 2025'!$A:$A,"Amount (NIS)")</f>
        <v>0</v>
      </c>
      <c r="H72" s="11" t="n">
        <f aca="false">SUMIFS('Source 2026'!$T:$T,'Source 2026'!$B:$B,$A72,'Source 2026'!$A:$A,"Amount (NIS)")</f>
        <v>837.1</v>
      </c>
      <c r="I72" s="11" t="n">
        <f aca="false">H72-G72</f>
        <v>837.1</v>
      </c>
      <c r="J72" s="10" t="str">
        <f aca="false">IF(AND(G72=0,H72=0),0,IF(G72=0,"New",(H72-G72)/G72))</f>
        <v>New</v>
      </c>
    </row>
    <row r="73" customFormat="false" ht="15" hidden="false" customHeight="true" outlineLevel="0" collapsed="false">
      <c r="A73" s="8" t="s">
        <v>282</v>
      </c>
      <c r="B73" s="8" t="str">
        <f aca="false">IFERROR(INDEX('Source 2026'!$C:$C,MATCH($A73,'Source 2026'!$B:$B,0)),IFERROR(INDEX('Source 2025'!$C:$C,MATCH($A73,'Source 2025'!$B:$B,0)),""))</f>
        <v>מגן זרת מסיליקון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41</v>
      </c>
      <c r="E73" s="9" t="n">
        <f aca="false">D73-C73</f>
        <v>41</v>
      </c>
      <c r="F73" s="10" t="str">
        <f aca="false">IF(AND(C73=0,D73=0),0,IF(C73=0,"New",(D73-C73)/C73))</f>
        <v>New</v>
      </c>
      <c r="G73" s="11" t="n">
        <f aca="false">SUMIFS('Source 2025'!$T:$T,'Source 2025'!$B:$B,$A73,'Source 2025'!$A:$A,"Amount (NIS)")</f>
        <v>0</v>
      </c>
      <c r="H73" s="11" t="n">
        <f aca="false">SUMIFS('Source 2026'!$T:$T,'Source 2026'!$B:$B,$A73,'Source 2026'!$A:$A,"Amount (NIS)")</f>
        <v>829.8</v>
      </c>
      <c r="I73" s="11" t="n">
        <f aca="false">H73-G73</f>
        <v>829.8</v>
      </c>
      <c r="J73" s="10" t="str">
        <f aca="false">IF(AND(G73=0,H73=0),0,IF(G73=0,"New",(H73-G73)/G73))</f>
        <v>New</v>
      </c>
    </row>
    <row r="74" customFormat="false" ht="15" hidden="false" customHeight="true" outlineLevel="0" collapsed="false">
      <c r="A74" s="8" t="s">
        <v>156</v>
      </c>
      <c r="B74" s="8" t="str">
        <f aca="false">IFERROR(INDEX('Source 2026'!$C:$C,MATCH($A74,'Source 2026'!$B:$B,0)),IFERROR(INDEX('Source 2025'!$C:$C,MATCH($A74,'Source 2025'!$B:$B,0)),""))</f>
        <v>להסרת עור קשה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46</v>
      </c>
      <c r="E74" s="9" t="n">
        <f aca="false">D74-C74</f>
        <v>46</v>
      </c>
      <c r="F74" s="10" t="str">
        <f aca="false">IF(AND(C74=0,D74=0),0,IF(C74=0,"New",(D74-C74)/C74))</f>
        <v>New</v>
      </c>
      <c r="G74" s="11" t="n">
        <f aca="false">SUMIFS('Source 2025'!$T:$T,'Source 2025'!$B:$B,$A74,'Source 2025'!$A:$A,"Amount (NIS)")</f>
        <v>0</v>
      </c>
      <c r="H74" s="11" t="n">
        <f aca="false">SUMIFS('Source 2026'!$T:$T,'Source 2026'!$B:$B,$A74,'Source 2026'!$A:$A,"Amount (NIS)")</f>
        <v>821.2</v>
      </c>
      <c r="I74" s="11" t="n">
        <f aca="false">H74-G74</f>
        <v>821.2</v>
      </c>
      <c r="J74" s="10" t="str">
        <f aca="false">IF(AND(G74=0,H74=0),0,IF(G74=0,"New",(H74-G74)/G74))</f>
        <v>New</v>
      </c>
    </row>
    <row r="75" customFormat="false" ht="15" hidden="false" customHeight="true" outlineLevel="0" collapsed="false">
      <c r="A75" s="8" t="s">
        <v>174</v>
      </c>
      <c r="B75" s="8" t="str">
        <f aca="false">IFERROR(INDEX('Source 2026'!$C:$C,MATCH($A75,'Source 2026'!$B:$B,0)),IFERROR(INDEX('Source 2025'!$C:$C,MATCH($A75,'Source 2025'!$B:$B,0)),""))</f>
        <v>לחץ מיבלת2יח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75</v>
      </c>
      <c r="E75" s="9" t="n">
        <f aca="false">D75-C75</f>
        <v>75</v>
      </c>
      <c r="F75" s="10" t="str">
        <f aca="false">IF(AND(C75=0,D75=0),0,IF(C75=0,"New",(D75-C75)/C75))</f>
        <v>New</v>
      </c>
      <c r="G75" s="11" t="n">
        <f aca="false">SUMIFS('Source 2025'!$T:$T,'Source 2025'!$B:$B,$A75,'Source 2025'!$A:$A,"Amount (NIS)")</f>
        <v>0</v>
      </c>
      <c r="H75" s="11" t="n">
        <f aca="false">SUMIFS('Source 2026'!$T:$T,'Source 2026'!$B:$B,$A75,'Source 2026'!$A:$A,"Amount (NIS)")</f>
        <v>801.6</v>
      </c>
      <c r="I75" s="11" t="n">
        <f aca="false">H75-G75</f>
        <v>801.6</v>
      </c>
      <c r="J75" s="10" t="str">
        <f aca="false">IF(AND(G75=0,H75=0),0,IF(G75=0,"New",(H75-G75)/G75))</f>
        <v>New</v>
      </c>
    </row>
    <row r="76" customFormat="false" ht="15" hidden="false" customHeight="true" outlineLevel="0" collapsed="false">
      <c r="A76" s="8" t="s">
        <v>386</v>
      </c>
      <c r="B76" s="8" t="str">
        <f aca="false">IFERROR(INDEX('Source 2026'!$C:$C,MATCH($A76,'Source 2026'!$B:$B,0)),IFERROR(INDEX('Source 2025'!$C:$C,MATCH($A76,'Source 2025'!$B:$B,0)),""))</f>
        <v>סד אגודלי עם מוט תמיכה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32</v>
      </c>
      <c r="E76" s="9" t="n">
        <f aca="false">D76-C76</f>
        <v>32</v>
      </c>
      <c r="F76" s="10" t="str">
        <f aca="false">IF(AND(C76=0,D76=0),0,IF(C76=0,"New",(D76-C76)/C76))</f>
        <v>New</v>
      </c>
      <c r="G76" s="11" t="n">
        <f aca="false">SUMIFS('Source 2025'!$T:$T,'Source 2025'!$B:$B,$A76,'Source 2025'!$A:$A,"Amount (NIS)")</f>
        <v>0</v>
      </c>
      <c r="H76" s="11" t="n">
        <f aca="false">SUMIFS('Source 2026'!$T:$T,'Source 2026'!$B:$B,$A76,'Source 2026'!$A:$A,"Amount (NIS)")</f>
        <v>800</v>
      </c>
      <c r="I76" s="11" t="n">
        <f aca="false">H76-G76</f>
        <v>800</v>
      </c>
      <c r="J76" s="10" t="str">
        <f aca="false">IF(AND(G76=0,H76=0),0,IF(G76=0,"New",(H76-G76)/G76))</f>
        <v>New</v>
      </c>
    </row>
    <row r="77" customFormat="false" ht="15" hidden="false" customHeight="true" outlineLevel="0" collapsed="false">
      <c r="A77" s="8" t="s">
        <v>195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36</v>
      </c>
      <c r="E77" s="9" t="n">
        <f aca="false">D77-C77</f>
        <v>36</v>
      </c>
      <c r="F77" s="10" t="str">
        <f aca="false">IF(AND(C77=0,D77=0),0,IF(C77=0,"New",(D77-C77)/C77))</f>
        <v>New</v>
      </c>
      <c r="G77" s="11" t="n">
        <f aca="false">SUMIFS('Source 2025'!$T:$T,'Source 2025'!$B:$B,$A77,'Source 2025'!$A:$A,"Amount (NIS)")</f>
        <v>0</v>
      </c>
      <c r="H77" s="11" t="n">
        <f aca="false">SUMIFS('Source 2026'!$T:$T,'Source 2026'!$B:$B,$A77,'Source 2026'!$A:$A,"Amount (NIS)")</f>
        <v>795.6</v>
      </c>
      <c r="I77" s="11" t="n">
        <f aca="false">H77-G77</f>
        <v>795.6</v>
      </c>
      <c r="J77" s="10" t="str">
        <f aca="false">IF(AND(G77=0,H77=0),0,IF(G77=0,"New",(H77-G77)/G77))</f>
        <v>New</v>
      </c>
    </row>
    <row r="78" customFormat="false" ht="15" hidden="false" customHeight="true" outlineLevel="0" collapsed="false">
      <c r="A78" s="8" t="s">
        <v>93</v>
      </c>
      <c r="B78" s="8" t="str">
        <f aca="false">IFERROR(INDEX('Source 2026'!$C:$C,MATCH($A78,'Source 2026'!$B:$B,0)),IFERROR(INDEX('Source 2025'!$C:$C,MATCH($A78,'Source 2025'!$B:$B,0)),""))</f>
        <v>טייפ קינזיולוגי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31</v>
      </c>
      <c r="E78" s="9" t="n">
        <f aca="false">D78-C78</f>
        <v>31</v>
      </c>
      <c r="F78" s="10" t="str">
        <f aca="false">IF(AND(C78=0,D78=0),0,IF(C78=0,"New",(D78-C78)/C78))</f>
        <v>New</v>
      </c>
      <c r="G78" s="11" t="n">
        <f aca="false">SUMIFS('Source 2025'!$T:$T,'Source 2025'!$B:$B,$A78,'Source 2025'!$A:$A,"Amount (NIS)")</f>
        <v>0</v>
      </c>
      <c r="H78" s="11" t="n">
        <f aca="false">SUMIFS('Source 2026'!$T:$T,'Source 2026'!$B:$B,$A78,'Source 2026'!$A:$A,"Amount (NIS)")</f>
        <v>775</v>
      </c>
      <c r="I78" s="11" t="n">
        <f aca="false">H78-G78</f>
        <v>775</v>
      </c>
      <c r="J78" s="10" t="str">
        <f aca="false">IF(AND(G78=0,H78=0),0,IF(G78=0,"New",(H78-G78)/G78))</f>
        <v>New</v>
      </c>
    </row>
    <row r="79" customFormat="false" ht="15" hidden="false" customHeight="true" outlineLevel="0" collapsed="false">
      <c r="A79" s="8" t="s">
        <v>211</v>
      </c>
      <c r="B79" s="8" t="str">
        <f aca="false">IFERROR(INDEX('Source 2026'!$C:$C,MATCH($A79,'Source 2026'!$B:$B,0)),IFERROR(INDEX('Source 2025'!$C:$C,MATCH($A79,'Source 2025'!$B:$B,0)),""))</f>
        <v>344-אבן טבעית להסרת עור קשה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138</v>
      </c>
      <c r="E79" s="9" t="n">
        <f aca="false">D79-C79</f>
        <v>138</v>
      </c>
      <c r="F79" s="10" t="str">
        <f aca="false">IF(AND(C79=0,D79=0),0,IF(C79=0,"New",(D79-C79)/C79))</f>
        <v>New</v>
      </c>
      <c r="G79" s="11" t="n">
        <f aca="false">SUMIFS('Source 2025'!$T:$T,'Source 2025'!$B:$B,$A79,'Source 2025'!$A:$A,"Amount (NIS)")</f>
        <v>0</v>
      </c>
      <c r="H79" s="11" t="n">
        <f aca="false">SUMIFS('Source 2026'!$T:$T,'Source 2026'!$B:$B,$A79,'Source 2026'!$A:$A,"Amount (NIS)")</f>
        <v>771.2</v>
      </c>
      <c r="I79" s="11" t="n">
        <f aca="false">H79-G79</f>
        <v>771.2</v>
      </c>
      <c r="J79" s="10" t="str">
        <f aca="false">IF(AND(G79=0,H79=0),0,IF(G79=0,"New",(H79-G79)/G79))</f>
        <v>New</v>
      </c>
    </row>
    <row r="80" customFormat="false" ht="15" hidden="false" customHeight="true" outlineLevel="0" collapsed="false">
      <c r="A80" s="8" t="s">
        <v>167</v>
      </c>
      <c r="B80" s="8" t="str">
        <f aca="false">IFERROR(INDEX('Source 2026'!$C:$C,MATCH($A80,'Source 2026'!$B:$B,0)),IFERROR(INDEX('Source 2025'!$C:$C,MATCH($A80,'Source 2025'!$B:$B,0)),""))</f>
        <v>35-38 גרב.כסף לסכרתים לבן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41</v>
      </c>
      <c r="E80" s="9" t="n">
        <f aca="false">D80-C80</f>
        <v>41</v>
      </c>
      <c r="F80" s="10" t="str">
        <f aca="false">IF(AND(C80=0,D80=0),0,IF(C80=0,"New",(D80-C80)/C80))</f>
        <v>New</v>
      </c>
      <c r="G80" s="11" t="n">
        <f aca="false">SUMIFS('Source 2025'!$T:$T,'Source 2025'!$B:$B,$A80,'Source 2025'!$A:$A,"Amount (NIS)")</f>
        <v>0</v>
      </c>
      <c r="H80" s="11" t="n">
        <f aca="false">SUMIFS('Source 2026'!$T:$T,'Source 2026'!$B:$B,$A80,'Source 2026'!$A:$A,"Amount (NIS)")</f>
        <v>754.4</v>
      </c>
      <c r="I80" s="11" t="n">
        <f aca="false">H80-G80</f>
        <v>754.4</v>
      </c>
      <c r="J80" s="10" t="str">
        <f aca="false">IF(AND(G80=0,H80=0),0,IF(G80=0,"New",(H80-G80)/G80))</f>
        <v>New</v>
      </c>
    </row>
    <row r="81" customFormat="false" ht="15" hidden="false" customHeight="true" outlineLevel="0" collapsed="false">
      <c r="A81" s="8" t="s">
        <v>183</v>
      </c>
      <c r="B81" s="8" t="str">
        <f aca="false">IFERROR(INDEX('Source 2026'!$C:$C,MATCH($A81,'Source 2026'!$B:$B,0)),IFERROR(INDEX('Source 2025'!$C:$C,MATCH($A81,'Source 2025'!$B:$B,0)),""))</f>
        <v>רפידת נוחות-זוג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100</v>
      </c>
      <c r="E81" s="9" t="n">
        <f aca="false">D81-C81</f>
        <v>100</v>
      </c>
      <c r="F81" s="10" t="str">
        <f aca="false">IF(AND(C81=0,D81=0),0,IF(C81=0,"New",(D81-C81)/C81))</f>
        <v>New</v>
      </c>
      <c r="G81" s="11" t="n">
        <f aca="false">SUMIFS('Source 2025'!$T:$T,'Source 2025'!$B:$B,$A81,'Source 2025'!$A:$A,"Amount (NIS)")</f>
        <v>0</v>
      </c>
      <c r="H81" s="11" t="n">
        <f aca="false">SUMIFS('Source 2026'!$T:$T,'Source 2026'!$B:$B,$A81,'Source 2026'!$A:$A,"Amount (NIS)")</f>
        <v>752.4</v>
      </c>
      <c r="I81" s="11" t="n">
        <f aca="false">H81-G81</f>
        <v>752.4</v>
      </c>
      <c r="J81" s="10" t="str">
        <f aca="false">IF(AND(G81=0,H81=0),0,IF(G81=0,"New",(H81-G81)/G81))</f>
        <v>New</v>
      </c>
    </row>
    <row r="82" customFormat="false" ht="15" hidden="false" customHeight="true" outlineLevel="0" collapsed="false">
      <c r="A82" s="8" t="s">
        <v>263</v>
      </c>
      <c r="B82" s="8" t="str">
        <f aca="false">IFERROR(INDEX('Source 2026'!$C:$C,MATCH($A82,'Source 2026'!$B:$B,0)),IFERROR(INDEX('Source 2025'!$C:$C,MATCH($A82,'Source 2025'!$B:$B,0)),""))</f>
        <v>פיקה לברך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21</v>
      </c>
      <c r="E82" s="9" t="n">
        <f aca="false">D82-C82</f>
        <v>21</v>
      </c>
      <c r="F82" s="10" t="str">
        <f aca="false">IF(AND(C82=0,D82=0),0,IF(C82=0,"New",(D82-C82)/C82))</f>
        <v>New</v>
      </c>
      <c r="G82" s="11" t="n">
        <f aca="false">SUMIFS('Source 2025'!$T:$T,'Source 2025'!$B:$B,$A82,'Source 2025'!$A:$A,"Amount (NIS)")</f>
        <v>0</v>
      </c>
      <c r="H82" s="11" t="n">
        <f aca="false">SUMIFS('Source 2026'!$T:$T,'Source 2026'!$B:$B,$A82,'Source 2026'!$A:$A,"Amount (NIS)")</f>
        <v>749.1</v>
      </c>
      <c r="I82" s="11" t="n">
        <f aca="false">H82-G82</f>
        <v>749.1</v>
      </c>
      <c r="J82" s="10" t="str">
        <f aca="false">IF(AND(G82=0,H82=0),0,IF(G82=0,"New",(H82-G82)/G82))</f>
        <v>New</v>
      </c>
    </row>
    <row r="83" customFormat="false" ht="15" hidden="false" customHeight="true" outlineLevel="0" collapsed="false">
      <c r="A83" s="8" t="s">
        <v>232</v>
      </c>
      <c r="B83" s="8" t="str">
        <f aca="false">IFERROR(INDEX('Source 2026'!$C:$C,MATCH($A83,'Source 2026'!$B:$B,0)),IFERROR(INDEX('Source 2025'!$C:$C,MATCH($A83,'Source 2025'!$B:$B,0)),""))</f>
        <v>בננה לתמיכת אצבעות ז.כרית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41</v>
      </c>
      <c r="E83" s="9" t="n">
        <f aca="false">D83-C83</f>
        <v>41</v>
      </c>
      <c r="F83" s="10" t="str">
        <f aca="false">IF(AND(C83=0,D83=0),0,IF(C83=0,"New",(D83-C83)/C83))</f>
        <v>New</v>
      </c>
      <c r="G83" s="11" t="n">
        <f aca="false">SUMIFS('Source 2025'!$T:$T,'Source 2025'!$B:$B,$A83,'Source 2025'!$A:$A,"Amount (NIS)")</f>
        <v>0</v>
      </c>
      <c r="H83" s="11" t="n">
        <f aca="false">SUMIFS('Source 2026'!$T:$T,'Source 2026'!$B:$B,$A83,'Source 2026'!$A:$A,"Amount (NIS)")</f>
        <v>668</v>
      </c>
      <c r="I83" s="11" t="n">
        <f aca="false">H83-G83</f>
        <v>668</v>
      </c>
      <c r="J83" s="10" t="str">
        <f aca="false">IF(AND(G83=0,H83=0),0,IF(G83=0,"New",(H83-G83)/G83))</f>
        <v>New</v>
      </c>
    </row>
    <row r="84" customFormat="false" ht="15" hidden="false" customHeight="true" outlineLevel="0" collapsed="false">
      <c r="A84" s="8" t="s">
        <v>257</v>
      </c>
      <c r="B84" s="8" t="str">
        <f aca="false">IFERROR(INDEX('Source 2026'!$C:$C,MATCH($A84,'Source 2026'!$B:$B,0)),IFERROR(INDEX('Source 2025'!$C:$C,MATCH($A84,'Source 2025'!$B:$B,0)),""))</f>
        <v>סד לקרסול עם כריות אויר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7</v>
      </c>
      <c r="E84" s="9" t="n">
        <f aca="false">D84-C84</f>
        <v>7</v>
      </c>
      <c r="F84" s="10" t="str">
        <f aca="false">IF(AND(C84=0,D84=0),0,IF(C84=0,"New",(D84-C84)/C84))</f>
        <v>New</v>
      </c>
      <c r="G84" s="11" t="n">
        <f aca="false">SUMIFS('Source 2025'!$T:$T,'Source 2025'!$B:$B,$A84,'Source 2025'!$A:$A,"Amount (NIS)")</f>
        <v>0</v>
      </c>
      <c r="H84" s="11" t="n">
        <f aca="false">SUMIFS('Source 2026'!$T:$T,'Source 2026'!$B:$B,$A84,'Source 2026'!$A:$A,"Amount (NIS)")</f>
        <v>632.8</v>
      </c>
      <c r="I84" s="11" t="n">
        <f aca="false">H84-G84</f>
        <v>632.8</v>
      </c>
      <c r="J84" s="10" t="str">
        <f aca="false">IF(AND(G84=0,H84=0),0,IF(G84=0,"New",(H84-G84)/G84))</f>
        <v>New</v>
      </c>
    </row>
    <row r="85" customFormat="false" ht="15" hidden="false" customHeight="true" outlineLevel="0" collapsed="false">
      <c r="A85" s="8" t="s">
        <v>225</v>
      </c>
      <c r="B85" s="8" t="str">
        <f aca="false">IFERROR(INDEX('Source 2026'!$C:$C,MATCH($A85,'Source 2026'!$B:$B,0)),IFERROR(INDEX('Source 2025'!$C:$C,MATCH($A85,'Source 2025'!$B:$B,0)),""))</f>
        <v>מפריד הלוקס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16</v>
      </c>
      <c r="E85" s="9" t="n">
        <f aca="false">D85-C85</f>
        <v>16</v>
      </c>
      <c r="F85" s="10" t="str">
        <f aca="false">IF(AND(C85=0,D85=0),0,IF(C85=0,"New",(D85-C85)/C85))</f>
        <v>New</v>
      </c>
      <c r="G85" s="11" t="n">
        <f aca="false">SUMIFS('Source 2025'!$T:$T,'Source 2025'!$B:$B,$A85,'Source 2025'!$A:$A,"Amount (NIS)")</f>
        <v>0</v>
      </c>
      <c r="H85" s="11" t="n">
        <f aca="false">SUMIFS('Source 2026'!$T:$T,'Source 2026'!$B:$B,$A85,'Source 2026'!$A:$A,"Amount (NIS)")</f>
        <v>619.2</v>
      </c>
      <c r="I85" s="11" t="n">
        <f aca="false">H85-G85</f>
        <v>619.2</v>
      </c>
      <c r="J85" s="10" t="str">
        <f aca="false">IF(AND(G85=0,H85=0),0,IF(G85=0,"New",(H85-G85)/G85))</f>
        <v>New</v>
      </c>
    </row>
    <row r="86" customFormat="false" ht="15" hidden="false" customHeight="true" outlineLevel="0" collapsed="false">
      <c r="A86" s="8" t="s">
        <v>220</v>
      </c>
      <c r="B86" s="8" t="str">
        <f aca="false">IFERROR(INDEX('Source 2026'!$C:$C,MATCH($A86,'Source 2026'!$B:$B,0)),IFERROR(INDEX('Source 2025'!$C:$C,MATCH($A86,'Source 2025'!$B:$B,0)),""))</f>
        <v>0 כרית חום וקור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18</v>
      </c>
      <c r="E86" s="9" t="n">
        <f aca="false">D86-C86</f>
        <v>18</v>
      </c>
      <c r="F86" s="10" t="str">
        <f aca="false">IF(AND(C86=0,D86=0),0,IF(C86=0,"New",(D86-C86)/C86))</f>
        <v>New</v>
      </c>
      <c r="G86" s="11" t="n">
        <f aca="false">SUMIFS('Source 2025'!$T:$T,'Source 2025'!$B:$B,$A86,'Source 2025'!$A:$A,"Amount (NIS)")</f>
        <v>0</v>
      </c>
      <c r="H86" s="11" t="n">
        <f aca="false">SUMIFS('Source 2026'!$T:$T,'Source 2026'!$B:$B,$A86,'Source 2026'!$A:$A,"Amount (NIS)")</f>
        <v>583.7</v>
      </c>
      <c r="I86" s="11" t="n">
        <f aca="false">H86-G86</f>
        <v>583.7</v>
      </c>
      <c r="J86" s="10" t="str">
        <f aca="false">IF(AND(G86=0,H86=0),0,IF(G86=0,"New",(H86-G86)/G86))</f>
        <v>New</v>
      </c>
    </row>
    <row r="87" customFormat="false" ht="15" hidden="false" customHeight="true" outlineLevel="0" collapsed="false">
      <c r="A87" s="8" t="s">
        <v>131</v>
      </c>
      <c r="B87" s="8" t="str">
        <f aca="false">IFERROR(INDEX('Source 2026'!$C:$C,MATCH($A87,'Source 2026'!$B:$B,0)),IFERROR(INDEX('Source 2025'!$C:$C,MATCH($A87,'Source 2025'!$B:$B,0)),""))</f>
        <v>גרב.כסף לסכרתים שחור35-38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26</v>
      </c>
      <c r="E87" s="9" t="n">
        <f aca="false">D87-C87</f>
        <v>26</v>
      </c>
      <c r="F87" s="10" t="str">
        <f aca="false">IF(AND(C87=0,D87=0),0,IF(C87=0,"New",(D87-C87)/C87))</f>
        <v>New</v>
      </c>
      <c r="G87" s="11" t="n">
        <f aca="false">SUMIFS('Source 2025'!$T:$T,'Source 2025'!$B:$B,$A87,'Source 2025'!$A:$A,"Amount (NIS)")</f>
        <v>0</v>
      </c>
      <c r="H87" s="11" t="n">
        <f aca="false">SUMIFS('Source 2026'!$T:$T,'Source 2026'!$B:$B,$A87,'Source 2026'!$A:$A,"Amount (NIS)")</f>
        <v>578.2</v>
      </c>
      <c r="I87" s="11" t="n">
        <f aca="false">H87-G87</f>
        <v>578.2</v>
      </c>
      <c r="J87" s="10" t="str">
        <f aca="false">IF(AND(G87=0,H87=0),0,IF(G87=0,"New",(H87-G87)/G87))</f>
        <v>New</v>
      </c>
    </row>
    <row r="88" customFormat="false" ht="15" hidden="false" customHeight="true" outlineLevel="0" collapsed="false">
      <c r="A88" s="8" t="s">
        <v>261</v>
      </c>
      <c r="B88" s="8" t="str">
        <f aca="false">IFERROR(INDEX('Source 2026'!$C:$C,MATCH($A88,'Source 2026'!$B:$B,0)),IFERROR(INDEX('Source 2025'!$C:$C,MATCH($A88,'Source 2025'!$B:$B,0)),""))</f>
        <v>S ימין CTS כפפות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8</v>
      </c>
      <c r="E88" s="9" t="n">
        <f aca="false">D88-C88</f>
        <v>8</v>
      </c>
      <c r="F88" s="10" t="str">
        <f aca="false">IF(AND(C88=0,D88=0),0,IF(C88=0,"New",(D88-C88)/C88))</f>
        <v>New</v>
      </c>
      <c r="G88" s="11" t="n">
        <f aca="false">SUMIFS('Source 2025'!$T:$T,'Source 2025'!$B:$B,$A88,'Source 2025'!$A:$A,"Amount (NIS)")</f>
        <v>0</v>
      </c>
      <c r="H88" s="11" t="n">
        <f aca="false">SUMIFS('Source 2026'!$T:$T,'Source 2026'!$B:$B,$A88,'Source 2026'!$A:$A,"Amount (NIS)")</f>
        <v>568</v>
      </c>
      <c r="I88" s="11" t="n">
        <f aca="false">H88-G88</f>
        <v>568</v>
      </c>
      <c r="J88" s="10" t="str">
        <f aca="false">IF(AND(G88=0,H88=0),0,IF(G88=0,"New",(H88-G88)/G88))</f>
        <v>New</v>
      </c>
    </row>
    <row r="89" customFormat="false" ht="15" hidden="false" customHeight="true" outlineLevel="0" collapsed="false">
      <c r="A89" s="8" t="s">
        <v>177</v>
      </c>
      <c r="B89" s="8" t="str">
        <f aca="false">IFERROR(INDEX('Source 2026'!$C:$C,MATCH($A89,'Source 2026'!$B:$B,0)),IFERROR(INDEX('Source 2025'!$C:$C,MATCH($A89,'Source 2025'!$B:$B,0)),""))</f>
        <v>9 מ""ס להתאמהX5 מדבקה גדולה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43</v>
      </c>
      <c r="E89" s="9" t="n">
        <f aca="false">D89-C89</f>
        <v>43</v>
      </c>
      <c r="F89" s="10" t="str">
        <f aca="false">IF(AND(C89=0,D89=0),0,IF(C89=0,"New",(D89-C89)/C89))</f>
        <v>New</v>
      </c>
      <c r="G89" s="11" t="n">
        <f aca="false">SUMIFS('Source 2025'!$T:$T,'Source 2025'!$B:$B,$A89,'Source 2025'!$A:$A,"Amount (NIS)")</f>
        <v>0</v>
      </c>
      <c r="H89" s="11" t="n">
        <f aca="false">SUMIFS('Source 2026'!$T:$T,'Source 2026'!$B:$B,$A89,'Source 2026'!$A:$A,"Amount (NIS)")</f>
        <v>556.9</v>
      </c>
      <c r="I89" s="11" t="n">
        <f aca="false">H89-G89</f>
        <v>556.9</v>
      </c>
      <c r="J89" s="10" t="str">
        <f aca="false">IF(AND(G89=0,H89=0),0,IF(G89=0,"New",(H89-G89)/G89))</f>
        <v>New</v>
      </c>
    </row>
    <row r="90" customFormat="false" ht="15" hidden="false" customHeight="true" outlineLevel="0" collapsed="false">
      <c r="A90" s="8" t="s">
        <v>208</v>
      </c>
      <c r="B90" s="8" t="str">
        <f aca="false">IFERROR(INDEX('Source 2026'!$C:$C,MATCH($A90,'Source 2026'!$B:$B,0)),IFERROR(INDEX('Source 2025'!$C:$C,MATCH($A90,'Source 2025'!$B:$B,0)),""))</f>
        <v>0 חגורה למנותחי בית חזה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3</v>
      </c>
      <c r="E90" s="9" t="n">
        <f aca="false">D90-C90</f>
        <v>3</v>
      </c>
      <c r="F90" s="10" t="str">
        <f aca="false">IF(AND(C90=0,D90=0),0,IF(C90=0,"New",(D90-C90)/C90))</f>
        <v>New</v>
      </c>
      <c r="G90" s="11" t="n">
        <f aca="false">SUMIFS('Source 2025'!$T:$T,'Source 2025'!$B:$B,$A90,'Source 2025'!$A:$A,"Amount (NIS)")</f>
        <v>0</v>
      </c>
      <c r="H90" s="11" t="n">
        <f aca="false">SUMIFS('Source 2026'!$T:$T,'Source 2026'!$B:$B,$A90,'Source 2026'!$A:$A,"Amount (NIS)")</f>
        <v>480</v>
      </c>
      <c r="I90" s="11" t="n">
        <f aca="false">H90-G90</f>
        <v>480</v>
      </c>
      <c r="J90" s="10" t="str">
        <f aca="false">IF(AND(G90=0,H90=0),0,IF(G90=0,"New",(H90-G90)/G90))</f>
        <v>New</v>
      </c>
    </row>
    <row r="91" customFormat="false" ht="15" hidden="false" customHeight="true" outlineLevel="0" collapsed="false">
      <c r="A91" s="8" t="s">
        <v>104</v>
      </c>
      <c r="B91" s="8" t="str">
        <f aca="false">IFERROR(INDEX('Source 2026'!$C:$C,MATCH($A91,'Source 2026'!$B:$B,0)),IFERROR(INDEX('Source 2025'!$C:$C,MATCH($A91,'Source 2025'!$B:$B,0)),""))</f>
        <v>גרב.כסף לסכרתים שחור35-38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25</v>
      </c>
      <c r="E91" s="9" t="n">
        <f aca="false">D91-C91</f>
        <v>25</v>
      </c>
      <c r="F91" s="10" t="str">
        <f aca="false">IF(AND(C91=0,D91=0),0,IF(C91=0,"New",(D91-C91)/C91))</f>
        <v>New</v>
      </c>
      <c r="G91" s="11" t="n">
        <f aca="false">SUMIFS('Source 2025'!$T:$T,'Source 2025'!$B:$B,$A91,'Source 2025'!$A:$A,"Amount (NIS)")</f>
        <v>0</v>
      </c>
      <c r="H91" s="11" t="n">
        <f aca="false">SUMIFS('Source 2026'!$T:$T,'Source 2026'!$B:$B,$A91,'Source 2026'!$A:$A,"Amount (NIS)")</f>
        <v>460</v>
      </c>
      <c r="I91" s="11" t="n">
        <f aca="false">H91-G91</f>
        <v>460</v>
      </c>
      <c r="J91" s="10" t="str">
        <f aca="false">IF(AND(G91=0,H91=0),0,IF(G91=0,"New",(H91-G91)/G91))</f>
        <v>New</v>
      </c>
    </row>
    <row r="92" customFormat="false" ht="15" hidden="false" customHeight="true" outlineLevel="0" collapsed="false">
      <c r="A92" s="8" t="s">
        <v>77</v>
      </c>
      <c r="B92" s="8" t="str">
        <f aca="false">IFERROR(INDEX('Source 2026'!$C:$C,MATCH($A92,'Source 2026'!$B:$B,0)),IFERROR(INDEX('Source 2025'!$C:$C,MATCH($A92,'Source 2025'!$B:$B,0)),""))</f>
        <v>תרסיס דאודורנט לכף הרגל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29</v>
      </c>
      <c r="E92" s="9" t="n">
        <f aca="false">D92-C92</f>
        <v>29</v>
      </c>
      <c r="F92" s="10" t="str">
        <f aca="false">IF(AND(C92=0,D92=0),0,IF(C92=0,"New",(D92-C92)/C92))</f>
        <v>New</v>
      </c>
      <c r="G92" s="11" t="n">
        <f aca="false">SUMIFS('Source 2025'!$T:$T,'Source 2025'!$B:$B,$A92,'Source 2025'!$A:$A,"Amount (NIS)")</f>
        <v>0</v>
      </c>
      <c r="H92" s="11" t="n">
        <f aca="false">SUMIFS('Source 2026'!$T:$T,'Source 2026'!$B:$B,$A92,'Source 2026'!$A:$A,"Amount (NIS)")</f>
        <v>429.2</v>
      </c>
      <c r="I92" s="11" t="n">
        <f aca="false">H92-G92</f>
        <v>429.2</v>
      </c>
      <c r="J92" s="10" t="str">
        <f aca="false">IF(AND(G92=0,H92=0),0,IF(G92=0,"New",(H92-G92)/G92))</f>
        <v>New</v>
      </c>
    </row>
    <row r="93" customFormat="false" ht="15" hidden="false" customHeight="true" outlineLevel="0" collapsed="false">
      <c r="A93" s="8" t="s">
        <v>166</v>
      </c>
      <c r="B93" s="8" t="str">
        <f aca="false">IFERROR(INDEX('Source 2026'!$C:$C,MATCH($A93,'Source 2026'!$B:$B,0)),IFERROR(INDEX('Source 2025'!$C:$C,MATCH($A93,'Source 2025'!$B:$B,0)),""))</f>
        <v>לחץ א.הבוניון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31</v>
      </c>
      <c r="E93" s="9" t="n">
        <f aca="false">D93-C93</f>
        <v>31</v>
      </c>
      <c r="F93" s="10" t="str">
        <f aca="false">IF(AND(C93=0,D93=0),0,IF(C93=0,"New",(D93-C93)/C93))</f>
        <v>New</v>
      </c>
      <c r="G93" s="11" t="n">
        <f aca="false">SUMIFS('Source 2025'!$T:$T,'Source 2025'!$B:$B,$A93,'Source 2025'!$A:$A,"Amount (NIS)")</f>
        <v>0</v>
      </c>
      <c r="H93" s="11" t="n">
        <f aca="false">SUMIFS('Source 2026'!$T:$T,'Source 2026'!$B:$B,$A93,'Source 2026'!$A:$A,"Amount (NIS)")</f>
        <v>404.8</v>
      </c>
      <c r="I93" s="11" t="n">
        <f aca="false">H93-G93</f>
        <v>404.8</v>
      </c>
      <c r="J93" s="10" t="str">
        <f aca="false">IF(AND(G93=0,H93=0),0,IF(G93=0,"New",(H93-G93)/G93))</f>
        <v>New</v>
      </c>
    </row>
    <row r="94" customFormat="false" ht="15" hidden="false" customHeight="true" outlineLevel="0" collapsed="false">
      <c r="A94" s="8" t="s">
        <v>178</v>
      </c>
      <c r="B94" s="8" t="str">
        <f aca="false">IFERROR(INDEX('Source 2026'!$C:$C,MATCH($A94,'Source 2026'!$B:$B,0)),IFERROR(INDEX('Source 2025'!$C:$C,MATCH($A94,'Source 2025'!$B:$B,0)),""))</f>
        <v>רפידת בולמת זעזועים -זוג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44</v>
      </c>
      <c r="E94" s="9" t="n">
        <f aca="false">D94-C94</f>
        <v>44</v>
      </c>
      <c r="F94" s="10" t="str">
        <f aca="false">IF(AND(C94=0,D94=0),0,IF(C94=0,"New",(D94-C94)/C94))</f>
        <v>New</v>
      </c>
      <c r="G94" s="11" t="n">
        <f aca="false">SUMIFS('Source 2025'!$T:$T,'Source 2025'!$B:$B,$A94,'Source 2025'!$A:$A,"Amount (NIS)")</f>
        <v>0</v>
      </c>
      <c r="H94" s="11" t="n">
        <f aca="false">SUMIFS('Source 2026'!$T:$T,'Source 2026'!$B:$B,$A94,'Source 2026'!$A:$A,"Amount (NIS)")</f>
        <v>400.2</v>
      </c>
      <c r="I94" s="11" t="n">
        <f aca="false">H94-G94</f>
        <v>400.2</v>
      </c>
      <c r="J94" s="10" t="str">
        <f aca="false">IF(AND(G94=0,H94=0),0,IF(G94=0,"New",(H94-G94)/G94))</f>
        <v>New</v>
      </c>
    </row>
    <row r="95" customFormat="false" ht="15" hidden="false" customHeight="true" outlineLevel="0" collapsed="false">
      <c r="A95" s="8" t="s">
        <v>144</v>
      </c>
      <c r="B95" s="8" t="str">
        <f aca="false">IFERROR(INDEX('Source 2026'!$C:$C,MATCH($A95,'Source 2026'!$B:$B,0)),IFERROR(INDEX('Source 2025'!$C:$C,MATCH($A95,'Source 2025'!$B:$B,0)),""))</f>
        <v>S מגן ירך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21</v>
      </c>
      <c r="E95" s="9" t="n">
        <f aca="false">D95-C95</f>
        <v>21</v>
      </c>
      <c r="F95" s="10" t="str">
        <f aca="false">IF(AND(C95=0,D95=0),0,IF(C95=0,"New",(D95-C95)/C95))</f>
        <v>New</v>
      </c>
      <c r="G95" s="11" t="n">
        <f aca="false">SUMIFS('Source 2025'!$T:$T,'Source 2025'!$B:$B,$A95,'Source 2025'!$A:$A,"Amount (NIS)")</f>
        <v>0</v>
      </c>
      <c r="H95" s="11" t="n">
        <f aca="false">SUMIFS('Source 2026'!$T:$T,'Source 2026'!$B:$B,$A95,'Source 2026'!$A:$A,"Amount (NIS)")</f>
        <v>388.6</v>
      </c>
      <c r="I95" s="11" t="n">
        <f aca="false">H95-G95</f>
        <v>388.6</v>
      </c>
      <c r="J95" s="10" t="str">
        <f aca="false">IF(AND(G95=0,H95=0),0,IF(G95=0,"New",(H95-G95)/G95))</f>
        <v>New</v>
      </c>
    </row>
    <row r="96" customFormat="false" ht="15" hidden="false" customHeight="true" outlineLevel="0" collapsed="false">
      <c r="A96" s="8" t="s">
        <v>329</v>
      </c>
      <c r="B96" s="8" t="str">
        <f aca="false">IFERROR(INDEX('Source 2026'!$C:$C,MATCH($A96,'Source 2026'!$B:$B,0)),IFERROR(INDEX('Source 2025'!$C:$C,MATCH($A96,'Source 2025'!$B:$B,0)),""))</f>
        <v>חגורת גב אפורה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5</v>
      </c>
      <c r="E96" s="9" t="n">
        <f aca="false">D96-C96</f>
        <v>5</v>
      </c>
      <c r="F96" s="10" t="str">
        <f aca="false">IF(AND(C96=0,D96=0),0,IF(C96=0,"New",(D96-C96)/C96))</f>
        <v>New</v>
      </c>
      <c r="G96" s="11" t="n">
        <f aca="false">SUMIFS('Source 2025'!$T:$T,'Source 2025'!$B:$B,$A96,'Source 2025'!$A:$A,"Amount (NIS)")</f>
        <v>0</v>
      </c>
      <c r="H96" s="11" t="n">
        <f aca="false">SUMIFS('Source 2026'!$T:$T,'Source 2026'!$B:$B,$A96,'Source 2026'!$A:$A,"Amount (NIS)")</f>
        <v>325</v>
      </c>
      <c r="I96" s="11" t="n">
        <f aca="false">H96-G96</f>
        <v>325</v>
      </c>
      <c r="J96" s="10" t="str">
        <f aca="false">IF(AND(G96=0,H96=0),0,IF(G96=0,"New",(H96-G96)/G96))</f>
        <v>New</v>
      </c>
    </row>
    <row r="97" customFormat="false" ht="15" hidden="false" customHeight="true" outlineLevel="0" collapsed="false">
      <c r="A97" s="8" t="s">
        <v>181</v>
      </c>
      <c r="B97" s="8" t="str">
        <f aca="false">IFERROR(INDEX('Source 2026'!$C:$C,MATCH($A97,'Source 2026'!$B:$B,0)),IFERROR(INDEX('Source 2025'!$C:$C,MATCH($A97,'Source 2025'!$B:$B,0)),""))</f>
        <v>Sמ.ברך מוצלב+ספירלות בצדדים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4</v>
      </c>
      <c r="E97" s="9" t="n">
        <f aca="false">D97-C97</f>
        <v>4</v>
      </c>
      <c r="F97" s="10" t="str">
        <f aca="false">IF(AND(C97=0,D97=0),0,IF(C97=0,"New",(D97-C97)/C97))</f>
        <v>New</v>
      </c>
      <c r="G97" s="11" t="n">
        <f aca="false">SUMIFS('Source 2025'!$T:$T,'Source 2025'!$B:$B,$A97,'Source 2025'!$A:$A,"Amount (NIS)")</f>
        <v>0</v>
      </c>
      <c r="H97" s="11" t="n">
        <f aca="false">SUMIFS('Source 2026'!$T:$T,'Source 2026'!$B:$B,$A97,'Source 2026'!$A:$A,"Amount (NIS)")</f>
        <v>309</v>
      </c>
      <c r="I97" s="11" t="n">
        <f aca="false">H97-G97</f>
        <v>309</v>
      </c>
      <c r="J97" s="10" t="str">
        <f aca="false">IF(AND(G97=0,H97=0),0,IF(G97=0,"New",(H97-G97)/G97))</f>
        <v>New</v>
      </c>
    </row>
    <row r="98" customFormat="false" ht="15" hidden="false" customHeight="true" outlineLevel="0" collapsed="false">
      <c r="A98" s="8" t="s">
        <v>194</v>
      </c>
      <c r="B98" s="8" t="str">
        <f aca="false">IFERROR(INDEX('Source 2026'!$C:$C,MATCH($A98,'Source 2026'!$B:$B,0)),IFERROR(INDEX('Source 2025'!$C:$C,MATCH($A98,'Source 2025'!$B:$B,0)),""))</f>
        <v>מדרס מטטרזלי לנעלי עקב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17</v>
      </c>
      <c r="E98" s="9" t="n">
        <f aca="false">D98-C98</f>
        <v>17</v>
      </c>
      <c r="F98" s="10" t="str">
        <f aca="false">IF(AND(C98=0,D98=0),0,IF(C98=0,"New",(D98-C98)/C98))</f>
        <v>New</v>
      </c>
      <c r="G98" s="11" t="n">
        <f aca="false">SUMIFS('Source 2025'!$T:$T,'Source 2025'!$B:$B,$A98,'Source 2025'!$A:$A,"Amount (NIS)")</f>
        <v>0</v>
      </c>
      <c r="H98" s="11" t="n">
        <f aca="false">SUMIFS('Source 2026'!$T:$T,'Source 2026'!$B:$B,$A98,'Source 2026'!$A:$A,"Amount (NIS)")</f>
        <v>275.4</v>
      </c>
      <c r="I98" s="11" t="n">
        <f aca="false">H98-G98</f>
        <v>275.4</v>
      </c>
      <c r="J98" s="10" t="str">
        <f aca="false">IF(AND(G98=0,H98=0),0,IF(G98=0,"New",(H98-G98)/G98))</f>
        <v>New</v>
      </c>
    </row>
    <row r="99" customFormat="false" ht="15" hidden="false" customHeight="true" outlineLevel="0" collapsed="false">
      <c r="A99" s="8" t="s">
        <v>119</v>
      </c>
      <c r="B99" s="8" t="str">
        <f aca="false">IFERROR(INDEX('Source 2026'!$C:$C,MATCH($A99,'Source 2026'!$B:$B,0)),IFERROR(INDEX('Source 2025'!$C:$C,MATCH($A99,'Source 2025'!$B:$B,0)),""))</f>
        <v>אמבט לכף הרגל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33</v>
      </c>
      <c r="E99" s="9" t="n">
        <f aca="false">D99-C99</f>
        <v>33</v>
      </c>
      <c r="F99" s="10" t="str">
        <f aca="false">IF(AND(C99=0,D99=0),0,IF(C99=0,"New",(D99-C99)/C99))</f>
        <v>New</v>
      </c>
      <c r="G99" s="11" t="n">
        <f aca="false">SUMIFS('Source 2025'!$T:$T,'Source 2025'!$B:$B,$A99,'Source 2025'!$A:$A,"Amount (NIS)")</f>
        <v>0</v>
      </c>
      <c r="H99" s="11" t="n">
        <f aca="false">SUMIFS('Source 2026'!$T:$T,'Source 2026'!$B:$B,$A99,'Source 2026'!$A:$A,"Amount (NIS)")</f>
        <v>270.6</v>
      </c>
      <c r="I99" s="11" t="n">
        <f aca="false">H99-G99</f>
        <v>270.6</v>
      </c>
      <c r="J99" s="10" t="str">
        <f aca="false">IF(AND(G99=0,H99=0),0,IF(G99=0,"New",(H99-G99)/G99))</f>
        <v>New</v>
      </c>
    </row>
    <row r="100" customFormat="false" ht="15" hidden="false" customHeight="true" outlineLevel="0" collapsed="false">
      <c r="A100" s="8" t="s">
        <v>165</v>
      </c>
      <c r="B100" s="8" t="str">
        <f aca="false">IFERROR(INDEX('Source 2026'!$C:$C,MATCH($A100,'Source 2026'!$B:$B,0)),IFERROR(INDEX('Source 2025'!$C:$C,MATCH($A100,'Source 2025'!$B:$B,0)),""))</f>
        <v>חגורת גב +סגירה כפולה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4</v>
      </c>
      <c r="E100" s="9" t="n">
        <f aca="false">D100-C100</f>
        <v>4</v>
      </c>
      <c r="F100" s="10" t="str">
        <f aca="false">IF(AND(C100=0,D100=0),0,IF(C100=0,"New",(D100-C100)/C100))</f>
        <v>New</v>
      </c>
      <c r="G100" s="11" t="n">
        <f aca="false">SUMIFS('Source 2025'!$T:$T,'Source 2025'!$B:$B,$A100,'Source 2025'!$A:$A,"Amount (NIS)")</f>
        <v>0</v>
      </c>
      <c r="H100" s="11" t="n">
        <f aca="false">SUMIFS('Source 2026'!$T:$T,'Source 2026'!$B:$B,$A100,'Source 2026'!$A:$A,"Amount (NIS)")</f>
        <v>260</v>
      </c>
      <c r="I100" s="11" t="n">
        <f aca="false">H100-G100</f>
        <v>260</v>
      </c>
      <c r="J100" s="10" t="str">
        <f aca="false">IF(AND(G100=0,H100=0),0,IF(G100=0,"New",(H100-G100)/G100))</f>
        <v>New</v>
      </c>
    </row>
    <row r="101" customFormat="false" ht="15" hidden="false" customHeight="true" outlineLevel="0" collapsed="false">
      <c r="A101" s="8" t="s">
        <v>235</v>
      </c>
      <c r="B101" s="8" t="str">
        <f aca="false">IFERROR(INDEX('Source 2026'!$C:$C,MATCH($A101,'Source 2026'!$B:$B,0)),IFERROR(INDEX('Source 2025'!$C:$C,MATCH($A101,'Source 2025'!$B:$B,0)),""))</f>
        <v>סיליק.לכרית כף הרגל373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15</v>
      </c>
      <c r="E101" s="9" t="n">
        <f aca="false">D101-C101</f>
        <v>15</v>
      </c>
      <c r="F101" s="10" t="str">
        <f aca="false">IF(AND(C101=0,D101=0),0,IF(C101=0,"New",(D101-C101)/C101))</f>
        <v>New</v>
      </c>
      <c r="G101" s="11" t="n">
        <f aca="false">SUMIFS('Source 2025'!$T:$T,'Source 2025'!$B:$B,$A101,'Source 2025'!$A:$A,"Amount (NIS)")</f>
        <v>0</v>
      </c>
      <c r="H101" s="11" t="n">
        <f aca="false">SUMIFS('Source 2026'!$T:$T,'Source 2026'!$B:$B,$A101,'Source 2026'!$A:$A,"Amount (NIS)")</f>
        <v>205.9</v>
      </c>
      <c r="I101" s="11" t="n">
        <f aca="false">H101-G101</f>
        <v>205.9</v>
      </c>
      <c r="J101" s="10" t="str">
        <f aca="false">IF(AND(G101=0,H101=0),0,IF(G101=0,"New",(H101-G101)/G101))</f>
        <v>New</v>
      </c>
    </row>
    <row r="102" customFormat="false" ht="15" hidden="false" customHeight="true" outlineLevel="0" collapsed="false">
      <c r="A102" s="8" t="s">
        <v>201</v>
      </c>
      <c r="B102" s="8" t="str">
        <f aca="false">IFERROR(INDEX('Source 2026'!$C:$C,MATCH($A102,'Source 2026'!$B:$B,0)),IFERROR(INDEX('Source 2025'!$C:$C,MATCH($A102,'Source 2025'!$B:$B,0)),""))</f>
        <v>ריפוד סיליק.לעקב תחתון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11</v>
      </c>
      <c r="E102" s="9" t="n">
        <f aca="false">D102-C102</f>
        <v>11</v>
      </c>
      <c r="F102" s="10" t="str">
        <f aca="false">IF(AND(C102=0,D102=0),0,IF(C102=0,"New",(D102-C102)/C102))</f>
        <v>New</v>
      </c>
      <c r="G102" s="11" t="n">
        <f aca="false">SUMIFS('Source 2025'!$T:$T,'Source 2025'!$B:$B,$A102,'Source 2025'!$A:$A,"Amount (NIS)")</f>
        <v>0</v>
      </c>
      <c r="H102" s="11" t="n">
        <f aca="false">SUMIFS('Source 2026'!$T:$T,'Source 2026'!$B:$B,$A102,'Source 2026'!$A:$A,"Amount (NIS)")</f>
        <v>171</v>
      </c>
      <c r="I102" s="11" t="n">
        <f aca="false">H102-G102</f>
        <v>171</v>
      </c>
      <c r="J102" s="10" t="str">
        <f aca="false">IF(AND(G102=0,H102=0),0,IF(G102=0,"New",(H102-G102)/G102))</f>
        <v>New</v>
      </c>
    </row>
    <row r="103" customFormat="false" ht="15" hidden="false" customHeight="true" outlineLevel="0" collapsed="false">
      <c r="A103" s="8" t="s">
        <v>387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9" t="n">
        <f aca="false">D103-C103</f>
        <v>5</v>
      </c>
      <c r="F103" s="10" t="str">
        <f aca="false">IF(AND(C103=0,D103=0),0,IF(C103=0,"New",(D103-C103)/C103))</f>
        <v>New</v>
      </c>
      <c r="G103" s="11" t="n">
        <f aca="false">SUMIFS('Source 2025'!$T:$T,'Source 2025'!$B:$B,$A103,'Source 2025'!$A:$A,"Amount (NIS)")</f>
        <v>0</v>
      </c>
      <c r="H103" s="11" t="n">
        <f aca="false">SUMIFS('Source 2026'!$T:$T,'Source 2026'!$B:$B,$A103,'Source 2026'!$A:$A,"Amount (NIS)")</f>
        <v>171</v>
      </c>
      <c r="I103" s="11" t="n">
        <f aca="false">H103-G103</f>
        <v>171</v>
      </c>
      <c r="J103" s="10" t="str">
        <f aca="false">IF(AND(G103=0,H103=0),0,IF(G103=0,"New",(H103-G103)/G103))</f>
        <v>New</v>
      </c>
    </row>
    <row r="104" customFormat="false" ht="15" hidden="false" customHeight="true" outlineLevel="0" collapsed="false">
      <c r="A104" s="8" t="s">
        <v>244</v>
      </c>
      <c r="B104" s="8" t="str">
        <f aca="false">IFERROR(INDEX('Source 2026'!$C:$C,MATCH($A104,'Source 2026'!$B:$B,0)),IFERROR(INDEX('Source 2025'!$C:$C,MATCH($A104,'Source 2025'!$B:$B,0)),""))</f>
        <v>מ.קרסול+עכב סגור+רצועות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4</v>
      </c>
      <c r="E104" s="9" t="n">
        <f aca="false">D104-C104</f>
        <v>4</v>
      </c>
      <c r="F104" s="10" t="str">
        <f aca="false">IF(AND(C104=0,D104=0),0,IF(C104=0,"New",(D104-C104)/C104))</f>
        <v>New</v>
      </c>
      <c r="G104" s="11" t="n">
        <f aca="false">SUMIFS('Source 2025'!$T:$T,'Source 2025'!$B:$B,$A104,'Source 2025'!$A:$A,"Amount (NIS)")</f>
        <v>0</v>
      </c>
      <c r="H104" s="11" t="n">
        <f aca="false">SUMIFS('Source 2026'!$T:$T,'Source 2026'!$B:$B,$A104,'Source 2026'!$A:$A,"Amount (NIS)")</f>
        <v>158.1</v>
      </c>
      <c r="I104" s="11" t="n">
        <f aca="false">H104-G104</f>
        <v>158.1</v>
      </c>
      <c r="J104" s="10" t="str">
        <f aca="false">IF(AND(G104=0,H104=0),0,IF(G104=0,"New",(H104-G104)/G104))</f>
        <v>New</v>
      </c>
    </row>
    <row r="105" customFormat="false" ht="15" hidden="false" customHeight="true" outlineLevel="0" collapsed="false">
      <c r="A105" s="8" t="s">
        <v>334</v>
      </c>
      <c r="B105" s="8" t="str">
        <f aca="false">IFERROR(INDEX('Source 2026'!$C:$C,MATCH($A105,'Source 2026'!$B:$B,0)),IFERROR(INDEX('Source 2025'!$C:$C,MATCH($A105,'Source 2025'!$B:$B,0)),""))</f>
        <v>ריפוד סיליקון לעקב אחורי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9</v>
      </c>
      <c r="E105" s="9" t="n">
        <f aca="false">D105-C105</f>
        <v>9</v>
      </c>
      <c r="F105" s="10" t="str">
        <f aca="false">IF(AND(C105=0,D105=0),0,IF(C105=0,"New",(D105-C105)/C105))</f>
        <v>New</v>
      </c>
      <c r="G105" s="11" t="n">
        <f aca="false">SUMIFS('Source 2025'!$T:$T,'Source 2025'!$B:$B,$A105,'Source 2025'!$A:$A,"Amount (NIS)")</f>
        <v>0</v>
      </c>
      <c r="H105" s="11" t="n">
        <f aca="false">SUMIFS('Source 2026'!$T:$T,'Source 2026'!$B:$B,$A105,'Source 2026'!$A:$A,"Amount (NIS)")</f>
        <v>135.2</v>
      </c>
      <c r="I105" s="11" t="n">
        <f aca="false">H105-G105</f>
        <v>135.2</v>
      </c>
      <c r="J105" s="10" t="str">
        <f aca="false">IF(AND(G105=0,H105=0),0,IF(G105=0,"New",(H105-G105)/G105))</f>
        <v>New</v>
      </c>
    </row>
    <row r="106" customFormat="false" ht="15" hidden="false" customHeight="true" outlineLevel="0" collapsed="false">
      <c r="A106" s="8" t="s">
        <v>311</v>
      </c>
      <c r="B106" s="8" t="str">
        <f aca="false">IFERROR(INDEX('Source 2026'!$C:$C,MATCH($A106,'Source 2026'!$B:$B,0)),IFERROR(INDEX('Source 2025'!$C:$C,MATCH($A106,'Source 2025'!$B:$B,0)),""))</f>
        <v>ג.כסף לסכרתיים אפור35-38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5</v>
      </c>
      <c r="E106" s="9" t="n">
        <f aca="false">D106-C106</f>
        <v>5</v>
      </c>
      <c r="F106" s="10" t="str">
        <f aca="false">IF(AND(C106=0,D106=0),0,IF(C106=0,"New",(D106-C106)/C106))</f>
        <v>New</v>
      </c>
      <c r="G106" s="11" t="n">
        <f aca="false">SUMIFS('Source 2025'!$T:$T,'Source 2025'!$B:$B,$A106,'Source 2025'!$A:$A,"Amount (NIS)")</f>
        <v>0</v>
      </c>
      <c r="H106" s="11" t="n">
        <f aca="false">SUMIFS('Source 2026'!$T:$T,'Source 2026'!$B:$B,$A106,'Source 2026'!$A:$A,"Amount (NIS)")</f>
        <v>118</v>
      </c>
      <c r="I106" s="11" t="n">
        <f aca="false">H106-G106</f>
        <v>118</v>
      </c>
      <c r="J106" s="10" t="str">
        <f aca="false">IF(AND(G106=0,H106=0),0,IF(G106=0,"New",(H106-G106)/G106))</f>
        <v>New</v>
      </c>
    </row>
    <row r="107" customFormat="false" ht="15" hidden="false" customHeight="true" outlineLevel="0" collapsed="false">
      <c r="A107" s="8" t="s">
        <v>305</v>
      </c>
      <c r="B107" s="8" t="str">
        <f aca="false">IFERROR(INDEX('Source 2026'!$C:$C,MATCH($A107,'Source 2026'!$B:$B,0)),IFERROR(INDEX('Source 2025'!$C:$C,MATCH($A107,'Source 2025'!$B:$B,0)),""))</f>
        <v>רצועת טניס אלבו עם פלסטיק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2</v>
      </c>
      <c r="E107" s="9" t="n">
        <f aca="false">D107-C107</f>
        <v>2</v>
      </c>
      <c r="F107" s="10" t="str">
        <f aca="false">IF(AND(C107=0,D107=0),0,IF(C107=0,"New",(D107-C107)/C107))</f>
        <v>New</v>
      </c>
      <c r="G107" s="11" t="n">
        <f aca="false">SUMIFS('Source 2025'!$T:$T,'Source 2025'!$B:$B,$A107,'Source 2025'!$A:$A,"Amount (NIS)")</f>
        <v>0</v>
      </c>
      <c r="H107" s="11" t="n">
        <f aca="false">SUMIFS('Source 2026'!$T:$T,'Source 2026'!$B:$B,$A107,'Source 2026'!$A:$A,"Amount (NIS)")</f>
        <v>115.9</v>
      </c>
      <c r="I107" s="11" t="n">
        <f aca="false">H107-G107</f>
        <v>115.9</v>
      </c>
      <c r="J107" s="10" t="str">
        <f aca="false">IF(AND(G107=0,H107=0),0,IF(G107=0,"New",(H107-G107)/G107))</f>
        <v>New</v>
      </c>
    </row>
    <row r="108" customFormat="false" ht="15" hidden="false" customHeight="true" outlineLevel="0" collapsed="false">
      <c r="A108" s="8" t="s">
        <v>204</v>
      </c>
      <c r="B108" s="8" t="str">
        <f aca="false">IFERROR(INDEX('Source 2026'!$C:$C,MATCH($A108,'Source 2026'!$B:$B,0)),IFERROR(INDEX('Source 2025'!$C:$C,MATCH($A108,'Source 2025'!$B:$B,0)),""))</f>
        <v>סכינים למקצוע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17</v>
      </c>
      <c r="E108" s="9" t="n">
        <f aca="false">D108-C108</f>
        <v>17</v>
      </c>
      <c r="F108" s="10" t="str">
        <f aca="false">IF(AND(C108=0,D108=0),0,IF(C108=0,"New",(D108-C108)/C108))</f>
        <v>New</v>
      </c>
      <c r="G108" s="11" t="n">
        <f aca="false">SUMIFS('Source 2025'!$T:$T,'Source 2025'!$B:$B,$A108,'Source 2025'!$A:$A,"Amount (NIS)")</f>
        <v>0</v>
      </c>
      <c r="H108" s="11" t="n">
        <f aca="false">SUMIFS('Source 2026'!$T:$T,'Source 2026'!$B:$B,$A108,'Source 2026'!$A:$A,"Amount (NIS)")</f>
        <v>115.6</v>
      </c>
      <c r="I108" s="11" t="n">
        <f aca="false">H108-G108</f>
        <v>115.6</v>
      </c>
      <c r="J108" s="10" t="str">
        <f aca="false">IF(AND(G108=0,H108=0),0,IF(G108=0,"New",(H108-G108)/G108))</f>
        <v>New</v>
      </c>
    </row>
    <row r="109" customFormat="false" ht="15" hidden="false" customHeight="true" outlineLevel="0" collapsed="false">
      <c r="A109" s="8" t="s">
        <v>316</v>
      </c>
      <c r="B109" s="8" t="str">
        <f aca="false">IFERROR(INDEX('Source 2026'!$C:$C,MATCH($A109,'Source 2026'!$B:$B,0)),IFERROR(INDEX('Source 2025'!$C:$C,MATCH($A109,'Source 2025'!$B:$B,0)),""))</f>
        <v>L-XL STRAP4U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6</v>
      </c>
      <c r="E109" s="9" t="n">
        <f aca="false">D109-C109</f>
        <v>6</v>
      </c>
      <c r="F109" s="10" t="str">
        <f aca="false">IF(AND(C109=0,D109=0),0,IF(C109=0,"New",(D109-C109)/C109))</f>
        <v>New</v>
      </c>
      <c r="G109" s="11" t="n">
        <f aca="false">SUMIFS('Source 2025'!$T:$T,'Source 2025'!$B:$B,$A109,'Source 2025'!$A:$A,"Amount (NIS)")</f>
        <v>0</v>
      </c>
      <c r="H109" s="11" t="n">
        <f aca="false">SUMIFS('Source 2026'!$T:$T,'Source 2026'!$B:$B,$A109,'Source 2026'!$A:$A,"Amount (NIS)")</f>
        <v>66</v>
      </c>
      <c r="I109" s="11" t="n">
        <f aca="false">H109-G109</f>
        <v>66</v>
      </c>
      <c r="J109" s="10" t="str">
        <f aca="false">IF(AND(G109=0,H109=0),0,IF(G109=0,"New",(H109-G109)/G109))</f>
        <v>New</v>
      </c>
    </row>
    <row r="110" customFormat="false" ht="15" hidden="false" customHeight="true" outlineLevel="0" collapsed="false">
      <c r="A110" s="8" t="s">
        <v>388</v>
      </c>
      <c r="B110" s="8" t="str">
        <f aca="false">IFERROR(INDEX('Source 2026'!$C:$C,MATCH($A110,'Source 2026'!$B:$B,0)),IFERROR(INDEX('Source 2025'!$C:$C,MATCH($A110,'Source 2025'!$B:$B,0)),""))</f>
        <v>מגן ירך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3</v>
      </c>
      <c r="E110" s="9" t="n">
        <f aca="false">D110-C110</f>
        <v>3</v>
      </c>
      <c r="F110" s="10" t="str">
        <f aca="false">IF(AND(C110=0,D110=0),0,IF(C110=0,"New",(D110-C110)/C110))</f>
        <v>New</v>
      </c>
      <c r="G110" s="11" t="n">
        <f aca="false">SUMIFS('Source 2025'!$T:$T,'Source 2025'!$B:$B,$A110,'Source 2025'!$A:$A,"Amount (NIS)")</f>
        <v>0</v>
      </c>
      <c r="H110" s="11" t="n">
        <f aca="false">SUMIFS('Source 2026'!$T:$T,'Source 2026'!$B:$B,$A110,'Source 2026'!$A:$A,"Amount (NIS)")</f>
        <v>61.5</v>
      </c>
      <c r="I110" s="11" t="n">
        <f aca="false">H110-G110</f>
        <v>61.5</v>
      </c>
      <c r="J110" s="10" t="str">
        <f aca="false">IF(AND(G110=0,H110=0),0,IF(G110=0,"New",(H110-G110)/G110))</f>
        <v>New</v>
      </c>
    </row>
    <row r="111" customFormat="false" ht="15" hidden="false" customHeight="true" outlineLevel="0" collapsed="false">
      <c r="A111" s="8" t="s">
        <v>239</v>
      </c>
      <c r="B111" s="8" t="str">
        <f aca="false">IFERROR(INDEX('Source 2026'!$C:$C,MATCH($A111,'Source 2026'!$B:$B,0)),IFERROR(INDEX('Source 2025'!$C:$C,MATCH($A111,'Source 2025'!$B:$B,0)),""))</f>
        <v>גרבי כסף לסכרת מידה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9" t="n">
        <f aca="false">D111-C111</f>
        <v>3</v>
      </c>
      <c r="F111" s="10" t="str">
        <f aca="false">IF(AND(C111=0,D111=0),0,IF(C111=0,"New",(D111-C111)/C111))</f>
        <v>New</v>
      </c>
      <c r="G111" s="11" t="n">
        <f aca="false">SUMIFS('Source 2025'!$T:$T,'Source 2025'!$B:$B,$A111,'Source 2025'!$A:$A,"Amount (NIS)")</f>
        <v>0</v>
      </c>
      <c r="H111" s="11" t="n">
        <f aca="false">SUMIFS('Source 2026'!$T:$T,'Source 2026'!$B:$B,$A111,'Source 2026'!$A:$A,"Amount (NIS)")</f>
        <v>53.1</v>
      </c>
      <c r="I111" s="11" t="n">
        <f aca="false">H111-G111</f>
        <v>53.1</v>
      </c>
      <c r="J111" s="10" t="str">
        <f aca="false">IF(AND(G111=0,H111=0),0,IF(G111=0,"New",(H111-G111)/G111))</f>
        <v>New</v>
      </c>
    </row>
    <row r="112" customFormat="false" ht="15" hidden="false" customHeight="true" outlineLevel="0" collapsed="false">
      <c r="A112" s="8" t="s">
        <v>288</v>
      </c>
      <c r="B112" s="8" t="str">
        <f aca="false">IFERROR(INDEX('Source 2026'!$C:$C,MATCH($A112,'Source 2026'!$B:$B,0)),IFERROR(INDEX('Source 2025'!$C:$C,MATCH($A112,'Source 2025'!$B:$B,0)),""))</f>
        <v>L-מדרס סיליקון לנעלי עקב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1</v>
      </c>
      <c r="E112" s="9" t="n">
        <f aca="false">D112-C112</f>
        <v>1</v>
      </c>
      <c r="F112" s="10" t="str">
        <f aca="false">IF(AND(C112=0,D112=0),0,IF(C112=0,"New",(D112-C112)/C112))</f>
        <v>New</v>
      </c>
      <c r="G112" s="11" t="n">
        <f aca="false">SUMIFS('Source 2025'!$T:$T,'Source 2025'!$B:$B,$A112,'Source 2025'!$A:$A,"Amount (NIS)")</f>
        <v>0</v>
      </c>
      <c r="H112" s="11" t="n">
        <f aca="false">SUMIFS('Source 2026'!$T:$T,'Source 2026'!$B:$B,$A112,'Source 2026'!$A:$A,"Amount (NIS)")</f>
        <v>32.1</v>
      </c>
      <c r="I112" s="11" t="n">
        <f aca="false">H112-G112</f>
        <v>32.1</v>
      </c>
      <c r="J112" s="10" t="str">
        <f aca="false">IF(AND(G112=0,H112=0),0,IF(G112=0,"New",(H112-G112)/G112))</f>
        <v>New</v>
      </c>
    </row>
    <row r="114" customFormat="false" ht="15" hidden="false" customHeight="true" outlineLevel="0" collapsed="false">
      <c r="A114" s="14"/>
      <c r="B114" s="15" t="s">
        <v>337</v>
      </c>
      <c r="C114" s="16" t="n">
        <f aca="false">SUM(C6:C112)</f>
        <v>0</v>
      </c>
      <c r="D114" s="16" t="n">
        <f aca="false">SUM(D6:D112)</f>
        <v>10037</v>
      </c>
      <c r="E114" s="16" t="n">
        <f aca="false">SUM(E6:E112)</f>
        <v>10037</v>
      </c>
      <c r="F114" s="17" t="str">
        <f aca="false">IF(C114=0,"N/A",E114/C114)</f>
        <v>N/A</v>
      </c>
      <c r="G114" s="18" t="n">
        <f aca="false">SUM(G6:G112)</f>
        <v>0</v>
      </c>
      <c r="H114" s="18" t="n">
        <f aca="false">SUM(H6:H112)</f>
        <v>307514.4</v>
      </c>
      <c r="I114" s="18" t="n">
        <f aca="false">SUM(I6:I112)</f>
        <v>307514.4</v>
      </c>
      <c r="J114" s="17" t="str">
        <f aca="false">IF(G114=0,"N/A",I114/G114)</f>
        <v>N/A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4" min="3" style="1" width="16"/>
    <col collapsed="false" customWidth="true" hidden="false" outlineLevel="0" max="5" min="5" style="1" width="15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9" min="9" style="1" width="16"/>
    <col collapsed="false" customWidth="true" hidden="false" outlineLevel="0" max="10" min="10" style="1" width="14"/>
  </cols>
  <sheetData>
    <row r="1" customFormat="false" ht="1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390</v>
      </c>
      <c r="B3" s="5"/>
      <c r="C3" s="5"/>
      <c r="D3" s="5"/>
      <c r="E3" s="5"/>
      <c r="F3" s="5"/>
      <c r="G3" s="5"/>
      <c r="H3" s="5"/>
      <c r="I3" s="5"/>
      <c r="J3" s="5"/>
    </row>
    <row r="5" customFormat="false" ht="31.5" hidden="false" customHeight="true" outlineLevel="0" collapsed="false">
      <c r="A5" s="6" t="s">
        <v>49</v>
      </c>
      <c r="B5" s="6" t="s">
        <v>50</v>
      </c>
      <c r="C5" s="6" t="s">
        <v>7</v>
      </c>
      <c r="D5" s="6" t="s">
        <v>8</v>
      </c>
      <c r="E5" s="6" t="s">
        <v>51</v>
      </c>
      <c r="F5" s="6" t="s">
        <v>52</v>
      </c>
      <c r="G5" s="6" t="s">
        <v>10</v>
      </c>
      <c r="H5" s="6" t="s">
        <v>11</v>
      </c>
      <c r="I5" s="6" t="s">
        <v>53</v>
      </c>
      <c r="J5" s="6" t="s">
        <v>12</v>
      </c>
    </row>
    <row r="6" customFormat="false" ht="15" hidden="false" customHeight="true" outlineLevel="0" collapsed="false">
      <c r="A6" s="8" t="s">
        <v>127</v>
      </c>
      <c r="B6" s="8" t="str">
        <f aca="false">IFERROR(INDEX('Source 2026'!$C:$C,MATCH($A6,'Source 2026'!$B:$B,0)),IFERROR(INDEX('Source 2025'!$C:$C,MATCH($A6,'Source 2025'!$B:$B,0)),""))</f>
        <v>אפיק ג'ל מולט.ספורט35-38</v>
      </c>
      <c r="C6" s="9" t="n">
        <f aca="false">SUMIFS('Source 2025'!$I:$I,'Source 2025'!$B:$B,$A6,'Source 2025'!$A:$A,"Quantity (units)")</f>
        <v>2855</v>
      </c>
      <c r="D6" s="9" t="n">
        <f aca="false">SUMIFS('Source 2026'!$I:$I,'Source 2026'!$B:$B,$A6,'Source 2026'!$A:$A,"Quantity (units)")</f>
        <v>481</v>
      </c>
      <c r="E6" s="9" t="n">
        <f aca="false">D6-C6</f>
        <v>-2374</v>
      </c>
      <c r="F6" s="10" t="n">
        <f aca="false">IF(AND(C6=0,D6=0),0,IF(C6=0,"New",(D6-C6)/C6))</f>
        <v>-0.831523642732049</v>
      </c>
      <c r="G6" s="11" t="n">
        <f aca="false">SUMIFS('Source 2025'!$I:$I,'Source 2025'!$B:$B,$A6,'Source 2025'!$A:$A,"Amount (NIS)")</f>
        <v>265726.2</v>
      </c>
      <c r="H6" s="11" t="n">
        <f aca="false">SUMIFS('Source 2026'!$I:$I,'Source 2026'!$B:$B,$A6,'Source 2026'!$A:$A,"Amount (NIS)")</f>
        <v>47626.6</v>
      </c>
      <c r="I6" s="11" t="n">
        <f aca="false">H6-G6</f>
        <v>-218099.6</v>
      </c>
      <c r="J6" s="10" t="n">
        <f aca="false">IF(AND(G6=0,H6=0),0,IF(G6=0,"New",(H6-G6)/G6))</f>
        <v>-0.820768144052036</v>
      </c>
    </row>
    <row r="7" customFormat="false" ht="15" hidden="false" customHeight="true" outlineLevel="0" collapsed="false">
      <c r="A7" s="8" t="s">
        <v>264</v>
      </c>
      <c r="B7" s="8" t="str">
        <f aca="false">IFERROR(INDEX('Source 2026'!$C:$C,MATCH($A7,'Source 2026'!$B:$B,0)),IFERROR(INDEX('Source 2025'!$C:$C,MATCH($A7,'Source 2025'!$B:$B,0)),""))</f>
        <v>מדרסי אפיק ג'ל נוחות</v>
      </c>
      <c r="C7" s="9" t="n">
        <f aca="false">SUMIFS('Source 2025'!$I:$I,'Source 2025'!$B:$B,$A7,'Source 2025'!$A:$A,"Quantity (units)")</f>
        <v>1776</v>
      </c>
      <c r="D7" s="9" t="n">
        <f aca="false">SUMIFS('Source 2026'!$I:$I,'Source 2026'!$B:$B,$A7,'Source 2026'!$A:$A,"Quantity (units)")</f>
        <v>112</v>
      </c>
      <c r="E7" s="9" t="n">
        <f aca="false">D7-C7</f>
        <v>-1664</v>
      </c>
      <c r="F7" s="10" t="n">
        <f aca="false">IF(AND(C7=0,D7=0),0,IF(C7=0,"New",(D7-C7)/C7))</f>
        <v>-0.936936936936937</v>
      </c>
      <c r="G7" s="11" t="n">
        <f aca="false">SUMIFS('Source 2025'!$I:$I,'Source 2025'!$B:$B,$A7,'Source 2025'!$A:$A,"Amount (NIS)")</f>
        <v>164431.7</v>
      </c>
      <c r="H7" s="11" t="n">
        <f aca="false">SUMIFS('Source 2026'!$I:$I,'Source 2026'!$B:$B,$A7,'Source 2026'!$A:$A,"Amount (NIS)")</f>
        <v>11519.9</v>
      </c>
      <c r="I7" s="11" t="n">
        <f aca="false">H7-G7</f>
        <v>-152911.8</v>
      </c>
      <c r="J7" s="10" t="n">
        <f aca="false">IF(AND(G7=0,H7=0),0,IF(G7=0,"New",(H7-G7)/G7))</f>
        <v>-0.929941124491202</v>
      </c>
    </row>
    <row r="8" customFormat="false" ht="15" hidden="false" customHeight="true" outlineLevel="0" collapsed="false">
      <c r="A8" s="8" t="s">
        <v>147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2025</v>
      </c>
      <c r="D8" s="9" t="n">
        <f aca="false">SUMIFS('Source 2026'!$I:$I,'Source 2026'!$B:$B,$A8,'Source 2026'!$A:$A,"Quantity (units)")</f>
        <v>522</v>
      </c>
      <c r="E8" s="9" t="n">
        <f aca="false">D8-C8</f>
        <v>-1503</v>
      </c>
      <c r="F8" s="10" t="n">
        <f aca="false">IF(AND(C8=0,D8=0),0,IF(C8=0,"New",(D8-C8)/C8))</f>
        <v>-0.742222222222222</v>
      </c>
      <c r="G8" s="11" t="n">
        <f aca="false">SUMIFS('Source 2025'!$I:$I,'Source 2025'!$B:$B,$A8,'Source 2025'!$A:$A,"Amount (NIS)")</f>
        <v>188767.1</v>
      </c>
      <c r="H8" s="11" t="n">
        <f aca="false">SUMIFS('Source 2026'!$I:$I,'Source 2026'!$B:$B,$A8,'Source 2026'!$A:$A,"Amount (NIS)")</f>
        <v>52314</v>
      </c>
      <c r="I8" s="11" t="n">
        <f aca="false">H8-G8</f>
        <v>-136453.1</v>
      </c>
      <c r="J8" s="10" t="n">
        <f aca="false">IF(AND(G8=0,H8=0),0,IF(G8=0,"New",(H8-G8)/G8))</f>
        <v>-0.722864842443413</v>
      </c>
    </row>
    <row r="9" customFormat="false" ht="15" hidden="false" customHeight="true" outlineLevel="0" collapsed="false">
      <c r="A9" s="8" t="s">
        <v>155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2122</v>
      </c>
      <c r="D9" s="9" t="n">
        <f aca="false">SUMIFS('Source 2026'!$I:$I,'Source 2026'!$B:$B,$A9,'Source 2026'!$A:$A,"Quantity (units)")</f>
        <v>789</v>
      </c>
      <c r="E9" s="9" t="n">
        <f aca="false">D9-C9</f>
        <v>-1333</v>
      </c>
      <c r="F9" s="10" t="n">
        <f aca="false">IF(AND(C9=0,D9=0),0,IF(C9=0,"New",(D9-C9)/C9))</f>
        <v>-0.62818096135721</v>
      </c>
      <c r="G9" s="11" t="n">
        <f aca="false">SUMIFS('Source 2025'!$I:$I,'Source 2025'!$B:$B,$A9,'Source 2025'!$A:$A,"Amount (NIS)")</f>
        <v>197774.9</v>
      </c>
      <c r="H9" s="11" t="n">
        <f aca="false">SUMIFS('Source 2026'!$I:$I,'Source 2026'!$B:$B,$A9,'Source 2026'!$A:$A,"Amount (NIS)")</f>
        <v>78734.4</v>
      </c>
      <c r="I9" s="11" t="n">
        <f aca="false">H9-G9</f>
        <v>-119040.5</v>
      </c>
      <c r="J9" s="10" t="n">
        <f aca="false">IF(AND(G9=0,H9=0),0,IF(G9=0,"New",(H9-G9)/G9))</f>
        <v>-0.601898926506852</v>
      </c>
    </row>
    <row r="10" customFormat="false" ht="15" hidden="false" customHeight="true" outlineLevel="0" collapsed="false">
      <c r="A10" s="8" t="s">
        <v>61</v>
      </c>
      <c r="B10" s="8" t="str">
        <f aca="false">IFERROR(INDEX('Source 2026'!$C:$C,MATCH($A10,'Source 2026'!$B:$B,0)),IFERROR(INDEX('Source 2025'!$C:$C,MATCH($A10,'Source 2025'!$B:$B,0)),""))</f>
        <v>L סד ליד דו צדדי לאחר שבר</v>
      </c>
      <c r="C10" s="9" t="n">
        <f aca="false">SUMIFS('Source 2025'!$I:$I,'Source 2025'!$B:$B,$A10,'Source 2025'!$A:$A,"Quantity (units)")</f>
        <v>2734</v>
      </c>
      <c r="D10" s="9" t="n">
        <f aca="false">SUMIFS('Source 2026'!$I:$I,'Source 2026'!$B:$B,$A10,'Source 2026'!$A:$A,"Quantity (units)")</f>
        <v>1361</v>
      </c>
      <c r="E10" s="9" t="n">
        <f aca="false">D10-C10</f>
        <v>-1373</v>
      </c>
      <c r="F10" s="10" t="n">
        <f aca="false">IF(AND(C10=0,D10=0),0,IF(C10=0,"New",(D10-C10)/C10))</f>
        <v>-0.502194586686174</v>
      </c>
      <c r="G10" s="11" t="n">
        <f aca="false">SUMIFS('Source 2025'!$I:$I,'Source 2025'!$B:$B,$A10,'Source 2025'!$A:$A,"Amount (NIS)")</f>
        <v>224663.9</v>
      </c>
      <c r="H10" s="11" t="n">
        <f aca="false">SUMIFS('Source 2026'!$I:$I,'Source 2026'!$B:$B,$A10,'Source 2026'!$A:$A,"Amount (NIS)")</f>
        <v>113662.8</v>
      </c>
      <c r="I10" s="11" t="n">
        <f aca="false">H10-G10</f>
        <v>-111001.1</v>
      </c>
      <c r="J10" s="10" t="n">
        <f aca="false">IF(AND(G10=0,H10=0),0,IF(G10=0,"New",(H10-G10)/G10))</f>
        <v>-0.494076262363468</v>
      </c>
    </row>
    <row r="11" customFormat="false" ht="15" hidden="false" customHeight="true" outlineLevel="0" collapsed="false">
      <c r="A11" s="8" t="s">
        <v>55</v>
      </c>
      <c r="B11" s="8" t="str">
        <f aca="false">IFERROR(INDEX('Source 2026'!$C:$C,MATCH($A11,'Source 2026'!$B:$B,0)),IFERROR(INDEX('Source 2025'!$C:$C,MATCH($A11,'Source 2025'!$B:$B,0)),""))</f>
        <v>35-38 גרבי טיסה מידה</v>
      </c>
      <c r="C11" s="9" t="n">
        <f aca="false">SUMIFS('Source 2025'!$I:$I,'Source 2025'!$B:$B,$A11,'Source 2025'!$A:$A,"Quantity (units)")</f>
        <v>2048</v>
      </c>
      <c r="D11" s="9" t="n">
        <f aca="false">SUMIFS('Source 2026'!$I:$I,'Source 2026'!$B:$B,$A11,'Source 2026'!$A:$A,"Quantity (units)")</f>
        <v>-9</v>
      </c>
      <c r="E11" s="9" t="n">
        <f aca="false">D11-C11</f>
        <v>-2057</v>
      </c>
      <c r="F11" s="10" t="n">
        <f aca="false">IF(AND(C11=0,D11=0),0,IF(C11=0,"New",(D11-C11)/C11))</f>
        <v>-1.00439453125</v>
      </c>
      <c r="G11" s="11" t="n">
        <f aca="false">SUMIFS('Source 2025'!$I:$I,'Source 2025'!$B:$B,$A11,'Source 2025'!$A:$A,"Amount (NIS)")</f>
        <v>110040.8</v>
      </c>
      <c r="H11" s="11" t="n">
        <f aca="false">SUMIFS('Source 2026'!$I:$I,'Source 2026'!$B:$B,$A11,'Source 2026'!$A:$A,"Amount (NIS)")</f>
        <v>-457.7</v>
      </c>
      <c r="I11" s="11" t="n">
        <f aca="false">H11-G11</f>
        <v>-110498.5</v>
      </c>
      <c r="J11" s="10" t="n">
        <f aca="false">IF(AND(G11=0,H11=0),0,IF(G11=0,"New",(H11-G11)/G11))</f>
        <v>-1.00415936634412</v>
      </c>
    </row>
    <row r="12" customFormat="false" ht="15" hidden="false" customHeight="true" outlineLevel="0" collapsed="false">
      <c r="A12" s="8" t="s">
        <v>70</v>
      </c>
      <c r="B12" s="8" t="str">
        <f aca="false">IFERROR(INDEX('Source 2026'!$C:$C,MATCH($A12,'Source 2026'!$B:$B,0)),IFERROR(INDEX('Source 2025'!$C:$C,MATCH($A12,'Source 2025'!$B:$B,0)),""))</f>
        <v>S מגן קרסול חום</v>
      </c>
      <c r="C12" s="9" t="n">
        <f aca="false">SUMIFS('Source 2025'!$I:$I,'Source 2025'!$B:$B,$A12,'Source 2025'!$A:$A,"Quantity (units)")</f>
        <v>11682</v>
      </c>
      <c r="D12" s="9" t="n">
        <f aca="false">SUMIFS('Source 2026'!$I:$I,'Source 2026'!$B:$B,$A12,'Source 2026'!$A:$A,"Quantity (units)")</f>
        <v>7746</v>
      </c>
      <c r="E12" s="9" t="n">
        <f aca="false">D12-C12</f>
        <v>-3936</v>
      </c>
      <c r="F12" s="10" t="n">
        <f aca="false">IF(AND(C12=0,D12=0),0,IF(C12=0,"New",(D12-C12)/C12))</f>
        <v>-0.336928608115049</v>
      </c>
      <c r="G12" s="11" t="n">
        <f aca="false">SUMIFS('Source 2025'!$I:$I,'Source 2025'!$B:$B,$A12,'Source 2025'!$A:$A,"Amount (NIS)")</f>
        <v>302519</v>
      </c>
      <c r="H12" s="11" t="n">
        <f aca="false">SUMIFS('Source 2026'!$I:$I,'Source 2026'!$B:$B,$A12,'Source 2026'!$A:$A,"Amount (NIS)")</f>
        <v>203753.2</v>
      </c>
      <c r="I12" s="11" t="n">
        <f aca="false">H12-G12</f>
        <v>-98765.8</v>
      </c>
      <c r="J12" s="10" t="n">
        <f aca="false">IF(AND(G12=0,H12=0),0,IF(G12=0,"New",(H12-G12)/G12))</f>
        <v>-0.326478006340098</v>
      </c>
    </row>
    <row r="13" customFormat="false" ht="15" hidden="false" customHeight="true" outlineLevel="0" collapsed="false">
      <c r="A13" s="8" t="s">
        <v>54</v>
      </c>
      <c r="B13" s="8" t="str">
        <f aca="false">IFERROR(INDEX('Source 2026'!$C:$C,MATCH($A13,'Source 2026'!$B:$B,0)),IFERROR(INDEX('Source 2025'!$C:$C,MATCH($A13,'Source 2025'!$B:$B,0)),""))</f>
        <v>S  חבק יד ארוך</v>
      </c>
      <c r="C13" s="9" t="n">
        <f aca="false">SUMIFS('Source 2025'!$I:$I,'Source 2025'!$B:$B,$A13,'Source 2025'!$A:$A,"Quantity (units)")</f>
        <v>9023</v>
      </c>
      <c r="D13" s="9" t="n">
        <f aca="false">SUMIFS('Source 2026'!$I:$I,'Source 2026'!$B:$B,$A13,'Source 2026'!$A:$A,"Quantity (units)")</f>
        <v>6005</v>
      </c>
      <c r="E13" s="9" t="n">
        <f aca="false">D13-C13</f>
        <v>-3018</v>
      </c>
      <c r="F13" s="10" t="n">
        <f aca="false">IF(AND(C13=0,D13=0),0,IF(C13=0,"New",(D13-C13)/C13))</f>
        <v>-0.334478554804389</v>
      </c>
      <c r="G13" s="11" t="n">
        <f aca="false">SUMIFS('Source 2025'!$I:$I,'Source 2025'!$B:$B,$A13,'Source 2025'!$A:$A,"Amount (NIS)")</f>
        <v>296880.7</v>
      </c>
      <c r="H13" s="11" t="n">
        <f aca="false">SUMIFS('Source 2026'!$I:$I,'Source 2026'!$B:$B,$A13,'Source 2026'!$A:$A,"Amount (NIS)")</f>
        <v>199190.1</v>
      </c>
      <c r="I13" s="11" t="n">
        <f aca="false">H13-G13</f>
        <v>-97690.6</v>
      </c>
      <c r="J13" s="10" t="n">
        <f aca="false">IF(AND(G13=0,H13=0),0,IF(G13=0,"New",(H13-G13)/G13))</f>
        <v>-0.329056755794499</v>
      </c>
    </row>
    <row r="14" customFormat="false" ht="15" hidden="false" customHeight="true" outlineLevel="0" collapsed="false">
      <c r="A14" s="8" t="s">
        <v>56</v>
      </c>
      <c r="B14" s="8" t="str">
        <f aca="false">IFERROR(INDEX('Source 2026'!$C:$C,MATCH($A14,'Source 2026'!$B:$B,0)),IFERROR(INDEX('Source 2025'!$C:$C,MATCH($A14,'Source 2025'!$B:$B,0)),""))</f>
        <v>טיסה אנטי בקטרי35-38</v>
      </c>
      <c r="C14" s="9" t="n">
        <f aca="false">SUMIFS('Source 2025'!$I:$I,'Source 2025'!$B:$B,$A14,'Source 2025'!$A:$A,"Quantity (units)")</f>
        <v>0</v>
      </c>
      <c r="D14" s="9" t="n">
        <f aca="false">SUMIFS('Source 2026'!$I:$I,'Source 2026'!$B:$B,$A14,'Source 2026'!$A:$A,"Quantity (units)")</f>
        <v>1552</v>
      </c>
      <c r="E14" s="9" t="n">
        <f aca="false">D14-C14</f>
        <v>1552</v>
      </c>
      <c r="F14" s="10" t="str">
        <f aca="false">IF(AND(C14=0,D14=0),0,IF(C14=0,"New",(D14-C14)/C14))</f>
        <v>New</v>
      </c>
      <c r="G14" s="11" t="n">
        <f aca="false">SUMIFS('Source 2025'!$I:$I,'Source 2025'!$B:$B,$A14,'Source 2025'!$A:$A,"Amount (NIS)")</f>
        <v>0</v>
      </c>
      <c r="H14" s="11" t="n">
        <f aca="false">SUMIFS('Source 2026'!$I:$I,'Source 2026'!$B:$B,$A14,'Source 2026'!$A:$A,"Amount (NIS)")</f>
        <v>84761</v>
      </c>
      <c r="I14" s="11" t="n">
        <f aca="false">H14-G14</f>
        <v>84761</v>
      </c>
      <c r="J14" s="10" t="str">
        <f aca="false">IF(AND(G14=0,H14=0),0,IF(G14=0,"New",(H14-G14)/G14))</f>
        <v>New</v>
      </c>
    </row>
    <row r="15" customFormat="false" ht="15" hidden="false" customHeight="true" outlineLevel="0" collapsed="false">
      <c r="A15" s="8" t="s">
        <v>69</v>
      </c>
      <c r="B15" s="8" t="str">
        <f aca="false">IFERROR(INDEX('Source 2026'!$C:$C,MATCH($A15,'Source 2026'!$B:$B,0)),IFERROR(INDEX('Source 2025'!$C:$C,MATCH($A15,'Source 2025'!$B:$B,0)),""))</f>
        <v>M מגן קרסול עקב סגור</v>
      </c>
      <c r="C15" s="9" t="n">
        <f aca="false">SUMIFS('Source 2025'!$I:$I,'Source 2025'!$B:$B,$A15,'Source 2025'!$A:$A,"Quantity (units)")</f>
        <v>6872</v>
      </c>
      <c r="D15" s="9" t="n">
        <f aca="false">SUMIFS('Source 2026'!$I:$I,'Source 2026'!$B:$B,$A15,'Source 2026'!$A:$A,"Quantity (units)")</f>
        <v>4609</v>
      </c>
      <c r="E15" s="9" t="n">
        <f aca="false">D15-C15</f>
        <v>-2263</v>
      </c>
      <c r="F15" s="10" t="n">
        <f aca="false">IF(AND(C15=0,D15=0),0,IF(C15=0,"New",(D15-C15)/C15))</f>
        <v>-0.32930733410943</v>
      </c>
      <c r="G15" s="11" t="n">
        <f aca="false">SUMIFS('Source 2025'!$I:$I,'Source 2025'!$B:$B,$A15,'Source 2025'!$A:$A,"Amount (NIS)")</f>
        <v>260017.5</v>
      </c>
      <c r="H15" s="11" t="n">
        <f aca="false">SUMIFS('Source 2026'!$I:$I,'Source 2026'!$B:$B,$A15,'Source 2026'!$A:$A,"Amount (NIS)")</f>
        <v>176444.8</v>
      </c>
      <c r="I15" s="11" t="n">
        <f aca="false">H15-G15</f>
        <v>-83572.7</v>
      </c>
      <c r="J15" s="10" t="n">
        <f aca="false">IF(AND(G15=0,H15=0),0,IF(G15=0,"New",(H15-G15)/G15))</f>
        <v>-0.321411828050035</v>
      </c>
    </row>
    <row r="16" customFormat="false" ht="15" hidden="false" customHeight="true" outlineLevel="0" collapsed="false">
      <c r="A16" s="8" t="s">
        <v>63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2025'!$I:$I,'Source 2025'!$B:$B,$A16,'Source 2025'!$A:$A,"Quantity (units)")</f>
        <v>11105</v>
      </c>
      <c r="D16" s="9" t="n">
        <f aca="false">SUMIFS('Source 2026'!$I:$I,'Source 2026'!$B:$B,$A16,'Source 2026'!$A:$A,"Quantity (units)")</f>
        <v>8013</v>
      </c>
      <c r="E16" s="9" t="n">
        <f aca="false">D16-C16</f>
        <v>-3092</v>
      </c>
      <c r="F16" s="10" t="n">
        <f aca="false">IF(AND(C16=0,D16=0),0,IF(C16=0,"New",(D16-C16)/C16))</f>
        <v>-0.278433138226024</v>
      </c>
      <c r="G16" s="11" t="n">
        <f aca="false">SUMIFS('Source 2025'!$I:$I,'Source 2025'!$B:$B,$A16,'Source 2025'!$A:$A,"Amount (NIS)")</f>
        <v>287948.7</v>
      </c>
      <c r="H16" s="11" t="n">
        <f aca="false">SUMIFS('Source 2026'!$I:$I,'Source 2026'!$B:$B,$A16,'Source 2026'!$A:$A,"Amount (NIS)")</f>
        <v>209745.6</v>
      </c>
      <c r="I16" s="11" t="n">
        <f aca="false">H16-G16</f>
        <v>-78203.1</v>
      </c>
      <c r="J16" s="10" t="n">
        <f aca="false">IF(AND(G16=0,H16=0),0,IF(G16=0,"New",(H16-G16)/G16))</f>
        <v>-0.271586918086451</v>
      </c>
    </row>
    <row r="17" customFormat="false" ht="15" hidden="false" customHeight="true" outlineLevel="0" collapsed="false">
      <c r="A17" s="8" t="s">
        <v>71</v>
      </c>
      <c r="B17" s="8" t="str">
        <f aca="false">IFERROR(INDEX('Source 2026'!$C:$C,MATCH($A17,'Source 2026'!$B:$B,0)),IFERROR(INDEX('Source 2025'!$C:$C,MATCH($A17,'Source 2025'!$B:$B,0)),""))</f>
        <v>מישר כתפיים אקטיב</v>
      </c>
      <c r="C17" s="9" t="n">
        <f aca="false">SUMIFS('Source 2025'!$I:$I,'Source 2025'!$B:$B,$A17,'Source 2025'!$A:$A,"Quantity (units)")</f>
        <v>738</v>
      </c>
      <c r="D17" s="9" t="n">
        <f aca="false">SUMIFS('Source 2026'!$I:$I,'Source 2026'!$B:$B,$A17,'Source 2026'!$A:$A,"Quantity (units)")</f>
        <v>1790</v>
      </c>
      <c r="E17" s="9" t="n">
        <f aca="false">D17-C17</f>
        <v>1052</v>
      </c>
      <c r="F17" s="10" t="n">
        <f aca="false">IF(AND(C17=0,D17=0),0,IF(C17=0,"New",(D17-C17)/C17))</f>
        <v>1.42547425474255</v>
      </c>
      <c r="G17" s="11" t="n">
        <f aca="false">SUMIFS('Source 2025'!$I:$I,'Source 2025'!$B:$B,$A17,'Source 2025'!$A:$A,"Amount (NIS)")</f>
        <v>46423.4</v>
      </c>
      <c r="H17" s="11" t="n">
        <f aca="false">SUMIFS('Source 2026'!$I:$I,'Source 2026'!$B:$B,$A17,'Source 2026'!$A:$A,"Amount (NIS)")</f>
        <v>116307.2</v>
      </c>
      <c r="I17" s="11" t="n">
        <f aca="false">H17-G17</f>
        <v>69883.8</v>
      </c>
      <c r="J17" s="10" t="n">
        <f aca="false">IF(AND(G17=0,H17=0),0,IF(G17=0,"New",(H17-G17)/G17))</f>
        <v>1.50535721209562</v>
      </c>
    </row>
    <row r="18" customFormat="false" ht="15" hidden="false" customHeight="true" outlineLevel="0" collapsed="false">
      <c r="A18" s="8" t="s">
        <v>90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2025'!$I:$I,'Source 2025'!$B:$B,$A18,'Source 2025'!$A:$A,"Quantity (units)")</f>
        <v>5513</v>
      </c>
      <c r="D18" s="9" t="n">
        <f aca="false">SUMIFS('Source 2026'!$I:$I,'Source 2026'!$B:$B,$A18,'Source 2026'!$A:$A,"Quantity (units)")</f>
        <v>3324</v>
      </c>
      <c r="E18" s="9" t="n">
        <f aca="false">D18-C18</f>
        <v>-2189</v>
      </c>
      <c r="F18" s="10" t="n">
        <f aca="false">IF(AND(C18=0,D18=0),0,IF(C18=0,"New",(D18-C18)/C18))</f>
        <v>-0.397061491021223</v>
      </c>
      <c r="G18" s="11" t="n">
        <f aca="false">SUMIFS('Source 2025'!$I:$I,'Source 2025'!$B:$B,$A18,'Source 2025'!$A:$A,"Amount (NIS)")</f>
        <v>173295.8</v>
      </c>
      <c r="H18" s="11" t="n">
        <f aca="false">SUMIFS('Source 2026'!$I:$I,'Source 2026'!$B:$B,$A18,'Source 2026'!$A:$A,"Amount (NIS)")</f>
        <v>105234.2</v>
      </c>
      <c r="I18" s="11" t="n">
        <f aca="false">H18-G18</f>
        <v>-68061.6</v>
      </c>
      <c r="J18" s="10" t="n">
        <f aca="false">IF(AND(G18=0,H18=0),0,IF(G18=0,"New",(H18-G18)/G18))</f>
        <v>-0.392748121997186</v>
      </c>
    </row>
    <row r="19" customFormat="false" ht="15" hidden="false" customHeight="true" outlineLevel="0" collapsed="false">
      <c r="A19" s="8" t="s">
        <v>170</v>
      </c>
      <c r="B19" s="8" t="str">
        <f aca="false">IFERROR(INDEX('Source 2026'!$C:$C,MATCH($A19,'Source 2026'!$B:$B,0)),IFERROR(INDEX('Source 2025'!$C:$C,MATCH($A19,'Source 2025'!$B:$B,0)),""))</f>
        <v>S 'מגן ברך ארוך בז</v>
      </c>
      <c r="C19" s="9" t="n">
        <f aca="false">SUMIFS('Source 2025'!$I:$I,'Source 2025'!$B:$B,$A19,'Source 2025'!$A:$A,"Quantity (units)")</f>
        <v>9351</v>
      </c>
      <c r="D19" s="9" t="n">
        <f aca="false">SUMIFS('Source 2026'!$I:$I,'Source 2026'!$B:$B,$A19,'Source 2026'!$A:$A,"Quantity (units)")</f>
        <v>7130</v>
      </c>
      <c r="E19" s="9" t="n">
        <f aca="false">D19-C19</f>
        <v>-2221</v>
      </c>
      <c r="F19" s="10" t="n">
        <f aca="false">IF(AND(C19=0,D19=0),0,IF(C19=0,"New",(D19-C19)/C19))</f>
        <v>-0.2375147043097</v>
      </c>
      <c r="G19" s="11" t="n">
        <f aca="false">SUMIFS('Source 2025'!$I:$I,'Source 2025'!$B:$B,$A19,'Source 2025'!$A:$A,"Amount (NIS)")</f>
        <v>290388.7</v>
      </c>
      <c r="H19" s="11" t="n">
        <f aca="false">SUMIFS('Source 2026'!$I:$I,'Source 2026'!$B:$B,$A19,'Source 2026'!$A:$A,"Amount (NIS)")</f>
        <v>222926.7</v>
      </c>
      <c r="I19" s="11" t="n">
        <f aca="false">H19-G19</f>
        <v>-67462</v>
      </c>
      <c r="J19" s="10" t="n">
        <f aca="false">IF(AND(G19=0,H19=0),0,IF(G19=0,"New",(H19-G19)/G19))</f>
        <v>-0.232316202386663</v>
      </c>
    </row>
    <row r="20" customFormat="false" ht="15" hidden="false" customHeight="true" outlineLevel="0" collapsed="false">
      <c r="A20" s="8" t="s">
        <v>65</v>
      </c>
      <c r="B20" s="8" t="str">
        <f aca="false">IFERROR(INDEX('Source 2026'!$C:$C,MATCH($A20,'Source 2026'!$B:$B,0)),IFERROR(INDEX('Source 2025'!$C:$C,MATCH($A20,'Source 2025'!$B:$B,0)),""))</f>
        <v>L סד לאגודל לאחר שבר</v>
      </c>
      <c r="C20" s="9" t="n">
        <f aca="false">SUMIFS('Source 2025'!$I:$I,'Source 2025'!$B:$B,$A20,'Source 2025'!$A:$A,"Quantity (units)")</f>
        <v>2198</v>
      </c>
      <c r="D20" s="9" t="n">
        <f aca="false">SUMIFS('Source 2026'!$I:$I,'Source 2026'!$B:$B,$A20,'Source 2026'!$A:$A,"Quantity (units)")</f>
        <v>1421</v>
      </c>
      <c r="E20" s="9" t="n">
        <f aca="false">D20-C20</f>
        <v>-777</v>
      </c>
      <c r="F20" s="10" t="n">
        <f aca="false">IF(AND(C20=0,D20=0),0,IF(C20=0,"New",(D20-C20)/C20))</f>
        <v>-0.353503184713376</v>
      </c>
      <c r="G20" s="11" t="n">
        <f aca="false">SUMIFS('Source 2025'!$I:$I,'Source 2025'!$B:$B,$A20,'Source 2025'!$A:$A,"Amount (NIS)")</f>
        <v>181024.5</v>
      </c>
      <c r="H20" s="11" t="n">
        <f aca="false">SUMIFS('Source 2026'!$I:$I,'Source 2026'!$B:$B,$A20,'Source 2026'!$A:$A,"Amount (NIS)")</f>
        <v>117841.5</v>
      </c>
      <c r="I20" s="11" t="n">
        <f aca="false">H20-G20</f>
        <v>-63183</v>
      </c>
      <c r="J20" s="10" t="n">
        <f aca="false">IF(AND(G20=0,H20=0),0,IF(G20=0,"New",(H20-G20)/G20))</f>
        <v>-0.349030103660002</v>
      </c>
    </row>
    <row r="21" customFormat="false" ht="15" hidden="false" customHeight="true" outlineLevel="0" collapsed="false">
      <c r="A21" s="8" t="s">
        <v>64</v>
      </c>
      <c r="B21" s="8" t="str">
        <f aca="false">IFERROR(INDEX('Source 2026'!$C:$C,MATCH($A21,'Source 2026'!$B:$B,0)),IFERROR(INDEX('Source 2025'!$C:$C,MATCH($A21,'Source 2025'!$B:$B,0)),""))</f>
        <v>סד ליד דו צדדי</v>
      </c>
      <c r="C21" s="9" t="n">
        <f aca="false">SUMIFS('Source 2025'!$I:$I,'Source 2025'!$B:$B,$A21,'Source 2025'!$A:$A,"Quantity (units)")</f>
        <v>4888</v>
      </c>
      <c r="D21" s="9" t="n">
        <f aca="false">SUMIFS('Source 2026'!$I:$I,'Source 2026'!$B:$B,$A21,'Source 2026'!$A:$A,"Quantity (units)")</f>
        <v>3963</v>
      </c>
      <c r="E21" s="9" t="n">
        <f aca="false">D21-C21</f>
        <v>-925</v>
      </c>
      <c r="F21" s="10" t="n">
        <f aca="false">IF(AND(C21=0,D21=0),0,IF(C21=0,"New",(D21-C21)/C21))</f>
        <v>-0.189238952536825</v>
      </c>
      <c r="G21" s="11" t="n">
        <f aca="false">SUMIFS('Source 2025'!$I:$I,'Source 2025'!$B:$B,$A21,'Source 2025'!$A:$A,"Amount (NIS)")</f>
        <v>331446.1</v>
      </c>
      <c r="H21" s="11" t="n">
        <f aca="false">SUMIFS('Source 2026'!$I:$I,'Source 2026'!$B:$B,$A21,'Source 2026'!$A:$A,"Amount (NIS)")</f>
        <v>269878.4</v>
      </c>
      <c r="I21" s="11" t="n">
        <f aca="false">H21-G21</f>
        <v>-61567.7</v>
      </c>
      <c r="J21" s="10" t="n">
        <f aca="false">IF(AND(G21=0,H21=0),0,IF(G21=0,"New",(H21-G21)/G21))</f>
        <v>-0.185754787882555</v>
      </c>
    </row>
    <row r="22" customFormat="false" ht="15" hidden="false" customHeight="true" outlineLevel="0" collapsed="false">
      <c r="A22" s="8" t="s">
        <v>75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2025'!$I:$I,'Source 2025'!$B:$B,$A22,'Source 2025'!$A:$A,"Quantity (units)")</f>
        <v>6813</v>
      </c>
      <c r="D22" s="9" t="n">
        <f aca="false">SUMIFS('Source 2026'!$I:$I,'Source 2026'!$B:$B,$A22,'Source 2026'!$A:$A,"Quantity (units)")</f>
        <v>4496</v>
      </c>
      <c r="E22" s="9" t="n">
        <f aca="false">D22-C22</f>
        <v>-2317</v>
      </c>
      <c r="F22" s="10" t="n">
        <f aca="false">IF(AND(C22=0,D22=0),0,IF(C22=0,"New",(D22-C22)/C22))</f>
        <v>-0.340085131366505</v>
      </c>
      <c r="G22" s="11" t="n">
        <f aca="false">SUMIFS('Source 2025'!$I:$I,'Source 2025'!$B:$B,$A22,'Source 2025'!$A:$A,"Amount (NIS)")</f>
        <v>177028.3</v>
      </c>
      <c r="H22" s="11" t="n">
        <f aca="false">SUMIFS('Source 2026'!$I:$I,'Source 2026'!$B:$B,$A22,'Source 2026'!$A:$A,"Amount (NIS)")</f>
        <v>118238.6</v>
      </c>
      <c r="I22" s="11" t="n">
        <f aca="false">H22-G22</f>
        <v>-58789.7</v>
      </c>
      <c r="J22" s="10" t="n">
        <f aca="false">IF(AND(G22=0,H22=0),0,IF(G22=0,"New",(H22-G22)/G22))</f>
        <v>-0.33209210052856</v>
      </c>
    </row>
    <row r="23" customFormat="false" ht="15" hidden="false" customHeight="true" outlineLevel="0" collapsed="false">
      <c r="A23" s="8" t="s">
        <v>76</v>
      </c>
      <c r="B23" s="8" t="str">
        <f aca="false">IFERROR(INDEX('Source 2026'!$C:$C,MATCH($A23,'Source 2026'!$B:$B,0)),IFERROR(INDEX('Source 2025'!$C:$C,MATCH($A23,'Source 2025'!$B:$B,0)),""))</f>
        <v>L מגן ברך לבן</v>
      </c>
      <c r="C23" s="9" t="n">
        <f aca="false">SUMIFS('Source 2025'!$I:$I,'Source 2025'!$B:$B,$A23,'Source 2025'!$A:$A,"Quantity (units)")</f>
        <v>6259</v>
      </c>
      <c r="D23" s="9" t="n">
        <f aca="false">SUMIFS('Source 2026'!$I:$I,'Source 2026'!$B:$B,$A23,'Source 2026'!$A:$A,"Quantity (units)")</f>
        <v>4006</v>
      </c>
      <c r="E23" s="9" t="n">
        <f aca="false">D23-C23</f>
        <v>-2253</v>
      </c>
      <c r="F23" s="10" t="n">
        <f aca="false">IF(AND(C23=0,D23=0),0,IF(C23=0,"New",(D23-C23)/C23))</f>
        <v>-0.359961655216488</v>
      </c>
      <c r="G23" s="11" t="n">
        <f aca="false">SUMIFS('Source 2025'!$I:$I,'Source 2025'!$B:$B,$A23,'Source 2025'!$A:$A,"Amount (NIS)")</f>
        <v>162645.6</v>
      </c>
      <c r="H23" s="11" t="n">
        <f aca="false">SUMIFS('Source 2026'!$I:$I,'Source 2026'!$B:$B,$A23,'Source 2026'!$A:$A,"Amount (NIS)")</f>
        <v>105352.3</v>
      </c>
      <c r="I23" s="11" t="n">
        <f aca="false">H23-G23</f>
        <v>-57293.3</v>
      </c>
      <c r="J23" s="10" t="n">
        <f aca="false">IF(AND(G23=0,H23=0),0,IF(G23=0,"New",(H23-G23)/G23))</f>
        <v>-0.352258530203092</v>
      </c>
    </row>
    <row r="24" customFormat="false" ht="15" hidden="false" customHeight="true" outlineLevel="0" collapsed="false">
      <c r="A24" s="8" t="s">
        <v>149</v>
      </c>
      <c r="B24" s="8" t="str">
        <f aca="false">IFERROR(INDEX('Source 2026'!$C:$C,MATCH($A24,'Source 2026'!$B:$B,0)),IFERROR(INDEX('Source 2025'!$C:$C,MATCH($A24,'Source 2025'!$B:$B,0)),""))</f>
        <v>גב אפורה</v>
      </c>
      <c r="C24" s="9" t="n">
        <f aca="false">SUMIFS('Source 2025'!$I:$I,'Source 2025'!$B:$B,$A24,'Source 2025'!$A:$A,"Quantity (units)")</f>
        <v>1596</v>
      </c>
      <c r="D24" s="9" t="n">
        <f aca="false">SUMIFS('Source 2026'!$I:$I,'Source 2026'!$B:$B,$A24,'Source 2026'!$A:$A,"Quantity (units)")</f>
        <v>1002</v>
      </c>
      <c r="E24" s="9" t="n">
        <f aca="false">D24-C24</f>
        <v>-594</v>
      </c>
      <c r="F24" s="10" t="n">
        <f aca="false">IF(AND(C24=0,D24=0),0,IF(C24=0,"New",(D24-C24)/C24))</f>
        <v>-0.37218045112782</v>
      </c>
      <c r="G24" s="11" t="n">
        <f aca="false">SUMIFS('Source 2025'!$I:$I,'Source 2025'!$B:$B,$A24,'Source 2025'!$A:$A,"Amount (NIS)")</f>
        <v>147542.2</v>
      </c>
      <c r="H24" s="11" t="n">
        <f aca="false">SUMIFS('Source 2026'!$I:$I,'Source 2026'!$B:$B,$A24,'Source 2026'!$A:$A,"Amount (NIS)")</f>
        <v>94468</v>
      </c>
      <c r="I24" s="11" t="n">
        <f aca="false">H24-G24</f>
        <v>-53074.2</v>
      </c>
      <c r="J24" s="10" t="n">
        <f aca="false">IF(AND(G24=0,H24=0),0,IF(G24=0,"New",(H24-G24)/G24))</f>
        <v>-0.359722167623907</v>
      </c>
    </row>
    <row r="25" customFormat="false" ht="15" hidden="false" customHeight="true" outlineLevel="0" collapsed="false">
      <c r="A25" s="8" t="s">
        <v>84</v>
      </c>
      <c r="B25" s="8" t="str">
        <f aca="false">IFERROR(INDEX('Source 2026'!$C:$C,MATCH($A25,'Source 2026'!$B:$B,0)),IFERROR(INDEX('Source 2025'!$C:$C,MATCH($A25,'Source 2025'!$B:$B,0)),""))</f>
        <v>S""חגורת בטן""אורירית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1000</v>
      </c>
      <c r="E25" s="9" t="n">
        <f aca="false">D25-C25</f>
        <v>-596</v>
      </c>
      <c r="F25" s="10" t="n">
        <f aca="false">IF(AND(C25=0,D25=0),0,IF(C25=0,"New",(D25-C25)/C25))</f>
        <v>-0.3734335839599</v>
      </c>
      <c r="G25" s="11" t="n">
        <f aca="false">SUMIFS('Source 2025'!$I:$I,'Source 2025'!$B:$B,$A25,'Source 2025'!$A:$A,"Amount (NIS)")</f>
        <v>144702.3</v>
      </c>
      <c r="H25" s="11" t="n">
        <f aca="false">SUMIFS('Source 2026'!$I:$I,'Source 2026'!$B:$B,$A25,'Source 2026'!$A:$A,"Amount (NIS)")</f>
        <v>91878</v>
      </c>
      <c r="I25" s="11" t="n">
        <f aca="false">H25-G25</f>
        <v>-52824.3</v>
      </c>
      <c r="J25" s="10" t="n">
        <f aca="false">IF(AND(G25=0,H25=0),0,IF(G25=0,"New",(H25-G25)/G25))</f>
        <v>-0.365055012947272</v>
      </c>
    </row>
    <row r="26" customFormat="false" ht="15" hidden="false" customHeight="true" outlineLevel="0" collapsed="false">
      <c r="A26" s="8" t="s">
        <v>207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2025'!$I:$I,'Source 2025'!$B:$B,$A26,'Source 2025'!$A:$A,"Quantity (units)")</f>
        <v>1906</v>
      </c>
      <c r="D26" s="9" t="n">
        <f aca="false">SUMIFS('Source 2026'!$I:$I,'Source 2026'!$B:$B,$A26,'Source 2026'!$A:$A,"Quantity (units)")</f>
        <v>1326</v>
      </c>
      <c r="E26" s="9" t="n">
        <f aca="false">D26-C26</f>
        <v>-580</v>
      </c>
      <c r="F26" s="10" t="n">
        <f aca="false">IF(AND(C26=0,D26=0),0,IF(C26=0,"New",(D26-C26)/C26))</f>
        <v>-0.304302203567681</v>
      </c>
      <c r="G26" s="11" t="n">
        <f aca="false">SUMIFS('Source 2025'!$I:$I,'Source 2025'!$B:$B,$A26,'Source 2025'!$A:$A,"Amount (NIS)")</f>
        <v>176482.5</v>
      </c>
      <c r="H26" s="11" t="n">
        <f aca="false">SUMIFS('Source 2026'!$I:$I,'Source 2026'!$B:$B,$A26,'Source 2026'!$A:$A,"Amount (NIS)")</f>
        <v>124925.3</v>
      </c>
      <c r="I26" s="11" t="n">
        <f aca="false">H26-G26</f>
        <v>-51557.2</v>
      </c>
      <c r="J26" s="10" t="n">
        <f aca="false">IF(AND(G26=0,H26=0),0,IF(G26=0,"New",(H26-G26)/G26))</f>
        <v>-0.292137747368719</v>
      </c>
    </row>
    <row r="27" customFormat="false" ht="15" hidden="false" customHeight="true" outlineLevel="0" collapsed="false">
      <c r="A27" s="8" t="s">
        <v>67</v>
      </c>
      <c r="B27" s="8" t="str">
        <f aca="false">IFERROR(INDEX('Source 2026'!$C:$C,MATCH($A27,'Source 2026'!$B:$B,0)),IFERROR(INDEX('Source 2025'!$C:$C,MATCH($A27,'Source 2025'!$B:$B,0)),""))</f>
        <v>L (מתלה ליד )כיס</v>
      </c>
      <c r="C27" s="9" t="n">
        <f aca="false">SUMIFS('Source 2025'!$I:$I,'Source 2025'!$B:$B,$A27,'Source 2025'!$A:$A,"Quantity (units)")</f>
        <v>2869</v>
      </c>
      <c r="D27" s="9" t="n">
        <f aca="false">SUMIFS('Source 2026'!$I:$I,'Source 2026'!$B:$B,$A27,'Source 2026'!$A:$A,"Quantity (units)")</f>
        <v>1893</v>
      </c>
      <c r="E27" s="9" t="n">
        <f aca="false">D27-C27</f>
        <v>-976</v>
      </c>
      <c r="F27" s="10" t="n">
        <f aca="false">IF(AND(C27=0,D27=0),0,IF(C27=0,"New",(D27-C27)/C27))</f>
        <v>-0.3401882188916</v>
      </c>
      <c r="G27" s="11" t="n">
        <f aca="false">SUMIFS('Source 2025'!$I:$I,'Source 2025'!$B:$B,$A27,'Source 2025'!$A:$A,"Amount (NIS)")</f>
        <v>142560.8</v>
      </c>
      <c r="H27" s="11" t="n">
        <f aca="false">SUMIFS('Source 2026'!$I:$I,'Source 2026'!$B:$B,$A27,'Source 2026'!$A:$A,"Amount (NIS)")</f>
        <v>94031.4</v>
      </c>
      <c r="I27" s="11" t="n">
        <f aca="false">H27-G27</f>
        <v>-48529.4</v>
      </c>
      <c r="J27" s="10" t="n">
        <f aca="false">IF(AND(G27=0,H27=0),0,IF(G27=0,"New",(H27-G27)/G27))</f>
        <v>-0.340411950550221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יד אגודלי</v>
      </c>
      <c r="C28" s="9" t="n">
        <f aca="false">SUMIFS('Source 2025'!$I:$I,'Source 2025'!$B:$B,$A28,'Source 2025'!$A:$A,"Quantity (units)")</f>
        <v>5745</v>
      </c>
      <c r="D28" s="9" t="n">
        <f aca="false">SUMIFS('Source 2026'!$I:$I,'Source 2026'!$B:$B,$A28,'Source 2026'!$A:$A,"Quantity (units)")</f>
        <v>4378</v>
      </c>
      <c r="E28" s="9" t="n">
        <f aca="false">D28-C28</f>
        <v>-1367</v>
      </c>
      <c r="F28" s="10" t="n">
        <f aca="false">IF(AND(C28=0,D28=0),0,IF(C28=0,"New",(D28-C28)/C28))</f>
        <v>-0.237946040034813</v>
      </c>
      <c r="G28" s="11" t="n">
        <f aca="false">SUMIFS('Source 2025'!$I:$I,'Source 2025'!$B:$B,$A28,'Source 2025'!$A:$A,"Amount (NIS)")</f>
        <v>212254.7</v>
      </c>
      <c r="H28" s="11" t="n">
        <f aca="false">SUMIFS('Source 2026'!$I:$I,'Source 2026'!$B:$B,$A28,'Source 2026'!$A:$A,"Amount (NIS)")</f>
        <v>164101.8</v>
      </c>
      <c r="I28" s="11" t="n">
        <f aca="false">H28-G28</f>
        <v>-48152.9</v>
      </c>
      <c r="J28" s="10" t="n">
        <f aca="false">IF(AND(G28=0,H28=0),0,IF(G28=0,"New",(H28-G28)/G28))</f>
        <v>-0.226863763205244</v>
      </c>
    </row>
    <row r="29" customFormat="false" ht="15" hidden="false" customHeight="true" outlineLevel="0" collapsed="false">
      <c r="A29" s="8" t="s">
        <v>72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4789</v>
      </c>
      <c r="D29" s="9" t="n">
        <f aca="false">SUMIFS('Source 2026'!$I:$I,'Source 2026'!$B:$B,$A29,'Source 2026'!$A:$A,"Quantity (units)")</f>
        <v>3578</v>
      </c>
      <c r="E29" s="9" t="n">
        <f aca="false">D29-C29</f>
        <v>-1211</v>
      </c>
      <c r="F29" s="10" t="n">
        <f aca="false">IF(AND(C29=0,D29=0),0,IF(C29=0,"New",(D29-C29)/C29))</f>
        <v>-0.252871163082063</v>
      </c>
      <c r="G29" s="11" t="n">
        <f aca="false">SUMIFS('Source 2025'!$I:$I,'Source 2025'!$B:$B,$A29,'Source 2025'!$A:$A,"Amount (NIS)")</f>
        <v>177353.6</v>
      </c>
      <c r="H29" s="11" t="n">
        <f aca="false">SUMIFS('Source 2026'!$I:$I,'Source 2026'!$B:$B,$A29,'Source 2026'!$A:$A,"Amount (NIS)")</f>
        <v>134216.9</v>
      </c>
      <c r="I29" s="11" t="n">
        <f aca="false">H29-G29</f>
        <v>-43136.7</v>
      </c>
      <c r="J29" s="10" t="n">
        <f aca="false">IF(AND(G29=0,H29=0),0,IF(G29=0,"New",(H29-G29)/G29))</f>
        <v>-0.243224270609675</v>
      </c>
    </row>
    <row r="30" customFormat="false" ht="15" hidden="false" customHeight="true" outlineLevel="0" collapsed="false">
      <c r="A30" s="8" t="s">
        <v>325</v>
      </c>
      <c r="B30" s="8" t="str">
        <f aca="false">IFERROR(INDEX('Source 2026'!$C:$C,MATCH($A30,'Source 2026'!$B:$B,0)),IFERROR(INDEX('Source 2025'!$C:$C,MATCH($A30,'Source 2025'!$B:$B,0)),""))</f>
        <v>חגורת גב אפורה</v>
      </c>
      <c r="C30" s="9" t="n">
        <f aca="false">SUMIFS('Source 2025'!$I:$I,'Source 2025'!$B:$B,$A30,'Source 2025'!$A:$A,"Quantity (units)")</f>
        <v>1282</v>
      </c>
      <c r="D30" s="9" t="n">
        <f aca="false">SUMIFS('Source 2026'!$I:$I,'Source 2026'!$B:$B,$A30,'Source 2026'!$A:$A,"Quantity (units)")</f>
        <v>866</v>
      </c>
      <c r="E30" s="9" t="n">
        <f aca="false">D30-C30</f>
        <v>-416</v>
      </c>
      <c r="F30" s="10" t="n">
        <f aca="false">IF(AND(C30=0,D30=0),0,IF(C30=0,"New",(D30-C30)/C30))</f>
        <v>-0.324492979719189</v>
      </c>
      <c r="G30" s="11" t="n">
        <f aca="false">SUMIFS('Source 2025'!$I:$I,'Source 2025'!$B:$B,$A30,'Source 2025'!$A:$A,"Amount (NIS)")</f>
        <v>118489.3</v>
      </c>
      <c r="H30" s="11" t="n">
        <f aca="false">SUMIFS('Source 2026'!$I:$I,'Source 2026'!$B:$B,$A30,'Source 2026'!$A:$A,"Amount (NIS)")</f>
        <v>81426.9</v>
      </c>
      <c r="I30" s="11" t="n">
        <f aca="false">H30-G30</f>
        <v>-37062.4</v>
      </c>
      <c r="J30" s="10" t="n">
        <f aca="false">IF(AND(G30=0,H30=0),0,IF(G30=0,"New",(H30-G30)/G30))</f>
        <v>-0.312791112784024</v>
      </c>
    </row>
    <row r="31" customFormat="false" ht="15" hidden="false" customHeight="true" outlineLevel="0" collapsed="false">
      <c r="A31" s="8" t="s">
        <v>60</v>
      </c>
      <c r="B31" s="8" t="str">
        <f aca="false">IFERROR(INDEX('Source 2026'!$C:$C,MATCH($A31,'Source 2026'!$B:$B,0)),IFERROR(INDEX('Source 2025'!$C:$C,MATCH($A31,'Source 2025'!$B:$B,0)),""))</f>
        <v>L עקבים לדורבן-זוג כריות</v>
      </c>
      <c r="C31" s="9" t="n">
        <f aca="false">SUMIFS('Source 2025'!$I:$I,'Source 2025'!$B:$B,$A31,'Source 2025'!$A:$A,"Quantity (units)")</f>
        <v>1599</v>
      </c>
      <c r="D31" s="9" t="n">
        <f aca="false">SUMIFS('Source 2026'!$I:$I,'Source 2026'!$B:$B,$A31,'Source 2026'!$A:$A,"Quantity (units)")</f>
        <v>1219</v>
      </c>
      <c r="E31" s="9" t="n">
        <f aca="false">D31-C31</f>
        <v>-380</v>
      </c>
      <c r="F31" s="10" t="n">
        <f aca="false">IF(AND(C31=0,D31=0),0,IF(C31=0,"New",(D31-C31)/C31))</f>
        <v>-0.237648530331457</v>
      </c>
      <c r="G31" s="11" t="n">
        <f aca="false">SUMIFS('Source 2025'!$I:$I,'Source 2025'!$B:$B,$A31,'Source 2025'!$A:$A,"Amount (NIS)")</f>
        <v>131658.1</v>
      </c>
      <c r="H31" s="11" t="n">
        <f aca="false">SUMIFS('Source 2026'!$I:$I,'Source 2026'!$B:$B,$A31,'Source 2026'!$A:$A,"Amount (NIS)")</f>
        <v>100335.9</v>
      </c>
      <c r="I31" s="11" t="n">
        <f aca="false">H31-G31</f>
        <v>-31322.2</v>
      </c>
      <c r="J31" s="10" t="n">
        <f aca="false">IF(AND(G31=0,H31=0),0,IF(G31=0,"New",(H31-G31)/G31))</f>
        <v>-0.237905605503953</v>
      </c>
    </row>
    <row r="32" customFormat="false" ht="15" hidden="false" customHeight="true" outlineLevel="0" collapsed="false">
      <c r="A32" s="8" t="s">
        <v>89</v>
      </c>
      <c r="B32" s="8" t="str">
        <f aca="false">IFERROR(INDEX('Source 2026'!$C:$C,MATCH($A32,'Source 2026'!$B:$B,0)),IFERROR(INDEX('Source 2025'!$C:$C,MATCH($A32,'Source 2025'!$B:$B,0)),""))</f>
        <v>M 'מגן מרפק בז</v>
      </c>
      <c r="C32" s="9" t="n">
        <f aca="false">SUMIFS('Source 2025'!$I:$I,'Source 2025'!$B:$B,$A32,'Source 2025'!$A:$A,"Quantity (units)")</f>
        <v>3430</v>
      </c>
      <c r="D32" s="9" t="n">
        <f aca="false">SUMIFS('Source 2026'!$I:$I,'Source 2026'!$B:$B,$A32,'Source 2026'!$A:$A,"Quantity (units)")</f>
        <v>2324</v>
      </c>
      <c r="E32" s="9" t="n">
        <f aca="false">D32-C32</f>
        <v>-1106</v>
      </c>
      <c r="F32" s="10" t="n">
        <f aca="false">IF(AND(C32=0,D32=0),0,IF(C32=0,"New",(D32-C32)/C32))</f>
        <v>-0.322448979591837</v>
      </c>
      <c r="G32" s="11" t="n">
        <f aca="false">SUMIFS('Source 2025'!$I:$I,'Source 2025'!$B:$B,$A32,'Source 2025'!$A:$A,"Amount (NIS)")</f>
        <v>89082.3</v>
      </c>
      <c r="H32" s="11" t="n">
        <f aca="false">SUMIFS('Source 2026'!$I:$I,'Source 2026'!$B:$B,$A32,'Source 2026'!$A:$A,"Amount (NIS)")</f>
        <v>61292</v>
      </c>
      <c r="I32" s="11" t="n">
        <f aca="false">H32-G32</f>
        <v>-27790.3</v>
      </c>
      <c r="J32" s="10" t="n">
        <f aca="false">IF(AND(G32=0,H32=0),0,IF(G32=0,"New",(H32-G32)/G32))</f>
        <v>-0.31196208449939</v>
      </c>
    </row>
    <row r="33" customFormat="false" ht="15" hidden="false" customHeight="true" outlineLevel="0" collapsed="false">
      <c r="A33" s="8" t="s">
        <v>59</v>
      </c>
      <c r="B33" s="8" t="str">
        <f aca="false">IFERROR(INDEX('Source 2026'!$C:$C,MATCH($A33,'Source 2026'!$B:$B,0)),IFERROR(INDEX('Source 2025'!$C:$C,MATCH($A33,'Source 2025'!$B:$B,0)),""))</f>
        <v>1 תומך ברך גנושילד</v>
      </c>
      <c r="C33" s="9" t="n">
        <f aca="false">SUMIFS('Source 2025'!$I:$I,'Source 2025'!$B:$B,$A33,'Source 2025'!$A:$A,"Quantity (units)")</f>
        <v>0</v>
      </c>
      <c r="D33" s="9" t="n">
        <f aca="false">SUMIFS('Source 2026'!$I:$I,'Source 2026'!$B:$B,$A33,'Source 2026'!$A:$A,"Quantity (units)")</f>
        <v>149</v>
      </c>
      <c r="E33" s="9" t="n">
        <f aca="false">D33-C33</f>
        <v>149</v>
      </c>
      <c r="F33" s="10" t="str">
        <f aca="false">IF(AND(C33=0,D33=0),0,IF(C33=0,"New",(D33-C33)/C33))</f>
        <v>New</v>
      </c>
      <c r="G33" s="11" t="n">
        <f aca="false">SUMIFS('Source 2025'!$I:$I,'Source 2025'!$B:$B,$A33,'Source 2025'!$A:$A,"Amount (NIS)")</f>
        <v>0</v>
      </c>
      <c r="H33" s="11" t="n">
        <f aca="false">SUMIFS('Source 2026'!$I:$I,'Source 2026'!$B:$B,$A33,'Source 2026'!$A:$A,"Amount (NIS)")</f>
        <v>26893.1</v>
      </c>
      <c r="I33" s="11" t="n">
        <f aca="false">H33-G33</f>
        <v>26893.1</v>
      </c>
      <c r="J33" s="10" t="str">
        <f aca="false">IF(AND(G33=0,H33=0),0,IF(G33=0,"New",(H33-G33)/G33))</f>
        <v>New</v>
      </c>
    </row>
    <row r="34" customFormat="false" ht="15" hidden="false" customHeight="true" outlineLevel="0" collapsed="false">
      <c r="A34" s="8" t="s">
        <v>105</v>
      </c>
      <c r="B34" s="8" t="str">
        <f aca="false">IFERROR(INDEX('Source 2026'!$C:$C,MATCH($A34,'Source 2026'!$B:$B,0)),IFERROR(INDEX('Source 2025'!$C:$C,MATCH($A34,'Source 2025'!$B:$B,0)),""))</f>
        <v>תחבושת א.נצמ</v>
      </c>
      <c r="C34" s="9" t="n">
        <f aca="false">SUMIFS('Source 2025'!$I:$I,'Source 2025'!$B:$B,$A34,'Source 2025'!$A:$A,"Quantity (units)")</f>
        <v>4000</v>
      </c>
      <c r="D34" s="9" t="n">
        <f aca="false">SUMIFS('Source 2026'!$I:$I,'Source 2026'!$B:$B,$A34,'Source 2026'!$A:$A,"Quantity (units)")</f>
        <v>1460</v>
      </c>
      <c r="E34" s="9" t="n">
        <f aca="false">D34-C34</f>
        <v>-2540</v>
      </c>
      <c r="F34" s="10" t="n">
        <f aca="false">IF(AND(C34=0,D34=0),0,IF(C34=0,"New",(D34-C34)/C34))</f>
        <v>-0.635</v>
      </c>
      <c r="G34" s="11" t="n">
        <f aca="false">SUMIFS('Source 2025'!$I:$I,'Source 2025'!$B:$B,$A34,'Source 2025'!$A:$A,"Amount (NIS)")</f>
        <v>41284.6</v>
      </c>
      <c r="H34" s="11" t="n">
        <f aca="false">SUMIFS('Source 2026'!$I:$I,'Source 2026'!$B:$B,$A34,'Source 2026'!$A:$A,"Amount (NIS)")</f>
        <v>15123.4</v>
      </c>
      <c r="I34" s="11" t="n">
        <f aca="false">H34-G34</f>
        <v>-26161.2</v>
      </c>
      <c r="J34" s="10" t="n">
        <f aca="false">IF(AND(G34=0,H34=0),0,IF(G34=0,"New",(H34-G34)/G34))</f>
        <v>-0.633679386502473</v>
      </c>
    </row>
    <row r="35" customFormat="false" ht="15" hidden="false" customHeight="true" outlineLevel="0" collapsed="false">
      <c r="A35" s="8" t="s">
        <v>122</v>
      </c>
      <c r="B35" s="8" t="str">
        <f aca="false">IFERROR(INDEX('Source 2026'!$C:$C,MATCH($A35,'Source 2026'!$B:$B,0)),IFERROR(INDEX('Source 2025'!$C:$C,MATCH($A35,'Source 2025'!$B:$B,0)),""))</f>
        <v>מגן ברך עם תמיכות</v>
      </c>
      <c r="C35" s="9" t="n">
        <f aca="false">SUMIFS('Source 2025'!$I:$I,'Source 2025'!$B:$B,$A35,'Source 2025'!$A:$A,"Quantity (units)")</f>
        <v>100</v>
      </c>
      <c r="D35" s="9" t="n">
        <f aca="false">SUMIFS('Source 2026'!$I:$I,'Source 2026'!$B:$B,$A35,'Source 2026'!$A:$A,"Quantity (units)")</f>
        <v>496</v>
      </c>
      <c r="E35" s="9" t="n">
        <f aca="false">D35-C35</f>
        <v>396</v>
      </c>
      <c r="F35" s="10" t="n">
        <f aca="false">IF(AND(C35=0,D35=0),0,IF(C35=0,"New",(D35-C35)/C35))</f>
        <v>3.96</v>
      </c>
      <c r="G35" s="11" t="n">
        <f aca="false">SUMIFS('Source 2025'!$I:$I,'Source 2025'!$B:$B,$A35,'Source 2025'!$A:$A,"Amount (NIS)")</f>
        <v>6000.1</v>
      </c>
      <c r="H35" s="11" t="n">
        <f aca="false">SUMIFS('Source 2026'!$I:$I,'Source 2026'!$B:$B,$A35,'Source 2026'!$A:$A,"Amount (NIS)")</f>
        <v>31792.8</v>
      </c>
      <c r="I35" s="11" t="n">
        <f aca="false">H35-G35</f>
        <v>25792.7</v>
      </c>
      <c r="J35" s="10" t="n">
        <f aca="false">IF(AND(G35=0,H35=0),0,IF(G35=0,"New",(H35-G35)/G35))</f>
        <v>4.29871168813853</v>
      </c>
    </row>
    <row r="36" customFormat="false" ht="15" hidden="false" customHeight="true" outlineLevel="0" collapsed="false">
      <c r="A36" s="8" t="s">
        <v>120</v>
      </c>
      <c r="B36" s="8" t="str">
        <f aca="false">IFERROR(INDEX('Source 2026'!$C:$C,MATCH($A36,'Source 2026'!$B:$B,0)),IFERROR(INDEX('Source 2025'!$C:$C,MATCH($A36,'Source 2025'!$B:$B,0)),""))</f>
        <v>שרוול מטטרזלי מסיליקון</v>
      </c>
      <c r="C36" s="9" t="n">
        <f aca="false">SUMIFS('Source 2025'!$I:$I,'Source 2025'!$B:$B,$A36,'Source 2025'!$A:$A,"Quantity (units)")</f>
        <v>1239</v>
      </c>
      <c r="D36" s="9" t="n">
        <f aca="false">SUMIFS('Source 2026'!$I:$I,'Source 2026'!$B:$B,$A36,'Source 2026'!$A:$A,"Quantity (units)")</f>
        <v>769</v>
      </c>
      <c r="E36" s="9" t="n">
        <f aca="false">D36-C36</f>
        <v>-470</v>
      </c>
      <c r="F36" s="10" t="n">
        <f aca="false">IF(AND(C36=0,D36=0),0,IF(C36=0,"New",(D36-C36)/C36))</f>
        <v>-0.379338175948345</v>
      </c>
      <c r="G36" s="11" t="n">
        <f aca="false">SUMIFS('Source 2025'!$I:$I,'Source 2025'!$B:$B,$A36,'Source 2025'!$A:$A,"Amount (NIS)")</f>
        <v>64494.5</v>
      </c>
      <c r="H36" s="11" t="n">
        <f aca="false">SUMIFS('Source 2026'!$I:$I,'Source 2026'!$B:$B,$A36,'Source 2026'!$A:$A,"Amount (NIS)")</f>
        <v>40241</v>
      </c>
      <c r="I36" s="11" t="n">
        <f aca="false">H36-G36</f>
        <v>-24253.5</v>
      </c>
      <c r="J36" s="10" t="n">
        <f aca="false">IF(AND(G36=0,H36=0),0,IF(G36=0,"New",(H36-G36)/G36))</f>
        <v>-0.376055322546884</v>
      </c>
    </row>
    <row r="37" customFormat="false" ht="15" hidden="false" customHeight="true" outlineLevel="0" collapsed="false">
      <c r="A37" s="8" t="s">
        <v>263</v>
      </c>
      <c r="B37" s="8" t="str">
        <f aca="false">IFERROR(INDEX('Source 2026'!$C:$C,MATCH($A37,'Source 2026'!$B:$B,0)),IFERROR(INDEX('Source 2025'!$C:$C,MATCH($A37,'Source 2025'!$B:$B,0)),""))</f>
        <v>פיקה לברך</v>
      </c>
      <c r="C37" s="9" t="n">
        <f aca="false">SUMIFS('Source 2025'!$I:$I,'Source 2025'!$B:$B,$A37,'Source 2025'!$A:$A,"Quantity (units)")</f>
        <v>1021</v>
      </c>
      <c r="D37" s="9" t="n">
        <f aca="false">SUMIFS('Source 2026'!$I:$I,'Source 2026'!$B:$B,$A37,'Source 2026'!$A:$A,"Quantity (units)")</f>
        <v>494</v>
      </c>
      <c r="E37" s="9" t="n">
        <f aca="false">D37-C37</f>
        <v>-527</v>
      </c>
      <c r="F37" s="10" t="n">
        <f aca="false">IF(AND(C37=0,D37=0),0,IF(C37=0,"New",(D37-C37)/C37))</f>
        <v>-0.516160626836435</v>
      </c>
      <c r="G37" s="11" t="n">
        <f aca="false">SUMIFS('Source 2025'!$I:$I,'Source 2025'!$B:$B,$A37,'Source 2025'!$A:$A,"Amount (NIS)")</f>
        <v>46100.5</v>
      </c>
      <c r="H37" s="11" t="n">
        <f aca="false">SUMIFS('Source 2026'!$I:$I,'Source 2026'!$B:$B,$A37,'Source 2026'!$A:$A,"Amount (NIS)")</f>
        <v>22307.3</v>
      </c>
      <c r="I37" s="11" t="n">
        <f aca="false">H37-G37</f>
        <v>-23793.2</v>
      </c>
      <c r="J37" s="10" t="n">
        <f aca="false">IF(AND(G37=0,H37=0),0,IF(G37=0,"New",(H37-G37)/G37))</f>
        <v>-0.516115877268143</v>
      </c>
    </row>
    <row r="38" customFormat="false" ht="15" hidden="false" customHeight="true" outlineLevel="0" collapsed="false">
      <c r="A38" s="8" t="s">
        <v>82</v>
      </c>
      <c r="B38" s="8" t="str">
        <f aca="false">IFERROR(INDEX('Source 2026'!$C:$C,MATCH($A38,'Source 2026'!$B:$B,0)),IFERROR(INDEX('Source 2025'!$C:$C,MATCH($A38,'Source 2025'!$B:$B,0)),""))</f>
        <v>טלק מעושר באלוורה</v>
      </c>
      <c r="C38" s="9" t="n">
        <f aca="false">SUMIFS('Source 2025'!$I:$I,'Source 2025'!$B:$B,$A38,'Source 2025'!$A:$A,"Quantity (units)")</f>
        <v>2669</v>
      </c>
      <c r="D38" s="9" t="n">
        <f aca="false">SUMIFS('Source 2026'!$I:$I,'Source 2026'!$B:$B,$A38,'Source 2026'!$A:$A,"Quantity (units)")</f>
        <v>1303</v>
      </c>
      <c r="E38" s="9" t="n">
        <f aca="false">D38-C38</f>
        <v>-1366</v>
      </c>
      <c r="F38" s="10" t="n">
        <f aca="false">IF(AND(C38=0,D38=0),0,IF(C38=0,"New",(D38-C38)/C38))</f>
        <v>-0.511802173098539</v>
      </c>
      <c r="G38" s="11" t="n">
        <f aca="false">SUMIFS('Source 2025'!$I:$I,'Source 2025'!$B:$B,$A38,'Source 2025'!$A:$A,"Amount (NIS)")</f>
        <v>45083.3</v>
      </c>
      <c r="H38" s="11" t="n">
        <f aca="false">SUMIFS('Source 2026'!$I:$I,'Source 2026'!$B:$B,$A38,'Source 2026'!$A:$A,"Amount (NIS)")</f>
        <v>22114.5</v>
      </c>
      <c r="I38" s="11" t="n">
        <f aca="false">H38-G38</f>
        <v>-22968.8</v>
      </c>
      <c r="J38" s="10" t="n">
        <f aca="false">IF(AND(G38=0,H38=0),0,IF(G38=0,"New",(H38-G38)/G38))</f>
        <v>-0.509474683530265</v>
      </c>
    </row>
    <row r="39" customFormat="false" ht="15" hidden="false" customHeight="true" outlineLevel="0" collapsed="false">
      <c r="A39" s="8" t="s">
        <v>85</v>
      </c>
      <c r="B39" s="8" t="str">
        <f aca="false">IFERROR(INDEX('Source 2026'!$C:$C,MATCH($A39,'Source 2026'!$B:$B,0)),IFERROR(INDEX('Source 2025'!$C:$C,MATCH($A39,'Source 2025'!$B:$B,0)),""))</f>
        <v>לציפורן חודרנית</v>
      </c>
      <c r="C39" s="9" t="n">
        <f aca="false">SUMIFS('Source 2025'!$I:$I,'Source 2025'!$B:$B,$A39,'Source 2025'!$A:$A,"Quantity (units)")</f>
        <v>2328</v>
      </c>
      <c r="D39" s="9" t="n">
        <f aca="false">SUMIFS('Source 2026'!$I:$I,'Source 2026'!$B:$B,$A39,'Source 2026'!$A:$A,"Quantity (units)")</f>
        <v>1600</v>
      </c>
      <c r="E39" s="9" t="n">
        <f aca="false">D39-C39</f>
        <v>-728</v>
      </c>
      <c r="F39" s="10" t="n">
        <f aca="false">IF(AND(C39=0,D39=0),0,IF(C39=0,"New",(D39-C39)/C39))</f>
        <v>-0.312714776632302</v>
      </c>
      <c r="G39" s="11" t="n">
        <f aca="false">SUMIFS('Source 2025'!$I:$I,'Source 2025'!$B:$B,$A39,'Source 2025'!$A:$A,"Amount (NIS)")</f>
        <v>73148</v>
      </c>
      <c r="H39" s="11" t="n">
        <f aca="false">SUMIFS('Source 2026'!$I:$I,'Source 2026'!$B:$B,$A39,'Source 2026'!$A:$A,"Amount (NIS)")</f>
        <v>50431.7</v>
      </c>
      <c r="I39" s="11" t="n">
        <f aca="false">H39-G39</f>
        <v>-22716.3</v>
      </c>
      <c r="J39" s="10" t="n">
        <f aca="false">IF(AND(G39=0,H39=0),0,IF(G39=0,"New",(H39-G39)/G39))</f>
        <v>-0.310552578334336</v>
      </c>
    </row>
    <row r="40" customFormat="false" ht="15" hidden="false" customHeight="true" outlineLevel="0" collapsed="false">
      <c r="A40" s="8" t="s">
        <v>62</v>
      </c>
      <c r="B40" s="8" t="str">
        <f aca="false">IFERROR(INDEX('Source 2026'!$C:$C,MATCH($A40,'Source 2026'!$B:$B,0)),IFERROR(INDEX('Source 2025'!$C:$C,MATCH($A40,'Source 2025'!$B:$B,0)),""))</f>
        <v>L צוארון ספוגי</v>
      </c>
      <c r="C40" s="9" t="n">
        <f aca="false">SUMIFS('Source 2025'!$I:$I,'Source 2025'!$B:$B,$A40,'Source 2025'!$A:$A,"Quantity (units)")</f>
        <v>2500</v>
      </c>
      <c r="D40" s="9" t="n">
        <f aca="false">SUMIFS('Source 2026'!$I:$I,'Source 2026'!$B:$B,$A40,'Source 2026'!$A:$A,"Quantity (units)")</f>
        <v>1675</v>
      </c>
      <c r="E40" s="9" t="n">
        <f aca="false">D40-C40</f>
        <v>-825</v>
      </c>
      <c r="F40" s="10" t="n">
        <f aca="false">IF(AND(C40=0,D40=0),0,IF(C40=0,"New",(D40-C40)/C40))</f>
        <v>-0.33</v>
      </c>
      <c r="G40" s="11" t="n">
        <f aca="false">SUMIFS('Source 2025'!$I:$I,'Source 2025'!$B:$B,$A40,'Source 2025'!$A:$A,"Amount (NIS)")</f>
        <v>75752.2</v>
      </c>
      <c r="H40" s="11" t="n">
        <f aca="false">SUMIFS('Source 2026'!$I:$I,'Source 2026'!$B:$B,$A40,'Source 2026'!$A:$A,"Amount (NIS)")</f>
        <v>53058.3</v>
      </c>
      <c r="I40" s="11" t="n">
        <f aca="false">H40-G40</f>
        <v>-22693.9</v>
      </c>
      <c r="J40" s="10" t="n">
        <f aca="false">IF(AND(G40=0,H40=0),0,IF(G40=0,"New",(H40-G40)/G40))</f>
        <v>-0.299580738249186</v>
      </c>
    </row>
    <row r="41" customFormat="false" ht="15" hidden="false" customHeight="true" outlineLevel="0" collapsed="false">
      <c r="A41" s="8" t="s">
        <v>184</v>
      </c>
      <c r="B41" s="8" t="str">
        <f aca="false">IFERROR(INDEX('Source 2026'!$C:$C,MATCH($A41,'Source 2026'!$B:$B,0)),IFERROR(INDEX('Source 2025'!$C:$C,MATCH($A41,'Source 2025'!$B:$B,0)),""))</f>
        <v>חבק ""טניס אלבו רצועה</v>
      </c>
      <c r="C41" s="9" t="n">
        <f aca="false">SUMIFS('Source 2025'!$I:$I,'Source 2025'!$B:$B,$A41,'Source 2025'!$A:$A,"Quantity (units)")</f>
        <v>259</v>
      </c>
      <c r="D41" s="9" t="n">
        <f aca="false">SUMIFS('Source 2026'!$I:$I,'Source 2026'!$B:$B,$A41,'Source 2026'!$A:$A,"Quantity (units)")</f>
        <v>-31</v>
      </c>
      <c r="E41" s="9" t="n">
        <f aca="false">D41-C41</f>
        <v>-290</v>
      </c>
      <c r="F41" s="10" t="n">
        <f aca="false">IF(AND(C41=0,D41=0),0,IF(C41=0,"New",(D41-C41)/C41))</f>
        <v>-1.11969111969112</v>
      </c>
      <c r="G41" s="11" t="n">
        <f aca="false">SUMIFS('Source 2025'!$I:$I,'Source 2025'!$B:$B,$A41,'Source 2025'!$A:$A,"Amount (NIS)")</f>
        <v>18291</v>
      </c>
      <c r="H41" s="11" t="n">
        <f aca="false">SUMIFS('Source 2026'!$I:$I,'Source 2026'!$B:$B,$A41,'Source 2026'!$A:$A,"Amount (NIS)")</f>
        <v>-2165</v>
      </c>
      <c r="I41" s="11" t="n">
        <f aca="false">H41-G41</f>
        <v>-20456</v>
      </c>
      <c r="J41" s="10" t="n">
        <f aca="false">IF(AND(G41=0,H41=0),0,IF(G41=0,"New",(H41-G41)/G41))</f>
        <v>-1.11836422284183</v>
      </c>
    </row>
    <row r="42" customFormat="false" ht="15" hidden="false" customHeight="true" outlineLevel="0" collapsed="false">
      <c r="A42" s="8" t="s">
        <v>93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2025'!$I:$I,'Source 2025'!$B:$B,$A42,'Source 2025'!$A:$A,"Quantity (units)")</f>
        <v>1052</v>
      </c>
      <c r="D42" s="9" t="n">
        <f aca="false">SUMIFS('Source 2026'!$I:$I,'Source 2026'!$B:$B,$A42,'Source 2026'!$A:$A,"Quantity (units)")</f>
        <v>563</v>
      </c>
      <c r="E42" s="9" t="n">
        <f aca="false">D42-C42</f>
        <v>-489</v>
      </c>
      <c r="F42" s="10" t="n">
        <f aca="false">IF(AND(C42=0,D42=0),0,IF(C42=0,"New",(D42-C42)/C42))</f>
        <v>-0.464828897338403</v>
      </c>
      <c r="G42" s="11" t="n">
        <f aca="false">SUMIFS('Source 2025'!$I:$I,'Source 2025'!$B:$B,$A42,'Source 2025'!$A:$A,"Amount (NIS)")</f>
        <v>43432.7</v>
      </c>
      <c r="H42" s="11" t="n">
        <f aca="false">SUMIFS('Source 2026'!$I:$I,'Source 2026'!$B:$B,$A42,'Source 2026'!$A:$A,"Amount (NIS)")</f>
        <v>23392.6</v>
      </c>
      <c r="I42" s="11" t="n">
        <f aca="false">H42-G42</f>
        <v>-20040.1</v>
      </c>
      <c r="J42" s="10" t="n">
        <f aca="false">IF(AND(G42=0,H42=0),0,IF(G42=0,"New",(H42-G42)/G42))</f>
        <v>-0.461405807145308</v>
      </c>
    </row>
    <row r="43" customFormat="false" ht="15" hidden="false" customHeight="true" outlineLevel="0" collapsed="false">
      <c r="A43" s="8" t="s">
        <v>83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1200</v>
      </c>
      <c r="D43" s="9" t="n">
        <f aca="false">SUMIFS('Source 2026'!$I:$I,'Source 2026'!$B:$B,$A43,'Source 2026'!$A:$A,"Quantity (units)")</f>
        <v>711</v>
      </c>
      <c r="E43" s="9" t="n">
        <f aca="false">D43-C43</f>
        <v>-489</v>
      </c>
      <c r="F43" s="10" t="n">
        <f aca="false">IF(AND(C43=0,D43=0),0,IF(C43=0,"New",(D43-C43)/C43))</f>
        <v>-0.4075</v>
      </c>
      <c r="G43" s="11" t="n">
        <f aca="false">SUMIFS('Source 2025'!$I:$I,'Source 2025'!$B:$B,$A43,'Source 2025'!$A:$A,"Amount (NIS)")</f>
        <v>48495.6</v>
      </c>
      <c r="H43" s="11" t="n">
        <f aca="false">SUMIFS('Source 2026'!$I:$I,'Source 2026'!$B:$B,$A43,'Source 2026'!$A:$A,"Amount (NIS)")</f>
        <v>28682.6</v>
      </c>
      <c r="I43" s="11" t="n">
        <f aca="false">H43-G43</f>
        <v>-19813</v>
      </c>
      <c r="J43" s="10" t="n">
        <f aca="false">IF(AND(G43=0,H43=0),0,IF(G43=0,"New",(H43-G43)/G43))</f>
        <v>-0.40855252847681</v>
      </c>
    </row>
    <row r="44" customFormat="false" ht="15" hidden="false" customHeight="true" outlineLevel="0" collapsed="false">
      <c r="A44" s="8" t="s">
        <v>112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2025'!$I:$I,'Source 2025'!$B:$B,$A44,'Source 2025'!$A:$A,"Quantity (units)")</f>
        <v>1944</v>
      </c>
      <c r="D44" s="9" t="n">
        <f aca="false">SUMIFS('Source 2026'!$I:$I,'Source 2026'!$B:$B,$A44,'Source 2026'!$A:$A,"Quantity (units)")</f>
        <v>1193</v>
      </c>
      <c r="E44" s="9" t="n">
        <f aca="false">D44-C44</f>
        <v>-751</v>
      </c>
      <c r="F44" s="10" t="n">
        <f aca="false">IF(AND(C44=0,D44=0),0,IF(C44=0,"New",(D44-C44)/C44))</f>
        <v>-0.386316872427984</v>
      </c>
      <c r="G44" s="11" t="n">
        <f aca="false">SUMIFS('Source 2025'!$I:$I,'Source 2025'!$B:$B,$A44,'Source 2025'!$A:$A,"Amount (NIS)")</f>
        <v>50757.7</v>
      </c>
      <c r="H44" s="11" t="n">
        <f aca="false">SUMIFS('Source 2026'!$I:$I,'Source 2026'!$B:$B,$A44,'Source 2026'!$A:$A,"Amount (NIS)")</f>
        <v>31560.2</v>
      </c>
      <c r="I44" s="11" t="n">
        <f aca="false">H44-G44</f>
        <v>-19197.5</v>
      </c>
      <c r="J44" s="10" t="n">
        <f aca="false">IF(AND(G44=0,H44=0),0,IF(G44=0,"New",(H44-G44)/G44))</f>
        <v>-0.378218477196563</v>
      </c>
    </row>
    <row r="45" customFormat="false" ht="15" hidden="false" customHeight="true" outlineLevel="0" collapsed="false">
      <c r="A45" s="8" t="s">
        <v>94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2025'!$I:$I,'Source 2025'!$B:$B,$A45,'Source 2025'!$A:$A,"Quantity (units)")</f>
        <v>1250</v>
      </c>
      <c r="D45" s="9" t="n">
        <f aca="false">SUMIFS('Source 2026'!$I:$I,'Source 2026'!$B:$B,$A45,'Source 2026'!$A:$A,"Quantity (units)")</f>
        <v>779</v>
      </c>
      <c r="E45" s="9" t="n">
        <f aca="false">D45-C45</f>
        <v>-471</v>
      </c>
      <c r="F45" s="10" t="n">
        <f aca="false">IF(AND(C45=0,D45=0),0,IF(C45=0,"New",(D45-C45)/C45))</f>
        <v>-0.3768</v>
      </c>
      <c r="G45" s="11" t="n">
        <f aca="false">SUMIFS('Source 2025'!$I:$I,'Source 2025'!$B:$B,$A45,'Source 2025'!$A:$A,"Amount (NIS)")</f>
        <v>49625.3</v>
      </c>
      <c r="H45" s="11" t="n">
        <f aca="false">SUMIFS('Source 2026'!$I:$I,'Source 2026'!$B:$B,$A45,'Source 2026'!$A:$A,"Amount (NIS)")</f>
        <v>31161.7</v>
      </c>
      <c r="I45" s="11" t="n">
        <f aca="false">H45-G45</f>
        <v>-18463.6</v>
      </c>
      <c r="J45" s="10" t="n">
        <f aca="false">IF(AND(G45=0,H45=0),0,IF(G45=0,"New",(H45-G45)/G45))</f>
        <v>-0.372060219283309</v>
      </c>
    </row>
    <row r="46" customFormat="false" ht="15" hidden="false" customHeight="true" outlineLevel="0" collapsed="false">
      <c r="A46" s="8" t="s">
        <v>246</v>
      </c>
      <c r="B46" s="8" t="str">
        <f aca="false">IFERROR(INDEX('Source 2026'!$C:$C,MATCH($A46,'Source 2026'!$B:$B,0)),IFERROR(INDEX('Source 2025'!$C:$C,MATCH($A46,'Source 2025'!$B:$B,0)),""))</f>
        <v>S מקבע כתף ויד</v>
      </c>
      <c r="C46" s="9" t="n">
        <f aca="false">SUMIFS('Source 2025'!$I:$I,'Source 2025'!$B:$B,$A46,'Source 2025'!$A:$A,"Quantity (units)")</f>
        <v>574</v>
      </c>
      <c r="D46" s="9" t="n">
        <f aca="false">SUMIFS('Source 2026'!$I:$I,'Source 2026'!$B:$B,$A46,'Source 2026'!$A:$A,"Quantity (units)")</f>
        <v>463</v>
      </c>
      <c r="E46" s="9" t="n">
        <f aca="false">D46-C46</f>
        <v>-111</v>
      </c>
      <c r="F46" s="10" t="n">
        <f aca="false">IF(AND(C46=0,D46=0),0,IF(C46=0,"New",(D46-C46)/C46))</f>
        <v>-0.193379790940767</v>
      </c>
      <c r="G46" s="11" t="n">
        <f aca="false">SUMIFS('Source 2025'!$I:$I,'Source 2025'!$B:$B,$A46,'Source 2025'!$A:$A,"Amount (NIS)")</f>
        <v>92968.5</v>
      </c>
      <c r="H46" s="11" t="n">
        <f aca="false">SUMIFS('Source 2026'!$I:$I,'Source 2026'!$B:$B,$A46,'Source 2026'!$A:$A,"Amount (NIS)")</f>
        <v>75091.9</v>
      </c>
      <c r="I46" s="11" t="n">
        <f aca="false">H46-G46</f>
        <v>-17876.6</v>
      </c>
      <c r="J46" s="10" t="n">
        <f aca="false">IF(AND(G46=0,H46=0),0,IF(G46=0,"New",(H46-G46)/G46))</f>
        <v>-0.192286634720362</v>
      </c>
    </row>
    <row r="47" customFormat="false" ht="15" hidden="false" customHeight="true" outlineLevel="0" collapsed="false">
      <c r="A47" s="8" t="s">
        <v>102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2025'!$I:$I,'Source 2025'!$B:$B,$A47,'Source 2025'!$A:$A,"Quantity (units)")</f>
        <v>1150</v>
      </c>
      <c r="D47" s="9" t="n">
        <f aca="false">SUMIFS('Source 2026'!$I:$I,'Source 2026'!$B:$B,$A47,'Source 2026'!$A:$A,"Quantity (units)")</f>
        <v>704</v>
      </c>
      <c r="E47" s="9" t="n">
        <f aca="false">D47-C47</f>
        <v>-446</v>
      </c>
      <c r="F47" s="10" t="n">
        <f aca="false">IF(AND(C47=0,D47=0),0,IF(C47=0,"New",(D47-C47)/C47))</f>
        <v>-0.387826086956522</v>
      </c>
      <c r="G47" s="11" t="n">
        <f aca="false">SUMIFS('Source 2025'!$I:$I,'Source 2025'!$B:$B,$A47,'Source 2025'!$A:$A,"Amount (NIS)")</f>
        <v>45598.1</v>
      </c>
      <c r="H47" s="11" t="n">
        <f aca="false">SUMIFS('Source 2026'!$I:$I,'Source 2026'!$B:$B,$A47,'Source 2026'!$A:$A,"Amount (NIS)")</f>
        <v>28209.3</v>
      </c>
      <c r="I47" s="11" t="n">
        <f aca="false">H47-G47</f>
        <v>-17388.8</v>
      </c>
      <c r="J47" s="10" t="n">
        <f aca="false">IF(AND(G47=0,H47=0),0,IF(G47=0,"New",(H47-G47)/G47))</f>
        <v>-0.381349222884287</v>
      </c>
    </row>
    <row r="48" customFormat="false" ht="15" hidden="false" customHeight="true" outlineLevel="0" collapsed="false">
      <c r="A48" s="8" t="s">
        <v>103</v>
      </c>
      <c r="B48" s="8" t="str">
        <f aca="false">IFERROR(INDEX('Source 2026'!$C:$C,MATCH($A48,'Source 2026'!$B:$B,0)),IFERROR(INDEX('Source 2025'!$C:$C,MATCH($A48,'Source 2025'!$B:$B,0)),""))</f>
        <v>0 מ.בוניון+מפריד אצבע</v>
      </c>
      <c r="C48" s="9" t="n">
        <f aca="false">SUMIFS('Source 2025'!$I:$I,'Source 2025'!$B:$B,$A48,'Source 2025'!$A:$A,"Quantity (units)")</f>
        <v>1966</v>
      </c>
      <c r="D48" s="9" t="n">
        <f aca="false">SUMIFS('Source 2026'!$I:$I,'Source 2026'!$B:$B,$A48,'Source 2026'!$A:$A,"Quantity (units)")</f>
        <v>1490</v>
      </c>
      <c r="E48" s="9" t="n">
        <f aca="false">D48-C48</f>
        <v>-476</v>
      </c>
      <c r="F48" s="10" t="n">
        <f aca="false">IF(AND(C48=0,D48=0),0,IF(C48=0,"New",(D48-C48)/C48))</f>
        <v>-0.242115971515768</v>
      </c>
      <c r="G48" s="11" t="n">
        <f aca="false">SUMIFS('Source 2025'!$I:$I,'Source 2025'!$B:$B,$A48,'Source 2025'!$A:$A,"Amount (NIS)")</f>
        <v>68574.3</v>
      </c>
      <c r="H48" s="11" t="n">
        <f aca="false">SUMIFS('Source 2026'!$I:$I,'Source 2026'!$B:$B,$A48,'Source 2026'!$A:$A,"Amount (NIS)")</f>
        <v>51711.1</v>
      </c>
      <c r="I48" s="11" t="n">
        <f aca="false">H48-G48</f>
        <v>-16863.2</v>
      </c>
      <c r="J48" s="10" t="n">
        <f aca="false">IF(AND(G48=0,H48=0),0,IF(G48=0,"New",(H48-G48)/G48))</f>
        <v>-0.245911369128084</v>
      </c>
    </row>
    <row r="49" customFormat="false" ht="15" hidden="false" customHeight="true" outlineLevel="0" collapsed="false">
      <c r="A49" s="8" t="s">
        <v>107</v>
      </c>
      <c r="B49" s="8" t="str">
        <f aca="false">IFERROR(INDEX('Source 2026'!$C:$C,MATCH($A49,'Source 2026'!$B:$B,0)),IFERROR(INDEX('Source 2025'!$C:$C,MATCH($A49,'Source 2025'!$B:$B,0)),""))</f>
        <v>S-L אצבעון מסיליקון יחידה</v>
      </c>
      <c r="C49" s="9" t="n">
        <f aca="false">SUMIFS('Source 2025'!$I:$I,'Source 2025'!$B:$B,$A49,'Source 2025'!$A:$A,"Quantity (units)")</f>
        <v>2474</v>
      </c>
      <c r="D49" s="9" t="n">
        <f aca="false">SUMIFS('Source 2026'!$I:$I,'Source 2026'!$B:$B,$A49,'Source 2026'!$A:$A,"Quantity (units)")</f>
        <v>1747</v>
      </c>
      <c r="E49" s="9" t="n">
        <f aca="false">D49-C49</f>
        <v>-727</v>
      </c>
      <c r="F49" s="10" t="n">
        <f aca="false">IF(AND(C49=0,D49=0),0,IF(C49=0,"New",(D49-C49)/C49))</f>
        <v>-0.293856103476152</v>
      </c>
      <c r="G49" s="11" t="n">
        <f aca="false">SUMIFS('Source 2025'!$I:$I,'Source 2025'!$B:$B,$A49,'Source 2025'!$A:$A,"Amount (NIS)")</f>
        <v>54688.9</v>
      </c>
      <c r="H49" s="11" t="n">
        <f aca="false">SUMIFS('Source 2026'!$I:$I,'Source 2026'!$B:$B,$A49,'Source 2026'!$A:$A,"Amount (NIS)")</f>
        <v>38938.5</v>
      </c>
      <c r="I49" s="11" t="n">
        <f aca="false">H49-G49</f>
        <v>-15750.4</v>
      </c>
      <c r="J49" s="10" t="n">
        <f aca="false">IF(AND(G49=0,H49=0),0,IF(G49=0,"New",(H49-G49)/G49))</f>
        <v>-0.287999941487212</v>
      </c>
    </row>
    <row r="50" customFormat="false" ht="15" hidden="false" customHeight="true" outlineLevel="0" collapsed="false">
      <c r="A50" s="8" t="s">
        <v>218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2025'!$I:$I,'Source 2025'!$B:$B,$A50,'Source 2025'!$A:$A,"Quantity (units)")</f>
        <v>177</v>
      </c>
      <c r="D50" s="9" t="n">
        <f aca="false">SUMIFS('Source 2026'!$I:$I,'Source 2026'!$B:$B,$A50,'Source 2026'!$A:$A,"Quantity (units)")</f>
        <v>57</v>
      </c>
      <c r="E50" s="9" t="n">
        <f aca="false">D50-C50</f>
        <v>-120</v>
      </c>
      <c r="F50" s="10" t="n">
        <f aca="false">IF(AND(C50=0,D50=0),0,IF(C50=0,"New",(D50-C50)/C50))</f>
        <v>-0.677966101694915</v>
      </c>
      <c r="G50" s="11" t="n">
        <f aca="false">SUMIFS('Source 2025'!$I:$I,'Source 2025'!$B:$B,$A50,'Source 2025'!$A:$A,"Amount (NIS)")</f>
        <v>23269.9</v>
      </c>
      <c r="H50" s="11" t="n">
        <f aca="false">SUMIFS('Source 2026'!$I:$I,'Source 2026'!$B:$B,$A50,'Source 2026'!$A:$A,"Amount (NIS)")</f>
        <v>7725.5</v>
      </c>
      <c r="I50" s="11" t="n">
        <f aca="false">H50-G50</f>
        <v>-15544.4</v>
      </c>
      <c r="J50" s="10" t="n">
        <f aca="false">IF(AND(G50=0,H50=0),0,IF(G50=0,"New",(H50-G50)/G50))</f>
        <v>-0.668004589620067</v>
      </c>
    </row>
    <row r="51" customFormat="false" ht="15" hidden="false" customHeight="true" outlineLevel="0" collapsed="false">
      <c r="A51" s="8" t="s">
        <v>227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2025'!$I:$I,'Source 2025'!$B:$B,$A51,'Source 2025'!$A:$A,"Quantity (units)")</f>
        <v>302</v>
      </c>
      <c r="D51" s="9" t="n">
        <f aca="false">SUMIFS('Source 2026'!$I:$I,'Source 2026'!$B:$B,$A51,'Source 2026'!$A:$A,"Quantity (units)")</f>
        <v>132</v>
      </c>
      <c r="E51" s="9" t="n">
        <f aca="false">D51-C51</f>
        <v>-170</v>
      </c>
      <c r="F51" s="10" t="n">
        <f aca="false">IF(AND(C51=0,D51=0),0,IF(C51=0,"New",(D51-C51)/C51))</f>
        <v>-0.562913907284768</v>
      </c>
      <c r="G51" s="11" t="n">
        <f aca="false">SUMIFS('Source 2025'!$I:$I,'Source 2025'!$B:$B,$A51,'Source 2025'!$A:$A,"Amount (NIS)")</f>
        <v>27486.1</v>
      </c>
      <c r="H51" s="11" t="n">
        <f aca="false">SUMIFS('Source 2026'!$I:$I,'Source 2026'!$B:$B,$A51,'Source 2026'!$A:$A,"Amount (NIS)")</f>
        <v>12246.5</v>
      </c>
      <c r="I51" s="11" t="n">
        <f aca="false">H51-G51</f>
        <v>-15239.6</v>
      </c>
      <c r="J51" s="10" t="n">
        <f aca="false">IF(AND(G51=0,H51=0),0,IF(G51=0,"New",(H51-G51)/G51))</f>
        <v>-0.55444752074685</v>
      </c>
    </row>
    <row r="52" customFormat="false" ht="15" hidden="false" customHeight="true" outlineLevel="0" collapsed="false">
      <c r="A52" s="8" t="s">
        <v>108</v>
      </c>
      <c r="B52" s="8" t="str">
        <f aca="false">IFERROR(INDEX('Source 2026'!$C:$C,MATCH($A52,'Source 2026'!$B:$B,0)),IFERROR(INDEX('Source 2025'!$C:$C,MATCH($A52,'Source 2025'!$B:$B,0)),""))</f>
        <v>למניעת שפשוף 5 יח</v>
      </c>
      <c r="C52" s="9" t="n">
        <f aca="false">SUMIFS('Source 2025'!$I:$I,'Source 2025'!$B:$B,$A52,'Source 2025'!$A:$A,"Quantity (units)")</f>
        <v>4630</v>
      </c>
      <c r="D52" s="9" t="n">
        <f aca="false">SUMIFS('Source 2026'!$I:$I,'Source 2026'!$B:$B,$A52,'Source 2026'!$A:$A,"Quantity (units)")</f>
        <v>3276</v>
      </c>
      <c r="E52" s="9" t="n">
        <f aca="false">D52-C52</f>
        <v>-1354</v>
      </c>
      <c r="F52" s="10" t="n">
        <f aca="false">IF(AND(C52=0,D52=0),0,IF(C52=0,"New",(D52-C52)/C52))</f>
        <v>-0.29244060475162</v>
      </c>
      <c r="G52" s="11" t="n">
        <f aca="false">SUMIFS('Source 2025'!$I:$I,'Source 2025'!$B:$B,$A52,'Source 2025'!$A:$A,"Amount (NIS)")</f>
        <v>57852</v>
      </c>
      <c r="H52" s="11" t="n">
        <f aca="false">SUMIFS('Source 2026'!$I:$I,'Source 2026'!$B:$B,$A52,'Source 2026'!$A:$A,"Amount (NIS)")</f>
        <v>44217.4</v>
      </c>
      <c r="I52" s="11" t="n">
        <f aca="false">H52-G52</f>
        <v>-13634.6</v>
      </c>
      <c r="J52" s="10" t="n">
        <f aca="false">IF(AND(G52=0,H52=0),0,IF(G52=0,"New",(H52-G52)/G52))</f>
        <v>-0.235680702482196</v>
      </c>
    </row>
    <row r="53" customFormat="false" ht="15" hidden="false" customHeight="true" outlineLevel="0" collapsed="false">
      <c r="A53" s="8" t="s">
        <v>191</v>
      </c>
      <c r="B53" s="8" t="str">
        <f aca="false">IFERROR(INDEX('Source 2026'!$C:$C,MATCH($A53,'Source 2026'!$B:$B,0)),IFERROR(INDEX('Source 2025'!$C:$C,MATCH($A53,'Source 2025'!$B:$B,0)),""))</f>
        <v>XS חגורת פאבליק</v>
      </c>
      <c r="C53" s="9" t="n">
        <f aca="false">SUMIFS('Source 2025'!$I:$I,'Source 2025'!$B:$B,$A53,'Source 2025'!$A:$A,"Quantity (units)")</f>
        <v>0</v>
      </c>
      <c r="D53" s="9" t="n">
        <f aca="false">SUMIFS('Source 2026'!$I:$I,'Source 2026'!$B:$B,$A53,'Source 2026'!$A:$A,"Quantity (units)")</f>
        <v>47</v>
      </c>
      <c r="E53" s="9" t="n">
        <f aca="false">D53-C53</f>
        <v>47</v>
      </c>
      <c r="F53" s="10" t="str">
        <f aca="false">IF(AND(C53=0,D53=0),0,IF(C53=0,"New",(D53-C53)/C53))</f>
        <v>New</v>
      </c>
      <c r="G53" s="11" t="n">
        <f aca="false">SUMIFS('Source 2025'!$I:$I,'Source 2025'!$B:$B,$A53,'Source 2025'!$A:$A,"Amount (NIS)")</f>
        <v>0</v>
      </c>
      <c r="H53" s="11" t="n">
        <f aca="false">SUMIFS('Source 2026'!$I:$I,'Source 2026'!$B:$B,$A53,'Source 2026'!$A:$A,"Amount (NIS)")</f>
        <v>13130.3</v>
      </c>
      <c r="I53" s="11" t="n">
        <f aca="false">H53-G53</f>
        <v>13130.3</v>
      </c>
      <c r="J53" s="10" t="str">
        <f aca="false">IF(AND(G53=0,H53=0),0,IF(G53=0,"New",(H53-G53)/G53))</f>
        <v>New</v>
      </c>
    </row>
    <row r="54" customFormat="false" ht="15" hidden="false" customHeight="true" outlineLevel="0" collapsed="false">
      <c r="A54" s="8" t="s">
        <v>87</v>
      </c>
      <c r="B54" s="8" t="str">
        <f aca="false">IFERROR(INDEX('Source 2026'!$C:$C,MATCH($A54,'Source 2026'!$B:$B,0)),IFERROR(INDEX('Source 2025'!$C:$C,MATCH($A54,'Source 2025'!$B:$B,0)),""))</f>
        <v>מדרס אורטופ.מתכוון35-36</v>
      </c>
      <c r="C54" s="9" t="n">
        <f aca="false">SUMIFS('Source 2025'!$I:$I,'Source 2025'!$B:$B,$A54,'Source 2025'!$A:$A,"Quantity (units)")</f>
        <v>573</v>
      </c>
      <c r="D54" s="9" t="n">
        <f aca="false">SUMIFS('Source 2026'!$I:$I,'Source 2026'!$B:$B,$A54,'Source 2026'!$A:$A,"Quantity (units)")</f>
        <v>386</v>
      </c>
      <c r="E54" s="9" t="n">
        <f aca="false">D54-C54</f>
        <v>-187</v>
      </c>
      <c r="F54" s="10" t="n">
        <f aca="false">IF(AND(C54=0,D54=0),0,IF(C54=0,"New",(D54-C54)/C54))</f>
        <v>-0.326352530541012</v>
      </c>
      <c r="G54" s="11" t="n">
        <f aca="false">SUMIFS('Source 2025'!$I:$I,'Source 2025'!$B:$B,$A54,'Source 2025'!$A:$A,"Amount (NIS)")</f>
        <v>38173.9</v>
      </c>
      <c r="H54" s="11" t="n">
        <f aca="false">SUMIFS('Source 2026'!$I:$I,'Source 2026'!$B:$B,$A54,'Source 2026'!$A:$A,"Amount (NIS)")</f>
        <v>25266.8</v>
      </c>
      <c r="I54" s="11" t="n">
        <f aca="false">H54-G54</f>
        <v>-12907.1</v>
      </c>
      <c r="J54" s="10" t="n">
        <f aca="false">IF(AND(G54=0,H54=0),0,IF(G54=0,"New",(H54-G54)/G54))</f>
        <v>-0.338113213478319</v>
      </c>
    </row>
    <row r="55" customFormat="false" ht="15" hidden="false" customHeight="true" outlineLevel="0" collapsed="false">
      <c r="A55" s="8" t="s">
        <v>150</v>
      </c>
      <c r="B55" s="8" t="str">
        <f aca="false">IFERROR(INDEX('Source 2026'!$C:$C,MATCH($A55,'Source 2026'!$B:$B,0)),IFERROR(INDEX('Source 2025'!$C:$C,MATCH($A55,'Source 2025'!$B:$B,0)),""))</f>
        <v>נצמדת שחור 20 מ""מ</v>
      </c>
      <c r="C55" s="9" t="n">
        <f aca="false">SUMIFS('Source 2025'!$I:$I,'Source 2025'!$B:$B,$A55,'Source 2025'!$A:$A,"Quantity (units)")</f>
        <v>1790</v>
      </c>
      <c r="D55" s="9" t="n">
        <f aca="false">SUMIFS('Source 2026'!$I:$I,'Source 2026'!$B:$B,$A55,'Source 2026'!$A:$A,"Quantity (units)")</f>
        <v>580</v>
      </c>
      <c r="E55" s="9" t="n">
        <f aca="false">D55-C55</f>
        <v>-1210</v>
      </c>
      <c r="F55" s="10" t="n">
        <f aca="false">IF(AND(C55=0,D55=0),0,IF(C55=0,"New",(D55-C55)/C55))</f>
        <v>-0.675977653631285</v>
      </c>
      <c r="G55" s="11" t="n">
        <f aca="false">SUMIFS('Source 2025'!$I:$I,'Source 2025'!$B:$B,$A55,'Source 2025'!$A:$A,"Amount (NIS)")</f>
        <v>18164.7</v>
      </c>
      <c r="H55" s="11" t="n">
        <f aca="false">SUMIFS('Source 2026'!$I:$I,'Source 2026'!$B:$B,$A55,'Source 2026'!$A:$A,"Amount (NIS)")</f>
        <v>5942.1</v>
      </c>
      <c r="I55" s="11" t="n">
        <f aca="false">H55-G55</f>
        <v>-12222.6</v>
      </c>
      <c r="J55" s="10" t="n">
        <f aca="false">IF(AND(G55=0,H55=0),0,IF(G55=0,"New",(H55-G55)/G55))</f>
        <v>-0.672876513237213</v>
      </c>
    </row>
    <row r="56" customFormat="false" ht="15" hidden="false" customHeight="true" outlineLevel="0" collapsed="false">
      <c r="A56" s="8" t="s">
        <v>139</v>
      </c>
      <c r="B56" s="8" t="str">
        <f aca="false">IFERROR(INDEX('Source 2026'!$C:$C,MATCH($A56,'Source 2026'!$B:$B,0)),IFERROR(INDEX('Source 2025'!$C:$C,MATCH($A56,'Source 2025'!$B:$B,0)),""))</f>
        <v>נצמדת כחול20מ""מ</v>
      </c>
      <c r="C56" s="9" t="n">
        <f aca="false">SUMIFS('Source 2025'!$I:$I,'Source 2025'!$B:$B,$A56,'Source 2025'!$A:$A,"Quantity (units)")</f>
        <v>1556</v>
      </c>
      <c r="D56" s="9" t="n">
        <f aca="false">SUMIFS('Source 2026'!$I:$I,'Source 2026'!$B:$B,$A56,'Source 2026'!$A:$A,"Quantity (units)")</f>
        <v>358</v>
      </c>
      <c r="E56" s="9" t="n">
        <f aca="false">D56-C56</f>
        <v>-1198</v>
      </c>
      <c r="F56" s="10" t="n">
        <f aca="false">IF(AND(C56=0,D56=0),0,IF(C56=0,"New",(D56-C56)/C56))</f>
        <v>-0.769922879177378</v>
      </c>
      <c r="G56" s="11" t="n">
        <f aca="false">SUMIFS('Source 2025'!$I:$I,'Source 2025'!$B:$B,$A56,'Source 2025'!$A:$A,"Amount (NIS)")</f>
        <v>15795.7</v>
      </c>
      <c r="H56" s="11" t="n">
        <f aca="false">SUMIFS('Source 2026'!$I:$I,'Source 2026'!$B:$B,$A56,'Source 2026'!$A:$A,"Amount (NIS)")</f>
        <v>3674.8</v>
      </c>
      <c r="I56" s="11" t="n">
        <f aca="false">H56-G56</f>
        <v>-12120.9</v>
      </c>
      <c r="J56" s="10" t="n">
        <f aca="false">IF(AND(G56=0,H56=0),0,IF(G56=0,"New",(H56-G56)/G56))</f>
        <v>-0.767354406579006</v>
      </c>
    </row>
    <row r="57" customFormat="false" ht="15" hidden="false" customHeight="true" outlineLevel="0" collapsed="false">
      <c r="A57" s="8" t="s">
        <v>143</v>
      </c>
      <c r="B57" s="8" t="str">
        <f aca="false">IFERROR(INDEX('Source 2026'!$C:$C,MATCH($A57,'Source 2026'!$B:$B,0)),IFERROR(INDEX('Source 2025'!$C:$C,MATCH($A57,'Source 2025'!$B:$B,0)),""))</f>
        <v>בליסטר פלסטר</v>
      </c>
      <c r="C57" s="9" t="n">
        <f aca="false">SUMIFS('Source 2025'!$I:$I,'Source 2025'!$B:$B,$A57,'Source 2025'!$A:$A,"Quantity (units)")</f>
        <v>2062</v>
      </c>
      <c r="D57" s="9" t="n">
        <f aca="false">SUMIFS('Source 2026'!$I:$I,'Source 2026'!$B:$B,$A57,'Source 2026'!$A:$A,"Quantity (units)")</f>
        <v>1386</v>
      </c>
      <c r="E57" s="9" t="n">
        <f aca="false">D57-C57</f>
        <v>-676</v>
      </c>
      <c r="F57" s="10" t="n">
        <f aca="false">IF(AND(C57=0,D57=0),0,IF(C57=0,"New",(D57-C57)/C57))</f>
        <v>-0.327837051406402</v>
      </c>
      <c r="G57" s="11" t="n">
        <f aca="false">SUMIFS('Source 2025'!$I:$I,'Source 2025'!$B:$B,$A57,'Source 2025'!$A:$A,"Amount (NIS)")</f>
        <v>36835</v>
      </c>
      <c r="H57" s="11" t="n">
        <f aca="false">SUMIFS('Source 2026'!$I:$I,'Source 2026'!$B:$B,$A57,'Source 2026'!$A:$A,"Amount (NIS)")</f>
        <v>24943.6</v>
      </c>
      <c r="I57" s="11" t="n">
        <f aca="false">H57-G57</f>
        <v>-11891.4</v>
      </c>
      <c r="J57" s="10" t="n">
        <f aca="false">IF(AND(G57=0,H57=0),0,IF(G57=0,"New",(H57-G57)/G57))</f>
        <v>-0.322828831274603</v>
      </c>
    </row>
    <row r="58" customFormat="false" ht="15" hidden="false" customHeight="true" outlineLevel="0" collapsed="false">
      <c r="A58" s="8" t="s">
        <v>117</v>
      </c>
      <c r="B58" s="8" t="str">
        <f aca="false">IFERROR(INDEX('Source 2026'!$C:$C,MATCH($A58,'Source 2026'!$B:$B,0)),IFERROR(INDEX('Source 2025'!$C:$C,MATCH($A58,'Source 2025'!$B:$B,0)),""))</f>
        <v>מטטרזלי סיליקון362</v>
      </c>
      <c r="C58" s="9" t="n">
        <f aca="false">SUMIFS('Source 2025'!$I:$I,'Source 2025'!$B:$B,$A58,'Source 2025'!$A:$A,"Quantity (units)")</f>
        <v>2372</v>
      </c>
      <c r="D58" s="9" t="n">
        <f aca="false">SUMIFS('Source 2026'!$I:$I,'Source 2026'!$B:$B,$A58,'Source 2026'!$A:$A,"Quantity (units)")</f>
        <v>1832</v>
      </c>
      <c r="E58" s="9" t="n">
        <f aca="false">D58-C58</f>
        <v>-540</v>
      </c>
      <c r="F58" s="10" t="n">
        <f aca="false">IF(AND(C58=0,D58=0),0,IF(C58=0,"New",(D58-C58)/C58))</f>
        <v>-0.227655986509275</v>
      </c>
      <c r="G58" s="11" t="n">
        <f aca="false">SUMIFS('Source 2025'!$I:$I,'Source 2025'!$B:$B,$A58,'Source 2025'!$A:$A,"Amount (NIS)")</f>
        <v>55348</v>
      </c>
      <c r="H58" s="11" t="n">
        <f aca="false">SUMIFS('Source 2026'!$I:$I,'Source 2026'!$B:$B,$A58,'Source 2026'!$A:$A,"Amount (NIS)")</f>
        <v>43701.2</v>
      </c>
      <c r="I58" s="11" t="n">
        <f aca="false">H58-G58</f>
        <v>-11646.8</v>
      </c>
      <c r="J58" s="10" t="n">
        <f aca="false">IF(AND(G58=0,H58=0),0,IF(G58=0,"New",(H58-G58)/G58))</f>
        <v>-0.210428561104286</v>
      </c>
    </row>
    <row r="59" customFormat="false" ht="15" hidden="false" customHeight="true" outlineLevel="0" collapsed="false">
      <c r="A59" s="8" t="s">
        <v>98</v>
      </c>
      <c r="B59" s="8" t="str">
        <f aca="false">IFERROR(INDEX('Source 2026'!$C:$C,MATCH($A59,'Source 2026'!$B:$B,0)),IFERROR(INDEX('Source 2025'!$C:$C,MATCH($A59,'Source 2025'!$B:$B,0)),""))</f>
        <v>Sמיישר כתף יציב יישור גב צר</v>
      </c>
      <c r="C59" s="9" t="n">
        <f aca="false">SUMIFS('Source 2025'!$I:$I,'Source 2025'!$B:$B,$A59,'Source 2025'!$A:$A,"Quantity (units)")</f>
        <v>267</v>
      </c>
      <c r="D59" s="9" t="n">
        <f aca="false">SUMIFS('Source 2026'!$I:$I,'Source 2026'!$B:$B,$A59,'Source 2026'!$A:$A,"Quantity (units)")</f>
        <v>171</v>
      </c>
      <c r="E59" s="9" t="n">
        <f aca="false">D59-C59</f>
        <v>-96</v>
      </c>
      <c r="F59" s="10" t="n">
        <f aca="false">IF(AND(C59=0,D59=0),0,IF(C59=0,"New",(D59-C59)/C59))</f>
        <v>-0.359550561797753</v>
      </c>
      <c r="G59" s="11" t="n">
        <f aca="false">SUMIFS('Source 2025'!$I:$I,'Source 2025'!$B:$B,$A59,'Source 2025'!$A:$A,"Amount (NIS)")</f>
        <v>36138.1</v>
      </c>
      <c r="H59" s="11" t="n">
        <f aca="false">SUMIFS('Source 2026'!$I:$I,'Source 2026'!$B:$B,$A59,'Source 2026'!$A:$A,"Amount (NIS)")</f>
        <v>24630.6</v>
      </c>
      <c r="I59" s="11" t="n">
        <f aca="false">H59-G59</f>
        <v>-11507.5</v>
      </c>
      <c r="J59" s="10" t="n">
        <f aca="false">IF(AND(G59=0,H59=0),0,IF(G59=0,"New",(H59-G59)/G59))</f>
        <v>-0.318431240159278</v>
      </c>
    </row>
    <row r="60" customFormat="false" ht="15" hidden="false" customHeight="true" outlineLevel="0" collapsed="false">
      <c r="A60" s="8" t="s">
        <v>202</v>
      </c>
      <c r="B60" s="8" t="str">
        <f aca="false">IFERROR(INDEX('Source 2026'!$C:$C,MATCH($A60,'Source 2026'!$B:$B,0)),IFERROR(INDEX('Source 2025'!$C:$C,MATCH($A60,'Source 2025'!$B:$B,0)),""))</f>
        <v>S חגורה למנותחי בית החזה</v>
      </c>
      <c r="C60" s="9" t="n">
        <f aca="false">SUMIFS('Source 2025'!$I:$I,'Source 2025'!$B:$B,$A60,'Source 2025'!$A:$A,"Quantity (units)")</f>
        <v>247</v>
      </c>
      <c r="D60" s="9" t="n">
        <f aca="false">SUMIFS('Source 2026'!$I:$I,'Source 2026'!$B:$B,$A60,'Source 2026'!$A:$A,"Quantity (units)")</f>
        <v>324</v>
      </c>
      <c r="E60" s="9" t="n">
        <f aca="false">D60-C60</f>
        <v>77</v>
      </c>
      <c r="F60" s="10" t="n">
        <f aca="false">IF(AND(C60=0,D60=0),0,IF(C60=0,"New",(D60-C60)/C60))</f>
        <v>0.311740890688259</v>
      </c>
      <c r="G60" s="11" t="n">
        <f aca="false">SUMIFS('Source 2025'!$I:$I,'Source 2025'!$B:$B,$A60,'Source 2025'!$A:$A,"Amount (NIS)")</f>
        <v>34609.9</v>
      </c>
      <c r="H60" s="11" t="n">
        <f aca="false">SUMIFS('Source 2026'!$I:$I,'Source 2026'!$B:$B,$A60,'Source 2026'!$A:$A,"Amount (NIS)")</f>
        <v>45987.8</v>
      </c>
      <c r="I60" s="11" t="n">
        <f aca="false">H60-G60</f>
        <v>11377.9</v>
      </c>
      <c r="J60" s="10" t="n">
        <f aca="false">IF(AND(G60=0,H60=0),0,IF(G60=0,"New",(H60-G60)/G60))</f>
        <v>0.328746977021026</v>
      </c>
    </row>
    <row r="61" customFormat="false" ht="15" hidden="false" customHeight="true" outlineLevel="0" collapsed="false">
      <c r="A61" s="8" t="s">
        <v>133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2025'!$I:$I,'Source 2025'!$B:$B,$A61,'Source 2025'!$A:$A,"Quantity (units)")</f>
        <v>2036</v>
      </c>
      <c r="D61" s="9" t="n">
        <f aca="false">SUMIFS('Source 2026'!$I:$I,'Source 2026'!$B:$B,$A61,'Source 2026'!$A:$A,"Quantity (units)")</f>
        <v>954</v>
      </c>
      <c r="E61" s="9" t="n">
        <f aca="false">D61-C61</f>
        <v>-1082</v>
      </c>
      <c r="F61" s="10" t="n">
        <f aca="false">IF(AND(C61=0,D61=0),0,IF(C61=0,"New",(D61-C61)/C61))</f>
        <v>-0.531434184675835</v>
      </c>
      <c r="G61" s="11" t="n">
        <f aca="false">SUMIFS('Source 2025'!$I:$I,'Source 2025'!$B:$B,$A61,'Source 2025'!$A:$A,"Amount (NIS)")</f>
        <v>21006.6</v>
      </c>
      <c r="H61" s="11" t="n">
        <f aca="false">SUMIFS('Source 2026'!$I:$I,'Source 2026'!$B:$B,$A61,'Source 2026'!$A:$A,"Amount (NIS)")</f>
        <v>9939.5</v>
      </c>
      <c r="I61" s="11" t="n">
        <f aca="false">H61-G61</f>
        <v>-11067.1</v>
      </c>
      <c r="J61" s="10" t="n">
        <f aca="false">IF(AND(G61=0,H61=0),0,IF(G61=0,"New",(H61-G61)/G61))</f>
        <v>-0.526839183875544</v>
      </c>
    </row>
    <row r="62" customFormat="false" ht="15" hidden="false" customHeight="true" outlineLevel="0" collapsed="false">
      <c r="A62" s="8" t="s">
        <v>162</v>
      </c>
      <c r="B62" s="8" t="str">
        <f aca="false">IFERROR(INDEX('Source 2026'!$C:$C,MATCH($A62,'Source 2026'!$B:$B,0)),IFERROR(INDEX('Source 2025'!$C:$C,MATCH($A62,'Source 2025'!$B:$B,0)),""))</f>
        <v>שרוול מגן לבוניון</v>
      </c>
      <c r="C62" s="9" t="n">
        <f aca="false">SUMIFS('Source 2025'!$I:$I,'Source 2025'!$B:$B,$A62,'Source 2025'!$A:$A,"Quantity (units)")</f>
        <v>1069</v>
      </c>
      <c r="D62" s="9" t="n">
        <f aca="false">SUMIFS('Source 2026'!$I:$I,'Source 2026'!$B:$B,$A62,'Source 2026'!$A:$A,"Quantity (units)")</f>
        <v>680</v>
      </c>
      <c r="E62" s="9" t="n">
        <f aca="false">D62-C62</f>
        <v>-389</v>
      </c>
      <c r="F62" s="10" t="n">
        <f aca="false">IF(AND(C62=0,D62=0),0,IF(C62=0,"New",(D62-C62)/C62))</f>
        <v>-0.363891487371375</v>
      </c>
      <c r="G62" s="11" t="n">
        <f aca="false">SUMIFS('Source 2025'!$I:$I,'Source 2025'!$B:$B,$A62,'Source 2025'!$A:$A,"Amount (NIS)")</f>
        <v>30816.1</v>
      </c>
      <c r="H62" s="11" t="n">
        <f aca="false">SUMIFS('Source 2026'!$I:$I,'Source 2026'!$B:$B,$A62,'Source 2026'!$A:$A,"Amount (NIS)")</f>
        <v>19986</v>
      </c>
      <c r="I62" s="11" t="n">
        <f aca="false">H62-G62</f>
        <v>-10830.1</v>
      </c>
      <c r="J62" s="10" t="n">
        <f aca="false">IF(AND(G62=0,H62=0),0,IF(G62=0,"New",(H62-G62)/G62))</f>
        <v>-0.351442914580365</v>
      </c>
    </row>
    <row r="63" customFormat="false" ht="15" hidden="false" customHeight="true" outlineLevel="0" collapsed="false">
      <c r="A63" s="8" t="s">
        <v>121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2025'!$I:$I,'Source 2025'!$B:$B,$A63,'Source 2025'!$A:$A,"Quantity (units)")</f>
        <v>3355</v>
      </c>
      <c r="D63" s="9" t="n">
        <f aca="false">SUMIFS('Source 2026'!$I:$I,'Source 2026'!$B:$B,$A63,'Source 2026'!$A:$A,"Quantity (units)")</f>
        <v>2312</v>
      </c>
      <c r="E63" s="9" t="n">
        <f aca="false">D63-C63</f>
        <v>-1043</v>
      </c>
      <c r="F63" s="10" t="n">
        <f aca="false">IF(AND(C63=0,D63=0),0,IF(C63=0,"New",(D63-C63)/C63))</f>
        <v>-0.310879284649776</v>
      </c>
      <c r="G63" s="11" t="n">
        <f aca="false">SUMIFS('Source 2025'!$I:$I,'Source 2025'!$B:$B,$A63,'Source 2025'!$A:$A,"Amount (NIS)")</f>
        <v>34596.7</v>
      </c>
      <c r="H63" s="11" t="n">
        <f aca="false">SUMIFS('Source 2026'!$I:$I,'Source 2026'!$B:$B,$A63,'Source 2026'!$A:$A,"Amount (NIS)")</f>
        <v>24034.3</v>
      </c>
      <c r="I63" s="11" t="n">
        <f aca="false">H63-G63</f>
        <v>-10562.4</v>
      </c>
      <c r="J63" s="10" t="n">
        <f aca="false">IF(AND(G63=0,H63=0),0,IF(G63=0,"New",(H63-G63)/G63))</f>
        <v>-0.305300794584455</v>
      </c>
    </row>
    <row r="64" customFormat="false" ht="15" hidden="false" customHeight="true" outlineLevel="0" collapsed="false">
      <c r="A64" s="8" t="s">
        <v>134</v>
      </c>
      <c r="B64" s="8" t="str">
        <f aca="false">IFERROR(INDEX('Source 2026'!$C:$C,MATCH($A64,'Source 2026'!$B:$B,0)),IFERROR(INDEX('Source 2025'!$C:$C,MATCH($A64,'Source 2025'!$B:$B,0)),""))</f>
        <v>S מגן קרסול מתכוון עם סקוטש</v>
      </c>
      <c r="C64" s="9" t="n">
        <f aca="false">SUMIFS('Source 2025'!$I:$I,'Source 2025'!$B:$B,$A64,'Source 2025'!$A:$A,"Quantity (units)")</f>
        <v>136</v>
      </c>
      <c r="D64" s="9" t="n">
        <f aca="false">SUMIFS('Source 2026'!$I:$I,'Source 2026'!$B:$B,$A64,'Source 2026'!$A:$A,"Quantity (units)")</f>
        <v>-45</v>
      </c>
      <c r="E64" s="9" t="n">
        <f aca="false">D64-C64</f>
        <v>-181</v>
      </c>
      <c r="F64" s="10" t="n">
        <f aca="false">IF(AND(C64=0,D64=0),0,IF(C64=0,"New",(D64-C64)/C64))</f>
        <v>-1.33088235294118</v>
      </c>
      <c r="G64" s="11" t="n">
        <f aca="false">SUMIFS('Source 2025'!$I:$I,'Source 2025'!$B:$B,$A64,'Source 2025'!$A:$A,"Amount (NIS)")</f>
        <v>7975.8</v>
      </c>
      <c r="H64" s="11" t="n">
        <f aca="false">SUMIFS('Source 2026'!$I:$I,'Source 2026'!$B:$B,$A64,'Source 2026'!$A:$A,"Amount (NIS)")</f>
        <v>-2538.3</v>
      </c>
      <c r="I64" s="11" t="n">
        <f aca="false">H64-G64</f>
        <v>-10514.1</v>
      </c>
      <c r="J64" s="10" t="n">
        <f aca="false">IF(AND(G64=0,H64=0),0,IF(G64=0,"New",(H64-G64)/G64))</f>
        <v>-1.3182502068758</v>
      </c>
    </row>
    <row r="65" customFormat="false" ht="15" hidden="false" customHeight="true" outlineLevel="0" collapsed="false">
      <c r="A65" s="8" t="s">
        <v>80</v>
      </c>
      <c r="B65" s="8" t="str">
        <f aca="false">IFERROR(INDEX('Source 2026'!$C:$C,MATCH($A65,'Source 2026'!$B:$B,0)),IFERROR(INDEX('Source 2025'!$C:$C,MATCH($A65,'Source 2025'!$B:$B,0)),""))</f>
        <v>L חבק יד מתכוון עם צמדן</v>
      </c>
      <c r="C65" s="9" t="n">
        <f aca="false">SUMIFS('Source 2025'!$I:$I,'Source 2025'!$B:$B,$A65,'Source 2025'!$A:$A,"Quantity (units)")</f>
        <v>1092</v>
      </c>
      <c r="D65" s="9" t="n">
        <f aca="false">SUMIFS('Source 2026'!$I:$I,'Source 2026'!$B:$B,$A65,'Source 2026'!$A:$A,"Quantity (units)")</f>
        <v>688</v>
      </c>
      <c r="E65" s="9" t="n">
        <f aca="false">D65-C65</f>
        <v>-404</v>
      </c>
      <c r="F65" s="10" t="n">
        <f aca="false">IF(AND(C65=0,D65=0),0,IF(C65=0,"New",(D65-C65)/C65))</f>
        <v>-0.36996336996337</v>
      </c>
      <c r="G65" s="11" t="n">
        <f aca="false">SUMIFS('Source 2025'!$I:$I,'Source 2025'!$B:$B,$A65,'Source 2025'!$A:$A,"Amount (NIS)")</f>
        <v>28193.9</v>
      </c>
      <c r="H65" s="11" t="n">
        <f aca="false">SUMIFS('Source 2026'!$I:$I,'Source 2026'!$B:$B,$A65,'Source 2026'!$A:$A,"Amount (NIS)")</f>
        <v>18222.6</v>
      </c>
      <c r="I65" s="11" t="n">
        <f aca="false">H65-G65</f>
        <v>-9971.3</v>
      </c>
      <c r="J65" s="10" t="n">
        <f aca="false">IF(AND(G65=0,H65=0),0,IF(G65=0,"New",(H65-G65)/G65))</f>
        <v>-0.353668701385761</v>
      </c>
    </row>
    <row r="66" customFormat="false" ht="15" hidden="false" customHeight="true" outlineLevel="0" collapsed="false">
      <c r="A66" s="8" t="s">
        <v>233</v>
      </c>
      <c r="B66" s="8" t="str">
        <f aca="false">IFERROR(INDEX('Source 2026'!$C:$C,MATCH($A66,'Source 2026'!$B:$B,0)),IFERROR(INDEX('Source 2025'!$C:$C,MATCH($A66,'Source 2025'!$B:$B,0)),""))</f>
        <v>L שמאל CTS כפפות</v>
      </c>
      <c r="C66" s="9" t="n">
        <f aca="false">SUMIFS('Source 2025'!$I:$I,'Source 2025'!$B:$B,$A66,'Source 2025'!$A:$A,"Quantity (units)")</f>
        <v>0</v>
      </c>
      <c r="D66" s="9" t="n">
        <f aca="false">SUMIFS('Source 2026'!$I:$I,'Source 2026'!$B:$B,$A66,'Source 2026'!$A:$A,"Quantity (units)")</f>
        <v>93</v>
      </c>
      <c r="E66" s="9" t="n">
        <f aca="false">D66-C66</f>
        <v>93</v>
      </c>
      <c r="F66" s="10" t="str">
        <f aca="false">IF(AND(C66=0,D66=0),0,IF(C66=0,"New",(D66-C66)/C66))</f>
        <v>New</v>
      </c>
      <c r="G66" s="11" t="n">
        <f aca="false">SUMIFS('Source 2025'!$I:$I,'Source 2025'!$B:$B,$A66,'Source 2025'!$A:$A,"Amount (NIS)")</f>
        <v>0</v>
      </c>
      <c r="H66" s="11" t="n">
        <f aca="false">SUMIFS('Source 2026'!$I:$I,'Source 2026'!$B:$B,$A66,'Source 2026'!$A:$A,"Amount (NIS)")</f>
        <v>9344.9</v>
      </c>
      <c r="I66" s="11" t="n">
        <f aca="false">H66-G66</f>
        <v>9344.9</v>
      </c>
      <c r="J66" s="10" t="str">
        <f aca="false">IF(AND(G66=0,H66=0),0,IF(G66=0,"New",(H66-G66)/G66))</f>
        <v>New</v>
      </c>
    </row>
    <row r="67" customFormat="false" ht="15" hidden="false" customHeight="true" outlineLevel="0" collapsed="false">
      <c r="A67" s="8" t="s">
        <v>68</v>
      </c>
      <c r="B67" s="8" t="str">
        <f aca="false">IFERROR(INDEX('Source 2026'!$C:$C,MATCH($A67,'Source 2026'!$B:$B,0)),IFERROR(INDEX('Source 2025'!$C:$C,MATCH($A67,'Source 2025'!$B:$B,0)),""))</f>
        <v>דאודורנט אנטיבק.נעל333</v>
      </c>
      <c r="C67" s="9" t="n">
        <f aca="false">SUMIFS('Source 2025'!$I:$I,'Source 2025'!$B:$B,$A67,'Source 2025'!$A:$A,"Quantity (units)")</f>
        <v>1681</v>
      </c>
      <c r="D67" s="9" t="n">
        <f aca="false">SUMIFS('Source 2026'!$I:$I,'Source 2026'!$B:$B,$A67,'Source 2026'!$A:$A,"Quantity (units)")</f>
        <v>1283</v>
      </c>
      <c r="E67" s="9" t="n">
        <f aca="false">D67-C67</f>
        <v>-398</v>
      </c>
      <c r="F67" s="10" t="n">
        <f aca="false">IF(AND(C67=0,D67=0),0,IF(C67=0,"New",(D67-C67)/C67))</f>
        <v>-0.236763831052945</v>
      </c>
      <c r="G67" s="11" t="n">
        <f aca="false">SUMIFS('Source 2025'!$I:$I,'Source 2025'!$B:$B,$A67,'Source 2025'!$A:$A,"Amount (NIS)")</f>
        <v>30910.4</v>
      </c>
      <c r="H67" s="11" t="n">
        <f aca="false">SUMIFS('Source 2026'!$I:$I,'Source 2026'!$B:$B,$A67,'Source 2026'!$A:$A,"Amount (NIS)")</f>
        <v>22225.7</v>
      </c>
      <c r="I67" s="11" t="n">
        <f aca="false">H67-G67</f>
        <v>-8684.7</v>
      </c>
      <c r="J67" s="10" t="n">
        <f aca="false">IF(AND(G67=0,H67=0),0,IF(G67=0,"New",(H67-G67)/G67))</f>
        <v>-0.280963688596718</v>
      </c>
    </row>
    <row r="68" customFormat="false" ht="15" hidden="false" customHeight="true" outlineLevel="0" collapsed="false">
      <c r="A68" s="8" t="s">
        <v>180</v>
      </c>
      <c r="B68" s="8" t="str">
        <f aca="false">IFERROR(INDEX('Source 2026'!$C:$C,MATCH($A68,'Source 2026'!$B:$B,0)),IFERROR(INDEX('Source 2025'!$C:$C,MATCH($A68,'Source 2025'!$B:$B,0)),""))</f>
        <v>תחבושת נצמדת ורוד 20ממ</v>
      </c>
      <c r="C68" s="9" t="n">
        <f aca="false">SUMIFS('Source 2025'!$I:$I,'Source 2025'!$B:$B,$A68,'Source 2025'!$A:$A,"Quantity (units)")</f>
        <v>1134</v>
      </c>
      <c r="D68" s="9" t="n">
        <f aca="false">SUMIFS('Source 2026'!$I:$I,'Source 2026'!$B:$B,$A68,'Source 2026'!$A:$A,"Quantity (units)")</f>
        <v>283</v>
      </c>
      <c r="E68" s="9" t="n">
        <f aca="false">D68-C68</f>
        <v>-851</v>
      </c>
      <c r="F68" s="10" t="n">
        <f aca="false">IF(AND(C68=0,D68=0),0,IF(C68=0,"New",(D68-C68)/C68))</f>
        <v>-0.750440917107584</v>
      </c>
      <c r="G68" s="11" t="n">
        <f aca="false">SUMIFS('Source 2025'!$I:$I,'Source 2025'!$B:$B,$A68,'Source 2025'!$A:$A,"Amount (NIS)")</f>
        <v>11512.2</v>
      </c>
      <c r="H68" s="11" t="n">
        <f aca="false">SUMIFS('Source 2026'!$I:$I,'Source 2026'!$B:$B,$A68,'Source 2026'!$A:$A,"Amount (NIS)")</f>
        <v>2916</v>
      </c>
      <c r="I68" s="11" t="n">
        <f aca="false">H68-G68</f>
        <v>-8596.2</v>
      </c>
      <c r="J68" s="10" t="n">
        <f aca="false">IF(AND(G68=0,H68=0),0,IF(G68=0,"New",(H68-G68)/G68))</f>
        <v>-0.746703497159535</v>
      </c>
    </row>
    <row r="69" customFormat="false" ht="15" hidden="false" customHeight="true" outlineLevel="0" collapsed="false">
      <c r="A69" s="8" t="s">
        <v>88</v>
      </c>
      <c r="B69" s="8" t="str">
        <f aca="false">IFERROR(INDEX('Source 2026'!$C:$C,MATCH($A69,'Source 2026'!$B:$B,0)),IFERROR(INDEX('Source 2025'!$C:$C,MATCH($A69,'Source 2025'!$B:$B,0)),""))</f>
        <v>חגורת גב +סגירה כפולה</v>
      </c>
      <c r="C69" s="9" t="n">
        <f aca="false">SUMIFS('Source 2025'!$I:$I,'Source 2025'!$B:$B,$A69,'Source 2025'!$A:$A,"Quantity (units)")</f>
        <v>132</v>
      </c>
      <c r="D69" s="9" t="n">
        <f aca="false">SUMIFS('Source 2026'!$I:$I,'Source 2026'!$B:$B,$A69,'Source 2026'!$A:$A,"Quantity (units)")</f>
        <v>42</v>
      </c>
      <c r="E69" s="9" t="n">
        <f aca="false">D69-C69</f>
        <v>-90</v>
      </c>
      <c r="F69" s="10" t="n">
        <f aca="false">IF(AND(C69=0,D69=0),0,IF(C69=0,"New",(D69-C69)/C69))</f>
        <v>-0.681818181818182</v>
      </c>
      <c r="G69" s="11" t="n">
        <f aca="false">SUMIFS('Source 2025'!$I:$I,'Source 2025'!$B:$B,$A69,'Source 2025'!$A:$A,"Amount (NIS)")</f>
        <v>12600.2</v>
      </c>
      <c r="H69" s="11" t="n">
        <f aca="false">SUMIFS('Source 2026'!$I:$I,'Source 2026'!$B:$B,$A69,'Source 2026'!$A:$A,"Amount (NIS)")</f>
        <v>4263.8</v>
      </c>
      <c r="I69" s="11" t="n">
        <f aca="false">H69-G69</f>
        <v>-8336.4</v>
      </c>
      <c r="J69" s="10" t="n">
        <f aca="false">IF(AND(G69=0,H69=0),0,IF(G69=0,"New",(H69-G69)/G69))</f>
        <v>-0.661608545896097</v>
      </c>
    </row>
    <row r="70" customFormat="false" ht="15" hidden="false" customHeight="true" outlineLevel="0" collapsed="false">
      <c r="A70" s="8" t="s">
        <v>158</v>
      </c>
      <c r="B70" s="8" t="str">
        <f aca="false">IFERROR(INDEX('Source 2026'!$C:$C,MATCH($A70,'Source 2026'!$B:$B,0)),IFERROR(INDEX('Source 2025'!$C:$C,MATCH($A70,'Source 2025'!$B:$B,0)),""))</f>
        <v>3667 מגן בוניון</v>
      </c>
      <c r="C70" s="9" t="n">
        <f aca="false">SUMIFS('Source 2025'!$I:$I,'Source 2025'!$B:$B,$A70,'Source 2025'!$A:$A,"Quantity (units)")</f>
        <v>1043</v>
      </c>
      <c r="D70" s="9" t="n">
        <f aca="false">SUMIFS('Source 2026'!$I:$I,'Source 2026'!$B:$B,$A70,'Source 2026'!$A:$A,"Quantity (units)")</f>
        <v>740</v>
      </c>
      <c r="E70" s="9" t="n">
        <f aca="false">D70-C70</f>
        <v>-303</v>
      </c>
      <c r="F70" s="10" t="n">
        <f aca="false">IF(AND(C70=0,D70=0),0,IF(C70=0,"New",(D70-C70)/C70))</f>
        <v>-0.290508149568552</v>
      </c>
      <c r="G70" s="11" t="n">
        <f aca="false">SUMIFS('Source 2025'!$I:$I,'Source 2025'!$B:$B,$A70,'Source 2025'!$A:$A,"Amount (NIS)")</f>
        <v>28034.3</v>
      </c>
      <c r="H70" s="11" t="n">
        <f aca="false">SUMIFS('Source 2026'!$I:$I,'Source 2026'!$B:$B,$A70,'Source 2026'!$A:$A,"Amount (NIS)")</f>
        <v>20141.7</v>
      </c>
      <c r="I70" s="11" t="n">
        <f aca="false">H70-G70</f>
        <v>-7892.6</v>
      </c>
      <c r="J70" s="10" t="n">
        <f aca="false">IF(AND(G70=0,H70=0),0,IF(G70=0,"New",(H70-G70)/G70))</f>
        <v>-0.281533692655069</v>
      </c>
    </row>
    <row r="71" customFormat="false" ht="15" hidden="false" customHeight="true" outlineLevel="0" collapsed="false">
      <c r="A71" s="8" t="s">
        <v>258</v>
      </c>
      <c r="B71" s="8" t="str">
        <f aca="false">IFERROR(INDEX('Source 2026'!$C:$C,MATCH($A71,'Source 2026'!$B:$B,0)),IFERROR(INDEX('Source 2025'!$C:$C,MATCH($A71,'Source 2025'!$B:$B,0)),""))</f>
        <v>מיישר בוניון-האלוקס ולגוס</v>
      </c>
      <c r="C71" s="9" t="n">
        <f aca="false">SUMIFS('Source 2025'!$I:$I,'Source 2025'!$B:$B,$A71,'Source 2025'!$A:$A,"Quantity (units)")</f>
        <v>864</v>
      </c>
      <c r="D71" s="9" t="n">
        <f aca="false">SUMIFS('Source 2026'!$I:$I,'Source 2026'!$B:$B,$A71,'Source 2026'!$A:$A,"Quantity (units)")</f>
        <v>681</v>
      </c>
      <c r="E71" s="9" t="n">
        <f aca="false">D71-C71</f>
        <v>-183</v>
      </c>
      <c r="F71" s="10" t="n">
        <f aca="false">IF(AND(C71=0,D71=0),0,IF(C71=0,"New",(D71-C71)/C71))</f>
        <v>-0.211805555555556</v>
      </c>
      <c r="G71" s="11" t="n">
        <f aca="false">SUMIFS('Source 2025'!$I:$I,'Source 2025'!$B:$B,$A71,'Source 2025'!$A:$A,"Amount (NIS)")</f>
        <v>35507.8</v>
      </c>
      <c r="H71" s="11" t="n">
        <f aca="false">SUMIFS('Source 2026'!$I:$I,'Source 2026'!$B:$B,$A71,'Source 2026'!$A:$A,"Amount (NIS)")</f>
        <v>27867.7</v>
      </c>
      <c r="I71" s="11" t="n">
        <f aca="false">H71-G71</f>
        <v>-7640.1</v>
      </c>
      <c r="J71" s="10" t="n">
        <f aca="false">IF(AND(G71=0,H71=0),0,IF(G71=0,"New",(H71-G71)/G71))</f>
        <v>-0.215166808419559</v>
      </c>
    </row>
    <row r="72" customFormat="false" ht="15" hidden="false" customHeight="true" outlineLevel="0" collapsed="false">
      <c r="A72" s="8" t="s">
        <v>81</v>
      </c>
      <c r="B72" s="8" t="str">
        <f aca="false">IFERROR(INDEX('Source 2026'!$C:$C,MATCH($A72,'Source 2026'!$B:$B,0)),IFERROR(INDEX('Source 2025'!$C:$C,MATCH($A72,'Source 2025'!$B:$B,0)),""))</f>
        <v>L חגורת גב +סגירה</v>
      </c>
      <c r="C72" s="9" t="n">
        <f aca="false">SUMIFS('Source 2025'!$I:$I,'Source 2025'!$B:$B,$A72,'Source 2025'!$A:$A,"Quantity (units)")</f>
        <v>164</v>
      </c>
      <c r="D72" s="9" t="n">
        <f aca="false">SUMIFS('Source 2026'!$I:$I,'Source 2026'!$B:$B,$A72,'Source 2026'!$A:$A,"Quantity (units)")</f>
        <v>82</v>
      </c>
      <c r="E72" s="9" t="n">
        <f aca="false">D72-C72</f>
        <v>-82</v>
      </c>
      <c r="F72" s="10" t="n">
        <f aca="false">IF(AND(C72=0,D72=0),0,IF(C72=0,"New",(D72-C72)/C72))</f>
        <v>-0.5</v>
      </c>
      <c r="G72" s="11" t="n">
        <f aca="false">SUMIFS('Source 2025'!$I:$I,'Source 2025'!$B:$B,$A72,'Source 2025'!$A:$A,"Amount (NIS)")</f>
        <v>15702.7</v>
      </c>
      <c r="H72" s="11" t="n">
        <f aca="false">SUMIFS('Source 2026'!$I:$I,'Source 2026'!$B:$B,$A72,'Source 2026'!$A:$A,"Amount (NIS)")</f>
        <v>8230.7</v>
      </c>
      <c r="I72" s="11" t="n">
        <f aca="false">H72-G72</f>
        <v>-7472</v>
      </c>
      <c r="J72" s="10" t="n">
        <f aca="false">IF(AND(G72=0,H72=0),0,IF(G72=0,"New",(H72-G72)/G72))</f>
        <v>-0.475841734224051</v>
      </c>
    </row>
    <row r="73" customFormat="false" ht="15" hidden="false" customHeight="true" outlineLevel="0" collapsed="false">
      <c r="A73" s="8" t="s">
        <v>329</v>
      </c>
      <c r="B73" s="8" t="str">
        <f aca="false">IFERROR(INDEX('Source 2026'!$C:$C,MATCH($A73,'Source 2026'!$B:$B,0)),IFERROR(INDEX('Source 2025'!$C:$C,MATCH($A73,'Source 2025'!$B:$B,0)),""))</f>
        <v>חגורת גב אפורה</v>
      </c>
      <c r="C73" s="9" t="n">
        <f aca="false">SUMIFS('Source 2025'!$I:$I,'Source 2025'!$B:$B,$A73,'Source 2025'!$A:$A,"Quantity (units)")</f>
        <v>377</v>
      </c>
      <c r="D73" s="9" t="n">
        <f aca="false">SUMIFS('Source 2026'!$I:$I,'Source 2026'!$B:$B,$A73,'Source 2026'!$A:$A,"Quantity (units)")</f>
        <v>290</v>
      </c>
      <c r="E73" s="9" t="n">
        <f aca="false">D73-C73</f>
        <v>-87</v>
      </c>
      <c r="F73" s="10" t="n">
        <f aca="false">IF(AND(C73=0,D73=0),0,IF(C73=0,"New",(D73-C73)/C73))</f>
        <v>-0.230769230769231</v>
      </c>
      <c r="G73" s="11" t="n">
        <f aca="false">SUMIFS('Source 2025'!$I:$I,'Source 2025'!$B:$B,$A73,'Source 2025'!$A:$A,"Amount (NIS)")</f>
        <v>34663.2</v>
      </c>
      <c r="H73" s="11" t="n">
        <f aca="false">SUMIFS('Source 2026'!$I:$I,'Source 2026'!$B:$B,$A73,'Source 2026'!$A:$A,"Amount (NIS)")</f>
        <v>27286.9</v>
      </c>
      <c r="I73" s="11" t="n">
        <f aca="false">H73-G73</f>
        <v>-7376.3</v>
      </c>
      <c r="J73" s="10" t="n">
        <f aca="false">IF(AND(G73=0,H73=0),0,IF(G73=0,"New",(H73-G73)/G73))</f>
        <v>-0.212799164531838</v>
      </c>
    </row>
    <row r="74" customFormat="false" ht="15" hidden="false" customHeight="true" outlineLevel="0" collapsed="false">
      <c r="A74" s="8" t="s">
        <v>151</v>
      </c>
      <c r="B74" s="8" t="str">
        <f aca="false">IFERROR(INDEX('Source 2026'!$C:$C,MATCH($A74,'Source 2026'!$B:$B,0)),IFERROR(INDEX('Source 2025'!$C:$C,MATCH($A74,'Source 2025'!$B:$B,0)),""))</f>
        <v>גב אפורה</v>
      </c>
      <c r="C74" s="9" t="n">
        <f aca="false">SUMIFS('Source 2025'!$I:$I,'Source 2025'!$B:$B,$A74,'Source 2025'!$A:$A,"Quantity (units)")</f>
        <v>221</v>
      </c>
      <c r="D74" s="9" t="n">
        <f aca="false">SUMIFS('Source 2026'!$I:$I,'Source 2026'!$B:$B,$A74,'Source 2026'!$A:$A,"Quantity (units)")</f>
        <v>141</v>
      </c>
      <c r="E74" s="9" t="n">
        <f aca="false">D74-C74</f>
        <v>-80</v>
      </c>
      <c r="F74" s="10" t="n">
        <f aca="false">IF(AND(C74=0,D74=0),0,IF(C74=0,"New",(D74-C74)/C74))</f>
        <v>-0.361990950226244</v>
      </c>
      <c r="G74" s="11" t="n">
        <f aca="false">SUMIFS('Source 2025'!$I:$I,'Source 2025'!$B:$B,$A74,'Source 2025'!$A:$A,"Amount (NIS)")</f>
        <v>20730.3</v>
      </c>
      <c r="H74" s="11" t="n">
        <f aca="false">SUMIFS('Source 2026'!$I:$I,'Source 2026'!$B:$B,$A74,'Source 2026'!$A:$A,"Amount (NIS)")</f>
        <v>13459.4</v>
      </c>
      <c r="I74" s="11" t="n">
        <f aca="false">H74-G74</f>
        <v>-7270.9</v>
      </c>
      <c r="J74" s="10" t="n">
        <f aca="false">IF(AND(G74=0,H74=0),0,IF(G74=0,"New",(H74-G74)/G74))</f>
        <v>-0.350737808907734</v>
      </c>
    </row>
    <row r="75" customFormat="false" ht="15" hidden="false" customHeight="true" outlineLevel="0" collapsed="false">
      <c r="A75" s="8" t="s">
        <v>142</v>
      </c>
      <c r="B75" s="8" t="str">
        <f aca="false">IFERROR(INDEX('Source 2026'!$C:$C,MATCH($A75,'Source 2026'!$B:$B,0)),IFERROR(INDEX('Source 2025'!$C:$C,MATCH($A75,'Source 2025'!$B:$B,0)),""))</f>
        <v>S-M סד לאגודל</v>
      </c>
      <c r="C75" s="9" t="n">
        <f aca="false">SUMIFS('Source 2025'!$I:$I,'Source 2025'!$B:$B,$A75,'Source 2025'!$A:$A,"Quantity (units)")</f>
        <v>485</v>
      </c>
      <c r="D75" s="9" t="n">
        <f aca="false">SUMIFS('Source 2026'!$I:$I,'Source 2026'!$B:$B,$A75,'Source 2026'!$A:$A,"Quantity (units)")</f>
        <v>360</v>
      </c>
      <c r="E75" s="9" t="n">
        <f aca="false">D75-C75</f>
        <v>-125</v>
      </c>
      <c r="F75" s="10" t="n">
        <f aca="false">IF(AND(C75=0,D75=0),0,IF(C75=0,"New",(D75-C75)/C75))</f>
        <v>-0.257731958762887</v>
      </c>
      <c r="G75" s="11" t="n">
        <f aca="false">SUMIFS('Source 2025'!$I:$I,'Source 2025'!$B:$B,$A75,'Source 2025'!$A:$A,"Amount (NIS)")</f>
        <v>28234.1</v>
      </c>
      <c r="H75" s="11" t="n">
        <f aca="false">SUMIFS('Source 2026'!$I:$I,'Source 2026'!$B:$B,$A75,'Source 2026'!$A:$A,"Amount (NIS)")</f>
        <v>21127.7</v>
      </c>
      <c r="I75" s="11" t="n">
        <f aca="false">H75-G75</f>
        <v>-7106.4</v>
      </c>
      <c r="J75" s="10" t="n">
        <f aca="false">IF(AND(G75=0,H75=0),0,IF(G75=0,"New",(H75-G75)/G75))</f>
        <v>-0.251695644628304</v>
      </c>
    </row>
    <row r="76" customFormat="false" ht="15" hidden="false" customHeight="true" outlineLevel="0" collapsed="false">
      <c r="A76" s="8" t="s">
        <v>115</v>
      </c>
      <c r="B76" s="8" t="str">
        <f aca="false">IFERROR(INDEX('Source 2026'!$C:$C,MATCH($A76,'Source 2026'!$B:$B,0)),IFERROR(INDEX('Source 2025'!$C:$C,MATCH($A76,'Source 2025'!$B:$B,0)),""))</f>
        <v>S מגן קרסול עקב סגור+רצוע</v>
      </c>
      <c r="C76" s="9" t="n">
        <f aca="false">SUMIFS('Source 2025'!$I:$I,'Source 2025'!$B:$B,$A76,'Source 2025'!$A:$A,"Quantity (units)")</f>
        <v>594</v>
      </c>
      <c r="D76" s="9" t="n">
        <f aca="false">SUMIFS('Source 2026'!$I:$I,'Source 2026'!$B:$B,$A76,'Source 2026'!$A:$A,"Quantity (units)")</f>
        <v>466</v>
      </c>
      <c r="E76" s="9" t="n">
        <f aca="false">D76-C76</f>
        <v>-128</v>
      </c>
      <c r="F76" s="10" t="n">
        <f aca="false">IF(AND(C76=0,D76=0),0,IF(C76=0,"New",(D76-C76)/C76))</f>
        <v>-0.215488215488215</v>
      </c>
      <c r="G76" s="11" t="n">
        <f aca="false">SUMIFS('Source 2025'!$I:$I,'Source 2025'!$B:$B,$A76,'Source 2025'!$A:$A,"Amount (NIS)")</f>
        <v>32796.7</v>
      </c>
      <c r="H76" s="11" t="n">
        <f aca="false">SUMIFS('Source 2026'!$I:$I,'Source 2026'!$B:$B,$A76,'Source 2026'!$A:$A,"Amount (NIS)")</f>
        <v>26002.3</v>
      </c>
      <c r="I76" s="11" t="n">
        <f aca="false">H76-G76</f>
        <v>-6794.4</v>
      </c>
      <c r="J76" s="10" t="n">
        <f aca="false">IF(AND(G76=0,H76=0),0,IF(G76=0,"New",(H76-G76)/G76))</f>
        <v>-0.207167184503319</v>
      </c>
    </row>
    <row r="77" customFormat="false" ht="15" hidden="false" customHeight="true" outlineLevel="0" collapsed="false">
      <c r="A77" s="8" t="s">
        <v>230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2025'!$I:$I,'Source 2025'!$B:$B,$A77,'Source 2025'!$A:$A,"Quantity (units)")</f>
        <v>496</v>
      </c>
      <c r="D77" s="9" t="n">
        <f aca="false">SUMIFS('Source 2026'!$I:$I,'Source 2026'!$B:$B,$A77,'Source 2026'!$A:$A,"Quantity (units)")</f>
        <v>89</v>
      </c>
      <c r="E77" s="9" t="n">
        <f aca="false">D77-C77</f>
        <v>-407</v>
      </c>
      <c r="F77" s="10" t="n">
        <f aca="false">IF(AND(C77=0,D77=0),0,IF(C77=0,"New",(D77-C77)/C77))</f>
        <v>-0.820564516129032</v>
      </c>
      <c r="G77" s="11" t="n">
        <f aca="false">SUMIFS('Source 2025'!$I:$I,'Source 2025'!$B:$B,$A77,'Source 2025'!$A:$A,"Amount (NIS)")</f>
        <v>8292.2</v>
      </c>
      <c r="H77" s="11" t="n">
        <f aca="false">SUMIFS('Source 2026'!$I:$I,'Source 2026'!$B:$B,$A77,'Source 2026'!$A:$A,"Amount (NIS)")</f>
        <v>1612.2</v>
      </c>
      <c r="I77" s="11" t="n">
        <f aca="false">H77-G77</f>
        <v>-6680</v>
      </c>
      <c r="J77" s="10" t="n">
        <f aca="false">IF(AND(G77=0,H77=0),0,IF(G77=0,"New",(H77-G77)/G77))</f>
        <v>-0.805576324738911</v>
      </c>
    </row>
    <row r="78" customFormat="false" ht="15" hidden="false" customHeight="true" outlineLevel="0" collapsed="false">
      <c r="A78" s="8" t="s">
        <v>104</v>
      </c>
      <c r="B78" s="8" t="str">
        <f aca="false">IFERROR(INDEX('Source 2026'!$C:$C,MATCH($A78,'Source 2026'!$B:$B,0)),IFERROR(INDEX('Source 2025'!$C:$C,MATCH($A78,'Source 2025'!$B:$B,0)),""))</f>
        <v>גרב.כסף לסכרתים שחור35-38</v>
      </c>
      <c r="C78" s="9" t="n">
        <f aca="false">SUMIFS('Source 2025'!$I:$I,'Source 2025'!$B:$B,$A78,'Source 2025'!$A:$A,"Quantity (units)")</f>
        <v>473</v>
      </c>
      <c r="D78" s="9" t="n">
        <f aca="false">SUMIFS('Source 2026'!$I:$I,'Source 2026'!$B:$B,$A78,'Source 2026'!$A:$A,"Quantity (units)")</f>
        <v>178</v>
      </c>
      <c r="E78" s="9" t="n">
        <f aca="false">D78-C78</f>
        <v>-295</v>
      </c>
      <c r="F78" s="10" t="n">
        <f aca="false">IF(AND(C78=0,D78=0),0,IF(C78=0,"New",(D78-C78)/C78))</f>
        <v>-0.623678646934461</v>
      </c>
      <c r="G78" s="11" t="n">
        <f aca="false">SUMIFS('Source 2025'!$I:$I,'Source 2025'!$B:$B,$A78,'Source 2025'!$A:$A,"Amount (NIS)")</f>
        <v>10594.9</v>
      </c>
      <c r="H78" s="11" t="n">
        <f aca="false">SUMIFS('Source 2026'!$I:$I,'Source 2026'!$B:$B,$A78,'Source 2026'!$A:$A,"Amount (NIS)")</f>
        <v>3940.9</v>
      </c>
      <c r="I78" s="11" t="n">
        <f aca="false">H78-G78</f>
        <v>-6654</v>
      </c>
      <c r="J78" s="10" t="n">
        <f aca="false">IF(AND(G78=0,H78=0),0,IF(G78=0,"New",(H78-G78)/G78))</f>
        <v>-0.62803801829182</v>
      </c>
    </row>
    <row r="79" customFormat="false" ht="15" hidden="false" customHeight="true" outlineLevel="0" collapsed="false">
      <c r="A79" s="8" t="s">
        <v>262</v>
      </c>
      <c r="B79" s="8" t="str">
        <f aca="false">IFERROR(INDEX('Source 2026'!$C:$C,MATCH($A79,'Source 2026'!$B:$B,0)),IFERROR(INDEX('Source 2025'!$C:$C,MATCH($A79,'Source 2025'!$B:$B,0)),""))</f>
        <v>L ימין CTS כפפות</v>
      </c>
      <c r="C79" s="9" t="n">
        <f aca="false">SUMIFS('Source 2025'!$I:$I,'Source 2025'!$B:$B,$A79,'Source 2025'!$A:$A,"Quantity (units)")</f>
        <v>0</v>
      </c>
      <c r="D79" s="9" t="n">
        <f aca="false">SUMIFS('Source 2026'!$I:$I,'Source 2026'!$B:$B,$A79,'Source 2026'!$A:$A,"Quantity (units)")</f>
        <v>64</v>
      </c>
      <c r="E79" s="9" t="n">
        <f aca="false">D79-C79</f>
        <v>64</v>
      </c>
      <c r="F79" s="10" t="str">
        <f aca="false">IF(AND(C79=0,D79=0),0,IF(C79=0,"New",(D79-C79)/C79))</f>
        <v>New</v>
      </c>
      <c r="G79" s="11" t="n">
        <f aca="false">SUMIFS('Source 2025'!$I:$I,'Source 2025'!$B:$B,$A79,'Source 2025'!$A:$A,"Amount (NIS)")</f>
        <v>0</v>
      </c>
      <c r="H79" s="11" t="n">
        <f aca="false">SUMIFS('Source 2026'!$I:$I,'Source 2026'!$B:$B,$A79,'Source 2026'!$A:$A,"Amount (NIS)")</f>
        <v>6431.2</v>
      </c>
      <c r="I79" s="11" t="n">
        <f aca="false">H79-G79</f>
        <v>6431.2</v>
      </c>
      <c r="J79" s="10" t="str">
        <f aca="false">IF(AND(G79=0,H79=0),0,IF(G79=0,"New",(H79-G79)/G79))</f>
        <v>New</v>
      </c>
    </row>
    <row r="80" customFormat="false" ht="15" hidden="false" customHeight="true" outlineLevel="0" collapsed="false">
      <c r="A80" s="8" t="s">
        <v>119</v>
      </c>
      <c r="B80" s="8" t="str">
        <f aca="false">IFERROR(INDEX('Source 2026'!$C:$C,MATCH($A80,'Source 2026'!$B:$B,0)),IFERROR(INDEX('Source 2025'!$C:$C,MATCH($A80,'Source 2025'!$B:$B,0)),""))</f>
        <v>אמבט לכף הרגל</v>
      </c>
      <c r="C80" s="9" t="n">
        <f aca="false">SUMIFS('Source 2025'!$I:$I,'Source 2025'!$B:$B,$A80,'Source 2025'!$A:$A,"Quantity (units)")</f>
        <v>1085</v>
      </c>
      <c r="D80" s="9" t="n">
        <f aca="false">SUMIFS('Source 2026'!$I:$I,'Source 2026'!$B:$B,$A80,'Source 2026'!$A:$A,"Quantity (units)")</f>
        <v>477</v>
      </c>
      <c r="E80" s="9" t="n">
        <f aca="false">D80-C80</f>
        <v>-608</v>
      </c>
      <c r="F80" s="10" t="n">
        <f aca="false">IF(AND(C80=0,D80=0),0,IF(C80=0,"New",(D80-C80)/C80))</f>
        <v>-0.56036866359447</v>
      </c>
      <c r="G80" s="11" t="n">
        <f aca="false">SUMIFS('Source 2025'!$I:$I,'Source 2025'!$B:$B,$A80,'Source 2025'!$A:$A,"Amount (NIS)")</f>
        <v>11157.6</v>
      </c>
      <c r="H80" s="11" t="n">
        <f aca="false">SUMIFS('Source 2026'!$I:$I,'Source 2026'!$B:$B,$A80,'Source 2026'!$A:$A,"Amount (NIS)")</f>
        <v>4958.1</v>
      </c>
      <c r="I80" s="11" t="n">
        <f aca="false">H80-G80</f>
        <v>-6199.5</v>
      </c>
      <c r="J80" s="10" t="n">
        <f aca="false">IF(AND(G80=0,H80=0),0,IF(G80=0,"New",(H80-G80)/G80))</f>
        <v>-0.555630243063024</v>
      </c>
    </row>
    <row r="81" customFormat="false" ht="15" hidden="false" customHeight="true" outlineLevel="0" collapsed="false">
      <c r="A81" s="8" t="s">
        <v>138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2025'!$I:$I,'Source 2025'!$B:$B,$A81,'Source 2025'!$A:$A,"Quantity (units)")</f>
        <v>934</v>
      </c>
      <c r="D81" s="9" t="n">
        <f aca="false">SUMIFS('Source 2026'!$I:$I,'Source 2026'!$B:$B,$A81,'Source 2026'!$A:$A,"Quantity (units)")</f>
        <v>687</v>
      </c>
      <c r="E81" s="9" t="n">
        <f aca="false">D81-C81</f>
        <v>-247</v>
      </c>
      <c r="F81" s="10" t="n">
        <f aca="false">IF(AND(C81=0,D81=0),0,IF(C81=0,"New",(D81-C81)/C81))</f>
        <v>-0.264453961456103</v>
      </c>
      <c r="G81" s="11" t="n">
        <f aca="false">SUMIFS('Source 2025'!$I:$I,'Source 2025'!$B:$B,$A81,'Source 2025'!$A:$A,"Amount (NIS)")</f>
        <v>25227.4</v>
      </c>
      <c r="H81" s="11" t="n">
        <f aca="false">SUMIFS('Source 2026'!$I:$I,'Source 2026'!$B:$B,$A81,'Source 2026'!$A:$A,"Amount (NIS)")</f>
        <v>19060.4</v>
      </c>
      <c r="I81" s="11" t="n">
        <f aca="false">H81-G81</f>
        <v>-6167</v>
      </c>
      <c r="J81" s="10" t="n">
        <f aca="false">IF(AND(G81=0,H81=0),0,IF(G81=0,"New",(H81-G81)/G81))</f>
        <v>-0.244456424363985</v>
      </c>
    </row>
    <row r="82" customFormat="false" ht="15" hidden="false" customHeight="true" outlineLevel="0" collapsed="false">
      <c r="A82" s="8" t="s">
        <v>172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2025'!$I:$I,'Source 2025'!$B:$B,$A82,'Source 2025'!$A:$A,"Quantity (units)")</f>
        <v>0</v>
      </c>
      <c r="D82" s="9" t="n">
        <f aca="false">SUMIFS('Source 2026'!$I:$I,'Source 2026'!$B:$B,$A82,'Source 2026'!$A:$A,"Quantity (units)")</f>
        <v>40</v>
      </c>
      <c r="E82" s="9" t="n">
        <f aca="false">D82-C82</f>
        <v>40</v>
      </c>
      <c r="F82" s="10" t="str">
        <f aca="false">IF(AND(C82=0,D82=0),0,IF(C82=0,"New",(D82-C82)/C82))</f>
        <v>New</v>
      </c>
      <c r="G82" s="11" t="n">
        <f aca="false">SUMIFS('Source 2025'!$I:$I,'Source 2025'!$B:$B,$A82,'Source 2025'!$A:$A,"Amount (NIS)")</f>
        <v>0</v>
      </c>
      <c r="H82" s="11" t="n">
        <f aca="false">SUMIFS('Source 2026'!$I:$I,'Source 2026'!$B:$B,$A82,'Source 2026'!$A:$A,"Amount (NIS)")</f>
        <v>5635.8</v>
      </c>
      <c r="I82" s="11" t="n">
        <f aca="false">H82-G82</f>
        <v>5635.8</v>
      </c>
      <c r="J82" s="10" t="str">
        <f aca="false">IF(AND(G82=0,H82=0),0,IF(G82=0,"New",(H82-G82)/G82))</f>
        <v>New</v>
      </c>
    </row>
    <row r="83" customFormat="false" ht="15" hidden="false" customHeight="true" outlineLevel="0" collapsed="false">
      <c r="A83" s="8" t="s">
        <v>91</v>
      </c>
      <c r="B83" s="8" t="str">
        <f aca="false">IFERROR(INDEX('Source 2026'!$C:$C,MATCH($A83,'Source 2026'!$B:$B,0)),IFERROR(INDEX('Source 2025'!$C:$C,MATCH($A83,'Source 2025'!$B:$B,0)),""))</f>
        <v>ציפורניים</v>
      </c>
      <c r="C83" s="9" t="n">
        <f aca="false">SUMIFS('Source 2025'!$I:$I,'Source 2025'!$B:$B,$A83,'Source 2025'!$A:$A,"Quantity (units)")</f>
        <v>937</v>
      </c>
      <c r="D83" s="9" t="n">
        <f aca="false">SUMIFS('Source 2026'!$I:$I,'Source 2026'!$B:$B,$A83,'Source 2026'!$A:$A,"Quantity (units)")</f>
        <v>515</v>
      </c>
      <c r="E83" s="9" t="n">
        <f aca="false">D83-C83</f>
        <v>-422</v>
      </c>
      <c r="F83" s="10" t="n">
        <f aca="false">IF(AND(C83=0,D83=0),0,IF(C83=0,"New",(D83-C83)/C83))</f>
        <v>-0.450373532550694</v>
      </c>
      <c r="G83" s="11" t="n">
        <f aca="false">SUMIFS('Source 2025'!$I:$I,'Source 2025'!$B:$B,$A83,'Source 2025'!$A:$A,"Amount (NIS)")</f>
        <v>12313.6</v>
      </c>
      <c r="H83" s="11" t="n">
        <f aca="false">SUMIFS('Source 2026'!$I:$I,'Source 2026'!$B:$B,$A83,'Source 2026'!$A:$A,"Amount (NIS)")</f>
        <v>6779.2</v>
      </c>
      <c r="I83" s="11" t="n">
        <f aca="false">H83-G83</f>
        <v>-5534.4</v>
      </c>
      <c r="J83" s="10" t="n">
        <f aca="false">IF(AND(G83=0,H83=0),0,IF(G83=0,"New",(H83-G83)/G83))</f>
        <v>-0.449454261954262</v>
      </c>
    </row>
    <row r="84" customFormat="false" ht="15" hidden="false" customHeight="true" outlineLevel="0" collapsed="false">
      <c r="A84" s="8" t="s">
        <v>126</v>
      </c>
      <c r="B84" s="8" t="str">
        <f aca="false">IFERROR(INDEX('Source 2026'!$C:$C,MATCH($A84,'Source 2026'!$B:$B,0)),IFERROR(INDEX('Source 2025'!$C:$C,MATCH($A84,'Source 2025'!$B:$B,0)),""))</f>
        <v>S מגן ברך</v>
      </c>
      <c r="C84" s="9" t="n">
        <f aca="false">SUMIFS('Source 2025'!$I:$I,'Source 2025'!$B:$B,$A84,'Source 2025'!$A:$A,"Quantity (units)")</f>
        <v>96</v>
      </c>
      <c r="D84" s="9" t="n">
        <f aca="false">SUMIFS('Source 2026'!$I:$I,'Source 2026'!$B:$B,$A84,'Source 2026'!$A:$A,"Quantity (units)")</f>
        <v>133</v>
      </c>
      <c r="E84" s="9" t="n">
        <f aca="false">D84-C84</f>
        <v>37</v>
      </c>
      <c r="F84" s="10" t="n">
        <f aca="false">IF(AND(C84=0,D84=0),0,IF(C84=0,"New",(D84-C84)/C84))</f>
        <v>0.385416666666667</v>
      </c>
      <c r="G84" s="11" t="n">
        <f aca="false">SUMIFS('Source 2025'!$I:$I,'Source 2025'!$B:$B,$A84,'Source 2025'!$A:$A,"Amount (NIS)")</f>
        <v>12515</v>
      </c>
      <c r="H84" s="11" t="n">
        <f aca="false">SUMIFS('Source 2026'!$I:$I,'Source 2026'!$B:$B,$A84,'Source 2026'!$A:$A,"Amount (NIS)")</f>
        <v>17764.4</v>
      </c>
      <c r="I84" s="11" t="n">
        <f aca="false">H84-G84</f>
        <v>5249.4</v>
      </c>
      <c r="J84" s="10" t="n">
        <f aca="false">IF(AND(G84=0,H84=0),0,IF(G84=0,"New",(H84-G84)/G84))</f>
        <v>0.419448661606073</v>
      </c>
    </row>
    <row r="85" customFormat="false" ht="15" hidden="false" customHeight="true" outlineLevel="0" collapsed="false">
      <c r="A85" s="8" t="s">
        <v>195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2025'!$I:$I,'Source 2025'!$B:$B,$A85,'Source 2025'!$A:$A,"Quantity (units)")</f>
        <v>655</v>
      </c>
      <c r="D85" s="9" t="n">
        <f aca="false">SUMIFS('Source 2026'!$I:$I,'Source 2026'!$B:$B,$A85,'Source 2026'!$A:$A,"Quantity (units)")</f>
        <v>459</v>
      </c>
      <c r="E85" s="9" t="n">
        <f aca="false">D85-C85</f>
        <v>-196</v>
      </c>
      <c r="F85" s="10" t="n">
        <f aca="false">IF(AND(C85=0,D85=0),0,IF(C85=0,"New",(D85-C85)/C85))</f>
        <v>-0.299236641221374</v>
      </c>
      <c r="G85" s="11" t="n">
        <f aca="false">SUMIFS('Source 2025'!$I:$I,'Source 2025'!$B:$B,$A85,'Source 2025'!$A:$A,"Amount (NIS)")</f>
        <v>17718.3</v>
      </c>
      <c r="H85" s="11" t="n">
        <f aca="false">SUMIFS('Source 2026'!$I:$I,'Source 2026'!$B:$B,$A85,'Source 2026'!$A:$A,"Amount (NIS)")</f>
        <v>12492.2</v>
      </c>
      <c r="I85" s="11" t="n">
        <f aca="false">H85-G85</f>
        <v>-5226.1</v>
      </c>
      <c r="J85" s="10" t="n">
        <f aca="false">IF(AND(G85=0,H85=0),0,IF(G85=0,"New",(H85-G85)/G85))</f>
        <v>-0.294954933599725</v>
      </c>
    </row>
    <row r="86" customFormat="false" ht="15" hidden="false" customHeight="true" outlineLevel="0" collapsed="false">
      <c r="A86" s="8" t="s">
        <v>190</v>
      </c>
      <c r="B86" s="8" t="str">
        <f aca="false">IFERROR(INDEX('Source 2026'!$C:$C,MATCH($A86,'Source 2026'!$B:$B,0)),IFERROR(INDEX('Source 2025'!$C:$C,MATCH($A86,'Source 2025'!$B:$B,0)),""))</f>
        <v>S-M חבק יד עם צמדן</v>
      </c>
      <c r="C86" s="9" t="n">
        <f aca="false">SUMIFS('Source 2025'!$I:$I,'Source 2025'!$B:$B,$A86,'Source 2025'!$A:$A,"Quantity (units)")</f>
        <v>381</v>
      </c>
      <c r="D86" s="9" t="n">
        <f aca="false">SUMIFS('Source 2026'!$I:$I,'Source 2026'!$B:$B,$A86,'Source 2026'!$A:$A,"Quantity (units)")</f>
        <v>235</v>
      </c>
      <c r="E86" s="9" t="n">
        <f aca="false">D86-C86</f>
        <v>-146</v>
      </c>
      <c r="F86" s="10" t="n">
        <f aca="false">IF(AND(C86=0,D86=0),0,IF(C86=0,"New",(D86-C86)/C86))</f>
        <v>-0.383202099737533</v>
      </c>
      <c r="G86" s="11" t="n">
        <f aca="false">SUMIFS('Source 2025'!$I:$I,'Source 2025'!$B:$B,$A86,'Source 2025'!$A:$A,"Amount (NIS)")</f>
        <v>12313.2</v>
      </c>
      <c r="H86" s="11" t="n">
        <f aca="false">SUMIFS('Source 2026'!$I:$I,'Source 2026'!$B:$B,$A86,'Source 2026'!$A:$A,"Amount (NIS)")</f>
        <v>7532.1</v>
      </c>
      <c r="I86" s="11" t="n">
        <f aca="false">H86-G86</f>
        <v>-4781.1</v>
      </c>
      <c r="J86" s="10" t="n">
        <f aca="false">IF(AND(G86=0,H86=0),0,IF(G86=0,"New",(H86-G86)/G86))</f>
        <v>-0.38829061494981</v>
      </c>
    </row>
    <row r="87" customFormat="false" ht="15" hidden="false" customHeight="true" outlineLevel="0" collapsed="false">
      <c r="A87" s="8" t="s">
        <v>131</v>
      </c>
      <c r="B87" s="8" t="str">
        <f aca="false">IFERROR(INDEX('Source 2026'!$C:$C,MATCH($A87,'Source 2026'!$B:$B,0)),IFERROR(INDEX('Source 2025'!$C:$C,MATCH($A87,'Source 2025'!$B:$B,0)),""))</f>
        <v>גרב.כסף לסכרתים שחור35-38</v>
      </c>
      <c r="C87" s="9" t="n">
        <f aca="false">SUMIFS('Source 2025'!$I:$I,'Source 2025'!$B:$B,$A87,'Source 2025'!$A:$A,"Quantity (units)")</f>
        <v>233</v>
      </c>
      <c r="D87" s="9" t="n">
        <f aca="false">SUMIFS('Source 2026'!$I:$I,'Source 2026'!$B:$B,$A87,'Source 2026'!$A:$A,"Quantity (units)")</f>
        <v>73</v>
      </c>
      <c r="E87" s="9" t="n">
        <f aca="false">D87-C87</f>
        <v>-160</v>
      </c>
      <c r="F87" s="10" t="n">
        <f aca="false">IF(AND(C87=0,D87=0),0,IF(C87=0,"New",(D87-C87)/C87))</f>
        <v>-0.686695278969957</v>
      </c>
      <c r="G87" s="11" t="n">
        <f aca="false">SUMIFS('Source 2025'!$I:$I,'Source 2025'!$B:$B,$A87,'Source 2025'!$A:$A,"Amount (NIS)")</f>
        <v>6859.5</v>
      </c>
      <c r="H87" s="11" t="n">
        <f aca="false">SUMIFS('Source 2026'!$I:$I,'Source 2026'!$B:$B,$A87,'Source 2026'!$A:$A,"Amount (NIS)")</f>
        <v>2170.3</v>
      </c>
      <c r="I87" s="11" t="n">
        <f aca="false">H87-G87</f>
        <v>-4689.2</v>
      </c>
      <c r="J87" s="10" t="n">
        <f aca="false">IF(AND(G87=0,H87=0),0,IF(G87=0,"New",(H87-G87)/G87))</f>
        <v>-0.683606676871492</v>
      </c>
    </row>
    <row r="88" customFormat="false" ht="15" hidden="false" customHeight="true" outlineLevel="0" collapsed="false">
      <c r="A88" s="8" t="s">
        <v>73</v>
      </c>
      <c r="B88" s="8" t="str">
        <f aca="false">IFERROR(INDEX('Source 2026'!$C:$C,MATCH($A88,'Source 2026'!$B:$B,0)),IFERROR(INDEX('Source 2025'!$C:$C,MATCH($A88,'Source 2025'!$B:$B,0)),""))</f>
        <v>שרוול מסיליקון לאצבע</v>
      </c>
      <c r="C88" s="9" t="n">
        <f aca="false">SUMIFS('Source 2025'!$I:$I,'Source 2025'!$B:$B,$A88,'Source 2025'!$A:$A,"Quantity (units)")</f>
        <v>905</v>
      </c>
      <c r="D88" s="9" t="n">
        <f aca="false">SUMIFS('Source 2026'!$I:$I,'Source 2026'!$B:$B,$A88,'Source 2026'!$A:$A,"Quantity (units)")</f>
        <v>638</v>
      </c>
      <c r="E88" s="9" t="n">
        <f aca="false">D88-C88</f>
        <v>-267</v>
      </c>
      <c r="F88" s="10" t="n">
        <f aca="false">IF(AND(C88=0,D88=0),0,IF(C88=0,"New",(D88-C88)/C88))</f>
        <v>-0.295027624309392</v>
      </c>
      <c r="G88" s="11" t="n">
        <f aca="false">SUMIFS('Source 2025'!$I:$I,'Source 2025'!$B:$B,$A88,'Source 2025'!$A:$A,"Amount (NIS)")</f>
        <v>15182</v>
      </c>
      <c r="H88" s="11" t="n">
        <f aca="false">SUMIFS('Source 2026'!$I:$I,'Source 2026'!$B:$B,$A88,'Source 2026'!$A:$A,"Amount (NIS)")</f>
        <v>10783.3</v>
      </c>
      <c r="I88" s="11" t="n">
        <f aca="false">H88-G88</f>
        <v>-4398.7</v>
      </c>
      <c r="J88" s="10" t="n">
        <f aca="false">IF(AND(G88=0,H88=0),0,IF(G88=0,"New",(H88-G88)/G88))</f>
        <v>-0.289731260703465</v>
      </c>
    </row>
    <row r="89" customFormat="false" ht="15" hidden="false" customHeight="true" outlineLevel="0" collapsed="false">
      <c r="A89" s="8" t="s">
        <v>57</v>
      </c>
      <c r="B89" s="8" t="str">
        <f aca="false">IFERROR(INDEX('Source 2026'!$C:$C,MATCH($A89,'Source 2026'!$B:$B,0)),IFERROR(INDEX('Source 2025'!$C:$C,MATCH($A89,'Source 2025'!$B:$B,0)),""))</f>
        <v>מדרס ג'ל לגבר</v>
      </c>
      <c r="C89" s="9" t="n">
        <f aca="false">SUMIFS('Source 2025'!$I:$I,'Source 2025'!$B:$B,$A89,'Source 2025'!$A:$A,"Quantity (units)")</f>
        <v>287</v>
      </c>
      <c r="D89" s="9" t="n">
        <f aca="false">SUMIFS('Source 2026'!$I:$I,'Source 2026'!$B:$B,$A89,'Source 2026'!$A:$A,"Quantity (units)")</f>
        <v>219</v>
      </c>
      <c r="E89" s="9" t="n">
        <f aca="false">D89-C89</f>
        <v>-68</v>
      </c>
      <c r="F89" s="10" t="n">
        <f aca="false">IF(AND(C89=0,D89=0),0,IF(C89=0,"New",(D89-C89)/C89))</f>
        <v>-0.236933797909408</v>
      </c>
      <c r="G89" s="11" t="n">
        <f aca="false">SUMIFS('Source 2025'!$I:$I,'Source 2025'!$B:$B,$A89,'Source 2025'!$A:$A,"Amount (NIS)")</f>
        <v>18523.3</v>
      </c>
      <c r="H89" s="11" t="n">
        <f aca="false">SUMIFS('Source 2026'!$I:$I,'Source 2026'!$B:$B,$A89,'Source 2026'!$A:$A,"Amount (NIS)")</f>
        <v>14287.6</v>
      </c>
      <c r="I89" s="11" t="n">
        <f aca="false">H89-G89</f>
        <v>-4235.7</v>
      </c>
      <c r="J89" s="10" t="n">
        <f aca="false">IF(AND(G89=0,H89=0),0,IF(G89=0,"New",(H89-G89)/G89))</f>
        <v>-0.228668757726755</v>
      </c>
    </row>
    <row r="90" customFormat="false" ht="15" hidden="false" customHeight="true" outlineLevel="0" collapsed="false">
      <c r="A90" s="8" t="s">
        <v>247</v>
      </c>
      <c r="B90" s="8" t="str">
        <f aca="false">IFERROR(INDEX('Source 2026'!$C:$C,MATCH($A90,'Source 2026'!$B:$B,0)),IFERROR(INDEX('Source 2025'!$C:$C,MATCH($A90,'Source 2025'!$B:$B,0)),""))</f>
        <v>כפפות אגודל לחץ</v>
      </c>
      <c r="C90" s="9" t="n">
        <f aca="false">SUMIFS('Source 2025'!$I:$I,'Source 2025'!$B:$B,$A90,'Source 2025'!$A:$A,"Quantity (units)")</f>
        <v>395</v>
      </c>
      <c r="D90" s="9" t="n">
        <f aca="false">SUMIFS('Source 2026'!$I:$I,'Source 2026'!$B:$B,$A90,'Source 2026'!$A:$A,"Quantity (units)")</f>
        <v>247</v>
      </c>
      <c r="E90" s="9" t="n">
        <f aca="false">D90-C90</f>
        <v>-148</v>
      </c>
      <c r="F90" s="10" t="n">
        <f aca="false">IF(AND(C90=0,D90=0),0,IF(C90=0,"New",(D90-C90)/C90))</f>
        <v>-0.374683544303797</v>
      </c>
      <c r="G90" s="11" t="n">
        <f aca="false">SUMIFS('Source 2025'!$I:$I,'Source 2025'!$B:$B,$A90,'Source 2025'!$A:$A,"Amount (NIS)")</f>
        <v>11254.2</v>
      </c>
      <c r="H90" s="11" t="n">
        <f aca="false">SUMIFS('Source 2026'!$I:$I,'Source 2026'!$B:$B,$A90,'Source 2026'!$A:$A,"Amount (NIS)")</f>
        <v>7189.1</v>
      </c>
      <c r="I90" s="11" t="n">
        <f aca="false">H90-G90</f>
        <v>-4065.1</v>
      </c>
      <c r="J90" s="10" t="n">
        <f aca="false">IF(AND(G90=0,H90=0),0,IF(G90=0,"New",(H90-G90)/G90))</f>
        <v>-0.361207371470207</v>
      </c>
    </row>
    <row r="91" customFormat="false" ht="15" hidden="false" customHeight="true" outlineLevel="0" collapsed="false">
      <c r="A91" s="8" t="s">
        <v>144</v>
      </c>
      <c r="B91" s="8" t="str">
        <f aca="false">IFERROR(INDEX('Source 2026'!$C:$C,MATCH($A91,'Source 2026'!$B:$B,0)),IFERROR(INDEX('Source 2025'!$C:$C,MATCH($A91,'Source 2025'!$B:$B,0)),""))</f>
        <v>S מגן ירך</v>
      </c>
      <c r="C91" s="9" t="n">
        <f aca="false">SUMIFS('Source 2025'!$I:$I,'Source 2025'!$B:$B,$A91,'Source 2025'!$A:$A,"Quantity (units)")</f>
        <v>283</v>
      </c>
      <c r="D91" s="9" t="n">
        <f aca="false">SUMIFS('Source 2026'!$I:$I,'Source 2026'!$B:$B,$A91,'Source 2026'!$A:$A,"Quantity (units)")</f>
        <v>143</v>
      </c>
      <c r="E91" s="9" t="n">
        <f aca="false">D91-C91</f>
        <v>-140</v>
      </c>
      <c r="F91" s="10" t="n">
        <f aca="false">IF(AND(C91=0,D91=0),0,IF(C91=0,"New",(D91-C91)/C91))</f>
        <v>-0.49469964664311</v>
      </c>
      <c r="G91" s="11" t="n">
        <f aca="false">SUMIFS('Source 2025'!$I:$I,'Source 2025'!$B:$B,$A91,'Source 2025'!$A:$A,"Amount (NIS)")</f>
        <v>8222.9</v>
      </c>
      <c r="H91" s="11" t="n">
        <f aca="false">SUMIFS('Source 2026'!$I:$I,'Source 2026'!$B:$B,$A91,'Source 2026'!$A:$A,"Amount (NIS)")</f>
        <v>4174.9</v>
      </c>
      <c r="I91" s="11" t="n">
        <f aca="false">H91-G91</f>
        <v>-4048</v>
      </c>
      <c r="J91" s="10" t="n">
        <f aca="false">IF(AND(G91=0,H91=0),0,IF(G91=0,"New",(H91-G91)/G91))</f>
        <v>-0.492283744177845</v>
      </c>
    </row>
    <row r="92" customFormat="false" ht="15" hidden="false" customHeight="true" outlineLevel="0" collapsed="false">
      <c r="A92" s="8" t="s">
        <v>146</v>
      </c>
      <c r="B92" s="8" t="str">
        <f aca="false">IFERROR(INDEX('Source 2026'!$C:$C,MATCH($A92,'Source 2026'!$B:$B,0)),IFERROR(INDEX('Source 2025'!$C:$C,MATCH($A92,'Source 2025'!$B:$B,0)),""))</f>
        <v>גרב.כסף לסכרתים אפור35-38</v>
      </c>
      <c r="C92" s="9" t="n">
        <f aca="false">SUMIFS('Source 2025'!$I:$I,'Source 2025'!$B:$B,$A92,'Source 2025'!$A:$A,"Quantity (units)")</f>
        <v>161</v>
      </c>
      <c r="D92" s="9" t="n">
        <f aca="false">SUMIFS('Source 2026'!$I:$I,'Source 2026'!$B:$B,$A92,'Source 2026'!$A:$A,"Quantity (units)")</f>
        <v>-13</v>
      </c>
      <c r="E92" s="9" t="n">
        <f aca="false">D92-C92</f>
        <v>-174</v>
      </c>
      <c r="F92" s="10" t="n">
        <f aca="false">IF(AND(C92=0,D92=0),0,IF(C92=0,"New",(D92-C92)/C92))</f>
        <v>-1.08074534161491</v>
      </c>
      <c r="G92" s="11" t="n">
        <f aca="false">SUMIFS('Source 2025'!$I:$I,'Source 2025'!$B:$B,$A92,'Source 2025'!$A:$A,"Amount (NIS)")</f>
        <v>3595.8</v>
      </c>
      <c r="H92" s="11" t="n">
        <f aca="false">SUMIFS('Source 2026'!$I:$I,'Source 2026'!$B:$B,$A92,'Source 2026'!$A:$A,"Amount (NIS)")</f>
        <v>-328.2</v>
      </c>
      <c r="I92" s="11" t="n">
        <f aca="false">H92-G92</f>
        <v>-3924</v>
      </c>
      <c r="J92" s="10" t="n">
        <f aca="false">IF(AND(G92=0,H92=0),0,IF(G92=0,"New",(H92-G92)/G92))</f>
        <v>-1.09127315201068</v>
      </c>
    </row>
    <row r="93" customFormat="false" ht="15" hidden="false" customHeight="true" outlineLevel="0" collapsed="false">
      <c r="A93" s="8" t="s">
        <v>132</v>
      </c>
      <c r="B93" s="8" t="str">
        <f aca="false">IFERROR(INDEX('Source 2026'!$C:$C,MATCH($A93,'Source 2026'!$B:$B,0)),IFERROR(INDEX('Source 2025'!$C:$C,MATCH($A93,'Source 2025'!$B:$B,0)),""))</f>
        <v>תחבושת א.נצמ</v>
      </c>
      <c r="C93" s="9" t="n">
        <f aca="false">SUMIFS('Source 2025'!$I:$I,'Source 2025'!$B:$B,$A93,'Source 2025'!$A:$A,"Quantity (units)")</f>
        <v>1335</v>
      </c>
      <c r="D93" s="9" t="n">
        <f aca="false">SUMIFS('Source 2026'!$I:$I,'Source 2026'!$B:$B,$A93,'Source 2026'!$A:$A,"Quantity (units)")</f>
        <v>980</v>
      </c>
      <c r="E93" s="9" t="n">
        <f aca="false">D93-C93</f>
        <v>-355</v>
      </c>
      <c r="F93" s="10" t="n">
        <f aca="false">IF(AND(C93=0,D93=0),0,IF(C93=0,"New",(D93-C93)/C93))</f>
        <v>-0.265917602996255</v>
      </c>
      <c r="G93" s="11" t="n">
        <f aca="false">SUMIFS('Source 2025'!$I:$I,'Source 2025'!$B:$B,$A93,'Source 2025'!$A:$A,"Amount (NIS)")</f>
        <v>13834.2</v>
      </c>
      <c r="H93" s="11" t="n">
        <f aca="false">SUMIFS('Source 2026'!$I:$I,'Source 2026'!$B:$B,$A93,'Source 2026'!$A:$A,"Amount (NIS)")</f>
        <v>10274</v>
      </c>
      <c r="I93" s="11" t="n">
        <f aca="false">H93-G93</f>
        <v>-3560.2</v>
      </c>
      <c r="J93" s="10" t="n">
        <f aca="false">IF(AND(G93=0,H93=0),0,IF(G93=0,"New",(H93-G93)/G93))</f>
        <v>-0.257347732431221</v>
      </c>
    </row>
    <row r="94" customFormat="false" ht="15" hidden="false" customHeight="true" outlineLevel="0" collapsed="false">
      <c r="A94" s="8" t="s">
        <v>316</v>
      </c>
      <c r="B94" s="8" t="str">
        <f aca="false">IFERROR(INDEX('Source 2026'!$C:$C,MATCH($A94,'Source 2026'!$B:$B,0)),IFERROR(INDEX('Source 2025'!$C:$C,MATCH($A94,'Source 2025'!$B:$B,0)),""))</f>
        <v>L-XL STRAP4U</v>
      </c>
      <c r="C94" s="9" t="n">
        <f aca="false">SUMIFS('Source 2025'!$I:$I,'Source 2025'!$B:$B,$A94,'Source 2025'!$A:$A,"Quantity (units)")</f>
        <v>328</v>
      </c>
      <c r="D94" s="9" t="n">
        <f aca="false">SUMIFS('Source 2026'!$I:$I,'Source 2026'!$B:$B,$A94,'Source 2026'!$A:$A,"Quantity (units)")</f>
        <v>118</v>
      </c>
      <c r="E94" s="9" t="n">
        <f aca="false">D94-C94</f>
        <v>-210</v>
      </c>
      <c r="F94" s="10" t="n">
        <f aca="false">IF(AND(C94=0,D94=0),0,IF(C94=0,"New",(D94-C94)/C94))</f>
        <v>-0.640243902439024</v>
      </c>
      <c r="G94" s="11" t="n">
        <f aca="false">SUMIFS('Source 2025'!$I:$I,'Source 2025'!$B:$B,$A94,'Source 2025'!$A:$A,"Amount (NIS)")</f>
        <v>5450</v>
      </c>
      <c r="H94" s="11" t="n">
        <f aca="false">SUMIFS('Source 2026'!$I:$I,'Source 2026'!$B:$B,$A94,'Source 2026'!$A:$A,"Amount (NIS)")</f>
        <v>1978.2</v>
      </c>
      <c r="I94" s="11" t="n">
        <f aca="false">H94-G94</f>
        <v>-3471.8</v>
      </c>
      <c r="J94" s="10" t="n">
        <f aca="false">IF(AND(G94=0,H94=0),0,IF(G94=0,"New",(H94-G94)/G94))</f>
        <v>-0.63702752293578</v>
      </c>
    </row>
    <row r="95" customFormat="false" ht="15" hidden="false" customHeight="true" outlineLevel="0" collapsed="false">
      <c r="A95" s="8" t="s">
        <v>192</v>
      </c>
      <c r="B95" s="8" t="str">
        <f aca="false">IFERROR(INDEX('Source 2026'!$C:$C,MATCH($A95,'Source 2026'!$B:$B,0)),IFERROR(INDEX('Source 2025'!$C:$C,MATCH($A95,'Source 2025'!$B:$B,0)),""))</f>
        <v>חבק טניס אלבו</v>
      </c>
      <c r="C95" s="9" t="n">
        <f aca="false">SUMIFS('Source 2025'!$I:$I,'Source 2025'!$B:$B,$A95,'Source 2025'!$A:$A,"Quantity (units)")</f>
        <v>922</v>
      </c>
      <c r="D95" s="9" t="n">
        <f aca="false">SUMIFS('Source 2026'!$I:$I,'Source 2026'!$B:$B,$A95,'Source 2026'!$A:$A,"Quantity (units)")</f>
        <v>909</v>
      </c>
      <c r="E95" s="9" t="n">
        <f aca="false">D95-C95</f>
        <v>-13</v>
      </c>
      <c r="F95" s="10" t="n">
        <f aca="false">IF(AND(C95=0,D95=0),0,IF(C95=0,"New",(D95-C95)/C95))</f>
        <v>-0.0140997830802603</v>
      </c>
      <c r="G95" s="11" t="n">
        <f aca="false">SUMIFS('Source 2025'!$I:$I,'Source 2025'!$B:$B,$A95,'Source 2025'!$A:$A,"Amount (NIS)")</f>
        <v>62831.2</v>
      </c>
      <c r="H95" s="11" t="n">
        <f aca="false">SUMIFS('Source 2026'!$I:$I,'Source 2026'!$B:$B,$A95,'Source 2026'!$A:$A,"Amount (NIS)")</f>
        <v>66257.5</v>
      </c>
      <c r="I95" s="11" t="n">
        <f aca="false">H95-G95</f>
        <v>3426.3</v>
      </c>
      <c r="J95" s="10" t="n">
        <f aca="false">IF(AND(G95=0,H95=0),0,IF(G95=0,"New",(H95-G95)/G95))</f>
        <v>0.054531824953208</v>
      </c>
    </row>
    <row r="96" customFormat="false" ht="15" hidden="false" customHeight="true" outlineLevel="0" collapsed="false">
      <c r="A96" s="8" t="s">
        <v>275</v>
      </c>
      <c r="B96" s="8" t="str">
        <f aca="false">IFERROR(INDEX('Source 2026'!$C:$C,MATCH($A96,'Source 2026'!$B:$B,0)),IFERROR(INDEX('Source 2025'!$C:$C,MATCH($A96,'Source 2025'!$B:$B,0)),""))</f>
        <v>11 אפורUG חגורת בטן</v>
      </c>
      <c r="C96" s="9" t="n">
        <f aca="false">SUMIFS('Source 2025'!$I:$I,'Source 2025'!$B:$B,$A96,'Source 2025'!$A:$A,"Quantity (units)")</f>
        <v>45</v>
      </c>
      <c r="D96" s="9" t="n">
        <f aca="false">SUMIFS('Source 2026'!$I:$I,'Source 2026'!$B:$B,$A96,'Source 2026'!$A:$A,"Quantity (units)")</f>
        <v>2</v>
      </c>
      <c r="E96" s="9" t="n">
        <f aca="false">D96-C96</f>
        <v>-43</v>
      </c>
      <c r="F96" s="10" t="n">
        <f aca="false">IF(AND(C96=0,D96=0),0,IF(C96=0,"New",(D96-C96)/C96))</f>
        <v>-0.955555555555556</v>
      </c>
      <c r="G96" s="11" t="n">
        <f aca="false">SUMIFS('Source 2025'!$I:$I,'Source 2025'!$B:$B,$A96,'Source 2025'!$A:$A,"Amount (NIS)")</f>
        <v>3611.3</v>
      </c>
      <c r="H96" s="11" t="n">
        <f aca="false">SUMIFS('Source 2026'!$I:$I,'Source 2026'!$B:$B,$A96,'Source 2026'!$A:$A,"Amount (NIS)")</f>
        <v>203.1</v>
      </c>
      <c r="I96" s="11" t="n">
        <f aca="false">H96-G96</f>
        <v>-3408.2</v>
      </c>
      <c r="J96" s="10" t="n">
        <f aca="false">IF(AND(G96=0,H96=0),0,IF(G96=0,"New",(H96-G96)/G96))</f>
        <v>-0.943759864868607</v>
      </c>
    </row>
    <row r="97" customFormat="false" ht="15" hidden="false" customHeight="true" outlineLevel="0" collapsed="false">
      <c r="A97" s="8" t="s">
        <v>135</v>
      </c>
      <c r="B97" s="8" t="str">
        <f aca="false">IFERROR(INDEX('Source 2026'!$C:$C,MATCH($A97,'Source 2026'!$B:$B,0)),IFERROR(INDEX('Source 2025'!$C:$C,MATCH($A97,'Source 2025'!$B:$B,0)),""))</f>
        <v>S-Lטבעת אלסטית מסיליקון</v>
      </c>
      <c r="C97" s="9" t="n">
        <f aca="false">SUMIFS('Source 2025'!$I:$I,'Source 2025'!$B:$B,$A97,'Source 2025'!$A:$A,"Quantity (units)")</f>
        <v>614</v>
      </c>
      <c r="D97" s="9" t="n">
        <f aca="false">SUMIFS('Source 2026'!$I:$I,'Source 2026'!$B:$B,$A97,'Source 2026'!$A:$A,"Quantity (units)")</f>
        <v>328</v>
      </c>
      <c r="E97" s="9" t="n">
        <f aca="false">D97-C97</f>
        <v>-286</v>
      </c>
      <c r="F97" s="10" t="n">
        <f aca="false">IF(AND(C97=0,D97=0),0,IF(C97=0,"New",(D97-C97)/C97))</f>
        <v>-0.465798045602606</v>
      </c>
      <c r="G97" s="11" t="n">
        <f aca="false">SUMIFS('Source 2025'!$I:$I,'Source 2025'!$B:$B,$A97,'Source 2025'!$A:$A,"Amount (NIS)")</f>
        <v>7226.6</v>
      </c>
      <c r="H97" s="11" t="n">
        <f aca="false">SUMIFS('Source 2026'!$I:$I,'Source 2026'!$B:$B,$A97,'Source 2026'!$A:$A,"Amount (NIS)")</f>
        <v>3846.2</v>
      </c>
      <c r="I97" s="11" t="n">
        <f aca="false">H97-G97</f>
        <v>-3380.4</v>
      </c>
      <c r="J97" s="10" t="n">
        <f aca="false">IF(AND(G97=0,H97=0),0,IF(G97=0,"New",(H97-G97)/G97))</f>
        <v>-0.46777184291368</v>
      </c>
    </row>
    <row r="98" customFormat="false" ht="15" hidden="false" customHeight="true" outlineLevel="0" collapsed="false">
      <c r="A98" s="8" t="s">
        <v>163</v>
      </c>
      <c r="B98" s="8" t="str">
        <f aca="false">IFERROR(INDEX('Source 2026'!$C:$C,MATCH($A98,'Source 2026'!$B:$B,0)),IFERROR(INDEX('Source 2025'!$C:$C,MATCH($A98,'Source 2025'!$B:$B,0)),""))</f>
        <v>S מגן ברך מחמם</v>
      </c>
      <c r="C98" s="9" t="n">
        <f aca="false">SUMIFS('Source 2025'!$I:$I,'Source 2025'!$B:$B,$A98,'Source 2025'!$A:$A,"Quantity (units)")</f>
        <v>73</v>
      </c>
      <c r="D98" s="9" t="n">
        <f aca="false">SUMIFS('Source 2026'!$I:$I,'Source 2026'!$B:$B,$A98,'Source 2026'!$A:$A,"Quantity (units)")</f>
        <v>8</v>
      </c>
      <c r="E98" s="9" t="n">
        <f aca="false">D98-C98</f>
        <v>-65</v>
      </c>
      <c r="F98" s="10" t="n">
        <f aca="false">IF(AND(C98=0,D98=0),0,IF(C98=0,"New",(D98-C98)/C98))</f>
        <v>-0.89041095890411</v>
      </c>
      <c r="G98" s="11" t="n">
        <f aca="false">SUMIFS('Source 2025'!$I:$I,'Source 2025'!$B:$B,$A98,'Source 2025'!$A:$A,"Amount (NIS)")</f>
        <v>3710.1</v>
      </c>
      <c r="H98" s="11" t="n">
        <f aca="false">SUMIFS('Source 2026'!$I:$I,'Source 2026'!$B:$B,$A98,'Source 2026'!$A:$A,"Amount (NIS)")</f>
        <v>395.8</v>
      </c>
      <c r="I98" s="11" t="n">
        <f aca="false">H98-G98</f>
        <v>-3314.3</v>
      </c>
      <c r="J98" s="10" t="n">
        <f aca="false">IF(AND(G98=0,H98=0),0,IF(G98=0,"New",(H98-G98)/G98))</f>
        <v>-0.893318239400555</v>
      </c>
    </row>
    <row r="99" customFormat="false" ht="15" hidden="false" customHeight="true" outlineLevel="0" collapsed="false">
      <c r="A99" s="8" t="s">
        <v>114</v>
      </c>
      <c r="B99" s="8" t="str">
        <f aca="false">IFERROR(INDEX('Source 2026'!$C:$C,MATCH($A99,'Source 2026'!$B:$B,0)),IFERROR(INDEX('Source 2025'!$C:$C,MATCH($A99,'Source 2025'!$B:$B,0)),""))</f>
        <v>S-M חבק יד עם צמדןחום</v>
      </c>
      <c r="C99" s="9" t="n">
        <f aca="false">SUMIFS('Source 2025'!$I:$I,'Source 2025'!$B:$B,$A99,'Source 2025'!$A:$A,"Quantity (units)")</f>
        <v>218</v>
      </c>
      <c r="D99" s="9" t="n">
        <f aca="false">SUMIFS('Source 2026'!$I:$I,'Source 2026'!$B:$B,$A99,'Source 2026'!$A:$A,"Quantity (units)")</f>
        <v>118</v>
      </c>
      <c r="E99" s="9" t="n">
        <f aca="false">D99-C99</f>
        <v>-100</v>
      </c>
      <c r="F99" s="10" t="n">
        <f aca="false">IF(AND(C99=0,D99=0),0,IF(C99=0,"New",(D99-C99)/C99))</f>
        <v>-0.458715596330275</v>
      </c>
      <c r="G99" s="11" t="n">
        <f aca="false">SUMIFS('Source 2025'!$I:$I,'Source 2025'!$B:$B,$A99,'Source 2025'!$A:$A,"Amount (NIS)")</f>
        <v>6935.2</v>
      </c>
      <c r="H99" s="11" t="n">
        <f aca="false">SUMIFS('Source 2026'!$I:$I,'Source 2026'!$B:$B,$A99,'Source 2026'!$A:$A,"Amount (NIS)")</f>
        <v>3707.3</v>
      </c>
      <c r="I99" s="11" t="n">
        <f aca="false">H99-G99</f>
        <v>-3227.9</v>
      </c>
      <c r="J99" s="10" t="n">
        <f aca="false">IF(AND(G99=0,H99=0),0,IF(G99=0,"New",(H99-G99)/G99))</f>
        <v>-0.465437189987311</v>
      </c>
    </row>
    <row r="100" customFormat="false" ht="15" hidden="false" customHeight="true" outlineLevel="0" collapsed="false">
      <c r="A100" s="8" t="s">
        <v>161</v>
      </c>
      <c r="B100" s="8" t="str">
        <f aca="false">IFERROR(INDEX('Source 2026'!$C:$C,MATCH($A100,'Source 2026'!$B:$B,0)),IFERROR(INDEX('Source 2025'!$C:$C,MATCH($A100,'Source 2025'!$B:$B,0)),""))</f>
        <v>סד לאגודל</v>
      </c>
      <c r="C100" s="9" t="n">
        <f aca="false">SUMIFS('Source 2025'!$I:$I,'Source 2025'!$B:$B,$A100,'Source 2025'!$A:$A,"Quantity (units)")</f>
        <v>188</v>
      </c>
      <c r="D100" s="9" t="n">
        <f aca="false">SUMIFS('Source 2026'!$I:$I,'Source 2026'!$B:$B,$A100,'Source 2026'!$A:$A,"Quantity (units)")</f>
        <v>158</v>
      </c>
      <c r="E100" s="9" t="n">
        <f aca="false">D100-C100</f>
        <v>-30</v>
      </c>
      <c r="F100" s="10" t="n">
        <f aca="false">IF(AND(C100=0,D100=0),0,IF(C100=0,"New",(D100-C100)/C100))</f>
        <v>-0.159574468085106</v>
      </c>
      <c r="G100" s="11" t="n">
        <f aca="false">SUMIFS('Source 2025'!$I:$I,'Source 2025'!$B:$B,$A100,'Source 2025'!$A:$A,"Amount (NIS)")</f>
        <v>19519.4</v>
      </c>
      <c r="H100" s="11" t="n">
        <f aca="false">SUMIFS('Source 2026'!$I:$I,'Source 2026'!$B:$B,$A100,'Source 2026'!$A:$A,"Amount (NIS)")</f>
        <v>16330.7</v>
      </c>
      <c r="I100" s="11" t="n">
        <f aca="false">H100-G100</f>
        <v>-3188.7</v>
      </c>
      <c r="J100" s="10" t="n">
        <f aca="false">IF(AND(G100=0,H100=0),0,IF(G100=0,"New",(H100-G100)/G100))</f>
        <v>-0.163360554115393</v>
      </c>
    </row>
    <row r="101" customFormat="false" ht="15" hidden="false" customHeight="true" outlineLevel="0" collapsed="false">
      <c r="A101" s="8" t="s">
        <v>261</v>
      </c>
      <c r="B101" s="8" t="str">
        <f aca="false">IFERROR(INDEX('Source 2026'!$C:$C,MATCH($A101,'Source 2026'!$B:$B,0)),IFERROR(INDEX('Source 2025'!$C:$C,MATCH($A101,'Source 2025'!$B:$B,0)),""))</f>
        <v>S ימין CTS כפפות</v>
      </c>
      <c r="C101" s="9" t="n">
        <f aca="false">SUMIFS('Source 2025'!$I:$I,'Source 2025'!$B:$B,$A101,'Source 2025'!$A:$A,"Quantity (units)")</f>
        <v>0</v>
      </c>
      <c r="D101" s="9" t="n">
        <f aca="false">SUMIFS('Source 2026'!$I:$I,'Source 2026'!$B:$B,$A101,'Source 2026'!$A:$A,"Quantity (units)")</f>
        <v>31</v>
      </c>
      <c r="E101" s="9" t="n">
        <f aca="false">D101-C101</f>
        <v>31</v>
      </c>
      <c r="F101" s="10" t="str">
        <f aca="false">IF(AND(C101=0,D101=0),0,IF(C101=0,"New",(D101-C101)/C101))</f>
        <v>New</v>
      </c>
      <c r="G101" s="11" t="n">
        <f aca="false">SUMIFS('Source 2025'!$I:$I,'Source 2025'!$B:$B,$A101,'Source 2025'!$A:$A,"Amount (NIS)")</f>
        <v>0</v>
      </c>
      <c r="H101" s="11" t="n">
        <f aca="false">SUMIFS('Source 2026'!$I:$I,'Source 2026'!$B:$B,$A101,'Source 2026'!$A:$A,"Amount (NIS)")</f>
        <v>3111.6</v>
      </c>
      <c r="I101" s="11" t="n">
        <f aca="false">H101-G101</f>
        <v>3111.6</v>
      </c>
      <c r="J101" s="10" t="str">
        <f aca="false">IF(AND(G101=0,H101=0),0,IF(G101=0,"New",(H101-G101)/G101))</f>
        <v>New</v>
      </c>
    </row>
    <row r="102" customFormat="false" ht="15" hidden="false" customHeight="true" outlineLevel="0" collapsed="false">
      <c r="A102" s="8" t="s">
        <v>153</v>
      </c>
      <c r="B102" s="8" t="str">
        <f aca="false">IFERROR(INDEX('Source 2026'!$C:$C,MATCH($A102,'Source 2026'!$B:$B,0)),IFERROR(INDEX('Source 2025'!$C:$C,MATCH($A102,'Source 2025'!$B:$B,0)),""))</f>
        <v>מתלה ליד לילדים</v>
      </c>
      <c r="C102" s="9" t="n">
        <f aca="false">SUMIFS('Source 2025'!$I:$I,'Source 2025'!$B:$B,$A102,'Source 2025'!$A:$A,"Quantity (units)")</f>
        <v>320</v>
      </c>
      <c r="D102" s="9" t="n">
        <f aca="false">SUMIFS('Source 2026'!$I:$I,'Source 2026'!$B:$B,$A102,'Source 2026'!$A:$A,"Quantity (units)")</f>
        <v>253</v>
      </c>
      <c r="E102" s="9" t="n">
        <f aca="false">D102-C102</f>
        <v>-67</v>
      </c>
      <c r="F102" s="10" t="n">
        <f aca="false">IF(AND(C102=0,D102=0),0,IF(C102=0,"New",(D102-C102)/C102))</f>
        <v>-0.209375</v>
      </c>
      <c r="G102" s="11" t="n">
        <f aca="false">SUMIFS('Source 2025'!$I:$I,'Source 2025'!$B:$B,$A102,'Source 2025'!$A:$A,"Amount (NIS)")</f>
        <v>14406.4</v>
      </c>
      <c r="H102" s="11" t="n">
        <f aca="false">SUMIFS('Source 2026'!$I:$I,'Source 2026'!$B:$B,$A102,'Source 2026'!$A:$A,"Amount (NIS)")</f>
        <v>11372.4</v>
      </c>
      <c r="I102" s="11" t="n">
        <f aca="false">H102-G102</f>
        <v>-3034</v>
      </c>
      <c r="J102" s="10" t="n">
        <f aca="false">IF(AND(G102=0,H102=0),0,IF(G102=0,"New",(H102-G102)/G102))</f>
        <v>-0.210600844069303</v>
      </c>
    </row>
    <row r="103" customFormat="false" ht="15" hidden="false" customHeight="true" outlineLevel="0" collapsed="false">
      <c r="A103" s="8" t="s">
        <v>159</v>
      </c>
      <c r="B103" s="8" t="str">
        <f aca="false">IFERROR(INDEX('Source 2026'!$C:$C,MATCH($A103,'Source 2026'!$B:$B,0)),IFERROR(INDEX('Source 2025'!$C:$C,MATCH($A103,'Source 2025'!$B:$B,0)),""))</f>
        <v>S מגן שוק</v>
      </c>
      <c r="C103" s="9" t="n">
        <f aca="false">SUMIFS('Source 2025'!$I:$I,'Source 2025'!$B:$B,$A103,'Source 2025'!$A:$A,"Quantity (units)")</f>
        <v>29</v>
      </c>
      <c r="D103" s="9" t="n">
        <f aca="false">SUMIFS('Source 2026'!$I:$I,'Source 2026'!$B:$B,$A103,'Source 2026'!$A:$A,"Quantity (units)")</f>
        <v>49</v>
      </c>
      <c r="E103" s="9" t="n">
        <f aca="false">D103-C103</f>
        <v>20</v>
      </c>
      <c r="F103" s="10" t="n">
        <f aca="false">IF(AND(C103=0,D103=0),0,IF(C103=0,"New",(D103-C103)/C103))</f>
        <v>0.689655172413793</v>
      </c>
      <c r="G103" s="11" t="n">
        <f aca="false">SUMIFS('Source 2025'!$I:$I,'Source 2025'!$B:$B,$A103,'Source 2025'!$A:$A,"Amount (NIS)")</f>
        <v>3655.3</v>
      </c>
      <c r="H103" s="11" t="n">
        <f aca="false">SUMIFS('Source 2026'!$I:$I,'Source 2026'!$B:$B,$A103,'Source 2026'!$A:$A,"Amount (NIS)")</f>
        <v>6612.2</v>
      </c>
      <c r="I103" s="11" t="n">
        <f aca="false">H103-G103</f>
        <v>2956.9</v>
      </c>
      <c r="J103" s="10" t="n">
        <f aca="false">IF(AND(G103=0,H103=0),0,IF(G103=0,"New",(H103-G103)/G103))</f>
        <v>0.8089349711378</v>
      </c>
    </row>
    <row r="104" customFormat="false" ht="15" hidden="false" customHeight="true" outlineLevel="0" collapsed="false">
      <c r="A104" s="8" t="s">
        <v>242</v>
      </c>
      <c r="B104" s="8" t="str">
        <f aca="false">IFERROR(INDEX('Source 2026'!$C:$C,MATCH($A104,'Source 2026'!$B:$B,0)),IFERROR(INDEX('Source 2025'!$C:$C,MATCH($A104,'Source 2025'!$B:$B,0)),""))</f>
        <v>Sחגורה למנותחי בטן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</v>
      </c>
      <c r="E104" s="9" t="n">
        <f aca="false">D104-C104</f>
        <v>-25</v>
      </c>
      <c r="F104" s="10" t="n">
        <f aca="false">IF(AND(C104=0,D104=0),0,IF(C104=0,"New",(D104-C104)/C104))</f>
        <v>-0.862068965517241</v>
      </c>
      <c r="G104" s="11" t="n">
        <f aca="false">SUMIFS('Source 2025'!$I:$I,'Source 2025'!$B:$B,$A104,'Source 2025'!$A:$A,"Amount (NIS)")</f>
        <v>3359.1</v>
      </c>
      <c r="H104" s="11" t="n">
        <f aca="false">SUMIFS('Source 2026'!$I:$I,'Source 2026'!$B:$B,$A104,'Source 2026'!$A:$A,"Amount (NIS)")</f>
        <v>455.1</v>
      </c>
      <c r="I104" s="11" t="n">
        <f aca="false">H104-G104</f>
        <v>-2904</v>
      </c>
      <c r="J104" s="10" t="n">
        <f aca="false">IF(AND(G104=0,H104=0),0,IF(G104=0,"New",(H104-G104)/G104))</f>
        <v>-0.864517281414665</v>
      </c>
    </row>
    <row r="105" customFormat="false" ht="15" hidden="false" customHeight="true" outlineLevel="0" collapsed="false">
      <c r="A105" s="8" t="s">
        <v>171</v>
      </c>
      <c r="B105" s="8" t="str">
        <f aca="false">IFERROR(INDEX('Source 2026'!$C:$C,MATCH($A105,'Source 2026'!$B:$B,0)),IFERROR(INDEX('Source 2025'!$C:$C,MATCH($A105,'Source 2025'!$B:$B,0)),""))</f>
        <v>S-M סד לאגודל</v>
      </c>
      <c r="C105" s="9" t="n">
        <f aca="false">SUMIFS('Source 2025'!$I:$I,'Source 2025'!$B:$B,$A105,'Source 2025'!$A:$A,"Quantity (units)")</f>
        <v>2404</v>
      </c>
      <c r="D105" s="9" t="n">
        <f aca="false">SUMIFS('Source 2026'!$I:$I,'Source 2026'!$B:$B,$A105,'Source 2026'!$A:$A,"Quantity (units)")</f>
        <v>2342</v>
      </c>
      <c r="E105" s="9" t="n">
        <f aca="false">D105-C105</f>
        <v>-62</v>
      </c>
      <c r="F105" s="10" t="n">
        <f aca="false">IF(AND(C105=0,D105=0),0,IF(C105=0,"New",(D105-C105)/C105))</f>
        <v>-0.0257903494176373</v>
      </c>
      <c r="G105" s="11" t="n">
        <f aca="false">SUMIFS('Source 2025'!$I:$I,'Source 2025'!$B:$B,$A105,'Source 2025'!$A:$A,"Amount (NIS)")</f>
        <v>141502.4</v>
      </c>
      <c r="H105" s="11" t="n">
        <f aca="false">SUMIFS('Source 2026'!$I:$I,'Source 2026'!$B:$B,$A105,'Source 2026'!$A:$A,"Amount (NIS)")</f>
        <v>138664.5</v>
      </c>
      <c r="I105" s="11" t="n">
        <f aca="false">H105-G105</f>
        <v>-2837.90000000002</v>
      </c>
      <c r="J105" s="10" t="n">
        <f aca="false">IF(AND(G105=0,H105=0),0,IF(G105=0,"New",(H105-G105)/G105))</f>
        <v>-0.0200554902249009</v>
      </c>
    </row>
    <row r="106" customFormat="false" ht="15" hidden="false" customHeight="true" outlineLevel="0" collapsed="false">
      <c r="A106" s="8" t="s">
        <v>193</v>
      </c>
      <c r="B106" s="8" t="str">
        <f aca="false">IFERROR(INDEX('Source 2026'!$C:$C,MATCH($A106,'Source 2026'!$B:$B,0)),IFERROR(INDEX('Source 2025'!$C:$C,MATCH($A106,'Source 2025'!$B:$B,0)),""))</f>
        <v>סד ליישור אצבע</v>
      </c>
      <c r="C106" s="9" t="n">
        <f aca="false">SUMIFS('Source 2025'!$I:$I,'Source 2025'!$B:$B,$A106,'Source 2025'!$A:$A,"Quantity (units)")</f>
        <v>1778</v>
      </c>
      <c r="D106" s="9" t="n">
        <f aca="false">SUMIFS('Source 2026'!$I:$I,'Source 2026'!$B:$B,$A106,'Source 2026'!$A:$A,"Quantity (units)")</f>
        <v>1904</v>
      </c>
      <c r="E106" s="9" t="n">
        <f aca="false">D106-C106</f>
        <v>126</v>
      </c>
      <c r="F106" s="10" t="n">
        <f aca="false">IF(AND(C106=0,D106=0),0,IF(C106=0,"New",(D106-C106)/C106))</f>
        <v>0.0708661417322835</v>
      </c>
      <c r="G106" s="11" t="n">
        <f aca="false">SUMIFS('Source 2025'!$I:$I,'Source 2025'!$B:$B,$A106,'Source 2025'!$A:$A,"Amount (NIS)")</f>
        <v>25918.2</v>
      </c>
      <c r="H106" s="11" t="n">
        <f aca="false">SUMIFS('Source 2026'!$I:$I,'Source 2026'!$B:$B,$A106,'Source 2026'!$A:$A,"Amount (NIS)")</f>
        <v>28720.8</v>
      </c>
      <c r="I106" s="11" t="n">
        <f aca="false">H106-G106</f>
        <v>2802.6</v>
      </c>
      <c r="J106" s="10" t="n">
        <f aca="false">IF(AND(G106=0,H106=0),0,IF(G106=0,"New",(H106-G106)/G106))</f>
        <v>0.108132509202028</v>
      </c>
    </row>
    <row r="107" customFormat="false" ht="15" hidden="false" customHeight="true" outlineLevel="0" collapsed="false">
      <c r="A107" s="8" t="s">
        <v>79</v>
      </c>
      <c r="B107" s="8" t="str">
        <f aca="false">IFERROR(INDEX('Source 2026'!$C:$C,MATCH($A107,'Source 2026'!$B:$B,0)),IFERROR(INDEX('Source 2025'!$C:$C,MATCH($A107,'Source 2025'!$B:$B,0)),""))</f>
        <v>L מתלה רשת לזרוע שחור</v>
      </c>
      <c r="C107" s="9" t="n">
        <f aca="false">SUMIFS('Source 2025'!$I:$I,'Source 2025'!$B:$B,$A107,'Source 2025'!$A:$A,"Quantity (units)")</f>
        <v>2789</v>
      </c>
      <c r="D107" s="9" t="n">
        <f aca="false">SUMIFS('Source 2026'!$I:$I,'Source 2026'!$B:$B,$A107,'Source 2026'!$A:$A,"Quantity (units)")</f>
        <v>2847</v>
      </c>
      <c r="E107" s="9" t="n">
        <f aca="false">D107-C107</f>
        <v>58</v>
      </c>
      <c r="F107" s="10" t="n">
        <f aca="false">IF(AND(C107=0,D107=0),0,IF(C107=0,"New",(D107-C107)/C107))</f>
        <v>0.0207959842237361</v>
      </c>
      <c r="G107" s="11" t="n">
        <f aca="false">SUMIFS('Source 2025'!$I:$I,'Source 2025'!$B:$B,$A107,'Source 2025'!$A:$A,"Amount (NIS)")</f>
        <v>136637.6</v>
      </c>
      <c r="H107" s="11" t="n">
        <f aca="false">SUMIFS('Source 2026'!$I:$I,'Source 2026'!$B:$B,$A107,'Source 2026'!$A:$A,"Amount (NIS)")</f>
        <v>139434.1</v>
      </c>
      <c r="I107" s="11" t="n">
        <f aca="false">H107-G107</f>
        <v>2796.5</v>
      </c>
      <c r="J107" s="10" t="n">
        <f aca="false">IF(AND(G107=0,H107=0),0,IF(G107=0,"New",(H107-G107)/G107))</f>
        <v>0.0204665480072835</v>
      </c>
    </row>
    <row r="108" customFormat="false" ht="15" hidden="false" customHeight="true" outlineLevel="0" collapsed="false">
      <c r="A108" s="8" t="s">
        <v>225</v>
      </c>
      <c r="B108" s="8" t="str">
        <f aca="false">IFERROR(INDEX('Source 2026'!$C:$C,MATCH($A108,'Source 2026'!$B:$B,0)),IFERROR(INDEX('Source 2025'!$C:$C,MATCH($A108,'Source 2025'!$B:$B,0)),""))</f>
        <v>מפריד הלוקס</v>
      </c>
      <c r="C108" s="9" t="n">
        <f aca="false">SUMIFS('Source 2025'!$I:$I,'Source 2025'!$B:$B,$A108,'Source 2025'!$A:$A,"Quantity (units)")</f>
        <v>137</v>
      </c>
      <c r="D108" s="9" t="n">
        <f aca="false">SUMIFS('Source 2026'!$I:$I,'Source 2026'!$B:$B,$A108,'Source 2026'!$A:$A,"Quantity (units)")</f>
        <v>65</v>
      </c>
      <c r="E108" s="9" t="n">
        <f aca="false">D108-C108</f>
        <v>-72</v>
      </c>
      <c r="F108" s="10" t="n">
        <f aca="false">IF(AND(C108=0,D108=0),0,IF(C108=0,"New",(D108-C108)/C108))</f>
        <v>-0.525547445255475</v>
      </c>
      <c r="G108" s="11" t="n">
        <f aca="false">SUMIFS('Source 2025'!$I:$I,'Source 2025'!$B:$B,$A108,'Source 2025'!$A:$A,"Amount (NIS)")</f>
        <v>5560</v>
      </c>
      <c r="H108" s="11" t="n">
        <f aca="false">SUMIFS('Source 2026'!$I:$I,'Source 2026'!$B:$B,$A108,'Source 2026'!$A:$A,"Amount (NIS)")</f>
        <v>2802.7</v>
      </c>
      <c r="I108" s="11" t="n">
        <f aca="false">H108-G108</f>
        <v>-2757.3</v>
      </c>
      <c r="J108" s="10" t="n">
        <f aca="false">IF(AND(G108=0,H108=0),0,IF(G108=0,"New",(H108-G108)/G108))</f>
        <v>-0.49591726618705</v>
      </c>
    </row>
    <row r="109" customFormat="false" ht="15" hidden="false" customHeight="true" outlineLevel="0" collapsed="false">
      <c r="A109" s="8" t="s">
        <v>232</v>
      </c>
      <c r="B109" s="8" t="str">
        <f aca="false">IFERROR(INDEX('Source 2026'!$C:$C,MATCH($A109,'Source 2026'!$B:$B,0)),IFERROR(INDEX('Source 2025'!$C:$C,MATCH($A109,'Source 2025'!$B:$B,0)),""))</f>
        <v>בננה לתמיכת אצבעות ז.כרית</v>
      </c>
      <c r="C109" s="9" t="n">
        <f aca="false">SUMIFS('Source 2025'!$I:$I,'Source 2025'!$B:$B,$A109,'Source 2025'!$A:$A,"Quantity (units)")</f>
        <v>252</v>
      </c>
      <c r="D109" s="9" t="n">
        <f aca="false">SUMIFS('Source 2026'!$I:$I,'Source 2026'!$B:$B,$A109,'Source 2026'!$A:$A,"Quantity (units)")</f>
        <v>125</v>
      </c>
      <c r="E109" s="9" t="n">
        <f aca="false">D109-C109</f>
        <v>-127</v>
      </c>
      <c r="F109" s="10" t="n">
        <f aca="false">IF(AND(C109=0,D109=0),0,IF(C109=0,"New",(D109-C109)/C109))</f>
        <v>-0.503968253968254</v>
      </c>
      <c r="G109" s="11" t="n">
        <f aca="false">SUMIFS('Source 2025'!$I:$I,'Source 2025'!$B:$B,$A109,'Source 2025'!$A:$A,"Amount (NIS)")</f>
        <v>5544.2</v>
      </c>
      <c r="H109" s="11" t="n">
        <f aca="false">SUMIFS('Source 2026'!$I:$I,'Source 2026'!$B:$B,$A109,'Source 2026'!$A:$A,"Amount (NIS)")</f>
        <v>2790.2</v>
      </c>
      <c r="I109" s="11" t="n">
        <f aca="false">H109-G109</f>
        <v>-2754</v>
      </c>
      <c r="J109" s="10" t="n">
        <f aca="false">IF(AND(G109=0,H109=0),0,IF(G109=0,"New",(H109-G109)/G109))</f>
        <v>-0.496735327008405</v>
      </c>
    </row>
    <row r="110" customFormat="false" ht="15" hidden="false" customHeight="true" outlineLevel="0" collapsed="false">
      <c r="A110" s="8" t="s">
        <v>169</v>
      </c>
      <c r="B110" s="8" t="str">
        <f aca="false">IFERROR(INDEX('Source 2026'!$C:$C,MATCH($A110,'Source 2026'!$B:$B,0)),IFERROR(INDEX('Source 2025'!$C:$C,MATCH($A110,'Source 2025'!$B:$B,0)),""))</f>
        <v>סד ליישור אצבע</v>
      </c>
      <c r="C110" s="9" t="n">
        <f aca="false">SUMIFS('Source 2025'!$I:$I,'Source 2025'!$B:$B,$A110,'Source 2025'!$A:$A,"Quantity (units)")</f>
        <v>2441</v>
      </c>
      <c r="D110" s="9" t="n">
        <f aca="false">SUMIFS('Source 2026'!$I:$I,'Source 2026'!$B:$B,$A110,'Source 2026'!$A:$A,"Quantity (units)")</f>
        <v>2182</v>
      </c>
      <c r="E110" s="9" t="n">
        <f aca="false">D110-C110</f>
        <v>-259</v>
      </c>
      <c r="F110" s="10" t="n">
        <f aca="false">IF(AND(C110=0,D110=0),0,IF(C110=0,"New",(D110-C110)/C110))</f>
        <v>-0.106104055714871</v>
      </c>
      <c r="G110" s="11" t="n">
        <f aca="false">SUMIFS('Source 2025'!$I:$I,'Source 2025'!$B:$B,$A110,'Source 2025'!$A:$A,"Amount (NIS)")</f>
        <v>35520.6</v>
      </c>
      <c r="H110" s="11" t="n">
        <f aca="false">SUMIFS('Source 2026'!$I:$I,'Source 2026'!$B:$B,$A110,'Source 2026'!$A:$A,"Amount (NIS)")</f>
        <v>32850.6</v>
      </c>
      <c r="I110" s="11" t="n">
        <f aca="false">H110-G110</f>
        <v>-2670</v>
      </c>
      <c r="J110" s="10" t="n">
        <f aca="false">IF(AND(G110=0,H110=0),0,IF(G110=0,"New",(H110-G110)/G110))</f>
        <v>-0.075167649195115</v>
      </c>
    </row>
    <row r="111" customFormat="false" ht="15" hidden="false" customHeight="true" outlineLevel="0" collapsed="false">
      <c r="A111" s="8" t="s">
        <v>251</v>
      </c>
      <c r="B111" s="8" t="str">
        <f aca="false">IFERROR(INDEX('Source 2026'!$C:$C,MATCH($A111,'Source 2026'!$B:$B,0)),IFERROR(INDEX('Source 2025'!$C:$C,MATCH($A111,'Source 2025'!$B:$B,0)),""))</f>
        <v>11 אפורUG חגורת בטן</v>
      </c>
      <c r="C111" s="9" t="n">
        <f aca="false">SUMIFS('Source 2025'!$I:$I,'Source 2025'!$B:$B,$A111,'Source 2025'!$A:$A,"Quantity (units)")</f>
        <v>34</v>
      </c>
      <c r="D111" s="9" t="n">
        <f aca="false">SUMIFS('Source 2026'!$I:$I,'Source 2026'!$B:$B,$A111,'Source 2026'!$A:$A,"Quantity (units)")</f>
        <v>0</v>
      </c>
      <c r="E111" s="9" t="n">
        <f aca="false">D111-C111</f>
        <v>-34</v>
      </c>
      <c r="F111" s="10" t="n">
        <f aca="false">IF(AND(C111=0,D111=0),0,IF(C111=0,"New",(D111-C111)/C111))</f>
        <v>-1</v>
      </c>
      <c r="G111" s="11" t="n">
        <f aca="false">SUMIFS('Source 2025'!$I:$I,'Source 2025'!$B:$B,$A111,'Source 2025'!$A:$A,"Amount (NIS)")</f>
        <v>2730.6</v>
      </c>
      <c r="H111" s="11" t="n">
        <f aca="false">SUMIFS('Source 2026'!$I:$I,'Source 2026'!$B:$B,$A111,'Source 2026'!$A:$A,"Amount (NIS)")</f>
        <v>68.2</v>
      </c>
      <c r="I111" s="11" t="n">
        <f aca="false">H111-G111</f>
        <v>-2662.4</v>
      </c>
      <c r="J111" s="10" t="n">
        <f aca="false">IF(AND(G111=0,H111=0),0,IF(G111=0,"New",(H111-G111)/G111))</f>
        <v>-0.975023804292097</v>
      </c>
    </row>
    <row r="112" customFormat="false" ht="15" hidden="false" customHeight="true" outlineLevel="0" collapsed="false">
      <c r="A112" s="8" t="s">
        <v>221</v>
      </c>
      <c r="B112" s="8" t="str">
        <f aca="false">IFERROR(INDEX('Source 2026'!$C:$C,MATCH($A112,'Source 2026'!$B:$B,0)),IFERROR(INDEX('Source 2025'!$C:$C,MATCH($A112,'Source 2025'!$B:$B,0)),""))</f>
        <v>כפפות לחץ</v>
      </c>
      <c r="C112" s="9" t="n">
        <f aca="false">SUMIFS('Source 2025'!$I:$I,'Source 2025'!$B:$B,$A112,'Source 2025'!$A:$A,"Quantity (units)")</f>
        <v>258</v>
      </c>
      <c r="D112" s="9" t="n">
        <f aca="false">SUMIFS('Source 2026'!$I:$I,'Source 2026'!$B:$B,$A112,'Source 2026'!$A:$A,"Quantity (units)")</f>
        <v>162</v>
      </c>
      <c r="E112" s="9" t="n">
        <f aca="false">D112-C112</f>
        <v>-96</v>
      </c>
      <c r="F112" s="10" t="n">
        <f aca="false">IF(AND(C112=0,D112=0),0,IF(C112=0,"New",(D112-C112)/C112))</f>
        <v>-0.372093023255814</v>
      </c>
      <c r="G112" s="11" t="n">
        <f aca="false">SUMIFS('Source 2025'!$I:$I,'Source 2025'!$B:$B,$A112,'Source 2025'!$A:$A,"Amount (NIS)")</f>
        <v>7344.8</v>
      </c>
      <c r="H112" s="11" t="n">
        <f aca="false">SUMIFS('Source 2026'!$I:$I,'Source 2026'!$B:$B,$A112,'Source 2026'!$A:$A,"Amount (NIS)")</f>
        <v>4690.8</v>
      </c>
      <c r="I112" s="11" t="n">
        <f aca="false">H112-G112</f>
        <v>-2654</v>
      </c>
      <c r="J112" s="10" t="n">
        <f aca="false">IF(AND(G112=0,H112=0),0,IF(G112=0,"New",(H112-G112)/G112))</f>
        <v>-0.361344080165559</v>
      </c>
    </row>
    <row r="113" customFormat="false" ht="15" hidden="false" customHeight="true" outlineLevel="0" collapsed="false">
      <c r="A113" s="8" t="s">
        <v>137</v>
      </c>
      <c r="B113" s="8" t="str">
        <f aca="false">IFERROR(INDEX('Source 2026'!$C:$C,MATCH($A113,'Source 2026'!$B:$B,0)),IFERROR(INDEX('Source 2025'!$C:$C,MATCH($A113,'Source 2025'!$B:$B,0)),""))</f>
        <v>בוהן סיליקון קשיח</v>
      </c>
      <c r="C113" s="9" t="n">
        <f aca="false">SUMIFS('Source 2025'!$I:$I,'Source 2025'!$B:$B,$A113,'Source 2025'!$A:$A,"Quantity (units)")</f>
        <v>157</v>
      </c>
      <c r="D113" s="9" t="n">
        <f aca="false">SUMIFS('Source 2026'!$I:$I,'Source 2026'!$B:$B,$A113,'Source 2026'!$A:$A,"Quantity (units)")</f>
        <v>25</v>
      </c>
      <c r="E113" s="9" t="n">
        <f aca="false">D113-C113</f>
        <v>-132</v>
      </c>
      <c r="F113" s="10" t="n">
        <f aca="false">IF(AND(C113=0,D113=0),0,IF(C113=0,"New",(D113-C113)/C113))</f>
        <v>-0.840764331210191</v>
      </c>
      <c r="G113" s="11" t="n">
        <f aca="false">SUMIFS('Source 2025'!$I:$I,'Source 2025'!$B:$B,$A113,'Source 2025'!$A:$A,"Amount (NIS)")</f>
        <v>3108.4</v>
      </c>
      <c r="H113" s="11" t="n">
        <f aca="false">SUMIFS('Source 2026'!$I:$I,'Source 2026'!$B:$B,$A113,'Source 2026'!$A:$A,"Amount (NIS)")</f>
        <v>493.6</v>
      </c>
      <c r="I113" s="11" t="n">
        <f aca="false">H113-G113</f>
        <v>-2614.8</v>
      </c>
      <c r="J113" s="10" t="n">
        <f aca="false">IF(AND(G113=0,H113=0),0,IF(G113=0,"New",(H113-G113)/G113))</f>
        <v>-0.841204478188135</v>
      </c>
    </row>
    <row r="114" customFormat="false" ht="15" hidden="false" customHeight="true" outlineLevel="0" collapsed="false">
      <c r="A114" s="8" t="s">
        <v>109</v>
      </c>
      <c r="B114" s="8" t="str">
        <f aca="false">IFERROR(INDEX('Source 2026'!$C:$C,MATCH($A114,'Source 2026'!$B:$B,0)),IFERROR(INDEX('Source 2025'!$C:$C,MATCH($A114,'Source 2025'!$B:$B,0)),""))</f>
        <v>L סד לילה שחור לבוהן שמאל</v>
      </c>
      <c r="C114" s="9" t="n">
        <f aca="false">SUMIFS('Source 2025'!$I:$I,'Source 2025'!$B:$B,$A114,'Source 2025'!$A:$A,"Quantity (units)")</f>
        <v>87</v>
      </c>
      <c r="D114" s="9" t="n">
        <f aca="false">SUMIFS('Source 2026'!$I:$I,'Source 2026'!$B:$B,$A114,'Source 2026'!$A:$A,"Quantity (units)")</f>
        <v>40</v>
      </c>
      <c r="E114" s="9" t="n">
        <f aca="false">D114-C114</f>
        <v>-47</v>
      </c>
      <c r="F114" s="10" t="n">
        <f aca="false">IF(AND(C114=0,D114=0),0,IF(C114=0,"New",(D114-C114)/C114))</f>
        <v>-0.540229885057471</v>
      </c>
      <c r="G114" s="11" t="n">
        <f aca="false">SUMIFS('Source 2025'!$I:$I,'Source 2025'!$B:$B,$A114,'Source 2025'!$A:$A,"Amount (NIS)")</f>
        <v>5148.8</v>
      </c>
      <c r="H114" s="11" t="n">
        <f aca="false">SUMIFS('Source 2026'!$I:$I,'Source 2026'!$B:$B,$A114,'Source 2026'!$A:$A,"Amount (NIS)")</f>
        <v>2571.3</v>
      </c>
      <c r="I114" s="11" t="n">
        <f aca="false">H114-G114</f>
        <v>-2577.5</v>
      </c>
      <c r="J114" s="10" t="n">
        <f aca="false">IF(AND(G114=0,H114=0),0,IF(G114=0,"New",(H114-G114)/G114))</f>
        <v>-0.500602082038533</v>
      </c>
    </row>
    <row r="115" customFormat="false" ht="15" hidden="false" customHeight="true" outlineLevel="0" collapsed="false">
      <c r="A115" s="8" t="s">
        <v>97</v>
      </c>
      <c r="B115" s="8" t="str">
        <f aca="false">IFERROR(INDEX('Source 2026'!$C:$C,MATCH($A115,'Source 2026'!$B:$B,0)),IFERROR(INDEX('Source 2025'!$C:$C,MATCH($A115,'Source 2025'!$B:$B,0)),""))</f>
        <v>חגורת גב +סגירה כפולה</v>
      </c>
      <c r="C115" s="9" t="n">
        <f aca="false">SUMIFS('Source 2025'!$I:$I,'Source 2025'!$B:$B,$A115,'Source 2025'!$A:$A,"Quantity (units)")</f>
        <v>65</v>
      </c>
      <c r="D115" s="9" t="n">
        <f aca="false">SUMIFS('Source 2026'!$I:$I,'Source 2026'!$B:$B,$A115,'Source 2026'!$A:$A,"Quantity (units)")</f>
        <v>36</v>
      </c>
      <c r="E115" s="9" t="n">
        <f aca="false">D115-C115</f>
        <v>-29</v>
      </c>
      <c r="F115" s="10" t="n">
        <f aca="false">IF(AND(C115=0,D115=0),0,IF(C115=0,"New",(D115-C115)/C115))</f>
        <v>-0.446153846153846</v>
      </c>
      <c r="G115" s="11" t="n">
        <f aca="false">SUMIFS('Source 2025'!$I:$I,'Source 2025'!$B:$B,$A115,'Source 2025'!$A:$A,"Amount (NIS)")</f>
        <v>6213.6</v>
      </c>
      <c r="H115" s="11" t="n">
        <f aca="false">SUMIFS('Source 2026'!$I:$I,'Source 2026'!$B:$B,$A115,'Source 2026'!$A:$A,"Amount (NIS)")</f>
        <v>3644.6</v>
      </c>
      <c r="I115" s="11" t="n">
        <f aca="false">H115-G115</f>
        <v>-2569</v>
      </c>
      <c r="J115" s="10" t="n">
        <f aca="false">IF(AND(G115=0,H115=0),0,IF(G115=0,"New",(H115-G115)/G115))</f>
        <v>-0.413447920690099</v>
      </c>
    </row>
    <row r="116" customFormat="false" ht="15" hidden="false" customHeight="true" outlineLevel="0" collapsed="false">
      <c r="A116" s="8" t="s">
        <v>185</v>
      </c>
      <c r="B116" s="8" t="str">
        <f aca="false">IFERROR(INDEX('Source 2026'!$C:$C,MATCH($A116,'Source 2026'!$B:$B,0)),IFERROR(INDEX('Source 2025'!$C:$C,MATCH($A116,'Source 2025'!$B:$B,0)),""))</f>
        <v>רצועת ""פיקה""+כרית</v>
      </c>
      <c r="C116" s="9" t="n">
        <f aca="false">SUMIFS('Source 2025'!$I:$I,'Source 2025'!$B:$B,$A116,'Source 2025'!$A:$A,"Quantity (units)")</f>
        <v>40</v>
      </c>
      <c r="D116" s="9" t="n">
        <f aca="false">SUMIFS('Source 2026'!$I:$I,'Source 2026'!$B:$B,$A116,'Source 2026'!$A:$A,"Quantity (units)")</f>
        <v>12</v>
      </c>
      <c r="E116" s="9" t="n">
        <f aca="false">D116-C116</f>
        <v>-28</v>
      </c>
      <c r="F116" s="10" t="n">
        <f aca="false">IF(AND(C116=0,D116=0),0,IF(C116=0,"New",(D116-C116)/C116))</f>
        <v>-0.7</v>
      </c>
      <c r="G116" s="11" t="n">
        <f aca="false">SUMIFS('Source 2025'!$I:$I,'Source 2025'!$B:$B,$A116,'Source 2025'!$A:$A,"Amount (NIS)")</f>
        <v>3726.4</v>
      </c>
      <c r="H116" s="11" t="n">
        <f aca="false">SUMIFS('Source 2026'!$I:$I,'Source 2026'!$B:$B,$A116,'Source 2026'!$A:$A,"Amount (NIS)")</f>
        <v>1185.3</v>
      </c>
      <c r="I116" s="11" t="n">
        <f aca="false">H116-G116</f>
        <v>-2541.1</v>
      </c>
      <c r="J116" s="10" t="n">
        <f aca="false">IF(AND(G116=0,H116=0),0,IF(G116=0,"New",(H116-G116)/G116))</f>
        <v>-0.6819182052383</v>
      </c>
    </row>
    <row r="117" customFormat="false" ht="15" hidden="false" customHeight="true" outlineLevel="0" collapsed="false">
      <c r="A117" s="8" t="s">
        <v>229</v>
      </c>
      <c r="B117" s="8" t="str">
        <f aca="false">IFERROR(INDEX('Source 2026'!$C:$C,MATCH($A117,'Source 2026'!$B:$B,0)),IFERROR(INDEX('Source 2025'!$C:$C,MATCH($A117,'Source 2025'!$B:$B,0)),""))</f>
        <v>כפפות לחץ</v>
      </c>
      <c r="C117" s="9" t="n">
        <f aca="false">SUMIFS('Source 2025'!$I:$I,'Source 2025'!$B:$B,$A117,'Source 2025'!$A:$A,"Quantity (units)")</f>
        <v>246</v>
      </c>
      <c r="D117" s="9" t="n">
        <f aca="false">SUMIFS('Source 2026'!$I:$I,'Source 2026'!$B:$B,$A117,'Source 2026'!$A:$A,"Quantity (units)")</f>
        <v>156</v>
      </c>
      <c r="E117" s="9" t="n">
        <f aca="false">D117-C117</f>
        <v>-90</v>
      </c>
      <c r="F117" s="10" t="n">
        <f aca="false">IF(AND(C117=0,D117=0),0,IF(C117=0,"New",(D117-C117)/C117))</f>
        <v>-0.365853658536585</v>
      </c>
      <c r="G117" s="11" t="n">
        <f aca="false">SUMIFS('Source 2025'!$I:$I,'Source 2025'!$B:$B,$A117,'Source 2025'!$A:$A,"Amount (NIS)")</f>
        <v>6998.3</v>
      </c>
      <c r="H117" s="11" t="n">
        <f aca="false">SUMIFS('Source 2026'!$I:$I,'Source 2026'!$B:$B,$A117,'Source 2026'!$A:$A,"Amount (NIS)")</f>
        <v>4514.3</v>
      </c>
      <c r="I117" s="11" t="n">
        <f aca="false">H117-G117</f>
        <v>-2484</v>
      </c>
      <c r="J117" s="10" t="n">
        <f aca="false">IF(AND(G117=0,H117=0),0,IF(G117=0,"New",(H117-G117)/G117))</f>
        <v>-0.354943343383393</v>
      </c>
    </row>
    <row r="118" customFormat="false" ht="15" hidden="false" customHeight="true" outlineLevel="0" collapsed="false">
      <c r="A118" s="8" t="s">
        <v>173</v>
      </c>
      <c r="B118" s="8" t="str">
        <f aca="false">IFERROR(INDEX('Source 2026'!$C:$C,MATCH($A118,'Source 2026'!$B:$B,0)),IFERROR(INDEX('Source 2025'!$C:$C,MATCH($A118,'Source 2025'!$B:$B,0)),""))</f>
        <v>נצמדת בז' 20 מ""מ</v>
      </c>
      <c r="C118" s="9" t="n">
        <f aca="false">SUMIFS('Source 2025'!$I:$I,'Source 2025'!$B:$B,$A118,'Source 2025'!$A:$A,"Quantity (units)")</f>
        <v>1235</v>
      </c>
      <c r="D118" s="9" t="n">
        <f aca="false">SUMIFS('Source 2026'!$I:$I,'Source 2026'!$B:$B,$A118,'Source 2026'!$A:$A,"Quantity (units)")</f>
        <v>988</v>
      </c>
      <c r="E118" s="9" t="n">
        <f aca="false">D118-C118</f>
        <v>-247</v>
      </c>
      <c r="F118" s="10" t="n">
        <f aca="false">IF(AND(C118=0,D118=0),0,IF(C118=0,"New",(D118-C118)/C118))</f>
        <v>-0.2</v>
      </c>
      <c r="G118" s="11" t="n">
        <f aca="false">SUMIFS('Source 2025'!$I:$I,'Source 2025'!$B:$B,$A118,'Source 2025'!$A:$A,"Amount (NIS)")</f>
        <v>12532.2</v>
      </c>
      <c r="H118" s="11" t="n">
        <f aca="false">SUMIFS('Source 2026'!$I:$I,'Source 2026'!$B:$B,$A118,'Source 2026'!$A:$A,"Amount (NIS)")</f>
        <v>10070.6</v>
      </c>
      <c r="I118" s="11" t="n">
        <f aca="false">H118-G118</f>
        <v>-2461.6</v>
      </c>
      <c r="J118" s="10" t="n">
        <f aca="false">IF(AND(G118=0,H118=0),0,IF(G118=0,"New",(H118-G118)/G118))</f>
        <v>-0.196422016884506</v>
      </c>
    </row>
    <row r="119" customFormat="false" ht="15" hidden="false" customHeight="true" outlineLevel="0" collapsed="false">
      <c r="A119" s="8" t="s">
        <v>303</v>
      </c>
      <c r="B119" s="8" t="str">
        <f aca="false">IFERROR(INDEX('Source 2026'!$C:$C,MATCH($A119,'Source 2026'!$B:$B,0)),IFERROR(INDEX('Source 2025'!$C:$C,MATCH($A119,'Source 2025'!$B:$B,0)),""))</f>
        <v>11 אפורUG חגורת בטן</v>
      </c>
      <c r="C119" s="9" t="n">
        <f aca="false">SUMIFS('Source 2025'!$I:$I,'Source 2025'!$B:$B,$A119,'Source 2025'!$A:$A,"Quantity (units)")</f>
        <v>32</v>
      </c>
      <c r="D119" s="9" t="n">
        <f aca="false">SUMIFS('Source 2026'!$I:$I,'Source 2026'!$B:$B,$A119,'Source 2026'!$A:$A,"Quantity (units)")</f>
        <v>1</v>
      </c>
      <c r="E119" s="9" t="n">
        <f aca="false">D119-C119</f>
        <v>-31</v>
      </c>
      <c r="F119" s="10" t="n">
        <f aca="false">IF(AND(C119=0,D119=0),0,IF(C119=0,"New",(D119-C119)/C119))</f>
        <v>-0.96875</v>
      </c>
      <c r="G119" s="11" t="n">
        <f aca="false">SUMIFS('Source 2025'!$I:$I,'Source 2025'!$B:$B,$A119,'Source 2025'!$A:$A,"Amount (NIS)")</f>
        <v>2549.6</v>
      </c>
      <c r="H119" s="11" t="n">
        <f aca="false">SUMIFS('Source 2026'!$I:$I,'Source 2026'!$B:$B,$A119,'Source 2026'!$A:$A,"Amount (NIS)")</f>
        <v>132.3</v>
      </c>
      <c r="I119" s="11" t="n">
        <f aca="false">H119-G119</f>
        <v>-2417.3</v>
      </c>
      <c r="J119" s="10" t="n">
        <f aca="false">IF(AND(G119=0,H119=0),0,IF(G119=0,"New",(H119-G119)/G119))</f>
        <v>-0.948109507373706</v>
      </c>
    </row>
    <row r="120" customFormat="false" ht="15" hidden="false" customHeight="true" outlineLevel="0" collapsed="false">
      <c r="A120" s="8" t="s">
        <v>219</v>
      </c>
      <c r="B120" s="8" t="str">
        <f aca="false">IFERROR(INDEX('Source 2026'!$C:$C,MATCH($A120,'Source 2026'!$B:$B,0)),IFERROR(INDEX('Source 2025'!$C:$C,MATCH($A120,'Source 2025'!$B:$B,0)),""))</f>
        <v>כפפות אגודל לחץ</v>
      </c>
      <c r="C120" s="9" t="n">
        <f aca="false">SUMIFS('Source 2025'!$I:$I,'Source 2025'!$B:$B,$A120,'Source 2025'!$A:$A,"Quantity (units)")</f>
        <v>419</v>
      </c>
      <c r="D120" s="9" t="n">
        <f aca="false">SUMIFS('Source 2026'!$I:$I,'Source 2026'!$B:$B,$A120,'Source 2026'!$A:$A,"Quantity (units)")</f>
        <v>324</v>
      </c>
      <c r="E120" s="9" t="n">
        <f aca="false">D120-C120</f>
        <v>-95</v>
      </c>
      <c r="F120" s="10" t="n">
        <f aca="false">IF(AND(C120=0,D120=0),0,IF(C120=0,"New",(D120-C120)/C120))</f>
        <v>-0.22673031026253</v>
      </c>
      <c r="G120" s="11" t="n">
        <f aca="false">SUMIFS('Source 2025'!$I:$I,'Source 2025'!$B:$B,$A120,'Source 2025'!$A:$A,"Amount (NIS)")</f>
        <v>11927.2</v>
      </c>
      <c r="H120" s="11" t="n">
        <f aca="false">SUMIFS('Source 2026'!$I:$I,'Source 2026'!$B:$B,$A120,'Source 2026'!$A:$A,"Amount (NIS)")</f>
        <v>9579</v>
      </c>
      <c r="I120" s="11" t="n">
        <f aca="false">H120-G120</f>
        <v>-2348.2</v>
      </c>
      <c r="J120" s="10" t="n">
        <f aca="false">IF(AND(G120=0,H120=0),0,IF(G120=0,"New",(H120-G120)/G120))</f>
        <v>-0.196877724864176</v>
      </c>
    </row>
    <row r="121" customFormat="false" ht="15" hidden="false" customHeight="true" outlineLevel="0" collapsed="false">
      <c r="A121" s="8" t="s">
        <v>311</v>
      </c>
      <c r="B121" s="8" t="str">
        <f aca="false">IFERROR(INDEX('Source 2026'!$C:$C,MATCH($A121,'Source 2026'!$B:$B,0)),IFERROR(INDEX('Source 2025'!$C:$C,MATCH($A121,'Source 2025'!$B:$B,0)),""))</f>
        <v>ג.כסף לסכרתיים אפור35-38</v>
      </c>
      <c r="C121" s="9" t="n">
        <f aca="false">SUMIFS('Source 2025'!$I:$I,'Source 2025'!$B:$B,$A121,'Source 2025'!$A:$A,"Quantity (units)")</f>
        <v>78</v>
      </c>
      <c r="D121" s="9" t="n">
        <f aca="false">SUMIFS('Source 2026'!$I:$I,'Source 2026'!$B:$B,$A121,'Source 2026'!$A:$A,"Quantity (units)")</f>
        <v>1</v>
      </c>
      <c r="E121" s="9" t="n">
        <f aca="false">D121-C121</f>
        <v>-77</v>
      </c>
      <c r="F121" s="10" t="n">
        <f aca="false">IF(AND(C121=0,D121=0),0,IF(C121=0,"New",(D121-C121)/C121))</f>
        <v>-0.987179487179487</v>
      </c>
      <c r="G121" s="11" t="n">
        <f aca="false">SUMIFS('Source 2025'!$I:$I,'Source 2025'!$B:$B,$A121,'Source 2025'!$A:$A,"Amount (NIS)")</f>
        <v>2287.4</v>
      </c>
      <c r="H121" s="11" t="n">
        <f aca="false">SUMIFS('Source 2026'!$I:$I,'Source 2026'!$B:$B,$A121,'Source 2026'!$A:$A,"Amount (NIS)")</f>
        <v>35</v>
      </c>
      <c r="I121" s="11" t="n">
        <f aca="false">H121-G121</f>
        <v>-2252.4</v>
      </c>
      <c r="J121" s="10" t="n">
        <f aca="false">IF(AND(G121=0,H121=0),0,IF(G121=0,"New",(H121-G121)/G121))</f>
        <v>-0.984698784646323</v>
      </c>
    </row>
    <row r="122" customFormat="false" ht="15" hidden="false" customHeight="true" outlineLevel="0" collapsed="false">
      <c r="A122" s="8" t="s">
        <v>226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2025'!$I:$I,'Source 2025'!$B:$B,$A122,'Source 2025'!$A:$A,"Quantity (units)")</f>
        <v>2616</v>
      </c>
      <c r="D122" s="9" t="n">
        <f aca="false">SUMIFS('Source 2026'!$I:$I,'Source 2026'!$B:$B,$A122,'Source 2026'!$A:$A,"Quantity (units)")</f>
        <v>2382</v>
      </c>
      <c r="E122" s="9" t="n">
        <f aca="false">D122-C122</f>
        <v>-234</v>
      </c>
      <c r="F122" s="10" t="n">
        <f aca="false">IF(AND(C122=0,D122=0),0,IF(C122=0,"New",(D122-C122)/C122))</f>
        <v>-0.0894495412844037</v>
      </c>
      <c r="G122" s="11" t="n">
        <f aca="false">SUMIFS('Source 2025'!$I:$I,'Source 2025'!$B:$B,$A122,'Source 2025'!$A:$A,"Amount (NIS)")</f>
        <v>38080.5</v>
      </c>
      <c r="H122" s="11" t="n">
        <f aca="false">SUMIFS('Source 2026'!$I:$I,'Source 2026'!$B:$B,$A122,'Source 2026'!$A:$A,"Amount (NIS)")</f>
        <v>35836</v>
      </c>
      <c r="I122" s="11" t="n">
        <f aca="false">H122-G122</f>
        <v>-2244.5</v>
      </c>
      <c r="J122" s="10" t="n">
        <f aca="false">IF(AND(G122=0,H122=0),0,IF(G122=0,"New",(H122-G122)/G122))</f>
        <v>-0.0589409277714316</v>
      </c>
    </row>
    <row r="123" customFormat="false" ht="15" hidden="false" customHeight="true" outlineLevel="0" collapsed="false">
      <c r="A123" s="8" t="s">
        <v>318</v>
      </c>
      <c r="B123" s="8" t="str">
        <f aca="false">IFERROR(INDEX('Source 2026'!$C:$C,MATCH($A123,'Source 2026'!$B:$B,0)),IFERROR(INDEX('Source 2025'!$C:$C,MATCH($A123,'Source 2025'!$B:$B,0)),""))</f>
        <v>S-M STRAP4U</v>
      </c>
      <c r="C123" s="9" t="n">
        <f aca="false">SUMIFS('Source 2025'!$I:$I,'Source 2025'!$B:$B,$A123,'Source 2025'!$A:$A,"Quantity (units)")</f>
        <v>95</v>
      </c>
      <c r="D123" s="9" t="n">
        <f aca="false">SUMIFS('Source 2026'!$I:$I,'Source 2026'!$B:$B,$A123,'Source 2026'!$A:$A,"Quantity (units)")</f>
        <v>-57</v>
      </c>
      <c r="E123" s="9" t="n">
        <f aca="false">D123-C123</f>
        <v>-152</v>
      </c>
      <c r="F123" s="10" t="n">
        <f aca="false">IF(AND(C123=0,D123=0),0,IF(C123=0,"New",(D123-C123)/C123))</f>
        <v>-1.6</v>
      </c>
      <c r="G123" s="11" t="n">
        <f aca="false">SUMIFS('Source 2025'!$I:$I,'Source 2025'!$B:$B,$A123,'Source 2025'!$A:$A,"Amount (NIS)")</f>
        <v>1673</v>
      </c>
      <c r="H123" s="11" t="n">
        <f aca="false">SUMIFS('Source 2026'!$I:$I,'Source 2026'!$B:$B,$A123,'Source 2026'!$A:$A,"Amount (NIS)")</f>
        <v>-564.6</v>
      </c>
      <c r="I123" s="11" t="n">
        <f aca="false">H123-G123</f>
        <v>-2237.6</v>
      </c>
      <c r="J123" s="10" t="n">
        <f aca="false">IF(AND(G123=0,H123=0),0,IF(G123=0,"New",(H123-G123)/G123))</f>
        <v>-1.33747758517633</v>
      </c>
    </row>
    <row r="124" customFormat="false" ht="15" hidden="false" customHeight="true" outlineLevel="0" collapsed="false">
      <c r="A124" s="8" t="s">
        <v>177</v>
      </c>
      <c r="B124" s="8" t="str">
        <f aca="false">IFERROR(INDEX('Source 2026'!$C:$C,MATCH($A124,'Source 2026'!$B:$B,0)),IFERROR(INDEX('Source 2025'!$C:$C,MATCH($A124,'Source 2025'!$B:$B,0)),""))</f>
        <v>9 מ""ס להתאמהX5 מדבקה גדולה</v>
      </c>
      <c r="C124" s="9" t="n">
        <f aca="false">SUMIFS('Source 2025'!$I:$I,'Source 2025'!$B:$B,$A124,'Source 2025'!$A:$A,"Quantity (units)")</f>
        <v>253</v>
      </c>
      <c r="D124" s="9" t="n">
        <f aca="false">SUMIFS('Source 2026'!$I:$I,'Source 2026'!$B:$B,$A124,'Source 2026'!$A:$A,"Quantity (units)")</f>
        <v>143</v>
      </c>
      <c r="E124" s="9" t="n">
        <f aca="false">D124-C124</f>
        <v>-110</v>
      </c>
      <c r="F124" s="10" t="n">
        <f aca="false">IF(AND(C124=0,D124=0),0,IF(C124=0,"New",(D124-C124)/C124))</f>
        <v>-0.434782608695652</v>
      </c>
      <c r="G124" s="11" t="n">
        <f aca="false">SUMIFS('Source 2025'!$I:$I,'Source 2025'!$B:$B,$A124,'Source 2025'!$A:$A,"Amount (NIS)")</f>
        <v>5080.7</v>
      </c>
      <c r="H124" s="11" t="n">
        <f aca="false">SUMIFS('Source 2026'!$I:$I,'Source 2026'!$B:$B,$A124,'Source 2026'!$A:$A,"Amount (NIS)")</f>
        <v>2862.2</v>
      </c>
      <c r="I124" s="11" t="n">
        <f aca="false">H124-G124</f>
        <v>-2218.5</v>
      </c>
      <c r="J124" s="10" t="n">
        <f aca="false">IF(AND(G124=0,H124=0),0,IF(G124=0,"New",(H124-G124)/G124))</f>
        <v>-0.436652429783298</v>
      </c>
    </row>
    <row r="125" customFormat="false" ht="15" hidden="false" customHeight="true" outlineLevel="0" collapsed="false">
      <c r="A125" s="8" t="s">
        <v>203</v>
      </c>
      <c r="B125" s="8" t="str">
        <f aca="false">IFERROR(INDEX('Source 2026'!$C:$C,MATCH($A125,'Source 2026'!$B:$B,0)),IFERROR(INDEX('Source 2025'!$C:$C,MATCH($A125,'Source 2025'!$B:$B,0)),""))</f>
        <v>להסרת עור קשה</v>
      </c>
      <c r="C125" s="9" t="n">
        <f aca="false">SUMIFS('Source 2025'!$I:$I,'Source 2025'!$B:$B,$A125,'Source 2025'!$A:$A,"Quantity (units)")</f>
        <v>179</v>
      </c>
      <c r="D125" s="9" t="n">
        <f aca="false">SUMIFS('Source 2026'!$I:$I,'Source 2026'!$B:$B,$A125,'Source 2026'!$A:$A,"Quantity (units)")</f>
        <v>96</v>
      </c>
      <c r="E125" s="9" t="n">
        <f aca="false">D125-C125</f>
        <v>-83</v>
      </c>
      <c r="F125" s="10" t="n">
        <f aca="false">IF(AND(C125=0,D125=0),0,IF(C125=0,"New",(D125-C125)/C125))</f>
        <v>-0.463687150837989</v>
      </c>
      <c r="G125" s="11" t="n">
        <f aca="false">SUMIFS('Source 2025'!$I:$I,'Source 2025'!$B:$B,$A125,'Source 2025'!$A:$A,"Amount (NIS)")</f>
        <v>4648.5</v>
      </c>
      <c r="H125" s="11" t="n">
        <f aca="false">SUMIFS('Source 2026'!$I:$I,'Source 2026'!$B:$B,$A125,'Source 2026'!$A:$A,"Amount (NIS)")</f>
        <v>2465</v>
      </c>
      <c r="I125" s="11" t="n">
        <f aca="false">H125-G125</f>
        <v>-2183.5</v>
      </c>
      <c r="J125" s="10" t="n">
        <f aca="false">IF(AND(G125=0,H125=0),0,IF(G125=0,"New",(H125-G125)/G125))</f>
        <v>-0.46972141551038</v>
      </c>
    </row>
    <row r="126" customFormat="false" ht="15" hidden="false" customHeight="true" outlineLevel="0" collapsed="false">
      <c r="A126" s="8" t="s">
        <v>156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200</v>
      </c>
      <c r="D126" s="9" t="n">
        <f aca="false">SUMIFS('Source 2026'!$I:$I,'Source 2026'!$B:$B,$A126,'Source 2026'!$A:$A,"Quantity (units)")</f>
        <v>101</v>
      </c>
      <c r="E126" s="9" t="n">
        <f aca="false">D126-C126</f>
        <v>-99</v>
      </c>
      <c r="F126" s="10" t="n">
        <f aca="false">IF(AND(C126=0,D126=0),0,IF(C126=0,"New",(D126-C126)/C126))</f>
        <v>-0.495</v>
      </c>
      <c r="G126" s="11" t="n">
        <f aca="false">SUMIFS('Source 2025'!$I:$I,'Source 2025'!$B:$B,$A126,'Source 2025'!$A:$A,"Amount (NIS)")</f>
        <v>4371.1</v>
      </c>
      <c r="H126" s="11" t="n">
        <f aca="false">SUMIFS('Source 2026'!$I:$I,'Source 2026'!$B:$B,$A126,'Source 2026'!$A:$A,"Amount (NIS)")</f>
        <v>2222.3</v>
      </c>
      <c r="I126" s="11" t="n">
        <f aca="false">H126-G126</f>
        <v>-2148.8</v>
      </c>
      <c r="J126" s="10" t="n">
        <f aca="false">IF(AND(G126=0,H126=0),0,IF(G126=0,"New",(H126-G126)/G126))</f>
        <v>-0.491592505319027</v>
      </c>
    </row>
    <row r="127" customFormat="false" ht="15" hidden="false" customHeight="true" outlineLevel="0" collapsed="false">
      <c r="A127" s="8" t="s">
        <v>77</v>
      </c>
      <c r="B127" s="8" t="str">
        <f aca="false">IFERROR(INDEX('Source 2026'!$C:$C,MATCH($A127,'Source 2026'!$B:$B,0)),IFERROR(INDEX('Source 2025'!$C:$C,MATCH($A127,'Source 2025'!$B:$B,0)),""))</f>
        <v>תרסיס דאודורנט לכף הרגל</v>
      </c>
      <c r="C127" s="9" t="n">
        <f aca="false">SUMIFS('Source 2025'!$I:$I,'Source 2025'!$B:$B,$A127,'Source 2025'!$A:$A,"Quantity (units)")</f>
        <v>583</v>
      </c>
      <c r="D127" s="9" t="n">
        <f aca="false">SUMIFS('Source 2026'!$I:$I,'Source 2026'!$B:$B,$A127,'Source 2026'!$A:$A,"Quantity (units)")</f>
        <v>536</v>
      </c>
      <c r="E127" s="9" t="n">
        <f aca="false">D127-C127</f>
        <v>-47</v>
      </c>
      <c r="F127" s="10" t="n">
        <f aca="false">IF(AND(C127=0,D127=0),0,IF(C127=0,"New",(D127-C127)/C127))</f>
        <v>-0.0806174957118353</v>
      </c>
      <c r="G127" s="11" t="n">
        <f aca="false">SUMIFS('Source 2025'!$I:$I,'Source 2025'!$B:$B,$A127,'Source 2025'!$A:$A,"Amount (NIS)")</f>
        <v>12662</v>
      </c>
      <c r="H127" s="11" t="n">
        <f aca="false">SUMIFS('Source 2026'!$I:$I,'Source 2026'!$B:$B,$A127,'Source 2026'!$A:$A,"Amount (NIS)")</f>
        <v>10680.7</v>
      </c>
      <c r="I127" s="11" t="n">
        <f aca="false">H127-G127</f>
        <v>-1981.3</v>
      </c>
      <c r="J127" s="10" t="n">
        <f aca="false">IF(AND(G127=0,H127=0),0,IF(G127=0,"New",(H127-G127)/G127))</f>
        <v>-0.156476070131101</v>
      </c>
    </row>
    <row r="128" customFormat="false" ht="15" hidden="false" customHeight="true" outlineLevel="0" collapsed="false">
      <c r="A128" s="8" t="s">
        <v>210</v>
      </c>
      <c r="B128" s="8" t="str">
        <f aca="false">IFERROR(INDEX('Source 2026'!$C:$C,MATCH($A128,'Source 2026'!$B:$B,0)),IFERROR(INDEX('Source 2025'!$C:$C,MATCH($A128,'Source 2025'!$B:$B,0)),""))</f>
        <v>S  חגורת גב פוג'יאמה</v>
      </c>
      <c r="C128" s="9" t="n">
        <f aca="false">SUMIFS('Source 2025'!$I:$I,'Source 2025'!$B:$B,$A128,'Source 2025'!$A:$A,"Quantity (units)")</f>
        <v>40</v>
      </c>
      <c r="D128" s="9" t="n">
        <f aca="false">SUMIFS('Source 2026'!$I:$I,'Source 2026'!$B:$B,$A128,'Source 2026'!$A:$A,"Quantity (units)")</f>
        <v>16</v>
      </c>
      <c r="E128" s="9" t="n">
        <f aca="false">D128-C128</f>
        <v>-24</v>
      </c>
      <c r="F128" s="10" t="n">
        <f aca="false">IF(AND(C128=0,D128=0),0,IF(C128=0,"New",(D128-C128)/C128))</f>
        <v>-0.6</v>
      </c>
      <c r="G128" s="11" t="n">
        <f aca="false">SUMIFS('Source 2025'!$I:$I,'Source 2025'!$B:$B,$A128,'Source 2025'!$A:$A,"Amount (NIS)")</f>
        <v>3331.1</v>
      </c>
      <c r="H128" s="11" t="n">
        <f aca="false">SUMIFS('Source 2026'!$I:$I,'Source 2026'!$B:$B,$A128,'Source 2026'!$A:$A,"Amount (NIS)")</f>
        <v>1352.7</v>
      </c>
      <c r="I128" s="11" t="n">
        <f aca="false">H128-G128</f>
        <v>-1978.4</v>
      </c>
      <c r="J128" s="10" t="n">
        <f aca="false">IF(AND(G128=0,H128=0),0,IF(G128=0,"New",(H128-G128)/G128))</f>
        <v>-0.593917925009757</v>
      </c>
    </row>
    <row r="129" customFormat="false" ht="15" hidden="false" customHeight="true" outlineLevel="0" collapsed="false">
      <c r="A129" s="8" t="s">
        <v>208</v>
      </c>
      <c r="B129" s="8" t="str">
        <f aca="false">IFERROR(INDEX('Source 2026'!$C:$C,MATCH($A129,'Source 2026'!$B:$B,0)),IFERROR(INDEX('Source 2025'!$C:$C,MATCH($A129,'Source 2025'!$B:$B,0)),""))</f>
        <v>0 חגורה למנותחי בית חזה</v>
      </c>
      <c r="C129" s="9" t="n">
        <f aca="false">SUMIFS('Source 2025'!$I:$I,'Source 2025'!$B:$B,$A129,'Source 2025'!$A:$A,"Quantity (units)")</f>
        <v>2</v>
      </c>
      <c r="D129" s="9" t="n">
        <f aca="false">SUMIFS('Source 2026'!$I:$I,'Source 2026'!$B:$B,$A129,'Source 2026'!$A:$A,"Quantity (units)")</f>
        <v>13</v>
      </c>
      <c r="E129" s="9" t="n">
        <f aca="false">D129-C129</f>
        <v>11</v>
      </c>
      <c r="F129" s="10" t="n">
        <f aca="false">IF(AND(C129=0,D129=0),0,IF(C129=0,"New",(D129-C129)/C129))</f>
        <v>5.5</v>
      </c>
      <c r="G129" s="11" t="n">
        <f aca="false">SUMIFS('Source 2025'!$I:$I,'Source 2025'!$B:$B,$A129,'Source 2025'!$A:$A,"Amount (NIS)")</f>
        <v>442.1</v>
      </c>
      <c r="H129" s="11" t="n">
        <f aca="false">SUMIFS('Source 2026'!$I:$I,'Source 2026'!$B:$B,$A129,'Source 2026'!$A:$A,"Amount (NIS)")</f>
        <v>2399.3</v>
      </c>
      <c r="I129" s="11" t="n">
        <f aca="false">H129-G129</f>
        <v>1957.2</v>
      </c>
      <c r="J129" s="10" t="n">
        <f aca="false">IF(AND(G129=0,H129=0),0,IF(G129=0,"New",(H129-G129)/G129))</f>
        <v>4.42705270300837</v>
      </c>
    </row>
    <row r="130" customFormat="false" ht="15" hidden="false" customHeight="true" outlineLevel="0" collapsed="false">
      <c r="A130" s="8" t="s">
        <v>189</v>
      </c>
      <c r="B130" s="8" t="str">
        <f aca="false">IFERROR(INDEX('Source 2026'!$C:$C,MATCH($A130,'Source 2026'!$B:$B,0)),IFERROR(INDEX('Source 2025'!$C:$C,MATCH($A130,'Source 2025'!$B:$B,0)),""))</f>
        <v>לגבס קצר יד</v>
      </c>
      <c r="C130" s="9" t="n">
        <f aca="false">SUMIFS('Source 2025'!$I:$I,'Source 2025'!$B:$B,$A130,'Source 2025'!$A:$A,"Quantity (units)")</f>
        <v>1526</v>
      </c>
      <c r="D130" s="9" t="n">
        <f aca="false">SUMIFS('Source 2026'!$I:$I,'Source 2026'!$B:$B,$A130,'Source 2026'!$A:$A,"Quantity (units)")</f>
        <v>1595</v>
      </c>
      <c r="E130" s="9" t="n">
        <f aca="false">D130-C130</f>
        <v>69</v>
      </c>
      <c r="F130" s="10" t="n">
        <f aca="false">IF(AND(C130=0,D130=0),0,IF(C130=0,"New",(D130-C130)/C130))</f>
        <v>0.04521625163827</v>
      </c>
      <c r="G130" s="11" t="n">
        <f aca="false">SUMIFS('Source 2025'!$I:$I,'Source 2025'!$B:$B,$A130,'Source 2025'!$A:$A,"Amount (NIS)")</f>
        <v>50607.4</v>
      </c>
      <c r="H130" s="11" t="n">
        <f aca="false">SUMIFS('Source 2026'!$I:$I,'Source 2026'!$B:$B,$A130,'Source 2026'!$A:$A,"Amount (NIS)")</f>
        <v>52502.9</v>
      </c>
      <c r="I130" s="11" t="n">
        <f aca="false">H130-G130</f>
        <v>1895.50000000001</v>
      </c>
      <c r="J130" s="10" t="n">
        <f aca="false">IF(AND(G130=0,H130=0),0,IF(G130=0,"New",(H130-G130)/G130))</f>
        <v>0.0374549967000875</v>
      </c>
    </row>
    <row r="131" customFormat="false" ht="15" hidden="false" customHeight="true" outlineLevel="0" collapsed="false">
      <c r="A131" s="8" t="s">
        <v>106</v>
      </c>
      <c r="B131" s="8" t="str">
        <f aca="false">IFERROR(INDEX('Source 2026'!$C:$C,MATCH($A131,'Source 2026'!$B:$B,0)),IFERROR(INDEX('Source 2025'!$C:$C,MATCH($A131,'Source 2025'!$B:$B,0)),""))</f>
        <v>Lמפר.אצבע סיליק. ליבל.זוג</v>
      </c>
      <c r="C131" s="9" t="n">
        <f aca="false">SUMIFS('Source 2025'!$I:$I,'Source 2025'!$B:$B,$A131,'Source 2025'!$A:$A,"Quantity (units)")</f>
        <v>686</v>
      </c>
      <c r="D131" s="9" t="n">
        <f aca="false">SUMIFS('Source 2026'!$I:$I,'Source 2026'!$B:$B,$A131,'Source 2026'!$A:$A,"Quantity (units)")</f>
        <v>545</v>
      </c>
      <c r="E131" s="9" t="n">
        <f aca="false">D131-C131</f>
        <v>-141</v>
      </c>
      <c r="F131" s="10" t="n">
        <f aca="false">IF(AND(C131=0,D131=0),0,IF(C131=0,"New",(D131-C131)/C131))</f>
        <v>-0.205539358600583</v>
      </c>
      <c r="G131" s="11" t="n">
        <f aca="false">SUMIFS('Source 2025'!$I:$I,'Source 2025'!$B:$B,$A131,'Source 2025'!$A:$A,"Amount (NIS)")</f>
        <v>9256.5</v>
      </c>
      <c r="H131" s="11" t="n">
        <f aca="false">SUMIFS('Source 2026'!$I:$I,'Source 2026'!$B:$B,$A131,'Source 2026'!$A:$A,"Amount (NIS)")</f>
        <v>7409.3</v>
      </c>
      <c r="I131" s="11" t="n">
        <f aca="false">H131-G131</f>
        <v>-1847.2</v>
      </c>
      <c r="J131" s="10" t="n">
        <f aca="false">IF(AND(G131=0,H131=0),0,IF(G131=0,"New",(H131-G131)/G131))</f>
        <v>-0.199557068006266</v>
      </c>
    </row>
    <row r="132" customFormat="false" ht="15" hidden="false" customHeight="true" outlineLevel="0" collapsed="false">
      <c r="A132" s="8" t="s">
        <v>113</v>
      </c>
      <c r="B132" s="8" t="str">
        <f aca="false">IFERROR(INDEX('Source 2026'!$C:$C,MATCH($A132,'Source 2026'!$B:$B,0)),IFERROR(INDEX('Source 2025'!$C:$C,MATCH($A132,'Source 2025'!$B:$B,0)),""))</f>
        <v>S ח.בטן לאחר ניתוח</v>
      </c>
      <c r="C132" s="9" t="n">
        <f aca="false">SUMIFS('Source 2025'!$I:$I,'Source 2025'!$B:$B,$A132,'Source 2025'!$A:$A,"Quantity (units)")</f>
        <v>84</v>
      </c>
      <c r="D132" s="9" t="n">
        <f aca="false">SUMIFS('Source 2026'!$I:$I,'Source 2026'!$B:$B,$A132,'Source 2026'!$A:$A,"Quantity (units)")</f>
        <v>103</v>
      </c>
      <c r="E132" s="9" t="n">
        <f aca="false">D132-C132</f>
        <v>19</v>
      </c>
      <c r="F132" s="10" t="n">
        <f aca="false">IF(AND(C132=0,D132=0),0,IF(C132=0,"New",(D132-C132)/C132))</f>
        <v>0.226190476190476</v>
      </c>
      <c r="G132" s="11" t="n">
        <f aca="false">SUMIFS('Source 2025'!$I:$I,'Source 2025'!$B:$B,$A132,'Source 2025'!$A:$A,"Amount (NIS)")</f>
        <v>7998.2</v>
      </c>
      <c r="H132" s="11" t="n">
        <f aca="false">SUMIFS('Source 2026'!$I:$I,'Source 2026'!$B:$B,$A132,'Source 2026'!$A:$A,"Amount (NIS)")</f>
        <v>9818.5</v>
      </c>
      <c r="I132" s="11" t="n">
        <f aca="false">H132-G132</f>
        <v>1820.3</v>
      </c>
      <c r="J132" s="10" t="n">
        <f aca="false">IF(AND(G132=0,H132=0),0,IF(G132=0,"New",(H132-G132)/G132))</f>
        <v>0.227588707459178</v>
      </c>
    </row>
    <row r="133" customFormat="false" ht="15" hidden="false" customHeight="true" outlineLevel="0" collapsed="false">
      <c r="A133" s="8" t="s">
        <v>228</v>
      </c>
      <c r="B133" s="8" t="str">
        <f aca="false">IFERROR(INDEX('Source 2026'!$C:$C,MATCH($A133,'Source 2026'!$B:$B,0)),IFERROR(INDEX('Source 2025'!$C:$C,MATCH($A133,'Source 2025'!$B:$B,0)),""))</f>
        <v>כפפות לחץ</v>
      </c>
      <c r="C133" s="9" t="n">
        <f aca="false">SUMIFS('Source 2025'!$I:$I,'Source 2025'!$B:$B,$A133,'Source 2025'!$A:$A,"Quantity (units)")</f>
        <v>180</v>
      </c>
      <c r="D133" s="9" t="n">
        <f aca="false">SUMIFS('Source 2026'!$I:$I,'Source 2026'!$B:$B,$A133,'Source 2026'!$A:$A,"Quantity (units)")</f>
        <v>113</v>
      </c>
      <c r="E133" s="9" t="n">
        <f aca="false">D133-C133</f>
        <v>-67</v>
      </c>
      <c r="F133" s="10" t="n">
        <f aca="false">IF(AND(C133=0,D133=0),0,IF(C133=0,"New",(D133-C133)/C133))</f>
        <v>-0.372222222222222</v>
      </c>
      <c r="G133" s="11" t="n">
        <f aca="false">SUMIFS('Source 2025'!$I:$I,'Source 2025'!$B:$B,$A133,'Source 2025'!$A:$A,"Amount (NIS)")</f>
        <v>5113.7</v>
      </c>
      <c r="H133" s="11" t="n">
        <f aca="false">SUMIFS('Source 2026'!$I:$I,'Source 2026'!$B:$B,$A133,'Source 2026'!$A:$A,"Amount (NIS)")</f>
        <v>3300.4</v>
      </c>
      <c r="I133" s="11" t="n">
        <f aca="false">H133-G133</f>
        <v>-1813.3</v>
      </c>
      <c r="J133" s="10" t="n">
        <f aca="false">IF(AND(G133=0,H133=0),0,IF(G133=0,"New",(H133-G133)/G133))</f>
        <v>-0.354596476132741</v>
      </c>
    </row>
    <row r="134" customFormat="false" ht="15" hidden="false" customHeight="true" outlineLevel="0" collapsed="false">
      <c r="A134" s="8" t="s">
        <v>181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2025'!$I:$I,'Source 2025'!$B:$B,$A134,'Source 2025'!$A:$A,"Quantity (units)")</f>
        <v>25</v>
      </c>
      <c r="D134" s="9" t="n">
        <f aca="false">SUMIFS('Source 2026'!$I:$I,'Source 2026'!$B:$B,$A134,'Source 2026'!$A:$A,"Quantity (units)")</f>
        <v>10</v>
      </c>
      <c r="E134" s="9" t="n">
        <f aca="false">D134-C134</f>
        <v>-15</v>
      </c>
      <c r="F134" s="10" t="n">
        <f aca="false">IF(AND(C134=0,D134=0),0,IF(C134=0,"New",(D134-C134)/C134))</f>
        <v>-0.6</v>
      </c>
      <c r="G134" s="11" t="n">
        <f aca="false">SUMIFS('Source 2025'!$I:$I,'Source 2025'!$B:$B,$A134,'Source 2025'!$A:$A,"Amount (NIS)")</f>
        <v>2809.4</v>
      </c>
      <c r="H134" s="11" t="n">
        <f aca="false">SUMIFS('Source 2026'!$I:$I,'Source 2026'!$B:$B,$A134,'Source 2026'!$A:$A,"Amount (NIS)")</f>
        <v>1017.3</v>
      </c>
      <c r="I134" s="11" t="n">
        <f aca="false">H134-G134</f>
        <v>-1792.1</v>
      </c>
      <c r="J134" s="10" t="n">
        <f aca="false">IF(AND(G134=0,H134=0),0,IF(G134=0,"New",(H134-G134)/G134))</f>
        <v>-0.637894212287321</v>
      </c>
    </row>
    <row r="135" customFormat="false" ht="15" hidden="false" customHeight="true" outlineLevel="0" collapsed="false">
      <c r="A135" s="8" t="s">
        <v>220</v>
      </c>
      <c r="B135" s="8" t="str">
        <f aca="false">IFERROR(INDEX('Source 2026'!$C:$C,MATCH($A135,'Source 2026'!$B:$B,0)),IFERROR(INDEX('Source 2025'!$C:$C,MATCH($A135,'Source 2025'!$B:$B,0)),""))</f>
        <v>0 כרית חום וקור</v>
      </c>
      <c r="C135" s="9" t="n">
        <f aca="false">SUMIFS('Source 2025'!$I:$I,'Source 2025'!$B:$B,$A135,'Source 2025'!$A:$A,"Quantity (units)")</f>
        <v>21</v>
      </c>
      <c r="D135" s="9" t="n">
        <f aca="false">SUMIFS('Source 2026'!$I:$I,'Source 2026'!$B:$B,$A135,'Source 2026'!$A:$A,"Quantity (units)")</f>
        <v>67</v>
      </c>
      <c r="E135" s="9" t="n">
        <f aca="false">D135-C135</f>
        <v>46</v>
      </c>
      <c r="F135" s="10" t="n">
        <f aca="false">IF(AND(C135=0,D135=0),0,IF(C135=0,"New",(D135-C135)/C135))</f>
        <v>2.19047619047619</v>
      </c>
      <c r="G135" s="11" t="n">
        <f aca="false">SUMIFS('Source 2025'!$I:$I,'Source 2025'!$B:$B,$A135,'Source 2025'!$A:$A,"Amount (NIS)")</f>
        <v>826.4</v>
      </c>
      <c r="H135" s="11" t="n">
        <f aca="false">SUMIFS('Source 2026'!$I:$I,'Source 2026'!$B:$B,$A135,'Source 2026'!$A:$A,"Amount (NIS)")</f>
        <v>2616.2</v>
      </c>
      <c r="I135" s="11" t="n">
        <f aca="false">H135-G135</f>
        <v>1789.8</v>
      </c>
      <c r="J135" s="10" t="n">
        <f aca="false">IF(AND(G135=0,H135=0),0,IF(G135=0,"New",(H135-G135)/G135))</f>
        <v>2.16577928363988</v>
      </c>
    </row>
    <row r="136" customFormat="false" ht="15" hidden="false" customHeight="true" outlineLevel="0" collapsed="false">
      <c r="A136" s="8" t="s">
        <v>319</v>
      </c>
      <c r="B136" s="8" t="str">
        <f aca="false">IFERROR(INDEX('Source 2026'!$C:$C,MATCH($A136,'Source 2026'!$B:$B,0)),IFERROR(INDEX('Source 2025'!$C:$C,MATCH($A136,'Source 2025'!$B:$B,0)),""))</f>
        <v>תחבושת אלסטית מקררת</v>
      </c>
      <c r="C136" s="9" t="n">
        <f aca="false">SUMIFS('Source 2025'!$I:$I,'Source 2025'!$B:$B,$A136,'Source 2025'!$A:$A,"Quantity (units)")</f>
        <v>425</v>
      </c>
      <c r="D136" s="9" t="n">
        <f aca="false">SUMIFS('Source 2026'!$I:$I,'Source 2026'!$B:$B,$A136,'Source 2026'!$A:$A,"Quantity (units)")</f>
        <v>527</v>
      </c>
      <c r="E136" s="9" t="n">
        <f aca="false">D136-C136</f>
        <v>102</v>
      </c>
      <c r="F136" s="10" t="n">
        <f aca="false">IF(AND(C136=0,D136=0),0,IF(C136=0,"New",(D136-C136)/C136))</f>
        <v>0.24</v>
      </c>
      <c r="G136" s="11" t="n">
        <f aca="false">SUMIFS('Source 2025'!$I:$I,'Source 2025'!$B:$B,$A136,'Source 2025'!$A:$A,"Amount (NIS)")</f>
        <v>7074</v>
      </c>
      <c r="H136" s="11" t="n">
        <f aca="false">SUMIFS('Source 2026'!$I:$I,'Source 2026'!$B:$B,$A136,'Source 2026'!$A:$A,"Amount (NIS)")</f>
        <v>8847.9</v>
      </c>
      <c r="I136" s="11" t="n">
        <f aca="false">H136-G136</f>
        <v>1773.9</v>
      </c>
      <c r="J136" s="10" t="n">
        <f aca="false">IF(AND(G136=0,H136=0),0,IF(G136=0,"New",(H136-G136)/G136))</f>
        <v>0.250763358778626</v>
      </c>
    </row>
    <row r="137" customFormat="false" ht="15" hidden="false" customHeight="true" outlineLevel="0" collapsed="false">
      <c r="A137" s="8" t="s">
        <v>245</v>
      </c>
      <c r="B137" s="8" t="str">
        <f aca="false">IFERROR(INDEX('Source 2026'!$C:$C,MATCH($A137,'Source 2026'!$B:$B,0)),IFERROR(INDEX('Source 2025'!$C:$C,MATCH($A137,'Source 2025'!$B:$B,0)),""))</f>
        <v>טייפ חבישה לספורט</v>
      </c>
      <c r="C137" s="9" t="n">
        <f aca="false">SUMIFS('Source 2025'!$I:$I,'Source 2025'!$B:$B,$A137,'Source 2025'!$A:$A,"Quantity (units)")</f>
        <v>282</v>
      </c>
      <c r="D137" s="9" t="n">
        <f aca="false">SUMIFS('Source 2026'!$I:$I,'Source 2026'!$B:$B,$A137,'Source 2026'!$A:$A,"Quantity (units)")</f>
        <v>168</v>
      </c>
      <c r="E137" s="9" t="n">
        <f aca="false">D137-C137</f>
        <v>-114</v>
      </c>
      <c r="F137" s="10" t="n">
        <f aca="false">IF(AND(C137=0,D137=0),0,IF(C137=0,"New",(D137-C137)/C137))</f>
        <v>-0.404255319148936</v>
      </c>
      <c r="G137" s="11" t="n">
        <f aca="false">SUMIFS('Source 2025'!$I:$I,'Source 2025'!$B:$B,$A137,'Source 2025'!$A:$A,"Amount (NIS)")</f>
        <v>4342.8</v>
      </c>
      <c r="H137" s="11" t="n">
        <f aca="false">SUMIFS('Source 2026'!$I:$I,'Source 2026'!$B:$B,$A137,'Source 2026'!$A:$A,"Amount (NIS)")</f>
        <v>2587.2</v>
      </c>
      <c r="I137" s="11" t="n">
        <f aca="false">H137-G137</f>
        <v>-1755.6</v>
      </c>
      <c r="J137" s="10" t="n">
        <f aca="false">IF(AND(G137=0,H137=0),0,IF(G137=0,"New",(H137-G137)/G137))</f>
        <v>-0.404255319148936</v>
      </c>
    </row>
    <row r="138" customFormat="false" ht="15" hidden="false" customHeight="true" outlineLevel="0" collapsed="false">
      <c r="A138" s="8" t="s">
        <v>130</v>
      </c>
      <c r="B138" s="8" t="str">
        <f aca="false">IFERROR(INDEX('Source 2026'!$C:$C,MATCH($A138,'Source 2026'!$B:$B,0)),IFERROR(INDEX('Source 2025'!$C:$C,MATCH($A138,'Source 2025'!$B:$B,0)),""))</f>
        <v>מגן ברך + צירים</v>
      </c>
      <c r="C138" s="9" t="n">
        <f aca="false">SUMIFS('Source 2025'!$I:$I,'Source 2025'!$B:$B,$A138,'Source 2025'!$A:$A,"Quantity (units)")</f>
        <v>3</v>
      </c>
      <c r="D138" s="9" t="n">
        <f aca="false">SUMIFS('Source 2026'!$I:$I,'Source 2026'!$B:$B,$A138,'Source 2026'!$A:$A,"Quantity (units)")</f>
        <v>22</v>
      </c>
      <c r="E138" s="9" t="n">
        <f aca="false">D138-C138</f>
        <v>19</v>
      </c>
      <c r="F138" s="10" t="n">
        <f aca="false">IF(AND(C138=0,D138=0),0,IF(C138=0,"New",(D138-C138)/C138))</f>
        <v>6.33333333333333</v>
      </c>
      <c r="G138" s="11" t="n">
        <f aca="false">SUMIFS('Source 2025'!$I:$I,'Source 2025'!$B:$B,$A138,'Source 2025'!$A:$A,"Amount (NIS)")</f>
        <v>270.4</v>
      </c>
      <c r="H138" s="11" t="n">
        <f aca="false">SUMIFS('Source 2026'!$I:$I,'Source 2026'!$B:$B,$A138,'Source 2026'!$A:$A,"Amount (NIS)")</f>
        <v>1982.6</v>
      </c>
      <c r="I138" s="11" t="n">
        <f aca="false">H138-G138</f>
        <v>1712.2</v>
      </c>
      <c r="J138" s="10" t="n">
        <f aca="false">IF(AND(G138=0,H138=0),0,IF(G138=0,"New",(H138-G138)/G138))</f>
        <v>6.33210059171598</v>
      </c>
    </row>
    <row r="139" customFormat="false" ht="15" hidden="false" customHeight="true" outlineLevel="0" collapsed="false">
      <c r="A139" s="8" t="s">
        <v>255</v>
      </c>
      <c r="B139" s="8" t="str">
        <f aca="false">IFERROR(INDEX('Source 2026'!$C:$C,MATCH($A139,'Source 2026'!$B:$B,0)),IFERROR(INDEX('Source 2025'!$C:$C,MATCH($A139,'Source 2025'!$B:$B,0)),""))</f>
        <v>L מגן ברך מוצלב+מוט</v>
      </c>
      <c r="C139" s="9" t="n">
        <f aca="false">SUMIFS('Source 2025'!$I:$I,'Source 2025'!$B:$B,$A139,'Source 2025'!$A:$A,"Quantity (units)")</f>
        <v>8</v>
      </c>
      <c r="D139" s="9" t="n">
        <f aca="false">SUMIFS('Source 2026'!$I:$I,'Source 2026'!$B:$B,$A139,'Source 2026'!$A:$A,"Quantity (units)")</f>
        <v>-5</v>
      </c>
      <c r="E139" s="9" t="n">
        <f aca="false">D139-C139</f>
        <v>-13</v>
      </c>
      <c r="F139" s="10" t="n">
        <f aca="false">IF(AND(C139=0,D139=0),0,IF(C139=0,"New",(D139-C139)/C139))</f>
        <v>-1.625</v>
      </c>
      <c r="G139" s="11" t="n">
        <f aca="false">SUMIFS('Source 2025'!$I:$I,'Source 2025'!$B:$B,$A139,'Source 2025'!$A:$A,"Amount (NIS)")</f>
        <v>1014.7</v>
      </c>
      <c r="H139" s="11" t="n">
        <f aca="false">SUMIFS('Source 2026'!$I:$I,'Source 2026'!$B:$B,$A139,'Source 2026'!$A:$A,"Amount (NIS)")</f>
        <v>-670.5</v>
      </c>
      <c r="I139" s="11" t="n">
        <f aca="false">H139-G139</f>
        <v>-1685.2</v>
      </c>
      <c r="J139" s="10" t="n">
        <f aca="false">IF(AND(G139=0,H139=0),0,IF(G139=0,"New",(H139-G139)/G139))</f>
        <v>-1.66078643934168</v>
      </c>
    </row>
    <row r="140" customFormat="false" ht="15" hidden="false" customHeight="true" outlineLevel="0" collapsed="false">
      <c r="A140" s="8" t="s">
        <v>182</v>
      </c>
      <c r="B140" s="8" t="str">
        <f aca="false">IFERROR(INDEX('Source 2026'!$C:$C,MATCH($A140,'Source 2026'!$B:$B,0)),IFERROR(INDEX('Source 2025'!$C:$C,MATCH($A140,'Source 2025'!$B:$B,0)),""))</f>
        <v>XLמפריד אצבע סיליקון ליבלת</v>
      </c>
      <c r="C140" s="9" t="n">
        <f aca="false">SUMIFS('Source 2025'!$I:$I,'Source 2025'!$B:$B,$A140,'Source 2025'!$A:$A,"Quantity (units)")</f>
        <v>344</v>
      </c>
      <c r="D140" s="9" t="n">
        <f aca="false">SUMIFS('Source 2026'!$I:$I,'Source 2026'!$B:$B,$A140,'Source 2026'!$A:$A,"Quantity (units)")</f>
        <v>221</v>
      </c>
      <c r="E140" s="9" t="n">
        <f aca="false">D140-C140</f>
        <v>-123</v>
      </c>
      <c r="F140" s="10" t="n">
        <f aca="false">IF(AND(C140=0,D140=0),0,IF(C140=0,"New",(D140-C140)/C140))</f>
        <v>-0.357558139534884</v>
      </c>
      <c r="G140" s="11" t="n">
        <f aca="false">SUMIFS('Source 2025'!$I:$I,'Source 2025'!$B:$B,$A140,'Source 2025'!$A:$A,"Amount (NIS)")</f>
        <v>4647.4</v>
      </c>
      <c r="H140" s="11" t="n">
        <f aca="false">SUMIFS('Source 2026'!$I:$I,'Source 2026'!$B:$B,$A140,'Source 2026'!$A:$A,"Amount (NIS)")</f>
        <v>3005.5</v>
      </c>
      <c r="I140" s="11" t="n">
        <f aca="false">H140-G140</f>
        <v>-1641.9</v>
      </c>
      <c r="J140" s="10" t="n">
        <f aca="false">IF(AND(G140=0,H140=0),0,IF(G140=0,"New",(H140-G140)/G140))</f>
        <v>-0.353294315100917</v>
      </c>
    </row>
    <row r="141" customFormat="false" ht="15" hidden="false" customHeight="true" outlineLevel="0" collapsed="false">
      <c r="A141" s="8" t="s">
        <v>160</v>
      </c>
      <c r="B141" s="8" t="str">
        <f aca="false">IFERROR(INDEX('Source 2026'!$C:$C,MATCH($A141,'Source 2026'!$B:$B,0)),IFERROR(INDEX('Source 2025'!$C:$C,MATCH($A141,'Source 2025'!$B:$B,0)),""))</f>
        <v>S ח.גב סג. כפולה שחור+אדום</v>
      </c>
      <c r="C141" s="9" t="n">
        <f aca="false">SUMIFS('Source 2025'!$I:$I,'Source 2025'!$B:$B,$A141,'Source 2025'!$A:$A,"Quantity (units)")</f>
        <v>-2</v>
      </c>
      <c r="D141" s="9" t="n">
        <f aca="false">SUMIFS('Source 2026'!$I:$I,'Source 2026'!$B:$B,$A141,'Source 2026'!$A:$A,"Quantity (units)")</f>
        <v>-18</v>
      </c>
      <c r="E141" s="9" t="n">
        <f aca="false">D141-C141</f>
        <v>-16</v>
      </c>
      <c r="F141" s="10" t="n">
        <f aca="false">IF(AND(C141=0,D141=0),0,IF(C141=0,"New",(D141-C141)/C141))</f>
        <v>8</v>
      </c>
      <c r="G141" s="11" t="n">
        <f aca="false">SUMIFS('Source 2025'!$I:$I,'Source 2025'!$B:$B,$A141,'Source 2025'!$A:$A,"Amount (NIS)")</f>
        <v>-38.7</v>
      </c>
      <c r="H141" s="11" t="n">
        <f aca="false">SUMIFS('Source 2026'!$I:$I,'Source 2026'!$B:$B,$A141,'Source 2026'!$A:$A,"Amount (NIS)")</f>
        <v>-1655.7</v>
      </c>
      <c r="I141" s="11" t="n">
        <f aca="false">H141-G141</f>
        <v>-1617</v>
      </c>
      <c r="J141" s="10" t="n">
        <f aca="false">IF(AND(G141=0,H141=0),0,IF(G141=0,"New",(H141-G141)/G141))</f>
        <v>41.7829457364341</v>
      </c>
    </row>
    <row r="142" customFormat="false" ht="15" hidden="false" customHeight="true" outlineLevel="0" collapsed="false">
      <c r="A142" s="8" t="s">
        <v>99</v>
      </c>
      <c r="B142" s="8" t="str">
        <f aca="false">IFERROR(INDEX('Source 2026'!$C:$C,MATCH($A142,'Source 2026'!$B:$B,0)),IFERROR(INDEX('Source 2025'!$C:$C,MATCH($A142,'Source 2025'!$B:$B,0)),""))</f>
        <v>Lעקבים סיליקון כחול לדורבן</v>
      </c>
      <c r="C142" s="9" t="n">
        <f aca="false">SUMIFS('Source 2025'!$I:$I,'Source 2025'!$B:$B,$A142,'Source 2025'!$A:$A,"Quantity (units)")</f>
        <v>207</v>
      </c>
      <c r="D142" s="9" t="n">
        <f aca="false">SUMIFS('Source 2026'!$I:$I,'Source 2026'!$B:$B,$A142,'Source 2026'!$A:$A,"Quantity (units)")</f>
        <v>179</v>
      </c>
      <c r="E142" s="9" t="n">
        <f aca="false">D142-C142</f>
        <v>-28</v>
      </c>
      <c r="F142" s="10" t="n">
        <f aca="false">IF(AND(C142=0,D142=0),0,IF(C142=0,"New",(D142-C142)/C142))</f>
        <v>-0.135265700483092</v>
      </c>
      <c r="G142" s="11" t="n">
        <f aca="false">SUMIFS('Source 2025'!$I:$I,'Source 2025'!$B:$B,$A142,'Source 2025'!$A:$A,"Amount (NIS)")</f>
        <v>11336</v>
      </c>
      <c r="H142" s="11" t="n">
        <f aca="false">SUMIFS('Source 2026'!$I:$I,'Source 2026'!$B:$B,$A142,'Source 2026'!$A:$A,"Amount (NIS)")</f>
        <v>9773.3</v>
      </c>
      <c r="I142" s="11" t="n">
        <f aca="false">H142-G142</f>
        <v>-1562.7</v>
      </c>
      <c r="J142" s="10" t="n">
        <f aca="false">IF(AND(G142=0,H142=0),0,IF(G142=0,"New",(H142-G142)/G142))</f>
        <v>-0.137852858151023</v>
      </c>
    </row>
    <row r="143" customFormat="false" ht="15" hidden="false" customHeight="true" outlineLevel="0" collapsed="false">
      <c r="A143" s="8" t="s">
        <v>223</v>
      </c>
      <c r="B143" s="8" t="str">
        <f aca="false">IFERROR(INDEX('Source 2026'!$C:$C,MATCH($A143,'Source 2026'!$B:$B,0)),IFERROR(INDEX('Source 2025'!$C:$C,MATCH($A143,'Source 2025'!$B:$B,0)),""))</f>
        <v>כפפות אגודל לחץ</v>
      </c>
      <c r="C143" s="9" t="n">
        <f aca="false">SUMIFS('Source 2025'!$I:$I,'Source 2025'!$B:$B,$A143,'Source 2025'!$A:$A,"Quantity (units)")</f>
        <v>244</v>
      </c>
      <c r="D143" s="9" t="n">
        <f aca="false">SUMIFS('Source 2026'!$I:$I,'Source 2026'!$B:$B,$A143,'Source 2026'!$A:$A,"Quantity (units)")</f>
        <v>183</v>
      </c>
      <c r="E143" s="9" t="n">
        <f aca="false">D143-C143</f>
        <v>-61</v>
      </c>
      <c r="F143" s="10" t="n">
        <f aca="false">IF(AND(C143=0,D143=0),0,IF(C143=0,"New",(D143-C143)/C143))</f>
        <v>-0.25</v>
      </c>
      <c r="G143" s="11" t="n">
        <f aca="false">SUMIFS('Source 2025'!$I:$I,'Source 2025'!$B:$B,$A143,'Source 2025'!$A:$A,"Amount (NIS)")</f>
        <v>6942.4</v>
      </c>
      <c r="H143" s="11" t="n">
        <f aca="false">SUMIFS('Source 2026'!$I:$I,'Source 2026'!$B:$B,$A143,'Source 2026'!$A:$A,"Amount (NIS)")</f>
        <v>5400.6</v>
      </c>
      <c r="I143" s="11" t="n">
        <f aca="false">H143-G143</f>
        <v>-1541.8</v>
      </c>
      <c r="J143" s="10" t="n">
        <f aca="false">IF(AND(G143=0,H143=0),0,IF(G143=0,"New",(H143-G143)/G143))</f>
        <v>-0.222084581700853</v>
      </c>
    </row>
    <row r="144" customFormat="false" ht="15" hidden="false" customHeight="true" outlineLevel="0" collapsed="false">
      <c r="A144" s="8" t="s">
        <v>164</v>
      </c>
      <c r="B144" s="8" t="str">
        <f aca="false">IFERROR(INDEX('Source 2026'!$C:$C,MATCH($A144,'Source 2026'!$B:$B,0)),IFERROR(INDEX('Source 2025'!$C:$C,MATCH($A144,'Source 2025'!$B:$B,0)),""))</f>
        <v>מגן קרסול עקב סגור+רצוע</v>
      </c>
      <c r="C144" s="9" t="n">
        <f aca="false">SUMIFS('Source 2025'!$I:$I,'Source 2025'!$B:$B,$A144,'Source 2025'!$A:$A,"Quantity (units)")</f>
        <v>199</v>
      </c>
      <c r="D144" s="9" t="n">
        <f aca="false">SUMIFS('Source 2026'!$I:$I,'Source 2026'!$B:$B,$A144,'Source 2026'!$A:$A,"Quantity (units)")</f>
        <v>169</v>
      </c>
      <c r="E144" s="9" t="n">
        <f aca="false">D144-C144</f>
        <v>-30</v>
      </c>
      <c r="F144" s="10" t="n">
        <f aca="false">IF(AND(C144=0,D144=0),0,IF(C144=0,"New",(D144-C144)/C144))</f>
        <v>-0.150753768844221</v>
      </c>
      <c r="G144" s="11" t="n">
        <f aca="false">SUMIFS('Source 2025'!$I:$I,'Source 2025'!$B:$B,$A144,'Source 2025'!$A:$A,"Amount (NIS)")</f>
        <v>11049.3</v>
      </c>
      <c r="H144" s="11" t="n">
        <f aca="false">SUMIFS('Source 2026'!$I:$I,'Source 2026'!$B:$B,$A144,'Source 2026'!$A:$A,"Amount (NIS)")</f>
        <v>9531.8</v>
      </c>
      <c r="I144" s="11" t="n">
        <f aca="false">H144-G144</f>
        <v>-1517.5</v>
      </c>
      <c r="J144" s="10" t="n">
        <f aca="false">IF(AND(G144=0,H144=0),0,IF(G144=0,"New",(H144-G144)/G144))</f>
        <v>-0.1373390169513</v>
      </c>
    </row>
    <row r="145" customFormat="false" ht="15" hidden="false" customHeight="true" outlineLevel="0" collapsed="false">
      <c r="A145" s="8" t="s">
        <v>175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2025'!$I:$I,'Source 2025'!$B:$B,$A145,'Source 2025'!$A:$A,"Quantity (units)")</f>
        <v>1389</v>
      </c>
      <c r="D145" s="9" t="n">
        <f aca="false">SUMIFS('Source 2026'!$I:$I,'Source 2026'!$B:$B,$A145,'Source 2026'!$A:$A,"Quantity (units)")</f>
        <v>1242</v>
      </c>
      <c r="E145" s="9" t="n">
        <f aca="false">D145-C145</f>
        <v>-147</v>
      </c>
      <c r="F145" s="10" t="n">
        <f aca="false">IF(AND(C145=0,D145=0),0,IF(C145=0,"New",(D145-C145)/C145))</f>
        <v>-0.105831533477322</v>
      </c>
      <c r="G145" s="11" t="n">
        <f aca="false">SUMIFS('Source 2025'!$I:$I,'Source 2025'!$B:$B,$A145,'Source 2025'!$A:$A,"Amount (NIS)")</f>
        <v>20155.3</v>
      </c>
      <c r="H145" s="11" t="n">
        <f aca="false">SUMIFS('Source 2026'!$I:$I,'Source 2026'!$B:$B,$A145,'Source 2026'!$A:$A,"Amount (NIS)")</f>
        <v>18693.6</v>
      </c>
      <c r="I145" s="11" t="n">
        <f aca="false">H145-G145</f>
        <v>-1461.7</v>
      </c>
      <c r="J145" s="10" t="n">
        <f aca="false">IF(AND(G145=0,H145=0),0,IF(G145=0,"New",(H145-G145)/G145))</f>
        <v>-0.0725218676973303</v>
      </c>
    </row>
    <row r="146" customFormat="false" ht="15" hidden="false" customHeight="true" outlineLevel="0" collapsed="false">
      <c r="A146" s="8" t="s">
        <v>125</v>
      </c>
      <c r="B146" s="8" t="str">
        <f aca="false">IFERROR(INDEX('Source 2026'!$C:$C,MATCH($A146,'Source 2026'!$B:$B,0)),IFERROR(INDEX('Source 2025'!$C:$C,MATCH($A146,'Source 2025'!$B:$B,0)),""))</f>
        <v>גרבי ג'ל לריכוך עור העקב</v>
      </c>
      <c r="C146" s="9" t="n">
        <f aca="false">SUMIFS('Source 2025'!$I:$I,'Source 2025'!$B:$B,$A146,'Source 2025'!$A:$A,"Quantity (units)")</f>
        <v>111</v>
      </c>
      <c r="D146" s="9" t="n">
        <f aca="false">SUMIFS('Source 2026'!$I:$I,'Source 2026'!$B:$B,$A146,'Source 2026'!$A:$A,"Quantity (units)")</f>
        <v>62</v>
      </c>
      <c r="E146" s="9" t="n">
        <f aca="false">D146-C146</f>
        <v>-49</v>
      </c>
      <c r="F146" s="10" t="n">
        <f aca="false">IF(AND(C146=0,D146=0),0,IF(C146=0,"New",(D146-C146)/C146))</f>
        <v>-0.441441441441441</v>
      </c>
      <c r="G146" s="11" t="n">
        <f aca="false">SUMIFS('Source 2025'!$I:$I,'Source 2025'!$B:$B,$A146,'Source 2025'!$A:$A,"Amount (NIS)")</f>
        <v>3384.7</v>
      </c>
      <c r="H146" s="11" t="n">
        <f aca="false">SUMIFS('Source 2026'!$I:$I,'Source 2026'!$B:$B,$A146,'Source 2026'!$A:$A,"Amount (NIS)")</f>
        <v>1987</v>
      </c>
      <c r="I146" s="11" t="n">
        <f aca="false">H146-G146</f>
        <v>-1397.7</v>
      </c>
      <c r="J146" s="10" t="n">
        <f aca="false">IF(AND(G146=0,H146=0),0,IF(G146=0,"New",(H146-G146)/G146))</f>
        <v>-0.412946494519455</v>
      </c>
    </row>
    <row r="147" customFormat="false" ht="15" hidden="false" customHeight="true" outlineLevel="0" collapsed="false">
      <c r="A147" s="8" t="s">
        <v>183</v>
      </c>
      <c r="B147" s="8" t="str">
        <f aca="false">IFERROR(INDEX('Source 2026'!$C:$C,MATCH($A147,'Source 2026'!$B:$B,0)),IFERROR(INDEX('Source 2025'!$C:$C,MATCH($A147,'Source 2025'!$B:$B,0)),""))</f>
        <v>רפידת נוחות-זוג</v>
      </c>
      <c r="C147" s="9" t="n">
        <f aca="false">SUMIFS('Source 2025'!$I:$I,'Source 2025'!$B:$B,$A147,'Source 2025'!$A:$A,"Quantity (units)")</f>
        <v>348</v>
      </c>
      <c r="D147" s="9" t="n">
        <f aca="false">SUMIFS('Source 2026'!$I:$I,'Source 2026'!$B:$B,$A147,'Source 2026'!$A:$A,"Quantity (units)")</f>
        <v>214</v>
      </c>
      <c r="E147" s="9" t="n">
        <f aca="false">D147-C147</f>
        <v>-134</v>
      </c>
      <c r="F147" s="10" t="n">
        <f aca="false">IF(AND(C147=0,D147=0),0,IF(C147=0,"New",(D147-C147)/C147))</f>
        <v>-0.385057471264368</v>
      </c>
      <c r="G147" s="11" t="n">
        <f aca="false">SUMIFS('Source 2025'!$I:$I,'Source 2025'!$B:$B,$A147,'Source 2025'!$A:$A,"Amount (NIS)")</f>
        <v>3648.6</v>
      </c>
      <c r="H147" s="11" t="n">
        <f aca="false">SUMIFS('Source 2026'!$I:$I,'Source 2026'!$B:$B,$A147,'Source 2026'!$A:$A,"Amount (NIS)")</f>
        <v>2308.6</v>
      </c>
      <c r="I147" s="11" t="n">
        <f aca="false">H147-G147</f>
        <v>-1340</v>
      </c>
      <c r="J147" s="10" t="n">
        <f aca="false">IF(AND(G147=0,H147=0),0,IF(G147=0,"New",(H147-G147)/G147))</f>
        <v>-0.367264156114674</v>
      </c>
    </row>
    <row r="148" customFormat="false" ht="15" hidden="false" customHeight="true" outlineLevel="0" collapsed="false">
      <c r="A148" s="8" t="s">
        <v>280</v>
      </c>
      <c r="B148" s="8" t="str">
        <f aca="false">IFERROR(INDEX('Source 2026'!$C:$C,MATCH($A148,'Source 2026'!$B:$B,0)),IFERROR(INDEX('Source 2025'!$C:$C,MATCH($A148,'Source 2025'!$B:$B,0)),""))</f>
        <v>גרב כסף לסכרתיים לבן35-38</v>
      </c>
      <c r="C148" s="9" t="n">
        <f aca="false">SUMIFS('Source 2025'!$I:$I,'Source 2025'!$B:$B,$A148,'Source 2025'!$A:$A,"Quantity (units)")</f>
        <v>112</v>
      </c>
      <c r="D148" s="9" t="n">
        <f aca="false">SUMIFS('Source 2026'!$I:$I,'Source 2026'!$B:$B,$A148,'Source 2026'!$A:$A,"Quantity (units)")</f>
        <v>67</v>
      </c>
      <c r="E148" s="9" t="n">
        <f aca="false">D148-C148</f>
        <v>-45</v>
      </c>
      <c r="F148" s="10" t="n">
        <f aca="false">IF(AND(C148=0,D148=0),0,IF(C148=0,"New",(D148-C148)/C148))</f>
        <v>-0.401785714285714</v>
      </c>
      <c r="G148" s="11" t="n">
        <f aca="false">SUMIFS('Source 2025'!$I:$I,'Source 2025'!$B:$B,$A148,'Source 2025'!$A:$A,"Amount (NIS)")</f>
        <v>3309.2</v>
      </c>
      <c r="H148" s="11" t="n">
        <f aca="false">SUMIFS('Source 2026'!$I:$I,'Source 2026'!$B:$B,$A148,'Source 2026'!$A:$A,"Amount (NIS)")</f>
        <v>1984.1</v>
      </c>
      <c r="I148" s="11" t="n">
        <f aca="false">H148-G148</f>
        <v>-1325.1</v>
      </c>
      <c r="J148" s="10" t="n">
        <f aca="false">IF(AND(G148=0,H148=0),0,IF(G148=0,"New",(H148-G148)/G148))</f>
        <v>-0.400429106732745</v>
      </c>
    </row>
    <row r="149" customFormat="false" ht="15" hidden="false" customHeight="true" outlineLevel="0" collapsed="false">
      <c r="A149" s="8" t="s">
        <v>128</v>
      </c>
      <c r="B149" s="8" t="str">
        <f aca="false">IFERROR(INDEX('Source 2026'!$C:$C,MATCH($A149,'Source 2026'!$B:$B,0)),IFERROR(INDEX('Source 2025'!$C:$C,MATCH($A149,'Source 2025'!$B:$B,0)),""))</f>
        <v>Lמ.ברך+כרית סיל.סביב לפיקה</v>
      </c>
      <c r="C149" s="9" t="n">
        <f aca="false">SUMIFS('Source 2025'!$I:$I,'Source 2025'!$B:$B,$A149,'Source 2025'!$A:$A,"Quantity (units)")</f>
        <v>0</v>
      </c>
      <c r="D149" s="9" t="n">
        <f aca="false">SUMIFS('Source 2026'!$I:$I,'Source 2026'!$B:$B,$A149,'Source 2026'!$A:$A,"Quantity (units)")</f>
        <v>-9</v>
      </c>
      <c r="E149" s="9" t="n">
        <f aca="false">D149-C149</f>
        <v>-9</v>
      </c>
      <c r="F149" s="10" t="str">
        <f aca="false">IF(AND(C149=0,D149=0),0,IF(C149=0,"New",(D149-C149)/C149))</f>
        <v>New</v>
      </c>
      <c r="G149" s="11" t="n">
        <f aca="false">SUMIFS('Source 2025'!$I:$I,'Source 2025'!$B:$B,$A149,'Source 2025'!$A:$A,"Amount (NIS)")</f>
        <v>103.2</v>
      </c>
      <c r="H149" s="11" t="n">
        <f aca="false">SUMIFS('Source 2026'!$I:$I,'Source 2026'!$B:$B,$A149,'Source 2026'!$A:$A,"Amount (NIS)")</f>
        <v>-1207.9</v>
      </c>
      <c r="I149" s="11" t="n">
        <f aca="false">H149-G149</f>
        <v>-1311.1</v>
      </c>
      <c r="J149" s="10" t="n">
        <f aca="false">IF(AND(G149=0,H149=0),0,IF(G149=0,"New",(H149-G149)/G149))</f>
        <v>-12.7044573643411</v>
      </c>
    </row>
    <row r="150" customFormat="false" ht="15" hidden="false" customHeight="true" outlineLevel="0" collapsed="false">
      <c r="A150" s="8" t="s">
        <v>287</v>
      </c>
      <c r="B150" s="8" t="str">
        <f aca="false">IFERROR(INDEX('Source 2026'!$C:$C,MATCH($A150,'Source 2026'!$B:$B,0)),IFERROR(INDEX('Source 2025'!$C:$C,MATCH($A150,'Source 2025'!$B:$B,0)),""))</f>
        <v>S מגן קרסול שמאל</v>
      </c>
      <c r="C150" s="9" t="n">
        <f aca="false">SUMIFS('Source 2025'!$I:$I,'Source 2025'!$B:$B,$A150,'Source 2025'!$A:$A,"Quantity (units)")</f>
        <v>68</v>
      </c>
      <c r="D150" s="9" t="n">
        <f aca="false">SUMIFS('Source 2026'!$I:$I,'Source 2026'!$B:$B,$A150,'Source 2026'!$A:$A,"Quantity (units)")</f>
        <v>49</v>
      </c>
      <c r="E150" s="9" t="n">
        <f aca="false">D150-C150</f>
        <v>-19</v>
      </c>
      <c r="F150" s="10" t="n">
        <f aca="false">IF(AND(C150=0,D150=0),0,IF(C150=0,"New",(D150-C150)/C150))</f>
        <v>-0.279411764705882</v>
      </c>
      <c r="G150" s="11" t="n">
        <f aca="false">SUMIFS('Source 2025'!$I:$I,'Source 2025'!$B:$B,$A150,'Source 2025'!$A:$A,"Amount (NIS)")</f>
        <v>4941.6</v>
      </c>
      <c r="H150" s="11" t="n">
        <f aca="false">SUMIFS('Source 2026'!$I:$I,'Source 2026'!$B:$B,$A150,'Source 2026'!$A:$A,"Amount (NIS)")</f>
        <v>3665.5</v>
      </c>
      <c r="I150" s="11" t="n">
        <f aca="false">H150-G150</f>
        <v>-1276.1</v>
      </c>
      <c r="J150" s="10" t="n">
        <f aca="false">IF(AND(G150=0,H150=0),0,IF(G150=0,"New",(H150-G150)/G150))</f>
        <v>-0.258236198802008</v>
      </c>
    </row>
    <row r="151" customFormat="false" ht="15" hidden="false" customHeight="true" outlineLevel="0" collapsed="false">
      <c r="A151" s="8" t="s">
        <v>234</v>
      </c>
      <c r="B151" s="8" t="str">
        <f aca="false">IFERROR(INDEX('Source 2026'!$C:$C,MATCH($A151,'Source 2026'!$B:$B,0)),IFERROR(INDEX('Source 2025'!$C:$C,MATCH($A151,'Source 2025'!$B:$B,0)),""))</f>
        <v>S מגן מרפק</v>
      </c>
      <c r="C151" s="9" t="n">
        <f aca="false">SUMIFS('Source 2025'!$I:$I,'Source 2025'!$B:$B,$A151,'Source 2025'!$A:$A,"Quantity (units)")</f>
        <v>64</v>
      </c>
      <c r="D151" s="9" t="n">
        <f aca="false">SUMIFS('Source 2026'!$I:$I,'Source 2026'!$B:$B,$A151,'Source 2026'!$A:$A,"Quantity (units)")</f>
        <v>45</v>
      </c>
      <c r="E151" s="9" t="n">
        <f aca="false">D151-C151</f>
        <v>-19</v>
      </c>
      <c r="F151" s="10" t="n">
        <f aca="false">IF(AND(C151=0,D151=0),0,IF(C151=0,"New",(D151-C151)/C151))</f>
        <v>-0.296875</v>
      </c>
      <c r="G151" s="11" t="n">
        <f aca="false">SUMIFS('Source 2025'!$I:$I,'Source 2025'!$B:$B,$A151,'Source 2025'!$A:$A,"Amount (NIS)")</f>
        <v>4662.7</v>
      </c>
      <c r="H151" s="11" t="n">
        <f aca="false">SUMIFS('Source 2026'!$I:$I,'Source 2026'!$B:$B,$A151,'Source 2026'!$A:$A,"Amount (NIS)")</f>
        <v>3398.1</v>
      </c>
      <c r="I151" s="11" t="n">
        <f aca="false">H151-G151</f>
        <v>-1264.6</v>
      </c>
      <c r="J151" s="10" t="n">
        <f aca="false">IF(AND(G151=0,H151=0),0,IF(G151=0,"New",(H151-G151)/G151))</f>
        <v>-0.271216248096596</v>
      </c>
    </row>
    <row r="152" customFormat="false" ht="15" hidden="false" customHeight="true" outlineLevel="0" collapsed="false">
      <c r="A152" s="8" t="s">
        <v>360</v>
      </c>
      <c r="B152" s="8" t="str">
        <f aca="false">IFERROR(INDEX('Source 2026'!$C:$C,MATCH($A152,'Source 2026'!$B:$B,0)),IFERROR(INDEX('Source 2025'!$C:$C,MATCH($A152,'Source 2025'!$B:$B,0)),""))</f>
        <v>11 אפורUGחגורת בטן</v>
      </c>
      <c r="C152" s="9" t="n">
        <f aca="false">SUMIFS('Source 2025'!$I:$I,'Source 2025'!$B:$B,$A152,'Source 2025'!$A:$A,"Quantity (units)")</f>
        <v>15</v>
      </c>
      <c r="D152" s="9" t="n">
        <f aca="false">SUMIFS('Source 2026'!$I:$I,'Source 2026'!$B:$B,$A152,'Source 2026'!$A:$A,"Quantity (units)")</f>
        <v>0</v>
      </c>
      <c r="E152" s="9" t="n">
        <f aca="false">D152-C152</f>
        <v>-15</v>
      </c>
      <c r="F152" s="10" t="n">
        <f aca="false">IF(AND(C152=0,D152=0),0,IF(C152=0,"New",(D152-C152)/C152))</f>
        <v>-1</v>
      </c>
      <c r="G152" s="11" t="n">
        <f aca="false">SUMIFS('Source 2025'!$I:$I,'Source 2025'!$B:$B,$A152,'Source 2025'!$A:$A,"Amount (NIS)")</f>
        <v>1210.5</v>
      </c>
      <c r="H152" s="11" t="n">
        <f aca="false">SUMIFS('Source 2026'!$I:$I,'Source 2026'!$B:$B,$A152,'Source 2026'!$A:$A,"Amount (NIS)")</f>
        <v>25.9</v>
      </c>
      <c r="I152" s="11" t="n">
        <f aca="false">H152-G152</f>
        <v>-1184.6</v>
      </c>
      <c r="J152" s="10" t="n">
        <f aca="false">IF(AND(G152=0,H152=0),0,IF(G152=0,"New",(H152-G152)/G152))</f>
        <v>-0.978603882693102</v>
      </c>
    </row>
    <row r="153" customFormat="false" ht="15" hidden="false" customHeight="true" outlineLevel="0" collapsed="false">
      <c r="A153" s="8" t="s">
        <v>124</v>
      </c>
      <c r="B153" s="8" t="str">
        <f aca="false">IFERROR(INDEX('Source 2026'!$C:$C,MATCH($A153,'Source 2026'!$B:$B,0)),IFERROR(INDEX('Source 2025'!$C:$C,MATCH($A153,'Source 2025'!$B:$B,0)),""))</f>
        <v>רפידת אנטי ריח -זוג</v>
      </c>
      <c r="C153" s="9" t="n">
        <f aca="false">SUMIFS('Source 2025'!$I:$I,'Source 2025'!$B:$B,$A153,'Source 2025'!$A:$A,"Quantity (units)")</f>
        <v>246</v>
      </c>
      <c r="D153" s="9" t="n">
        <f aca="false">SUMIFS('Source 2026'!$I:$I,'Source 2026'!$B:$B,$A153,'Source 2026'!$A:$A,"Quantity (units)")</f>
        <v>157</v>
      </c>
      <c r="E153" s="9" t="n">
        <f aca="false">D153-C153</f>
        <v>-89</v>
      </c>
      <c r="F153" s="10" t="n">
        <f aca="false">IF(AND(C153=0,D153=0),0,IF(C153=0,"New",(D153-C153)/C153))</f>
        <v>-0.361788617886179</v>
      </c>
      <c r="G153" s="11" t="n">
        <f aca="false">SUMIFS('Source 2025'!$I:$I,'Source 2025'!$B:$B,$A153,'Source 2025'!$A:$A,"Amount (NIS)")</f>
        <v>3292.9</v>
      </c>
      <c r="H153" s="11" t="n">
        <f aca="false">SUMIFS('Source 2026'!$I:$I,'Source 2026'!$B:$B,$A153,'Source 2026'!$A:$A,"Amount (NIS)")</f>
        <v>2127.7</v>
      </c>
      <c r="I153" s="11" t="n">
        <f aca="false">H153-G153</f>
        <v>-1165.2</v>
      </c>
      <c r="J153" s="10" t="n">
        <f aca="false">IF(AND(G153=0,H153=0),0,IF(G153=0,"New",(H153-G153)/G153))</f>
        <v>-0.353852227519815</v>
      </c>
    </row>
    <row r="154" customFormat="false" ht="15" hidden="false" customHeight="true" outlineLevel="0" collapsed="false">
      <c r="A154" s="8" t="s">
        <v>252</v>
      </c>
      <c r="B154" s="8" t="str">
        <f aca="false">IFERROR(INDEX('Source 2026'!$C:$C,MATCH($A154,'Source 2026'!$B:$B,0)),IFERROR(INDEX('Source 2025'!$C:$C,MATCH($A154,'Source 2025'!$B:$B,0)),""))</f>
        <v>כפפות לחץ</v>
      </c>
      <c r="C154" s="9" t="n">
        <f aca="false">SUMIFS('Source 2025'!$I:$I,'Source 2025'!$B:$B,$A154,'Source 2025'!$A:$A,"Quantity (units)")</f>
        <v>76</v>
      </c>
      <c r="D154" s="9" t="n">
        <f aca="false">SUMIFS('Source 2026'!$I:$I,'Source 2026'!$B:$B,$A154,'Source 2026'!$A:$A,"Quantity (units)")</f>
        <v>34</v>
      </c>
      <c r="E154" s="9" t="n">
        <f aca="false">D154-C154</f>
        <v>-42</v>
      </c>
      <c r="F154" s="10" t="n">
        <f aca="false">IF(AND(C154=0,D154=0),0,IF(C154=0,"New",(D154-C154)/C154))</f>
        <v>-0.552631578947369</v>
      </c>
      <c r="G154" s="11" t="n">
        <f aca="false">SUMIFS('Source 2025'!$I:$I,'Source 2025'!$B:$B,$A154,'Source 2025'!$A:$A,"Amount (NIS)")</f>
        <v>2156.6</v>
      </c>
      <c r="H154" s="11" t="n">
        <f aca="false">SUMIFS('Source 2026'!$I:$I,'Source 2026'!$B:$B,$A154,'Source 2026'!$A:$A,"Amount (NIS)")</f>
        <v>993.8</v>
      </c>
      <c r="I154" s="11" t="n">
        <f aca="false">H154-G154</f>
        <v>-1162.8</v>
      </c>
      <c r="J154" s="10" t="n">
        <f aca="false">IF(AND(G154=0,H154=0),0,IF(G154=0,"New",(H154-G154)/G154))</f>
        <v>-0.539182045812854</v>
      </c>
    </row>
    <row r="155" customFormat="false" ht="15" hidden="false" customHeight="true" outlineLevel="0" collapsed="false">
      <c r="A155" s="8" t="s">
        <v>157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2025'!$I:$I,'Source 2025'!$B:$B,$A155,'Source 2025'!$A:$A,"Quantity (units)")</f>
        <v>11</v>
      </c>
      <c r="D155" s="9" t="n">
        <f aca="false">SUMIFS('Source 2026'!$I:$I,'Source 2026'!$B:$B,$A155,'Source 2026'!$A:$A,"Quantity (units)")</f>
        <v>1</v>
      </c>
      <c r="E155" s="9" t="n">
        <f aca="false">D155-C155</f>
        <v>-10</v>
      </c>
      <c r="F155" s="10" t="n">
        <f aca="false">IF(AND(C155=0,D155=0),0,IF(C155=0,"New",(D155-C155)/C155))</f>
        <v>-0.909090909090909</v>
      </c>
      <c r="G155" s="11" t="n">
        <f aca="false">SUMIFS('Source 2025'!$I:$I,'Source 2025'!$B:$B,$A155,'Source 2025'!$A:$A,"Amount (NIS)")</f>
        <v>1262.7</v>
      </c>
      <c r="H155" s="11" t="n">
        <f aca="false">SUMIFS('Source 2026'!$I:$I,'Source 2026'!$B:$B,$A155,'Source 2026'!$A:$A,"Amount (NIS)")</f>
        <v>110.5</v>
      </c>
      <c r="I155" s="11" t="n">
        <f aca="false">H155-G155</f>
        <v>-1152.2</v>
      </c>
      <c r="J155" s="10" t="n">
        <f aca="false">IF(AND(G155=0,H155=0),0,IF(G155=0,"New",(H155-G155)/G155))</f>
        <v>-0.912489110635939</v>
      </c>
    </row>
    <row r="156" customFormat="false" ht="15" hidden="false" customHeight="true" outlineLevel="0" collapsed="false">
      <c r="A156" s="8" t="s">
        <v>95</v>
      </c>
      <c r="B156" s="8" t="str">
        <f aca="false">IFERROR(INDEX('Source 2026'!$C:$C,MATCH($A156,'Source 2026'!$B:$B,0)),IFERROR(INDEX('Source 2025'!$C:$C,MATCH($A156,'Source 2025'!$B:$B,0)),""))</f>
        <v>סד לאגודל</v>
      </c>
      <c r="C156" s="9" t="n">
        <f aca="false">SUMIFS('Source 2025'!$I:$I,'Source 2025'!$B:$B,$A156,'Source 2025'!$A:$A,"Quantity (units)")</f>
        <v>256</v>
      </c>
      <c r="D156" s="9" t="n">
        <f aca="false">SUMIFS('Source 2026'!$I:$I,'Source 2026'!$B:$B,$A156,'Source 2026'!$A:$A,"Quantity (units)")</f>
        <v>190</v>
      </c>
      <c r="E156" s="9" t="n">
        <f aca="false">D156-C156</f>
        <v>-66</v>
      </c>
      <c r="F156" s="10" t="n">
        <f aca="false">IF(AND(C156=0,D156=0),0,IF(C156=0,"New",(D156-C156)/C156))</f>
        <v>-0.2578125</v>
      </c>
      <c r="G156" s="11" t="n">
        <f aca="false">SUMIFS('Source 2025'!$I:$I,'Source 2025'!$B:$B,$A156,'Source 2025'!$A:$A,"Amount (NIS)")</f>
        <v>5941.9</v>
      </c>
      <c r="H156" s="11" t="n">
        <f aca="false">SUMIFS('Source 2026'!$I:$I,'Source 2026'!$B:$B,$A156,'Source 2026'!$A:$A,"Amount (NIS)")</f>
        <v>4799.3</v>
      </c>
      <c r="I156" s="11" t="n">
        <f aca="false">H156-G156</f>
        <v>-1142.6</v>
      </c>
      <c r="J156" s="10" t="n">
        <f aca="false">IF(AND(G156=0,H156=0),0,IF(G156=0,"New",(H156-G156)/G156))</f>
        <v>-0.192295393729278</v>
      </c>
    </row>
    <row r="157" customFormat="false" ht="15" hidden="false" customHeight="true" outlineLevel="0" collapsed="false">
      <c r="A157" s="8" t="s">
        <v>209</v>
      </c>
      <c r="B157" s="8" t="str">
        <f aca="false">IFERROR(INDEX('Source 2026'!$C:$C,MATCH($A157,'Source 2026'!$B:$B,0)),IFERROR(INDEX('Source 2025'!$C:$C,MATCH($A157,'Source 2025'!$B:$B,0)),""))</f>
        <v>S ח.הריון מכנס למניעת כאבים</v>
      </c>
      <c r="C157" s="9" t="n">
        <f aca="false">SUMIFS('Source 2025'!$I:$I,'Source 2025'!$B:$B,$A157,'Source 2025'!$A:$A,"Quantity (units)")</f>
        <v>2</v>
      </c>
      <c r="D157" s="9" t="n">
        <f aca="false">SUMIFS('Source 2026'!$I:$I,'Source 2026'!$B:$B,$A157,'Source 2026'!$A:$A,"Quantity (units)")</f>
        <v>-2</v>
      </c>
      <c r="E157" s="9" t="n">
        <f aca="false">D157-C157</f>
        <v>-4</v>
      </c>
      <c r="F157" s="10" t="n">
        <f aca="false">IF(AND(C157=0,D157=0),0,IF(C157=0,"New",(D157-C157)/C157))</f>
        <v>-2</v>
      </c>
      <c r="G157" s="11" t="n">
        <f aca="false">SUMIFS('Source 2025'!$I:$I,'Source 2025'!$B:$B,$A157,'Source 2025'!$A:$A,"Amount (NIS)")</f>
        <v>573.5</v>
      </c>
      <c r="H157" s="11" t="n">
        <f aca="false">SUMIFS('Source 2026'!$I:$I,'Source 2026'!$B:$B,$A157,'Source 2026'!$A:$A,"Amount (NIS)")</f>
        <v>-553</v>
      </c>
      <c r="I157" s="11" t="n">
        <f aca="false">H157-G157</f>
        <v>-1126.5</v>
      </c>
      <c r="J157" s="10" t="n">
        <f aca="false">IF(AND(G157=0,H157=0),0,IF(G157=0,"New",(H157-G157)/G157))</f>
        <v>-1.9642545771578</v>
      </c>
    </row>
    <row r="158" customFormat="false" ht="15" hidden="false" customHeight="true" outlineLevel="0" collapsed="false">
      <c r="A158" s="8" t="s">
        <v>141</v>
      </c>
      <c r="B158" s="8" t="str">
        <f aca="false">IFERROR(INDEX('Source 2026'!$C:$C,MATCH($A158,'Source 2026'!$B:$B,0)),IFERROR(INDEX('Source 2025'!$C:$C,MATCH($A158,'Source 2025'!$B:$B,0)),""))</f>
        <v>S חבק יד</v>
      </c>
      <c r="C158" s="9" t="n">
        <f aca="false">SUMIFS('Source 2025'!$I:$I,'Source 2025'!$B:$B,$A158,'Source 2025'!$A:$A,"Quantity (units)")</f>
        <v>39</v>
      </c>
      <c r="D158" s="9" t="n">
        <f aca="false">SUMIFS('Source 2026'!$I:$I,'Source 2026'!$B:$B,$A158,'Source 2026'!$A:$A,"Quantity (units)")</f>
        <v>50</v>
      </c>
      <c r="E158" s="9" t="n">
        <f aca="false">D158-C158</f>
        <v>11</v>
      </c>
      <c r="F158" s="10" t="n">
        <f aca="false">IF(AND(C158=0,D158=0),0,IF(C158=0,"New",(D158-C158)/C158))</f>
        <v>0.282051282051282</v>
      </c>
      <c r="G158" s="11" t="n">
        <f aca="false">SUMIFS('Source 2025'!$I:$I,'Source 2025'!$B:$B,$A158,'Source 2025'!$A:$A,"Amount (NIS)")</f>
        <v>2718.6</v>
      </c>
      <c r="H158" s="11" t="n">
        <f aca="false">SUMIFS('Source 2026'!$I:$I,'Source 2026'!$B:$B,$A158,'Source 2026'!$A:$A,"Amount (NIS)")</f>
        <v>3724.2</v>
      </c>
      <c r="I158" s="11" t="n">
        <f aca="false">H158-G158</f>
        <v>1005.6</v>
      </c>
      <c r="J158" s="10" t="n">
        <f aca="false">IF(AND(G158=0,H158=0),0,IF(G158=0,"New",(H158-G158)/G158))</f>
        <v>0.369896270139042</v>
      </c>
    </row>
    <row r="159" customFormat="false" ht="15" hidden="false" customHeight="true" outlineLevel="0" collapsed="false">
      <c r="A159" s="8" t="s">
        <v>178</v>
      </c>
      <c r="B159" s="8" t="str">
        <f aca="false">IFERROR(INDEX('Source 2026'!$C:$C,MATCH($A159,'Source 2026'!$B:$B,0)),IFERROR(INDEX('Source 2025'!$C:$C,MATCH($A159,'Source 2025'!$B:$B,0)),""))</f>
        <v>רפידת בולמת זעזועים -זוג</v>
      </c>
      <c r="C159" s="9" t="n">
        <f aca="false">SUMIFS('Source 2025'!$I:$I,'Source 2025'!$B:$B,$A159,'Source 2025'!$A:$A,"Quantity (units)")</f>
        <v>186</v>
      </c>
      <c r="D159" s="9" t="n">
        <f aca="false">SUMIFS('Source 2026'!$I:$I,'Source 2026'!$B:$B,$A159,'Source 2026'!$A:$A,"Quantity (units)")</f>
        <v>105</v>
      </c>
      <c r="E159" s="9" t="n">
        <f aca="false">D159-C159</f>
        <v>-81</v>
      </c>
      <c r="F159" s="10" t="n">
        <f aca="false">IF(AND(C159=0,D159=0),0,IF(C159=0,"New",(D159-C159)/C159))</f>
        <v>-0.435483870967742</v>
      </c>
      <c r="G159" s="11" t="n">
        <f aca="false">SUMIFS('Source 2025'!$I:$I,'Source 2025'!$B:$B,$A159,'Source 2025'!$A:$A,"Amount (NIS)")</f>
        <v>2396.7</v>
      </c>
      <c r="H159" s="11" t="n">
        <f aca="false">SUMIFS('Source 2026'!$I:$I,'Source 2026'!$B:$B,$A159,'Source 2026'!$A:$A,"Amount (NIS)")</f>
        <v>1409.1</v>
      </c>
      <c r="I159" s="11" t="n">
        <f aca="false">H159-G159</f>
        <v>-987.6</v>
      </c>
      <c r="J159" s="10" t="n">
        <f aca="false">IF(AND(G159=0,H159=0),0,IF(G159=0,"New",(H159-G159)/G159))</f>
        <v>-0.4120665915634</v>
      </c>
    </row>
    <row r="160" customFormat="false" ht="15" hidden="false" customHeight="true" outlineLevel="0" collapsed="false">
      <c r="A160" s="8" t="s">
        <v>222</v>
      </c>
      <c r="B160" s="8" t="str">
        <f aca="false">IFERROR(INDEX('Source 2026'!$C:$C,MATCH($A160,'Source 2026'!$B:$B,0)),IFERROR(INDEX('Source 2025'!$C:$C,MATCH($A160,'Source 2025'!$B:$B,0)),""))</f>
        <v>0 רפידת לילדים אנטי ריח</v>
      </c>
      <c r="C160" s="9" t="n">
        <f aca="false">SUMIFS('Source 2025'!$I:$I,'Source 2025'!$B:$B,$A160,'Source 2025'!$A:$A,"Quantity (units)")</f>
        <v>146</v>
      </c>
      <c r="D160" s="9" t="n">
        <f aca="false">SUMIFS('Source 2026'!$I:$I,'Source 2026'!$B:$B,$A160,'Source 2026'!$A:$A,"Quantity (units)")</f>
        <v>56</v>
      </c>
      <c r="E160" s="9" t="n">
        <f aca="false">D160-C160</f>
        <v>-90</v>
      </c>
      <c r="F160" s="10" t="n">
        <f aca="false">IF(AND(C160=0,D160=0),0,IF(C160=0,"New",(D160-C160)/C160))</f>
        <v>-0.616438356164384</v>
      </c>
      <c r="G160" s="11" t="n">
        <f aca="false">SUMIFS('Source 2025'!$I:$I,'Source 2025'!$B:$B,$A160,'Source 2025'!$A:$A,"Amount (NIS)")</f>
        <v>1504.7</v>
      </c>
      <c r="H160" s="11" t="n">
        <f aca="false">SUMIFS('Source 2026'!$I:$I,'Source 2026'!$B:$B,$A160,'Source 2026'!$A:$A,"Amount (NIS)")</f>
        <v>574.5</v>
      </c>
      <c r="I160" s="11" t="n">
        <f aca="false">H160-G160</f>
        <v>-930.2</v>
      </c>
      <c r="J160" s="10" t="n">
        <f aca="false">IF(AND(G160=0,H160=0),0,IF(G160=0,"New",(H160-G160)/G160))</f>
        <v>-0.618196318202964</v>
      </c>
    </row>
    <row r="161" customFormat="false" ht="15" hidden="false" customHeight="true" outlineLevel="0" collapsed="false">
      <c r="A161" s="8" t="s">
        <v>145</v>
      </c>
      <c r="B161" s="8" t="str">
        <f aca="false">IFERROR(INDEX('Source 2026'!$C:$C,MATCH($A161,'Source 2026'!$B:$B,0)),IFERROR(INDEX('Source 2025'!$C:$C,MATCH($A161,'Source 2025'!$B:$B,0)),""))</f>
        <v>כרית ליישור אצבע פטיש</v>
      </c>
      <c r="C161" s="9" t="n">
        <f aca="false">SUMIFS('Source 2025'!$I:$I,'Source 2025'!$B:$B,$A161,'Source 2025'!$A:$A,"Quantity (units)")</f>
        <v>301</v>
      </c>
      <c r="D161" s="9" t="n">
        <f aca="false">SUMIFS('Source 2026'!$I:$I,'Source 2026'!$B:$B,$A161,'Source 2026'!$A:$A,"Quantity (units)")</f>
        <v>261</v>
      </c>
      <c r="E161" s="9" t="n">
        <f aca="false">D161-C161</f>
        <v>-40</v>
      </c>
      <c r="F161" s="10" t="n">
        <f aca="false">IF(AND(C161=0,D161=0),0,IF(C161=0,"New",(D161-C161)/C161))</f>
        <v>-0.132890365448505</v>
      </c>
      <c r="G161" s="11" t="n">
        <f aca="false">SUMIFS('Source 2025'!$I:$I,'Source 2025'!$B:$B,$A161,'Source 2025'!$A:$A,"Amount (NIS)")</f>
        <v>7428.9</v>
      </c>
      <c r="H161" s="11" t="n">
        <f aca="false">SUMIFS('Source 2026'!$I:$I,'Source 2026'!$B:$B,$A161,'Source 2026'!$A:$A,"Amount (NIS)")</f>
        <v>6510.6</v>
      </c>
      <c r="I161" s="11" t="n">
        <f aca="false">H161-G161</f>
        <v>-918.299999999999</v>
      </c>
      <c r="J161" s="10" t="n">
        <f aca="false">IF(AND(G161=0,H161=0),0,IF(G161=0,"New",(H161-G161)/G161))</f>
        <v>-0.123611840245528</v>
      </c>
    </row>
    <row r="162" customFormat="false" ht="15" hidden="false" customHeight="true" outlineLevel="0" collapsed="false">
      <c r="A162" s="8" t="s">
        <v>240</v>
      </c>
      <c r="B162" s="8" t="str">
        <f aca="false">IFERROR(INDEX('Source 2026'!$C:$C,MATCH($A162,'Source 2026'!$B:$B,0)),IFERROR(INDEX('Source 2025'!$C:$C,MATCH($A162,'Source 2025'!$B:$B,0)),""))</f>
        <v>S חגורת שבר דו צדדי</v>
      </c>
      <c r="C162" s="9" t="n">
        <f aca="false">SUMIFS('Source 2025'!$I:$I,'Source 2025'!$B:$B,$A162,'Source 2025'!$A:$A,"Quantity (units)")</f>
        <v>6</v>
      </c>
      <c r="D162" s="9" t="n">
        <f aca="false">SUMIFS('Source 2026'!$I:$I,'Source 2026'!$B:$B,$A162,'Source 2026'!$A:$A,"Quantity (units)")</f>
        <v>9</v>
      </c>
      <c r="E162" s="9" t="n">
        <f aca="false">D162-C162</f>
        <v>3</v>
      </c>
      <c r="F162" s="10" t="n">
        <f aca="false">IF(AND(C162=0,D162=0),0,IF(C162=0,"New",(D162-C162)/C162))</f>
        <v>0.5</v>
      </c>
      <c r="G162" s="11" t="n">
        <f aca="false">SUMIFS('Source 2025'!$I:$I,'Source 2025'!$B:$B,$A162,'Source 2025'!$A:$A,"Amount (NIS)")</f>
        <v>1810.2</v>
      </c>
      <c r="H162" s="11" t="n">
        <f aca="false">SUMIFS('Source 2026'!$I:$I,'Source 2026'!$B:$B,$A162,'Source 2026'!$A:$A,"Amount (NIS)")</f>
        <v>2715.4</v>
      </c>
      <c r="I162" s="11" t="n">
        <f aca="false">H162-G162</f>
        <v>905.2</v>
      </c>
      <c r="J162" s="10" t="n">
        <f aca="false">IF(AND(G162=0,H162=0),0,IF(G162=0,"New",(H162-G162)/G162))</f>
        <v>0.50005524251464</v>
      </c>
    </row>
    <row r="163" customFormat="false" ht="15" hidden="false" customHeight="true" outlineLevel="0" collapsed="false">
      <c r="A163" s="8" t="s">
        <v>212</v>
      </c>
      <c r="B163" s="8" t="str">
        <f aca="false">IFERROR(INDEX('Source 2026'!$C:$C,MATCH($A163,'Source 2026'!$B:$B,0)),IFERROR(INDEX('Source 2025'!$C:$C,MATCH($A163,'Source 2025'!$B:$B,0)),""))</f>
        <v>רפ.אורטופדית ספורט זוג35</v>
      </c>
      <c r="C163" s="9" t="n">
        <f aca="false">SUMIFS('Source 2025'!$I:$I,'Source 2025'!$B:$B,$A163,'Source 2025'!$A:$A,"Quantity (units)")</f>
        <v>19</v>
      </c>
      <c r="D163" s="9" t="n">
        <f aca="false">SUMIFS('Source 2026'!$I:$I,'Source 2026'!$B:$B,$A163,'Source 2026'!$A:$A,"Quantity (units)")</f>
        <v>-6</v>
      </c>
      <c r="E163" s="9" t="n">
        <f aca="false">D163-C163</f>
        <v>-25</v>
      </c>
      <c r="F163" s="10" t="n">
        <f aca="false">IF(AND(C163=0,D163=0),0,IF(C163=0,"New",(D163-C163)/C163))</f>
        <v>-1.31578947368421</v>
      </c>
      <c r="G163" s="11" t="n">
        <f aca="false">SUMIFS('Source 2025'!$I:$I,'Source 2025'!$B:$B,$A163,'Source 2025'!$A:$A,"Amount (NIS)")</f>
        <v>642</v>
      </c>
      <c r="H163" s="11" t="n">
        <f aca="false">SUMIFS('Source 2026'!$I:$I,'Source 2026'!$B:$B,$A163,'Source 2026'!$A:$A,"Amount (NIS)")</f>
        <v>-215.2</v>
      </c>
      <c r="I163" s="11" t="n">
        <f aca="false">H163-G163</f>
        <v>-857.2</v>
      </c>
      <c r="J163" s="10" t="n">
        <f aca="false">IF(AND(G163=0,H163=0),0,IF(G163=0,"New",(H163-G163)/G163))</f>
        <v>-1.33520249221184</v>
      </c>
    </row>
    <row r="164" customFormat="false" ht="15" hidden="false" customHeight="true" outlineLevel="0" collapsed="false">
      <c r="A164" s="8" t="s">
        <v>165</v>
      </c>
      <c r="B164" s="8" t="str">
        <f aca="false">IFERROR(INDEX('Source 2026'!$C:$C,MATCH($A164,'Source 2026'!$B:$B,0)),IFERROR(INDEX('Source 2025'!$C:$C,MATCH($A164,'Source 2025'!$B:$B,0)),""))</f>
        <v>חגורת גב +סגירה כפולה</v>
      </c>
      <c r="C164" s="9" t="n">
        <f aca="false">SUMIFS('Source 2025'!$I:$I,'Source 2025'!$B:$B,$A164,'Source 2025'!$A:$A,"Quantity (units)")</f>
        <v>12</v>
      </c>
      <c r="D164" s="9" t="n">
        <f aca="false">SUMIFS('Source 2026'!$I:$I,'Source 2026'!$B:$B,$A164,'Source 2026'!$A:$A,"Quantity (units)")</f>
        <v>3</v>
      </c>
      <c r="E164" s="9" t="n">
        <f aca="false">D164-C164</f>
        <v>-9</v>
      </c>
      <c r="F164" s="10" t="n">
        <f aca="false">IF(AND(C164=0,D164=0),0,IF(C164=0,"New",(D164-C164)/C164))</f>
        <v>-0.75</v>
      </c>
      <c r="G164" s="11" t="n">
        <f aca="false">SUMIFS('Source 2025'!$I:$I,'Source 2025'!$B:$B,$A164,'Source 2025'!$A:$A,"Amount (NIS)")</f>
        <v>1152.7</v>
      </c>
      <c r="H164" s="11" t="n">
        <f aca="false">SUMIFS('Source 2026'!$I:$I,'Source 2026'!$B:$B,$A164,'Source 2026'!$A:$A,"Amount (NIS)")</f>
        <v>314.7</v>
      </c>
      <c r="I164" s="11" t="n">
        <f aca="false">H164-G164</f>
        <v>-838</v>
      </c>
      <c r="J164" s="10" t="n">
        <f aca="false">IF(AND(G164=0,H164=0),0,IF(G164=0,"New",(H164-G164)/G164))</f>
        <v>-0.726988808883491</v>
      </c>
    </row>
    <row r="165" customFormat="false" ht="15" hidden="false" customHeight="true" outlineLevel="0" collapsed="false">
      <c r="A165" s="8" t="s">
        <v>292</v>
      </c>
      <c r="B165" s="8" t="str">
        <f aca="false">IFERROR(INDEX('Source 2026'!$C:$C,MATCH($A165,'Source 2026'!$B:$B,0)),IFERROR(INDEX('Source 2025'!$C:$C,MATCH($A165,'Source 2025'!$B:$B,0)),""))</f>
        <v>סד לילה לבוהן</v>
      </c>
      <c r="C165" s="9" t="n">
        <f aca="false">SUMIFS('Source 2025'!$I:$I,'Source 2025'!$B:$B,$A165,'Source 2025'!$A:$A,"Quantity (units)")</f>
        <v>-16</v>
      </c>
      <c r="D165" s="9" t="n">
        <f aca="false">SUMIFS('Source 2026'!$I:$I,'Source 2026'!$B:$B,$A165,'Source 2026'!$A:$A,"Quantity (units)")</f>
        <v>-3</v>
      </c>
      <c r="E165" s="9" t="n">
        <f aca="false">D165-C165</f>
        <v>13</v>
      </c>
      <c r="F165" s="10" t="n">
        <f aca="false">IF(AND(C165=0,D165=0),0,IF(C165=0,"New",(D165-C165)/C165))</f>
        <v>-0.8125</v>
      </c>
      <c r="G165" s="11" t="n">
        <f aca="false">SUMIFS('Source 2025'!$I:$I,'Source 2025'!$B:$B,$A165,'Source 2025'!$A:$A,"Amount (NIS)")</f>
        <v>-1026.6</v>
      </c>
      <c r="H165" s="11" t="n">
        <f aca="false">SUMIFS('Source 2026'!$I:$I,'Source 2026'!$B:$B,$A165,'Source 2026'!$A:$A,"Amount (NIS)")</f>
        <v>-192.5</v>
      </c>
      <c r="I165" s="11" t="n">
        <f aca="false">H165-G165</f>
        <v>834.1</v>
      </c>
      <c r="J165" s="10" t="n">
        <f aca="false">IF(AND(G165=0,H165=0),0,IF(G165=0,"New",(H165-G165)/G165))</f>
        <v>-0.812487823884668</v>
      </c>
    </row>
    <row r="166" customFormat="false" ht="15" hidden="false" customHeight="true" outlineLevel="0" collapsed="false">
      <c r="A166" s="8" t="s">
        <v>235</v>
      </c>
      <c r="B166" s="8" t="str">
        <f aca="false">IFERROR(INDEX('Source 2026'!$C:$C,MATCH($A166,'Source 2026'!$B:$B,0)),IFERROR(INDEX('Source 2025'!$C:$C,MATCH($A166,'Source 2025'!$B:$B,0)),""))</f>
        <v>סיליק.לכרית כף הרגל373</v>
      </c>
      <c r="C166" s="9" t="n">
        <f aca="false">SUMIFS('Source 2025'!$I:$I,'Source 2025'!$B:$B,$A166,'Source 2025'!$A:$A,"Quantity (units)")</f>
        <v>59</v>
      </c>
      <c r="D166" s="9" t="n">
        <f aca="false">SUMIFS('Source 2026'!$I:$I,'Source 2026'!$B:$B,$A166,'Source 2026'!$A:$A,"Quantity (units)")</f>
        <v>18</v>
      </c>
      <c r="E166" s="9" t="n">
        <f aca="false">D166-C166</f>
        <v>-41</v>
      </c>
      <c r="F166" s="10" t="n">
        <f aca="false">IF(AND(C166=0,D166=0),0,IF(C166=0,"New",(D166-C166)/C166))</f>
        <v>-0.694915254237288</v>
      </c>
      <c r="G166" s="11" t="n">
        <f aca="false">SUMIFS('Source 2025'!$I:$I,'Source 2025'!$B:$B,$A166,'Source 2025'!$A:$A,"Amount (NIS)")</f>
        <v>1132</v>
      </c>
      <c r="H166" s="11" t="n">
        <f aca="false">SUMIFS('Source 2026'!$I:$I,'Source 2026'!$B:$B,$A166,'Source 2026'!$A:$A,"Amount (NIS)")</f>
        <v>344.5</v>
      </c>
      <c r="I166" s="11" t="n">
        <f aca="false">H166-G166</f>
        <v>-787.5</v>
      </c>
      <c r="J166" s="10" t="n">
        <f aca="false">IF(AND(G166=0,H166=0),0,IF(G166=0,"New",(H166-G166)/G166))</f>
        <v>-0.695671378091873</v>
      </c>
    </row>
    <row r="167" customFormat="false" ht="15" hidden="false" customHeight="true" outlineLevel="0" collapsed="false">
      <c r="A167" s="8" t="s">
        <v>204</v>
      </c>
      <c r="B167" s="8" t="str">
        <f aca="false">IFERROR(INDEX('Source 2026'!$C:$C,MATCH($A167,'Source 2026'!$B:$B,0)),IFERROR(INDEX('Source 2025'!$C:$C,MATCH($A167,'Source 2025'!$B:$B,0)),""))</f>
        <v>סכינים למקצוע</v>
      </c>
      <c r="C167" s="9" t="n">
        <f aca="false">SUMIFS('Source 2025'!$I:$I,'Source 2025'!$B:$B,$A167,'Source 2025'!$A:$A,"Quantity (units)")</f>
        <v>166</v>
      </c>
      <c r="D167" s="9" t="n">
        <f aca="false">SUMIFS('Source 2026'!$I:$I,'Source 2026'!$B:$B,$A167,'Source 2026'!$A:$A,"Quantity (units)")</f>
        <v>73</v>
      </c>
      <c r="E167" s="9" t="n">
        <f aca="false">D167-C167</f>
        <v>-93</v>
      </c>
      <c r="F167" s="10" t="n">
        <f aca="false">IF(AND(C167=0,D167=0),0,IF(C167=0,"New",(D167-C167)/C167))</f>
        <v>-0.560240963855422</v>
      </c>
      <c r="G167" s="11" t="n">
        <f aca="false">SUMIFS('Source 2025'!$I:$I,'Source 2025'!$B:$B,$A167,'Source 2025'!$A:$A,"Amount (NIS)")</f>
        <v>1355.6</v>
      </c>
      <c r="H167" s="11" t="n">
        <f aca="false">SUMIFS('Source 2026'!$I:$I,'Source 2026'!$B:$B,$A167,'Source 2026'!$A:$A,"Amount (NIS)")</f>
        <v>575.8</v>
      </c>
      <c r="I167" s="11" t="n">
        <f aca="false">H167-G167</f>
        <v>-779.8</v>
      </c>
      <c r="J167" s="10" t="n">
        <f aca="false">IF(AND(G167=0,H167=0),0,IF(G167=0,"New",(H167-G167)/G167))</f>
        <v>-0.575243434641487</v>
      </c>
    </row>
    <row r="168" customFormat="false" ht="15" hidden="false" customHeight="true" outlineLevel="0" collapsed="false">
      <c r="A168" s="8" t="s">
        <v>215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2025'!$I:$I,'Source 2025'!$B:$B,$A168,'Source 2025'!$A:$A,"Quantity (units)")</f>
        <v>52</v>
      </c>
      <c r="D168" s="9" t="n">
        <f aca="false">SUMIFS('Source 2026'!$I:$I,'Source 2026'!$B:$B,$A168,'Source 2026'!$A:$A,"Quantity (units)")</f>
        <v>60</v>
      </c>
      <c r="E168" s="9" t="n">
        <f aca="false">D168-C168</f>
        <v>8</v>
      </c>
      <c r="F168" s="10" t="n">
        <f aca="false">IF(AND(C168=0,D168=0),0,IF(C168=0,"New",(D168-C168)/C168))</f>
        <v>0.153846153846154</v>
      </c>
      <c r="G168" s="11" t="n">
        <f aca="false">SUMIFS('Source 2025'!$I:$I,'Source 2025'!$B:$B,$A168,'Source 2025'!$A:$A,"Amount (NIS)")</f>
        <v>3708.5</v>
      </c>
      <c r="H168" s="11" t="n">
        <f aca="false">SUMIFS('Source 2026'!$I:$I,'Source 2026'!$B:$B,$A168,'Source 2026'!$A:$A,"Amount (NIS)")</f>
        <v>4486.7</v>
      </c>
      <c r="I168" s="11" t="n">
        <f aca="false">H168-G168</f>
        <v>778.2</v>
      </c>
      <c r="J168" s="10" t="n">
        <f aca="false">IF(AND(G168=0,H168=0),0,IF(G168=0,"New",(H168-G168)/G168))</f>
        <v>0.209842254280706</v>
      </c>
    </row>
    <row r="169" customFormat="false" ht="15" hidden="false" customHeight="true" outlineLevel="0" collapsed="false">
      <c r="A169" s="8" t="s">
        <v>256</v>
      </c>
      <c r="B169" s="8" t="str">
        <f aca="false">IFERROR(INDEX('Source 2026'!$C:$C,MATCH($A169,'Source 2026'!$B:$B,0)),IFERROR(INDEX('Source 2025'!$C:$C,MATCH($A169,'Source 2025'!$B:$B,0)),""))</f>
        <v>M חבק יד אגודלי</v>
      </c>
      <c r="C169" s="9" t="n">
        <f aca="false">SUMIFS('Source 2025'!$I:$I,'Source 2025'!$B:$B,$A169,'Source 2025'!$A:$A,"Quantity (units)")</f>
        <v>-14</v>
      </c>
      <c r="D169" s="9" t="n">
        <f aca="false">SUMIFS('Source 2026'!$I:$I,'Source 2026'!$B:$B,$A169,'Source 2026'!$A:$A,"Quantity (units)")</f>
        <v>-3</v>
      </c>
      <c r="E169" s="9" t="n">
        <f aca="false">D169-C169</f>
        <v>11</v>
      </c>
      <c r="F169" s="10" t="n">
        <f aca="false">IF(AND(C169=0,D169=0),0,IF(C169=0,"New",(D169-C169)/C169))</f>
        <v>-0.785714285714286</v>
      </c>
      <c r="G169" s="11" t="n">
        <f aca="false">SUMIFS('Source 2025'!$I:$I,'Source 2025'!$B:$B,$A169,'Source 2025'!$A:$A,"Amount (NIS)")</f>
        <v>-942.3</v>
      </c>
      <c r="H169" s="11" t="n">
        <f aca="false">SUMIFS('Source 2026'!$I:$I,'Source 2026'!$B:$B,$A169,'Source 2026'!$A:$A,"Amount (NIS)")</f>
        <v>-192.6</v>
      </c>
      <c r="I169" s="11" t="n">
        <f aca="false">H169-G169</f>
        <v>749.7</v>
      </c>
      <c r="J169" s="10" t="n">
        <f aca="false">IF(AND(G169=0,H169=0),0,IF(G169=0,"New",(H169-G169)/G169))</f>
        <v>-0.795606494746896</v>
      </c>
    </row>
    <row r="170" customFormat="false" ht="15" hidden="false" customHeight="true" outlineLevel="0" collapsed="false">
      <c r="A170" s="8" t="s">
        <v>129</v>
      </c>
      <c r="B170" s="8" t="str">
        <f aca="false">IFERROR(INDEX('Source 2026'!$C:$C,MATCH($A170,'Source 2026'!$B:$B,0)),IFERROR(INDEX('Source 2025'!$C:$C,MATCH($A170,'Source 2025'!$B:$B,0)),""))</f>
        <v>S ח.גב ""איטלקית"" אורירית</v>
      </c>
      <c r="C170" s="9" t="n">
        <f aca="false">SUMIFS('Source 2025'!$I:$I,'Source 2025'!$B:$B,$A170,'Source 2025'!$A:$A,"Quantity (units)")</f>
        <v>2</v>
      </c>
      <c r="D170" s="9" t="n">
        <f aca="false">SUMIFS('Source 2026'!$I:$I,'Source 2026'!$B:$B,$A170,'Source 2026'!$A:$A,"Quantity (units)")</f>
        <v>-1</v>
      </c>
      <c r="E170" s="9" t="n">
        <f aca="false">D170-C170</f>
        <v>-3</v>
      </c>
      <c r="F170" s="10" t="n">
        <f aca="false">IF(AND(C170=0,D170=0),0,IF(C170=0,"New",(D170-C170)/C170))</f>
        <v>-1.5</v>
      </c>
      <c r="G170" s="11" t="n">
        <f aca="false">SUMIFS('Source 2025'!$I:$I,'Source 2025'!$B:$B,$A170,'Source 2025'!$A:$A,"Amount (NIS)")</f>
        <v>517.2</v>
      </c>
      <c r="H170" s="11" t="n">
        <f aca="false">SUMIFS('Source 2026'!$I:$I,'Source 2026'!$B:$B,$A170,'Source 2026'!$A:$A,"Amount (NIS)")</f>
        <v>-215.4</v>
      </c>
      <c r="I170" s="11" t="n">
        <f aca="false">H170-G170</f>
        <v>-732.6</v>
      </c>
      <c r="J170" s="10" t="n">
        <f aca="false">IF(AND(G170=0,H170=0),0,IF(G170=0,"New",(H170-G170)/G170))</f>
        <v>-1.41647331786543</v>
      </c>
    </row>
    <row r="171" customFormat="false" ht="15" hidden="false" customHeight="true" outlineLevel="0" collapsed="false">
      <c r="A171" s="8" t="s">
        <v>167</v>
      </c>
      <c r="B171" s="8" t="str">
        <f aca="false">IFERROR(INDEX('Source 2026'!$C:$C,MATCH($A171,'Source 2026'!$B:$B,0)),IFERROR(INDEX('Source 2025'!$C:$C,MATCH($A171,'Source 2025'!$B:$B,0)),""))</f>
        <v>35-38 גרב.כסף לסכרתים לבן</v>
      </c>
      <c r="C171" s="9" t="n">
        <f aca="false">SUMIFS('Source 2025'!$I:$I,'Source 2025'!$B:$B,$A171,'Source 2025'!$A:$A,"Quantity (units)")</f>
        <v>209</v>
      </c>
      <c r="D171" s="9" t="n">
        <f aca="false">SUMIFS('Source 2026'!$I:$I,'Source 2026'!$B:$B,$A171,'Source 2026'!$A:$A,"Quantity (units)")</f>
        <v>173</v>
      </c>
      <c r="E171" s="9" t="n">
        <f aca="false">D171-C171</f>
        <v>-36</v>
      </c>
      <c r="F171" s="10" t="n">
        <f aca="false">IF(AND(C171=0,D171=0),0,IF(C171=0,"New",(D171-C171)/C171))</f>
        <v>-0.172248803827751</v>
      </c>
      <c r="G171" s="11" t="n">
        <f aca="false">SUMIFS('Source 2025'!$I:$I,'Source 2025'!$B:$B,$A171,'Source 2025'!$A:$A,"Amount (NIS)")</f>
        <v>4659.6</v>
      </c>
      <c r="H171" s="11" t="n">
        <f aca="false">SUMIFS('Source 2026'!$I:$I,'Source 2026'!$B:$B,$A171,'Source 2026'!$A:$A,"Amount (NIS)")</f>
        <v>3937.8</v>
      </c>
      <c r="I171" s="11" t="n">
        <f aca="false">H171-G171</f>
        <v>-721.8</v>
      </c>
      <c r="J171" s="10" t="n">
        <f aca="false">IF(AND(G171=0,H171=0),0,IF(G171=0,"New",(H171-G171)/G171))</f>
        <v>-0.154906000515066</v>
      </c>
    </row>
    <row r="172" customFormat="false" ht="15" hidden="false" customHeight="true" outlineLevel="0" collapsed="false">
      <c r="A172" s="8" t="s">
        <v>58</v>
      </c>
      <c r="B172" s="8" t="str">
        <f aca="false">IFERROR(INDEX('Source 2026'!$C:$C,MATCH($A172,'Source 2026'!$B:$B,0)),IFERROR(INDEX('Source 2025'!$C:$C,MATCH($A172,'Source 2025'!$B:$B,0)),""))</f>
        <v>חגורת גב עם תמיכות</v>
      </c>
      <c r="C172" s="9" t="n">
        <f aca="false">SUMIFS('Source 2025'!$I:$I,'Source 2025'!$B:$B,$A172,'Source 2025'!$A:$A,"Quantity (units)")</f>
        <v>34</v>
      </c>
      <c r="D172" s="9" t="n">
        <f aca="false">SUMIFS('Source 2026'!$I:$I,'Source 2026'!$B:$B,$A172,'Source 2026'!$A:$A,"Quantity (units)")</f>
        <v>27</v>
      </c>
      <c r="E172" s="9" t="n">
        <f aca="false">D172-C172</f>
        <v>-7</v>
      </c>
      <c r="F172" s="10" t="n">
        <f aca="false">IF(AND(C172=0,D172=0),0,IF(C172=0,"New",(D172-C172)/C172))</f>
        <v>-0.205882352941176</v>
      </c>
      <c r="G172" s="11" t="n">
        <f aca="false">SUMIFS('Source 2025'!$I:$I,'Source 2025'!$B:$B,$A172,'Source 2025'!$A:$A,"Amount (NIS)")</f>
        <v>3108</v>
      </c>
      <c r="H172" s="11" t="n">
        <f aca="false">SUMIFS('Source 2026'!$I:$I,'Source 2026'!$B:$B,$A172,'Source 2026'!$A:$A,"Amount (NIS)")</f>
        <v>2408.6</v>
      </c>
      <c r="I172" s="11" t="n">
        <f aca="false">H172-G172</f>
        <v>-699.4</v>
      </c>
      <c r="J172" s="10" t="n">
        <f aca="false">IF(AND(G172=0,H172=0),0,IF(G172=0,"New",(H172-G172)/G172))</f>
        <v>-0.225032175032175</v>
      </c>
    </row>
    <row r="173" customFormat="false" ht="15" hidden="false" customHeight="true" outlineLevel="0" collapsed="false">
      <c r="A173" s="8" t="s">
        <v>290</v>
      </c>
      <c r="B173" s="8" t="str">
        <f aca="false">IFERROR(INDEX('Source 2026'!$C:$C,MATCH($A173,'Source 2026'!$B:$B,0)),IFERROR(INDEX('Source 2025'!$C:$C,MATCH($A173,'Source 2025'!$B:$B,0)),""))</f>
        <v>קיבוע לאצבע הדק</v>
      </c>
      <c r="C173" s="9" t="n">
        <f aca="false">SUMIFS('Source 2025'!$I:$I,'Source 2025'!$B:$B,$A173,'Source 2025'!$A:$A,"Quantity (units)")</f>
        <v>230</v>
      </c>
      <c r="D173" s="9" t="n">
        <f aca="false">SUMIFS('Source 2026'!$I:$I,'Source 2026'!$B:$B,$A173,'Source 2026'!$A:$A,"Quantity (units)")</f>
        <v>188</v>
      </c>
      <c r="E173" s="9" t="n">
        <f aca="false">D173-C173</f>
        <v>-42</v>
      </c>
      <c r="F173" s="10" t="n">
        <f aca="false">IF(AND(C173=0,D173=0),0,IF(C173=0,"New",(D173-C173)/C173))</f>
        <v>-0.182608695652174</v>
      </c>
      <c r="G173" s="11" t="n">
        <f aca="false">SUMIFS('Source 2025'!$I:$I,'Source 2025'!$B:$B,$A173,'Source 2025'!$A:$A,"Amount (NIS)")</f>
        <v>5827.9</v>
      </c>
      <c r="H173" s="11" t="n">
        <f aca="false">SUMIFS('Source 2026'!$I:$I,'Source 2026'!$B:$B,$A173,'Source 2026'!$A:$A,"Amount (NIS)")</f>
        <v>5129.6</v>
      </c>
      <c r="I173" s="11" t="n">
        <f aca="false">H173-G173</f>
        <v>-698.299999999999</v>
      </c>
      <c r="J173" s="10" t="n">
        <f aca="false">IF(AND(G173=0,H173=0),0,IF(G173=0,"New",(H173-G173)/G173))</f>
        <v>-0.119820175363338</v>
      </c>
    </row>
    <row r="174" customFormat="false" ht="15" hidden="false" customHeight="true" outlineLevel="0" collapsed="false">
      <c r="A174" s="8" t="s">
        <v>239</v>
      </c>
      <c r="B174" s="8" t="str">
        <f aca="false">IFERROR(INDEX('Source 2026'!$C:$C,MATCH($A174,'Source 2026'!$B:$B,0)),IFERROR(INDEX('Source 2025'!$C:$C,MATCH($A174,'Source 2025'!$B:$B,0)),""))</f>
        <v>גרבי כסף לסכרת מידה</v>
      </c>
      <c r="C174" s="9" t="n">
        <f aca="false">SUMIFS('Source 2025'!$I:$I,'Source 2025'!$B:$B,$A174,'Source 2025'!$A:$A,"Quantity (units)")</f>
        <v>42</v>
      </c>
      <c r="D174" s="9" t="n">
        <f aca="false">SUMIFS('Source 2026'!$I:$I,'Source 2026'!$B:$B,$A174,'Source 2026'!$A:$A,"Quantity (units)")</f>
        <v>18</v>
      </c>
      <c r="E174" s="9" t="n">
        <f aca="false">D174-C174</f>
        <v>-24</v>
      </c>
      <c r="F174" s="10" t="n">
        <f aca="false">IF(AND(C174=0,D174=0),0,IF(C174=0,"New",(D174-C174)/C174))</f>
        <v>-0.571428571428571</v>
      </c>
      <c r="G174" s="11" t="n">
        <f aca="false">SUMIFS('Source 2025'!$I:$I,'Source 2025'!$B:$B,$A174,'Source 2025'!$A:$A,"Amount (NIS)")</f>
        <v>1227</v>
      </c>
      <c r="H174" s="11" t="n">
        <f aca="false">SUMIFS('Source 2026'!$I:$I,'Source 2026'!$B:$B,$A174,'Source 2026'!$A:$A,"Amount (NIS)")</f>
        <v>530.1</v>
      </c>
      <c r="I174" s="11" t="n">
        <f aca="false">H174-G174</f>
        <v>-696.9</v>
      </c>
      <c r="J174" s="10" t="n">
        <f aca="false">IF(AND(G174=0,H174=0),0,IF(G174=0,"New",(H174-G174)/G174))</f>
        <v>-0.567970660146699</v>
      </c>
    </row>
    <row r="175" customFormat="false" ht="15" hidden="false" customHeight="true" outlineLevel="0" collapsed="false">
      <c r="A175" s="8" t="s">
        <v>100</v>
      </c>
      <c r="B175" s="8" t="str">
        <f aca="false">IFERROR(INDEX('Source 2026'!$C:$C,MATCH($A175,'Source 2026'!$B:$B,0)),IFERROR(INDEX('Source 2025'!$C:$C,MATCH($A175,'Source 2025'!$B:$B,0)),""))</f>
        <v>Sמיישר כתף יציב יישור ג.רחב</v>
      </c>
      <c r="C175" s="9" t="n">
        <f aca="false">SUMIFS('Source 2025'!$I:$I,'Source 2025'!$B:$B,$A175,'Source 2025'!$A:$A,"Quantity (units)")</f>
        <v>30</v>
      </c>
      <c r="D175" s="9" t="n">
        <f aca="false">SUMIFS('Source 2026'!$I:$I,'Source 2026'!$B:$B,$A175,'Source 2026'!$A:$A,"Quantity (units)")</f>
        <v>33</v>
      </c>
      <c r="E175" s="9" t="n">
        <f aca="false">D175-C175</f>
        <v>3</v>
      </c>
      <c r="F175" s="10" t="n">
        <f aca="false">IF(AND(C175=0,D175=0),0,IF(C175=0,"New",(D175-C175)/C175))</f>
        <v>0.1</v>
      </c>
      <c r="G175" s="11" t="n">
        <f aca="false">SUMIFS('Source 2025'!$I:$I,'Source 2025'!$B:$B,$A175,'Source 2025'!$A:$A,"Amount (NIS)")</f>
        <v>4948.4</v>
      </c>
      <c r="H175" s="11" t="n">
        <f aca="false">SUMIFS('Source 2026'!$I:$I,'Source 2026'!$B:$B,$A175,'Source 2026'!$A:$A,"Amount (NIS)")</f>
        <v>5645</v>
      </c>
      <c r="I175" s="11" t="n">
        <f aca="false">H175-G175</f>
        <v>696.6</v>
      </c>
      <c r="J175" s="10" t="n">
        <f aca="false">IF(AND(G175=0,H175=0),0,IF(G175=0,"New",(H175-G175)/G175))</f>
        <v>0.140772775038396</v>
      </c>
    </row>
    <row r="176" customFormat="false" ht="15" hidden="false" customHeight="true" outlineLevel="0" collapsed="false">
      <c r="A176" s="8" t="s">
        <v>278</v>
      </c>
      <c r="B176" s="8" t="str">
        <f aca="false">IFERROR(INDEX('Source 2026'!$C:$C,MATCH($A176,'Source 2026'!$B:$B,0)),IFERROR(INDEX('Source 2025'!$C:$C,MATCH($A176,'Source 2025'!$B:$B,0)),""))</f>
        <v>S חגורת שבר לצד שמאל</v>
      </c>
      <c r="C176" s="9" t="n">
        <f aca="false">SUMIFS('Source 2025'!$I:$I,'Source 2025'!$B:$B,$A176,'Source 2025'!$A:$A,"Quantity (units)")</f>
        <v>-2</v>
      </c>
      <c r="D176" s="9" t="n">
        <f aca="false">SUMIFS('Source 2026'!$I:$I,'Source 2026'!$B:$B,$A176,'Source 2026'!$A:$A,"Quantity (units)")</f>
        <v>1</v>
      </c>
      <c r="E176" s="9" t="n">
        <f aca="false">D176-C176</f>
        <v>3</v>
      </c>
      <c r="F176" s="10" t="n">
        <f aca="false">IF(AND(C176=0,D176=0),0,IF(C176=0,"New",(D176-C176)/C176))</f>
        <v>-1.5</v>
      </c>
      <c r="G176" s="11" t="n">
        <f aca="false">SUMIFS('Source 2025'!$I:$I,'Source 2025'!$B:$B,$A176,'Source 2025'!$A:$A,"Amount (NIS)")</f>
        <v>-345</v>
      </c>
      <c r="H176" s="11" t="n">
        <f aca="false">SUMIFS('Source 2026'!$I:$I,'Source 2026'!$B:$B,$A176,'Source 2026'!$A:$A,"Amount (NIS)")</f>
        <v>334.5</v>
      </c>
      <c r="I176" s="11" t="n">
        <f aca="false">H176-G176</f>
        <v>679.5</v>
      </c>
      <c r="J176" s="10" t="n">
        <f aca="false">IF(AND(G176=0,H176=0),0,IF(G176=0,"New",(H176-G176)/G176))</f>
        <v>-1.9695652173913</v>
      </c>
    </row>
    <row r="177" customFormat="false" ht="15" hidden="false" customHeight="true" outlineLevel="0" collapsed="false">
      <c r="A177" s="8" t="s">
        <v>206</v>
      </c>
      <c r="B177" s="8" t="str">
        <f aca="false">IFERROR(INDEX('Source 2026'!$C:$C,MATCH($A177,'Source 2026'!$B:$B,0)),IFERROR(INDEX('Source 2025'!$C:$C,MATCH($A177,'Source 2025'!$B:$B,0)),""))</f>
        <v>נגד פטרת הציפורן</v>
      </c>
      <c r="C177" s="9" t="n">
        <f aca="false">SUMIFS('Source 2025'!$I:$I,'Source 2025'!$B:$B,$A177,'Source 2025'!$A:$A,"Quantity (units)")</f>
        <v>-25</v>
      </c>
      <c r="D177" s="9" t="n">
        <f aca="false">SUMIFS('Source 2026'!$I:$I,'Source 2026'!$B:$B,$A177,'Source 2026'!$A:$A,"Quantity (units)")</f>
        <v>-8</v>
      </c>
      <c r="E177" s="9" t="n">
        <f aca="false">D177-C177</f>
        <v>17</v>
      </c>
      <c r="F177" s="10" t="n">
        <f aca="false">IF(AND(C177=0,D177=0),0,IF(C177=0,"New",(D177-C177)/C177))</f>
        <v>-0.68</v>
      </c>
      <c r="G177" s="11" t="n">
        <f aca="false">SUMIFS('Source 2025'!$I:$I,'Source 2025'!$B:$B,$A177,'Source 2025'!$A:$A,"Amount (NIS)")</f>
        <v>-884.7</v>
      </c>
      <c r="H177" s="11" t="n">
        <f aca="false">SUMIFS('Source 2026'!$I:$I,'Source 2026'!$B:$B,$A177,'Source 2026'!$A:$A,"Amount (NIS)")</f>
        <v>-249.4</v>
      </c>
      <c r="I177" s="11" t="n">
        <f aca="false">H177-G177</f>
        <v>635.3</v>
      </c>
      <c r="J177" s="10" t="n">
        <f aca="false">IF(AND(G177=0,H177=0),0,IF(G177=0,"New",(H177-G177)/G177))</f>
        <v>-0.71809652989714</v>
      </c>
    </row>
    <row r="178" customFormat="false" ht="15" hidden="false" customHeight="true" outlineLevel="0" collapsed="false">
      <c r="A178" s="8" t="s">
        <v>279</v>
      </c>
      <c r="B178" s="8" t="str">
        <f aca="false">IFERROR(INDEX('Source 2026'!$C:$C,MATCH($A178,'Source 2026'!$B:$B,0)),IFERROR(INDEX('Source 2025'!$C:$C,MATCH($A178,'Source 2025'!$B:$B,0)),""))</f>
        <v>11אפורUGחגורת בטן</v>
      </c>
      <c r="C178" s="9" t="n">
        <f aca="false">SUMIFS('Source 2025'!$I:$I,'Source 2025'!$B:$B,$A178,'Source 2025'!$A:$A,"Quantity (units)")</f>
        <v>8</v>
      </c>
      <c r="D178" s="9" t="n">
        <f aca="false">SUMIFS('Source 2026'!$I:$I,'Source 2026'!$B:$B,$A178,'Source 2026'!$A:$A,"Quantity (units)")</f>
        <v>0</v>
      </c>
      <c r="E178" s="9" t="n">
        <f aca="false">D178-C178</f>
        <v>-8</v>
      </c>
      <c r="F178" s="10" t="n">
        <f aca="false">IF(AND(C178=0,D178=0),0,IF(C178=0,"New",(D178-C178)/C178))</f>
        <v>-1</v>
      </c>
      <c r="G178" s="11" t="n">
        <f aca="false">SUMIFS('Source 2025'!$I:$I,'Source 2025'!$B:$B,$A178,'Source 2025'!$A:$A,"Amount (NIS)")</f>
        <v>635.4</v>
      </c>
      <c r="H178" s="11" t="n">
        <f aca="false">SUMIFS('Source 2026'!$I:$I,'Source 2026'!$B:$B,$A178,'Source 2026'!$A:$A,"Amount (NIS)")</f>
        <v>17</v>
      </c>
      <c r="I178" s="11" t="n">
        <f aca="false">H178-G178</f>
        <v>-618.4</v>
      </c>
      <c r="J178" s="10" t="n">
        <f aca="false">IF(AND(G178=0,H178=0),0,IF(G178=0,"New",(H178-G178)/G178))</f>
        <v>-0.973245199874095</v>
      </c>
    </row>
    <row r="179" customFormat="false" ht="15" hidden="false" customHeight="true" outlineLevel="0" collapsed="false">
      <c r="A179" s="8" t="s">
        <v>277</v>
      </c>
      <c r="B179" s="8" t="str">
        <f aca="false">IFERROR(INDEX('Source 2026'!$C:$C,MATCH($A179,'Source 2026'!$B:$B,0)),IFERROR(INDEX('Source 2025'!$C:$C,MATCH($A179,'Source 2025'!$B:$B,0)),""))</f>
        <v>סד לאגודל לאחר שבר</v>
      </c>
      <c r="C179" s="9" t="n">
        <f aca="false">SUMIFS('Source 2025'!$I:$I,'Source 2025'!$B:$B,$A179,'Source 2025'!$A:$A,"Quantity (units)")</f>
        <v>0</v>
      </c>
      <c r="D179" s="9" t="n">
        <f aca="false">SUMIFS('Source 2026'!$I:$I,'Source 2026'!$B:$B,$A179,'Source 2026'!$A:$A,"Quantity (units)")</f>
        <v>7</v>
      </c>
      <c r="E179" s="9" t="n">
        <f aca="false">D179-C179</f>
        <v>7</v>
      </c>
      <c r="F179" s="10" t="str">
        <f aca="false">IF(AND(C179=0,D179=0),0,IF(C179=0,"New",(D179-C179)/C179))</f>
        <v>New</v>
      </c>
      <c r="G179" s="11" t="n">
        <f aca="false">SUMIFS('Source 2025'!$I:$I,'Source 2025'!$B:$B,$A179,'Source 2025'!$A:$A,"Amount (NIS)")</f>
        <v>0</v>
      </c>
      <c r="H179" s="11" t="n">
        <f aca="false">SUMIFS('Source 2026'!$I:$I,'Source 2026'!$B:$B,$A179,'Source 2026'!$A:$A,"Amount (NIS)")</f>
        <v>617.4</v>
      </c>
      <c r="I179" s="11" t="n">
        <f aca="false">H179-G179</f>
        <v>617.4</v>
      </c>
      <c r="J179" s="10" t="str">
        <f aca="false">IF(AND(G179=0,H179=0),0,IF(G179=0,"New",(H179-G179)/G179))</f>
        <v>New</v>
      </c>
    </row>
    <row r="180" customFormat="false" ht="15" hidden="false" customHeight="true" outlineLevel="0" collapsed="false">
      <c r="A180" s="8" t="s">
        <v>194</v>
      </c>
      <c r="B180" s="8" t="str">
        <f aca="false">IFERROR(INDEX('Source 2026'!$C:$C,MATCH($A180,'Source 2026'!$B:$B,0)),IFERROR(INDEX('Source 2025'!$C:$C,MATCH($A180,'Source 2025'!$B:$B,0)),""))</f>
        <v>מדרס מטטרזלי לנעלי עקב</v>
      </c>
      <c r="C180" s="9" t="n">
        <f aca="false">SUMIFS('Source 2025'!$I:$I,'Source 2025'!$B:$B,$A180,'Source 2025'!$A:$A,"Quantity (units)")</f>
        <v>68</v>
      </c>
      <c r="D180" s="9" t="n">
        <f aca="false">SUMIFS('Source 2026'!$I:$I,'Source 2026'!$B:$B,$A180,'Source 2026'!$A:$A,"Quantity (units)")</f>
        <v>37</v>
      </c>
      <c r="E180" s="9" t="n">
        <f aca="false">D180-C180</f>
        <v>-31</v>
      </c>
      <c r="F180" s="10" t="n">
        <f aca="false">IF(AND(C180=0,D180=0),0,IF(C180=0,"New",(D180-C180)/C180))</f>
        <v>-0.455882352941176</v>
      </c>
      <c r="G180" s="11" t="n">
        <f aca="false">SUMIFS('Source 2025'!$I:$I,'Source 2025'!$B:$B,$A180,'Source 2025'!$A:$A,"Amount (NIS)")</f>
        <v>1396.3</v>
      </c>
      <c r="H180" s="11" t="n">
        <f aca="false">SUMIFS('Source 2026'!$I:$I,'Source 2026'!$B:$B,$A180,'Source 2026'!$A:$A,"Amount (NIS)")</f>
        <v>790.3</v>
      </c>
      <c r="I180" s="11" t="n">
        <f aca="false">H180-G180</f>
        <v>-606</v>
      </c>
      <c r="J180" s="10" t="n">
        <f aca="false">IF(AND(G180=0,H180=0),0,IF(G180=0,"New",(H180-G180)/G180))</f>
        <v>-0.434004153835136</v>
      </c>
    </row>
    <row r="181" customFormat="false" ht="15" hidden="false" customHeight="true" outlineLevel="0" collapsed="false">
      <c r="A181" s="8" t="s">
        <v>288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2025'!$I:$I,'Source 2025'!$B:$B,$A181,'Source 2025'!$A:$A,"Quantity (units)")</f>
        <v>-1</v>
      </c>
      <c r="D181" s="9" t="n">
        <f aca="false">SUMIFS('Source 2026'!$I:$I,'Source 2026'!$B:$B,$A181,'Source 2026'!$A:$A,"Quantity (units)")</f>
        <v>11</v>
      </c>
      <c r="E181" s="9" t="n">
        <f aca="false">D181-C181</f>
        <v>12</v>
      </c>
      <c r="F181" s="10" t="n">
        <f aca="false">IF(AND(C181=0,D181=0),0,IF(C181=0,"New",(D181-C181)/C181))</f>
        <v>-12</v>
      </c>
      <c r="G181" s="11" t="n">
        <f aca="false">SUMIFS('Source 2025'!$I:$I,'Source 2025'!$B:$B,$A181,'Source 2025'!$A:$A,"Amount (NIS)")</f>
        <v>-159.9</v>
      </c>
      <c r="H181" s="11" t="n">
        <f aca="false">SUMIFS('Source 2026'!$I:$I,'Source 2026'!$B:$B,$A181,'Source 2026'!$A:$A,"Amount (NIS)")</f>
        <v>425.4</v>
      </c>
      <c r="I181" s="11" t="n">
        <f aca="false">H181-G181</f>
        <v>585.3</v>
      </c>
      <c r="J181" s="10" t="n">
        <f aca="false">IF(AND(G181=0,H181=0),0,IF(G181=0,"New",(H181-G181)/G181))</f>
        <v>-3.66041275797373</v>
      </c>
    </row>
    <row r="182" customFormat="false" ht="15" hidden="false" customHeight="true" outlineLevel="0" collapsed="false">
      <c r="A182" s="8" t="s">
        <v>200</v>
      </c>
      <c r="B182" s="8" t="str">
        <f aca="false">IFERROR(INDEX('Source 2026'!$C:$C,MATCH($A182,'Source 2026'!$B:$B,0)),IFERROR(INDEX('Source 2025'!$C:$C,MATCH($A182,'Source 2025'!$B:$B,0)),""))</f>
        <v>S מגן שוק</v>
      </c>
      <c r="C182" s="9" t="n">
        <f aca="false">SUMIFS('Source 2025'!$I:$I,'Source 2025'!$B:$B,$A182,'Source 2025'!$A:$A,"Quantity (units)")</f>
        <v>-5</v>
      </c>
      <c r="D182" s="9" t="n">
        <f aca="false">SUMIFS('Source 2026'!$I:$I,'Source 2026'!$B:$B,$A182,'Source 2026'!$A:$A,"Quantity (units)")</f>
        <v>1</v>
      </c>
      <c r="E182" s="9" t="n">
        <f aca="false">D182-C182</f>
        <v>6</v>
      </c>
      <c r="F182" s="10" t="n">
        <f aca="false">IF(AND(C182=0,D182=0),0,IF(C182=0,"New",(D182-C182)/C182))</f>
        <v>-1.2</v>
      </c>
      <c r="G182" s="11" t="n">
        <f aca="false">SUMIFS('Source 2025'!$I:$I,'Source 2025'!$B:$B,$A182,'Source 2025'!$A:$A,"Amount (NIS)")</f>
        <v>-450.5</v>
      </c>
      <c r="H182" s="11" t="n">
        <f aca="false">SUMIFS('Source 2026'!$I:$I,'Source 2026'!$B:$B,$A182,'Source 2026'!$A:$A,"Amount (NIS)")</f>
        <v>97</v>
      </c>
      <c r="I182" s="11" t="n">
        <f aca="false">H182-G182</f>
        <v>547.5</v>
      </c>
      <c r="J182" s="10" t="n">
        <f aca="false">IF(AND(G182=0,H182=0),0,IF(G182=0,"New",(H182-G182)/G182))</f>
        <v>-1.21531631520533</v>
      </c>
    </row>
    <row r="183" customFormat="false" ht="15" hidden="false" customHeight="true" outlineLevel="0" collapsed="false">
      <c r="A183" s="8" t="s">
        <v>315</v>
      </c>
      <c r="B183" s="8" t="str">
        <f aca="false">IFERROR(INDEX('Source 2026'!$C:$C,MATCH($A183,'Source 2026'!$B:$B,0)),IFERROR(INDEX('Source 2025'!$C:$C,MATCH($A183,'Source 2025'!$B:$B,0)),""))</f>
        <v>סד לילה לבוהן</v>
      </c>
      <c r="C183" s="9" t="n">
        <f aca="false">SUMIFS('Source 2025'!$I:$I,'Source 2025'!$B:$B,$A183,'Source 2025'!$A:$A,"Quantity (units)")</f>
        <v>-12</v>
      </c>
      <c r="D183" s="9" t="n">
        <f aca="false">SUMIFS('Source 2026'!$I:$I,'Source 2026'!$B:$B,$A183,'Source 2026'!$A:$A,"Quantity (units)")</f>
        <v>-4</v>
      </c>
      <c r="E183" s="9" t="n">
        <f aca="false">D183-C183</f>
        <v>8</v>
      </c>
      <c r="F183" s="10" t="n">
        <f aca="false">IF(AND(C183=0,D183=0),0,IF(C183=0,"New",(D183-C183)/C183))</f>
        <v>-0.666666666666667</v>
      </c>
      <c r="G183" s="11" t="n">
        <f aca="false">SUMIFS('Source 2025'!$I:$I,'Source 2025'!$B:$B,$A183,'Source 2025'!$A:$A,"Amount (NIS)")</f>
        <v>-769.9</v>
      </c>
      <c r="H183" s="11" t="n">
        <f aca="false">SUMIFS('Source 2026'!$I:$I,'Source 2026'!$B:$B,$A183,'Source 2026'!$A:$A,"Amount (NIS)")</f>
        <v>-256.6</v>
      </c>
      <c r="I183" s="11" t="n">
        <f aca="false">H183-G183</f>
        <v>513.3</v>
      </c>
      <c r="J183" s="10" t="n">
        <f aca="false">IF(AND(G183=0,H183=0),0,IF(G183=0,"New",(H183-G183)/G183))</f>
        <v>-0.666709962332771</v>
      </c>
    </row>
    <row r="184" customFormat="false" ht="15" hidden="false" customHeight="true" outlineLevel="0" collapsed="false">
      <c r="A184" s="8" t="s">
        <v>273</v>
      </c>
      <c r="B184" s="8" t="str">
        <f aca="false">IFERROR(INDEX('Source 2026'!$C:$C,MATCH($A184,'Source 2026'!$B:$B,0)),IFERROR(INDEX('Source 2025'!$C:$C,MATCH($A184,'Source 2025'!$B:$B,0)),""))</f>
        <v>M'חגורת גב+סגירה כפו בז</v>
      </c>
      <c r="C184" s="9" t="n">
        <f aca="false">SUMIFS('Source 2025'!$I:$I,'Source 2025'!$B:$B,$A184,'Source 2025'!$A:$A,"Quantity (units)")</f>
        <v>-17</v>
      </c>
      <c r="D184" s="9" t="n">
        <f aca="false">SUMIFS('Source 2026'!$I:$I,'Source 2026'!$B:$B,$A184,'Source 2026'!$A:$A,"Quantity (units)")</f>
        <v>-22</v>
      </c>
      <c r="E184" s="9" t="n">
        <f aca="false">D184-C184</f>
        <v>-5</v>
      </c>
      <c r="F184" s="10" t="n">
        <f aca="false">IF(AND(C184=0,D184=0),0,IF(C184=0,"New",(D184-C184)/C184))</f>
        <v>0.294117647058824</v>
      </c>
      <c r="G184" s="11" t="n">
        <f aca="false">SUMIFS('Source 2025'!$I:$I,'Source 2025'!$B:$B,$A184,'Source 2025'!$A:$A,"Amount (NIS)")</f>
        <v>-1595.3</v>
      </c>
      <c r="H184" s="11" t="n">
        <f aca="false">SUMIFS('Source 2026'!$I:$I,'Source 2026'!$B:$B,$A184,'Source 2026'!$A:$A,"Amount (NIS)")</f>
        <v>-2058</v>
      </c>
      <c r="I184" s="11" t="n">
        <f aca="false">H184-G184</f>
        <v>-462.7</v>
      </c>
      <c r="J184" s="10" t="n">
        <f aca="false">IF(AND(G184=0,H184=0),0,IF(G184=0,"New",(H184-G184)/G184))</f>
        <v>0.290039491004827</v>
      </c>
    </row>
    <row r="185" customFormat="false" ht="15" hidden="false" customHeight="true" outlineLevel="0" collapsed="false">
      <c r="A185" s="8" t="s">
        <v>340</v>
      </c>
      <c r="B185" s="8" t="str">
        <f aca="false">IFERROR(INDEX('Source 2026'!$C:$C,MATCH($A185,'Source 2026'!$B:$B,0)),IFERROR(INDEX('Source 2025'!$C:$C,MATCH($A185,'Source 2025'!$B:$B,0)),""))</f>
        <v>Mמגן קרסול+ צמדן</v>
      </c>
      <c r="C185" s="9" t="n">
        <f aca="false">SUMIFS('Source 2025'!$I:$I,'Source 2025'!$B:$B,$A185,'Source 2025'!$A:$A,"Quantity (units)")</f>
        <v>-7</v>
      </c>
      <c r="D185" s="9" t="n">
        <f aca="false">SUMIFS('Source 2026'!$I:$I,'Source 2026'!$B:$B,$A185,'Source 2026'!$A:$A,"Quantity (units)")</f>
        <v>0</v>
      </c>
      <c r="E185" s="9" t="n">
        <f aca="false">D185-C185</f>
        <v>7</v>
      </c>
      <c r="F185" s="10" t="n">
        <f aca="false">IF(AND(C185=0,D185=0),0,IF(C185=0,"New",(D185-C185)/C185))</f>
        <v>-1</v>
      </c>
      <c r="G185" s="11" t="n">
        <f aca="false">SUMIFS('Source 2025'!$I:$I,'Source 2025'!$B:$B,$A185,'Source 2025'!$A:$A,"Amount (NIS)")</f>
        <v>-448.1</v>
      </c>
      <c r="H185" s="11" t="n">
        <f aca="false">SUMIFS('Source 2026'!$I:$I,'Source 2026'!$B:$B,$A185,'Source 2026'!$A:$A,"Amount (NIS)")</f>
        <v>0</v>
      </c>
      <c r="I185" s="11" t="n">
        <f aca="false">H185-G185</f>
        <v>448.1</v>
      </c>
      <c r="J185" s="10" t="n">
        <f aca="false">IF(AND(G185=0,H185=0),0,IF(G185=0,"New",(H185-G185)/G185))</f>
        <v>-1</v>
      </c>
    </row>
    <row r="186" customFormat="false" ht="15" hidden="false" customHeight="true" outlineLevel="0" collapsed="false">
      <c r="A186" s="8" t="s">
        <v>224</v>
      </c>
      <c r="B186" s="8" t="str">
        <f aca="false">IFERROR(INDEX('Source 2026'!$C:$C,MATCH($A186,'Source 2026'!$B:$B,0)),IFERROR(INDEX('Source 2025'!$C:$C,MATCH($A186,'Source 2025'!$B:$B,0)),""))</f>
        <v>טייפ חבישה לספורט</v>
      </c>
      <c r="C186" s="9" t="n">
        <f aca="false">SUMIFS('Source 2025'!$I:$I,'Source 2025'!$B:$B,$A186,'Source 2025'!$A:$A,"Quantity (units)")</f>
        <v>218</v>
      </c>
      <c r="D186" s="9" t="n">
        <f aca="false">SUMIFS('Source 2026'!$I:$I,'Source 2026'!$B:$B,$A186,'Source 2026'!$A:$A,"Quantity (units)")</f>
        <v>189</v>
      </c>
      <c r="E186" s="9" t="n">
        <f aca="false">D186-C186</f>
        <v>-29</v>
      </c>
      <c r="F186" s="10" t="n">
        <f aca="false">IF(AND(C186=0,D186=0),0,IF(C186=0,"New",(D186-C186)/C186))</f>
        <v>-0.13302752293578</v>
      </c>
      <c r="G186" s="11" t="n">
        <f aca="false">SUMIFS('Source 2025'!$I:$I,'Source 2025'!$B:$B,$A186,'Source 2025'!$A:$A,"Amount (NIS)")</f>
        <v>3357.2</v>
      </c>
      <c r="H186" s="11" t="n">
        <f aca="false">SUMIFS('Source 2026'!$I:$I,'Source 2026'!$B:$B,$A186,'Source 2026'!$A:$A,"Amount (NIS)")</f>
        <v>2910.6</v>
      </c>
      <c r="I186" s="11" t="n">
        <f aca="false">H186-G186</f>
        <v>-446.6</v>
      </c>
      <c r="J186" s="10" t="n">
        <f aca="false">IF(AND(G186=0,H186=0),0,IF(G186=0,"New",(H186-G186)/G186))</f>
        <v>-0.13302752293578</v>
      </c>
    </row>
    <row r="187" customFormat="false" ht="15" hidden="false" customHeight="true" outlineLevel="0" collapsed="false">
      <c r="A187" s="8" t="s">
        <v>272</v>
      </c>
      <c r="B187" s="8" t="str">
        <f aca="false">IFERROR(INDEX('Source 2026'!$C:$C,MATCH($A187,'Source 2026'!$B:$B,0)),IFERROR(INDEX('Source 2025'!$C:$C,MATCH($A187,'Source 2025'!$B:$B,0)),""))</f>
        <v>L-XLחגורת הריון בכאב.חזק</v>
      </c>
      <c r="C187" s="9" t="n">
        <f aca="false">SUMIFS('Source 2025'!$I:$I,'Source 2025'!$B:$B,$A187,'Source 2025'!$A:$A,"Quantity (units)")</f>
        <v>0</v>
      </c>
      <c r="D187" s="9" t="n">
        <f aca="false">SUMIFS('Source 2026'!$I:$I,'Source 2026'!$B:$B,$A187,'Source 2026'!$A:$A,"Quantity (units)")</f>
        <v>-2</v>
      </c>
      <c r="E187" s="9" t="n">
        <f aca="false">D187-C187</f>
        <v>-2</v>
      </c>
      <c r="F187" s="10" t="str">
        <f aca="false">IF(AND(C187=0,D187=0),0,IF(C187=0,"New",(D187-C187)/C187))</f>
        <v>New</v>
      </c>
      <c r="G187" s="11" t="n">
        <f aca="false">SUMIFS('Source 2025'!$I:$I,'Source 2025'!$B:$B,$A187,'Source 2025'!$A:$A,"Amount (NIS)")</f>
        <v>0</v>
      </c>
      <c r="H187" s="11" t="n">
        <f aca="false">SUMIFS('Source 2026'!$I:$I,'Source 2026'!$B:$B,$A187,'Source 2026'!$A:$A,"Amount (NIS)")</f>
        <v>-430.4</v>
      </c>
      <c r="I187" s="11" t="n">
        <f aca="false">H187-G187</f>
        <v>-430.4</v>
      </c>
      <c r="J187" s="10" t="str">
        <f aca="false">IF(AND(G187=0,H187=0),0,IF(G187=0,"New",(H187-G187)/G187))</f>
        <v>New</v>
      </c>
    </row>
    <row r="188" customFormat="false" ht="15" hidden="false" customHeight="true" outlineLevel="0" collapsed="false">
      <c r="A188" s="8" t="s">
        <v>78</v>
      </c>
      <c r="B188" s="8" t="str">
        <f aca="false">IFERROR(INDEX('Source 2026'!$C:$C,MATCH($A188,'Source 2026'!$B:$B,0)),IFERROR(INDEX('Source 2025'!$C:$C,MATCH($A188,'Source 2025'!$B:$B,0)),""))</f>
        <v>חבק לשורש כף היד</v>
      </c>
      <c r="C188" s="9" t="n">
        <f aca="false">SUMIFS('Source 2025'!$I:$I,'Source 2025'!$B:$B,$A188,'Source 2025'!$A:$A,"Quantity (units)")</f>
        <v>73</v>
      </c>
      <c r="D188" s="9" t="n">
        <f aca="false">SUMIFS('Source 2026'!$I:$I,'Source 2026'!$B:$B,$A188,'Source 2026'!$A:$A,"Quantity (units)")</f>
        <v>54</v>
      </c>
      <c r="E188" s="9" t="n">
        <f aca="false">D188-C188</f>
        <v>-19</v>
      </c>
      <c r="F188" s="10" t="n">
        <f aca="false">IF(AND(C188=0,D188=0),0,IF(C188=0,"New",(D188-C188)/C188))</f>
        <v>-0.26027397260274</v>
      </c>
      <c r="G188" s="11" t="n">
        <f aca="false">SUMIFS('Source 2025'!$I:$I,'Source 2025'!$B:$B,$A188,'Source 2025'!$A:$A,"Amount (NIS)")</f>
        <v>1864</v>
      </c>
      <c r="H188" s="11" t="n">
        <f aca="false">SUMIFS('Source 2026'!$I:$I,'Source 2026'!$B:$B,$A188,'Source 2026'!$A:$A,"Amount (NIS)")</f>
        <v>1458.9</v>
      </c>
      <c r="I188" s="11" t="n">
        <f aca="false">H188-G188</f>
        <v>-405.1</v>
      </c>
      <c r="J188" s="10" t="n">
        <f aca="false">IF(AND(G188=0,H188=0),0,IF(G188=0,"New",(H188-G188)/G188))</f>
        <v>-0.217328326180257</v>
      </c>
    </row>
    <row r="189" customFormat="false" ht="15" hidden="false" customHeight="true" outlineLevel="0" collapsed="false">
      <c r="A189" s="8" t="s">
        <v>361</v>
      </c>
      <c r="B189" s="8" t="str">
        <f aca="false">IFERROR(INDEX('Source 2026'!$C:$C,MATCH($A189,'Source 2026'!$B:$B,0)),IFERROR(INDEX('Source 2025'!$C:$C,MATCH($A189,'Source 2025'!$B:$B,0)),""))</f>
        <v>כרית שינה חלומי</v>
      </c>
      <c r="C189" s="9" t="n">
        <f aca="false">SUMIFS('Source 2025'!$I:$I,'Source 2025'!$B:$B,$A189,'Source 2025'!$A:$A,"Quantity (units)")</f>
        <v>-3</v>
      </c>
      <c r="D189" s="9" t="n">
        <f aca="false">SUMIFS('Source 2026'!$I:$I,'Source 2026'!$B:$B,$A189,'Source 2026'!$A:$A,"Quantity (units)")</f>
        <v>0</v>
      </c>
      <c r="E189" s="9" t="n">
        <f aca="false">D189-C189</f>
        <v>3</v>
      </c>
      <c r="F189" s="10" t="n">
        <f aca="false">IF(AND(C189=0,D189=0),0,IF(C189=0,"New",(D189-C189)/C189))</f>
        <v>-1</v>
      </c>
      <c r="G189" s="11" t="n">
        <f aca="false">SUMIFS('Source 2025'!$I:$I,'Source 2025'!$B:$B,$A189,'Source 2025'!$A:$A,"Amount (NIS)")</f>
        <v>-393.2</v>
      </c>
      <c r="H189" s="11" t="n">
        <f aca="false">SUMIFS('Source 2026'!$I:$I,'Source 2026'!$B:$B,$A189,'Source 2026'!$A:$A,"Amount (NIS)")</f>
        <v>0</v>
      </c>
      <c r="I189" s="11" t="n">
        <f aca="false">H189-G189</f>
        <v>393.2</v>
      </c>
      <c r="J189" s="10" t="n">
        <f aca="false">IF(AND(G189=0,H189=0),0,IF(G189=0,"New",(H189-G189)/G189))</f>
        <v>-1</v>
      </c>
    </row>
    <row r="190" customFormat="false" ht="15" hidden="false" customHeight="true" outlineLevel="0" collapsed="false">
      <c r="A190" s="8" t="s">
        <v>308</v>
      </c>
      <c r="B190" s="8" t="str">
        <f aca="false">IFERROR(INDEX('Source 2026'!$C:$C,MATCH($A190,'Source 2026'!$B:$B,0)),IFERROR(INDEX('Source 2025'!$C:$C,MATCH($A190,'Source 2025'!$B:$B,0)),""))</f>
        <v>S מגן מרפק רגיל</v>
      </c>
      <c r="C190" s="9" t="n">
        <f aca="false">SUMIFS('Source 2025'!$I:$I,'Source 2025'!$B:$B,$A190,'Source 2025'!$A:$A,"Quantity (units)")</f>
        <v>-4</v>
      </c>
      <c r="D190" s="9" t="n">
        <f aca="false">SUMIFS('Source 2026'!$I:$I,'Source 2026'!$B:$B,$A190,'Source 2026'!$A:$A,"Quantity (units)")</f>
        <v>0</v>
      </c>
      <c r="E190" s="9" t="n">
        <f aca="false">D190-C190</f>
        <v>4</v>
      </c>
      <c r="F190" s="10" t="n">
        <f aca="false">IF(AND(C190=0,D190=0),0,IF(C190=0,"New",(D190-C190)/C190))</f>
        <v>-1</v>
      </c>
      <c r="G190" s="11" t="n">
        <f aca="false">SUMIFS('Source 2025'!$I:$I,'Source 2025'!$B:$B,$A190,'Source 2025'!$A:$A,"Amount (NIS)")</f>
        <v>-390.6</v>
      </c>
      <c r="H190" s="11" t="n">
        <f aca="false">SUMIFS('Source 2026'!$I:$I,'Source 2026'!$B:$B,$A190,'Source 2026'!$A:$A,"Amount (NIS)")</f>
        <v>0</v>
      </c>
      <c r="I190" s="11" t="n">
        <f aca="false">H190-G190</f>
        <v>390.6</v>
      </c>
      <c r="J190" s="10" t="n">
        <f aca="false">IF(AND(G190=0,H190=0),0,IF(G190=0,"New",(H190-G190)/G190))</f>
        <v>-1</v>
      </c>
    </row>
    <row r="191" customFormat="false" ht="15" hidden="false" customHeight="true" outlineLevel="0" collapsed="false">
      <c r="A191" s="8" t="s">
        <v>213</v>
      </c>
      <c r="B191" s="8" t="str">
        <f aca="false">IFERROR(INDEX('Source 2026'!$C:$C,MATCH($A191,'Source 2026'!$B:$B,0)),IFERROR(INDEX('Source 2025'!$C:$C,MATCH($A191,'Source 2025'!$B:$B,0)),""))</f>
        <v>רפידת מגבת כותנה-זוג</v>
      </c>
      <c r="C191" s="9" t="n">
        <f aca="false">SUMIFS('Source 2025'!$I:$I,'Source 2025'!$B:$B,$A191,'Source 2025'!$A:$A,"Quantity (units)")</f>
        <v>100</v>
      </c>
      <c r="D191" s="9" t="n">
        <f aca="false">SUMIFS('Source 2026'!$I:$I,'Source 2026'!$B:$B,$A191,'Source 2026'!$A:$A,"Quantity (units)")</f>
        <v>62</v>
      </c>
      <c r="E191" s="9" t="n">
        <f aca="false">D191-C191</f>
        <v>-38</v>
      </c>
      <c r="F191" s="10" t="n">
        <f aca="false">IF(AND(C191=0,D191=0),0,IF(C191=0,"New",(D191-C191)/C191))</f>
        <v>-0.38</v>
      </c>
      <c r="G191" s="11" t="n">
        <f aca="false">SUMIFS('Source 2025'!$I:$I,'Source 2025'!$B:$B,$A191,'Source 2025'!$A:$A,"Amount (NIS)")</f>
        <v>1028.1</v>
      </c>
      <c r="H191" s="11" t="n">
        <f aca="false">SUMIFS('Source 2026'!$I:$I,'Source 2026'!$B:$B,$A191,'Source 2026'!$A:$A,"Amount (NIS)")</f>
        <v>643</v>
      </c>
      <c r="I191" s="11" t="n">
        <f aca="false">H191-G191</f>
        <v>-385.1</v>
      </c>
      <c r="J191" s="10" t="n">
        <f aca="false">IF(AND(G191=0,H191=0),0,IF(G191=0,"New",(H191-G191)/G191))</f>
        <v>-0.374574457737574</v>
      </c>
    </row>
    <row r="192" customFormat="false" ht="15" hidden="false" customHeight="true" outlineLevel="0" collapsed="false">
      <c r="A192" s="8" t="s">
        <v>168</v>
      </c>
      <c r="B192" s="8" t="str">
        <f aca="false">IFERROR(INDEX('Source 2026'!$C:$C,MATCH($A192,'Source 2026'!$B:$B,0)),IFERROR(INDEX('Source 2025'!$C:$C,MATCH($A192,'Source 2025'!$B:$B,0)),""))</f>
        <v>S חגורת שבר לצד ימין</v>
      </c>
      <c r="C192" s="9" t="n">
        <f aca="false">SUMIFS('Source 2025'!$I:$I,'Source 2025'!$B:$B,$A192,'Source 2025'!$A:$A,"Quantity (units)")</f>
        <v>3</v>
      </c>
      <c r="D192" s="9" t="n">
        <f aca="false">SUMIFS('Source 2026'!$I:$I,'Source 2026'!$B:$B,$A192,'Source 2026'!$A:$A,"Quantity (units)")</f>
        <v>1</v>
      </c>
      <c r="E192" s="9" t="n">
        <f aca="false">D192-C192</f>
        <v>-2</v>
      </c>
      <c r="F192" s="10" t="n">
        <f aca="false">IF(AND(C192=0,D192=0),0,IF(C192=0,"New",(D192-C192)/C192))</f>
        <v>-0.666666666666667</v>
      </c>
      <c r="G192" s="11" t="n">
        <f aca="false">SUMIFS('Source 2025'!$I:$I,'Source 2025'!$B:$B,$A192,'Source 2025'!$A:$A,"Amount (NIS)")</f>
        <v>562.2</v>
      </c>
      <c r="H192" s="11" t="n">
        <f aca="false">SUMIFS('Source 2026'!$I:$I,'Source 2026'!$B:$B,$A192,'Source 2026'!$A:$A,"Amount (NIS)")</f>
        <v>178.9</v>
      </c>
      <c r="I192" s="11" t="n">
        <f aca="false">H192-G192</f>
        <v>-383.3</v>
      </c>
      <c r="J192" s="10" t="n">
        <f aca="false">IF(AND(G192=0,H192=0),0,IF(G192=0,"New",(H192-G192)/G192))</f>
        <v>-0.681785841337602</v>
      </c>
    </row>
    <row r="193" customFormat="false" ht="15" hidden="false" customHeight="true" outlineLevel="0" collapsed="false">
      <c r="A193" s="8" t="s">
        <v>66</v>
      </c>
      <c r="B193" s="8" t="str">
        <f aca="false">IFERROR(INDEX('Source 2026'!$C:$C,MATCH($A193,'Source 2026'!$B:$B,0)),IFERROR(INDEX('Source 2025'!$C:$C,MATCH($A193,'Source 2025'!$B:$B,0)),""))</f>
        <v>L מגן ברך שחור</v>
      </c>
      <c r="C193" s="9" t="n">
        <f aca="false">SUMIFS('Source 2025'!$I:$I,'Source 2025'!$B:$B,$A193,'Source 2025'!$A:$A,"Quantity (units)")</f>
        <v>135</v>
      </c>
      <c r="D193" s="9" t="n">
        <f aca="false">SUMIFS('Source 2026'!$I:$I,'Source 2026'!$B:$B,$A193,'Source 2026'!$A:$A,"Quantity (units)")</f>
        <v>119</v>
      </c>
      <c r="E193" s="9" t="n">
        <f aca="false">D193-C193</f>
        <v>-16</v>
      </c>
      <c r="F193" s="10" t="n">
        <f aca="false">IF(AND(C193=0,D193=0),0,IF(C193=0,"New",(D193-C193)/C193))</f>
        <v>-0.118518518518519</v>
      </c>
      <c r="G193" s="11" t="n">
        <f aca="false">SUMIFS('Source 2025'!$I:$I,'Source 2025'!$B:$B,$A193,'Source 2025'!$A:$A,"Amount (NIS)")</f>
        <v>3728.4</v>
      </c>
      <c r="H193" s="11" t="n">
        <f aca="false">SUMIFS('Source 2026'!$I:$I,'Source 2026'!$B:$B,$A193,'Source 2026'!$A:$A,"Amount (NIS)")</f>
        <v>3346.2</v>
      </c>
      <c r="I193" s="11" t="n">
        <f aca="false">H193-G193</f>
        <v>-382.2</v>
      </c>
      <c r="J193" s="10" t="n">
        <f aca="false">IF(AND(G193=0,H193=0),0,IF(G193=0,"New",(H193-G193)/G193))</f>
        <v>-0.102510460251046</v>
      </c>
    </row>
    <row r="194" customFormat="false" ht="15" hidden="false" customHeight="true" outlineLevel="0" collapsed="false">
      <c r="A194" s="8" t="s">
        <v>286</v>
      </c>
      <c r="B194" s="8" t="str">
        <f aca="false">IFERROR(INDEX('Source 2026'!$C:$C,MATCH($A194,'Source 2026'!$B:$B,0)),IFERROR(INDEX('Source 2025'!$C:$C,MATCH($A194,'Source 2025'!$B:$B,0)),""))</f>
        <v>L מגן למפרק כתף</v>
      </c>
      <c r="C194" s="9" t="n">
        <f aca="false">SUMIFS('Source 2025'!$I:$I,'Source 2025'!$B:$B,$A194,'Source 2025'!$A:$A,"Quantity (units)")</f>
        <v>-2</v>
      </c>
      <c r="D194" s="9" t="n">
        <f aca="false">SUMIFS('Source 2026'!$I:$I,'Source 2026'!$B:$B,$A194,'Source 2026'!$A:$A,"Quantity (units)")</f>
        <v>-1</v>
      </c>
      <c r="E194" s="9" t="n">
        <f aca="false">D194-C194</f>
        <v>1</v>
      </c>
      <c r="F194" s="10" t="n">
        <f aca="false">IF(AND(C194=0,D194=0),0,IF(C194=0,"New",(D194-C194)/C194))</f>
        <v>-0.5</v>
      </c>
      <c r="G194" s="11" t="n">
        <f aca="false">SUMIFS('Source 2025'!$I:$I,'Source 2025'!$B:$B,$A194,'Source 2025'!$A:$A,"Amount (NIS)")</f>
        <v>-570.3</v>
      </c>
      <c r="H194" s="11" t="n">
        <f aca="false">SUMIFS('Source 2026'!$I:$I,'Source 2026'!$B:$B,$A194,'Source 2026'!$A:$A,"Amount (NIS)")</f>
        <v>-208.4</v>
      </c>
      <c r="I194" s="11" t="n">
        <f aca="false">H194-G194</f>
        <v>361.9</v>
      </c>
      <c r="J194" s="10" t="n">
        <f aca="false">IF(AND(G194=0,H194=0),0,IF(G194=0,"New",(H194-G194)/G194))</f>
        <v>-0.634578292126951</v>
      </c>
    </row>
    <row r="195" customFormat="false" ht="15" hidden="false" customHeight="true" outlineLevel="0" collapsed="false">
      <c r="A195" s="8" t="s">
        <v>211</v>
      </c>
      <c r="B195" s="8" t="str">
        <f aca="false">IFERROR(INDEX('Source 2026'!$C:$C,MATCH($A195,'Source 2026'!$B:$B,0)),IFERROR(INDEX('Source 2025'!$C:$C,MATCH($A195,'Source 2025'!$B:$B,0)),""))</f>
        <v>344-אבן טבעית להסרת עור קשה</v>
      </c>
      <c r="C195" s="9" t="n">
        <f aca="false">SUMIFS('Source 2025'!$I:$I,'Source 2025'!$B:$B,$A195,'Source 2025'!$A:$A,"Quantity (units)")</f>
        <v>118</v>
      </c>
      <c r="D195" s="9" t="n">
        <f aca="false">SUMIFS('Source 2026'!$I:$I,'Source 2026'!$B:$B,$A195,'Source 2026'!$A:$A,"Quantity (units)")</f>
        <v>163</v>
      </c>
      <c r="E195" s="9" t="n">
        <f aca="false">D195-C195</f>
        <v>45</v>
      </c>
      <c r="F195" s="10" t="n">
        <f aca="false">IF(AND(C195=0,D195=0),0,IF(C195=0,"New",(D195-C195)/C195))</f>
        <v>0.38135593220339</v>
      </c>
      <c r="G195" s="11" t="n">
        <f aca="false">SUMIFS('Source 2025'!$I:$I,'Source 2025'!$B:$B,$A195,'Source 2025'!$A:$A,"Amount (NIS)")</f>
        <v>843.4</v>
      </c>
      <c r="H195" s="11" t="n">
        <f aca="false">SUMIFS('Source 2026'!$I:$I,'Source 2026'!$B:$B,$A195,'Source 2026'!$A:$A,"Amount (NIS)")</f>
        <v>1181.8</v>
      </c>
      <c r="I195" s="11" t="n">
        <f aca="false">H195-G195</f>
        <v>338.4</v>
      </c>
      <c r="J195" s="10" t="n">
        <f aca="false">IF(AND(G195=0,H195=0),0,IF(G195=0,"New",(H195-G195)/G195))</f>
        <v>0.401233104102443</v>
      </c>
    </row>
    <row r="196" customFormat="false" ht="15" hidden="false" customHeight="true" outlineLevel="0" collapsed="false">
      <c r="A196" s="8" t="s">
        <v>343</v>
      </c>
      <c r="B196" s="8" t="str">
        <f aca="false">IFERROR(INDEX('Source 2026'!$C:$C,MATCH($A196,'Source 2026'!$B:$B,0)),IFERROR(INDEX('Source 2025'!$C:$C,MATCH($A196,'Source 2025'!$B:$B,0)),""))</f>
        <v>L  ""ח.גב קלה ""מיקדו</v>
      </c>
      <c r="C196" s="9" t="n">
        <f aca="false">SUMIFS('Source 2025'!$I:$I,'Source 2025'!$B:$B,$A196,'Source 2025'!$A:$A,"Quantity (units)")</f>
        <v>-2</v>
      </c>
      <c r="D196" s="9" t="n">
        <f aca="false">SUMIFS('Source 2026'!$I:$I,'Source 2026'!$B:$B,$A196,'Source 2026'!$A:$A,"Quantity (units)")</f>
        <v>0</v>
      </c>
      <c r="E196" s="9" t="n">
        <f aca="false">D196-C196</f>
        <v>2</v>
      </c>
      <c r="F196" s="10" t="n">
        <f aca="false">IF(AND(C196=0,D196=0),0,IF(C196=0,"New",(D196-C196)/C196))</f>
        <v>-1</v>
      </c>
      <c r="G196" s="11" t="n">
        <f aca="false">SUMIFS('Source 2025'!$I:$I,'Source 2025'!$B:$B,$A196,'Source 2025'!$A:$A,"Amount (NIS)")</f>
        <v>-306.2</v>
      </c>
      <c r="H196" s="11" t="n">
        <f aca="false">SUMIFS('Source 2026'!$I:$I,'Source 2026'!$B:$B,$A196,'Source 2026'!$A:$A,"Amount (NIS)")</f>
        <v>0</v>
      </c>
      <c r="I196" s="11" t="n">
        <f aca="false">H196-G196</f>
        <v>306.2</v>
      </c>
      <c r="J196" s="10" t="n">
        <f aca="false">IF(AND(G196=0,H196=0),0,IF(G196=0,"New",(H196-G196)/G196))</f>
        <v>-1</v>
      </c>
    </row>
    <row r="197" customFormat="false" ht="15" hidden="false" customHeight="true" outlineLevel="0" collapsed="false">
      <c r="A197" s="8" t="s">
        <v>179</v>
      </c>
      <c r="B197" s="8" t="str">
        <f aca="false">IFERROR(INDEX('Source 2026'!$C:$C,MATCH($A197,'Source 2026'!$B:$B,0)),IFERROR(INDEX('Source 2025'!$C:$C,MATCH($A197,'Source 2025'!$B:$B,0)),""))</f>
        <v>S מתלה אשכים לאחר ניתוח</v>
      </c>
      <c r="C197" s="9" t="n">
        <f aca="false">SUMIFS('Source 2025'!$I:$I,'Source 2025'!$B:$B,$A197,'Source 2025'!$A:$A,"Quantity (units)")</f>
        <v>0</v>
      </c>
      <c r="D197" s="9" t="n">
        <f aca="false">SUMIFS('Source 2026'!$I:$I,'Source 2026'!$B:$B,$A197,'Source 2026'!$A:$A,"Quantity (units)")</f>
        <v>-3</v>
      </c>
      <c r="E197" s="9" t="n">
        <f aca="false">D197-C197</f>
        <v>-3</v>
      </c>
      <c r="F197" s="10" t="str">
        <f aca="false">IF(AND(C197=0,D197=0),0,IF(C197=0,"New",(D197-C197)/C197))</f>
        <v>New</v>
      </c>
      <c r="G197" s="11" t="n">
        <f aca="false">SUMIFS('Source 2025'!$I:$I,'Source 2025'!$B:$B,$A197,'Source 2025'!$A:$A,"Amount (NIS)")</f>
        <v>0</v>
      </c>
      <c r="H197" s="11" t="n">
        <f aca="false">SUMIFS('Source 2026'!$I:$I,'Source 2026'!$B:$B,$A197,'Source 2026'!$A:$A,"Amount (NIS)")</f>
        <v>-297.8</v>
      </c>
      <c r="I197" s="11" t="n">
        <f aca="false">H197-G197</f>
        <v>-297.8</v>
      </c>
      <c r="J197" s="10" t="str">
        <f aca="false">IF(AND(G197=0,H197=0),0,IF(G197=0,"New",(H197-G197)/G197))</f>
        <v>New</v>
      </c>
    </row>
    <row r="198" customFormat="false" ht="15" hidden="false" customHeight="true" outlineLevel="0" collapsed="false">
      <c r="A198" s="8" t="s">
        <v>342</v>
      </c>
      <c r="B198" s="8" t="str">
        <f aca="false">IFERROR(INDEX('Source 2026'!$C:$C,MATCH($A198,'Source 2026'!$B:$B,0)),IFERROR(INDEX('Source 2025'!$C:$C,MATCH($A198,'Source 2025'!$B:$B,0)),""))</f>
        <v>תתמדרס.ציפוי עור גבר זו43</v>
      </c>
      <c r="C198" s="9" t="n">
        <f aca="false">SUMIFS('Source 2025'!$I:$I,'Source 2025'!$B:$B,$A198,'Source 2025'!$A:$A,"Quantity (units)")</f>
        <v>-4</v>
      </c>
      <c r="D198" s="9" t="n">
        <f aca="false">SUMIFS('Source 2026'!$I:$I,'Source 2026'!$B:$B,$A198,'Source 2026'!$A:$A,"Quantity (units)")</f>
        <v>-1</v>
      </c>
      <c r="E198" s="9" t="n">
        <f aca="false">D198-C198</f>
        <v>3</v>
      </c>
      <c r="F198" s="10" t="n">
        <f aca="false">IF(AND(C198=0,D198=0),0,IF(C198=0,"New",(D198-C198)/C198))</f>
        <v>-0.75</v>
      </c>
      <c r="G198" s="11" t="n">
        <f aca="false">SUMIFS('Source 2025'!$I:$I,'Source 2025'!$B:$B,$A198,'Source 2025'!$A:$A,"Amount (NIS)")</f>
        <v>-387</v>
      </c>
      <c r="H198" s="11" t="n">
        <f aca="false">SUMIFS('Source 2026'!$I:$I,'Source 2026'!$B:$B,$A198,'Source 2026'!$A:$A,"Amount (NIS)")</f>
        <v>-96.7</v>
      </c>
      <c r="I198" s="11" t="n">
        <f aca="false">H198-G198</f>
        <v>290.3</v>
      </c>
      <c r="J198" s="10" t="n">
        <f aca="false">IF(AND(G198=0,H198=0),0,IF(G198=0,"New",(H198-G198)/G198))</f>
        <v>-0.750129198966408</v>
      </c>
    </row>
    <row r="199" customFormat="false" ht="15" hidden="false" customHeight="true" outlineLevel="0" collapsed="false">
      <c r="A199" s="8" t="s">
        <v>276</v>
      </c>
      <c r="B199" s="8" t="str">
        <f aca="false">IFERROR(INDEX('Source 2026'!$C:$C,MATCH($A199,'Source 2026'!$B:$B,0)),IFERROR(INDEX('Source 2025'!$C:$C,MATCH($A199,'Source 2025'!$B:$B,0)),""))</f>
        <v>ריפוד סיליקון לנעלי אצבע</v>
      </c>
      <c r="C199" s="9" t="n">
        <f aca="false">SUMIFS('Source 2025'!$I:$I,'Source 2025'!$B:$B,$A199,'Source 2025'!$A:$A,"Quantity (units)")</f>
        <v>1</v>
      </c>
      <c r="D199" s="9" t="n">
        <f aca="false">SUMIFS('Source 2026'!$I:$I,'Source 2026'!$B:$B,$A199,'Source 2026'!$A:$A,"Quantity (units)")</f>
        <v>8</v>
      </c>
      <c r="E199" s="9" t="n">
        <f aca="false">D199-C199</f>
        <v>7</v>
      </c>
      <c r="F199" s="10" t="n">
        <f aca="false">IF(AND(C199=0,D199=0),0,IF(C199=0,"New",(D199-C199)/C199))</f>
        <v>7</v>
      </c>
      <c r="G199" s="11" t="n">
        <f aca="false">SUMIFS('Source 2025'!$I:$I,'Source 2025'!$B:$B,$A199,'Source 2025'!$A:$A,"Amount (NIS)")</f>
        <v>-70.3</v>
      </c>
      <c r="H199" s="11" t="n">
        <f aca="false">SUMIFS('Source 2026'!$I:$I,'Source 2026'!$B:$B,$A199,'Source 2026'!$A:$A,"Amount (NIS)")</f>
        <v>196</v>
      </c>
      <c r="I199" s="11" t="n">
        <f aca="false">H199-G199</f>
        <v>266.3</v>
      </c>
      <c r="J199" s="10" t="n">
        <f aca="false">IF(AND(G199=0,H199=0),0,IF(G199=0,"New",(H199-G199)/G199))</f>
        <v>-3.78805120910384</v>
      </c>
    </row>
    <row r="200" customFormat="false" ht="15" hidden="false" customHeight="true" outlineLevel="0" collapsed="false">
      <c r="A200" s="8" t="s">
        <v>295</v>
      </c>
      <c r="B200" s="8" t="str">
        <f aca="false">IFERROR(INDEX('Source 2026'!$C:$C,MATCH($A200,'Source 2026'!$B:$B,0)),IFERROR(INDEX('Source 2025'!$C:$C,MATCH($A200,'Source 2025'!$B:$B,0)),""))</f>
        <v>יד לטניס כרית סילי</v>
      </c>
      <c r="C200" s="9" t="n">
        <f aca="false">SUMIFS('Source 2025'!$I:$I,'Source 2025'!$B:$B,$A200,'Source 2025'!$A:$A,"Quantity (units)")</f>
        <v>-2</v>
      </c>
      <c r="D200" s="9" t="n">
        <f aca="false">SUMIFS('Source 2026'!$I:$I,'Source 2026'!$B:$B,$A200,'Source 2026'!$A:$A,"Quantity (units)")</f>
        <v>0</v>
      </c>
      <c r="E200" s="9" t="n">
        <f aca="false">D200-C200</f>
        <v>2</v>
      </c>
      <c r="F200" s="10" t="n">
        <f aca="false">IF(AND(C200=0,D200=0),0,IF(C200=0,"New",(D200-C200)/C200))</f>
        <v>-1</v>
      </c>
      <c r="G200" s="11" t="n">
        <f aca="false">SUMIFS('Source 2025'!$I:$I,'Source 2025'!$B:$B,$A200,'Source 2025'!$A:$A,"Amount (NIS)")</f>
        <v>-262.1</v>
      </c>
      <c r="H200" s="11" t="n">
        <f aca="false">SUMIFS('Source 2026'!$I:$I,'Source 2026'!$B:$B,$A200,'Source 2026'!$A:$A,"Amount (NIS)")</f>
        <v>0</v>
      </c>
      <c r="I200" s="11" t="n">
        <f aca="false">H200-G200</f>
        <v>262.1</v>
      </c>
      <c r="J200" s="10" t="n">
        <f aca="false">IF(AND(G200=0,H200=0),0,IF(G200=0,"New",(H200-G200)/G200))</f>
        <v>-1</v>
      </c>
    </row>
    <row r="201" customFormat="false" ht="15" hidden="false" customHeight="true" outlineLevel="0" collapsed="false">
      <c r="A201" s="8" t="s">
        <v>253</v>
      </c>
      <c r="B201" s="8" t="str">
        <f aca="false">IFERROR(INDEX('Source 2026'!$C:$C,MATCH($A201,'Source 2026'!$B:$B,0)),IFERROR(INDEX('Source 2025'!$C:$C,MATCH($A201,'Source 2025'!$B:$B,0)),""))</f>
        <v>Mמתלה ליד)כיס(+רצועת חיזוק</v>
      </c>
      <c r="C201" s="9" t="n">
        <f aca="false">SUMIFS('Source 2025'!$I:$I,'Source 2025'!$B:$B,$A201,'Source 2025'!$A:$A,"Quantity (units)")</f>
        <v>3</v>
      </c>
      <c r="D201" s="9" t="n">
        <f aca="false">SUMIFS('Source 2026'!$I:$I,'Source 2026'!$B:$B,$A201,'Source 2026'!$A:$A,"Quantity (units)")</f>
        <v>0</v>
      </c>
      <c r="E201" s="9" t="n">
        <f aca="false">D201-C201</f>
        <v>-3</v>
      </c>
      <c r="F201" s="10" t="n">
        <f aca="false">IF(AND(C201=0,D201=0),0,IF(C201=0,"New",(D201-C201)/C201))</f>
        <v>-1</v>
      </c>
      <c r="G201" s="11" t="n">
        <f aca="false">SUMIFS('Source 2025'!$I:$I,'Source 2025'!$B:$B,$A201,'Source 2025'!$A:$A,"Amount (NIS)")</f>
        <v>248.7</v>
      </c>
      <c r="H201" s="11" t="n">
        <f aca="false">SUMIFS('Source 2026'!$I:$I,'Source 2026'!$B:$B,$A201,'Source 2026'!$A:$A,"Amount (NIS)")</f>
        <v>0</v>
      </c>
      <c r="I201" s="11" t="n">
        <f aca="false">H201-G201</f>
        <v>-248.7</v>
      </c>
      <c r="J201" s="10" t="n">
        <f aca="false">IF(AND(G201=0,H201=0),0,IF(G201=0,"New",(H201-G201)/G201))</f>
        <v>-1</v>
      </c>
    </row>
    <row r="202" customFormat="false" ht="15" hidden="false" customHeight="true" outlineLevel="0" collapsed="false">
      <c r="A202" s="8" t="s">
        <v>297</v>
      </c>
      <c r="B202" s="8" t="str">
        <f aca="false">IFERROR(INDEX('Source 2026'!$C:$C,MATCH($A202,'Source 2026'!$B:$B,0)),IFERROR(INDEX('Source 2025'!$C:$C,MATCH($A202,'Source 2025'!$B:$B,0)),""))</f>
        <v>מגן ירך</v>
      </c>
      <c r="C202" s="9" t="n">
        <f aca="false">SUMIFS('Source 2025'!$I:$I,'Source 2025'!$B:$B,$A202,'Source 2025'!$A:$A,"Quantity (units)")</f>
        <v>5</v>
      </c>
      <c r="D202" s="9" t="n">
        <f aca="false">SUMIFS('Source 2026'!$I:$I,'Source 2026'!$B:$B,$A202,'Source 2026'!$A:$A,"Quantity (units)")</f>
        <v>0</v>
      </c>
      <c r="E202" s="9" t="n">
        <f aca="false">D202-C202</f>
        <v>-5</v>
      </c>
      <c r="F202" s="10" t="n">
        <f aca="false">IF(AND(C202=0,D202=0),0,IF(C202=0,"New",(D202-C202)/C202))</f>
        <v>-1</v>
      </c>
      <c r="G202" s="11" t="n">
        <f aca="false">SUMIFS('Source 2025'!$I:$I,'Source 2025'!$B:$B,$A202,'Source 2025'!$A:$A,"Amount (NIS)")</f>
        <v>245.6</v>
      </c>
      <c r="H202" s="11" t="n">
        <f aca="false">SUMIFS('Source 2026'!$I:$I,'Source 2026'!$B:$B,$A202,'Source 2026'!$A:$A,"Amount (NIS)")</f>
        <v>0</v>
      </c>
      <c r="I202" s="11" t="n">
        <f aca="false">H202-G202</f>
        <v>-245.6</v>
      </c>
      <c r="J202" s="10" t="n">
        <f aca="false">IF(AND(G202=0,H202=0),0,IF(G202=0,"New",(H202-G202)/G202))</f>
        <v>-1</v>
      </c>
    </row>
    <row r="203" customFormat="false" ht="15" hidden="false" customHeight="true" outlineLevel="0" collapsed="false">
      <c r="A203" s="8" t="s">
        <v>362</v>
      </c>
      <c r="B203" s="8" t="str">
        <f aca="false">IFERROR(INDEX('Source 2026'!$C:$C,MATCH($A203,'Source 2026'!$B:$B,0)),IFERROR(INDEX('Source 2025'!$C:$C,MATCH($A203,'Source 2025'!$B:$B,0)),""))</f>
        <v>S תתמוקפאעקב סיליקון+ קשת</v>
      </c>
      <c r="C203" s="9" t="n">
        <f aca="false">SUMIFS('Source 2025'!$I:$I,'Source 2025'!$B:$B,$A203,'Source 2025'!$A:$A,"Quantity (units)")</f>
        <v>-3</v>
      </c>
      <c r="D203" s="9" t="n">
        <f aca="false">SUMIFS('Source 2026'!$I:$I,'Source 2026'!$B:$B,$A203,'Source 2026'!$A:$A,"Quantity (units)")</f>
        <v>0</v>
      </c>
      <c r="E203" s="9" t="n">
        <f aca="false">D203-C203</f>
        <v>3</v>
      </c>
      <c r="F203" s="10" t="n">
        <f aca="false">IF(AND(C203=0,D203=0),0,IF(C203=0,"New",(D203-C203)/C203))</f>
        <v>-1</v>
      </c>
      <c r="G203" s="11" t="n">
        <f aca="false">SUMIFS('Source 2025'!$I:$I,'Source 2025'!$B:$B,$A203,'Source 2025'!$A:$A,"Amount (NIS)")</f>
        <v>-241.3</v>
      </c>
      <c r="H203" s="11" t="n">
        <f aca="false">SUMIFS('Source 2026'!$I:$I,'Source 2026'!$B:$B,$A203,'Source 2026'!$A:$A,"Amount (NIS)")</f>
        <v>0</v>
      </c>
      <c r="I203" s="11" t="n">
        <f aca="false">H203-G203</f>
        <v>241.3</v>
      </c>
      <c r="J203" s="10" t="n">
        <f aca="false">IF(AND(G203=0,H203=0),0,IF(G203=0,"New",(H203-G203)/G203))</f>
        <v>-1</v>
      </c>
    </row>
    <row r="204" customFormat="false" ht="15" hidden="false" customHeight="true" outlineLevel="0" collapsed="false">
      <c r="A204" s="8" t="s">
        <v>344</v>
      </c>
      <c r="B204" s="8" t="str">
        <f aca="false">IFERROR(INDEX('Source 2026'!$C:$C,MATCH($A204,'Source 2026'!$B:$B,0)),IFERROR(INDEX('Source 2025'!$C:$C,MATCH($A204,'Source 2025'!$B:$B,0)),""))</f>
        <v>099 חגורת גב שרוכים</v>
      </c>
      <c r="C204" s="9" t="n">
        <f aca="false">SUMIFS('Source 2025'!$I:$I,'Source 2025'!$B:$B,$A204,'Source 2025'!$A:$A,"Quantity (units)")</f>
        <v>0</v>
      </c>
      <c r="D204" s="9" t="n">
        <f aca="false">SUMIFS('Source 2026'!$I:$I,'Source 2026'!$B:$B,$A204,'Source 2026'!$A:$A,"Quantity (units)")</f>
        <v>-2</v>
      </c>
      <c r="E204" s="9" t="n">
        <f aca="false">D204-C204</f>
        <v>-2</v>
      </c>
      <c r="F204" s="10" t="str">
        <f aca="false">IF(AND(C204=0,D204=0),0,IF(C204=0,"New",(D204-C204)/C204))</f>
        <v>New</v>
      </c>
      <c r="G204" s="11" t="n">
        <f aca="false">SUMIFS('Source 2025'!$I:$I,'Source 2025'!$B:$B,$A204,'Source 2025'!$A:$A,"Amount (NIS)")</f>
        <v>0</v>
      </c>
      <c r="H204" s="11" t="n">
        <f aca="false">SUMIFS('Source 2026'!$I:$I,'Source 2026'!$B:$B,$A204,'Source 2026'!$A:$A,"Amount (NIS)")</f>
        <v>-240.3</v>
      </c>
      <c r="I204" s="11" t="n">
        <f aca="false">H204-G204</f>
        <v>-240.3</v>
      </c>
      <c r="J204" s="10" t="str">
        <f aca="false">IF(AND(G204=0,H204=0),0,IF(G204=0,"New",(H204-G204)/G204))</f>
        <v>New</v>
      </c>
    </row>
    <row r="205" customFormat="false" ht="15" hidden="false" customHeight="true" outlineLevel="0" collapsed="false">
      <c r="A205" s="8" t="s">
        <v>74</v>
      </c>
      <c r="B205" s="8" t="str">
        <f aca="false">IFERROR(INDEX('Source 2026'!$C:$C,MATCH($A205,'Source 2026'!$B:$B,0)),IFERROR(INDEX('Source 2025'!$C:$C,MATCH($A205,'Source 2025'!$B:$B,0)),""))</f>
        <v>L מגן קרסול שחור</v>
      </c>
      <c r="C205" s="9" t="n">
        <f aca="false">SUMIFS('Source 2025'!$I:$I,'Source 2025'!$B:$B,$A205,'Source 2025'!$A:$A,"Quantity (units)")</f>
        <v>6</v>
      </c>
      <c r="D205" s="9" t="n">
        <f aca="false">SUMIFS('Source 2026'!$I:$I,'Source 2026'!$B:$B,$A205,'Source 2026'!$A:$A,"Quantity (units)")</f>
        <v>12</v>
      </c>
      <c r="E205" s="9" t="n">
        <f aca="false">D205-C205</f>
        <v>6</v>
      </c>
      <c r="F205" s="10" t="n">
        <f aca="false">IF(AND(C205=0,D205=0),0,IF(C205=0,"New",(D205-C205)/C205))</f>
        <v>1</v>
      </c>
      <c r="G205" s="11" t="n">
        <f aca="false">SUMIFS('Source 2025'!$I:$I,'Source 2025'!$B:$B,$A205,'Source 2025'!$A:$A,"Amount (NIS)")</f>
        <v>148.6</v>
      </c>
      <c r="H205" s="11" t="n">
        <f aca="false">SUMIFS('Source 2026'!$I:$I,'Source 2026'!$B:$B,$A205,'Source 2026'!$A:$A,"Amount (NIS)")</f>
        <v>370.8</v>
      </c>
      <c r="I205" s="11" t="n">
        <f aca="false">H205-G205</f>
        <v>222.2</v>
      </c>
      <c r="J205" s="10" t="n">
        <f aca="false">IF(AND(G205=0,H205=0),0,IF(G205=0,"New",(H205-G205)/G205))</f>
        <v>1.49528936742934</v>
      </c>
    </row>
    <row r="206" customFormat="false" ht="15" hidden="false" customHeight="true" outlineLevel="0" collapsed="false">
      <c r="A206" s="8" t="s">
        <v>363</v>
      </c>
      <c r="B206" s="8" t="str">
        <f aca="false">IFERROR(INDEX('Source 2026'!$C:$C,MATCH($A206,'Source 2026'!$B:$B,0)),IFERROR(INDEX('Source 2025'!$C:$C,MATCH($A206,'Source 2025'!$B:$B,0)),""))</f>
        <v>קרסול עם שרוכים בז</v>
      </c>
      <c r="C206" s="9" t="n">
        <f aca="false">SUMIFS('Source 2025'!$I:$I,'Source 2025'!$B:$B,$A206,'Source 2025'!$A:$A,"Quantity (units)")</f>
        <v>-2</v>
      </c>
      <c r="D206" s="9" t="n">
        <f aca="false">SUMIFS('Source 2026'!$I:$I,'Source 2026'!$B:$B,$A206,'Source 2026'!$A:$A,"Quantity (units)")</f>
        <v>0</v>
      </c>
      <c r="E206" s="9" t="n">
        <f aca="false">D206-C206</f>
        <v>2</v>
      </c>
      <c r="F206" s="10" t="n">
        <f aca="false">IF(AND(C206=0,D206=0),0,IF(C206=0,"New",(D206-C206)/C206))</f>
        <v>-1</v>
      </c>
      <c r="G206" s="11" t="n">
        <f aca="false">SUMIFS('Source 2025'!$I:$I,'Source 2025'!$B:$B,$A206,'Source 2025'!$A:$A,"Amount (NIS)")</f>
        <v>-213</v>
      </c>
      <c r="H206" s="11" t="n">
        <f aca="false">SUMIFS('Source 2026'!$I:$I,'Source 2026'!$B:$B,$A206,'Source 2026'!$A:$A,"Amount (NIS)")</f>
        <v>0</v>
      </c>
      <c r="I206" s="11" t="n">
        <f aca="false">H206-G206</f>
        <v>213</v>
      </c>
      <c r="J206" s="10" t="n">
        <f aca="false">IF(AND(G206=0,H206=0),0,IF(G206=0,"New",(H206-G206)/G206))</f>
        <v>-1</v>
      </c>
    </row>
    <row r="207" customFormat="false" ht="15" hidden="false" customHeight="true" outlineLevel="0" collapsed="false">
      <c r="A207" s="8" t="s">
        <v>364</v>
      </c>
      <c r="B207" s="8" t="str">
        <f aca="false">IFERROR(INDEX('Source 2026'!$C:$C,MATCH($A207,'Source 2026'!$B:$B,0)),IFERROR(INDEX('Source 2025'!$C:$C,MATCH($A207,'Source 2025'!$B:$B,0)),""))</f>
        <v>L מגן ברך לסקי</v>
      </c>
      <c r="C207" s="9" t="n">
        <f aca="false">SUMIFS('Source 2025'!$I:$I,'Source 2025'!$B:$B,$A207,'Source 2025'!$A:$A,"Quantity (units)")</f>
        <v>0</v>
      </c>
      <c r="D207" s="9" t="n">
        <f aca="false">SUMIFS('Source 2026'!$I:$I,'Source 2026'!$B:$B,$A207,'Source 2026'!$A:$A,"Quantity (units)")</f>
        <v>-1</v>
      </c>
      <c r="E207" s="9" t="n">
        <f aca="false">D207-C207</f>
        <v>-1</v>
      </c>
      <c r="F207" s="10" t="str">
        <f aca="false">IF(AND(C207=0,D207=0),0,IF(C207=0,"New",(D207-C207)/C207))</f>
        <v>New</v>
      </c>
      <c r="G207" s="11" t="n">
        <f aca="false">SUMIFS('Source 2025'!$I:$I,'Source 2025'!$B:$B,$A207,'Source 2025'!$A:$A,"Amount (NIS)")</f>
        <v>0</v>
      </c>
      <c r="H207" s="11" t="n">
        <f aca="false">SUMIFS('Source 2026'!$I:$I,'Source 2026'!$B:$B,$A207,'Source 2026'!$A:$A,"Amount (NIS)")</f>
        <v>-204.8</v>
      </c>
      <c r="I207" s="11" t="n">
        <f aca="false">H207-G207</f>
        <v>-204.8</v>
      </c>
      <c r="J207" s="10" t="str">
        <f aca="false">IF(AND(G207=0,H207=0),0,IF(G207=0,"New",(H207-G207)/G207))</f>
        <v>New</v>
      </c>
    </row>
    <row r="208" customFormat="false" ht="15" hidden="false" customHeight="true" outlineLevel="0" collapsed="false">
      <c r="A208" s="8" t="s">
        <v>241</v>
      </c>
      <c r="B208" s="8" t="str">
        <f aca="false">IFERROR(INDEX('Source 2026'!$C:$C,MATCH($A208,'Source 2026'!$B:$B,0)),IFERROR(INDEX('Source 2025'!$C:$C,MATCH($A208,'Source 2025'!$B:$B,0)),""))</f>
        <v>XLסד ליד שמאל</v>
      </c>
      <c r="C208" s="9" t="n">
        <f aca="false">SUMIFS('Source 2025'!$I:$I,'Source 2025'!$B:$B,$A208,'Source 2025'!$A:$A,"Quantity (units)")</f>
        <v>-2</v>
      </c>
      <c r="D208" s="9" t="n">
        <f aca="false">SUMIFS('Source 2026'!$I:$I,'Source 2026'!$B:$B,$A208,'Source 2026'!$A:$A,"Quantity (units)")</f>
        <v>-1</v>
      </c>
      <c r="E208" s="9" t="n">
        <f aca="false">D208-C208</f>
        <v>1</v>
      </c>
      <c r="F208" s="10" t="n">
        <f aca="false">IF(AND(C208=0,D208=0),0,IF(C208=0,"New",(D208-C208)/C208))</f>
        <v>-0.5</v>
      </c>
      <c r="G208" s="11" t="n">
        <f aca="false">SUMIFS('Source 2025'!$I:$I,'Source 2025'!$B:$B,$A208,'Source 2025'!$A:$A,"Amount (NIS)")</f>
        <v>-194.1</v>
      </c>
      <c r="H208" s="11" t="n">
        <f aca="false">SUMIFS('Source 2026'!$I:$I,'Source 2026'!$B:$B,$A208,'Source 2026'!$A:$A,"Amount (NIS)")</f>
        <v>0</v>
      </c>
      <c r="I208" s="11" t="n">
        <f aca="false">H208-G208</f>
        <v>194.1</v>
      </c>
      <c r="J208" s="10" t="n">
        <f aca="false">IF(AND(G208=0,H208=0),0,IF(G208=0,"New",(H208-G208)/G208))</f>
        <v>-1</v>
      </c>
    </row>
    <row r="209" customFormat="false" ht="15" hidden="false" customHeight="true" outlineLevel="0" collapsed="false">
      <c r="A209" s="8" t="s">
        <v>118</v>
      </c>
      <c r="B209" s="8" t="str">
        <f aca="false">IFERROR(INDEX('Source 2026'!$C:$C,MATCH($A209,'Source 2026'!$B:$B,0)),IFERROR(INDEX('Source 2025'!$C:$C,MATCH($A209,'Source 2025'!$B:$B,0)),""))</f>
        <v>L מגן מרפק שחור</v>
      </c>
      <c r="C209" s="9" t="n">
        <f aca="false">SUMIFS('Source 2025'!$I:$I,'Source 2025'!$B:$B,$A209,'Source 2025'!$A:$A,"Quantity (units)")</f>
        <v>6</v>
      </c>
      <c r="D209" s="9" t="n">
        <f aca="false">SUMIFS('Source 2026'!$I:$I,'Source 2026'!$B:$B,$A209,'Source 2026'!$A:$A,"Quantity (units)")</f>
        <v>12</v>
      </c>
      <c r="E209" s="9" t="n">
        <f aca="false">D209-C209</f>
        <v>6</v>
      </c>
      <c r="F209" s="10" t="n">
        <f aca="false">IF(AND(C209=0,D209=0),0,IF(C209=0,"New",(D209-C209)/C209))</f>
        <v>1</v>
      </c>
      <c r="G209" s="11" t="n">
        <f aca="false">SUMIFS('Source 2025'!$I:$I,'Source 2025'!$B:$B,$A209,'Source 2025'!$A:$A,"Amount (NIS)")</f>
        <v>178.5</v>
      </c>
      <c r="H209" s="11" t="n">
        <f aca="false">SUMIFS('Source 2026'!$I:$I,'Source 2026'!$B:$B,$A209,'Source 2026'!$A:$A,"Amount (NIS)")</f>
        <v>370.8</v>
      </c>
      <c r="I209" s="11" t="n">
        <f aca="false">H209-G209</f>
        <v>192.3</v>
      </c>
      <c r="J209" s="10" t="n">
        <f aca="false">IF(AND(G209=0,H209=0),0,IF(G209=0,"New",(H209-G209)/G209))</f>
        <v>1.07731092436975</v>
      </c>
    </row>
    <row r="210" customFormat="false" ht="15" hidden="false" customHeight="true" outlineLevel="0" collapsed="false">
      <c r="A210" s="8" t="s">
        <v>166</v>
      </c>
      <c r="B210" s="8" t="str">
        <f aca="false">IFERROR(INDEX('Source 2026'!$C:$C,MATCH($A210,'Source 2026'!$B:$B,0)),IFERROR(INDEX('Source 2025'!$C:$C,MATCH($A210,'Source 2025'!$B:$B,0)),""))</f>
        <v>לחץ א.הבוניון</v>
      </c>
      <c r="C210" s="9" t="n">
        <f aca="false">SUMIFS('Source 2025'!$I:$I,'Source 2025'!$B:$B,$A210,'Source 2025'!$A:$A,"Quantity (units)")</f>
        <v>38</v>
      </c>
      <c r="D210" s="9" t="n">
        <f aca="false">SUMIFS('Source 2026'!$I:$I,'Source 2026'!$B:$B,$A210,'Source 2026'!$A:$A,"Quantity (units)")</f>
        <v>29</v>
      </c>
      <c r="E210" s="9" t="n">
        <f aca="false">D210-C210</f>
        <v>-9</v>
      </c>
      <c r="F210" s="10" t="n">
        <f aca="false">IF(AND(C210=0,D210=0),0,IF(C210=0,"New",(D210-C210)/C210))</f>
        <v>-0.236842105263158</v>
      </c>
      <c r="G210" s="11" t="n">
        <f aca="false">SUMIFS('Source 2025'!$I:$I,'Source 2025'!$B:$B,$A210,'Source 2025'!$A:$A,"Amount (NIS)")</f>
        <v>705.2</v>
      </c>
      <c r="H210" s="11" t="n">
        <f aca="false">SUMIFS('Source 2026'!$I:$I,'Source 2026'!$B:$B,$A210,'Source 2026'!$A:$A,"Amount (NIS)")</f>
        <v>524.8</v>
      </c>
      <c r="I210" s="11" t="n">
        <f aca="false">H210-G210</f>
        <v>-180.4</v>
      </c>
      <c r="J210" s="10" t="n">
        <f aca="false">IF(AND(G210=0,H210=0),0,IF(G210=0,"New",(H210-G210)/G210))</f>
        <v>-0.255813953488372</v>
      </c>
    </row>
    <row r="211" customFormat="false" ht="15" hidden="false" customHeight="true" outlineLevel="0" collapsed="false">
      <c r="A211" s="8" t="s">
        <v>198</v>
      </c>
      <c r="B211" s="8" t="str">
        <f aca="false">IFERROR(INDEX('Source 2026'!$C:$C,MATCH($A211,'Source 2026'!$B:$B,0)),IFERROR(INDEX('Source 2025'!$C:$C,MATCH($A211,'Source 2025'!$B:$B,0)),""))</f>
        <v>L מיצב פיקה</v>
      </c>
      <c r="C211" s="9" t="n">
        <f aca="false">SUMIFS('Source 2025'!$I:$I,'Source 2025'!$B:$B,$A211,'Source 2025'!$A:$A,"Quantity (units)")</f>
        <v>1</v>
      </c>
      <c r="D211" s="9" t="n">
        <f aca="false">SUMIFS('Source 2026'!$I:$I,'Source 2026'!$B:$B,$A211,'Source 2026'!$A:$A,"Quantity (units)")</f>
        <v>-1</v>
      </c>
      <c r="E211" s="9" t="n">
        <f aca="false">D211-C211</f>
        <v>-2</v>
      </c>
      <c r="F211" s="10" t="n">
        <f aca="false">IF(AND(C211=0,D211=0),0,IF(C211=0,"New",(D211-C211)/C211))</f>
        <v>-2</v>
      </c>
      <c r="G211" s="11" t="n">
        <f aca="false">SUMIFS('Source 2025'!$I:$I,'Source 2025'!$B:$B,$A211,'Source 2025'!$A:$A,"Amount (NIS)")</f>
        <v>94.5</v>
      </c>
      <c r="H211" s="11" t="n">
        <f aca="false">SUMIFS('Source 2026'!$I:$I,'Source 2026'!$B:$B,$A211,'Source 2026'!$A:$A,"Amount (NIS)")</f>
        <v>-81.9</v>
      </c>
      <c r="I211" s="11" t="n">
        <f aca="false">H211-G211</f>
        <v>-176.4</v>
      </c>
      <c r="J211" s="10" t="n">
        <f aca="false">IF(AND(G211=0,H211=0),0,IF(G211=0,"New",(H211-G211)/G211))</f>
        <v>-1.86666666666667</v>
      </c>
    </row>
    <row r="212" customFormat="false" ht="15" hidden="false" customHeight="true" outlineLevel="0" collapsed="false">
      <c r="A212" s="8" t="s">
        <v>341</v>
      </c>
      <c r="B212" s="8" t="str">
        <f aca="false">IFERROR(INDEX('Source 2026'!$C:$C,MATCH($A212,'Source 2026'!$B:$B,0)),IFERROR(INDEX('Source 2025'!$C:$C,MATCH($A212,'Source 2025'!$B:$B,0)),""))</f>
        <v>L-XL רצועת טניס אלבו</v>
      </c>
      <c r="C212" s="9" t="n">
        <f aca="false">SUMIFS('Source 2025'!$I:$I,'Source 2025'!$B:$B,$A212,'Source 2025'!$A:$A,"Quantity (units)")</f>
        <v>-4</v>
      </c>
      <c r="D212" s="9" t="n">
        <f aca="false">SUMIFS('Source 2026'!$I:$I,'Source 2026'!$B:$B,$A212,'Source 2026'!$A:$A,"Quantity (units)")</f>
        <v>-1</v>
      </c>
      <c r="E212" s="9" t="n">
        <f aca="false">D212-C212</f>
        <v>3</v>
      </c>
      <c r="F212" s="10" t="n">
        <f aca="false">IF(AND(C212=0,D212=0),0,IF(C212=0,"New",(D212-C212)/C212))</f>
        <v>-0.75</v>
      </c>
      <c r="G212" s="11" t="n">
        <f aca="false">SUMIFS('Source 2025'!$I:$I,'Source 2025'!$B:$B,$A212,'Source 2025'!$A:$A,"Amount (NIS)")</f>
        <v>-219.2</v>
      </c>
      <c r="H212" s="11" t="n">
        <f aca="false">SUMIFS('Source 2026'!$I:$I,'Source 2026'!$B:$B,$A212,'Source 2026'!$A:$A,"Amount (NIS)")</f>
        <v>-49.1</v>
      </c>
      <c r="I212" s="11" t="n">
        <f aca="false">H212-G212</f>
        <v>170.1</v>
      </c>
      <c r="J212" s="10" t="n">
        <f aca="false">IF(AND(G212=0,H212=0),0,IF(G212=0,"New",(H212-G212)/G212))</f>
        <v>-0.776003649635037</v>
      </c>
    </row>
    <row r="213" customFormat="false" ht="15" hidden="false" customHeight="true" outlineLevel="0" collapsed="false">
      <c r="A213" s="8" t="s">
        <v>237</v>
      </c>
      <c r="B213" s="8" t="str">
        <f aca="false">IFERROR(INDEX('Source 2026'!$C:$C,MATCH($A213,'Source 2026'!$B:$B,0)),IFERROR(INDEX('Source 2025'!$C:$C,MATCH($A213,'Source 2025'!$B:$B,0)),""))</f>
        <v>כפפות אגודל לחץ</v>
      </c>
      <c r="C213" s="9" t="n">
        <f aca="false">SUMIFS('Source 2025'!$I:$I,'Source 2025'!$B:$B,$A213,'Source 2025'!$A:$A,"Quantity (units)")</f>
        <v>62</v>
      </c>
      <c r="D213" s="9" t="n">
        <f aca="false">SUMIFS('Source 2026'!$I:$I,'Source 2026'!$B:$B,$A213,'Source 2026'!$A:$A,"Quantity (units)")</f>
        <v>54</v>
      </c>
      <c r="E213" s="9" t="n">
        <f aca="false">D213-C213</f>
        <v>-8</v>
      </c>
      <c r="F213" s="10" t="n">
        <f aca="false">IF(AND(C213=0,D213=0),0,IF(C213=0,"New",(D213-C213)/C213))</f>
        <v>-0.129032258064516</v>
      </c>
      <c r="G213" s="11" t="n">
        <f aca="false">SUMIFS('Source 2025'!$I:$I,'Source 2025'!$B:$B,$A213,'Source 2025'!$A:$A,"Amount (NIS)")</f>
        <v>1770</v>
      </c>
      <c r="H213" s="11" t="n">
        <f aca="false">SUMIFS('Source 2026'!$I:$I,'Source 2026'!$B:$B,$A213,'Source 2026'!$A:$A,"Amount (NIS)")</f>
        <v>1600</v>
      </c>
      <c r="I213" s="11" t="n">
        <f aca="false">H213-G213</f>
        <v>-170</v>
      </c>
      <c r="J213" s="10" t="n">
        <f aca="false">IF(AND(G213=0,H213=0),0,IF(G213=0,"New",(H213-G213)/G213))</f>
        <v>-0.096045197740113</v>
      </c>
    </row>
    <row r="214" customFormat="false" ht="15" hidden="false" customHeight="true" outlineLevel="0" collapsed="false">
      <c r="A214" s="8" t="s">
        <v>174</v>
      </c>
      <c r="B214" s="8" t="str">
        <f aca="false">IFERROR(INDEX('Source 2026'!$C:$C,MATCH($A214,'Source 2026'!$B:$B,0)),IFERROR(INDEX('Source 2025'!$C:$C,MATCH($A214,'Source 2025'!$B:$B,0)),""))</f>
        <v>לחץ מיבלת2יח</v>
      </c>
      <c r="C214" s="9" t="n">
        <f aca="false">SUMIFS('Source 2025'!$I:$I,'Source 2025'!$B:$B,$A214,'Source 2025'!$A:$A,"Quantity (units)")</f>
        <v>88</v>
      </c>
      <c r="D214" s="9" t="n">
        <f aca="false">SUMIFS('Source 2026'!$I:$I,'Source 2026'!$B:$B,$A214,'Source 2026'!$A:$A,"Quantity (units)")</f>
        <v>73</v>
      </c>
      <c r="E214" s="9" t="n">
        <f aca="false">D214-C214</f>
        <v>-15</v>
      </c>
      <c r="F214" s="10" t="n">
        <f aca="false">IF(AND(C214=0,D214=0),0,IF(C214=0,"New",(D214-C214)/C214))</f>
        <v>-0.170454545454545</v>
      </c>
      <c r="G214" s="11" t="n">
        <f aca="false">SUMIFS('Source 2025'!$I:$I,'Source 2025'!$B:$B,$A214,'Source 2025'!$A:$A,"Amount (NIS)")</f>
        <v>1132.7</v>
      </c>
      <c r="H214" s="11" t="n">
        <f aca="false">SUMIFS('Source 2026'!$I:$I,'Source 2026'!$B:$B,$A214,'Source 2026'!$A:$A,"Amount (NIS)")</f>
        <v>992.1</v>
      </c>
      <c r="I214" s="11" t="n">
        <f aca="false">H214-G214</f>
        <v>-140.6</v>
      </c>
      <c r="J214" s="10" t="n">
        <f aca="false">IF(AND(G214=0,H214=0),0,IF(G214=0,"New",(H214-G214)/G214))</f>
        <v>-0.124128189282246</v>
      </c>
    </row>
    <row r="215" customFormat="false" ht="15" hidden="false" customHeight="true" outlineLevel="0" collapsed="false">
      <c r="A215" s="8" t="s">
        <v>260</v>
      </c>
      <c r="B215" s="8" t="str">
        <f aca="false">IFERROR(INDEX('Source 2026'!$C:$C,MATCH($A215,'Source 2026'!$B:$B,0)),IFERROR(INDEX('Source 2025'!$C:$C,MATCH($A215,'Source 2025'!$B:$B,0)),""))</f>
        <v>רפידת ג'ל כחול36-40</v>
      </c>
      <c r="C215" s="9" t="n">
        <f aca="false">SUMIFS('Source 2025'!$I:$I,'Source 2025'!$B:$B,$A215,'Source 2025'!$A:$A,"Quantity (units)")</f>
        <v>0</v>
      </c>
      <c r="D215" s="9" t="n">
        <f aca="false">SUMIFS('Source 2026'!$I:$I,'Source 2026'!$B:$B,$A215,'Source 2026'!$A:$A,"Quantity (units)")</f>
        <v>-2</v>
      </c>
      <c r="E215" s="9" t="n">
        <f aca="false">D215-C215</f>
        <v>-2</v>
      </c>
      <c r="F215" s="10" t="str">
        <f aca="false">IF(AND(C215=0,D215=0),0,IF(C215=0,"New",(D215-C215)/C215))</f>
        <v>New</v>
      </c>
      <c r="G215" s="11" t="n">
        <f aca="false">SUMIFS('Source 2025'!$I:$I,'Source 2025'!$B:$B,$A215,'Source 2025'!$A:$A,"Amount (NIS)")</f>
        <v>-7.2</v>
      </c>
      <c r="H215" s="11" t="n">
        <f aca="false">SUMIFS('Source 2026'!$I:$I,'Source 2026'!$B:$B,$A215,'Source 2026'!$A:$A,"Amount (NIS)")</f>
        <v>-146.6</v>
      </c>
      <c r="I215" s="11" t="n">
        <f aca="false">H215-G215</f>
        <v>-139.4</v>
      </c>
      <c r="J215" s="10" t="n">
        <f aca="false">IF(AND(G215=0,H215=0),0,IF(G215=0,"New",(H215-G215)/G215))</f>
        <v>19.3611111111111</v>
      </c>
    </row>
    <row r="216" customFormat="false" ht="15" hidden="false" customHeight="true" outlineLevel="0" collapsed="false">
      <c r="A216" s="8" t="s">
        <v>281</v>
      </c>
      <c r="B216" s="8" t="str">
        <f aca="false">IFERROR(INDEX('Source 2026'!$C:$C,MATCH($A216,'Source 2026'!$B:$B,0)),IFERROR(INDEX('Source 2025'!$C:$C,MATCH($A216,'Source 2025'!$B:$B,0)),""))</f>
        <v>.חבישת""הלוקס ולגוס""לאחר נית</v>
      </c>
      <c r="C216" s="9" t="n">
        <f aca="false">SUMIFS('Source 2025'!$I:$I,'Source 2025'!$B:$B,$A216,'Source 2025'!$A:$A,"Quantity (units)")</f>
        <v>-2</v>
      </c>
      <c r="D216" s="9" t="n">
        <f aca="false">SUMIFS('Source 2026'!$I:$I,'Source 2026'!$B:$B,$A216,'Source 2026'!$A:$A,"Quantity (units)")</f>
        <v>0</v>
      </c>
      <c r="E216" s="9" t="n">
        <f aca="false">D216-C216</f>
        <v>2</v>
      </c>
      <c r="F216" s="10" t="n">
        <f aca="false">IF(AND(C216=0,D216=0),0,IF(C216=0,"New",(D216-C216)/C216))</f>
        <v>-1</v>
      </c>
      <c r="G216" s="11" t="n">
        <f aca="false">SUMIFS('Source 2025'!$I:$I,'Source 2025'!$B:$B,$A216,'Source 2025'!$A:$A,"Amount (NIS)")</f>
        <v>-136.3</v>
      </c>
      <c r="H216" s="11" t="n">
        <f aca="false">SUMIFS('Source 2026'!$I:$I,'Source 2026'!$B:$B,$A216,'Source 2026'!$A:$A,"Amount (NIS)")</f>
        <v>0</v>
      </c>
      <c r="I216" s="11" t="n">
        <f aca="false">H216-G216</f>
        <v>136.3</v>
      </c>
      <c r="J216" s="10" t="n">
        <f aca="false">IF(AND(G216=0,H216=0),0,IF(G216=0,"New",(H216-G216)/G216))</f>
        <v>-1</v>
      </c>
    </row>
    <row r="217" customFormat="false" ht="15" hidden="false" customHeight="true" outlineLevel="0" collapsed="false">
      <c r="A217" s="8" t="s">
        <v>216</v>
      </c>
      <c r="B217" s="8" t="str">
        <f aca="false">IFERROR(INDEX('Source 2026'!$C:$C,MATCH($A217,'Source 2026'!$B:$B,0)),IFERROR(INDEX('Source 2025'!$C:$C,MATCH($A217,'Source 2025'!$B:$B,0)),""))</f>
        <v>מגן קרסול+כרית סילקון</v>
      </c>
      <c r="C217" s="9" t="n">
        <f aca="false">SUMIFS('Source 2025'!$I:$I,'Source 2025'!$B:$B,$A217,'Source 2025'!$A:$A,"Quantity (units)")</f>
        <v>-1</v>
      </c>
      <c r="D217" s="9" t="n">
        <f aca="false">SUMIFS('Source 2026'!$I:$I,'Source 2026'!$B:$B,$A217,'Source 2026'!$A:$A,"Quantity (units)")</f>
        <v>0</v>
      </c>
      <c r="E217" s="9" t="n">
        <f aca="false">D217-C217</f>
        <v>1</v>
      </c>
      <c r="F217" s="10" t="n">
        <f aca="false">IF(AND(C217=0,D217=0),0,IF(C217=0,"New",(D217-C217)/C217))</f>
        <v>-1</v>
      </c>
      <c r="G217" s="11" t="n">
        <f aca="false">SUMIFS('Source 2025'!$I:$I,'Source 2025'!$B:$B,$A217,'Source 2025'!$A:$A,"Amount (NIS)")</f>
        <v>-131.1</v>
      </c>
      <c r="H217" s="11" t="n">
        <f aca="false">SUMIFS('Source 2026'!$I:$I,'Source 2026'!$B:$B,$A217,'Source 2026'!$A:$A,"Amount (NIS)")</f>
        <v>0</v>
      </c>
      <c r="I217" s="11" t="n">
        <f aca="false">H217-G217</f>
        <v>131.1</v>
      </c>
      <c r="J217" s="10" t="n">
        <f aca="false">IF(AND(G217=0,H217=0),0,IF(G217=0,"New",(H217-G217)/G217))</f>
        <v>-1</v>
      </c>
    </row>
    <row r="218" customFormat="false" ht="15" hidden="false" customHeight="true" outlineLevel="0" collapsed="false">
      <c r="A218" s="8" t="s">
        <v>298</v>
      </c>
      <c r="B218" s="8" t="str">
        <f aca="false">IFERROR(INDEX('Source 2026'!$C:$C,MATCH($A218,'Source 2026'!$B:$B,0)),IFERROR(INDEX('Source 2025'!$C:$C,MATCH($A218,'Source 2025'!$B:$B,0)),""))</f>
        <v>מגן קרסול+כרית סילקון</v>
      </c>
      <c r="C218" s="9" t="n">
        <f aca="false">SUMIFS('Source 2025'!$I:$I,'Source 2025'!$B:$B,$A218,'Source 2025'!$A:$A,"Quantity (units)")</f>
        <v>-1</v>
      </c>
      <c r="D218" s="9" t="n">
        <f aca="false">SUMIFS('Source 2026'!$I:$I,'Source 2026'!$B:$B,$A218,'Source 2026'!$A:$A,"Quantity (units)")</f>
        <v>0</v>
      </c>
      <c r="E218" s="9" t="n">
        <f aca="false">D218-C218</f>
        <v>1</v>
      </c>
      <c r="F218" s="10" t="n">
        <f aca="false">IF(AND(C218=0,D218=0),0,IF(C218=0,"New",(D218-C218)/C218))</f>
        <v>-1</v>
      </c>
      <c r="G218" s="11" t="n">
        <f aca="false">SUMIFS('Source 2025'!$I:$I,'Source 2025'!$B:$B,$A218,'Source 2025'!$A:$A,"Amount (NIS)")</f>
        <v>-131.1</v>
      </c>
      <c r="H218" s="11" t="n">
        <f aca="false">SUMIFS('Source 2026'!$I:$I,'Source 2026'!$B:$B,$A218,'Source 2026'!$A:$A,"Amount (NIS)")</f>
        <v>0</v>
      </c>
      <c r="I218" s="11" t="n">
        <f aca="false">H218-G218</f>
        <v>131.1</v>
      </c>
      <c r="J218" s="10" t="n">
        <f aca="false">IF(AND(G218=0,H218=0),0,IF(G218=0,"New",(H218-G218)/G218))</f>
        <v>-1</v>
      </c>
    </row>
    <row r="219" customFormat="false" ht="15" hidden="false" customHeight="true" outlineLevel="0" collapsed="false">
      <c r="A219" s="8" t="s">
        <v>300</v>
      </c>
      <c r="B219" s="8" t="str">
        <f aca="false">IFERROR(INDEX('Source 2026'!$C:$C,MATCH($A219,'Source 2026'!$B:$B,0)),IFERROR(INDEX('Source 2025'!$C:$C,MATCH($A219,'Source 2025'!$B:$B,0)),""))</f>
        <v>קרסול+כרית סילקון</v>
      </c>
      <c r="C219" s="9" t="n">
        <f aca="false">SUMIFS('Source 2025'!$I:$I,'Source 2025'!$B:$B,$A219,'Source 2025'!$A:$A,"Quantity (units)")</f>
        <v>0</v>
      </c>
      <c r="D219" s="9" t="n">
        <f aca="false">SUMIFS('Source 2026'!$I:$I,'Source 2026'!$B:$B,$A219,'Source 2026'!$A:$A,"Quantity (units)")</f>
        <v>-1</v>
      </c>
      <c r="E219" s="9" t="n">
        <f aca="false">D219-C219</f>
        <v>-1</v>
      </c>
      <c r="F219" s="10" t="str">
        <f aca="false">IF(AND(C219=0,D219=0),0,IF(C219=0,"New",(D219-C219)/C219))</f>
        <v>New</v>
      </c>
      <c r="G219" s="11" t="n">
        <f aca="false">SUMIFS('Source 2025'!$I:$I,'Source 2025'!$B:$B,$A219,'Source 2025'!$A:$A,"Amount (NIS)")</f>
        <v>0</v>
      </c>
      <c r="H219" s="11" t="n">
        <f aca="false">SUMIFS('Source 2026'!$I:$I,'Source 2026'!$B:$B,$A219,'Source 2026'!$A:$A,"Amount (NIS)")</f>
        <v>-131.1</v>
      </c>
      <c r="I219" s="11" t="n">
        <f aca="false">H219-G219</f>
        <v>-131.1</v>
      </c>
      <c r="J219" s="10" t="str">
        <f aca="false">IF(AND(G219=0,H219=0),0,IF(G219=0,"New",(H219-G219)/G219))</f>
        <v>New</v>
      </c>
    </row>
    <row r="220" customFormat="false" ht="15" hidden="false" customHeight="true" outlineLevel="0" collapsed="false">
      <c r="A220" s="8" t="s">
        <v>123</v>
      </c>
      <c r="B220" s="8" t="str">
        <f aca="false">IFERROR(INDEX('Source 2026'!$C:$C,MATCH($A220,'Source 2026'!$B:$B,0)),IFERROR(INDEX('Source 2025'!$C:$C,MATCH($A220,'Source 2025'!$B:$B,0)),""))</f>
        <v>חגורת גב +סגירה כפולה</v>
      </c>
      <c r="C220" s="9" t="n">
        <f aca="false">SUMIFS('Source 2025'!$I:$I,'Source 2025'!$B:$B,$A220,'Source 2025'!$A:$A,"Quantity (units)")</f>
        <v>28</v>
      </c>
      <c r="D220" s="9" t="n">
        <f aca="false">SUMIFS('Source 2026'!$I:$I,'Source 2026'!$B:$B,$A220,'Source 2026'!$A:$A,"Quantity (units)")</f>
        <v>26</v>
      </c>
      <c r="E220" s="9" t="n">
        <f aca="false">D220-C220</f>
        <v>-2</v>
      </c>
      <c r="F220" s="10" t="n">
        <f aca="false">IF(AND(C220=0,D220=0),0,IF(C220=0,"New",(D220-C220)/C220))</f>
        <v>-0.0714285714285714</v>
      </c>
      <c r="G220" s="11" t="n">
        <f aca="false">SUMIFS('Source 2025'!$I:$I,'Source 2025'!$B:$B,$A220,'Source 2025'!$A:$A,"Amount (NIS)")</f>
        <v>2640.1</v>
      </c>
      <c r="H220" s="11" t="n">
        <f aca="false">SUMIFS('Source 2026'!$I:$I,'Source 2026'!$B:$B,$A220,'Source 2026'!$A:$A,"Amount (NIS)")</f>
        <v>2509.6</v>
      </c>
      <c r="I220" s="11" t="n">
        <f aca="false">H220-G220</f>
        <v>-130.5</v>
      </c>
      <c r="J220" s="10" t="n">
        <f aca="false">IF(AND(G220=0,H220=0),0,IF(G220=0,"New",(H220-G220)/G220))</f>
        <v>-0.049429945835385</v>
      </c>
    </row>
    <row r="221" customFormat="false" ht="15" hidden="false" customHeight="true" outlineLevel="0" collapsed="false">
      <c r="A221" s="8" t="s">
        <v>365</v>
      </c>
      <c r="B221" s="8" t="str">
        <f aca="false">IFERROR(INDEX('Source 2026'!$C:$C,MATCH($A221,'Source 2026'!$B:$B,0)),IFERROR(INDEX('Source 2025'!$C:$C,MATCH($A221,'Source 2025'!$B:$B,0)),""))</f>
        <v>099 חגורת גב שרוכים</v>
      </c>
      <c r="C221" s="9" t="n">
        <f aca="false">SUMIFS('Source 2025'!$I:$I,'Source 2025'!$B:$B,$A221,'Source 2025'!$A:$A,"Quantity (units)")</f>
        <v>0</v>
      </c>
      <c r="D221" s="9" t="n">
        <f aca="false">SUMIFS('Source 2026'!$I:$I,'Source 2026'!$B:$B,$A221,'Source 2026'!$A:$A,"Quantity (units)")</f>
        <v>-1</v>
      </c>
      <c r="E221" s="9" t="n">
        <f aca="false">D221-C221</f>
        <v>-1</v>
      </c>
      <c r="F221" s="10" t="str">
        <f aca="false">IF(AND(C221=0,D221=0),0,IF(C221=0,"New",(D221-C221)/C221))</f>
        <v>New</v>
      </c>
      <c r="G221" s="11" t="n">
        <f aca="false">SUMIFS('Source 2025'!$I:$I,'Source 2025'!$B:$B,$A221,'Source 2025'!$A:$A,"Amount (NIS)")</f>
        <v>0</v>
      </c>
      <c r="H221" s="11" t="n">
        <f aca="false">SUMIFS('Source 2026'!$I:$I,'Source 2026'!$B:$B,$A221,'Source 2026'!$A:$A,"Amount (NIS)")</f>
        <v>-118.8</v>
      </c>
      <c r="I221" s="11" t="n">
        <f aca="false">H221-G221</f>
        <v>-118.8</v>
      </c>
      <c r="J221" s="10" t="str">
        <f aca="false">IF(AND(G221=0,H221=0),0,IF(G221=0,"New",(H221-G221)/G221))</f>
        <v>New</v>
      </c>
    </row>
    <row r="222" customFormat="false" ht="15" hidden="false" customHeight="true" outlineLevel="0" collapsed="false">
      <c r="A222" s="8" t="s">
        <v>257</v>
      </c>
      <c r="B222" s="8" t="str">
        <f aca="false">IFERROR(INDEX('Source 2026'!$C:$C,MATCH($A222,'Source 2026'!$B:$B,0)),IFERROR(INDEX('Source 2025'!$C:$C,MATCH($A222,'Source 2025'!$B:$B,0)),""))</f>
        <v>סד לקרסול עם כריות אויר</v>
      </c>
      <c r="C222" s="9" t="n">
        <f aca="false">SUMIFS('Source 2025'!$I:$I,'Source 2025'!$B:$B,$A222,'Source 2025'!$A:$A,"Quantity (units)")</f>
        <v>1</v>
      </c>
      <c r="D222" s="9" t="n">
        <f aca="false">SUMIFS('Source 2026'!$I:$I,'Source 2026'!$B:$B,$A222,'Source 2026'!$A:$A,"Quantity (units)")</f>
        <v>4</v>
      </c>
      <c r="E222" s="9" t="n">
        <f aca="false">D222-C222</f>
        <v>3</v>
      </c>
      <c r="F222" s="10" t="n">
        <f aca="false">IF(AND(C222=0,D222=0),0,IF(C222=0,"New",(D222-C222)/C222))</f>
        <v>3</v>
      </c>
      <c r="G222" s="11" t="n">
        <f aca="false">SUMIFS('Source 2025'!$I:$I,'Source 2025'!$B:$B,$A222,'Source 2025'!$A:$A,"Amount (NIS)")</f>
        <v>143.4</v>
      </c>
      <c r="H222" s="11" t="n">
        <f aca="false">SUMIFS('Source 2026'!$I:$I,'Source 2026'!$B:$B,$A222,'Source 2026'!$A:$A,"Amount (NIS)")</f>
        <v>257.2</v>
      </c>
      <c r="I222" s="11" t="n">
        <f aca="false">H222-G222</f>
        <v>113.8</v>
      </c>
      <c r="J222" s="10" t="n">
        <f aca="false">IF(AND(G222=0,H222=0),0,IF(G222=0,"New",(H222-G222)/G222))</f>
        <v>0.793584379358438</v>
      </c>
    </row>
    <row r="223" customFormat="false" ht="15" hidden="false" customHeight="true" outlineLevel="0" collapsed="false">
      <c r="A223" s="8" t="s">
        <v>367</v>
      </c>
      <c r="B223" s="8" t="str">
        <f aca="false">IFERROR(INDEX('Source 2026'!$C:$C,MATCH($A223,'Source 2026'!$B:$B,0)),IFERROR(INDEX('Source 2025'!$C:$C,MATCH($A223,'Source 2025'!$B:$B,0)),""))</f>
        <v>קרסול עם שרוכים בז</v>
      </c>
      <c r="C223" s="9" t="n">
        <f aca="false">SUMIFS('Source 2025'!$I:$I,'Source 2025'!$B:$B,$A223,'Source 2025'!$A:$A,"Quantity (units)")</f>
        <v>-1</v>
      </c>
      <c r="D223" s="9" t="n">
        <f aca="false">SUMIFS('Source 2026'!$I:$I,'Source 2026'!$B:$B,$A223,'Source 2026'!$A:$A,"Quantity (units)")</f>
        <v>0</v>
      </c>
      <c r="E223" s="9" t="n">
        <f aca="false">D223-C223</f>
        <v>1</v>
      </c>
      <c r="F223" s="10" t="n">
        <f aca="false">IF(AND(C223=0,D223=0),0,IF(C223=0,"New",(D223-C223)/C223))</f>
        <v>-1</v>
      </c>
      <c r="G223" s="11" t="n">
        <f aca="false">SUMIFS('Source 2025'!$I:$I,'Source 2025'!$B:$B,$A223,'Source 2025'!$A:$A,"Amount (NIS)")</f>
        <v>-106.5</v>
      </c>
      <c r="H223" s="11" t="n">
        <f aca="false">SUMIFS('Source 2026'!$I:$I,'Source 2026'!$B:$B,$A223,'Source 2026'!$A:$A,"Amount (NIS)")</f>
        <v>0</v>
      </c>
      <c r="I223" s="11" t="n">
        <f aca="false">H223-G223</f>
        <v>106.5</v>
      </c>
      <c r="J223" s="10" t="n">
        <f aca="false">IF(AND(G223=0,H223=0),0,IF(G223=0,"New",(H223-G223)/G223))</f>
        <v>-1</v>
      </c>
    </row>
    <row r="224" customFormat="false" ht="15" hidden="false" customHeight="true" outlineLevel="0" collapsed="false">
      <c r="A224" s="8" t="s">
        <v>368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9" t="n">
        <f aca="false">D224-C224</f>
        <v>1</v>
      </c>
      <c r="F224" s="10" t="n">
        <f aca="false">IF(AND(C224=0,D224=0),0,IF(C224=0,"New",(D224-C224)/C224))</f>
        <v>-1</v>
      </c>
      <c r="G224" s="11" t="n">
        <f aca="false">SUMIFS('Source 2025'!$I:$I,'Source 2025'!$B:$B,$A224,'Source 2025'!$A:$A,"Amount (NIS)")</f>
        <v>-106.5</v>
      </c>
      <c r="H224" s="11" t="n">
        <f aca="false">SUMIFS('Source 2026'!$I:$I,'Source 2026'!$B:$B,$A224,'Source 2026'!$A:$A,"Amount (NIS)")</f>
        <v>0</v>
      </c>
      <c r="I224" s="11" t="n">
        <f aca="false">H224-G224</f>
        <v>106.5</v>
      </c>
      <c r="J224" s="10" t="n">
        <f aca="false">IF(AND(G224=0,H224=0),0,IF(G224=0,"New",(H224-G224)/G224))</f>
        <v>-1</v>
      </c>
    </row>
    <row r="225" customFormat="false" ht="15" hidden="false" customHeight="true" outlineLevel="0" collapsed="false">
      <c r="A225" s="8" t="s">
        <v>366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9" t="n">
        <f aca="false">D225-C225</f>
        <v>1</v>
      </c>
      <c r="F225" s="10" t="n">
        <f aca="false">IF(AND(C225=0,D225=0),0,IF(C225=0,"New",(D225-C225)/C225))</f>
        <v>-1</v>
      </c>
      <c r="G225" s="11" t="n">
        <f aca="false">SUMIFS('Source 2025'!$I:$I,'Source 2025'!$B:$B,$A225,'Source 2025'!$A:$A,"Amount (NIS)")</f>
        <v>-106.5</v>
      </c>
      <c r="H225" s="11" t="n">
        <f aca="false">SUMIFS('Source 2026'!$I:$I,'Source 2026'!$B:$B,$A225,'Source 2026'!$A:$A,"Amount (NIS)")</f>
        <v>0</v>
      </c>
      <c r="I225" s="11" t="n">
        <f aca="false">H225-G225</f>
        <v>106.5</v>
      </c>
      <c r="J225" s="10" t="n">
        <f aca="false">IF(AND(G225=0,H225=0),0,IF(G225=0,"New",(H225-G225)/G225))</f>
        <v>-1</v>
      </c>
    </row>
    <row r="226" customFormat="false" ht="15" hidden="false" customHeight="true" outlineLevel="0" collapsed="false">
      <c r="A226" s="8" t="s">
        <v>305</v>
      </c>
      <c r="B226" s="8" t="str">
        <f aca="false">IFERROR(INDEX('Source 2026'!$C:$C,MATCH($A226,'Source 2026'!$B:$B,0)),IFERROR(INDEX('Source 2025'!$C:$C,MATCH($A226,'Source 2025'!$B:$B,0)),""))</f>
        <v>רצועת טניס אלבו עם פלסטיק</v>
      </c>
      <c r="C226" s="9" t="n">
        <f aca="false">SUMIFS('Source 2025'!$I:$I,'Source 2025'!$B:$B,$A226,'Source 2025'!$A:$A,"Quantity (units)")</f>
        <v>1</v>
      </c>
      <c r="D226" s="9" t="n">
        <f aca="false">SUMIFS('Source 2026'!$I:$I,'Source 2026'!$B:$B,$A226,'Source 2026'!$A:$A,"Quantity (units)")</f>
        <v>0</v>
      </c>
      <c r="E226" s="9" t="n">
        <f aca="false">D226-C226</f>
        <v>-1</v>
      </c>
      <c r="F226" s="10" t="n">
        <f aca="false">IF(AND(C226=0,D226=0),0,IF(C226=0,"New",(D226-C226)/C226))</f>
        <v>-1</v>
      </c>
      <c r="G226" s="11" t="n">
        <f aca="false">SUMIFS('Source 2025'!$I:$I,'Source 2025'!$B:$B,$A226,'Source 2025'!$A:$A,"Amount (NIS)")</f>
        <v>105.9</v>
      </c>
      <c r="H226" s="11" t="n">
        <f aca="false">SUMIFS('Source 2026'!$I:$I,'Source 2026'!$B:$B,$A226,'Source 2026'!$A:$A,"Amount (NIS)")</f>
        <v>0</v>
      </c>
      <c r="I226" s="11" t="n">
        <f aca="false">H226-G226</f>
        <v>-105.9</v>
      </c>
      <c r="J226" s="10" t="n">
        <f aca="false">IF(AND(G226=0,H226=0),0,IF(G226=0,"New",(H226-G226)/G226))</f>
        <v>-1</v>
      </c>
    </row>
    <row r="227" customFormat="false" ht="15" hidden="false" customHeight="true" outlineLevel="0" collapsed="false">
      <c r="A227" s="8" t="s">
        <v>248</v>
      </c>
      <c r="B227" s="8" t="str">
        <f aca="false">IFERROR(INDEX('Source 2026'!$C:$C,MATCH($A227,'Source 2026'!$B:$B,0)),IFERROR(INDEX('Source 2025'!$C:$C,MATCH($A227,'Source 2025'!$B:$B,0)),""))</f>
        <v>S מגן ברך רגיל</v>
      </c>
      <c r="C227" s="9" t="n">
        <f aca="false">SUMIFS('Source 2025'!$I:$I,'Source 2025'!$B:$B,$A227,'Source 2025'!$A:$A,"Quantity (units)")</f>
        <v>25</v>
      </c>
      <c r="D227" s="9" t="n">
        <f aca="false">SUMIFS('Source 2026'!$I:$I,'Source 2026'!$B:$B,$A227,'Source 2026'!$A:$A,"Quantity (units)")</f>
        <v>26</v>
      </c>
      <c r="E227" s="9" t="n">
        <f aca="false">D227-C227</f>
        <v>1</v>
      </c>
      <c r="F227" s="10" t="n">
        <f aca="false">IF(AND(C227=0,D227=0),0,IF(C227=0,"New",(D227-C227)/C227))</f>
        <v>0.04</v>
      </c>
      <c r="G227" s="11" t="n">
        <f aca="false">SUMIFS('Source 2025'!$I:$I,'Source 2025'!$B:$B,$A227,'Source 2025'!$A:$A,"Amount (NIS)")</f>
        <v>2254.3</v>
      </c>
      <c r="H227" s="11" t="n">
        <f aca="false">SUMIFS('Source 2026'!$I:$I,'Source 2026'!$B:$B,$A227,'Source 2026'!$A:$A,"Amount (NIS)")</f>
        <v>2353.3</v>
      </c>
      <c r="I227" s="11" t="n">
        <f aca="false">H227-G227</f>
        <v>99.0000000000005</v>
      </c>
      <c r="J227" s="10" t="n">
        <f aca="false">IF(AND(G227=0,H227=0),0,IF(G227=0,"New",(H227-G227)/G227))</f>
        <v>0.0439160715077853</v>
      </c>
    </row>
    <row r="228" customFormat="false" ht="15" hidden="false" customHeight="true" outlineLevel="0" collapsed="false">
      <c r="A228" s="8" t="s">
        <v>14</v>
      </c>
      <c r="B228" s="8" t="str">
        <f aca="false">IFERROR(INDEX('Source 2026'!$C:$C,MATCH($A228,'Source 2026'!$B:$B,0)),IFERROR(INDEX('Source 2025'!$C:$C,MATCH($A228,'Source 2025'!$B:$B,0)),""))</f>
        <v>CARE  תחבושת אלסטית 5 ס""מ</v>
      </c>
      <c r="C228" s="9" t="n">
        <f aca="false">SUMIFS('Source 2025'!$I:$I,'Source 2025'!$B:$B,$A228,'Source 2025'!$A:$A,"Quantity (units)")</f>
        <v>-11</v>
      </c>
      <c r="D228" s="9" t="n">
        <f aca="false">SUMIFS('Source 2026'!$I:$I,'Source 2026'!$B:$B,$A228,'Source 2026'!$A:$A,"Quantity (units)")</f>
        <v>0</v>
      </c>
      <c r="E228" s="9" t="n">
        <f aca="false">D228-C228</f>
        <v>11</v>
      </c>
      <c r="F228" s="10" t="n">
        <f aca="false">IF(AND(C228=0,D228=0),0,IF(C228=0,"New",(D228-C228)/C228))</f>
        <v>-1</v>
      </c>
      <c r="G228" s="11" t="n">
        <f aca="false">SUMIFS('Source 2025'!$I:$I,'Source 2025'!$B:$B,$A228,'Source 2025'!$A:$A,"Amount (NIS)")</f>
        <v>-98.4</v>
      </c>
      <c r="H228" s="11" t="n">
        <f aca="false">SUMIFS('Source 2026'!$I:$I,'Source 2026'!$B:$B,$A228,'Source 2026'!$A:$A,"Amount (NIS)")</f>
        <v>0</v>
      </c>
      <c r="I228" s="11" t="n">
        <f aca="false">H228-G228</f>
        <v>98.4</v>
      </c>
      <c r="J228" s="10" t="n">
        <f aca="false">IF(AND(G228=0,H228=0),0,IF(G228=0,"New",(H228-G228)/G228))</f>
        <v>-1</v>
      </c>
    </row>
    <row r="229" customFormat="false" ht="15" hidden="false" customHeight="true" outlineLevel="0" collapsed="false">
      <c r="A229" s="8" t="s">
        <v>268</v>
      </c>
      <c r="B229" s="8" t="str">
        <f aca="false">IFERROR(INDEX('Source 2026'!$C:$C,MATCH($A229,'Source 2026'!$B:$B,0)),IFERROR(INDEX('Source 2025'!$C:$C,MATCH($A229,'Source 2025'!$B:$B,0)),""))</f>
        <v>L-XL 'סד יד שמאל בז</v>
      </c>
      <c r="C229" s="9" t="n">
        <f aca="false">SUMIFS('Source 2025'!$I:$I,'Source 2025'!$B:$B,$A229,'Source 2025'!$A:$A,"Quantity (units)")</f>
        <v>-2</v>
      </c>
      <c r="D229" s="9" t="n">
        <f aca="false">SUMIFS('Source 2026'!$I:$I,'Source 2026'!$B:$B,$A229,'Source 2026'!$A:$A,"Quantity (units)")</f>
        <v>-1</v>
      </c>
      <c r="E229" s="9" t="n">
        <f aca="false">D229-C229</f>
        <v>1</v>
      </c>
      <c r="F229" s="10" t="n">
        <f aca="false">IF(AND(C229=0,D229=0),0,IF(C229=0,"New",(D229-C229)/C229))</f>
        <v>-0.5</v>
      </c>
      <c r="G229" s="11" t="n">
        <f aca="false">SUMIFS('Source 2025'!$I:$I,'Source 2025'!$B:$B,$A229,'Source 2025'!$A:$A,"Amount (NIS)")</f>
        <v>-188.4</v>
      </c>
      <c r="H229" s="11" t="n">
        <f aca="false">SUMIFS('Source 2026'!$I:$I,'Source 2026'!$B:$B,$A229,'Source 2026'!$A:$A,"Amount (NIS)")</f>
        <v>-94.2</v>
      </c>
      <c r="I229" s="11" t="n">
        <f aca="false">H229-G229</f>
        <v>94.2</v>
      </c>
      <c r="J229" s="10" t="n">
        <f aca="false">IF(AND(G229=0,H229=0),0,IF(G229=0,"New",(H229-G229)/G229))</f>
        <v>-0.5</v>
      </c>
    </row>
    <row r="230" customFormat="false" ht="15" hidden="false" customHeight="true" outlineLevel="0" collapsed="false">
      <c r="A230" s="8" t="s">
        <v>369</v>
      </c>
      <c r="B230" s="8" t="str">
        <f aca="false">IFERROR(INDEX('Source 2026'!$C:$C,MATCH($A230,'Source 2026'!$B:$B,0)),IFERROR(INDEX('Source 2025'!$C:$C,MATCH($A230,'Source 2025'!$B:$B,0)),""))</f>
        <v>R-M סד ליד ימין</v>
      </c>
      <c r="C230" s="9" t="n">
        <f aca="false">SUMIFS('Source 2025'!$I:$I,'Source 2025'!$B:$B,$A230,'Source 2025'!$A:$A,"Quantity (units)")</f>
        <v>0</v>
      </c>
      <c r="D230" s="9" t="n">
        <f aca="false">SUMIFS('Source 2026'!$I:$I,'Source 2026'!$B:$B,$A230,'Source 2026'!$A:$A,"Quantity (units)")</f>
        <v>-1</v>
      </c>
      <c r="E230" s="9" t="n">
        <f aca="false">D230-C230</f>
        <v>-1</v>
      </c>
      <c r="F230" s="10" t="str">
        <f aca="false">IF(AND(C230=0,D230=0),0,IF(C230=0,"New",(D230-C230)/C230))</f>
        <v>New</v>
      </c>
      <c r="G230" s="11" t="n">
        <f aca="false">SUMIFS('Source 2025'!$I:$I,'Source 2025'!$B:$B,$A230,'Source 2025'!$A:$A,"Amount (NIS)")</f>
        <v>0</v>
      </c>
      <c r="H230" s="11" t="n">
        <f aca="false">SUMIFS('Source 2026'!$I:$I,'Source 2026'!$B:$B,$A230,'Source 2026'!$A:$A,"Amount (NIS)")</f>
        <v>-90.1</v>
      </c>
      <c r="I230" s="11" t="n">
        <f aca="false">H230-G230</f>
        <v>-90.1</v>
      </c>
      <c r="J230" s="10" t="str">
        <f aca="false">IF(AND(G230=0,H230=0),0,IF(G230=0,"New",(H230-G230)/G230))</f>
        <v>New</v>
      </c>
    </row>
    <row r="231" customFormat="false" ht="15" hidden="false" customHeight="true" outlineLevel="0" collapsed="false">
      <c r="A231" s="8" t="s">
        <v>370</v>
      </c>
      <c r="B231" s="8" t="str">
        <f aca="false">IFERROR(INDEX('Source 2026'!$C:$C,MATCH($A231,'Source 2026'!$B:$B,0)),IFERROR(INDEX('Source 2025'!$C:$C,MATCH($A231,'Source 2025'!$B:$B,0)),""))</f>
        <v>צוארון ספוגי</v>
      </c>
      <c r="C231" s="9" t="n">
        <f aca="false">SUMIFS('Source 2025'!$I:$I,'Source 2025'!$B:$B,$A231,'Source 2025'!$A:$A,"Quantity (units)")</f>
        <v>-3</v>
      </c>
      <c r="D231" s="9" t="n">
        <f aca="false">SUMIFS('Source 2026'!$I:$I,'Source 2026'!$B:$B,$A231,'Source 2026'!$A:$A,"Quantity (units)")</f>
        <v>0</v>
      </c>
      <c r="E231" s="9" t="n">
        <f aca="false">D231-C231</f>
        <v>3</v>
      </c>
      <c r="F231" s="10" t="n">
        <f aca="false">IF(AND(C231=0,D231=0),0,IF(C231=0,"New",(D231-C231)/C231))</f>
        <v>-1</v>
      </c>
      <c r="G231" s="11" t="n">
        <f aca="false">SUMIFS('Source 2025'!$I:$I,'Source 2025'!$B:$B,$A231,'Source 2025'!$A:$A,"Amount (NIS)")</f>
        <v>-90</v>
      </c>
      <c r="H231" s="11" t="n">
        <f aca="false">SUMIFS('Source 2026'!$I:$I,'Source 2026'!$B:$B,$A231,'Source 2026'!$A:$A,"Amount (NIS)")</f>
        <v>0</v>
      </c>
      <c r="I231" s="11" t="n">
        <f aca="false">H231-G231</f>
        <v>90</v>
      </c>
      <c r="J231" s="10" t="n">
        <f aca="false">IF(AND(G231=0,H231=0),0,IF(G231=0,"New",(H231-G231)/G231))</f>
        <v>-1</v>
      </c>
    </row>
    <row r="232" customFormat="false" ht="15" hidden="false" customHeight="true" outlineLevel="0" collapsed="false">
      <c r="A232" s="8" t="s">
        <v>152</v>
      </c>
      <c r="B232" s="8" t="str">
        <f aca="false">IFERROR(INDEX('Source 2026'!$C:$C,MATCH($A232,'Source 2026'!$B:$B,0)),IFERROR(INDEX('Source 2025'!$C:$C,MATCH($A232,'Source 2025'!$B:$B,0)),""))</f>
        <v>L-XL חגורת הריון</v>
      </c>
      <c r="C232" s="9" t="n">
        <f aca="false">SUMIFS('Source 2025'!$I:$I,'Source 2025'!$B:$B,$A232,'Source 2025'!$A:$A,"Quantity (units)")</f>
        <v>69</v>
      </c>
      <c r="D232" s="9" t="n">
        <f aca="false">SUMIFS('Source 2026'!$I:$I,'Source 2026'!$B:$B,$A232,'Source 2026'!$A:$A,"Quantity (units)")</f>
        <v>66</v>
      </c>
      <c r="E232" s="9" t="n">
        <f aca="false">D232-C232</f>
        <v>-3</v>
      </c>
      <c r="F232" s="10" t="n">
        <f aca="false">IF(AND(C232=0,D232=0),0,IF(C232=0,"New",(D232-C232)/C232))</f>
        <v>-0.0434782608695652</v>
      </c>
      <c r="G232" s="11" t="n">
        <f aca="false">SUMIFS('Source 2025'!$I:$I,'Source 2025'!$B:$B,$A232,'Source 2025'!$A:$A,"Amount (NIS)")</f>
        <v>7018.7</v>
      </c>
      <c r="H232" s="11" t="n">
        <f aca="false">SUMIFS('Source 2026'!$I:$I,'Source 2026'!$B:$B,$A232,'Source 2026'!$A:$A,"Amount (NIS)")</f>
        <v>6936.6</v>
      </c>
      <c r="I232" s="11" t="n">
        <f aca="false">H232-G232</f>
        <v>-82.0999999999995</v>
      </c>
      <c r="J232" s="10" t="n">
        <f aca="false">IF(AND(G232=0,H232=0),0,IF(G232=0,"New",(H232-G232)/G232))</f>
        <v>-0.0116973228660577</v>
      </c>
    </row>
    <row r="233" customFormat="false" ht="15" hidden="false" customHeight="true" outlineLevel="0" collapsed="false">
      <c r="A233" s="8" t="s">
        <v>371</v>
      </c>
      <c r="B233" s="8" t="str">
        <f aca="false">IFERROR(INDEX('Source 2026'!$C:$C,MATCH($A233,'Source 2026'!$B:$B,0)),IFERROR(INDEX('Source 2025'!$C:$C,MATCH($A233,'Source 2025'!$B:$B,0)),""))</f>
        <v>S'תתחגורת בטן עממית בז</v>
      </c>
      <c r="C233" s="9" t="n">
        <f aca="false">SUMIFS('Source 2025'!$I:$I,'Source 2025'!$B:$B,$A233,'Source 2025'!$A:$A,"Quantity (units)")</f>
        <v>0</v>
      </c>
      <c r="D233" s="9" t="n">
        <f aca="false">SUMIFS('Source 2026'!$I:$I,'Source 2026'!$B:$B,$A233,'Source 2026'!$A:$A,"Quantity (units)")</f>
        <v>-1</v>
      </c>
      <c r="E233" s="9" t="n">
        <f aca="false">D233-C233</f>
        <v>-1</v>
      </c>
      <c r="F233" s="10" t="str">
        <f aca="false">IF(AND(C233=0,D233=0),0,IF(C233=0,"New",(D233-C233)/C233))</f>
        <v>New</v>
      </c>
      <c r="G233" s="11" t="n">
        <f aca="false">SUMIFS('Source 2025'!$I:$I,'Source 2025'!$B:$B,$A233,'Source 2025'!$A:$A,"Amount (NIS)")</f>
        <v>0</v>
      </c>
      <c r="H233" s="11" t="n">
        <f aca="false">SUMIFS('Source 2026'!$I:$I,'Source 2026'!$B:$B,$A233,'Source 2026'!$A:$A,"Amount (NIS)")</f>
        <v>-77.8</v>
      </c>
      <c r="I233" s="11" t="n">
        <f aca="false">H233-G233</f>
        <v>-77.8</v>
      </c>
      <c r="J233" s="10" t="str">
        <f aca="false">IF(AND(G233=0,H233=0),0,IF(G233=0,"New",(H233-G233)/G233))</f>
        <v>New</v>
      </c>
    </row>
    <row r="234" customFormat="false" ht="15" hidden="false" customHeight="true" outlineLevel="0" collapsed="false">
      <c r="A234" s="8" t="s">
        <v>334</v>
      </c>
      <c r="B234" s="8" t="str">
        <f aca="false">IFERROR(INDEX('Source 2026'!$C:$C,MATCH($A234,'Source 2026'!$B:$B,0)),IFERROR(INDEX('Source 2025'!$C:$C,MATCH($A234,'Source 2025'!$B:$B,0)),""))</f>
        <v>ריפוד סיליקון לעקב אחורי</v>
      </c>
      <c r="C234" s="9" t="n">
        <f aca="false">SUMIFS('Source 2025'!$I:$I,'Source 2025'!$B:$B,$A234,'Source 2025'!$A:$A,"Quantity (units)")</f>
        <v>89</v>
      </c>
      <c r="D234" s="9" t="n">
        <f aca="false">SUMIFS('Source 2026'!$I:$I,'Source 2026'!$B:$B,$A234,'Source 2026'!$A:$A,"Quantity (units)")</f>
        <v>91</v>
      </c>
      <c r="E234" s="9" t="n">
        <f aca="false">D234-C234</f>
        <v>2</v>
      </c>
      <c r="F234" s="10" t="n">
        <f aca="false">IF(AND(C234=0,D234=0),0,IF(C234=0,"New",(D234-C234)/C234))</f>
        <v>0.0224719101123596</v>
      </c>
      <c r="G234" s="11" t="n">
        <f aca="false">SUMIFS('Source 2025'!$I:$I,'Source 2025'!$B:$B,$A234,'Source 2025'!$A:$A,"Amount (NIS)")</f>
        <v>1894.5</v>
      </c>
      <c r="H234" s="11" t="n">
        <f aca="false">SUMIFS('Source 2026'!$I:$I,'Source 2026'!$B:$B,$A234,'Source 2026'!$A:$A,"Amount (NIS)")</f>
        <v>1968.5</v>
      </c>
      <c r="I234" s="11" t="n">
        <f aca="false">H234-G234</f>
        <v>74</v>
      </c>
      <c r="J234" s="10" t="n">
        <f aca="false">IF(AND(G234=0,H234=0),0,IF(G234=0,"New",(H234-G234)/G234))</f>
        <v>0.0390604381103194</v>
      </c>
    </row>
    <row r="235" customFormat="false" ht="15" hidden="false" customHeight="true" outlineLevel="0" collapsed="false">
      <c r="A235" s="8" t="s">
        <v>372</v>
      </c>
      <c r="B235" s="8" t="str">
        <f aca="false">IFERROR(INDEX('Source 2026'!$C:$C,MATCH($A235,'Source 2026'!$B:$B,0)),IFERROR(INDEX('Source 2025'!$C:$C,MATCH($A235,'Source 2025'!$B:$B,0)),""))</f>
        <v>רצועת פיקה לברך</v>
      </c>
      <c r="C235" s="9" t="n">
        <f aca="false">SUMIFS('Source 2025'!$I:$I,'Source 2025'!$B:$B,$A235,'Source 2025'!$A:$A,"Quantity (units)")</f>
        <v>-1</v>
      </c>
      <c r="D235" s="9" t="n">
        <f aca="false">SUMIFS('Source 2026'!$I:$I,'Source 2026'!$B:$B,$A235,'Source 2026'!$A:$A,"Quantity (units)")</f>
        <v>-2</v>
      </c>
      <c r="E235" s="9" t="n">
        <f aca="false">D235-C235</f>
        <v>-1</v>
      </c>
      <c r="F235" s="10" t="n">
        <f aca="false">IF(AND(C235=0,D235=0),0,IF(C235=0,"New",(D235-C235)/C235))</f>
        <v>1</v>
      </c>
      <c r="G235" s="11" t="n">
        <f aca="false">SUMIFS('Source 2025'!$I:$I,'Source 2025'!$B:$B,$A235,'Source 2025'!$A:$A,"Amount (NIS)")</f>
        <v>-73.9</v>
      </c>
      <c r="H235" s="11" t="n">
        <f aca="false">SUMIFS('Source 2026'!$I:$I,'Source 2026'!$B:$B,$A235,'Source 2026'!$A:$A,"Amount (NIS)")</f>
        <v>-147.8</v>
      </c>
      <c r="I235" s="11" t="n">
        <f aca="false">H235-G235</f>
        <v>-73.9</v>
      </c>
      <c r="J235" s="10" t="n">
        <f aca="false">IF(AND(G235=0,H235=0),0,IF(G235=0,"New",(H235-G235)/G235))</f>
        <v>1</v>
      </c>
    </row>
    <row r="236" customFormat="false" ht="15" hidden="false" customHeight="true" outlineLevel="0" collapsed="false">
      <c r="A236" s="8" t="s">
        <v>289</v>
      </c>
      <c r="B236" s="8" t="str">
        <f aca="false">IFERROR(INDEX('Source 2026'!$C:$C,MATCH($A236,'Source 2026'!$B:$B,0)),IFERROR(INDEX('Source 2025'!$C:$C,MATCH($A236,'Source 2025'!$B:$B,0)),""))</f>
        <v>L מתלה אשכים לספורטאים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0</v>
      </c>
      <c r="E236" s="9" t="n">
        <f aca="false">D236-C236</f>
        <v>1</v>
      </c>
      <c r="F236" s="10" t="n">
        <f aca="false">IF(AND(C236=0,D236=0),0,IF(C236=0,"New",(D236-C236)/C236))</f>
        <v>-1</v>
      </c>
      <c r="G236" s="11" t="n">
        <f aca="false">SUMIFS('Source 2025'!$I:$I,'Source 2025'!$B:$B,$A236,'Source 2025'!$A:$A,"Amount (NIS)")</f>
        <v>-71.3</v>
      </c>
      <c r="H236" s="11" t="n">
        <f aca="false">SUMIFS('Source 2026'!$I:$I,'Source 2026'!$B:$B,$A236,'Source 2026'!$A:$A,"Amount (NIS)")</f>
        <v>0</v>
      </c>
      <c r="I236" s="11" t="n">
        <f aca="false">H236-G236</f>
        <v>71.3</v>
      </c>
      <c r="J236" s="10" t="n">
        <f aca="false">IF(AND(G236=0,H236=0),0,IF(G236=0,"New",(H236-G236)/G236))</f>
        <v>-1</v>
      </c>
    </row>
    <row r="237" customFormat="false" ht="15" hidden="false" customHeight="true" outlineLevel="0" collapsed="false">
      <c r="A237" s="8" t="s">
        <v>323</v>
      </c>
      <c r="B237" s="8" t="str">
        <f aca="false">IFERROR(INDEX('Source 2026'!$C:$C,MATCH($A237,'Source 2026'!$B:$B,0)),IFERROR(INDEX('Source 2025'!$C:$C,MATCH($A237,'Source 2025'!$B:$B,0)),""))</f>
        <v>120 תתתרסיס מרענן לרגל</v>
      </c>
      <c r="C237" s="9" t="n">
        <f aca="false">SUMIFS('Source 2025'!$I:$I,'Source 2025'!$B:$B,$A237,'Source 2025'!$A:$A,"Quantity (units)")</f>
        <v>-3</v>
      </c>
      <c r="D237" s="9" t="n">
        <f aca="false">SUMIFS('Source 2026'!$I:$I,'Source 2026'!$B:$B,$A237,'Source 2026'!$A:$A,"Quantity (units)")</f>
        <v>0</v>
      </c>
      <c r="E237" s="9" t="n">
        <f aca="false">D237-C237</f>
        <v>3</v>
      </c>
      <c r="F237" s="10" t="n">
        <f aca="false">IF(AND(C237=0,D237=0),0,IF(C237=0,"New",(D237-C237)/C237))</f>
        <v>-1</v>
      </c>
      <c r="G237" s="11" t="n">
        <f aca="false">SUMIFS('Source 2025'!$I:$I,'Source 2025'!$B:$B,$A237,'Source 2025'!$A:$A,"Amount (NIS)")</f>
        <v>-70.7</v>
      </c>
      <c r="H237" s="11" t="n">
        <f aca="false">SUMIFS('Source 2026'!$I:$I,'Source 2026'!$B:$B,$A237,'Source 2026'!$A:$A,"Amount (NIS)")</f>
        <v>0</v>
      </c>
      <c r="I237" s="11" t="n">
        <f aca="false">H237-G237</f>
        <v>70.7</v>
      </c>
      <c r="J237" s="10" t="n">
        <f aca="false">IF(AND(G237=0,H237=0),0,IF(G237=0,"New",(H237-G237)/G237))</f>
        <v>-1</v>
      </c>
    </row>
    <row r="238" customFormat="false" ht="15" hidden="false" customHeight="true" outlineLevel="0" collapsed="false">
      <c r="A238" s="8" t="s">
        <v>238</v>
      </c>
      <c r="B238" s="8" t="str">
        <f aca="false">IFERROR(INDEX('Source 2026'!$C:$C,MATCH($A238,'Source 2026'!$B:$B,0)),IFERROR(INDEX('Source 2025'!$C:$C,MATCH($A238,'Source 2025'!$B:$B,0)),""))</f>
        <v>L סד לאגודל כפפה</v>
      </c>
      <c r="C238" s="9" t="n">
        <f aca="false">SUMIFS('Source 2025'!$I:$I,'Source 2025'!$B:$B,$A238,'Source 2025'!$A:$A,"Quantity (units)")</f>
        <v>0</v>
      </c>
      <c r="D238" s="9" t="n">
        <f aca="false">SUMIFS('Source 2026'!$I:$I,'Source 2026'!$B:$B,$A238,'Source 2026'!$A:$A,"Quantity (units)")</f>
        <v>-1</v>
      </c>
      <c r="E238" s="9" t="n">
        <f aca="false">D238-C238</f>
        <v>-1</v>
      </c>
      <c r="F238" s="10" t="str">
        <f aca="false">IF(AND(C238=0,D238=0),0,IF(C238=0,"New",(D238-C238)/C238))</f>
        <v>New</v>
      </c>
      <c r="G238" s="11" t="n">
        <f aca="false">SUMIFS('Source 2025'!$I:$I,'Source 2025'!$B:$B,$A238,'Source 2025'!$A:$A,"Amount (NIS)")</f>
        <v>0</v>
      </c>
      <c r="H238" s="11" t="n">
        <f aca="false">SUMIFS('Source 2026'!$I:$I,'Source 2026'!$B:$B,$A238,'Source 2026'!$A:$A,"Amount (NIS)")</f>
        <v>-58.3</v>
      </c>
      <c r="I238" s="11" t="n">
        <f aca="false">H238-G238</f>
        <v>-58.3</v>
      </c>
      <c r="J238" s="10" t="str">
        <f aca="false">IF(AND(G238=0,H238=0),0,IF(G238=0,"New",(H238-G238)/G238))</f>
        <v>New</v>
      </c>
    </row>
    <row r="239" customFormat="false" ht="15" hidden="false" customHeight="true" outlineLevel="0" collapsed="false">
      <c r="A239" s="8" t="s">
        <v>330</v>
      </c>
      <c r="B239" s="8" t="str">
        <f aca="false">IFERROR(INDEX('Source 2026'!$C:$C,MATCH($A239,'Source 2026'!$B:$B,0)),IFERROR(INDEX('Source 2025'!$C:$C,MATCH($A239,'Source 2025'!$B:$B,0)),""))</f>
        <v>טייפ חבישה לספורט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3</v>
      </c>
      <c r="E239" s="9" t="n">
        <f aca="false">D239-C239</f>
        <v>3</v>
      </c>
      <c r="F239" s="10" t="str">
        <f aca="false">IF(AND(C239=0,D239=0),0,IF(C239=0,"New",(D239-C239)/C239))</f>
        <v>New</v>
      </c>
      <c r="G239" s="11" t="n">
        <f aca="false">SUMIFS('Source 2025'!$I:$I,'Source 2025'!$B:$B,$A239,'Source 2025'!$A:$A,"Amount (NIS)")</f>
        <v>0</v>
      </c>
      <c r="H239" s="11" t="n">
        <f aca="false">SUMIFS('Source 2026'!$I:$I,'Source 2026'!$B:$B,$A239,'Source 2026'!$A:$A,"Amount (NIS)")</f>
        <v>51.9</v>
      </c>
      <c r="I239" s="11" t="n">
        <f aca="false">H239-G239</f>
        <v>51.9</v>
      </c>
      <c r="J239" s="10" t="str">
        <f aca="false">IF(AND(G239=0,H239=0),0,IF(G239=0,"New",(H239-G239)/G239))</f>
        <v>New</v>
      </c>
    </row>
    <row r="240" customFormat="false" ht="15" hidden="false" customHeight="true" outlineLevel="0" collapsed="false">
      <c r="A240" s="8" t="s">
        <v>282</v>
      </c>
      <c r="B240" s="8" t="str">
        <f aca="false">IFERROR(INDEX('Source 2026'!$C:$C,MATCH($A240,'Source 2026'!$B:$B,0)),IFERROR(INDEX('Source 2025'!$C:$C,MATCH($A240,'Source 2025'!$B:$B,0)),""))</f>
        <v>מגן זרת מסיליקון</v>
      </c>
      <c r="C240" s="9" t="n">
        <f aca="false">SUMIFS('Source 2025'!$I:$I,'Source 2025'!$B:$B,$A240,'Source 2025'!$A:$A,"Quantity (units)")</f>
        <v>107</v>
      </c>
      <c r="D240" s="9" t="n">
        <f aca="false">SUMIFS('Source 2026'!$I:$I,'Source 2026'!$B:$B,$A240,'Source 2026'!$A:$A,"Quantity (units)")</f>
        <v>104</v>
      </c>
      <c r="E240" s="9" t="n">
        <f aca="false">D240-C240</f>
        <v>-3</v>
      </c>
      <c r="F240" s="10" t="n">
        <f aca="false">IF(AND(C240=0,D240=0),0,IF(C240=0,"New",(D240-C240)/C240))</f>
        <v>-0.0280373831775701</v>
      </c>
      <c r="G240" s="11" t="n">
        <f aca="false">SUMIFS('Source 2025'!$I:$I,'Source 2025'!$B:$B,$A240,'Source 2025'!$A:$A,"Amount (NIS)")</f>
        <v>2792.2</v>
      </c>
      <c r="H240" s="11" t="n">
        <f aca="false">SUMIFS('Source 2026'!$I:$I,'Source 2026'!$B:$B,$A240,'Source 2026'!$A:$A,"Amount (NIS)")</f>
        <v>2746</v>
      </c>
      <c r="I240" s="11" t="n">
        <f aca="false">H240-G240</f>
        <v>-46.1999999999998</v>
      </c>
      <c r="J240" s="10" t="n">
        <f aca="false">IF(AND(G240=0,H240=0),0,IF(G240=0,"New",(H240-G240)/G240))</f>
        <v>-0.0165460926867702</v>
      </c>
    </row>
    <row r="241" customFormat="false" ht="15" hidden="false" customHeight="true" outlineLevel="0" collapsed="false">
      <c r="A241" s="8" t="s">
        <v>205</v>
      </c>
      <c r="B241" s="8" t="str">
        <f aca="false">IFERROR(INDEX('Source 2026'!$C:$C,MATCH($A241,'Source 2026'!$B:$B,0)),IFERROR(INDEX('Source 2025'!$C:$C,MATCH($A241,'Source 2025'!$B:$B,0)),""))</f>
        <v>מגן קרסול נושם</v>
      </c>
      <c r="C241" s="9" t="n">
        <f aca="false">SUMIFS('Source 2025'!$I:$I,'Source 2025'!$B:$B,$A241,'Source 2025'!$A:$A,"Quantity (units)")</f>
        <v>11</v>
      </c>
      <c r="D241" s="9" t="n">
        <f aca="false">SUMIFS('Source 2026'!$I:$I,'Source 2026'!$B:$B,$A241,'Source 2026'!$A:$A,"Quantity (units)")</f>
        <v>9</v>
      </c>
      <c r="E241" s="9" t="n">
        <f aca="false">D241-C241</f>
        <v>-2</v>
      </c>
      <c r="F241" s="10" t="n">
        <f aca="false">IF(AND(C241=0,D241=0),0,IF(C241=0,"New",(D241-C241)/C241))</f>
        <v>-0.181818181818182</v>
      </c>
      <c r="G241" s="11" t="n">
        <f aca="false">SUMIFS('Source 2025'!$I:$I,'Source 2025'!$B:$B,$A241,'Source 2025'!$A:$A,"Amount (NIS)")</f>
        <v>381.1</v>
      </c>
      <c r="H241" s="11" t="n">
        <f aca="false">SUMIFS('Source 2026'!$I:$I,'Source 2026'!$B:$B,$A241,'Source 2026'!$A:$A,"Amount (NIS)")</f>
        <v>337.1</v>
      </c>
      <c r="I241" s="11" t="n">
        <f aca="false">H241-G241</f>
        <v>-44</v>
      </c>
      <c r="J241" s="10" t="n">
        <f aca="false">IF(AND(G241=0,H241=0),0,IF(G241=0,"New",(H241-G241)/G241))</f>
        <v>-0.115455261086329</v>
      </c>
    </row>
    <row r="242" customFormat="false" ht="15" hidden="false" customHeight="true" outlineLevel="0" collapsed="false">
      <c r="A242" s="8" t="s">
        <v>96</v>
      </c>
      <c r="B242" s="8" t="str">
        <f aca="false">IFERROR(INDEX('Source 2026'!$C:$C,MATCH($A242,'Source 2026'!$B:$B,0)),IFERROR(INDEX('Source 2025'!$C:$C,MATCH($A242,'Source 2025'!$B:$B,0)),""))</f>
        <v>S תומך זרוע וכתף</v>
      </c>
      <c r="C242" s="9" t="n">
        <f aca="false">SUMIFS('Source 2025'!$I:$I,'Source 2025'!$B:$B,$A242,'Source 2025'!$A:$A,"Quantity (units)")</f>
        <v>20</v>
      </c>
      <c r="D242" s="9" t="n">
        <f aca="false">SUMIFS('Source 2026'!$I:$I,'Source 2026'!$B:$B,$A242,'Source 2026'!$A:$A,"Quantity (units)")</f>
        <v>22</v>
      </c>
      <c r="E242" s="9" t="n">
        <f aca="false">D242-C242</f>
        <v>2</v>
      </c>
      <c r="F242" s="10" t="n">
        <f aca="false">IF(AND(C242=0,D242=0),0,IF(C242=0,"New",(D242-C242)/C242))</f>
        <v>0.1</v>
      </c>
      <c r="G242" s="11" t="n">
        <f aca="false">SUMIFS('Source 2025'!$I:$I,'Source 2025'!$B:$B,$A242,'Source 2025'!$A:$A,"Amount (NIS)")</f>
        <v>3449.3</v>
      </c>
      <c r="H242" s="11" t="n">
        <f aca="false">SUMIFS('Source 2026'!$I:$I,'Source 2026'!$B:$B,$A242,'Source 2026'!$A:$A,"Amount (NIS)")</f>
        <v>3490.2</v>
      </c>
      <c r="I242" s="11" t="n">
        <f aca="false">H242-G242</f>
        <v>40.8999999999996</v>
      </c>
      <c r="J242" s="10" t="n">
        <f aca="false">IF(AND(G242=0,H242=0),0,IF(G242=0,"New",(H242-G242)/G242))</f>
        <v>0.0118574783289362</v>
      </c>
    </row>
    <row r="243" customFormat="false" ht="15" hidden="false" customHeight="true" outlineLevel="0" collapsed="false">
      <c r="A243" s="8" t="s">
        <v>322</v>
      </c>
      <c r="B243" s="8" t="str">
        <f aca="false">IFERROR(INDEX('Source 2026'!$C:$C,MATCH($A243,'Source 2026'!$B:$B,0)),IFERROR(INDEX('Source 2025'!$C:$C,MATCH($A243,'Source 2025'!$B:$B,0)),""))</f>
        <v>S תתמתלה ליד רצועה</v>
      </c>
      <c r="C243" s="9" t="n">
        <f aca="false">SUMIFS('Source 2025'!$I:$I,'Source 2025'!$B:$B,$A243,'Source 2025'!$A:$A,"Quantity (units)")</f>
        <v>-1</v>
      </c>
      <c r="D243" s="9" t="n">
        <f aca="false">SUMIFS('Source 2026'!$I:$I,'Source 2026'!$B:$B,$A243,'Source 2026'!$A:$A,"Quantity (units)")</f>
        <v>0</v>
      </c>
      <c r="E243" s="9" t="n">
        <f aca="false">D243-C243</f>
        <v>1</v>
      </c>
      <c r="F243" s="10" t="n">
        <f aca="false">IF(AND(C243=0,D243=0),0,IF(C243=0,"New",(D243-C243)/C243))</f>
        <v>-1</v>
      </c>
      <c r="G243" s="11" t="n">
        <f aca="false">SUMIFS('Source 2025'!$I:$I,'Source 2025'!$B:$B,$A243,'Source 2025'!$A:$A,"Amount (NIS)")</f>
        <v>-32.3</v>
      </c>
      <c r="H243" s="11" t="n">
        <f aca="false">SUMIFS('Source 2026'!$I:$I,'Source 2026'!$B:$B,$A243,'Source 2026'!$A:$A,"Amount (NIS)")</f>
        <v>0</v>
      </c>
      <c r="I243" s="11" t="n">
        <f aca="false">H243-G243</f>
        <v>32.3</v>
      </c>
      <c r="J243" s="10" t="n">
        <f aca="false">IF(AND(G243=0,H243=0),0,IF(G243=0,"New",(H243-G243)/G243))</f>
        <v>-1</v>
      </c>
    </row>
    <row r="244" customFormat="false" ht="15" hidden="false" customHeight="true" outlineLevel="0" collapsed="false">
      <c r="A244" s="8" t="s">
        <v>283</v>
      </c>
      <c r="B244" s="8" t="str">
        <f aca="false">IFERROR(INDEX('Source 2026'!$C:$C,MATCH($A244,'Source 2026'!$B:$B,0)),IFERROR(INDEX('Source 2025'!$C:$C,MATCH($A244,'Source 2025'!$B:$B,0)),""))</f>
        <v>בקט.לנעל120</v>
      </c>
      <c r="C244" s="9" t="n">
        <f aca="false">SUMIFS('Source 2025'!$I:$I,'Source 2025'!$B:$B,$A244,'Source 2025'!$A:$A,"Quantity (units)")</f>
        <v>1</v>
      </c>
      <c r="D244" s="9" t="n">
        <f aca="false">SUMIFS('Source 2026'!$I:$I,'Source 2026'!$B:$B,$A244,'Source 2026'!$A:$A,"Quantity (units)")</f>
        <v>0</v>
      </c>
      <c r="E244" s="9" t="n">
        <f aca="false">D244-C244</f>
        <v>-1</v>
      </c>
      <c r="F244" s="10" t="n">
        <f aca="false">IF(AND(C244=0,D244=0),0,IF(C244=0,"New",(D244-C244)/C244))</f>
        <v>-1</v>
      </c>
      <c r="G244" s="11" t="n">
        <f aca="false">SUMIFS('Source 2025'!$I:$I,'Source 2025'!$B:$B,$A244,'Source 2025'!$A:$A,"Amount (NIS)")</f>
        <v>29</v>
      </c>
      <c r="H244" s="11" t="n">
        <f aca="false">SUMIFS('Source 2026'!$I:$I,'Source 2026'!$B:$B,$A244,'Source 2026'!$A:$A,"Amount (NIS)")</f>
        <v>0</v>
      </c>
      <c r="I244" s="11" t="n">
        <f aca="false">H244-G244</f>
        <v>-29</v>
      </c>
      <c r="J244" s="10" t="n">
        <f aca="false">IF(AND(G244=0,H244=0),0,IF(G244=0,"New",(H244-G244)/G244))</f>
        <v>-1</v>
      </c>
    </row>
    <row r="245" customFormat="false" ht="15" hidden="false" customHeight="true" outlineLevel="0" collapsed="false">
      <c r="A245" s="8" t="s">
        <v>92</v>
      </c>
      <c r="B245" s="8" t="str">
        <f aca="false">IFERROR(INDEX('Source 2026'!$C:$C,MATCH($A245,'Source 2026'!$B:$B,0)),IFERROR(INDEX('Source 2025'!$C:$C,MATCH($A245,'Source 2025'!$B:$B,0)),""))</f>
        <v>סד לש.כף יד שמאל</v>
      </c>
      <c r="C245" s="9" t="n">
        <f aca="false">SUMIFS('Source 2025'!$I:$I,'Source 2025'!$B:$B,$A245,'Source 2025'!$A:$A,"Quantity (units)")</f>
        <v>25</v>
      </c>
      <c r="D245" s="9" t="n">
        <f aca="false">SUMIFS('Source 2026'!$I:$I,'Source 2026'!$B:$B,$A245,'Source 2026'!$A:$A,"Quantity (units)")</f>
        <v>24</v>
      </c>
      <c r="E245" s="9" t="n">
        <f aca="false">D245-C245</f>
        <v>-1</v>
      </c>
      <c r="F245" s="10" t="n">
        <f aca="false">IF(AND(C245=0,D245=0),0,IF(C245=0,"New",(D245-C245)/C245))</f>
        <v>-0.04</v>
      </c>
      <c r="G245" s="11" t="n">
        <f aca="false">SUMIFS('Source 2025'!$I:$I,'Source 2025'!$B:$B,$A245,'Source 2025'!$A:$A,"Amount (NIS)")</f>
        <v>868.5</v>
      </c>
      <c r="H245" s="11" t="n">
        <f aca="false">SUMIFS('Source 2026'!$I:$I,'Source 2026'!$B:$B,$A245,'Source 2026'!$A:$A,"Amount (NIS)")</f>
        <v>847.6</v>
      </c>
      <c r="I245" s="11" t="n">
        <f aca="false">H245-G245</f>
        <v>-20.9</v>
      </c>
      <c r="J245" s="10" t="n">
        <f aca="false">IF(AND(G245=0,H245=0),0,IF(G245=0,"New",(H245-G245)/G245))</f>
        <v>-0.0240644789867588</v>
      </c>
    </row>
    <row r="246" customFormat="false" ht="15" hidden="false" customHeight="true" outlineLevel="0" collapsed="false">
      <c r="A246" s="8" t="s">
        <v>345</v>
      </c>
      <c r="B246" s="8" t="str">
        <f aca="false">IFERROR(INDEX('Source 2026'!$C:$C,MATCH($A246,'Source 2026'!$B:$B,0)),IFERROR(INDEX('Source 2025'!$C:$C,MATCH($A246,'Source 2025'!$B:$B,0)),""))</f>
        <v>נוזלי</v>
      </c>
      <c r="C246" s="9" t="n">
        <f aca="false">SUMIFS('Source 2025'!$I:$I,'Source 2025'!$B:$B,$A246,'Source 2025'!$A:$A,"Quantity (units)")</f>
        <v>-1</v>
      </c>
      <c r="D246" s="9" t="n">
        <f aca="false">SUMIFS('Source 2026'!$I:$I,'Source 2026'!$B:$B,$A246,'Source 2026'!$A:$A,"Quantity (units)")</f>
        <v>0</v>
      </c>
      <c r="E246" s="9" t="n">
        <f aca="false">D246-C246</f>
        <v>1</v>
      </c>
      <c r="F246" s="10" t="n">
        <f aca="false">IF(AND(C246=0,D246=0),0,IF(C246=0,"New",(D246-C246)/C246))</f>
        <v>-1</v>
      </c>
      <c r="G246" s="11" t="n">
        <f aca="false">SUMIFS('Source 2025'!$I:$I,'Source 2025'!$B:$B,$A246,'Source 2025'!$A:$A,"Amount (NIS)")</f>
        <v>-20.8</v>
      </c>
      <c r="H246" s="11" t="n">
        <f aca="false">SUMIFS('Source 2026'!$I:$I,'Source 2026'!$B:$B,$A246,'Source 2026'!$A:$A,"Amount (NIS)")</f>
        <v>0</v>
      </c>
      <c r="I246" s="11" t="n">
        <f aca="false">H246-G246</f>
        <v>20.8</v>
      </c>
      <c r="J246" s="10" t="n">
        <f aca="false">IF(AND(G246=0,H246=0),0,IF(G246=0,"New",(H246-G246)/G246))</f>
        <v>-1</v>
      </c>
    </row>
    <row r="247" customFormat="false" ht="15" hidden="false" customHeight="true" outlineLevel="0" collapsed="false">
      <c r="A247" s="8" t="s">
        <v>201</v>
      </c>
      <c r="B247" s="8" t="str">
        <f aca="false">IFERROR(INDEX('Source 2026'!$C:$C,MATCH($A247,'Source 2026'!$B:$B,0)),IFERROR(INDEX('Source 2025'!$C:$C,MATCH($A247,'Source 2025'!$B:$B,0)),""))</f>
        <v>ריפוד סיליק.לעקב תחתון</v>
      </c>
      <c r="C247" s="9" t="n">
        <f aca="false">SUMIFS('Source 2025'!$I:$I,'Source 2025'!$B:$B,$A247,'Source 2025'!$A:$A,"Quantity (units)")</f>
        <v>43</v>
      </c>
      <c r="D247" s="9" t="n">
        <f aca="false">SUMIFS('Source 2026'!$I:$I,'Source 2026'!$B:$B,$A247,'Source 2026'!$A:$A,"Quantity (units)")</f>
        <v>41</v>
      </c>
      <c r="E247" s="9" t="n">
        <f aca="false">D247-C247</f>
        <v>-2</v>
      </c>
      <c r="F247" s="10" t="n">
        <f aca="false">IF(AND(C247=0,D247=0),0,IF(C247=0,"New",(D247-C247)/C247))</f>
        <v>-0.0465116279069767</v>
      </c>
      <c r="G247" s="11" t="n">
        <f aca="false">SUMIFS('Source 2025'!$I:$I,'Source 2025'!$B:$B,$A247,'Source 2025'!$A:$A,"Amount (NIS)")</f>
        <v>900.2</v>
      </c>
      <c r="H247" s="11" t="n">
        <f aca="false">SUMIFS('Source 2026'!$I:$I,'Source 2026'!$B:$B,$A247,'Source 2026'!$A:$A,"Amount (NIS)")</f>
        <v>879.8</v>
      </c>
      <c r="I247" s="11" t="n">
        <f aca="false">H247-G247</f>
        <v>-20.4000000000001</v>
      </c>
      <c r="J247" s="10" t="n">
        <f aca="false">IF(AND(G247=0,H247=0),0,IF(G247=0,"New",(H247-G247)/G247))</f>
        <v>-0.0226616307487226</v>
      </c>
    </row>
    <row r="248" customFormat="false" ht="15" hidden="false" customHeight="true" outlineLevel="0" collapsed="false">
      <c r="A248" s="8" t="s">
        <v>136</v>
      </c>
      <c r="B248" s="8" t="str">
        <f aca="false">IFERROR(INDEX('Source 2026'!$C:$C,MATCH($A248,'Source 2026'!$B:$B,0)),IFERROR(INDEX('Source 2025'!$C:$C,MATCH($A248,'Source 2025'!$B:$B,0)),""))</f>
        <v>מגן מרפק</v>
      </c>
      <c r="C248" s="9" t="n">
        <f aca="false">SUMIFS('Source 2025'!$I:$I,'Source 2025'!$B:$B,$A248,'Source 2025'!$A:$A,"Quantity (units)")</f>
        <v>3</v>
      </c>
      <c r="D248" s="9" t="n">
        <f aca="false">SUMIFS('Source 2026'!$I:$I,'Source 2026'!$B:$B,$A248,'Source 2026'!$A:$A,"Quantity (units)")</f>
        <v>3</v>
      </c>
      <c r="E248" s="9" t="n">
        <f aca="false">D248-C248</f>
        <v>0</v>
      </c>
      <c r="F248" s="10" t="n">
        <f aca="false">IF(AND(C248=0,D248=0),0,IF(C248=0,"New",(D248-C248)/C248))</f>
        <v>0</v>
      </c>
      <c r="G248" s="11" t="n">
        <f aca="false">SUMIFS('Source 2025'!$I:$I,'Source 2025'!$B:$B,$A248,'Source 2025'!$A:$A,"Amount (NIS)")</f>
        <v>107.6</v>
      </c>
      <c r="H248" s="11" t="n">
        <f aca="false">SUMIFS('Source 2026'!$I:$I,'Source 2026'!$B:$B,$A248,'Source 2026'!$A:$A,"Amount (NIS)")</f>
        <v>126.4</v>
      </c>
      <c r="I248" s="11" t="n">
        <f aca="false">H248-G248</f>
        <v>18.8</v>
      </c>
      <c r="J248" s="10" t="n">
        <f aca="false">IF(AND(G248=0,H248=0),0,IF(G248=0,"New",(H248-G248)/G248))</f>
        <v>0.174721189591078</v>
      </c>
    </row>
    <row r="249" customFormat="false" ht="15" hidden="false" customHeight="true" outlineLevel="0" collapsed="false">
      <c r="A249" s="8" t="s">
        <v>328</v>
      </c>
      <c r="B249" s="8" t="str">
        <f aca="false">IFERROR(INDEX('Source 2026'!$C:$C,MATCH($A249,'Source 2026'!$B:$B,0)),IFERROR(INDEX('Source 2025'!$C:$C,MATCH($A249,'Source 2025'!$B:$B,0)),""))</f>
        <v>XXL מגן ברך ארוך עם כרית</v>
      </c>
      <c r="C249" s="9" t="n">
        <f aca="false">SUMIFS('Source 2025'!$I:$I,'Source 2025'!$B:$B,$A249,'Source 2025'!$A:$A,"Quantity (units)")</f>
        <v>-3</v>
      </c>
      <c r="D249" s="9" t="n">
        <f aca="false">SUMIFS('Source 2026'!$I:$I,'Source 2026'!$B:$B,$A249,'Source 2026'!$A:$A,"Quantity (units)")</f>
        <v>-3</v>
      </c>
      <c r="E249" s="9" t="n">
        <f aca="false">D249-C249</f>
        <v>0</v>
      </c>
      <c r="F249" s="10" t="n">
        <f aca="false">IF(AND(C249=0,D249=0),0,IF(C249=0,"New",(D249-C249)/C249))</f>
        <v>-0</v>
      </c>
      <c r="G249" s="11" t="n">
        <f aca="false">SUMIFS('Source 2025'!$I:$I,'Source 2025'!$B:$B,$A249,'Source 2025'!$A:$A,"Amount (NIS)")</f>
        <v>-608.3</v>
      </c>
      <c r="H249" s="11" t="n">
        <f aca="false">SUMIFS('Source 2026'!$I:$I,'Source 2026'!$B:$B,$A249,'Source 2026'!$A:$A,"Amount (NIS)")</f>
        <v>-590.2</v>
      </c>
      <c r="I249" s="11" t="n">
        <f aca="false">H249-G249</f>
        <v>18.0999999999999</v>
      </c>
      <c r="J249" s="10" t="n">
        <f aca="false">IF(AND(G249=0,H249=0),0,IF(G249=0,"New",(H249-G249)/G249))</f>
        <v>-0.0297550550715106</v>
      </c>
    </row>
    <row r="250" customFormat="false" ht="15" hidden="false" customHeight="true" outlineLevel="0" collapsed="false">
      <c r="A250" s="8" t="s">
        <v>111</v>
      </c>
      <c r="B250" s="8" t="str">
        <f aca="false">IFERROR(INDEX('Source 2026'!$C:$C,MATCH($A250,'Source 2026'!$B:$B,0)),IFERROR(INDEX('Source 2025'!$C:$C,MATCH($A250,'Source 2025'!$B:$B,0)),""))</f>
        <v>סד לש.כף יד ימין</v>
      </c>
      <c r="C250" s="9" t="n">
        <f aca="false">SUMIFS('Source 2025'!$I:$I,'Source 2025'!$B:$B,$A250,'Source 2025'!$A:$A,"Quantity (units)")</f>
        <v>29</v>
      </c>
      <c r="D250" s="9" t="n">
        <f aca="false">SUMIFS('Source 2026'!$I:$I,'Source 2026'!$B:$B,$A250,'Source 2026'!$A:$A,"Quantity (units)")</f>
        <v>28</v>
      </c>
      <c r="E250" s="9" t="n">
        <f aca="false">D250-C250</f>
        <v>-1</v>
      </c>
      <c r="F250" s="10" t="n">
        <f aca="false">IF(AND(C250=0,D250=0),0,IF(C250=0,"New",(D250-C250)/C250))</f>
        <v>-0.0344827586206897</v>
      </c>
      <c r="G250" s="11" t="n">
        <f aca="false">SUMIFS('Source 2025'!$I:$I,'Source 2025'!$B:$B,$A250,'Source 2025'!$A:$A,"Amount (NIS)")</f>
        <v>1009.8</v>
      </c>
      <c r="H250" s="11" t="n">
        <f aca="false">SUMIFS('Source 2026'!$I:$I,'Source 2026'!$B:$B,$A250,'Source 2026'!$A:$A,"Amount (NIS)")</f>
        <v>995.5</v>
      </c>
      <c r="I250" s="11" t="n">
        <f aca="false">H250-G250</f>
        <v>-14.3</v>
      </c>
      <c r="J250" s="10" t="n">
        <f aca="false">IF(AND(G250=0,H250=0),0,IF(G250=0,"New",(H250-G250)/G250))</f>
        <v>-0.0141612200435729</v>
      </c>
    </row>
    <row r="251" customFormat="false" ht="15" hidden="false" customHeight="true" outlineLevel="0" collapsed="false">
      <c r="A251" s="8" t="s">
        <v>110</v>
      </c>
      <c r="B251" s="8" t="str">
        <f aca="false">IFERROR(INDEX('Source 2026'!$C:$C,MATCH($A251,'Source 2026'!$B:$B,0)),IFERROR(INDEX('Source 2025'!$C:$C,MATCH($A251,'Source 2025'!$B:$B,0)),""))</f>
        <v>סט פלסטרים נגד שפשופים</v>
      </c>
      <c r="C251" s="9" t="n">
        <f aca="false">SUMIFS('Source 2025'!$I:$I,'Source 2025'!$B:$B,$A251,'Source 2025'!$A:$A,"Quantity (units)")</f>
        <v>0</v>
      </c>
      <c r="D251" s="9" t="n">
        <f aca="false">SUMIFS('Source 2026'!$I:$I,'Source 2026'!$B:$B,$A251,'Source 2026'!$A:$A,"Quantity (units)")</f>
        <v>0</v>
      </c>
      <c r="E251" s="9" t="n">
        <f aca="false">D251-C251</f>
        <v>0</v>
      </c>
      <c r="F251" s="10" t="n">
        <f aca="false">IF(AND(C251=0,D251=0),0,IF(C251=0,"New",(D251-C251)/C251))</f>
        <v>0</v>
      </c>
      <c r="G251" s="11" t="n">
        <f aca="false">SUMIFS('Source 2025'!$I:$I,'Source 2025'!$B:$B,$A251,'Source 2025'!$A:$A,"Amount (NIS)")</f>
        <v>0</v>
      </c>
      <c r="H251" s="11" t="n">
        <f aca="false">SUMIFS('Source 2026'!$I:$I,'Source 2026'!$B:$B,$A251,'Source 2026'!$A:$A,"Amount (NIS)")</f>
        <v>13.3</v>
      </c>
      <c r="I251" s="11" t="n">
        <f aca="false">H251-G251</f>
        <v>13.3</v>
      </c>
      <c r="J251" s="10" t="str">
        <f aca="false">IF(AND(G251=0,H251=0),0,IF(G251=0,"New",(H251-G251)/G251))</f>
        <v>New</v>
      </c>
    </row>
    <row r="252" customFormat="false" ht="15" hidden="false" customHeight="true" outlineLevel="0" collapsed="false">
      <c r="A252" s="8" t="s">
        <v>267</v>
      </c>
      <c r="B252" s="8" t="str">
        <f aca="false">IFERROR(INDEX('Source 2026'!$C:$C,MATCH($A252,'Source 2026'!$B:$B,0)),IFERROR(INDEX('Source 2025'!$C:$C,MATCH($A252,'Source 2025'!$B:$B,0)),""))</f>
        <v>XL סד לאגודל כפפה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9" t="n">
        <f aca="false">D252-C252</f>
        <v>0</v>
      </c>
      <c r="F252" s="10" t="n">
        <f aca="false">IF(AND(C252=0,D252=0),0,IF(C252=0,"New",(D252-C252)/C252))</f>
        <v>0</v>
      </c>
      <c r="G252" s="11" t="n">
        <f aca="false">SUMIFS('Source 2025'!$I:$I,'Source 2025'!$B:$B,$A252,'Source 2025'!$A:$A,"Amount (NIS)")</f>
        <v>-9.50000000000001</v>
      </c>
      <c r="H252" s="11" t="n">
        <f aca="false">SUMIFS('Source 2026'!$I:$I,'Source 2026'!$B:$B,$A252,'Source 2026'!$A:$A,"Amount (NIS)")</f>
        <v>0</v>
      </c>
      <c r="I252" s="11" t="n">
        <f aca="false">H252-G252</f>
        <v>9.50000000000001</v>
      </c>
      <c r="J252" s="10" t="n">
        <f aca="false">IF(AND(G252=0,H252=0),0,IF(G252=0,"New",(H252-G252)/G252))</f>
        <v>-1</v>
      </c>
    </row>
    <row r="253" customFormat="false" ht="15" hidden="false" customHeight="true" outlineLevel="0" collapsed="false">
      <c r="A253" s="8" t="s">
        <v>116</v>
      </c>
      <c r="B253" s="8" t="str">
        <f aca="false">IFERROR(INDEX('Source 2026'!$C:$C,MATCH($A253,'Source 2026'!$B:$B,0)),IFERROR(INDEX('Source 2025'!$C:$C,MATCH($A253,'Source 2025'!$B:$B,0)),""))</f>
        <v>חגורת בטן קלה</v>
      </c>
      <c r="C253" s="9" t="n">
        <f aca="false">SUMIFS('Source 2025'!$I:$I,'Source 2025'!$B:$B,$A253,'Source 2025'!$A:$A,"Quantity (units)")</f>
        <v>2</v>
      </c>
      <c r="D253" s="9" t="n">
        <f aca="false">SUMIFS('Source 2026'!$I:$I,'Source 2026'!$B:$B,$A253,'Source 2026'!$A:$A,"Quantity (units)")</f>
        <v>2</v>
      </c>
      <c r="E253" s="9" t="n">
        <f aca="false">D253-C253</f>
        <v>0</v>
      </c>
      <c r="F253" s="10" t="n">
        <f aca="false">IF(AND(C253=0,D253=0),0,IF(C253=0,"New",(D253-C253)/C253))</f>
        <v>0</v>
      </c>
      <c r="G253" s="11" t="n">
        <f aca="false">SUMIFS('Source 2025'!$I:$I,'Source 2025'!$B:$B,$A253,'Source 2025'!$A:$A,"Amount (NIS)")</f>
        <v>144.4</v>
      </c>
      <c r="H253" s="11" t="n">
        <f aca="false">SUMIFS('Source 2026'!$I:$I,'Source 2026'!$B:$B,$A253,'Source 2026'!$A:$A,"Amount (NIS)")</f>
        <v>150.5</v>
      </c>
      <c r="I253" s="11" t="n">
        <f aca="false">H253-G253</f>
        <v>6.09999999999999</v>
      </c>
      <c r="J253" s="10" t="n">
        <f aca="false">IF(AND(G253=0,H253=0),0,IF(G253=0,"New",(H253-G253)/G253))</f>
        <v>0.0422437673130194</v>
      </c>
    </row>
    <row r="254" customFormat="false" ht="15" hidden="false" customHeight="true" outlineLevel="0" collapsed="false">
      <c r="A254" s="8" t="s">
        <v>373</v>
      </c>
      <c r="B254" s="8" t="str">
        <f aca="false">IFERROR(INDEX('Source 2026'!$C:$C,MATCH($A254,'Source 2026'!$B:$B,0)),IFERROR(INDEX('Source 2025'!$C:$C,MATCH($A254,'Source 2025'!$B:$B,0)),""))</f>
        <v>0   גרביים+סיליקון</v>
      </c>
      <c r="C254" s="9" t="n">
        <f aca="false">SUMIFS('Source 2025'!$I:$I,'Source 2025'!$B:$B,$A254,'Source 2025'!$A:$A,"Quantity (units)")</f>
        <v>-1</v>
      </c>
      <c r="D254" s="9" t="n">
        <f aca="false">SUMIFS('Source 2026'!$I:$I,'Source 2026'!$B:$B,$A254,'Source 2026'!$A:$A,"Quantity (units)")</f>
        <v>-1</v>
      </c>
      <c r="E254" s="9" t="n">
        <f aca="false">D254-C254</f>
        <v>0</v>
      </c>
      <c r="F254" s="10" t="n">
        <f aca="false">IF(AND(C254=0,D254=0),0,IF(C254=0,"New",(D254-C254)/C254))</f>
        <v>-0</v>
      </c>
      <c r="G254" s="11" t="n">
        <f aca="false">SUMIFS('Source 2025'!$I:$I,'Source 2025'!$B:$B,$A254,'Source 2025'!$A:$A,"Amount (NIS)")</f>
        <v>-28.4</v>
      </c>
      <c r="H254" s="11" t="n">
        <f aca="false">SUMIFS('Source 2026'!$I:$I,'Source 2026'!$B:$B,$A254,'Source 2026'!$A:$A,"Amount (NIS)")</f>
        <v>-31.9</v>
      </c>
      <c r="I254" s="11" t="n">
        <f aca="false">H254-G254</f>
        <v>-3.5</v>
      </c>
      <c r="J254" s="10" t="n">
        <f aca="false">IF(AND(G254=0,H254=0),0,IF(G254=0,"New",(H254-G254)/G254))</f>
        <v>0.123239436619718</v>
      </c>
    </row>
    <row r="255" customFormat="false" ht="15" hidden="false" customHeight="true" outlineLevel="0" collapsed="false">
      <c r="A255" s="8" t="s">
        <v>377</v>
      </c>
      <c r="B255" s="8" t="str">
        <f aca="false">IFERROR(INDEX('Source 2026'!$C:$C,MATCH($A255,'Source 2026'!$B:$B,0)),IFERROR(INDEX('Source 2025'!$C:$C,MATCH($A255,'Source 2025'!$B:$B,0)),""))</f>
        <v>M מגן מרפק+רצועה לטניס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9" t="n">
        <f aca="false">D255-C255</f>
        <v>0</v>
      </c>
      <c r="F255" s="10" t="n">
        <f aca="false">IF(AND(C255=0,D255=0),0,IF(C255=0,"New",(D255-C255)/C255))</f>
        <v>-0</v>
      </c>
      <c r="G255" s="11" t="n">
        <f aca="false">SUMIFS('Source 2025'!$I:$I,'Source 2025'!$B:$B,$A255,'Source 2025'!$A:$A,"Amount (NIS)")</f>
        <v>0</v>
      </c>
      <c r="H255" s="11" t="n">
        <f aca="false">SUMIFS('Source 2026'!$I:$I,'Source 2026'!$B:$B,$A255,'Source 2026'!$A:$A,"Amount (NIS)")</f>
        <v>0</v>
      </c>
      <c r="I255" s="11" t="n">
        <f aca="false">H255-G255</f>
        <v>0</v>
      </c>
      <c r="J255" s="10" t="n">
        <f aca="false">IF(AND(G255=0,H255=0),0,IF(G255=0,"New",(H255-G255)/G255))</f>
        <v>0</v>
      </c>
    </row>
    <row r="256" customFormat="false" ht="15" hidden="false" customHeight="true" outlineLevel="0" collapsed="false">
      <c r="A256" s="8" t="s">
        <v>375</v>
      </c>
      <c r="B256" s="8" t="str">
        <f aca="false">IFERROR(INDEX('Source 2026'!$C:$C,MATCH($A256,'Source 2026'!$B:$B,0)),IFERROR(INDEX('Source 2025'!$C:$C,MATCH($A256,'Source 2025'!$B:$B,0)),""))</f>
        <v>XL ח.גב מגנטית+מוטות תמיכה</v>
      </c>
      <c r="C256" s="9" t="n">
        <f aca="false">SUMIFS('Source 2025'!$I:$I,'Source 2025'!$B:$B,$A256,'Source 2025'!$A:$A,"Quantity (units)")</f>
        <v>-1</v>
      </c>
      <c r="D256" s="9" t="n">
        <f aca="false">SUMIFS('Source 2026'!$I:$I,'Source 2026'!$B:$B,$A256,'Source 2026'!$A:$A,"Quantity (units)")</f>
        <v>-1</v>
      </c>
      <c r="E256" s="9" t="n">
        <f aca="false">D256-C256</f>
        <v>0</v>
      </c>
      <c r="F256" s="10" t="n">
        <f aca="false">IF(AND(C256=0,D256=0),0,IF(C256=0,"New",(D256-C256)/C256))</f>
        <v>-0</v>
      </c>
      <c r="G256" s="11" t="n">
        <f aca="false">SUMIFS('Source 2025'!$I:$I,'Source 2025'!$B:$B,$A256,'Source 2025'!$A:$A,"Amount (NIS)")</f>
        <v>-178.6</v>
      </c>
      <c r="H256" s="11" t="n">
        <f aca="false">SUMIFS('Source 2026'!$I:$I,'Source 2026'!$B:$B,$A256,'Source 2026'!$A:$A,"Amount (NIS)")</f>
        <v>-178.6</v>
      </c>
      <c r="I256" s="11" t="n">
        <f aca="false">H256-G256</f>
        <v>0</v>
      </c>
      <c r="J256" s="10" t="n">
        <f aca="false">IF(AND(G256=0,H256=0),0,IF(G256=0,"New",(H256-G256)/G256))</f>
        <v>-0</v>
      </c>
    </row>
    <row r="257" customFormat="false" ht="15" hidden="false" customHeight="true" outlineLevel="0" collapsed="false">
      <c r="A257" s="8" t="s">
        <v>374</v>
      </c>
      <c r="B257" s="8" t="str">
        <f aca="false">IFERROR(INDEX('Source 2026'!$C:$C,MATCH($A257,'Source 2026'!$B:$B,0)),IFERROR(INDEX('Source 2025'!$C:$C,MATCH($A257,'Source 2025'!$B:$B,0)),""))</f>
        <v>יד לטניס כרית סיליק</v>
      </c>
      <c r="C257" s="9" t="n">
        <f aca="false">SUMIFS('Source 2025'!$I:$I,'Source 2025'!$B:$B,$A257,'Source 2025'!$A:$A,"Quantity (units)")</f>
        <v>-1</v>
      </c>
      <c r="D257" s="9" t="n">
        <f aca="false">SUMIFS('Source 2026'!$I:$I,'Source 2026'!$B:$B,$A257,'Source 2026'!$A:$A,"Quantity (units)")</f>
        <v>-1</v>
      </c>
      <c r="E257" s="9" t="n">
        <f aca="false">D257-C257</f>
        <v>0</v>
      </c>
      <c r="F257" s="10" t="n">
        <f aca="false">IF(AND(C257=0,D257=0),0,IF(C257=0,"New",(D257-C257)/C257))</f>
        <v>-0</v>
      </c>
      <c r="G257" s="11" t="n">
        <f aca="false">SUMIFS('Source 2025'!$I:$I,'Source 2025'!$B:$B,$A257,'Source 2025'!$A:$A,"Amount (NIS)")</f>
        <v>0</v>
      </c>
      <c r="H257" s="11" t="n">
        <f aca="false">SUMIFS('Source 2026'!$I:$I,'Source 2026'!$B:$B,$A257,'Source 2026'!$A:$A,"Amount (NIS)")</f>
        <v>0</v>
      </c>
      <c r="I257" s="11" t="n">
        <f aca="false">H257-G257</f>
        <v>0</v>
      </c>
      <c r="J257" s="10" t="n">
        <f aca="false">IF(AND(G257=0,H257=0),0,IF(G257=0,"New",(H257-G257)/G257))</f>
        <v>0</v>
      </c>
    </row>
    <row r="258" customFormat="false" ht="15" hidden="false" customHeight="true" outlineLevel="0" collapsed="false">
      <c r="A258" s="8" t="s">
        <v>197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9" t="n">
        <f aca="false">D258-C258</f>
        <v>0</v>
      </c>
      <c r="F258" s="10" t="n">
        <f aca="false">IF(AND(C258=0,D258=0),0,IF(C258=0,"New",(D258-C258)/C258))</f>
        <v>-0</v>
      </c>
      <c r="G258" s="11" t="n">
        <f aca="false">SUMIFS('Source 2025'!$I:$I,'Source 2025'!$B:$B,$A258,'Source 2025'!$A:$A,"Amount (NIS)")</f>
        <v>-135</v>
      </c>
      <c r="H258" s="11" t="n">
        <f aca="false">SUMIFS('Source 2026'!$I:$I,'Source 2026'!$B:$B,$A258,'Source 2026'!$A:$A,"Amount (NIS)")</f>
        <v>-135</v>
      </c>
      <c r="I258" s="11" t="n">
        <f aca="false">H258-G258</f>
        <v>0</v>
      </c>
      <c r="J258" s="10" t="n">
        <f aca="false">IF(AND(G258=0,H258=0),0,IF(G258=0,"New",(H258-G258)/G258))</f>
        <v>-0</v>
      </c>
    </row>
    <row r="259" customFormat="false" ht="15" hidden="false" customHeight="true" outlineLevel="0" collapsed="false">
      <c r="A259" s="8" t="s">
        <v>376</v>
      </c>
      <c r="B259" s="8" t="str">
        <f aca="false">IFERROR(INDEX('Source 2026'!$C:$C,MATCH($A259,'Source 2026'!$B:$B,0)),IFERROR(INDEX('Source 2025'!$C:$C,MATCH($A259,'Source 2025'!$B:$B,0)),""))</f>
        <v>XLסד ליד ימין</v>
      </c>
      <c r="C259" s="9" t="n">
        <f aca="false">SUMIFS('Source 2025'!$I:$I,'Source 2025'!$B:$B,$A259,'Source 2025'!$A:$A,"Quantity (units)")</f>
        <v>0</v>
      </c>
      <c r="D259" s="9" t="n">
        <f aca="false">SUMIFS('Source 2026'!$I:$I,'Source 2026'!$B:$B,$A259,'Source 2026'!$A:$A,"Quantity (units)")</f>
        <v>-1</v>
      </c>
      <c r="E259" s="9" t="n">
        <f aca="false">D259-C259</f>
        <v>-1</v>
      </c>
      <c r="F259" s="10" t="str">
        <f aca="false">IF(AND(C259=0,D259=0),0,IF(C259=0,"New",(D259-C259)/C259))</f>
        <v>New</v>
      </c>
      <c r="G259" s="11" t="n">
        <f aca="false">SUMIFS('Source 2025'!$I:$I,'Source 2025'!$B:$B,$A259,'Source 2025'!$A:$A,"Amount (NIS)")</f>
        <v>0</v>
      </c>
      <c r="H259" s="11" t="n">
        <f aca="false">SUMIFS('Source 2026'!$I:$I,'Source 2026'!$B:$B,$A259,'Source 2026'!$A:$A,"Amount (NIS)")</f>
        <v>0</v>
      </c>
      <c r="I259" s="11" t="n">
        <f aca="false">H259-G259</f>
        <v>0</v>
      </c>
      <c r="J259" s="10" t="n">
        <f aca="false">IF(AND(G259=0,H259=0),0,IF(G259=0,"New",(H259-G259)/G259))</f>
        <v>0</v>
      </c>
    </row>
    <row r="260" customFormat="false" ht="15" hidden="false" customHeight="true" outlineLevel="0" collapsed="false">
      <c r="A260" s="8" t="s">
        <v>140</v>
      </c>
      <c r="B260" s="8" t="str">
        <f aca="false">IFERROR(INDEX('Source 2026'!$C:$C,MATCH($A260,'Source 2026'!$B:$B,0)),IFERROR(INDEX('Source 2025'!$C:$C,MATCH($A260,'Source 2025'!$B:$B,0)),""))</f>
        <v>M מדרס ג'ל ספורט לגבר</v>
      </c>
      <c r="C260" s="9" t="n">
        <f aca="false">SUMIFS('Source 2025'!$I:$I,'Source 2025'!$B:$B,$A260,'Source 2025'!$A:$A,"Quantity (units)")</f>
        <v>2</v>
      </c>
      <c r="D260" s="9" t="n">
        <f aca="false">SUMIFS('Source 2026'!$I:$I,'Source 2026'!$B:$B,$A260,'Source 2026'!$A:$A,"Quantity (units)")</f>
        <v>2</v>
      </c>
      <c r="E260" s="9" t="n">
        <f aca="false">D260-C260</f>
        <v>0</v>
      </c>
      <c r="F260" s="10" t="n">
        <f aca="false">IF(AND(C260=0,D260=0),0,IF(C260=0,"New",(D260-C260)/C260))</f>
        <v>0</v>
      </c>
      <c r="G260" s="11" t="n">
        <f aca="false">SUMIFS('Source 2025'!$I:$I,'Source 2025'!$B:$B,$A260,'Source 2025'!$A:$A,"Amount (NIS)")</f>
        <v>131.3</v>
      </c>
      <c r="H260" s="11" t="n">
        <f aca="false">SUMIFS('Source 2026'!$I:$I,'Source 2026'!$B:$B,$A260,'Source 2026'!$A:$A,"Amount (NIS)")</f>
        <v>131.3</v>
      </c>
      <c r="I260" s="11" t="n">
        <f aca="false">H260-G260</f>
        <v>0</v>
      </c>
      <c r="J260" s="10" t="n">
        <f aca="false">IF(AND(G260=0,H260=0),0,IF(G260=0,"New",(H260-G260)/G260))</f>
        <v>0</v>
      </c>
    </row>
    <row r="262" customFormat="false" ht="15" hidden="false" customHeight="true" outlineLevel="0" collapsed="false">
      <c r="A262" s="14"/>
      <c r="B262" s="15" t="s">
        <v>337</v>
      </c>
      <c r="C262" s="16" t="n">
        <f aca="false">SUM(C6:C260)</f>
        <v>204428</v>
      </c>
      <c r="D262" s="16" t="n">
        <f aca="false">SUM(D6:D260)</f>
        <v>137851</v>
      </c>
      <c r="E262" s="16" t="n">
        <f aca="false">SUM(E6:E260)</f>
        <v>-66577</v>
      </c>
      <c r="F262" s="17" t="n">
        <f aca="false">IF(C262=0,"N/A",E262/C262)</f>
        <v>-0.325674565128065</v>
      </c>
      <c r="G262" s="18" t="n">
        <f aca="false">SUM(G6:G260)</f>
        <v>7597886.3</v>
      </c>
      <c r="H262" s="18" t="n">
        <f aca="false">SUM(H6:H260)</f>
        <v>5165969.3</v>
      </c>
      <c r="I262" s="18" t="n">
        <f aca="false">SUM(I6:I260)</f>
        <v>-2431917</v>
      </c>
      <c r="J262" s="17" t="n">
        <f aca="false">IF(G262=0,"N/A",I262/G262)</f>
        <v>-0.320078098562754</v>
      </c>
    </row>
  </sheetData>
  <mergeCells count="1"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2" t="s">
        <v>391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customFormat="false" ht="26.25" hidden="false" customHeight="true" outlineLevel="0" collapsed="false">
      <c r="A2" s="38" t="s">
        <v>392</v>
      </c>
      <c r="B2" s="38" t="s">
        <v>393</v>
      </c>
      <c r="C2" s="38" t="s">
        <v>394</v>
      </c>
      <c r="D2" s="38" t="s">
        <v>23</v>
      </c>
      <c r="E2" s="38" t="s">
        <v>26</v>
      </c>
      <c r="F2" s="38" t="s">
        <v>27</v>
      </c>
      <c r="G2" s="38" t="s">
        <v>29</v>
      </c>
      <c r="H2" s="38" t="s">
        <v>30</v>
      </c>
      <c r="I2" s="38" t="s">
        <v>17</v>
      </c>
      <c r="J2" s="38" t="s">
        <v>14</v>
      </c>
      <c r="K2" s="38" t="s">
        <v>36</v>
      </c>
      <c r="L2" s="38" t="s">
        <v>37</v>
      </c>
      <c r="M2" s="38" t="s">
        <v>33</v>
      </c>
      <c r="N2" s="38" t="s">
        <v>34</v>
      </c>
      <c r="O2" s="38" t="s">
        <v>38</v>
      </c>
      <c r="P2" s="38" t="s">
        <v>39</v>
      </c>
      <c r="Q2" s="38" t="s">
        <v>41</v>
      </c>
      <c r="R2" s="38" t="s">
        <v>40</v>
      </c>
      <c r="S2" s="38" t="s">
        <v>31</v>
      </c>
      <c r="T2" s="38" t="s">
        <v>43</v>
      </c>
      <c r="U2" s="38" t="s">
        <v>32</v>
      </c>
    </row>
    <row r="3" customFormat="false" ht="15" hidden="false" customHeight="true" outlineLevel="0" collapsed="false">
      <c r="A3" s="8" t="s">
        <v>395</v>
      </c>
      <c r="B3" s="8" t="s">
        <v>107</v>
      </c>
      <c r="C3" s="8" t="s">
        <v>396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395</v>
      </c>
      <c r="B4" s="8" t="s">
        <v>107</v>
      </c>
      <c r="C4" s="8" t="s">
        <v>397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395</v>
      </c>
      <c r="B5" s="8" t="s">
        <v>211</v>
      </c>
      <c r="C5" s="8" t="s">
        <v>398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395</v>
      </c>
      <c r="B6" s="8" t="s">
        <v>250</v>
      </c>
      <c r="C6" s="8" t="s">
        <v>399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395</v>
      </c>
      <c r="B7" s="8" t="s">
        <v>320</v>
      </c>
      <c r="C7" s="8" t="s">
        <v>400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395</v>
      </c>
      <c r="B8" s="8" t="s">
        <v>331</v>
      </c>
      <c r="C8" s="8" t="s">
        <v>401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395</v>
      </c>
      <c r="B9" s="8" t="s">
        <v>317</v>
      </c>
      <c r="C9" s="8" t="s">
        <v>402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395</v>
      </c>
      <c r="B10" s="8" t="s">
        <v>232</v>
      </c>
      <c r="C10" s="8" t="s">
        <v>403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395</v>
      </c>
      <c r="B11" s="8" t="s">
        <v>143</v>
      </c>
      <c r="C11" s="8" t="s">
        <v>404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395</v>
      </c>
      <c r="B12" s="8" t="s">
        <v>131</v>
      </c>
      <c r="C12" s="8" t="s">
        <v>405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395</v>
      </c>
      <c r="B13" s="8" t="s">
        <v>131</v>
      </c>
      <c r="C13" s="8" t="s">
        <v>406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395</v>
      </c>
      <c r="B14" s="8" t="s">
        <v>131</v>
      </c>
      <c r="C14" s="8" t="s">
        <v>407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395</v>
      </c>
      <c r="B15" s="8" t="s">
        <v>311</v>
      </c>
      <c r="C15" s="8" t="s">
        <v>408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395</v>
      </c>
      <c r="B16" s="8" t="s">
        <v>311</v>
      </c>
      <c r="C16" s="8" t="s">
        <v>409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395</v>
      </c>
      <c r="B17" s="8" t="s">
        <v>239</v>
      </c>
      <c r="C17" s="8" t="s">
        <v>410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395</v>
      </c>
      <c r="B18" s="8" t="s">
        <v>280</v>
      </c>
      <c r="C18" s="8" t="s">
        <v>411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395</v>
      </c>
      <c r="B19" s="8" t="s">
        <v>280</v>
      </c>
      <c r="C19" s="8" t="s">
        <v>412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395</v>
      </c>
      <c r="B20" s="8" t="s">
        <v>280</v>
      </c>
      <c r="C20" s="8" t="s">
        <v>413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395</v>
      </c>
      <c r="B21" s="8" t="s">
        <v>373</v>
      </c>
      <c r="C21" s="8" t="s">
        <v>414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395</v>
      </c>
      <c r="B22" s="8" t="s">
        <v>104</v>
      </c>
      <c r="C22" s="8" t="s">
        <v>405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395</v>
      </c>
      <c r="B23" s="8" t="s">
        <v>104</v>
      </c>
      <c r="C23" s="8" t="s">
        <v>415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395</v>
      </c>
      <c r="B24" s="8" t="s">
        <v>104</v>
      </c>
      <c r="C24" s="8" t="s">
        <v>416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395</v>
      </c>
      <c r="B25" s="8" t="s">
        <v>146</v>
      </c>
      <c r="C25" s="8" t="s">
        <v>417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395</v>
      </c>
      <c r="B26" s="8" t="s">
        <v>146</v>
      </c>
      <c r="C26" s="8" t="s">
        <v>418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395</v>
      </c>
      <c r="B27" s="8" t="s">
        <v>146</v>
      </c>
      <c r="C27" s="8" t="s">
        <v>419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395</v>
      </c>
      <c r="B28" s="8" t="s">
        <v>167</v>
      </c>
      <c r="C28" s="8" t="s">
        <v>420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395</v>
      </c>
      <c r="B29" s="8" t="s">
        <v>167</v>
      </c>
      <c r="C29" s="8" t="s">
        <v>421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395</v>
      </c>
      <c r="B30" s="8" t="s">
        <v>167</v>
      </c>
      <c r="C30" s="8" t="s">
        <v>422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395</v>
      </c>
      <c r="B31" s="8" t="s">
        <v>283</v>
      </c>
      <c r="C31" s="8" t="s">
        <v>423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395</v>
      </c>
      <c r="B32" s="8" t="s">
        <v>343</v>
      </c>
      <c r="C32" s="8" t="s">
        <v>424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395</v>
      </c>
      <c r="B33" s="8" t="s">
        <v>343</v>
      </c>
      <c r="C33" s="8" t="s">
        <v>425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395</v>
      </c>
      <c r="B34" s="8" t="s">
        <v>343</v>
      </c>
      <c r="C34" s="8" t="s">
        <v>426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395</v>
      </c>
      <c r="B35" s="8" t="s">
        <v>343</v>
      </c>
      <c r="C35" s="8" t="s">
        <v>427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395</v>
      </c>
      <c r="B36" s="8" t="s">
        <v>160</v>
      </c>
      <c r="C36" s="8" t="s">
        <v>428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395</v>
      </c>
      <c r="B37" s="8" t="s">
        <v>160</v>
      </c>
      <c r="C37" s="8" t="s">
        <v>429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395</v>
      </c>
      <c r="B38" s="8" t="s">
        <v>160</v>
      </c>
      <c r="C38" s="8" t="s">
        <v>430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395</v>
      </c>
      <c r="B39" s="8" t="s">
        <v>160</v>
      </c>
      <c r="C39" s="8" t="s">
        <v>431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395</v>
      </c>
      <c r="B40" s="8" t="s">
        <v>160</v>
      </c>
      <c r="C40" s="8" t="s">
        <v>432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395</v>
      </c>
      <c r="B41" s="8" t="s">
        <v>129</v>
      </c>
      <c r="C41" s="8" t="s">
        <v>433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395</v>
      </c>
      <c r="B42" s="8" t="s">
        <v>129</v>
      </c>
      <c r="C42" s="8" t="s">
        <v>434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395</v>
      </c>
      <c r="B43" s="8" t="s">
        <v>129</v>
      </c>
      <c r="C43" s="8" t="s">
        <v>435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395</v>
      </c>
      <c r="B44" s="8" t="s">
        <v>129</v>
      </c>
      <c r="C44" s="8" t="s">
        <v>436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395</v>
      </c>
      <c r="B45" s="8" t="s">
        <v>129</v>
      </c>
      <c r="C45" s="8" t="s">
        <v>437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395</v>
      </c>
      <c r="B46" s="8" t="s">
        <v>265</v>
      </c>
      <c r="C46" s="8" t="s">
        <v>438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395</v>
      </c>
      <c r="B47" s="8" t="s">
        <v>218</v>
      </c>
      <c r="C47" s="8" t="s">
        <v>439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395</v>
      </c>
      <c r="B48" s="8" t="s">
        <v>218</v>
      </c>
      <c r="C48" s="8" t="s">
        <v>440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395</v>
      </c>
      <c r="B49" s="8" t="s">
        <v>218</v>
      </c>
      <c r="C49" s="8" t="s">
        <v>441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395</v>
      </c>
      <c r="B50" s="8" t="s">
        <v>218</v>
      </c>
      <c r="C50" s="8" t="s">
        <v>442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395</v>
      </c>
      <c r="B51" s="8" t="s">
        <v>218</v>
      </c>
      <c r="C51" s="8" t="s">
        <v>443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395</v>
      </c>
      <c r="B52" s="8" t="s">
        <v>84</v>
      </c>
      <c r="C52" s="8" t="s">
        <v>444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395</v>
      </c>
      <c r="B53" s="8" t="s">
        <v>84</v>
      </c>
      <c r="C53" s="8" t="s">
        <v>445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395</v>
      </c>
      <c r="B54" s="8" t="s">
        <v>84</v>
      </c>
      <c r="C54" s="8" t="s">
        <v>446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395</v>
      </c>
      <c r="B55" s="8" t="s">
        <v>84</v>
      </c>
      <c r="C55" s="8" t="s">
        <v>447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395</v>
      </c>
      <c r="B56" s="8" t="s">
        <v>84</v>
      </c>
      <c r="C56" s="8" t="s">
        <v>448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395</v>
      </c>
      <c r="B57" s="8" t="s">
        <v>375</v>
      </c>
      <c r="C57" s="8" t="s">
        <v>449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395</v>
      </c>
      <c r="B58" s="8" t="s">
        <v>209</v>
      </c>
      <c r="C58" s="8" t="s">
        <v>450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395</v>
      </c>
      <c r="B59" s="8" t="s">
        <v>209</v>
      </c>
      <c r="C59" s="8" t="s">
        <v>451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395</v>
      </c>
      <c r="B60" s="8" t="s">
        <v>80</v>
      </c>
      <c r="C60" s="8" t="s">
        <v>452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395</v>
      </c>
      <c r="B61" s="8" t="s">
        <v>80</v>
      </c>
      <c r="C61" s="8" t="s">
        <v>453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395</v>
      </c>
      <c r="B62" s="8" t="s">
        <v>80</v>
      </c>
      <c r="C62" s="8" t="s">
        <v>454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395</v>
      </c>
      <c r="B63" s="8" t="s">
        <v>80</v>
      </c>
      <c r="C63" s="8" t="s">
        <v>455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395</v>
      </c>
      <c r="B64" s="8" t="s">
        <v>80</v>
      </c>
      <c r="C64" s="8" t="s">
        <v>456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395</v>
      </c>
      <c r="B65" s="8" t="s">
        <v>54</v>
      </c>
      <c r="C65" s="8" t="s">
        <v>457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395</v>
      </c>
      <c r="B66" s="8" t="s">
        <v>54</v>
      </c>
      <c r="C66" s="8" t="s">
        <v>458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395</v>
      </c>
      <c r="B67" s="8" t="s">
        <v>54</v>
      </c>
      <c r="C67" s="8" t="s">
        <v>459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395</v>
      </c>
      <c r="B68" s="8" t="s">
        <v>54</v>
      </c>
      <c r="C68" s="8" t="s">
        <v>460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395</v>
      </c>
      <c r="B69" s="8" t="s">
        <v>256</v>
      </c>
      <c r="C69" s="8" t="s">
        <v>461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395</v>
      </c>
      <c r="B70" s="8" t="s">
        <v>256</v>
      </c>
      <c r="C70" s="8" t="s">
        <v>462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395</v>
      </c>
      <c r="B71" s="8" t="s">
        <v>256</v>
      </c>
      <c r="C71" s="8" t="s">
        <v>463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395</v>
      </c>
      <c r="B72" s="8" t="s">
        <v>256</v>
      </c>
      <c r="C72" s="8" t="s">
        <v>464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395</v>
      </c>
      <c r="B73" s="8" t="s">
        <v>281</v>
      </c>
      <c r="C73" s="8" t="s">
        <v>465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395</v>
      </c>
      <c r="B74" s="8" t="s">
        <v>240</v>
      </c>
      <c r="C74" s="8" t="s">
        <v>466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395</v>
      </c>
      <c r="B75" s="8" t="s">
        <v>240</v>
      </c>
      <c r="C75" s="8" t="s">
        <v>467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395</v>
      </c>
      <c r="B76" s="8" t="s">
        <v>240</v>
      </c>
      <c r="C76" s="8" t="s">
        <v>468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395</v>
      </c>
      <c r="B77" s="8" t="s">
        <v>240</v>
      </c>
      <c r="C77" s="8" t="s">
        <v>469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395</v>
      </c>
      <c r="B78" s="8" t="s">
        <v>278</v>
      </c>
      <c r="C78" s="8" t="s">
        <v>470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395</v>
      </c>
      <c r="B79" s="8" t="s">
        <v>278</v>
      </c>
      <c r="C79" s="8" t="s">
        <v>471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395</v>
      </c>
      <c r="B80" s="8" t="s">
        <v>168</v>
      </c>
      <c r="C80" s="8" t="s">
        <v>472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395</v>
      </c>
      <c r="B81" s="8" t="s">
        <v>168</v>
      </c>
      <c r="C81" s="8" t="s">
        <v>473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395</v>
      </c>
      <c r="B82" s="8" t="s">
        <v>168</v>
      </c>
      <c r="C82" s="8" t="s">
        <v>474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395</v>
      </c>
      <c r="B83" s="8" t="s">
        <v>168</v>
      </c>
      <c r="C83" s="8" t="s">
        <v>475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395</v>
      </c>
      <c r="B84" s="8" t="s">
        <v>293</v>
      </c>
      <c r="C84" s="8" t="s">
        <v>476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395</v>
      </c>
      <c r="B85" s="8" t="s">
        <v>295</v>
      </c>
      <c r="C85" s="8" t="s">
        <v>477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395</v>
      </c>
      <c r="B86" s="8" t="s">
        <v>184</v>
      </c>
      <c r="C86" s="8" t="s">
        <v>478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395</v>
      </c>
      <c r="B87" s="8" t="s">
        <v>210</v>
      </c>
      <c r="C87" s="8" t="s">
        <v>479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395</v>
      </c>
      <c r="B88" s="8" t="s">
        <v>210</v>
      </c>
      <c r="C88" s="8" t="s">
        <v>480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395</v>
      </c>
      <c r="B89" s="8" t="s">
        <v>210</v>
      </c>
      <c r="C89" s="8" t="s">
        <v>481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395</v>
      </c>
      <c r="B90" s="8" t="s">
        <v>210</v>
      </c>
      <c r="C90" s="8" t="s">
        <v>482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395</v>
      </c>
      <c r="B91" s="8" t="s">
        <v>210</v>
      </c>
      <c r="C91" s="8" t="s">
        <v>483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395</v>
      </c>
      <c r="B92" s="8" t="s">
        <v>190</v>
      </c>
      <c r="C92" s="8" t="s">
        <v>484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395</v>
      </c>
      <c r="B93" s="8" t="s">
        <v>190</v>
      </c>
      <c r="C93" s="8" t="s">
        <v>485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395</v>
      </c>
      <c r="B94" s="8" t="s">
        <v>114</v>
      </c>
      <c r="C94" s="8" t="s">
        <v>486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395</v>
      </c>
      <c r="B95" s="8" t="s">
        <v>114</v>
      </c>
      <c r="C95" s="8" t="s">
        <v>487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395</v>
      </c>
      <c r="B96" s="8" t="s">
        <v>72</v>
      </c>
      <c r="C96" s="8" t="s">
        <v>488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395</v>
      </c>
      <c r="B97" s="8" t="s">
        <v>101</v>
      </c>
      <c r="C97" s="8" t="s">
        <v>488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395</v>
      </c>
      <c r="B98" s="8" t="s">
        <v>307</v>
      </c>
      <c r="C98" s="8" t="s">
        <v>489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395</v>
      </c>
      <c r="B99" s="8" t="s">
        <v>272</v>
      </c>
      <c r="C99" s="8" t="s">
        <v>490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395</v>
      </c>
      <c r="B100" s="8" t="s">
        <v>113</v>
      </c>
      <c r="C100" s="8" t="s">
        <v>491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395</v>
      </c>
      <c r="B101" s="8" t="s">
        <v>113</v>
      </c>
      <c r="C101" s="8" t="s">
        <v>492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395</v>
      </c>
      <c r="B102" s="8" t="s">
        <v>113</v>
      </c>
      <c r="C102" s="8" t="s">
        <v>493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395</v>
      </c>
      <c r="B103" s="8" t="s">
        <v>113</v>
      </c>
      <c r="C103" s="8" t="s">
        <v>494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395</v>
      </c>
      <c r="B104" s="8" t="s">
        <v>249</v>
      </c>
      <c r="C104" s="8" t="s">
        <v>495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395</v>
      </c>
      <c r="B105" s="8" t="s">
        <v>249</v>
      </c>
      <c r="C105" s="8" t="s">
        <v>496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395</v>
      </c>
      <c r="B106" s="8" t="s">
        <v>236</v>
      </c>
      <c r="C106" s="8" t="s">
        <v>497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395</v>
      </c>
      <c r="B107" s="8" t="s">
        <v>296</v>
      </c>
      <c r="C107" s="8" t="s">
        <v>498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395</v>
      </c>
      <c r="B108" s="8" t="s">
        <v>236</v>
      </c>
      <c r="C108" s="8" t="s">
        <v>499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395</v>
      </c>
      <c r="B109" s="8" t="s">
        <v>113</v>
      </c>
      <c r="C109" s="8" t="s">
        <v>500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395</v>
      </c>
      <c r="B110" s="8" t="s">
        <v>148</v>
      </c>
      <c r="C110" s="8" t="s">
        <v>501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395</v>
      </c>
      <c r="B111" s="8" t="s">
        <v>148</v>
      </c>
      <c r="C111" s="8" t="s">
        <v>502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395</v>
      </c>
      <c r="B112" s="8" t="s">
        <v>291</v>
      </c>
      <c r="C112" s="8" t="s">
        <v>503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395</v>
      </c>
      <c r="B113" s="8" t="s">
        <v>196</v>
      </c>
      <c r="C113" s="8" t="s">
        <v>504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395</v>
      </c>
      <c r="B114" s="8" t="s">
        <v>196</v>
      </c>
      <c r="C114" s="8" t="s">
        <v>505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395</v>
      </c>
      <c r="B115" s="8" t="s">
        <v>242</v>
      </c>
      <c r="C115" s="8" t="s">
        <v>506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395</v>
      </c>
      <c r="B116" s="8" t="s">
        <v>242</v>
      </c>
      <c r="C116" s="8" t="s">
        <v>507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395</v>
      </c>
      <c r="B117" s="8" t="s">
        <v>242</v>
      </c>
      <c r="C117" s="8" t="s">
        <v>508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395</v>
      </c>
      <c r="B118" s="8" t="s">
        <v>242</v>
      </c>
      <c r="C118" s="8" t="s">
        <v>509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395</v>
      </c>
      <c r="B119" s="8" t="s">
        <v>242</v>
      </c>
      <c r="C119" s="8" t="s">
        <v>510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395</v>
      </c>
      <c r="B120" s="8" t="s">
        <v>202</v>
      </c>
      <c r="C120" s="8" t="s">
        <v>511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395</v>
      </c>
      <c r="B121" s="8" t="s">
        <v>202</v>
      </c>
      <c r="C121" s="8" t="s">
        <v>512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395</v>
      </c>
      <c r="B122" s="8" t="s">
        <v>202</v>
      </c>
      <c r="C122" s="8" t="s">
        <v>513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395</v>
      </c>
      <c r="B123" s="8" t="s">
        <v>202</v>
      </c>
      <c r="C123" s="8" t="s">
        <v>514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395</v>
      </c>
      <c r="B124" s="8" t="s">
        <v>202</v>
      </c>
      <c r="C124" s="8" t="s">
        <v>515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395</v>
      </c>
      <c r="B125" s="8" t="s">
        <v>84</v>
      </c>
      <c r="C125" s="8" t="s">
        <v>516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395</v>
      </c>
      <c r="B126" s="8" t="s">
        <v>197</v>
      </c>
      <c r="C126" s="8" t="s">
        <v>517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395</v>
      </c>
      <c r="B127" s="8" t="s">
        <v>197</v>
      </c>
      <c r="C127" s="8" t="s">
        <v>518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395</v>
      </c>
      <c r="B128" s="8" t="s">
        <v>197</v>
      </c>
      <c r="C128" s="8" t="s">
        <v>519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395</v>
      </c>
      <c r="B129" s="8" t="s">
        <v>197</v>
      </c>
      <c r="C129" s="8" t="s">
        <v>520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395</v>
      </c>
      <c r="B130" s="8" t="s">
        <v>97</v>
      </c>
      <c r="C130" s="8" t="s">
        <v>521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395</v>
      </c>
      <c r="B131" s="8" t="s">
        <v>81</v>
      </c>
      <c r="C131" s="8" t="s">
        <v>522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395</v>
      </c>
      <c r="B132" s="8" t="s">
        <v>208</v>
      </c>
      <c r="C132" s="8" t="s">
        <v>523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395</v>
      </c>
      <c r="B133" s="8" t="s">
        <v>58</v>
      </c>
      <c r="C133" s="8" t="s">
        <v>524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395</v>
      </c>
      <c r="B134" s="8" t="s">
        <v>116</v>
      </c>
      <c r="C134" s="8" t="s">
        <v>525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395</v>
      </c>
      <c r="B135" s="8" t="s">
        <v>78</v>
      </c>
      <c r="C135" s="8" t="s">
        <v>526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395</v>
      </c>
      <c r="B136" s="8" t="s">
        <v>138</v>
      </c>
      <c r="C136" s="8" t="s">
        <v>527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395</v>
      </c>
      <c r="B137" s="8" t="s">
        <v>165</v>
      </c>
      <c r="C137" s="8" t="s">
        <v>521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395</v>
      </c>
      <c r="B138" s="8" t="s">
        <v>88</v>
      </c>
      <c r="C138" s="8" t="s">
        <v>521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395</v>
      </c>
      <c r="B139" s="8" t="s">
        <v>135</v>
      </c>
      <c r="C139" s="8" t="s">
        <v>528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395</v>
      </c>
      <c r="B140" s="8" t="s">
        <v>135</v>
      </c>
      <c r="C140" s="8" t="s">
        <v>529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395</v>
      </c>
      <c r="B141" s="8" t="s">
        <v>206</v>
      </c>
      <c r="C141" s="8" t="s">
        <v>530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395</v>
      </c>
      <c r="B142" s="8" t="s">
        <v>345</v>
      </c>
      <c r="C142" s="8" t="s">
        <v>531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395</v>
      </c>
      <c r="B143" s="8" t="s">
        <v>82</v>
      </c>
      <c r="C143" s="8" t="s">
        <v>532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395</v>
      </c>
      <c r="B144" s="8" t="s">
        <v>117</v>
      </c>
      <c r="C144" s="8" t="s">
        <v>533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395</v>
      </c>
      <c r="B145" s="8" t="s">
        <v>145</v>
      </c>
      <c r="C145" s="8" t="s">
        <v>534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395</v>
      </c>
      <c r="B146" s="8" t="s">
        <v>361</v>
      </c>
      <c r="C146" s="8" t="s">
        <v>535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395</v>
      </c>
      <c r="B147" s="8" t="s">
        <v>220</v>
      </c>
      <c r="C147" s="8" t="s">
        <v>536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395</v>
      </c>
      <c r="B148" s="8" t="s">
        <v>134</v>
      </c>
      <c r="C148" s="8" t="s">
        <v>537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395</v>
      </c>
      <c r="B149" s="8" t="s">
        <v>134</v>
      </c>
      <c r="C149" s="8" t="s">
        <v>538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395</v>
      </c>
      <c r="B150" s="8" t="s">
        <v>134</v>
      </c>
      <c r="C150" s="8" t="s">
        <v>539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395</v>
      </c>
      <c r="B151" s="8" t="s">
        <v>134</v>
      </c>
      <c r="C151" s="8" t="s">
        <v>540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395</v>
      </c>
      <c r="B152" s="8" t="s">
        <v>134</v>
      </c>
      <c r="C152" s="8" t="s">
        <v>541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395</v>
      </c>
      <c r="B153" s="8" t="s">
        <v>342</v>
      </c>
      <c r="C153" s="8" t="s">
        <v>542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395</v>
      </c>
      <c r="B154" s="8" t="s">
        <v>342</v>
      </c>
      <c r="C154" s="8" t="s">
        <v>543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395</v>
      </c>
      <c r="B155" s="8" t="s">
        <v>157</v>
      </c>
      <c r="C155" s="8" t="s">
        <v>544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395</v>
      </c>
      <c r="B156" s="8" t="s">
        <v>157</v>
      </c>
      <c r="C156" s="8" t="s">
        <v>545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395</v>
      </c>
      <c r="B157" s="8" t="s">
        <v>157</v>
      </c>
      <c r="C157" s="8" t="s">
        <v>546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395</v>
      </c>
      <c r="B158" s="8" t="s">
        <v>157</v>
      </c>
      <c r="C158" s="8" t="s">
        <v>547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395</v>
      </c>
      <c r="B159" s="8" t="s">
        <v>157</v>
      </c>
      <c r="C159" s="8" t="s">
        <v>548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395</v>
      </c>
      <c r="B160" s="8" t="s">
        <v>108</v>
      </c>
      <c r="C160" s="8" t="s">
        <v>549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395</v>
      </c>
      <c r="B161" s="8" t="s">
        <v>177</v>
      </c>
      <c r="C161" s="8" t="s">
        <v>550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395</v>
      </c>
      <c r="B162" s="8" t="s">
        <v>69</v>
      </c>
      <c r="C162" s="8" t="s">
        <v>551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395</v>
      </c>
      <c r="B163" s="8" t="s">
        <v>69</v>
      </c>
      <c r="C163" s="8" t="s">
        <v>552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395</v>
      </c>
      <c r="B164" s="8" t="s">
        <v>69</v>
      </c>
      <c r="C164" s="8" t="s">
        <v>553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395</v>
      </c>
      <c r="B165" s="8" t="s">
        <v>69</v>
      </c>
      <c r="C165" s="8" t="s">
        <v>554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395</v>
      </c>
      <c r="B166" s="8" t="s">
        <v>69</v>
      </c>
      <c r="C166" s="8" t="s">
        <v>555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395</v>
      </c>
      <c r="B167" s="8" t="s">
        <v>69</v>
      </c>
      <c r="C167" s="8" t="s">
        <v>556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395</v>
      </c>
      <c r="B168" s="8" t="s">
        <v>75</v>
      </c>
      <c r="C168" s="8" t="s">
        <v>557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395</v>
      </c>
      <c r="B169" s="8" t="s">
        <v>75</v>
      </c>
      <c r="C169" s="8" t="s">
        <v>558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395</v>
      </c>
      <c r="B170" s="8" t="s">
        <v>75</v>
      </c>
      <c r="C170" s="8" t="s">
        <v>559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395</v>
      </c>
      <c r="B171" s="8" t="s">
        <v>75</v>
      </c>
      <c r="C171" s="8" t="s">
        <v>560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395</v>
      </c>
      <c r="B172" s="8" t="s">
        <v>75</v>
      </c>
      <c r="C172" s="8" t="s">
        <v>561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395</v>
      </c>
      <c r="B173" s="8" t="s">
        <v>70</v>
      </c>
      <c r="C173" s="8" t="s">
        <v>562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395</v>
      </c>
      <c r="B174" s="8" t="s">
        <v>70</v>
      </c>
      <c r="C174" s="8" t="s">
        <v>563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395</v>
      </c>
      <c r="B175" s="8" t="s">
        <v>70</v>
      </c>
      <c r="C175" s="8" t="s">
        <v>564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395</v>
      </c>
      <c r="B176" s="8" t="s">
        <v>70</v>
      </c>
      <c r="C176" s="8" t="s">
        <v>565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395</v>
      </c>
      <c r="B177" s="8" t="s">
        <v>194</v>
      </c>
      <c r="C177" s="8" t="s">
        <v>566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395</v>
      </c>
      <c r="B178" s="8" t="s">
        <v>195</v>
      </c>
      <c r="C178" s="8" t="s">
        <v>567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395</v>
      </c>
      <c r="B179" s="8" t="s">
        <v>106</v>
      </c>
      <c r="C179" s="8" t="s">
        <v>568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395</v>
      </c>
      <c r="B180" s="8" t="s">
        <v>182</v>
      </c>
      <c r="C180" s="8" t="s">
        <v>569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395</v>
      </c>
      <c r="B181" s="8" t="s">
        <v>137</v>
      </c>
      <c r="C181" s="8" t="s">
        <v>570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395</v>
      </c>
      <c r="B182" s="8" t="s">
        <v>174</v>
      </c>
      <c r="C182" s="8" t="s">
        <v>571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395</v>
      </c>
      <c r="B183" s="8" t="s">
        <v>166</v>
      </c>
      <c r="C183" s="8" t="s">
        <v>572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395</v>
      </c>
      <c r="B184" s="8" t="s">
        <v>292</v>
      </c>
      <c r="C184" s="8" t="s">
        <v>573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395</v>
      </c>
      <c r="B185" s="8" t="s">
        <v>315</v>
      </c>
      <c r="C185" s="8" t="s">
        <v>573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395</v>
      </c>
      <c r="B186" s="8" t="s">
        <v>181</v>
      </c>
      <c r="C186" s="8" t="s">
        <v>574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395</v>
      </c>
      <c r="B187" s="8" t="s">
        <v>181</v>
      </c>
      <c r="C187" s="8" t="s">
        <v>575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395</v>
      </c>
      <c r="B188" s="8" t="s">
        <v>181</v>
      </c>
      <c r="C188" s="8" t="s">
        <v>576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395</v>
      </c>
      <c r="B189" s="8" t="s">
        <v>181</v>
      </c>
      <c r="C189" s="8" t="s">
        <v>577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395</v>
      </c>
      <c r="B190" s="8" t="s">
        <v>255</v>
      </c>
      <c r="C190" s="8" t="s">
        <v>578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395</v>
      </c>
      <c r="B191" s="8" t="s">
        <v>255</v>
      </c>
      <c r="C191" s="8" t="s">
        <v>579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395</v>
      </c>
      <c r="B192" s="8" t="s">
        <v>255</v>
      </c>
      <c r="C192" s="8" t="s">
        <v>580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395</v>
      </c>
      <c r="B193" s="8" t="s">
        <v>128</v>
      </c>
      <c r="C193" s="8" t="s">
        <v>581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395</v>
      </c>
      <c r="B194" s="8" t="s">
        <v>128</v>
      </c>
      <c r="C194" s="8" t="s">
        <v>582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395</v>
      </c>
      <c r="B195" s="8" t="s">
        <v>128</v>
      </c>
      <c r="C195" s="8" t="s">
        <v>583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395</v>
      </c>
      <c r="B196" s="8" t="s">
        <v>128</v>
      </c>
      <c r="C196" s="8" t="s">
        <v>584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395</v>
      </c>
      <c r="B197" s="8" t="s">
        <v>128</v>
      </c>
      <c r="C197" s="8" t="s">
        <v>585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395</v>
      </c>
      <c r="B198" s="8" t="s">
        <v>76</v>
      </c>
      <c r="C198" s="8" t="s">
        <v>586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395</v>
      </c>
      <c r="B199" s="8" t="s">
        <v>76</v>
      </c>
      <c r="C199" s="8" t="s">
        <v>587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395</v>
      </c>
      <c r="B200" s="8" t="s">
        <v>76</v>
      </c>
      <c r="C200" s="8" t="s">
        <v>588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395</v>
      </c>
      <c r="B201" s="8" t="s">
        <v>76</v>
      </c>
      <c r="C201" s="8" t="s">
        <v>589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395</v>
      </c>
      <c r="B202" s="8" t="s">
        <v>76</v>
      </c>
      <c r="C202" s="8" t="s">
        <v>590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395</v>
      </c>
      <c r="B203" s="8" t="s">
        <v>63</v>
      </c>
      <c r="C203" s="8" t="s">
        <v>591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395</v>
      </c>
      <c r="B204" s="8" t="s">
        <v>63</v>
      </c>
      <c r="C204" s="8" t="s">
        <v>592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395</v>
      </c>
      <c r="B205" s="8" t="s">
        <v>63</v>
      </c>
      <c r="C205" s="8" t="s">
        <v>593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395</v>
      </c>
      <c r="B206" s="8" t="s">
        <v>63</v>
      </c>
      <c r="C206" s="8" t="s">
        <v>594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395</v>
      </c>
      <c r="B207" s="8" t="s">
        <v>90</v>
      </c>
      <c r="C207" s="8" t="s">
        <v>595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395</v>
      </c>
      <c r="B208" s="8" t="s">
        <v>90</v>
      </c>
      <c r="C208" s="8" t="s">
        <v>596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395</v>
      </c>
      <c r="B209" s="8" t="s">
        <v>90</v>
      </c>
      <c r="C209" s="8" t="s">
        <v>597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395</v>
      </c>
      <c r="B210" s="8" t="s">
        <v>90</v>
      </c>
      <c r="C210" s="8" t="s">
        <v>598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395</v>
      </c>
      <c r="B211" s="8" t="s">
        <v>90</v>
      </c>
      <c r="C211" s="8" t="s">
        <v>599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395</v>
      </c>
      <c r="B212" s="8" t="s">
        <v>163</v>
      </c>
      <c r="C212" s="8" t="s">
        <v>600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395</v>
      </c>
      <c r="B213" s="8" t="s">
        <v>163</v>
      </c>
      <c r="C213" s="8" t="s">
        <v>601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395</v>
      </c>
      <c r="B214" s="8" t="s">
        <v>163</v>
      </c>
      <c r="C214" s="8" t="s">
        <v>602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395</v>
      </c>
      <c r="B215" s="8" t="s">
        <v>163</v>
      </c>
      <c r="C215" s="8" t="s">
        <v>603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395</v>
      </c>
      <c r="B216" s="8" t="s">
        <v>163</v>
      </c>
      <c r="C216" s="8" t="s">
        <v>604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395</v>
      </c>
      <c r="B217" s="8" t="s">
        <v>144</v>
      </c>
      <c r="C217" s="8" t="s">
        <v>605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395</v>
      </c>
      <c r="B218" s="8" t="s">
        <v>144</v>
      </c>
      <c r="C218" s="8" t="s">
        <v>606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395</v>
      </c>
      <c r="B219" s="8" t="s">
        <v>144</v>
      </c>
      <c r="C219" s="8" t="s">
        <v>607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395</v>
      </c>
      <c r="B220" s="8" t="s">
        <v>144</v>
      </c>
      <c r="C220" s="8" t="s">
        <v>608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395</v>
      </c>
      <c r="B221" s="8" t="s">
        <v>144</v>
      </c>
      <c r="C221" s="8" t="s">
        <v>609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395</v>
      </c>
      <c r="B222" s="8" t="s">
        <v>179</v>
      </c>
      <c r="C222" s="8" t="s">
        <v>610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395</v>
      </c>
      <c r="B223" s="8" t="s">
        <v>179</v>
      </c>
      <c r="C223" s="8" t="s">
        <v>611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395</v>
      </c>
      <c r="B224" s="8" t="s">
        <v>179</v>
      </c>
      <c r="C224" s="8" t="s">
        <v>612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395</v>
      </c>
      <c r="B225" s="8" t="s">
        <v>179</v>
      </c>
      <c r="C225" s="8" t="s">
        <v>613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395</v>
      </c>
      <c r="B226" s="8" t="s">
        <v>289</v>
      </c>
      <c r="C226" s="8" t="s">
        <v>614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395</v>
      </c>
      <c r="B227" s="8" t="s">
        <v>289</v>
      </c>
      <c r="C227" s="8" t="s">
        <v>615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395</v>
      </c>
      <c r="B228" s="8" t="s">
        <v>98</v>
      </c>
      <c r="C228" s="8" t="s">
        <v>616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395</v>
      </c>
      <c r="B229" s="8" t="s">
        <v>98</v>
      </c>
      <c r="C229" s="8" t="s">
        <v>617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395</v>
      </c>
      <c r="B230" s="8" t="s">
        <v>98</v>
      </c>
      <c r="C230" s="8" t="s">
        <v>618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395</v>
      </c>
      <c r="B231" s="8" t="s">
        <v>98</v>
      </c>
      <c r="C231" s="8" t="s">
        <v>619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395</v>
      </c>
      <c r="B232" s="8" t="s">
        <v>98</v>
      </c>
      <c r="C232" s="8" t="s">
        <v>620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395</v>
      </c>
      <c r="B233" s="8" t="s">
        <v>100</v>
      </c>
      <c r="C233" s="8" t="s">
        <v>621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395</v>
      </c>
      <c r="B234" s="8" t="s">
        <v>100</v>
      </c>
      <c r="C234" s="8" t="s">
        <v>622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395</v>
      </c>
      <c r="B235" s="8" t="s">
        <v>100</v>
      </c>
      <c r="C235" s="8" t="s">
        <v>623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395</v>
      </c>
      <c r="B236" s="8" t="s">
        <v>100</v>
      </c>
      <c r="C236" s="8" t="s">
        <v>624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395</v>
      </c>
      <c r="B237" s="8" t="s">
        <v>67</v>
      </c>
      <c r="C237" s="8" t="s">
        <v>625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395</v>
      </c>
      <c r="B238" s="8" t="s">
        <v>67</v>
      </c>
      <c r="C238" s="8" t="s">
        <v>626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395</v>
      </c>
      <c r="B239" s="8" t="s">
        <v>67</v>
      </c>
      <c r="C239" s="8" t="s">
        <v>627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395</v>
      </c>
      <c r="B240" s="8" t="s">
        <v>67</v>
      </c>
      <c r="C240" s="8" t="s">
        <v>628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395</v>
      </c>
      <c r="B241" s="8" t="s">
        <v>112</v>
      </c>
      <c r="C241" s="8" t="s">
        <v>629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395</v>
      </c>
      <c r="B242" s="8" t="s">
        <v>112</v>
      </c>
      <c r="C242" s="8" t="s">
        <v>630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395</v>
      </c>
      <c r="B243" s="8" t="s">
        <v>112</v>
      </c>
      <c r="C243" s="8" t="s">
        <v>631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395</v>
      </c>
      <c r="B244" s="8" t="s">
        <v>112</v>
      </c>
      <c r="C244" s="8" t="s">
        <v>632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395</v>
      </c>
      <c r="B245" s="8" t="s">
        <v>112</v>
      </c>
      <c r="C245" s="8" t="s">
        <v>633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395</v>
      </c>
      <c r="B246" s="8" t="s">
        <v>112</v>
      </c>
      <c r="C246" s="8" t="s">
        <v>634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395</v>
      </c>
      <c r="B247" s="8" t="s">
        <v>119</v>
      </c>
      <c r="C247" s="8" t="s">
        <v>635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395</v>
      </c>
      <c r="B248" s="8" t="s">
        <v>203</v>
      </c>
      <c r="C248" s="8" t="s">
        <v>636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395</v>
      </c>
      <c r="B249" s="8" t="s">
        <v>87</v>
      </c>
      <c r="C249" s="8" t="s">
        <v>637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395</v>
      </c>
      <c r="B250" s="8" t="s">
        <v>87</v>
      </c>
      <c r="C250" s="8" t="s">
        <v>638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395</v>
      </c>
      <c r="B251" s="8" t="s">
        <v>87</v>
      </c>
      <c r="C251" s="8" t="s">
        <v>639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395</v>
      </c>
      <c r="B252" s="8" t="s">
        <v>87</v>
      </c>
      <c r="C252" s="8" t="s">
        <v>640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395</v>
      </c>
      <c r="B253" s="8" t="s">
        <v>87</v>
      </c>
      <c r="C253" s="8" t="s">
        <v>641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395</v>
      </c>
      <c r="B254" s="8" t="s">
        <v>87</v>
      </c>
      <c r="C254" s="8" t="s">
        <v>642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395</v>
      </c>
      <c r="B255" s="8" t="s">
        <v>115</v>
      </c>
      <c r="C255" s="8" t="s">
        <v>643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395</v>
      </c>
      <c r="B256" s="8" t="s">
        <v>115</v>
      </c>
      <c r="C256" s="8" t="s">
        <v>644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395</v>
      </c>
      <c r="B257" s="8" t="s">
        <v>115</v>
      </c>
      <c r="C257" s="8" t="s">
        <v>645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395</v>
      </c>
      <c r="B258" s="8" t="s">
        <v>164</v>
      </c>
      <c r="C258" s="8" t="s">
        <v>646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395</v>
      </c>
      <c r="B259" s="8" t="s">
        <v>322</v>
      </c>
      <c r="C259" s="8" t="s">
        <v>647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395</v>
      </c>
      <c r="B260" s="8" t="s">
        <v>322</v>
      </c>
      <c r="C260" s="8" t="s">
        <v>648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395</v>
      </c>
      <c r="B261" s="8" t="s">
        <v>198</v>
      </c>
      <c r="C261" s="8" t="s">
        <v>649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395</v>
      </c>
      <c r="B262" s="8" t="s">
        <v>198</v>
      </c>
      <c r="C262" s="8" t="s">
        <v>650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395</v>
      </c>
      <c r="B263" s="8" t="s">
        <v>198</v>
      </c>
      <c r="C263" s="8" t="s">
        <v>651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395</v>
      </c>
      <c r="B264" s="8" t="s">
        <v>198</v>
      </c>
      <c r="C264" s="8" t="s">
        <v>652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395</v>
      </c>
      <c r="B265" s="8" t="s">
        <v>198</v>
      </c>
      <c r="C265" s="8" t="s">
        <v>653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395</v>
      </c>
      <c r="B266" s="8" t="s">
        <v>253</v>
      </c>
      <c r="C266" s="8" t="s">
        <v>654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395</v>
      </c>
      <c r="B267" s="8" t="s">
        <v>253</v>
      </c>
      <c r="C267" s="8" t="s">
        <v>655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395</v>
      </c>
      <c r="B268" s="8" t="s">
        <v>253</v>
      </c>
      <c r="C268" s="8" t="s">
        <v>656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395</v>
      </c>
      <c r="B269" s="8" t="s">
        <v>253</v>
      </c>
      <c r="C269" s="8" t="s">
        <v>657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395</v>
      </c>
      <c r="B270" s="8" t="s">
        <v>200</v>
      </c>
      <c r="C270" s="8" t="s">
        <v>658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395</v>
      </c>
      <c r="B271" s="8" t="s">
        <v>200</v>
      </c>
      <c r="C271" s="8" t="s">
        <v>659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395</v>
      </c>
      <c r="B272" s="8" t="s">
        <v>200</v>
      </c>
      <c r="C272" s="8" t="s">
        <v>660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395</v>
      </c>
      <c r="B273" s="8" t="s">
        <v>200</v>
      </c>
      <c r="C273" s="8" t="s">
        <v>661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395</v>
      </c>
      <c r="B274" s="8" t="s">
        <v>248</v>
      </c>
      <c r="C274" s="8" t="s">
        <v>662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395</v>
      </c>
      <c r="B275" s="8" t="s">
        <v>227</v>
      </c>
      <c r="C275" s="8" t="s">
        <v>663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395</v>
      </c>
      <c r="B276" s="8" t="s">
        <v>227</v>
      </c>
      <c r="C276" s="8" t="s">
        <v>664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395</v>
      </c>
      <c r="B277" s="8" t="s">
        <v>227</v>
      </c>
      <c r="C277" s="8" t="s">
        <v>665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395</v>
      </c>
      <c r="B278" s="8" t="s">
        <v>246</v>
      </c>
      <c r="C278" s="8" t="s">
        <v>666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395</v>
      </c>
      <c r="B279" s="8" t="s">
        <v>246</v>
      </c>
      <c r="C279" s="8" t="s">
        <v>667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395</v>
      </c>
      <c r="B280" s="8" t="s">
        <v>246</v>
      </c>
      <c r="C280" s="8" t="s">
        <v>668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395</v>
      </c>
      <c r="B281" s="8" t="s">
        <v>246</v>
      </c>
      <c r="C281" s="8" t="s">
        <v>669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395</v>
      </c>
      <c r="B282" s="8" t="s">
        <v>246</v>
      </c>
      <c r="C282" s="8" t="s">
        <v>670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395</v>
      </c>
      <c r="B283" s="8" t="s">
        <v>308</v>
      </c>
      <c r="C283" s="8" t="s">
        <v>671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395</v>
      </c>
      <c r="B284" s="8" t="s">
        <v>308</v>
      </c>
      <c r="C284" s="8" t="s">
        <v>672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395</v>
      </c>
      <c r="B285" s="8" t="s">
        <v>340</v>
      </c>
      <c r="C285" s="8" t="s">
        <v>673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395</v>
      </c>
      <c r="B286" s="8" t="s">
        <v>340</v>
      </c>
      <c r="C286" s="8" t="s">
        <v>674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395</v>
      </c>
      <c r="B287" s="8" t="s">
        <v>340</v>
      </c>
      <c r="C287" s="8" t="s">
        <v>675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395</v>
      </c>
      <c r="B288" s="8" t="s">
        <v>231</v>
      </c>
      <c r="C288" s="8" t="s">
        <v>676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395</v>
      </c>
      <c r="B289" s="8" t="s">
        <v>231</v>
      </c>
      <c r="C289" s="8" t="s">
        <v>677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395</v>
      </c>
      <c r="B290" s="8" t="s">
        <v>231</v>
      </c>
      <c r="C290" s="8" t="s">
        <v>678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395</v>
      </c>
      <c r="B291" s="8" t="s">
        <v>100</v>
      </c>
      <c r="C291" s="8" t="s">
        <v>679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395</v>
      </c>
      <c r="B292" s="8" t="s">
        <v>288</v>
      </c>
      <c r="C292" s="8" t="s">
        <v>680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395</v>
      </c>
      <c r="B293" s="8" t="s">
        <v>288</v>
      </c>
      <c r="C293" s="8" t="s">
        <v>681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395</v>
      </c>
      <c r="B294" s="8" t="s">
        <v>288</v>
      </c>
      <c r="C294" s="8" t="s">
        <v>682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395</v>
      </c>
      <c r="B295" s="8" t="s">
        <v>328</v>
      </c>
      <c r="C295" s="8" t="s">
        <v>683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395</v>
      </c>
      <c r="B296" s="8" t="s">
        <v>328</v>
      </c>
      <c r="C296" s="8" t="s">
        <v>684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395</v>
      </c>
      <c r="B297" s="8" t="s">
        <v>328</v>
      </c>
      <c r="C297" s="8" t="s">
        <v>685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395</v>
      </c>
      <c r="B298" s="8" t="s">
        <v>328</v>
      </c>
      <c r="C298" s="8" t="s">
        <v>686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395</v>
      </c>
      <c r="B299" s="8" t="s">
        <v>328</v>
      </c>
      <c r="C299" s="8" t="s">
        <v>687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395</v>
      </c>
      <c r="B300" s="8" t="s">
        <v>87</v>
      </c>
      <c r="C300" s="8" t="s">
        <v>688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395</v>
      </c>
      <c r="B301" s="8" t="s">
        <v>248</v>
      </c>
      <c r="C301" s="8" t="s">
        <v>689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395</v>
      </c>
      <c r="B302" s="8" t="s">
        <v>244</v>
      </c>
      <c r="C302" s="8" t="s">
        <v>690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395</v>
      </c>
      <c r="B303" s="8" t="s">
        <v>158</v>
      </c>
      <c r="C303" s="8" t="s">
        <v>691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395</v>
      </c>
      <c r="B304" s="8" t="s">
        <v>75</v>
      </c>
      <c r="C304" s="8" t="s">
        <v>692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395</v>
      </c>
      <c r="B305" s="8" t="s">
        <v>205</v>
      </c>
      <c r="C305" s="8" t="s">
        <v>693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395</v>
      </c>
      <c r="B306" s="8" t="s">
        <v>130</v>
      </c>
      <c r="C306" s="8" t="s">
        <v>694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395</v>
      </c>
      <c r="B307" s="8" t="s">
        <v>122</v>
      </c>
      <c r="C307" s="8" t="s">
        <v>695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395</v>
      </c>
      <c r="B308" s="8" t="s">
        <v>297</v>
      </c>
      <c r="C308" s="8" t="s">
        <v>696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395</v>
      </c>
      <c r="B309" s="8" t="s">
        <v>136</v>
      </c>
      <c r="C309" s="8" t="s">
        <v>697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395</v>
      </c>
      <c r="B310" s="8" t="s">
        <v>76</v>
      </c>
      <c r="C310" s="8" t="s">
        <v>698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395</v>
      </c>
      <c r="B311" s="8" t="s">
        <v>225</v>
      </c>
      <c r="C311" s="8" t="s">
        <v>699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395</v>
      </c>
      <c r="B312" s="8" t="s">
        <v>154</v>
      </c>
      <c r="C312" s="8" t="s">
        <v>700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395</v>
      </c>
      <c r="B313" s="8" t="s">
        <v>154</v>
      </c>
      <c r="C313" s="8" t="s">
        <v>701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395</v>
      </c>
      <c r="B314" s="8" t="s">
        <v>154</v>
      </c>
      <c r="C314" s="8" t="s">
        <v>702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395</v>
      </c>
      <c r="B315" s="8" t="s">
        <v>154</v>
      </c>
      <c r="C315" s="8" t="s">
        <v>703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395</v>
      </c>
      <c r="B316" s="8" t="s">
        <v>85</v>
      </c>
      <c r="C316" s="8" t="s">
        <v>704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395</v>
      </c>
      <c r="B317" s="8" t="s">
        <v>61</v>
      </c>
      <c r="C317" s="8" t="s">
        <v>705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395</v>
      </c>
      <c r="B318" s="8" t="s">
        <v>61</v>
      </c>
      <c r="C318" s="8" t="s">
        <v>706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395</v>
      </c>
      <c r="B319" s="8" t="s">
        <v>61</v>
      </c>
      <c r="C319" s="8" t="s">
        <v>707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395</v>
      </c>
      <c r="B320" s="8" t="s">
        <v>61</v>
      </c>
      <c r="C320" s="8" t="s">
        <v>708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395</v>
      </c>
      <c r="B321" s="8" t="s">
        <v>61</v>
      </c>
      <c r="C321" s="8" t="s">
        <v>709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395</v>
      </c>
      <c r="B322" s="8" t="s">
        <v>65</v>
      </c>
      <c r="C322" s="8" t="s">
        <v>710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395</v>
      </c>
      <c r="B323" s="8" t="s">
        <v>65</v>
      </c>
      <c r="C323" s="8" t="s">
        <v>711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395</v>
      </c>
      <c r="B324" s="8" t="s">
        <v>65</v>
      </c>
      <c r="C324" s="8" t="s">
        <v>712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395</v>
      </c>
      <c r="B325" s="8" t="s">
        <v>65</v>
      </c>
      <c r="C325" s="8" t="s">
        <v>713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395</v>
      </c>
      <c r="B326" s="8" t="s">
        <v>266</v>
      </c>
      <c r="C326" s="8" t="s">
        <v>714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395</v>
      </c>
      <c r="B327" s="8" t="s">
        <v>257</v>
      </c>
      <c r="C327" s="8" t="s">
        <v>715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395</v>
      </c>
      <c r="B328" s="8" t="s">
        <v>277</v>
      </c>
      <c r="C328" s="8" t="s">
        <v>716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395</v>
      </c>
      <c r="B329" s="8" t="s">
        <v>92</v>
      </c>
      <c r="C329" s="8" t="s">
        <v>717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395</v>
      </c>
      <c r="B330" s="8" t="s">
        <v>111</v>
      </c>
      <c r="C330" s="8" t="s">
        <v>718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395</v>
      </c>
      <c r="B331" s="8" t="s">
        <v>95</v>
      </c>
      <c r="C331" s="8" t="s">
        <v>719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395</v>
      </c>
      <c r="B332" s="8" t="s">
        <v>267</v>
      </c>
      <c r="C332" s="8" t="s">
        <v>720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395</v>
      </c>
      <c r="B333" s="8" t="s">
        <v>267</v>
      </c>
      <c r="C333" s="8" t="s">
        <v>721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395</v>
      </c>
      <c r="B334" s="8" t="s">
        <v>238</v>
      </c>
      <c r="C334" s="8" t="s">
        <v>722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395</v>
      </c>
      <c r="B335" s="8" t="s">
        <v>238</v>
      </c>
      <c r="C335" s="8" t="s">
        <v>723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395</v>
      </c>
      <c r="B336" s="8" t="s">
        <v>238</v>
      </c>
      <c r="C336" s="8" t="s">
        <v>721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395</v>
      </c>
      <c r="B337" s="8" t="s">
        <v>171</v>
      </c>
      <c r="C337" s="8" t="s">
        <v>724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395</v>
      </c>
      <c r="B338" s="8" t="s">
        <v>171</v>
      </c>
      <c r="C338" s="8" t="s">
        <v>725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395</v>
      </c>
      <c r="B339" s="8" t="s">
        <v>142</v>
      </c>
      <c r="C339" s="8" t="s">
        <v>724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395</v>
      </c>
      <c r="B340" s="8" t="s">
        <v>142</v>
      </c>
      <c r="C340" s="8" t="s">
        <v>725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395</v>
      </c>
      <c r="B341" s="8" t="s">
        <v>204</v>
      </c>
      <c r="C341" s="8" t="s">
        <v>726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395</v>
      </c>
      <c r="B342" s="8" t="s">
        <v>188</v>
      </c>
      <c r="C342" s="8" t="s">
        <v>727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395</v>
      </c>
      <c r="B343" s="8" t="s">
        <v>188</v>
      </c>
      <c r="C343" s="8" t="s">
        <v>728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395</v>
      </c>
      <c r="B344" s="8" t="s">
        <v>241</v>
      </c>
      <c r="C344" s="8" t="s">
        <v>729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395</v>
      </c>
      <c r="B345" s="8" t="s">
        <v>241</v>
      </c>
      <c r="C345" s="8" t="s">
        <v>730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395</v>
      </c>
      <c r="B346" s="8" t="s">
        <v>188</v>
      </c>
      <c r="C346" s="8" t="s">
        <v>731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395</v>
      </c>
      <c r="B347" s="8" t="s">
        <v>306</v>
      </c>
      <c r="C347" s="8" t="s">
        <v>729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395</v>
      </c>
      <c r="B348" s="8" t="s">
        <v>61</v>
      </c>
      <c r="C348" s="8" t="s">
        <v>732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395</v>
      </c>
      <c r="B349" s="8" t="s">
        <v>60</v>
      </c>
      <c r="C349" s="8" t="s">
        <v>733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395</v>
      </c>
      <c r="B350" s="8" t="s">
        <v>60</v>
      </c>
      <c r="C350" s="8" t="s">
        <v>734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395</v>
      </c>
      <c r="B351" s="8" t="s">
        <v>60</v>
      </c>
      <c r="C351" s="8" t="s">
        <v>735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395</v>
      </c>
      <c r="B352" s="8" t="s">
        <v>99</v>
      </c>
      <c r="C352" s="8" t="s">
        <v>736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395</v>
      </c>
      <c r="B353" s="8" t="s">
        <v>99</v>
      </c>
      <c r="C353" s="8" t="s">
        <v>737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395</v>
      </c>
      <c r="B354" s="8" t="s">
        <v>99</v>
      </c>
      <c r="C354" s="8" t="s">
        <v>738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395</v>
      </c>
      <c r="B355" s="8" t="s">
        <v>362</v>
      </c>
      <c r="C355" s="8" t="s">
        <v>739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395</v>
      </c>
      <c r="B356" s="8" t="s">
        <v>156</v>
      </c>
      <c r="C356" s="8" t="s">
        <v>636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395</v>
      </c>
      <c r="B357" s="8" t="s">
        <v>333</v>
      </c>
      <c r="C357" s="8" t="s">
        <v>740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395</v>
      </c>
      <c r="B358" s="8" t="s">
        <v>62</v>
      </c>
      <c r="C358" s="8" t="s">
        <v>741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395</v>
      </c>
      <c r="B359" s="8" t="s">
        <v>62</v>
      </c>
      <c r="C359" s="8" t="s">
        <v>742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395</v>
      </c>
      <c r="B360" s="8" t="s">
        <v>62</v>
      </c>
      <c r="C360" s="8" t="s">
        <v>743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395</v>
      </c>
      <c r="B361" s="8" t="s">
        <v>62</v>
      </c>
      <c r="C361" s="8" t="s">
        <v>744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395</v>
      </c>
      <c r="B362" s="8" t="s">
        <v>62</v>
      </c>
      <c r="C362" s="8" t="s">
        <v>745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395</v>
      </c>
      <c r="B363" s="8" t="s">
        <v>336</v>
      </c>
      <c r="C363" s="8" t="s">
        <v>746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395</v>
      </c>
      <c r="B364" s="8" t="s">
        <v>370</v>
      </c>
      <c r="C364" s="8" t="s">
        <v>747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395</v>
      </c>
      <c r="B365" s="8" t="s">
        <v>326</v>
      </c>
      <c r="C365" s="8" t="s">
        <v>748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395</v>
      </c>
      <c r="B366" s="8" t="s">
        <v>285</v>
      </c>
      <c r="C366" s="8" t="s">
        <v>749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395</v>
      </c>
      <c r="B367" s="8" t="s">
        <v>327</v>
      </c>
      <c r="C367" s="8" t="s">
        <v>750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395</v>
      </c>
      <c r="B368" s="8" t="s">
        <v>91</v>
      </c>
      <c r="C368" s="8" t="s">
        <v>751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395</v>
      </c>
      <c r="B369" s="8" t="s">
        <v>217</v>
      </c>
      <c r="C369" s="8" t="s">
        <v>752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395</v>
      </c>
      <c r="B370" s="8" t="s">
        <v>183</v>
      </c>
      <c r="C370" s="8" t="s">
        <v>753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395</v>
      </c>
      <c r="B371" s="8" t="s">
        <v>213</v>
      </c>
      <c r="C371" s="8" t="s">
        <v>754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395</v>
      </c>
      <c r="B372" s="8" t="s">
        <v>124</v>
      </c>
      <c r="C372" s="8" t="s">
        <v>755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395</v>
      </c>
      <c r="B373" s="8" t="s">
        <v>178</v>
      </c>
      <c r="C373" s="8" t="s">
        <v>756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395</v>
      </c>
      <c r="B374" s="8" t="s">
        <v>212</v>
      </c>
      <c r="C374" s="8" t="s">
        <v>757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395</v>
      </c>
      <c r="B375" s="8" t="s">
        <v>212</v>
      </c>
      <c r="C375" s="8" t="s">
        <v>758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395</v>
      </c>
      <c r="B376" s="8" t="s">
        <v>212</v>
      </c>
      <c r="C376" s="8" t="s">
        <v>759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395</v>
      </c>
      <c r="B377" s="8" t="s">
        <v>212</v>
      </c>
      <c r="C377" s="8" t="s">
        <v>760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395</v>
      </c>
      <c r="B378" s="8" t="s">
        <v>212</v>
      </c>
      <c r="C378" s="8" t="s">
        <v>761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395</v>
      </c>
      <c r="B379" s="8" t="s">
        <v>212</v>
      </c>
      <c r="C379" s="8" t="s">
        <v>762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395</v>
      </c>
      <c r="B380" s="8" t="s">
        <v>212</v>
      </c>
      <c r="C380" s="8" t="s">
        <v>763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395</v>
      </c>
      <c r="B381" s="8" t="s">
        <v>212</v>
      </c>
      <c r="C381" s="8" t="s">
        <v>764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395</v>
      </c>
      <c r="B382" s="8" t="s">
        <v>212</v>
      </c>
      <c r="C382" s="8" t="s">
        <v>765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395</v>
      </c>
      <c r="B383" s="8" t="s">
        <v>212</v>
      </c>
      <c r="C383" s="8" t="s">
        <v>766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395</v>
      </c>
      <c r="B384" s="8" t="s">
        <v>212</v>
      </c>
      <c r="C384" s="8" t="s">
        <v>767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395</v>
      </c>
      <c r="B385" s="8" t="s">
        <v>263</v>
      </c>
      <c r="C385" s="8" t="s">
        <v>768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395</v>
      </c>
      <c r="B386" s="8" t="s">
        <v>185</v>
      </c>
      <c r="C386" s="8" t="s">
        <v>769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395</v>
      </c>
      <c r="B387" s="8" t="s">
        <v>305</v>
      </c>
      <c r="C387" s="8" t="s">
        <v>770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395</v>
      </c>
      <c r="B388" s="8" t="s">
        <v>341</v>
      </c>
      <c r="C388" s="8" t="s">
        <v>771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395</v>
      </c>
      <c r="B389" s="8" t="s">
        <v>341</v>
      </c>
      <c r="C389" s="8" t="s">
        <v>772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395</v>
      </c>
      <c r="B390" s="8" t="s">
        <v>372</v>
      </c>
      <c r="C390" s="8" t="s">
        <v>773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395</v>
      </c>
      <c r="B391" s="8" t="s">
        <v>334</v>
      </c>
      <c r="C391" s="8" t="s">
        <v>774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395</v>
      </c>
      <c r="B392" s="8" t="s">
        <v>276</v>
      </c>
      <c r="C392" s="8" t="s">
        <v>775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395</v>
      </c>
      <c r="B393" s="8" t="s">
        <v>235</v>
      </c>
      <c r="C393" s="8" t="s">
        <v>776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395</v>
      </c>
      <c r="B394" s="8" t="s">
        <v>201</v>
      </c>
      <c r="C394" s="8" t="s">
        <v>777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395</v>
      </c>
      <c r="B395" s="8" t="s">
        <v>73</v>
      </c>
      <c r="C395" s="8" t="s">
        <v>778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395</v>
      </c>
      <c r="B396" s="8" t="s">
        <v>120</v>
      </c>
      <c r="C396" s="8" t="s">
        <v>779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395</v>
      </c>
      <c r="B397" s="8" t="s">
        <v>319</v>
      </c>
      <c r="C397" s="8" t="s">
        <v>780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395</v>
      </c>
      <c r="B398" s="8" t="s">
        <v>323</v>
      </c>
      <c r="C398" s="8" t="s">
        <v>781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395</v>
      </c>
      <c r="B399" s="8" t="s">
        <v>96</v>
      </c>
      <c r="C399" s="8" t="s">
        <v>782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395</v>
      </c>
      <c r="B400" s="8" t="s">
        <v>96</v>
      </c>
      <c r="C400" s="8" t="s">
        <v>783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395</v>
      </c>
      <c r="B401" s="8" t="s">
        <v>96</v>
      </c>
      <c r="C401" s="8" t="s">
        <v>784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395</v>
      </c>
      <c r="B402" s="8" t="s">
        <v>96</v>
      </c>
      <c r="C402" s="8" t="s">
        <v>785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395</v>
      </c>
      <c r="B403" s="8" t="s">
        <v>96</v>
      </c>
      <c r="C403" s="8" t="s">
        <v>786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395</v>
      </c>
      <c r="B404" s="8" t="s">
        <v>64</v>
      </c>
      <c r="C404" s="8" t="s">
        <v>787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395</v>
      </c>
      <c r="B405" s="8" t="s">
        <v>161</v>
      </c>
      <c r="C405" s="8" t="s">
        <v>719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395</v>
      </c>
      <c r="B406" s="8" t="s">
        <v>55</v>
      </c>
      <c r="C406" s="8" t="s">
        <v>788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395</v>
      </c>
      <c r="B407" s="8" t="s">
        <v>55</v>
      </c>
      <c r="C407" s="8" t="s">
        <v>789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395</v>
      </c>
      <c r="B408" s="8" t="s">
        <v>55</v>
      </c>
      <c r="C408" s="8" t="s">
        <v>790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395</v>
      </c>
      <c r="B409" s="8" t="s">
        <v>313</v>
      </c>
      <c r="C409" s="8" t="s">
        <v>791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395</v>
      </c>
      <c r="B410" s="8" t="s">
        <v>329</v>
      </c>
      <c r="C410" s="8" t="s">
        <v>792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395</v>
      </c>
      <c r="B411" s="8" t="s">
        <v>325</v>
      </c>
      <c r="C411" s="8" t="s">
        <v>792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395</v>
      </c>
      <c r="B412" s="8" t="s">
        <v>207</v>
      </c>
      <c r="C412" s="8" t="s">
        <v>792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395</v>
      </c>
      <c r="B413" s="8" t="s">
        <v>149</v>
      </c>
      <c r="C413" s="8" t="s">
        <v>793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395</v>
      </c>
      <c r="B414" s="8" t="s">
        <v>151</v>
      </c>
      <c r="C414" s="8" t="s">
        <v>793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395</v>
      </c>
      <c r="B415" s="8" t="s">
        <v>360</v>
      </c>
      <c r="C415" s="8" t="s">
        <v>794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395</v>
      </c>
      <c r="B416" s="8" t="s">
        <v>251</v>
      </c>
      <c r="C416" s="8" t="s">
        <v>795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395</v>
      </c>
      <c r="B417" s="8" t="s">
        <v>275</v>
      </c>
      <c r="C417" s="8" t="s">
        <v>795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395</v>
      </c>
      <c r="B418" s="8" t="s">
        <v>303</v>
      </c>
      <c r="C418" s="8" t="s">
        <v>795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395</v>
      </c>
      <c r="B419" s="8" t="s">
        <v>279</v>
      </c>
      <c r="C419" s="8" t="s">
        <v>796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395</v>
      </c>
      <c r="B420" s="8" t="s">
        <v>259</v>
      </c>
      <c r="C420" s="8" t="s">
        <v>797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395</v>
      </c>
      <c r="B421" s="8" t="s">
        <v>299</v>
      </c>
      <c r="C421" s="8" t="s">
        <v>797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395</v>
      </c>
      <c r="B422" s="8" t="s">
        <v>216</v>
      </c>
      <c r="C422" s="8" t="s">
        <v>797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395</v>
      </c>
      <c r="B423" s="8" t="s">
        <v>300</v>
      </c>
      <c r="C423" s="8" t="s">
        <v>798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395</v>
      </c>
      <c r="B424" s="8" t="s">
        <v>298</v>
      </c>
      <c r="C424" s="8" t="s">
        <v>797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395</v>
      </c>
      <c r="B425" s="8" t="s">
        <v>152</v>
      </c>
      <c r="C425" s="8" t="s">
        <v>799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395</v>
      </c>
      <c r="B426" s="8" t="s">
        <v>152</v>
      </c>
      <c r="C426" s="8" t="s">
        <v>800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395</v>
      </c>
      <c r="B427" s="8" t="s">
        <v>152</v>
      </c>
      <c r="C427" s="8" t="s">
        <v>801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395</v>
      </c>
      <c r="B428" s="8" t="s">
        <v>273</v>
      </c>
      <c r="C428" s="8" t="s">
        <v>802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395</v>
      </c>
      <c r="B429" s="8" t="s">
        <v>273</v>
      </c>
      <c r="C429" s="8" t="s">
        <v>803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395</v>
      </c>
      <c r="B430" s="8" t="s">
        <v>273</v>
      </c>
      <c r="C430" s="8" t="s">
        <v>804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395</v>
      </c>
      <c r="B431" s="8" t="s">
        <v>273</v>
      </c>
      <c r="C431" s="8" t="s">
        <v>805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395</v>
      </c>
      <c r="B432" s="8" t="s">
        <v>148</v>
      </c>
      <c r="C432" s="8" t="s">
        <v>806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395</v>
      </c>
      <c r="B433" s="8" t="s">
        <v>330</v>
      </c>
      <c r="C433" s="8" t="s">
        <v>807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395</v>
      </c>
      <c r="B434" s="8" t="s">
        <v>224</v>
      </c>
      <c r="C434" s="8" t="s">
        <v>807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395</v>
      </c>
      <c r="B435" s="8" t="s">
        <v>332</v>
      </c>
      <c r="C435" s="8" t="s">
        <v>807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395</v>
      </c>
      <c r="B436" s="8" t="s">
        <v>245</v>
      </c>
      <c r="C436" s="8" t="s">
        <v>807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395</v>
      </c>
      <c r="B437" s="8" t="s">
        <v>93</v>
      </c>
      <c r="C437" s="8" t="s">
        <v>808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395</v>
      </c>
      <c r="B438" s="8" t="s">
        <v>83</v>
      </c>
      <c r="C438" s="8" t="s">
        <v>808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395</v>
      </c>
      <c r="B439" s="8" t="s">
        <v>94</v>
      </c>
      <c r="C439" s="8" t="s">
        <v>808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395</v>
      </c>
      <c r="B440" s="8" t="s">
        <v>102</v>
      </c>
      <c r="C440" s="8" t="s">
        <v>808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395</v>
      </c>
      <c r="B441" s="8" t="s">
        <v>60</v>
      </c>
      <c r="C441" s="8" t="s">
        <v>809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395</v>
      </c>
      <c r="B442" s="8" t="s">
        <v>57</v>
      </c>
      <c r="C442" s="8" t="s">
        <v>810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395</v>
      </c>
      <c r="B443" s="8" t="s">
        <v>89</v>
      </c>
      <c r="C443" s="8" t="s">
        <v>811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395</v>
      </c>
      <c r="B444" s="8" t="s">
        <v>89</v>
      </c>
      <c r="C444" s="8" t="s">
        <v>812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395</v>
      </c>
      <c r="B445" s="8" t="s">
        <v>89</v>
      </c>
      <c r="C445" s="8" t="s">
        <v>813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395</v>
      </c>
      <c r="B446" s="8" t="s">
        <v>89</v>
      </c>
      <c r="C446" s="8" t="s">
        <v>814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395</v>
      </c>
      <c r="B447" s="8" t="s">
        <v>89</v>
      </c>
      <c r="C447" s="8" t="s">
        <v>815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395</v>
      </c>
      <c r="B448" s="8" t="s">
        <v>89</v>
      </c>
      <c r="C448" s="8" t="s">
        <v>816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395</v>
      </c>
      <c r="B449" s="8" t="s">
        <v>103</v>
      </c>
      <c r="C449" s="8" t="s">
        <v>817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395</v>
      </c>
      <c r="B450" s="8" t="s">
        <v>282</v>
      </c>
      <c r="C450" s="8" t="s">
        <v>818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395</v>
      </c>
      <c r="B451" s="8" t="s">
        <v>57</v>
      </c>
      <c r="C451" s="8" t="s">
        <v>819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395</v>
      </c>
      <c r="B452" s="8" t="s">
        <v>170</v>
      </c>
      <c r="C452" s="8" t="s">
        <v>820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395</v>
      </c>
      <c r="B453" s="8" t="s">
        <v>170</v>
      </c>
      <c r="C453" s="8" t="s">
        <v>821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395</v>
      </c>
      <c r="B454" s="8" t="s">
        <v>170</v>
      </c>
      <c r="C454" s="8" t="s">
        <v>822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395</v>
      </c>
      <c r="B455" s="8" t="s">
        <v>170</v>
      </c>
      <c r="C455" s="8" t="s">
        <v>823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395</v>
      </c>
      <c r="B456" s="8" t="s">
        <v>170</v>
      </c>
      <c r="C456" s="8" t="s">
        <v>824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395</v>
      </c>
      <c r="B457" s="8" t="s">
        <v>54</v>
      </c>
      <c r="C457" s="8" t="s">
        <v>825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395</v>
      </c>
      <c r="B458" s="8" t="s">
        <v>286</v>
      </c>
      <c r="C458" s="8" t="s">
        <v>826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395</v>
      </c>
      <c r="B459" s="8" t="s">
        <v>193</v>
      </c>
      <c r="C459" s="8" t="s">
        <v>827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395</v>
      </c>
      <c r="B460" s="8" t="s">
        <v>226</v>
      </c>
      <c r="C460" s="8" t="s">
        <v>827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395</v>
      </c>
      <c r="B461" s="8" t="s">
        <v>169</v>
      </c>
      <c r="C461" s="8" t="s">
        <v>827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395</v>
      </c>
      <c r="B462" s="8" t="s">
        <v>175</v>
      </c>
      <c r="C462" s="8" t="s">
        <v>827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395</v>
      </c>
      <c r="B463" s="8" t="s">
        <v>110</v>
      </c>
      <c r="C463" s="8" t="s">
        <v>828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395</v>
      </c>
      <c r="B464" s="8" t="s">
        <v>222</v>
      </c>
      <c r="C464" s="8" t="s">
        <v>829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395</v>
      </c>
      <c r="B465" s="8" t="s">
        <v>312</v>
      </c>
      <c r="C465" s="8" t="s">
        <v>830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395</v>
      </c>
      <c r="B466" s="8" t="s">
        <v>335</v>
      </c>
      <c r="C466" s="8" t="s">
        <v>830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395</v>
      </c>
      <c r="B467" s="8" t="s">
        <v>304</v>
      </c>
      <c r="C467" s="8" t="s">
        <v>830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395</v>
      </c>
      <c r="B468" s="8" t="s">
        <v>162</v>
      </c>
      <c r="C468" s="8" t="s">
        <v>831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395</v>
      </c>
      <c r="B469" s="8" t="s">
        <v>105</v>
      </c>
      <c r="C469" s="8" t="s">
        <v>832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395</v>
      </c>
      <c r="B470" s="8" t="s">
        <v>121</v>
      </c>
      <c r="C470" s="8" t="s">
        <v>832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395</v>
      </c>
      <c r="B471" s="8" t="s">
        <v>133</v>
      </c>
      <c r="C471" s="8" t="s">
        <v>832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395</v>
      </c>
      <c r="B472" s="8" t="s">
        <v>132</v>
      </c>
      <c r="C472" s="8" t="s">
        <v>832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395</v>
      </c>
      <c r="B473" s="8" t="s">
        <v>141</v>
      </c>
      <c r="C473" s="8" t="s">
        <v>833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395</v>
      </c>
      <c r="B474" s="8" t="s">
        <v>141</v>
      </c>
      <c r="C474" s="8" t="s">
        <v>834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395</v>
      </c>
      <c r="B475" s="8" t="s">
        <v>141</v>
      </c>
      <c r="C475" s="8" t="s">
        <v>835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395</v>
      </c>
      <c r="B476" s="8" t="s">
        <v>141</v>
      </c>
      <c r="C476" s="8" t="s">
        <v>836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395</v>
      </c>
      <c r="B477" s="8" t="s">
        <v>234</v>
      </c>
      <c r="C477" s="8" t="s">
        <v>837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395</v>
      </c>
      <c r="B478" s="8" t="s">
        <v>234</v>
      </c>
      <c r="C478" s="8" t="s">
        <v>838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395</v>
      </c>
      <c r="B479" s="8" t="s">
        <v>234</v>
      </c>
      <c r="C479" s="8" t="s">
        <v>839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395</v>
      </c>
      <c r="B480" s="8" t="s">
        <v>234</v>
      </c>
      <c r="C480" s="8" t="s">
        <v>840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395</v>
      </c>
      <c r="B481" s="8" t="s">
        <v>159</v>
      </c>
      <c r="C481" s="8" t="s">
        <v>660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395</v>
      </c>
      <c r="B482" s="8" t="s">
        <v>159</v>
      </c>
      <c r="C482" s="8" t="s">
        <v>659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395</v>
      </c>
      <c r="B483" s="8" t="s">
        <v>159</v>
      </c>
      <c r="C483" s="8" t="s">
        <v>661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395</v>
      </c>
      <c r="B484" s="8" t="s">
        <v>159</v>
      </c>
      <c r="C484" s="8" t="s">
        <v>658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395</v>
      </c>
      <c r="B485" s="8" t="s">
        <v>159</v>
      </c>
      <c r="C485" s="8" t="s">
        <v>841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395</v>
      </c>
      <c r="B486" s="8" t="s">
        <v>287</v>
      </c>
      <c r="C486" s="8" t="s">
        <v>842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395</v>
      </c>
      <c r="B487" s="8" t="s">
        <v>287</v>
      </c>
      <c r="C487" s="8" t="s">
        <v>843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395</v>
      </c>
      <c r="B488" s="8" t="s">
        <v>287</v>
      </c>
      <c r="C488" s="8" t="s">
        <v>844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395</v>
      </c>
      <c r="B489" s="8" t="s">
        <v>287</v>
      </c>
      <c r="C489" s="8" t="s">
        <v>845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395</v>
      </c>
      <c r="B490" s="8" t="s">
        <v>215</v>
      </c>
      <c r="C490" s="8" t="s">
        <v>846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395</v>
      </c>
      <c r="B491" s="8" t="s">
        <v>215</v>
      </c>
      <c r="C491" s="8" t="s">
        <v>847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395</v>
      </c>
      <c r="B492" s="8" t="s">
        <v>215</v>
      </c>
      <c r="C492" s="8" t="s">
        <v>848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395</v>
      </c>
      <c r="B493" s="8" t="s">
        <v>215</v>
      </c>
      <c r="C493" s="8" t="s">
        <v>849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395</v>
      </c>
      <c r="B494" s="8" t="s">
        <v>363</v>
      </c>
      <c r="C494" s="8" t="s">
        <v>850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395</v>
      </c>
      <c r="B495" s="8" t="s">
        <v>367</v>
      </c>
      <c r="C495" s="8" t="s">
        <v>850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395</v>
      </c>
      <c r="B496" s="8" t="s">
        <v>366</v>
      </c>
      <c r="C496" s="8" t="s">
        <v>850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395</v>
      </c>
      <c r="B497" s="8" t="s">
        <v>368</v>
      </c>
      <c r="C497" s="8" t="s">
        <v>850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395</v>
      </c>
      <c r="B498" s="8" t="s">
        <v>126</v>
      </c>
      <c r="C498" s="8" t="s">
        <v>851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395</v>
      </c>
      <c r="B499" s="8" t="s">
        <v>126</v>
      </c>
      <c r="C499" s="8" t="s">
        <v>852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395</v>
      </c>
      <c r="B500" s="8" t="s">
        <v>126</v>
      </c>
      <c r="C500" s="8" t="s">
        <v>853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395</v>
      </c>
      <c r="B501" s="8" t="s">
        <v>126</v>
      </c>
      <c r="C501" s="8" t="s">
        <v>854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395</v>
      </c>
      <c r="B502" s="8" t="s">
        <v>126</v>
      </c>
      <c r="C502" s="8" t="s">
        <v>855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395</v>
      </c>
      <c r="B503" s="8" t="s">
        <v>286</v>
      </c>
      <c r="C503" s="8" t="s">
        <v>856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395</v>
      </c>
      <c r="B504" s="8" t="s">
        <v>268</v>
      </c>
      <c r="C504" s="8" t="s">
        <v>857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395</v>
      </c>
      <c r="B505" s="8" t="s">
        <v>268</v>
      </c>
      <c r="C505" s="8" t="s">
        <v>858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395</v>
      </c>
      <c r="B506" s="8" t="s">
        <v>269</v>
      </c>
      <c r="C506" s="8" t="s">
        <v>859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395</v>
      </c>
      <c r="B507" s="8" t="s">
        <v>269</v>
      </c>
      <c r="C507" s="8" t="s">
        <v>860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395</v>
      </c>
      <c r="B508" s="8" t="s">
        <v>271</v>
      </c>
      <c r="C508" s="8" t="s">
        <v>861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395</v>
      </c>
      <c r="B509" s="8" t="s">
        <v>271</v>
      </c>
      <c r="C509" s="8" t="s">
        <v>862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395</v>
      </c>
      <c r="B510" s="8" t="s">
        <v>270</v>
      </c>
      <c r="C510" s="8" t="s">
        <v>863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395</v>
      </c>
      <c r="B511" s="8" t="s">
        <v>270</v>
      </c>
      <c r="C511" s="8" t="s">
        <v>864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395</v>
      </c>
      <c r="B512" s="8" t="s">
        <v>14</v>
      </c>
      <c r="C512" s="8" t="s">
        <v>865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395</v>
      </c>
      <c r="B513" s="8" t="s">
        <v>14</v>
      </c>
      <c r="C513" s="8" t="s">
        <v>866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395</v>
      </c>
      <c r="B514" s="8" t="s">
        <v>14</v>
      </c>
      <c r="C514" s="8" t="s">
        <v>867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395</v>
      </c>
      <c r="B515" s="8" t="s">
        <v>228</v>
      </c>
      <c r="C515" s="8" t="s">
        <v>868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395</v>
      </c>
      <c r="B516" s="8" t="s">
        <v>221</v>
      </c>
      <c r="C516" s="8" t="s">
        <v>868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395</v>
      </c>
      <c r="B517" s="8" t="s">
        <v>229</v>
      </c>
      <c r="C517" s="8" t="s">
        <v>868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395</v>
      </c>
      <c r="B518" s="8" t="s">
        <v>252</v>
      </c>
      <c r="C518" s="8" t="s">
        <v>868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395</v>
      </c>
      <c r="B519" s="8" t="s">
        <v>223</v>
      </c>
      <c r="C519" s="8" t="s">
        <v>869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395</v>
      </c>
      <c r="B520" s="8" t="s">
        <v>219</v>
      </c>
      <c r="C520" s="8" t="s">
        <v>869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395</v>
      </c>
      <c r="B521" s="8" t="s">
        <v>247</v>
      </c>
      <c r="C521" s="8" t="s">
        <v>869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395</v>
      </c>
      <c r="B522" s="8" t="s">
        <v>237</v>
      </c>
      <c r="C522" s="8" t="s">
        <v>869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395</v>
      </c>
      <c r="B523" s="8" t="s">
        <v>140</v>
      </c>
      <c r="C523" s="8" t="s">
        <v>870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395</v>
      </c>
      <c r="B524" s="8" t="s">
        <v>140</v>
      </c>
      <c r="C524" s="8" t="s">
        <v>871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395</v>
      </c>
      <c r="B525" s="8" t="s">
        <v>258</v>
      </c>
      <c r="C525" s="8" t="s">
        <v>872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395</v>
      </c>
      <c r="B526" s="8" t="s">
        <v>71</v>
      </c>
      <c r="C526" s="8" t="s">
        <v>873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395</v>
      </c>
      <c r="B527" s="8" t="s">
        <v>153</v>
      </c>
      <c r="C527" s="8" t="s">
        <v>874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395</v>
      </c>
      <c r="B528" s="8" t="s">
        <v>71</v>
      </c>
      <c r="C528" s="8" t="s">
        <v>875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395</v>
      </c>
      <c r="B529" s="8" t="s">
        <v>324</v>
      </c>
      <c r="C529" s="8" t="s">
        <v>876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395</v>
      </c>
      <c r="B530" s="8" t="s">
        <v>74</v>
      </c>
      <c r="C530" s="8" t="s">
        <v>877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395</v>
      </c>
      <c r="B531" s="8" t="s">
        <v>74</v>
      </c>
      <c r="C531" s="8" t="s">
        <v>878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395</v>
      </c>
      <c r="B532" s="8" t="s">
        <v>74</v>
      </c>
      <c r="C532" s="8" t="s">
        <v>879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395</v>
      </c>
      <c r="B533" s="8" t="s">
        <v>74</v>
      </c>
      <c r="C533" s="8" t="s">
        <v>880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395</v>
      </c>
      <c r="B534" s="8" t="s">
        <v>74</v>
      </c>
      <c r="C534" s="8" t="s">
        <v>881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395</v>
      </c>
      <c r="B535" s="8" t="s">
        <v>66</v>
      </c>
      <c r="C535" s="8" t="s">
        <v>882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395</v>
      </c>
      <c r="B536" s="8" t="s">
        <v>66</v>
      </c>
      <c r="C536" s="8" t="s">
        <v>883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395</v>
      </c>
      <c r="B537" s="8" t="s">
        <v>66</v>
      </c>
      <c r="C537" s="8" t="s">
        <v>884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395</v>
      </c>
      <c r="B538" s="8" t="s">
        <v>66</v>
      </c>
      <c r="C538" s="8" t="s">
        <v>885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395</v>
      </c>
      <c r="B539" s="8" t="s">
        <v>66</v>
      </c>
      <c r="C539" s="8" t="s">
        <v>886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395</v>
      </c>
      <c r="B540" s="8" t="s">
        <v>118</v>
      </c>
      <c r="C540" s="8" t="s">
        <v>887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395</v>
      </c>
      <c r="B541" s="8" t="s">
        <v>118</v>
      </c>
      <c r="C541" s="8" t="s">
        <v>888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395</v>
      </c>
      <c r="B542" s="8" t="s">
        <v>118</v>
      </c>
      <c r="C542" s="8" t="s">
        <v>889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395</v>
      </c>
      <c r="B543" s="8" t="s">
        <v>118</v>
      </c>
      <c r="C543" s="8" t="s">
        <v>890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395</v>
      </c>
      <c r="B544" s="8" t="s">
        <v>118</v>
      </c>
      <c r="C544" s="8" t="s">
        <v>891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395</v>
      </c>
      <c r="B545" s="8" t="s">
        <v>290</v>
      </c>
      <c r="C545" s="8" t="s">
        <v>892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395</v>
      </c>
      <c r="B546" s="8" t="s">
        <v>321</v>
      </c>
      <c r="C546" s="8" t="s">
        <v>893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395</v>
      </c>
      <c r="B547" s="8" t="s">
        <v>274</v>
      </c>
      <c r="C547" s="8" t="s">
        <v>894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395</v>
      </c>
      <c r="B548" s="8" t="s">
        <v>176</v>
      </c>
      <c r="C548" s="8" t="s">
        <v>895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395</v>
      </c>
      <c r="B549" s="8" t="s">
        <v>260</v>
      </c>
      <c r="C549" s="8" t="s">
        <v>896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395</v>
      </c>
      <c r="B550" s="8" t="s">
        <v>189</v>
      </c>
      <c r="C550" s="8" t="s">
        <v>897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395</v>
      </c>
      <c r="B551" s="8" t="s">
        <v>189</v>
      </c>
      <c r="C551" s="8" t="s">
        <v>898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395</v>
      </c>
      <c r="B552" s="8" t="s">
        <v>189</v>
      </c>
      <c r="C552" s="8" t="s">
        <v>899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395</v>
      </c>
      <c r="B553" s="8" t="s">
        <v>189</v>
      </c>
      <c r="C553" s="8" t="s">
        <v>900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395</v>
      </c>
      <c r="B554" s="8" t="s">
        <v>173</v>
      </c>
      <c r="C554" s="8" t="s">
        <v>901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395</v>
      </c>
      <c r="B555" s="8" t="s">
        <v>150</v>
      </c>
      <c r="C555" s="8" t="s">
        <v>902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395</v>
      </c>
      <c r="B556" s="8" t="s">
        <v>139</v>
      </c>
      <c r="C556" s="8" t="s">
        <v>903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395</v>
      </c>
      <c r="B557" s="8" t="s">
        <v>180</v>
      </c>
      <c r="C557" s="8" t="s">
        <v>904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395</v>
      </c>
      <c r="B558" s="8" t="s">
        <v>309</v>
      </c>
      <c r="C558" s="8" t="s">
        <v>905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395</v>
      </c>
      <c r="B559" s="8" t="s">
        <v>243</v>
      </c>
      <c r="C559" s="8" t="s">
        <v>906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395</v>
      </c>
      <c r="B560" s="8" t="s">
        <v>314</v>
      </c>
      <c r="C560" s="8" t="s">
        <v>907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395</v>
      </c>
      <c r="B561" s="8" t="s">
        <v>79</v>
      </c>
      <c r="C561" s="8" t="s">
        <v>908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395</v>
      </c>
      <c r="B562" s="8" t="s">
        <v>79</v>
      </c>
      <c r="C562" s="8" t="s">
        <v>909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395</v>
      </c>
      <c r="B563" s="8" t="s">
        <v>79</v>
      </c>
      <c r="C563" s="8" t="s">
        <v>910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395</v>
      </c>
      <c r="B564" s="8" t="s">
        <v>79</v>
      </c>
      <c r="C564" s="8" t="s">
        <v>911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395</v>
      </c>
      <c r="B565" s="8" t="s">
        <v>230</v>
      </c>
      <c r="C565" s="8" t="s">
        <v>912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395</v>
      </c>
      <c r="B566" s="8" t="s">
        <v>318</v>
      </c>
      <c r="C566" s="8" t="s">
        <v>912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395</v>
      </c>
      <c r="B567" s="8" t="s">
        <v>230</v>
      </c>
      <c r="C567" s="8" t="s">
        <v>913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395</v>
      </c>
      <c r="B568" s="8" t="s">
        <v>316</v>
      </c>
      <c r="C568" s="8" t="s">
        <v>913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395</v>
      </c>
      <c r="B569" s="8" t="s">
        <v>68</v>
      </c>
      <c r="C569" s="8" t="s">
        <v>914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395</v>
      </c>
      <c r="B570" s="8" t="s">
        <v>125</v>
      </c>
      <c r="C570" s="8" t="s">
        <v>915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395</v>
      </c>
      <c r="B571" s="8" t="s">
        <v>86</v>
      </c>
      <c r="C571" s="8" t="s">
        <v>916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395</v>
      </c>
      <c r="B572" s="8" t="s">
        <v>123</v>
      </c>
      <c r="C572" s="8" t="s">
        <v>521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395</v>
      </c>
      <c r="B573" s="8" t="s">
        <v>192</v>
      </c>
      <c r="C573" s="8" t="s">
        <v>917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395</v>
      </c>
      <c r="B574" s="8" t="s">
        <v>127</v>
      </c>
      <c r="C574" s="8" t="s">
        <v>918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395</v>
      </c>
      <c r="B575" s="8" t="s">
        <v>127</v>
      </c>
      <c r="C575" s="8" t="s">
        <v>919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395</v>
      </c>
      <c r="B576" s="8" t="s">
        <v>127</v>
      </c>
      <c r="C576" s="8" t="s">
        <v>920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395</v>
      </c>
      <c r="B577" s="8" t="s">
        <v>264</v>
      </c>
      <c r="C577" s="8" t="s">
        <v>921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395</v>
      </c>
      <c r="B578" s="8" t="s">
        <v>147</v>
      </c>
      <c r="C578" s="8" t="s">
        <v>921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395</v>
      </c>
      <c r="B579" s="8" t="s">
        <v>155</v>
      </c>
      <c r="C579" s="8" t="s">
        <v>921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395</v>
      </c>
      <c r="B580" s="8" t="s">
        <v>264</v>
      </c>
      <c r="C580" s="8" t="s">
        <v>922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395</v>
      </c>
      <c r="B581" s="8" t="s">
        <v>147</v>
      </c>
      <c r="C581" s="8" t="s">
        <v>922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395</v>
      </c>
      <c r="B582" s="8" t="s">
        <v>155</v>
      </c>
      <c r="C582" s="8" t="s">
        <v>922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395</v>
      </c>
      <c r="B583" s="8" t="s">
        <v>70</v>
      </c>
      <c r="C583" s="8" t="s">
        <v>923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395</v>
      </c>
      <c r="B584" s="8" t="s">
        <v>109</v>
      </c>
      <c r="C584" s="8" t="s">
        <v>924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395</v>
      </c>
      <c r="B585" s="8" t="s">
        <v>109</v>
      </c>
      <c r="C585" s="8" t="s">
        <v>925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395</v>
      </c>
      <c r="B586" s="8" t="s">
        <v>77</v>
      </c>
      <c r="C586" s="8" t="s">
        <v>926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395</v>
      </c>
      <c r="B587" s="8" t="s">
        <v>59</v>
      </c>
      <c r="C587" s="8" t="s">
        <v>927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395</v>
      </c>
      <c r="B588" s="8" t="s">
        <v>59</v>
      </c>
      <c r="C588" s="8" t="s">
        <v>928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395</v>
      </c>
      <c r="B589" s="8" t="s">
        <v>59</v>
      </c>
      <c r="C589" s="8" t="s">
        <v>929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395</v>
      </c>
      <c r="B590" s="8" t="s">
        <v>59</v>
      </c>
      <c r="C590" s="8" t="s">
        <v>930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395</v>
      </c>
      <c r="B591" s="8" t="s">
        <v>59</v>
      </c>
      <c r="C591" s="8" t="s">
        <v>931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932</v>
      </c>
      <c r="B592" s="8" t="s">
        <v>107</v>
      </c>
      <c r="C592" s="8" t="s">
        <v>396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932</v>
      </c>
      <c r="B593" s="8" t="s">
        <v>107</v>
      </c>
      <c r="C593" s="8" t="s">
        <v>397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932</v>
      </c>
      <c r="B594" s="8" t="s">
        <v>211</v>
      </c>
      <c r="C594" s="8" t="s">
        <v>398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932</v>
      </c>
      <c r="B595" s="8" t="s">
        <v>250</v>
      </c>
      <c r="C595" s="8" t="s">
        <v>399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932</v>
      </c>
      <c r="B596" s="8" t="s">
        <v>320</v>
      </c>
      <c r="C596" s="8" t="s">
        <v>400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932</v>
      </c>
      <c r="B597" s="8" t="s">
        <v>331</v>
      </c>
      <c r="C597" s="8" t="s">
        <v>401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932</v>
      </c>
      <c r="B598" s="8" t="s">
        <v>317</v>
      </c>
      <c r="C598" s="8" t="s">
        <v>402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932</v>
      </c>
      <c r="B599" s="8" t="s">
        <v>232</v>
      </c>
      <c r="C599" s="8" t="s">
        <v>403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932</v>
      </c>
      <c r="B600" s="8" t="s">
        <v>143</v>
      </c>
      <c r="C600" s="8" t="s">
        <v>404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932</v>
      </c>
      <c r="B601" s="8" t="s">
        <v>131</v>
      </c>
      <c r="C601" s="8" t="s">
        <v>405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932</v>
      </c>
      <c r="B602" s="8" t="s">
        <v>131</v>
      </c>
      <c r="C602" s="8" t="s">
        <v>406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932</v>
      </c>
      <c r="B603" s="8" t="s">
        <v>131</v>
      </c>
      <c r="C603" s="8" t="s">
        <v>407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932</v>
      </c>
      <c r="B604" s="8" t="s">
        <v>311</v>
      </c>
      <c r="C604" s="8" t="s">
        <v>408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932</v>
      </c>
      <c r="B605" s="8" t="s">
        <v>311</v>
      </c>
      <c r="C605" s="8" t="s">
        <v>409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932</v>
      </c>
      <c r="B606" s="8" t="s">
        <v>239</v>
      </c>
      <c r="C606" s="8" t="s">
        <v>410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932</v>
      </c>
      <c r="B607" s="8" t="s">
        <v>280</v>
      </c>
      <c r="C607" s="8" t="s">
        <v>411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932</v>
      </c>
      <c r="B608" s="8" t="s">
        <v>280</v>
      </c>
      <c r="C608" s="8" t="s">
        <v>412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932</v>
      </c>
      <c r="B609" s="8" t="s">
        <v>280</v>
      </c>
      <c r="C609" s="8" t="s">
        <v>413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932</v>
      </c>
      <c r="B610" s="8" t="s">
        <v>373</v>
      </c>
      <c r="C610" s="8" t="s">
        <v>414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932</v>
      </c>
      <c r="B611" s="8" t="s">
        <v>104</v>
      </c>
      <c r="C611" s="8" t="s">
        <v>405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932</v>
      </c>
      <c r="B612" s="8" t="s">
        <v>104</v>
      </c>
      <c r="C612" s="8" t="s">
        <v>415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932</v>
      </c>
      <c r="B613" s="8" t="s">
        <v>104</v>
      </c>
      <c r="C613" s="8" t="s">
        <v>416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932</v>
      </c>
      <c r="B614" s="8" t="s">
        <v>146</v>
      </c>
      <c r="C614" s="8" t="s">
        <v>417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932</v>
      </c>
      <c r="B615" s="8" t="s">
        <v>146</v>
      </c>
      <c r="C615" s="8" t="s">
        <v>418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932</v>
      </c>
      <c r="B616" s="8" t="s">
        <v>146</v>
      </c>
      <c r="C616" s="8" t="s">
        <v>419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932</v>
      </c>
      <c r="B617" s="8" t="s">
        <v>167</v>
      </c>
      <c r="C617" s="8" t="s">
        <v>420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932</v>
      </c>
      <c r="B618" s="8" t="s">
        <v>167</v>
      </c>
      <c r="C618" s="8" t="s">
        <v>421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932</v>
      </c>
      <c r="B619" s="8" t="s">
        <v>167</v>
      </c>
      <c r="C619" s="8" t="s">
        <v>422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932</v>
      </c>
      <c r="B620" s="8" t="s">
        <v>283</v>
      </c>
      <c r="C620" s="8" t="s">
        <v>423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932</v>
      </c>
      <c r="B621" s="8" t="s">
        <v>343</v>
      </c>
      <c r="C621" s="8" t="s">
        <v>424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932</v>
      </c>
      <c r="B622" s="8" t="s">
        <v>343</v>
      </c>
      <c r="C622" s="8" t="s">
        <v>425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932</v>
      </c>
      <c r="B623" s="8" t="s">
        <v>343</v>
      </c>
      <c r="C623" s="8" t="s">
        <v>426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932</v>
      </c>
      <c r="B624" s="8" t="s">
        <v>343</v>
      </c>
      <c r="C624" s="8" t="s">
        <v>427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932</v>
      </c>
      <c r="B625" s="8" t="s">
        <v>160</v>
      </c>
      <c r="C625" s="8" t="s">
        <v>428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932</v>
      </c>
      <c r="B626" s="8" t="s">
        <v>160</v>
      </c>
      <c r="C626" s="8" t="s">
        <v>429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932</v>
      </c>
      <c r="B627" s="8" t="s">
        <v>160</v>
      </c>
      <c r="C627" s="8" t="s">
        <v>430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932</v>
      </c>
      <c r="B628" s="8" t="s">
        <v>160</v>
      </c>
      <c r="C628" s="8" t="s">
        <v>431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932</v>
      </c>
      <c r="B629" s="8" t="s">
        <v>160</v>
      </c>
      <c r="C629" s="8" t="s">
        <v>432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932</v>
      </c>
      <c r="B630" s="8" t="s">
        <v>129</v>
      </c>
      <c r="C630" s="8" t="s">
        <v>433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932</v>
      </c>
      <c r="B631" s="8" t="s">
        <v>129</v>
      </c>
      <c r="C631" s="8" t="s">
        <v>434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932</v>
      </c>
      <c r="B632" s="8" t="s">
        <v>129</v>
      </c>
      <c r="C632" s="8" t="s">
        <v>435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932</v>
      </c>
      <c r="B633" s="8" t="s">
        <v>129</v>
      </c>
      <c r="C633" s="8" t="s">
        <v>436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932</v>
      </c>
      <c r="B634" s="8" t="s">
        <v>265</v>
      </c>
      <c r="C634" s="8" t="s">
        <v>438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932</v>
      </c>
      <c r="B635" s="8" t="s">
        <v>218</v>
      </c>
      <c r="C635" s="8" t="s">
        <v>439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932</v>
      </c>
      <c r="B636" s="8" t="s">
        <v>218</v>
      </c>
      <c r="C636" s="8" t="s">
        <v>440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932</v>
      </c>
      <c r="B637" s="8" t="s">
        <v>218</v>
      </c>
      <c r="C637" s="8" t="s">
        <v>441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932</v>
      </c>
      <c r="B638" s="8" t="s">
        <v>218</v>
      </c>
      <c r="C638" s="8" t="s">
        <v>442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932</v>
      </c>
      <c r="B639" s="8" t="s">
        <v>218</v>
      </c>
      <c r="C639" s="8" t="s">
        <v>443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932</v>
      </c>
      <c r="B640" s="8" t="s">
        <v>84</v>
      </c>
      <c r="C640" s="8" t="s">
        <v>444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932</v>
      </c>
      <c r="B641" s="8" t="s">
        <v>84</v>
      </c>
      <c r="C641" s="8" t="s">
        <v>445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932</v>
      </c>
      <c r="B642" s="8" t="s">
        <v>84</v>
      </c>
      <c r="C642" s="8" t="s">
        <v>446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932</v>
      </c>
      <c r="B643" s="8" t="s">
        <v>84</v>
      </c>
      <c r="C643" s="8" t="s">
        <v>447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932</v>
      </c>
      <c r="B644" s="8" t="s">
        <v>84</v>
      </c>
      <c r="C644" s="8" t="s">
        <v>448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932</v>
      </c>
      <c r="B645" s="8" t="s">
        <v>375</v>
      </c>
      <c r="C645" s="8" t="s">
        <v>449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932</v>
      </c>
      <c r="B646" s="8" t="s">
        <v>209</v>
      </c>
      <c r="C646" s="8" t="s">
        <v>450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932</v>
      </c>
      <c r="B647" s="8" t="s">
        <v>209</v>
      </c>
      <c r="C647" s="8" t="s">
        <v>451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932</v>
      </c>
      <c r="B648" s="8" t="s">
        <v>80</v>
      </c>
      <c r="C648" s="8" t="s">
        <v>452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932</v>
      </c>
      <c r="B649" s="8" t="s">
        <v>80</v>
      </c>
      <c r="C649" s="8" t="s">
        <v>453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932</v>
      </c>
      <c r="B650" s="8" t="s">
        <v>80</v>
      </c>
      <c r="C650" s="8" t="s">
        <v>454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932</v>
      </c>
      <c r="B651" s="8" t="s">
        <v>80</v>
      </c>
      <c r="C651" s="8" t="s">
        <v>455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932</v>
      </c>
      <c r="B652" s="8" t="s">
        <v>80</v>
      </c>
      <c r="C652" s="8" t="s">
        <v>456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932</v>
      </c>
      <c r="B653" s="8" t="s">
        <v>54</v>
      </c>
      <c r="C653" s="8" t="s">
        <v>457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932</v>
      </c>
      <c r="B654" s="8" t="s">
        <v>54</v>
      </c>
      <c r="C654" s="8" t="s">
        <v>458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932</v>
      </c>
      <c r="B655" s="8" t="s">
        <v>54</v>
      </c>
      <c r="C655" s="8" t="s">
        <v>459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932</v>
      </c>
      <c r="B656" s="8" t="s">
        <v>54</v>
      </c>
      <c r="C656" s="8" t="s">
        <v>460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932</v>
      </c>
      <c r="B657" s="8" t="s">
        <v>256</v>
      </c>
      <c r="C657" s="8" t="s">
        <v>461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932</v>
      </c>
      <c r="B658" s="8" t="s">
        <v>256</v>
      </c>
      <c r="C658" s="8" t="s">
        <v>462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932</v>
      </c>
      <c r="B659" s="8" t="s">
        <v>256</v>
      </c>
      <c r="C659" s="8" t="s">
        <v>463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932</v>
      </c>
      <c r="B660" s="8" t="s">
        <v>256</v>
      </c>
      <c r="C660" s="8" t="s">
        <v>464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932</v>
      </c>
      <c r="B661" s="8" t="s">
        <v>281</v>
      </c>
      <c r="C661" s="8" t="s">
        <v>465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932</v>
      </c>
      <c r="B662" s="8" t="s">
        <v>240</v>
      </c>
      <c r="C662" s="8" t="s">
        <v>466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932</v>
      </c>
      <c r="B663" s="8" t="s">
        <v>240</v>
      </c>
      <c r="C663" s="8" t="s">
        <v>467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932</v>
      </c>
      <c r="B664" s="8" t="s">
        <v>240</v>
      </c>
      <c r="C664" s="8" t="s">
        <v>468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932</v>
      </c>
      <c r="B665" s="8" t="s">
        <v>240</v>
      </c>
      <c r="C665" s="8" t="s">
        <v>469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932</v>
      </c>
      <c r="B666" s="8" t="s">
        <v>278</v>
      </c>
      <c r="C666" s="8" t="s">
        <v>470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932</v>
      </c>
      <c r="B667" s="8" t="s">
        <v>278</v>
      </c>
      <c r="C667" s="8" t="s">
        <v>471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932</v>
      </c>
      <c r="B668" s="8" t="s">
        <v>168</v>
      </c>
      <c r="C668" s="8" t="s">
        <v>472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932</v>
      </c>
      <c r="B669" s="8" t="s">
        <v>168</v>
      </c>
      <c r="C669" s="8" t="s">
        <v>473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932</v>
      </c>
      <c r="B670" s="8" t="s">
        <v>168</v>
      </c>
      <c r="C670" s="8" t="s">
        <v>474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932</v>
      </c>
      <c r="B671" s="8" t="s">
        <v>168</v>
      </c>
      <c r="C671" s="8" t="s">
        <v>475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932</v>
      </c>
      <c r="B672" s="8" t="s">
        <v>293</v>
      </c>
      <c r="C672" s="8" t="s">
        <v>476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932</v>
      </c>
      <c r="B673" s="8" t="s">
        <v>295</v>
      </c>
      <c r="C673" s="8" t="s">
        <v>477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932</v>
      </c>
      <c r="B674" s="8" t="s">
        <v>374</v>
      </c>
      <c r="C674" s="8" t="s">
        <v>476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932</v>
      </c>
      <c r="B675" s="8" t="s">
        <v>184</v>
      </c>
      <c r="C675" s="8" t="s">
        <v>478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932</v>
      </c>
      <c r="B676" s="8" t="s">
        <v>210</v>
      </c>
      <c r="C676" s="8" t="s">
        <v>479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932</v>
      </c>
      <c r="B677" s="8" t="s">
        <v>210</v>
      </c>
      <c r="C677" s="8" t="s">
        <v>480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932</v>
      </c>
      <c r="B678" s="8" t="s">
        <v>210</v>
      </c>
      <c r="C678" s="8" t="s">
        <v>481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932</v>
      </c>
      <c r="B679" s="8" t="s">
        <v>210</v>
      </c>
      <c r="C679" s="8" t="s">
        <v>482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932</v>
      </c>
      <c r="B680" s="8" t="s">
        <v>210</v>
      </c>
      <c r="C680" s="8" t="s">
        <v>483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932</v>
      </c>
      <c r="B681" s="8" t="s">
        <v>190</v>
      </c>
      <c r="C681" s="8" t="s">
        <v>484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932</v>
      </c>
      <c r="B682" s="8" t="s">
        <v>190</v>
      </c>
      <c r="C682" s="8" t="s">
        <v>485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932</v>
      </c>
      <c r="B683" s="8" t="s">
        <v>114</v>
      </c>
      <c r="C683" s="8" t="s">
        <v>486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932</v>
      </c>
      <c r="B684" s="8" t="s">
        <v>114</v>
      </c>
      <c r="C684" s="8" t="s">
        <v>487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932</v>
      </c>
      <c r="B685" s="8" t="s">
        <v>72</v>
      </c>
      <c r="C685" s="8" t="s">
        <v>488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932</v>
      </c>
      <c r="B686" s="8" t="s">
        <v>101</v>
      </c>
      <c r="C686" s="8" t="s">
        <v>488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932</v>
      </c>
      <c r="B687" s="8" t="s">
        <v>307</v>
      </c>
      <c r="C687" s="8" t="s">
        <v>489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932</v>
      </c>
      <c r="B688" s="8" t="s">
        <v>272</v>
      </c>
      <c r="C688" s="8" t="s">
        <v>490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932</v>
      </c>
      <c r="B689" s="8" t="s">
        <v>113</v>
      </c>
      <c r="C689" s="8" t="s">
        <v>491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932</v>
      </c>
      <c r="B690" s="8" t="s">
        <v>113</v>
      </c>
      <c r="C690" s="8" t="s">
        <v>492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932</v>
      </c>
      <c r="B691" s="8" t="s">
        <v>113</v>
      </c>
      <c r="C691" s="8" t="s">
        <v>493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932</v>
      </c>
      <c r="B692" s="8" t="s">
        <v>113</v>
      </c>
      <c r="C692" s="8" t="s">
        <v>494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932</v>
      </c>
      <c r="B693" s="8" t="s">
        <v>249</v>
      </c>
      <c r="C693" s="8" t="s">
        <v>495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932</v>
      </c>
      <c r="B694" s="8" t="s">
        <v>249</v>
      </c>
      <c r="C694" s="8" t="s">
        <v>496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932</v>
      </c>
      <c r="B695" s="8" t="s">
        <v>236</v>
      </c>
      <c r="C695" s="8" t="s">
        <v>497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932</v>
      </c>
      <c r="B696" s="8" t="s">
        <v>296</v>
      </c>
      <c r="C696" s="8" t="s">
        <v>498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932</v>
      </c>
      <c r="B697" s="8" t="s">
        <v>236</v>
      </c>
      <c r="C697" s="8" t="s">
        <v>499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932</v>
      </c>
      <c r="B698" s="8" t="s">
        <v>113</v>
      </c>
      <c r="C698" s="8" t="s">
        <v>500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932</v>
      </c>
      <c r="B699" s="8" t="s">
        <v>148</v>
      </c>
      <c r="C699" s="8" t="s">
        <v>501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932</v>
      </c>
      <c r="B700" s="8" t="s">
        <v>148</v>
      </c>
      <c r="C700" s="8" t="s">
        <v>502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932</v>
      </c>
      <c r="B701" s="8" t="s">
        <v>291</v>
      </c>
      <c r="C701" s="8" t="s">
        <v>503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932</v>
      </c>
      <c r="B702" s="8" t="s">
        <v>196</v>
      </c>
      <c r="C702" s="8" t="s">
        <v>504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932</v>
      </c>
      <c r="B703" s="8" t="s">
        <v>196</v>
      </c>
      <c r="C703" s="8" t="s">
        <v>505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932</v>
      </c>
      <c r="B704" s="8" t="s">
        <v>242</v>
      </c>
      <c r="C704" s="8" t="s">
        <v>506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932</v>
      </c>
      <c r="B705" s="8" t="s">
        <v>242</v>
      </c>
      <c r="C705" s="8" t="s">
        <v>507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932</v>
      </c>
      <c r="B706" s="8" t="s">
        <v>242</v>
      </c>
      <c r="C706" s="8" t="s">
        <v>508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932</v>
      </c>
      <c r="B707" s="8" t="s">
        <v>242</v>
      </c>
      <c r="C707" s="8" t="s">
        <v>509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932</v>
      </c>
      <c r="B708" s="8" t="s">
        <v>242</v>
      </c>
      <c r="C708" s="8" t="s">
        <v>510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932</v>
      </c>
      <c r="B709" s="8" t="s">
        <v>202</v>
      </c>
      <c r="C709" s="8" t="s">
        <v>511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932</v>
      </c>
      <c r="B710" s="8" t="s">
        <v>202</v>
      </c>
      <c r="C710" s="8" t="s">
        <v>512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932</v>
      </c>
      <c r="B711" s="8" t="s">
        <v>202</v>
      </c>
      <c r="C711" s="8" t="s">
        <v>513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932</v>
      </c>
      <c r="B712" s="8" t="s">
        <v>202</v>
      </c>
      <c r="C712" s="8" t="s">
        <v>514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932</v>
      </c>
      <c r="B713" s="8" t="s">
        <v>202</v>
      </c>
      <c r="C713" s="8" t="s">
        <v>515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932</v>
      </c>
      <c r="B714" s="8" t="s">
        <v>84</v>
      </c>
      <c r="C714" s="8" t="s">
        <v>516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932</v>
      </c>
      <c r="B715" s="8" t="s">
        <v>197</v>
      </c>
      <c r="C715" s="8" t="s">
        <v>517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932</v>
      </c>
      <c r="B716" s="8" t="s">
        <v>197</v>
      </c>
      <c r="C716" s="8" t="s">
        <v>518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932</v>
      </c>
      <c r="B717" s="8" t="s">
        <v>197</v>
      </c>
      <c r="C717" s="8" t="s">
        <v>519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932</v>
      </c>
      <c r="B718" s="8" t="s">
        <v>197</v>
      </c>
      <c r="C718" s="8" t="s">
        <v>520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932</v>
      </c>
      <c r="B719" s="8" t="s">
        <v>97</v>
      </c>
      <c r="C719" s="8" t="s">
        <v>521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932</v>
      </c>
      <c r="B720" s="8" t="s">
        <v>81</v>
      </c>
      <c r="C720" s="8" t="s">
        <v>522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932</v>
      </c>
      <c r="B721" s="8" t="s">
        <v>208</v>
      </c>
      <c r="C721" s="8" t="s">
        <v>523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932</v>
      </c>
      <c r="B722" s="8" t="s">
        <v>58</v>
      </c>
      <c r="C722" s="8" t="s">
        <v>524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932</v>
      </c>
      <c r="B723" s="8" t="s">
        <v>116</v>
      </c>
      <c r="C723" s="8" t="s">
        <v>525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932</v>
      </c>
      <c r="B724" s="8" t="s">
        <v>78</v>
      </c>
      <c r="C724" s="8" t="s">
        <v>526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932</v>
      </c>
      <c r="B725" s="8" t="s">
        <v>138</v>
      </c>
      <c r="C725" s="8" t="s">
        <v>527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932</v>
      </c>
      <c r="B726" s="8" t="s">
        <v>165</v>
      </c>
      <c r="C726" s="8" t="s">
        <v>521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932</v>
      </c>
      <c r="B727" s="8" t="s">
        <v>88</v>
      </c>
      <c r="C727" s="8" t="s">
        <v>521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932</v>
      </c>
      <c r="B728" s="8" t="s">
        <v>135</v>
      </c>
      <c r="C728" s="8" t="s">
        <v>528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932</v>
      </c>
      <c r="B729" s="8" t="s">
        <v>135</v>
      </c>
      <c r="C729" s="8" t="s">
        <v>529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932</v>
      </c>
      <c r="B730" s="8" t="s">
        <v>206</v>
      </c>
      <c r="C730" s="8" t="s">
        <v>530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932</v>
      </c>
      <c r="B731" s="8" t="s">
        <v>345</v>
      </c>
      <c r="C731" s="8" t="s">
        <v>531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932</v>
      </c>
      <c r="B732" s="8" t="s">
        <v>82</v>
      </c>
      <c r="C732" s="8" t="s">
        <v>532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932</v>
      </c>
      <c r="B733" s="8" t="s">
        <v>117</v>
      </c>
      <c r="C733" s="8" t="s">
        <v>533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932</v>
      </c>
      <c r="B734" s="8" t="s">
        <v>145</v>
      </c>
      <c r="C734" s="8" t="s">
        <v>534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932</v>
      </c>
      <c r="B735" s="8" t="s">
        <v>361</v>
      </c>
      <c r="C735" s="8" t="s">
        <v>535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932</v>
      </c>
      <c r="B736" s="8" t="s">
        <v>220</v>
      </c>
      <c r="C736" s="8" t="s">
        <v>536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932</v>
      </c>
      <c r="B737" s="8" t="s">
        <v>134</v>
      </c>
      <c r="C737" s="8" t="s">
        <v>537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932</v>
      </c>
      <c r="B738" s="8" t="s">
        <v>134</v>
      </c>
      <c r="C738" s="8" t="s">
        <v>538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932</v>
      </c>
      <c r="B739" s="8" t="s">
        <v>134</v>
      </c>
      <c r="C739" s="8" t="s">
        <v>539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932</v>
      </c>
      <c r="B740" s="8" t="s">
        <v>134</v>
      </c>
      <c r="C740" s="8" t="s">
        <v>540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932</v>
      </c>
      <c r="B741" s="8" t="s">
        <v>134</v>
      </c>
      <c r="C741" s="8" t="s">
        <v>541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932</v>
      </c>
      <c r="B742" s="8" t="s">
        <v>342</v>
      </c>
      <c r="C742" s="8" t="s">
        <v>542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932</v>
      </c>
      <c r="B743" s="8" t="s">
        <v>342</v>
      </c>
      <c r="C743" s="8" t="s">
        <v>543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932</v>
      </c>
      <c r="B744" s="8" t="s">
        <v>157</v>
      </c>
      <c r="C744" s="8" t="s">
        <v>544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932</v>
      </c>
      <c r="B745" s="8" t="s">
        <v>157</v>
      </c>
      <c r="C745" s="8" t="s">
        <v>545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932</v>
      </c>
      <c r="B746" s="8" t="s">
        <v>157</v>
      </c>
      <c r="C746" s="8" t="s">
        <v>546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932</v>
      </c>
      <c r="B747" s="8" t="s">
        <v>157</v>
      </c>
      <c r="C747" s="8" t="s">
        <v>547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932</v>
      </c>
      <c r="B748" s="8" t="s">
        <v>157</v>
      </c>
      <c r="C748" s="8" t="s">
        <v>548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932</v>
      </c>
      <c r="B749" s="8" t="s">
        <v>108</v>
      </c>
      <c r="C749" s="8" t="s">
        <v>549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932</v>
      </c>
      <c r="B750" s="8" t="s">
        <v>177</v>
      </c>
      <c r="C750" s="8" t="s">
        <v>550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932</v>
      </c>
      <c r="B751" s="8" t="s">
        <v>69</v>
      </c>
      <c r="C751" s="8" t="s">
        <v>551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932</v>
      </c>
      <c r="B752" s="8" t="s">
        <v>69</v>
      </c>
      <c r="C752" s="8" t="s">
        <v>552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932</v>
      </c>
      <c r="B753" s="8" t="s">
        <v>69</v>
      </c>
      <c r="C753" s="8" t="s">
        <v>553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932</v>
      </c>
      <c r="B754" s="8" t="s">
        <v>69</v>
      </c>
      <c r="C754" s="8" t="s">
        <v>554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932</v>
      </c>
      <c r="B755" s="8" t="s">
        <v>69</v>
      </c>
      <c r="C755" s="8" t="s">
        <v>555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932</v>
      </c>
      <c r="B756" s="8" t="s">
        <v>69</v>
      </c>
      <c r="C756" s="8" t="s">
        <v>556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932</v>
      </c>
      <c r="B757" s="8" t="s">
        <v>75</v>
      </c>
      <c r="C757" s="8" t="s">
        <v>557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932</v>
      </c>
      <c r="B758" s="8" t="s">
        <v>75</v>
      </c>
      <c r="C758" s="8" t="s">
        <v>558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932</v>
      </c>
      <c r="B759" s="8" t="s">
        <v>75</v>
      </c>
      <c r="C759" s="8" t="s">
        <v>559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932</v>
      </c>
      <c r="B760" s="8" t="s">
        <v>75</v>
      </c>
      <c r="C760" s="8" t="s">
        <v>560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932</v>
      </c>
      <c r="B761" s="8" t="s">
        <v>75</v>
      </c>
      <c r="C761" s="8" t="s">
        <v>561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932</v>
      </c>
      <c r="B762" s="8" t="s">
        <v>70</v>
      </c>
      <c r="C762" s="8" t="s">
        <v>562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932</v>
      </c>
      <c r="B763" s="8" t="s">
        <v>70</v>
      </c>
      <c r="C763" s="8" t="s">
        <v>563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932</v>
      </c>
      <c r="B764" s="8" t="s">
        <v>70</v>
      </c>
      <c r="C764" s="8" t="s">
        <v>564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932</v>
      </c>
      <c r="B765" s="8" t="s">
        <v>70</v>
      </c>
      <c r="C765" s="8" t="s">
        <v>565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932</v>
      </c>
      <c r="B766" s="8" t="s">
        <v>194</v>
      </c>
      <c r="C766" s="8" t="s">
        <v>566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932</v>
      </c>
      <c r="B767" s="8" t="s">
        <v>195</v>
      </c>
      <c r="C767" s="8" t="s">
        <v>567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932</v>
      </c>
      <c r="B768" s="8" t="s">
        <v>106</v>
      </c>
      <c r="C768" s="8" t="s">
        <v>568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932</v>
      </c>
      <c r="B769" s="8" t="s">
        <v>182</v>
      </c>
      <c r="C769" s="8" t="s">
        <v>569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932</v>
      </c>
      <c r="B770" s="8" t="s">
        <v>137</v>
      </c>
      <c r="C770" s="8" t="s">
        <v>570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932</v>
      </c>
      <c r="B771" s="8" t="s">
        <v>174</v>
      </c>
      <c r="C771" s="8" t="s">
        <v>571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932</v>
      </c>
      <c r="B772" s="8" t="s">
        <v>166</v>
      </c>
      <c r="C772" s="8" t="s">
        <v>572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932</v>
      </c>
      <c r="B773" s="8" t="s">
        <v>292</v>
      </c>
      <c r="C773" s="8" t="s">
        <v>573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932</v>
      </c>
      <c r="B774" s="8" t="s">
        <v>315</v>
      </c>
      <c r="C774" s="8" t="s">
        <v>573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932</v>
      </c>
      <c r="B775" s="8" t="s">
        <v>181</v>
      </c>
      <c r="C775" s="8" t="s">
        <v>574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932</v>
      </c>
      <c r="B776" s="8" t="s">
        <v>181</v>
      </c>
      <c r="C776" s="8" t="s">
        <v>575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932</v>
      </c>
      <c r="B777" s="8" t="s">
        <v>181</v>
      </c>
      <c r="C777" s="8" t="s">
        <v>576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932</v>
      </c>
      <c r="B778" s="8" t="s">
        <v>181</v>
      </c>
      <c r="C778" s="8" t="s">
        <v>577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932</v>
      </c>
      <c r="B779" s="8" t="s">
        <v>255</v>
      </c>
      <c r="C779" s="8" t="s">
        <v>578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932</v>
      </c>
      <c r="B780" s="8" t="s">
        <v>255</v>
      </c>
      <c r="C780" s="8" t="s">
        <v>579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932</v>
      </c>
      <c r="B781" s="8" t="s">
        <v>255</v>
      </c>
      <c r="C781" s="8" t="s">
        <v>580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932</v>
      </c>
      <c r="B782" s="8" t="s">
        <v>128</v>
      </c>
      <c r="C782" s="8" t="s">
        <v>581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932</v>
      </c>
      <c r="B783" s="8" t="s">
        <v>128</v>
      </c>
      <c r="C783" s="8" t="s">
        <v>582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932</v>
      </c>
      <c r="B784" s="8" t="s">
        <v>128</v>
      </c>
      <c r="C784" s="8" t="s">
        <v>583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932</v>
      </c>
      <c r="B785" s="8" t="s">
        <v>128</v>
      </c>
      <c r="C785" s="8" t="s">
        <v>584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932</v>
      </c>
      <c r="B786" s="8" t="s">
        <v>128</v>
      </c>
      <c r="C786" s="8" t="s">
        <v>585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932</v>
      </c>
      <c r="B787" s="8" t="s">
        <v>76</v>
      </c>
      <c r="C787" s="8" t="s">
        <v>586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932</v>
      </c>
      <c r="B788" s="8" t="s">
        <v>76</v>
      </c>
      <c r="C788" s="8" t="s">
        <v>587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932</v>
      </c>
      <c r="B789" s="8" t="s">
        <v>76</v>
      </c>
      <c r="C789" s="8" t="s">
        <v>588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932</v>
      </c>
      <c r="B790" s="8" t="s">
        <v>76</v>
      </c>
      <c r="C790" s="8" t="s">
        <v>589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932</v>
      </c>
      <c r="B791" s="8" t="s">
        <v>76</v>
      </c>
      <c r="C791" s="8" t="s">
        <v>590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932</v>
      </c>
      <c r="B792" s="8" t="s">
        <v>63</v>
      </c>
      <c r="C792" s="8" t="s">
        <v>591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932</v>
      </c>
      <c r="B793" s="8" t="s">
        <v>63</v>
      </c>
      <c r="C793" s="8" t="s">
        <v>592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932</v>
      </c>
      <c r="B794" s="8" t="s">
        <v>63</v>
      </c>
      <c r="C794" s="8" t="s">
        <v>593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932</v>
      </c>
      <c r="B795" s="8" t="s">
        <v>63</v>
      </c>
      <c r="C795" s="8" t="s">
        <v>594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932</v>
      </c>
      <c r="B796" s="8" t="s">
        <v>90</v>
      </c>
      <c r="C796" s="8" t="s">
        <v>595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932</v>
      </c>
      <c r="B797" s="8" t="s">
        <v>90</v>
      </c>
      <c r="C797" s="8" t="s">
        <v>596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932</v>
      </c>
      <c r="B798" s="8" t="s">
        <v>90</v>
      </c>
      <c r="C798" s="8" t="s">
        <v>597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932</v>
      </c>
      <c r="B799" s="8" t="s">
        <v>90</v>
      </c>
      <c r="C799" s="8" t="s">
        <v>598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932</v>
      </c>
      <c r="B800" s="8" t="s">
        <v>90</v>
      </c>
      <c r="C800" s="8" t="s">
        <v>599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932</v>
      </c>
      <c r="B801" s="8" t="s">
        <v>163</v>
      </c>
      <c r="C801" s="8" t="s">
        <v>600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932</v>
      </c>
      <c r="B802" s="8" t="s">
        <v>163</v>
      </c>
      <c r="C802" s="8" t="s">
        <v>601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932</v>
      </c>
      <c r="B803" s="8" t="s">
        <v>163</v>
      </c>
      <c r="C803" s="8" t="s">
        <v>602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932</v>
      </c>
      <c r="B804" s="8" t="s">
        <v>163</v>
      </c>
      <c r="C804" s="8" t="s">
        <v>603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932</v>
      </c>
      <c r="B805" s="8" t="s">
        <v>163</v>
      </c>
      <c r="C805" s="8" t="s">
        <v>604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932</v>
      </c>
      <c r="B806" s="8" t="s">
        <v>144</v>
      </c>
      <c r="C806" s="8" t="s">
        <v>605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932</v>
      </c>
      <c r="B807" s="8" t="s">
        <v>144</v>
      </c>
      <c r="C807" s="8" t="s">
        <v>606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932</v>
      </c>
      <c r="B808" s="8" t="s">
        <v>144</v>
      </c>
      <c r="C808" s="8" t="s">
        <v>607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932</v>
      </c>
      <c r="B809" s="8" t="s">
        <v>144</v>
      </c>
      <c r="C809" s="8" t="s">
        <v>608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932</v>
      </c>
      <c r="B810" s="8" t="s">
        <v>144</v>
      </c>
      <c r="C810" s="8" t="s">
        <v>609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932</v>
      </c>
      <c r="B811" s="8" t="s">
        <v>179</v>
      </c>
      <c r="C811" s="8" t="s">
        <v>610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932</v>
      </c>
      <c r="B812" s="8" t="s">
        <v>179</v>
      </c>
      <c r="C812" s="8" t="s">
        <v>611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932</v>
      </c>
      <c r="B813" s="8" t="s">
        <v>179</v>
      </c>
      <c r="C813" s="8" t="s">
        <v>612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932</v>
      </c>
      <c r="B814" s="8" t="s">
        <v>179</v>
      </c>
      <c r="C814" s="8" t="s">
        <v>613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932</v>
      </c>
      <c r="B815" s="8" t="s">
        <v>289</v>
      </c>
      <c r="C815" s="8" t="s">
        <v>614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932</v>
      </c>
      <c r="B816" s="8" t="s">
        <v>289</v>
      </c>
      <c r="C816" s="8" t="s">
        <v>615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932</v>
      </c>
      <c r="B817" s="8" t="s">
        <v>98</v>
      </c>
      <c r="C817" s="8" t="s">
        <v>616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932</v>
      </c>
      <c r="B818" s="8" t="s">
        <v>98</v>
      </c>
      <c r="C818" s="8" t="s">
        <v>617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932</v>
      </c>
      <c r="B819" s="8" t="s">
        <v>98</v>
      </c>
      <c r="C819" s="8" t="s">
        <v>618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932</v>
      </c>
      <c r="B820" s="8" t="s">
        <v>98</v>
      </c>
      <c r="C820" s="8" t="s">
        <v>619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932</v>
      </c>
      <c r="B821" s="8" t="s">
        <v>98</v>
      </c>
      <c r="C821" s="8" t="s">
        <v>620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932</v>
      </c>
      <c r="B822" s="8" t="s">
        <v>100</v>
      </c>
      <c r="C822" s="8" t="s">
        <v>621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932</v>
      </c>
      <c r="B823" s="8" t="s">
        <v>100</v>
      </c>
      <c r="C823" s="8" t="s">
        <v>622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932</v>
      </c>
      <c r="B824" s="8" t="s">
        <v>100</v>
      </c>
      <c r="C824" s="8" t="s">
        <v>623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932</v>
      </c>
      <c r="B825" s="8" t="s">
        <v>100</v>
      </c>
      <c r="C825" s="8" t="s">
        <v>624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932</v>
      </c>
      <c r="B826" s="8" t="s">
        <v>67</v>
      </c>
      <c r="C826" s="8" t="s">
        <v>625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932</v>
      </c>
      <c r="B827" s="8" t="s">
        <v>67</v>
      </c>
      <c r="C827" s="8" t="s">
        <v>626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932</v>
      </c>
      <c r="B828" s="8" t="s">
        <v>67</v>
      </c>
      <c r="C828" s="8" t="s">
        <v>627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932</v>
      </c>
      <c r="B829" s="8" t="s">
        <v>67</v>
      </c>
      <c r="C829" s="8" t="s">
        <v>628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932</v>
      </c>
      <c r="B830" s="8" t="s">
        <v>112</v>
      </c>
      <c r="C830" s="8" t="s">
        <v>629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932</v>
      </c>
      <c r="B831" s="8" t="s">
        <v>112</v>
      </c>
      <c r="C831" s="8" t="s">
        <v>630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932</v>
      </c>
      <c r="B832" s="8" t="s">
        <v>112</v>
      </c>
      <c r="C832" s="8" t="s">
        <v>631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932</v>
      </c>
      <c r="B833" s="8" t="s">
        <v>112</v>
      </c>
      <c r="C833" s="8" t="s">
        <v>632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932</v>
      </c>
      <c r="B834" s="8" t="s">
        <v>112</v>
      </c>
      <c r="C834" s="8" t="s">
        <v>633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932</v>
      </c>
      <c r="B835" s="8" t="s">
        <v>112</v>
      </c>
      <c r="C835" s="8" t="s">
        <v>634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932</v>
      </c>
      <c r="B836" s="8" t="s">
        <v>377</v>
      </c>
      <c r="C836" s="8" t="s">
        <v>933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932</v>
      </c>
      <c r="B837" s="8" t="s">
        <v>119</v>
      </c>
      <c r="C837" s="8" t="s">
        <v>635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932</v>
      </c>
      <c r="B838" s="8" t="s">
        <v>203</v>
      </c>
      <c r="C838" s="8" t="s">
        <v>636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932</v>
      </c>
      <c r="B839" s="8" t="s">
        <v>87</v>
      </c>
      <c r="C839" s="8" t="s">
        <v>637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932</v>
      </c>
      <c r="B840" s="8" t="s">
        <v>87</v>
      </c>
      <c r="C840" s="8" t="s">
        <v>638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932</v>
      </c>
      <c r="B841" s="8" t="s">
        <v>87</v>
      </c>
      <c r="C841" s="8" t="s">
        <v>639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932</v>
      </c>
      <c r="B842" s="8" t="s">
        <v>87</v>
      </c>
      <c r="C842" s="8" t="s">
        <v>640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932</v>
      </c>
      <c r="B843" s="8" t="s">
        <v>87</v>
      </c>
      <c r="C843" s="8" t="s">
        <v>641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932</v>
      </c>
      <c r="B844" s="8" t="s">
        <v>87</v>
      </c>
      <c r="C844" s="8" t="s">
        <v>642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932</v>
      </c>
      <c r="B845" s="8" t="s">
        <v>115</v>
      </c>
      <c r="C845" s="8" t="s">
        <v>643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932</v>
      </c>
      <c r="B846" s="8" t="s">
        <v>115</v>
      </c>
      <c r="C846" s="8" t="s">
        <v>644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932</v>
      </c>
      <c r="B847" s="8" t="s">
        <v>115</v>
      </c>
      <c r="C847" s="8" t="s">
        <v>645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932</v>
      </c>
      <c r="B848" s="8" t="s">
        <v>164</v>
      </c>
      <c r="C848" s="8" t="s">
        <v>646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932</v>
      </c>
      <c r="B849" s="8" t="s">
        <v>322</v>
      </c>
      <c r="C849" s="8" t="s">
        <v>647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932</v>
      </c>
      <c r="B850" s="8" t="s">
        <v>322</v>
      </c>
      <c r="C850" s="8" t="s">
        <v>648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932</v>
      </c>
      <c r="B851" s="8" t="s">
        <v>198</v>
      </c>
      <c r="C851" s="8" t="s">
        <v>649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932</v>
      </c>
      <c r="B852" s="8" t="s">
        <v>198</v>
      </c>
      <c r="C852" s="8" t="s">
        <v>650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932</v>
      </c>
      <c r="B853" s="8" t="s">
        <v>198</v>
      </c>
      <c r="C853" s="8" t="s">
        <v>651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932</v>
      </c>
      <c r="B854" s="8" t="s">
        <v>198</v>
      </c>
      <c r="C854" s="8" t="s">
        <v>652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932</v>
      </c>
      <c r="B855" s="8" t="s">
        <v>198</v>
      </c>
      <c r="C855" s="8" t="s">
        <v>653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932</v>
      </c>
      <c r="B856" s="8" t="s">
        <v>253</v>
      </c>
      <c r="C856" s="8" t="s">
        <v>654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932</v>
      </c>
      <c r="B857" s="8" t="s">
        <v>253</v>
      </c>
      <c r="C857" s="8" t="s">
        <v>655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932</v>
      </c>
      <c r="B858" s="8" t="s">
        <v>253</v>
      </c>
      <c r="C858" s="8" t="s">
        <v>656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932</v>
      </c>
      <c r="B859" s="8" t="s">
        <v>253</v>
      </c>
      <c r="C859" s="8" t="s">
        <v>657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932</v>
      </c>
      <c r="B860" s="8" t="s">
        <v>200</v>
      </c>
      <c r="C860" s="8" t="s">
        <v>658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932</v>
      </c>
      <c r="B861" s="8" t="s">
        <v>200</v>
      </c>
      <c r="C861" s="8" t="s">
        <v>659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932</v>
      </c>
      <c r="B862" s="8" t="s">
        <v>200</v>
      </c>
      <c r="C862" s="8" t="s">
        <v>660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932</v>
      </c>
      <c r="B863" s="8" t="s">
        <v>200</v>
      </c>
      <c r="C863" s="8" t="s">
        <v>661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932</v>
      </c>
      <c r="B864" s="8" t="s">
        <v>248</v>
      </c>
      <c r="C864" s="8" t="s">
        <v>662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932</v>
      </c>
      <c r="B865" s="8" t="s">
        <v>227</v>
      </c>
      <c r="C865" s="8" t="s">
        <v>663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932</v>
      </c>
      <c r="B866" s="8" t="s">
        <v>227</v>
      </c>
      <c r="C866" s="8" t="s">
        <v>664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932</v>
      </c>
      <c r="B867" s="8" t="s">
        <v>227</v>
      </c>
      <c r="C867" s="8" t="s">
        <v>665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932</v>
      </c>
      <c r="B868" s="8" t="s">
        <v>246</v>
      </c>
      <c r="C868" s="8" t="s">
        <v>666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932</v>
      </c>
      <c r="B869" s="8" t="s">
        <v>246</v>
      </c>
      <c r="C869" s="8" t="s">
        <v>667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932</v>
      </c>
      <c r="B870" s="8" t="s">
        <v>246</v>
      </c>
      <c r="C870" s="8" t="s">
        <v>668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932</v>
      </c>
      <c r="B871" s="8" t="s">
        <v>246</v>
      </c>
      <c r="C871" s="8" t="s">
        <v>669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932</v>
      </c>
      <c r="B872" s="8" t="s">
        <v>246</v>
      </c>
      <c r="C872" s="8" t="s">
        <v>670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932</v>
      </c>
      <c r="B873" s="8" t="s">
        <v>308</v>
      </c>
      <c r="C873" s="8" t="s">
        <v>671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932</v>
      </c>
      <c r="B874" s="8" t="s">
        <v>308</v>
      </c>
      <c r="C874" s="8" t="s">
        <v>672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932</v>
      </c>
      <c r="B875" s="8" t="s">
        <v>340</v>
      </c>
      <c r="C875" s="8" t="s">
        <v>673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932</v>
      </c>
      <c r="B876" s="8" t="s">
        <v>340</v>
      </c>
      <c r="C876" s="8" t="s">
        <v>674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932</v>
      </c>
      <c r="B877" s="8" t="s">
        <v>340</v>
      </c>
      <c r="C877" s="8" t="s">
        <v>675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932</v>
      </c>
      <c r="B878" s="8" t="s">
        <v>231</v>
      </c>
      <c r="C878" s="8" t="s">
        <v>676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932</v>
      </c>
      <c r="B879" s="8" t="s">
        <v>231</v>
      </c>
      <c r="C879" s="8" t="s">
        <v>677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932</v>
      </c>
      <c r="B880" s="8" t="s">
        <v>231</v>
      </c>
      <c r="C880" s="8" t="s">
        <v>678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932</v>
      </c>
      <c r="B881" s="8" t="s">
        <v>100</v>
      </c>
      <c r="C881" s="8" t="s">
        <v>679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932</v>
      </c>
      <c r="B882" s="8" t="s">
        <v>288</v>
      </c>
      <c r="C882" s="8" t="s">
        <v>680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932</v>
      </c>
      <c r="B883" s="8" t="s">
        <v>288</v>
      </c>
      <c r="C883" s="8" t="s">
        <v>681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932</v>
      </c>
      <c r="B884" s="8" t="s">
        <v>288</v>
      </c>
      <c r="C884" s="8" t="s">
        <v>682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932</v>
      </c>
      <c r="B885" s="8" t="s">
        <v>328</v>
      </c>
      <c r="C885" s="8" t="s">
        <v>683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932</v>
      </c>
      <c r="B886" s="8" t="s">
        <v>328</v>
      </c>
      <c r="C886" s="8" t="s">
        <v>684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932</v>
      </c>
      <c r="B887" s="8" t="s">
        <v>328</v>
      </c>
      <c r="C887" s="8" t="s">
        <v>685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932</v>
      </c>
      <c r="B888" s="8" t="s">
        <v>328</v>
      </c>
      <c r="C888" s="8" t="s">
        <v>686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932</v>
      </c>
      <c r="B889" s="8" t="s">
        <v>328</v>
      </c>
      <c r="C889" s="8" t="s">
        <v>687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932</v>
      </c>
      <c r="B890" s="8" t="s">
        <v>87</v>
      </c>
      <c r="C890" s="8" t="s">
        <v>688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932</v>
      </c>
      <c r="B891" s="8" t="s">
        <v>248</v>
      </c>
      <c r="C891" s="8" t="s">
        <v>689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932</v>
      </c>
      <c r="B892" s="8" t="s">
        <v>244</v>
      </c>
      <c r="C892" s="8" t="s">
        <v>690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932</v>
      </c>
      <c r="B893" s="8" t="s">
        <v>158</v>
      </c>
      <c r="C893" s="8" t="s">
        <v>691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932</v>
      </c>
      <c r="B894" s="8" t="s">
        <v>75</v>
      </c>
      <c r="C894" s="8" t="s">
        <v>692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932</v>
      </c>
      <c r="B895" s="8" t="s">
        <v>205</v>
      </c>
      <c r="C895" s="8" t="s">
        <v>693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932</v>
      </c>
      <c r="B896" s="8" t="s">
        <v>130</v>
      </c>
      <c r="C896" s="8" t="s">
        <v>694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932</v>
      </c>
      <c r="B897" s="8" t="s">
        <v>122</v>
      </c>
      <c r="C897" s="8" t="s">
        <v>695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932</v>
      </c>
      <c r="B898" s="8" t="s">
        <v>297</v>
      </c>
      <c r="C898" s="8" t="s">
        <v>696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932</v>
      </c>
      <c r="B899" s="8" t="s">
        <v>136</v>
      </c>
      <c r="C899" s="8" t="s">
        <v>697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932</v>
      </c>
      <c r="B900" s="8" t="s">
        <v>76</v>
      </c>
      <c r="C900" s="8" t="s">
        <v>698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932</v>
      </c>
      <c r="B901" s="8" t="s">
        <v>225</v>
      </c>
      <c r="C901" s="8" t="s">
        <v>699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932</v>
      </c>
      <c r="B902" s="8" t="s">
        <v>154</v>
      </c>
      <c r="C902" s="8" t="s">
        <v>700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932</v>
      </c>
      <c r="B903" s="8" t="s">
        <v>154</v>
      </c>
      <c r="C903" s="8" t="s">
        <v>701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932</v>
      </c>
      <c r="B904" s="8" t="s">
        <v>154</v>
      </c>
      <c r="C904" s="8" t="s">
        <v>702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932</v>
      </c>
      <c r="B905" s="8" t="s">
        <v>154</v>
      </c>
      <c r="C905" s="8" t="s">
        <v>703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932</v>
      </c>
      <c r="B906" s="8" t="s">
        <v>85</v>
      </c>
      <c r="C906" s="8" t="s">
        <v>704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932</v>
      </c>
      <c r="B907" s="8" t="s">
        <v>61</v>
      </c>
      <c r="C907" s="8" t="s">
        <v>705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932</v>
      </c>
      <c r="B908" s="8" t="s">
        <v>61</v>
      </c>
      <c r="C908" s="8" t="s">
        <v>706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932</v>
      </c>
      <c r="B909" s="8" t="s">
        <v>61</v>
      </c>
      <c r="C909" s="8" t="s">
        <v>707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932</v>
      </c>
      <c r="B910" s="8" t="s">
        <v>61</v>
      </c>
      <c r="C910" s="8" t="s">
        <v>708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932</v>
      </c>
      <c r="B911" s="8" t="s">
        <v>61</v>
      </c>
      <c r="C911" s="8" t="s">
        <v>709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932</v>
      </c>
      <c r="B912" s="8" t="s">
        <v>65</v>
      </c>
      <c r="C912" s="8" t="s">
        <v>710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932</v>
      </c>
      <c r="B913" s="8" t="s">
        <v>65</v>
      </c>
      <c r="C913" s="8" t="s">
        <v>711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932</v>
      </c>
      <c r="B914" s="8" t="s">
        <v>65</v>
      </c>
      <c r="C914" s="8" t="s">
        <v>712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932</v>
      </c>
      <c r="B915" s="8" t="s">
        <v>65</v>
      </c>
      <c r="C915" s="8" t="s">
        <v>713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932</v>
      </c>
      <c r="B916" s="8" t="s">
        <v>266</v>
      </c>
      <c r="C916" s="8" t="s">
        <v>714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932</v>
      </c>
      <c r="B917" s="8" t="s">
        <v>257</v>
      </c>
      <c r="C917" s="8" t="s">
        <v>715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932</v>
      </c>
      <c r="B918" s="8" t="s">
        <v>277</v>
      </c>
      <c r="C918" s="8" t="s">
        <v>716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932</v>
      </c>
      <c r="B919" s="8" t="s">
        <v>92</v>
      </c>
      <c r="C919" s="8" t="s">
        <v>717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932</v>
      </c>
      <c r="B920" s="8" t="s">
        <v>111</v>
      </c>
      <c r="C920" s="8" t="s">
        <v>718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932</v>
      </c>
      <c r="B921" s="8" t="s">
        <v>95</v>
      </c>
      <c r="C921" s="8" t="s">
        <v>719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932</v>
      </c>
      <c r="B922" s="8" t="s">
        <v>267</v>
      </c>
      <c r="C922" s="8" t="s">
        <v>720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932</v>
      </c>
      <c r="B923" s="8" t="s">
        <v>267</v>
      </c>
      <c r="C923" s="8" t="s">
        <v>721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932</v>
      </c>
      <c r="B924" s="8" t="s">
        <v>238</v>
      </c>
      <c r="C924" s="8" t="s">
        <v>722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932</v>
      </c>
      <c r="B925" s="8" t="s">
        <v>238</v>
      </c>
      <c r="C925" s="8" t="s">
        <v>723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932</v>
      </c>
      <c r="B926" s="8" t="s">
        <v>238</v>
      </c>
      <c r="C926" s="8" t="s">
        <v>721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932</v>
      </c>
      <c r="B927" s="8" t="s">
        <v>171</v>
      </c>
      <c r="C927" s="8" t="s">
        <v>724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932</v>
      </c>
      <c r="B928" s="8" t="s">
        <v>171</v>
      </c>
      <c r="C928" s="8" t="s">
        <v>725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932</v>
      </c>
      <c r="B929" s="8" t="s">
        <v>142</v>
      </c>
      <c r="C929" s="8" t="s">
        <v>724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932</v>
      </c>
      <c r="B930" s="8" t="s">
        <v>142</v>
      </c>
      <c r="C930" s="8" t="s">
        <v>725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932</v>
      </c>
      <c r="B931" s="8" t="s">
        <v>204</v>
      </c>
      <c r="C931" s="8" t="s">
        <v>726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932</v>
      </c>
      <c r="B932" s="8" t="s">
        <v>188</v>
      </c>
      <c r="C932" s="8" t="s">
        <v>727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932</v>
      </c>
      <c r="B933" s="8" t="s">
        <v>188</v>
      </c>
      <c r="C933" s="8" t="s">
        <v>728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932</v>
      </c>
      <c r="B934" s="8" t="s">
        <v>241</v>
      </c>
      <c r="C934" s="8" t="s">
        <v>729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932</v>
      </c>
      <c r="B935" s="8" t="s">
        <v>241</v>
      </c>
      <c r="C935" s="8" t="s">
        <v>730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932</v>
      </c>
      <c r="B936" s="8" t="s">
        <v>188</v>
      </c>
      <c r="C936" s="8" t="s">
        <v>731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932</v>
      </c>
      <c r="B937" s="8" t="s">
        <v>306</v>
      </c>
      <c r="C937" s="8" t="s">
        <v>729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932</v>
      </c>
      <c r="B938" s="8" t="s">
        <v>61</v>
      </c>
      <c r="C938" s="8" t="s">
        <v>732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932</v>
      </c>
      <c r="B939" s="8" t="s">
        <v>60</v>
      </c>
      <c r="C939" s="8" t="s">
        <v>733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932</v>
      </c>
      <c r="B940" s="8" t="s">
        <v>60</v>
      </c>
      <c r="C940" s="8" t="s">
        <v>734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932</v>
      </c>
      <c r="B941" s="8" t="s">
        <v>60</v>
      </c>
      <c r="C941" s="8" t="s">
        <v>735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932</v>
      </c>
      <c r="B942" s="8" t="s">
        <v>99</v>
      </c>
      <c r="C942" s="8" t="s">
        <v>736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932</v>
      </c>
      <c r="B943" s="8" t="s">
        <v>99</v>
      </c>
      <c r="C943" s="8" t="s">
        <v>737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932</v>
      </c>
      <c r="B944" s="8" t="s">
        <v>99</v>
      </c>
      <c r="C944" s="8" t="s">
        <v>738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932</v>
      </c>
      <c r="B945" s="8" t="s">
        <v>362</v>
      </c>
      <c r="C945" s="8" t="s">
        <v>739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932</v>
      </c>
      <c r="B946" s="8" t="s">
        <v>156</v>
      </c>
      <c r="C946" s="8" t="s">
        <v>636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932</v>
      </c>
      <c r="B947" s="8" t="s">
        <v>333</v>
      </c>
      <c r="C947" s="8" t="s">
        <v>740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932</v>
      </c>
      <c r="B948" s="8" t="s">
        <v>62</v>
      </c>
      <c r="C948" s="8" t="s">
        <v>741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932</v>
      </c>
      <c r="B949" s="8" t="s">
        <v>62</v>
      </c>
      <c r="C949" s="8" t="s">
        <v>742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932</v>
      </c>
      <c r="B950" s="8" t="s">
        <v>62</v>
      </c>
      <c r="C950" s="8" t="s">
        <v>743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932</v>
      </c>
      <c r="B951" s="8" t="s">
        <v>62</v>
      </c>
      <c r="C951" s="8" t="s">
        <v>744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932</v>
      </c>
      <c r="B952" s="8" t="s">
        <v>62</v>
      </c>
      <c r="C952" s="8" t="s">
        <v>745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932</v>
      </c>
      <c r="B953" s="8" t="s">
        <v>336</v>
      </c>
      <c r="C953" s="8" t="s">
        <v>746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932</v>
      </c>
      <c r="B954" s="8" t="s">
        <v>370</v>
      </c>
      <c r="C954" s="8" t="s">
        <v>747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932</v>
      </c>
      <c r="B955" s="8" t="s">
        <v>326</v>
      </c>
      <c r="C955" s="8" t="s">
        <v>748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932</v>
      </c>
      <c r="B956" s="8" t="s">
        <v>285</v>
      </c>
      <c r="C956" s="8" t="s">
        <v>749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932</v>
      </c>
      <c r="B957" s="8" t="s">
        <v>327</v>
      </c>
      <c r="C957" s="8" t="s">
        <v>750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932</v>
      </c>
      <c r="B958" s="8" t="s">
        <v>91</v>
      </c>
      <c r="C958" s="8" t="s">
        <v>751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932</v>
      </c>
      <c r="B959" s="8" t="s">
        <v>217</v>
      </c>
      <c r="C959" s="8" t="s">
        <v>752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932</v>
      </c>
      <c r="B960" s="8" t="s">
        <v>183</v>
      </c>
      <c r="C960" s="8" t="s">
        <v>753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932</v>
      </c>
      <c r="B961" s="8" t="s">
        <v>213</v>
      </c>
      <c r="C961" s="8" t="s">
        <v>754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932</v>
      </c>
      <c r="B962" s="8" t="s">
        <v>124</v>
      </c>
      <c r="C962" s="8" t="s">
        <v>755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932</v>
      </c>
      <c r="B963" s="8" t="s">
        <v>178</v>
      </c>
      <c r="C963" s="8" t="s">
        <v>756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932</v>
      </c>
      <c r="B964" s="8" t="s">
        <v>212</v>
      </c>
      <c r="C964" s="8" t="s">
        <v>757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932</v>
      </c>
      <c r="B965" s="8" t="s">
        <v>212</v>
      </c>
      <c r="C965" s="8" t="s">
        <v>758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932</v>
      </c>
      <c r="B966" s="8" t="s">
        <v>212</v>
      </c>
      <c r="C966" s="8" t="s">
        <v>759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932</v>
      </c>
      <c r="B967" s="8" t="s">
        <v>212</v>
      </c>
      <c r="C967" s="8" t="s">
        <v>760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932</v>
      </c>
      <c r="B968" s="8" t="s">
        <v>212</v>
      </c>
      <c r="C968" s="8" t="s">
        <v>761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932</v>
      </c>
      <c r="B969" s="8" t="s">
        <v>212</v>
      </c>
      <c r="C969" s="8" t="s">
        <v>762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932</v>
      </c>
      <c r="B970" s="8" t="s">
        <v>212</v>
      </c>
      <c r="C970" s="8" t="s">
        <v>763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932</v>
      </c>
      <c r="B971" s="8" t="s">
        <v>212</v>
      </c>
      <c r="C971" s="8" t="s">
        <v>764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932</v>
      </c>
      <c r="B972" s="8" t="s">
        <v>212</v>
      </c>
      <c r="C972" s="8" t="s">
        <v>765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932</v>
      </c>
      <c r="B973" s="8" t="s">
        <v>212</v>
      </c>
      <c r="C973" s="8" t="s">
        <v>766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932</v>
      </c>
      <c r="B974" s="8" t="s">
        <v>212</v>
      </c>
      <c r="C974" s="8" t="s">
        <v>767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932</v>
      </c>
      <c r="B975" s="8" t="s">
        <v>263</v>
      </c>
      <c r="C975" s="8" t="s">
        <v>768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932</v>
      </c>
      <c r="B976" s="8" t="s">
        <v>185</v>
      </c>
      <c r="C976" s="8" t="s">
        <v>769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932</v>
      </c>
      <c r="B977" s="8" t="s">
        <v>305</v>
      </c>
      <c r="C977" s="8" t="s">
        <v>770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932</v>
      </c>
      <c r="B978" s="8" t="s">
        <v>341</v>
      </c>
      <c r="C978" s="8" t="s">
        <v>771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932</v>
      </c>
      <c r="B979" s="8" t="s">
        <v>341</v>
      </c>
      <c r="C979" s="8" t="s">
        <v>772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932</v>
      </c>
      <c r="B980" s="8" t="s">
        <v>372</v>
      </c>
      <c r="C980" s="8" t="s">
        <v>773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932</v>
      </c>
      <c r="B981" s="8" t="s">
        <v>334</v>
      </c>
      <c r="C981" s="8" t="s">
        <v>774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932</v>
      </c>
      <c r="B982" s="8" t="s">
        <v>276</v>
      </c>
      <c r="C982" s="8" t="s">
        <v>775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932</v>
      </c>
      <c r="B983" s="8" t="s">
        <v>235</v>
      </c>
      <c r="C983" s="8" t="s">
        <v>776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932</v>
      </c>
      <c r="B984" s="8" t="s">
        <v>201</v>
      </c>
      <c r="C984" s="8" t="s">
        <v>777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932</v>
      </c>
      <c r="B985" s="8" t="s">
        <v>73</v>
      </c>
      <c r="C985" s="8" t="s">
        <v>778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932</v>
      </c>
      <c r="B986" s="8" t="s">
        <v>120</v>
      </c>
      <c r="C986" s="8" t="s">
        <v>779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932</v>
      </c>
      <c r="B987" s="8" t="s">
        <v>319</v>
      </c>
      <c r="C987" s="8" t="s">
        <v>780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932</v>
      </c>
      <c r="B988" s="8" t="s">
        <v>323</v>
      </c>
      <c r="C988" s="8" t="s">
        <v>781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932</v>
      </c>
      <c r="B989" s="8" t="s">
        <v>96</v>
      </c>
      <c r="C989" s="8" t="s">
        <v>782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932</v>
      </c>
      <c r="B990" s="8" t="s">
        <v>96</v>
      </c>
      <c r="C990" s="8" t="s">
        <v>783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932</v>
      </c>
      <c r="B991" s="8" t="s">
        <v>96</v>
      </c>
      <c r="C991" s="8" t="s">
        <v>784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932</v>
      </c>
      <c r="B992" s="8" t="s">
        <v>96</v>
      </c>
      <c r="C992" s="8" t="s">
        <v>785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932</v>
      </c>
      <c r="B993" s="8" t="s">
        <v>96</v>
      </c>
      <c r="C993" s="8" t="s">
        <v>786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932</v>
      </c>
      <c r="B994" s="8" t="s">
        <v>64</v>
      </c>
      <c r="C994" s="8" t="s">
        <v>787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932</v>
      </c>
      <c r="B995" s="8" t="s">
        <v>161</v>
      </c>
      <c r="C995" s="8" t="s">
        <v>719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932</v>
      </c>
      <c r="B996" s="8" t="s">
        <v>55</v>
      </c>
      <c r="C996" s="8" t="s">
        <v>788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932</v>
      </c>
      <c r="B997" s="8" t="s">
        <v>55</v>
      </c>
      <c r="C997" s="8" t="s">
        <v>789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932</v>
      </c>
      <c r="B998" s="8" t="s">
        <v>55</v>
      </c>
      <c r="C998" s="8" t="s">
        <v>790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932</v>
      </c>
      <c r="B999" s="8" t="s">
        <v>313</v>
      </c>
      <c r="C999" s="8" t="s">
        <v>791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932</v>
      </c>
      <c r="B1000" s="8" t="s">
        <v>329</v>
      </c>
      <c r="C1000" s="8" t="s">
        <v>792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932</v>
      </c>
      <c r="B1001" s="8" t="s">
        <v>325</v>
      </c>
      <c r="C1001" s="8" t="s">
        <v>792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932</v>
      </c>
      <c r="B1002" s="8" t="s">
        <v>207</v>
      </c>
      <c r="C1002" s="8" t="s">
        <v>792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932</v>
      </c>
      <c r="B1003" s="8" t="s">
        <v>149</v>
      </c>
      <c r="C1003" s="8" t="s">
        <v>793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932</v>
      </c>
      <c r="B1004" s="8" t="s">
        <v>151</v>
      </c>
      <c r="C1004" s="8" t="s">
        <v>793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932</v>
      </c>
      <c r="B1005" s="8" t="s">
        <v>360</v>
      </c>
      <c r="C1005" s="8" t="s">
        <v>794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932</v>
      </c>
      <c r="B1006" s="8" t="s">
        <v>251</v>
      </c>
      <c r="C1006" s="8" t="s">
        <v>795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932</v>
      </c>
      <c r="B1007" s="8" t="s">
        <v>275</v>
      </c>
      <c r="C1007" s="8" t="s">
        <v>795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932</v>
      </c>
      <c r="B1008" s="8" t="s">
        <v>303</v>
      </c>
      <c r="C1008" s="8" t="s">
        <v>795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932</v>
      </c>
      <c r="B1009" s="8" t="s">
        <v>279</v>
      </c>
      <c r="C1009" s="8" t="s">
        <v>796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932</v>
      </c>
      <c r="B1010" s="8" t="s">
        <v>259</v>
      </c>
      <c r="C1010" s="8" t="s">
        <v>797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932</v>
      </c>
      <c r="B1011" s="8" t="s">
        <v>299</v>
      </c>
      <c r="C1011" s="8" t="s">
        <v>797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932</v>
      </c>
      <c r="B1012" s="8" t="s">
        <v>216</v>
      </c>
      <c r="C1012" s="8" t="s">
        <v>797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932</v>
      </c>
      <c r="B1013" s="8" t="s">
        <v>300</v>
      </c>
      <c r="C1013" s="8" t="s">
        <v>798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932</v>
      </c>
      <c r="B1014" s="8" t="s">
        <v>298</v>
      </c>
      <c r="C1014" s="8" t="s">
        <v>797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932</v>
      </c>
      <c r="B1015" s="8" t="s">
        <v>152</v>
      </c>
      <c r="C1015" s="8" t="s">
        <v>799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932</v>
      </c>
      <c r="B1016" s="8" t="s">
        <v>152</v>
      </c>
      <c r="C1016" s="8" t="s">
        <v>800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932</v>
      </c>
      <c r="B1017" s="8" t="s">
        <v>152</v>
      </c>
      <c r="C1017" s="8" t="s">
        <v>801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932</v>
      </c>
      <c r="B1018" s="8" t="s">
        <v>273</v>
      </c>
      <c r="C1018" s="8" t="s">
        <v>802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932</v>
      </c>
      <c r="B1019" s="8" t="s">
        <v>273</v>
      </c>
      <c r="C1019" s="8" t="s">
        <v>803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932</v>
      </c>
      <c r="B1020" s="8" t="s">
        <v>273</v>
      </c>
      <c r="C1020" s="8" t="s">
        <v>804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932</v>
      </c>
      <c r="B1021" s="8" t="s">
        <v>273</v>
      </c>
      <c r="C1021" s="8" t="s">
        <v>805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932</v>
      </c>
      <c r="B1022" s="8" t="s">
        <v>148</v>
      </c>
      <c r="C1022" s="8" t="s">
        <v>806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932</v>
      </c>
      <c r="B1023" s="8" t="s">
        <v>330</v>
      </c>
      <c r="C1023" s="8" t="s">
        <v>807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932</v>
      </c>
      <c r="B1024" s="8" t="s">
        <v>224</v>
      </c>
      <c r="C1024" s="8" t="s">
        <v>807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932</v>
      </c>
      <c r="B1025" s="8" t="s">
        <v>332</v>
      </c>
      <c r="C1025" s="8" t="s">
        <v>807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932</v>
      </c>
      <c r="B1026" s="8" t="s">
        <v>245</v>
      </c>
      <c r="C1026" s="8" t="s">
        <v>807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932</v>
      </c>
      <c r="B1027" s="8" t="s">
        <v>93</v>
      </c>
      <c r="C1027" s="8" t="s">
        <v>808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932</v>
      </c>
      <c r="B1028" s="8" t="s">
        <v>83</v>
      </c>
      <c r="C1028" s="8" t="s">
        <v>808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932</v>
      </c>
      <c r="B1029" s="8" t="s">
        <v>94</v>
      </c>
      <c r="C1029" s="8" t="s">
        <v>808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932</v>
      </c>
      <c r="B1030" s="8" t="s">
        <v>102</v>
      </c>
      <c r="C1030" s="8" t="s">
        <v>808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932</v>
      </c>
      <c r="B1031" s="8" t="s">
        <v>60</v>
      </c>
      <c r="C1031" s="8" t="s">
        <v>809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932</v>
      </c>
      <c r="B1032" s="8" t="s">
        <v>57</v>
      </c>
      <c r="C1032" s="8" t="s">
        <v>810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932</v>
      </c>
      <c r="B1033" s="8" t="s">
        <v>89</v>
      </c>
      <c r="C1033" s="8" t="s">
        <v>811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932</v>
      </c>
      <c r="B1034" s="8" t="s">
        <v>89</v>
      </c>
      <c r="C1034" s="8" t="s">
        <v>812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932</v>
      </c>
      <c r="B1035" s="8" t="s">
        <v>89</v>
      </c>
      <c r="C1035" s="8" t="s">
        <v>813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932</v>
      </c>
      <c r="B1036" s="8" t="s">
        <v>89</v>
      </c>
      <c r="C1036" s="8" t="s">
        <v>814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932</v>
      </c>
      <c r="B1037" s="8" t="s">
        <v>89</v>
      </c>
      <c r="C1037" s="8" t="s">
        <v>815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932</v>
      </c>
      <c r="B1038" s="8" t="s">
        <v>89</v>
      </c>
      <c r="C1038" s="8" t="s">
        <v>816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932</v>
      </c>
      <c r="B1039" s="8" t="s">
        <v>103</v>
      </c>
      <c r="C1039" s="8" t="s">
        <v>817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932</v>
      </c>
      <c r="B1040" s="8" t="s">
        <v>282</v>
      </c>
      <c r="C1040" s="8" t="s">
        <v>818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932</v>
      </c>
      <c r="B1041" s="8" t="s">
        <v>57</v>
      </c>
      <c r="C1041" s="8" t="s">
        <v>819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932</v>
      </c>
      <c r="B1042" s="8" t="s">
        <v>170</v>
      </c>
      <c r="C1042" s="8" t="s">
        <v>820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932</v>
      </c>
      <c r="B1043" s="8" t="s">
        <v>170</v>
      </c>
      <c r="C1043" s="8" t="s">
        <v>821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932</v>
      </c>
      <c r="B1044" s="8" t="s">
        <v>170</v>
      </c>
      <c r="C1044" s="8" t="s">
        <v>822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932</v>
      </c>
      <c r="B1045" s="8" t="s">
        <v>170</v>
      </c>
      <c r="C1045" s="8" t="s">
        <v>823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932</v>
      </c>
      <c r="B1046" s="8" t="s">
        <v>170</v>
      </c>
      <c r="C1046" s="8" t="s">
        <v>824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932</v>
      </c>
      <c r="B1047" s="8" t="s">
        <v>54</v>
      </c>
      <c r="C1047" s="8" t="s">
        <v>825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932</v>
      </c>
      <c r="B1048" s="8" t="s">
        <v>286</v>
      </c>
      <c r="C1048" s="8" t="s">
        <v>826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932</v>
      </c>
      <c r="B1049" s="8" t="s">
        <v>193</v>
      </c>
      <c r="C1049" s="8" t="s">
        <v>827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932</v>
      </c>
      <c r="B1050" s="8" t="s">
        <v>226</v>
      </c>
      <c r="C1050" s="8" t="s">
        <v>827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932</v>
      </c>
      <c r="B1051" s="8" t="s">
        <v>169</v>
      </c>
      <c r="C1051" s="8" t="s">
        <v>827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932</v>
      </c>
      <c r="B1052" s="8" t="s">
        <v>175</v>
      </c>
      <c r="C1052" s="8" t="s">
        <v>827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932</v>
      </c>
      <c r="B1053" s="8" t="s">
        <v>110</v>
      </c>
      <c r="C1053" s="8" t="s">
        <v>828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932</v>
      </c>
      <c r="B1054" s="8" t="s">
        <v>222</v>
      </c>
      <c r="C1054" s="8" t="s">
        <v>829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932</v>
      </c>
      <c r="B1055" s="8" t="s">
        <v>312</v>
      </c>
      <c r="C1055" s="8" t="s">
        <v>830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932</v>
      </c>
      <c r="B1056" s="8" t="s">
        <v>335</v>
      </c>
      <c r="C1056" s="8" t="s">
        <v>830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932</v>
      </c>
      <c r="B1057" s="8" t="s">
        <v>304</v>
      </c>
      <c r="C1057" s="8" t="s">
        <v>830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932</v>
      </c>
      <c r="B1058" s="8" t="s">
        <v>162</v>
      </c>
      <c r="C1058" s="8" t="s">
        <v>831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932</v>
      </c>
      <c r="B1059" s="8" t="s">
        <v>105</v>
      </c>
      <c r="C1059" s="8" t="s">
        <v>832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932</v>
      </c>
      <c r="B1060" s="8" t="s">
        <v>121</v>
      </c>
      <c r="C1060" s="8" t="s">
        <v>832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932</v>
      </c>
      <c r="B1061" s="8" t="s">
        <v>133</v>
      </c>
      <c r="C1061" s="8" t="s">
        <v>832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932</v>
      </c>
      <c r="B1062" s="8" t="s">
        <v>132</v>
      </c>
      <c r="C1062" s="8" t="s">
        <v>832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932</v>
      </c>
      <c r="B1063" s="8" t="s">
        <v>141</v>
      </c>
      <c r="C1063" s="8" t="s">
        <v>833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932</v>
      </c>
      <c r="B1064" s="8" t="s">
        <v>141</v>
      </c>
      <c r="C1064" s="8" t="s">
        <v>834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932</v>
      </c>
      <c r="B1065" s="8" t="s">
        <v>141</v>
      </c>
      <c r="C1065" s="8" t="s">
        <v>835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932</v>
      </c>
      <c r="B1066" s="8" t="s">
        <v>141</v>
      </c>
      <c r="C1066" s="8" t="s">
        <v>836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932</v>
      </c>
      <c r="B1067" s="8" t="s">
        <v>234</v>
      </c>
      <c r="C1067" s="8" t="s">
        <v>837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932</v>
      </c>
      <c r="B1068" s="8" t="s">
        <v>234</v>
      </c>
      <c r="C1068" s="8" t="s">
        <v>838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932</v>
      </c>
      <c r="B1069" s="8" t="s">
        <v>234</v>
      </c>
      <c r="C1069" s="8" t="s">
        <v>839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932</v>
      </c>
      <c r="B1070" s="8" t="s">
        <v>234</v>
      </c>
      <c r="C1070" s="8" t="s">
        <v>840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932</v>
      </c>
      <c r="B1071" s="8" t="s">
        <v>159</v>
      </c>
      <c r="C1071" s="8" t="s">
        <v>660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932</v>
      </c>
      <c r="B1072" s="8" t="s">
        <v>159</v>
      </c>
      <c r="C1072" s="8" t="s">
        <v>659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932</v>
      </c>
      <c r="B1073" s="8" t="s">
        <v>159</v>
      </c>
      <c r="C1073" s="8" t="s">
        <v>661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932</v>
      </c>
      <c r="B1074" s="8" t="s">
        <v>159</v>
      </c>
      <c r="C1074" s="8" t="s">
        <v>658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932</v>
      </c>
      <c r="B1075" s="8" t="s">
        <v>159</v>
      </c>
      <c r="C1075" s="8" t="s">
        <v>841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932</v>
      </c>
      <c r="B1076" s="8" t="s">
        <v>287</v>
      </c>
      <c r="C1076" s="8" t="s">
        <v>842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932</v>
      </c>
      <c r="B1077" s="8" t="s">
        <v>287</v>
      </c>
      <c r="C1077" s="8" t="s">
        <v>843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932</v>
      </c>
      <c r="B1078" s="8" t="s">
        <v>287</v>
      </c>
      <c r="C1078" s="8" t="s">
        <v>844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932</v>
      </c>
      <c r="B1079" s="8" t="s">
        <v>287</v>
      </c>
      <c r="C1079" s="8" t="s">
        <v>845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932</v>
      </c>
      <c r="B1080" s="8" t="s">
        <v>215</v>
      </c>
      <c r="C1080" s="8" t="s">
        <v>846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932</v>
      </c>
      <c r="B1081" s="8" t="s">
        <v>215</v>
      </c>
      <c r="C1081" s="8" t="s">
        <v>847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932</v>
      </c>
      <c r="B1082" s="8" t="s">
        <v>215</v>
      </c>
      <c r="C1082" s="8" t="s">
        <v>848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932</v>
      </c>
      <c r="B1083" s="8" t="s">
        <v>215</v>
      </c>
      <c r="C1083" s="8" t="s">
        <v>849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932</v>
      </c>
      <c r="B1084" s="8" t="s">
        <v>363</v>
      </c>
      <c r="C1084" s="8" t="s">
        <v>850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932</v>
      </c>
      <c r="B1085" s="8" t="s">
        <v>367</v>
      </c>
      <c r="C1085" s="8" t="s">
        <v>850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932</v>
      </c>
      <c r="B1086" s="8" t="s">
        <v>366</v>
      </c>
      <c r="C1086" s="8" t="s">
        <v>850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932</v>
      </c>
      <c r="B1087" s="8" t="s">
        <v>368</v>
      </c>
      <c r="C1087" s="8" t="s">
        <v>850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932</v>
      </c>
      <c r="B1088" s="8" t="s">
        <v>126</v>
      </c>
      <c r="C1088" s="8" t="s">
        <v>851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932</v>
      </c>
      <c r="B1089" s="8" t="s">
        <v>126</v>
      </c>
      <c r="C1089" s="8" t="s">
        <v>852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932</v>
      </c>
      <c r="B1090" s="8" t="s">
        <v>126</v>
      </c>
      <c r="C1090" s="8" t="s">
        <v>853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932</v>
      </c>
      <c r="B1091" s="8" t="s">
        <v>126</v>
      </c>
      <c r="C1091" s="8" t="s">
        <v>854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932</v>
      </c>
      <c r="B1092" s="8" t="s">
        <v>126</v>
      </c>
      <c r="C1092" s="8" t="s">
        <v>855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932</v>
      </c>
      <c r="B1093" s="8" t="s">
        <v>286</v>
      </c>
      <c r="C1093" s="8" t="s">
        <v>856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932</v>
      </c>
      <c r="B1094" s="8" t="s">
        <v>268</v>
      </c>
      <c r="C1094" s="8" t="s">
        <v>857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932</v>
      </c>
      <c r="B1095" s="8" t="s">
        <v>268</v>
      </c>
      <c r="C1095" s="8" t="s">
        <v>858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932</v>
      </c>
      <c r="B1096" s="8" t="s">
        <v>269</v>
      </c>
      <c r="C1096" s="8" t="s">
        <v>859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932</v>
      </c>
      <c r="B1097" s="8" t="s">
        <v>269</v>
      </c>
      <c r="C1097" s="8" t="s">
        <v>860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932</v>
      </c>
      <c r="B1098" s="8" t="s">
        <v>271</v>
      </c>
      <c r="C1098" s="8" t="s">
        <v>861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932</v>
      </c>
      <c r="B1099" s="8" t="s">
        <v>271</v>
      </c>
      <c r="C1099" s="8" t="s">
        <v>862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932</v>
      </c>
      <c r="B1100" s="8" t="s">
        <v>270</v>
      </c>
      <c r="C1100" s="8" t="s">
        <v>863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932</v>
      </c>
      <c r="B1101" s="8" t="s">
        <v>270</v>
      </c>
      <c r="C1101" s="8" t="s">
        <v>864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932</v>
      </c>
      <c r="B1102" s="8" t="s">
        <v>14</v>
      </c>
      <c r="C1102" s="8" t="s">
        <v>865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932</v>
      </c>
      <c r="B1103" s="8" t="s">
        <v>14</v>
      </c>
      <c r="C1103" s="8" t="s">
        <v>866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932</v>
      </c>
      <c r="B1104" s="8" t="s">
        <v>14</v>
      </c>
      <c r="C1104" s="8" t="s">
        <v>867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932</v>
      </c>
      <c r="B1105" s="8" t="s">
        <v>228</v>
      </c>
      <c r="C1105" s="8" t="s">
        <v>868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932</v>
      </c>
      <c r="B1106" s="8" t="s">
        <v>221</v>
      </c>
      <c r="C1106" s="8" t="s">
        <v>868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932</v>
      </c>
      <c r="B1107" s="8" t="s">
        <v>229</v>
      </c>
      <c r="C1107" s="8" t="s">
        <v>868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932</v>
      </c>
      <c r="B1108" s="8" t="s">
        <v>252</v>
      </c>
      <c r="C1108" s="8" t="s">
        <v>868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932</v>
      </c>
      <c r="B1109" s="8" t="s">
        <v>223</v>
      </c>
      <c r="C1109" s="8" t="s">
        <v>869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932</v>
      </c>
      <c r="B1110" s="8" t="s">
        <v>219</v>
      </c>
      <c r="C1110" s="8" t="s">
        <v>869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932</v>
      </c>
      <c r="B1111" s="8" t="s">
        <v>247</v>
      </c>
      <c r="C1111" s="8" t="s">
        <v>869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932</v>
      </c>
      <c r="B1112" s="8" t="s">
        <v>237</v>
      </c>
      <c r="C1112" s="8" t="s">
        <v>869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932</v>
      </c>
      <c r="B1113" s="8" t="s">
        <v>140</v>
      </c>
      <c r="C1113" s="8" t="s">
        <v>870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932</v>
      </c>
      <c r="B1114" s="8" t="s">
        <v>140</v>
      </c>
      <c r="C1114" s="8" t="s">
        <v>871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932</v>
      </c>
      <c r="B1115" s="8" t="s">
        <v>258</v>
      </c>
      <c r="C1115" s="8" t="s">
        <v>872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932</v>
      </c>
      <c r="B1116" s="8" t="s">
        <v>71</v>
      </c>
      <c r="C1116" s="8" t="s">
        <v>873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932</v>
      </c>
      <c r="B1117" s="8" t="s">
        <v>153</v>
      </c>
      <c r="C1117" s="8" t="s">
        <v>874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932</v>
      </c>
      <c r="B1118" s="8" t="s">
        <v>71</v>
      </c>
      <c r="C1118" s="8" t="s">
        <v>875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932</v>
      </c>
      <c r="B1119" s="8" t="s">
        <v>324</v>
      </c>
      <c r="C1119" s="8" t="s">
        <v>876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932</v>
      </c>
      <c r="B1120" s="8" t="s">
        <v>74</v>
      </c>
      <c r="C1120" s="8" t="s">
        <v>877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932</v>
      </c>
      <c r="B1121" s="8" t="s">
        <v>74</v>
      </c>
      <c r="C1121" s="8" t="s">
        <v>878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932</v>
      </c>
      <c r="B1122" s="8" t="s">
        <v>74</v>
      </c>
      <c r="C1122" s="8" t="s">
        <v>879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932</v>
      </c>
      <c r="B1123" s="8" t="s">
        <v>74</v>
      </c>
      <c r="C1123" s="8" t="s">
        <v>880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932</v>
      </c>
      <c r="B1124" s="8" t="s">
        <v>74</v>
      </c>
      <c r="C1124" s="8" t="s">
        <v>881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932</v>
      </c>
      <c r="B1125" s="8" t="s">
        <v>66</v>
      </c>
      <c r="C1125" s="8" t="s">
        <v>882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932</v>
      </c>
      <c r="B1126" s="8" t="s">
        <v>66</v>
      </c>
      <c r="C1126" s="8" t="s">
        <v>883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932</v>
      </c>
      <c r="B1127" s="8" t="s">
        <v>66</v>
      </c>
      <c r="C1127" s="8" t="s">
        <v>884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932</v>
      </c>
      <c r="B1128" s="8" t="s">
        <v>66</v>
      </c>
      <c r="C1128" s="8" t="s">
        <v>885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932</v>
      </c>
      <c r="B1129" s="8" t="s">
        <v>66</v>
      </c>
      <c r="C1129" s="8" t="s">
        <v>886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932</v>
      </c>
      <c r="B1130" s="8" t="s">
        <v>118</v>
      </c>
      <c r="C1130" s="8" t="s">
        <v>887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932</v>
      </c>
      <c r="B1131" s="8" t="s">
        <v>118</v>
      </c>
      <c r="C1131" s="8" t="s">
        <v>888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932</v>
      </c>
      <c r="B1132" s="8" t="s">
        <v>118</v>
      </c>
      <c r="C1132" s="8" t="s">
        <v>889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932</v>
      </c>
      <c r="B1133" s="8" t="s">
        <v>118</v>
      </c>
      <c r="C1133" s="8" t="s">
        <v>890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932</v>
      </c>
      <c r="B1134" s="8" t="s">
        <v>118</v>
      </c>
      <c r="C1134" s="8" t="s">
        <v>891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932</v>
      </c>
      <c r="B1135" s="8" t="s">
        <v>290</v>
      </c>
      <c r="C1135" s="8" t="s">
        <v>892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932</v>
      </c>
      <c r="B1136" s="8" t="s">
        <v>321</v>
      </c>
      <c r="C1136" s="8" t="s">
        <v>893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932</v>
      </c>
      <c r="B1137" s="8" t="s">
        <v>274</v>
      </c>
      <c r="C1137" s="8" t="s">
        <v>894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932</v>
      </c>
      <c r="B1138" s="8" t="s">
        <v>176</v>
      </c>
      <c r="C1138" s="8" t="s">
        <v>895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932</v>
      </c>
      <c r="B1139" s="8" t="s">
        <v>260</v>
      </c>
      <c r="C1139" s="8" t="s">
        <v>896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932</v>
      </c>
      <c r="B1140" s="8" t="s">
        <v>189</v>
      </c>
      <c r="C1140" s="8" t="s">
        <v>897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932</v>
      </c>
      <c r="B1141" s="8" t="s">
        <v>189</v>
      </c>
      <c r="C1141" s="8" t="s">
        <v>898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932</v>
      </c>
      <c r="B1142" s="8" t="s">
        <v>189</v>
      </c>
      <c r="C1142" s="8" t="s">
        <v>899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932</v>
      </c>
      <c r="B1143" s="8" t="s">
        <v>189</v>
      </c>
      <c r="C1143" s="8" t="s">
        <v>900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932</v>
      </c>
      <c r="B1144" s="8" t="s">
        <v>173</v>
      </c>
      <c r="C1144" s="8" t="s">
        <v>901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932</v>
      </c>
      <c r="B1145" s="8" t="s">
        <v>150</v>
      </c>
      <c r="C1145" s="8" t="s">
        <v>902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932</v>
      </c>
      <c r="B1146" s="8" t="s">
        <v>139</v>
      </c>
      <c r="C1146" s="8" t="s">
        <v>903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932</v>
      </c>
      <c r="B1147" s="8" t="s">
        <v>180</v>
      </c>
      <c r="C1147" s="8" t="s">
        <v>904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932</v>
      </c>
      <c r="B1148" s="8" t="s">
        <v>309</v>
      </c>
      <c r="C1148" s="8" t="s">
        <v>905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932</v>
      </c>
      <c r="B1149" s="8" t="s">
        <v>243</v>
      </c>
      <c r="C1149" s="8" t="s">
        <v>906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932</v>
      </c>
      <c r="B1150" s="8" t="s">
        <v>314</v>
      </c>
      <c r="C1150" s="8" t="s">
        <v>907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932</v>
      </c>
      <c r="B1151" s="8" t="s">
        <v>79</v>
      </c>
      <c r="C1151" s="8" t="s">
        <v>908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932</v>
      </c>
      <c r="B1152" s="8" t="s">
        <v>79</v>
      </c>
      <c r="C1152" s="8" t="s">
        <v>909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932</v>
      </c>
      <c r="B1153" s="8" t="s">
        <v>79</v>
      </c>
      <c r="C1153" s="8" t="s">
        <v>910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932</v>
      </c>
      <c r="B1154" s="8" t="s">
        <v>79</v>
      </c>
      <c r="C1154" s="8" t="s">
        <v>911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932</v>
      </c>
      <c r="B1155" s="8" t="s">
        <v>230</v>
      </c>
      <c r="C1155" s="8" t="s">
        <v>912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932</v>
      </c>
      <c r="B1156" s="8" t="s">
        <v>318</v>
      </c>
      <c r="C1156" s="8" t="s">
        <v>912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932</v>
      </c>
      <c r="B1157" s="8" t="s">
        <v>230</v>
      </c>
      <c r="C1157" s="8" t="s">
        <v>913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932</v>
      </c>
      <c r="B1158" s="8" t="s">
        <v>316</v>
      </c>
      <c r="C1158" s="8" t="s">
        <v>913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932</v>
      </c>
      <c r="B1159" s="8" t="s">
        <v>68</v>
      </c>
      <c r="C1159" s="8" t="s">
        <v>914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932</v>
      </c>
      <c r="B1160" s="8" t="s">
        <v>125</v>
      </c>
      <c r="C1160" s="8" t="s">
        <v>915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932</v>
      </c>
      <c r="B1161" s="8" t="s">
        <v>86</v>
      </c>
      <c r="C1161" s="8" t="s">
        <v>916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932</v>
      </c>
      <c r="B1162" s="8" t="s">
        <v>123</v>
      </c>
      <c r="C1162" s="8" t="s">
        <v>521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932</v>
      </c>
      <c r="B1163" s="8" t="s">
        <v>192</v>
      </c>
      <c r="C1163" s="8" t="s">
        <v>917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932</v>
      </c>
      <c r="B1164" s="8" t="s">
        <v>127</v>
      </c>
      <c r="C1164" s="8" t="s">
        <v>918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932</v>
      </c>
      <c r="B1165" s="8" t="s">
        <v>127</v>
      </c>
      <c r="C1165" s="8" t="s">
        <v>919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932</v>
      </c>
      <c r="B1166" s="8" t="s">
        <v>127</v>
      </c>
      <c r="C1166" s="8" t="s">
        <v>920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932</v>
      </c>
      <c r="B1167" s="8" t="s">
        <v>264</v>
      </c>
      <c r="C1167" s="8" t="s">
        <v>921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932</v>
      </c>
      <c r="B1168" s="8" t="s">
        <v>147</v>
      </c>
      <c r="C1168" s="8" t="s">
        <v>921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932</v>
      </c>
      <c r="B1169" s="8" t="s">
        <v>155</v>
      </c>
      <c r="C1169" s="8" t="s">
        <v>921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932</v>
      </c>
      <c r="B1170" s="8" t="s">
        <v>264</v>
      </c>
      <c r="C1170" s="8" t="s">
        <v>922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932</v>
      </c>
      <c r="B1171" s="8" t="s">
        <v>147</v>
      </c>
      <c r="C1171" s="8" t="s">
        <v>922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932</v>
      </c>
      <c r="B1172" s="8" t="s">
        <v>155</v>
      </c>
      <c r="C1172" s="8" t="s">
        <v>922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932</v>
      </c>
      <c r="B1173" s="8" t="s">
        <v>70</v>
      </c>
      <c r="C1173" s="8" t="s">
        <v>923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932</v>
      </c>
      <c r="B1174" s="8" t="s">
        <v>109</v>
      </c>
      <c r="C1174" s="8" t="s">
        <v>924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932</v>
      </c>
      <c r="B1175" s="8" t="s">
        <v>109</v>
      </c>
      <c r="C1175" s="8" t="s">
        <v>925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932</v>
      </c>
      <c r="B1176" s="8" t="s">
        <v>77</v>
      </c>
      <c r="C1176" s="8" t="s">
        <v>926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932</v>
      </c>
      <c r="B1177" s="8" t="s">
        <v>59</v>
      </c>
      <c r="C1177" s="8" t="s">
        <v>927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932</v>
      </c>
      <c r="B1178" s="8" t="s">
        <v>59</v>
      </c>
      <c r="C1178" s="8" t="s">
        <v>928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932</v>
      </c>
      <c r="B1179" s="8" t="s">
        <v>59</v>
      </c>
      <c r="C1179" s="8" t="s">
        <v>929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932</v>
      </c>
      <c r="B1180" s="8" t="s">
        <v>59</v>
      </c>
      <c r="C1180" s="8" t="s">
        <v>930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932</v>
      </c>
      <c r="B1181" s="8" t="s">
        <v>59</v>
      </c>
      <c r="C1181" s="8" t="s">
        <v>931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2" t="s">
        <v>934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customFormat="false" ht="26.25" hidden="false" customHeight="true" outlineLevel="0" collapsed="false">
      <c r="A2" s="38" t="s">
        <v>392</v>
      </c>
      <c r="B2" s="38" t="s">
        <v>393</v>
      </c>
      <c r="C2" s="38" t="s">
        <v>394</v>
      </c>
      <c r="D2" s="38" t="s">
        <v>23</v>
      </c>
      <c r="E2" s="38" t="s">
        <v>26</v>
      </c>
      <c r="F2" s="38" t="s">
        <v>27</v>
      </c>
      <c r="G2" s="38" t="s">
        <v>29</v>
      </c>
      <c r="H2" s="38" t="s">
        <v>30</v>
      </c>
      <c r="I2" s="38" t="s">
        <v>17</v>
      </c>
      <c r="J2" s="38" t="s">
        <v>14</v>
      </c>
      <c r="K2" s="38" t="s">
        <v>36</v>
      </c>
      <c r="L2" s="38" t="s">
        <v>37</v>
      </c>
      <c r="M2" s="38" t="s">
        <v>33</v>
      </c>
      <c r="N2" s="38" t="s">
        <v>34</v>
      </c>
      <c r="O2" s="38" t="s">
        <v>38</v>
      </c>
      <c r="P2" s="38" t="s">
        <v>39</v>
      </c>
      <c r="Q2" s="38" t="s">
        <v>41</v>
      </c>
      <c r="R2" s="38" t="s">
        <v>40</v>
      </c>
      <c r="S2" s="38" t="s">
        <v>31</v>
      </c>
      <c r="T2" s="38" t="s">
        <v>43</v>
      </c>
      <c r="U2" s="38" t="s">
        <v>32</v>
      </c>
    </row>
    <row r="3" customFormat="false" ht="15" hidden="false" customHeight="true" outlineLevel="0" collapsed="false">
      <c r="A3" s="8" t="s">
        <v>395</v>
      </c>
      <c r="B3" s="8" t="s">
        <v>107</v>
      </c>
      <c r="C3" s="8" t="s">
        <v>396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395</v>
      </c>
      <c r="B4" s="8" t="s">
        <v>107</v>
      </c>
      <c r="C4" s="8" t="s">
        <v>397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395</v>
      </c>
      <c r="B5" s="8" t="s">
        <v>211</v>
      </c>
      <c r="C5" s="8" t="s">
        <v>398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395</v>
      </c>
      <c r="B6" s="8" t="s">
        <v>250</v>
      </c>
      <c r="C6" s="8" t="s">
        <v>399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395</v>
      </c>
      <c r="B7" s="8" t="s">
        <v>320</v>
      </c>
      <c r="C7" s="8" t="s">
        <v>400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395</v>
      </c>
      <c r="B8" s="8" t="s">
        <v>331</v>
      </c>
      <c r="C8" s="8" t="s">
        <v>401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395</v>
      </c>
      <c r="B9" s="8" t="s">
        <v>317</v>
      </c>
      <c r="C9" s="8" t="s">
        <v>402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395</v>
      </c>
      <c r="B10" s="8" t="s">
        <v>232</v>
      </c>
      <c r="C10" s="8" t="s">
        <v>403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395</v>
      </c>
      <c r="B11" s="8" t="s">
        <v>143</v>
      </c>
      <c r="C11" s="8" t="s">
        <v>404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395</v>
      </c>
      <c r="B12" s="8" t="s">
        <v>381</v>
      </c>
      <c r="C12" s="8" t="s">
        <v>935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395</v>
      </c>
      <c r="B13" s="8" t="s">
        <v>131</v>
      </c>
      <c r="C13" s="8" t="s">
        <v>405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395</v>
      </c>
      <c r="B14" s="8" t="s">
        <v>131</v>
      </c>
      <c r="C14" s="8" t="s">
        <v>406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395</v>
      </c>
      <c r="B15" s="8" t="s">
        <v>131</v>
      </c>
      <c r="C15" s="8" t="s">
        <v>407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395</v>
      </c>
      <c r="B16" s="8" t="s">
        <v>311</v>
      </c>
      <c r="C16" s="8" t="s">
        <v>408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395</v>
      </c>
      <c r="B17" s="8" t="s">
        <v>311</v>
      </c>
      <c r="C17" s="8" t="s">
        <v>409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395</v>
      </c>
      <c r="B18" s="8" t="s">
        <v>239</v>
      </c>
      <c r="C18" s="8" t="s">
        <v>410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395</v>
      </c>
      <c r="B19" s="8" t="s">
        <v>280</v>
      </c>
      <c r="C19" s="8" t="s">
        <v>411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395</v>
      </c>
      <c r="B20" s="8" t="s">
        <v>280</v>
      </c>
      <c r="C20" s="8" t="s">
        <v>412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395</v>
      </c>
      <c r="B21" s="8" t="s">
        <v>280</v>
      </c>
      <c r="C21" s="8" t="s">
        <v>413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395</v>
      </c>
      <c r="B22" s="8" t="s">
        <v>373</v>
      </c>
      <c r="C22" s="8" t="s">
        <v>414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395</v>
      </c>
      <c r="B23" s="8" t="s">
        <v>104</v>
      </c>
      <c r="C23" s="8" t="s">
        <v>405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395</v>
      </c>
      <c r="B24" s="8" t="s">
        <v>104</v>
      </c>
      <c r="C24" s="8" t="s">
        <v>415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395</v>
      </c>
      <c r="B25" s="8" t="s">
        <v>104</v>
      </c>
      <c r="C25" s="8" t="s">
        <v>416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395</v>
      </c>
      <c r="B26" s="8" t="s">
        <v>146</v>
      </c>
      <c r="C26" s="8" t="s">
        <v>417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395</v>
      </c>
      <c r="B27" s="8" t="s">
        <v>146</v>
      </c>
      <c r="C27" s="8" t="s">
        <v>418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395</v>
      </c>
      <c r="B28" s="8" t="s">
        <v>146</v>
      </c>
      <c r="C28" s="8" t="s">
        <v>419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395</v>
      </c>
      <c r="B29" s="8" t="s">
        <v>167</v>
      </c>
      <c r="C29" s="8" t="s">
        <v>420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395</v>
      </c>
      <c r="B30" s="8" t="s">
        <v>167</v>
      </c>
      <c r="C30" s="8" t="s">
        <v>421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395</v>
      </c>
      <c r="B31" s="8" t="s">
        <v>167</v>
      </c>
      <c r="C31" s="8" t="s">
        <v>422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395</v>
      </c>
      <c r="B32" s="8" t="s">
        <v>160</v>
      </c>
      <c r="C32" s="8" t="s">
        <v>428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395</v>
      </c>
      <c r="B33" s="8" t="s">
        <v>160</v>
      </c>
      <c r="C33" s="8" t="s">
        <v>429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395</v>
      </c>
      <c r="B34" s="8" t="s">
        <v>160</v>
      </c>
      <c r="C34" s="8" t="s">
        <v>430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395</v>
      </c>
      <c r="B35" s="8" t="s">
        <v>160</v>
      </c>
      <c r="C35" s="8" t="s">
        <v>431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395</v>
      </c>
      <c r="B36" s="8" t="s">
        <v>129</v>
      </c>
      <c r="C36" s="8" t="s">
        <v>433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395</v>
      </c>
      <c r="B37" s="8" t="s">
        <v>129</v>
      </c>
      <c r="C37" s="8" t="s">
        <v>434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395</v>
      </c>
      <c r="B38" s="8" t="s">
        <v>129</v>
      </c>
      <c r="C38" s="8" t="s">
        <v>435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395</v>
      </c>
      <c r="B39" s="8" t="s">
        <v>129</v>
      </c>
      <c r="C39" s="8" t="s">
        <v>436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395</v>
      </c>
      <c r="B40" s="8" t="s">
        <v>129</v>
      </c>
      <c r="C40" s="8" t="s">
        <v>437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395</v>
      </c>
      <c r="B41" s="8" t="s">
        <v>218</v>
      </c>
      <c r="C41" s="8" t="s">
        <v>439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395</v>
      </c>
      <c r="B42" s="8" t="s">
        <v>218</v>
      </c>
      <c r="C42" s="8" t="s">
        <v>440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395</v>
      </c>
      <c r="B43" s="8" t="s">
        <v>218</v>
      </c>
      <c r="C43" s="8" t="s">
        <v>441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395</v>
      </c>
      <c r="B44" s="8" t="s">
        <v>218</v>
      </c>
      <c r="C44" s="8" t="s">
        <v>442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395</v>
      </c>
      <c r="B45" s="8" t="s">
        <v>218</v>
      </c>
      <c r="C45" s="8" t="s">
        <v>443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395</v>
      </c>
      <c r="B46" s="8" t="s">
        <v>84</v>
      </c>
      <c r="C46" s="8" t="s">
        <v>444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395</v>
      </c>
      <c r="B47" s="8" t="s">
        <v>84</v>
      </c>
      <c r="C47" s="8" t="s">
        <v>445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395</v>
      </c>
      <c r="B48" s="8" t="s">
        <v>84</v>
      </c>
      <c r="C48" s="8" t="s">
        <v>446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395</v>
      </c>
      <c r="B49" s="8" t="s">
        <v>84</v>
      </c>
      <c r="C49" s="8" t="s">
        <v>447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395</v>
      </c>
      <c r="B50" s="8" t="s">
        <v>84</v>
      </c>
      <c r="C50" s="8" t="s">
        <v>448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395</v>
      </c>
      <c r="B51" s="8" t="s">
        <v>375</v>
      </c>
      <c r="C51" s="8" t="s">
        <v>936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395</v>
      </c>
      <c r="B52" s="8" t="s">
        <v>209</v>
      </c>
      <c r="C52" s="8" t="s">
        <v>937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395</v>
      </c>
      <c r="B53" s="8" t="s">
        <v>209</v>
      </c>
      <c r="C53" s="8" t="s">
        <v>450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395</v>
      </c>
      <c r="B54" s="8" t="s">
        <v>209</v>
      </c>
      <c r="C54" s="8" t="s">
        <v>938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395</v>
      </c>
      <c r="B55" s="8" t="s">
        <v>209</v>
      </c>
      <c r="C55" s="8" t="s">
        <v>451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395</v>
      </c>
      <c r="B56" s="8" t="s">
        <v>80</v>
      </c>
      <c r="C56" s="8" t="s">
        <v>452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395</v>
      </c>
      <c r="B57" s="8" t="s">
        <v>80</v>
      </c>
      <c r="C57" s="8" t="s">
        <v>453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395</v>
      </c>
      <c r="B58" s="8" t="s">
        <v>80</v>
      </c>
      <c r="C58" s="8" t="s">
        <v>454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395</v>
      </c>
      <c r="B59" s="8" t="s">
        <v>80</v>
      </c>
      <c r="C59" s="8" t="s">
        <v>455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395</v>
      </c>
      <c r="B60" s="8" t="s">
        <v>80</v>
      </c>
      <c r="C60" s="8" t="s">
        <v>456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395</v>
      </c>
      <c r="B61" s="8" t="s">
        <v>54</v>
      </c>
      <c r="C61" s="8" t="s">
        <v>457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395</v>
      </c>
      <c r="B62" s="8" t="s">
        <v>54</v>
      </c>
      <c r="C62" s="8" t="s">
        <v>458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395</v>
      </c>
      <c r="B63" s="8" t="s">
        <v>54</v>
      </c>
      <c r="C63" s="8" t="s">
        <v>459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395</v>
      </c>
      <c r="B64" s="8" t="s">
        <v>54</v>
      </c>
      <c r="C64" s="8" t="s">
        <v>460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395</v>
      </c>
      <c r="B65" s="8" t="s">
        <v>256</v>
      </c>
      <c r="C65" s="8" t="s">
        <v>462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395</v>
      </c>
      <c r="B66" s="8" t="s">
        <v>256</v>
      </c>
      <c r="C66" s="8" t="s">
        <v>464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395</v>
      </c>
      <c r="B67" s="8" t="s">
        <v>281</v>
      </c>
      <c r="C67" s="8" t="s">
        <v>465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395</v>
      </c>
      <c r="B68" s="8" t="s">
        <v>240</v>
      </c>
      <c r="C68" s="8" t="s">
        <v>466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395</v>
      </c>
      <c r="B69" s="8" t="s">
        <v>240</v>
      </c>
      <c r="C69" s="8" t="s">
        <v>467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395</v>
      </c>
      <c r="B70" s="8" t="s">
        <v>240</v>
      </c>
      <c r="C70" s="8" t="s">
        <v>468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395</v>
      </c>
      <c r="B71" s="8" t="s">
        <v>240</v>
      </c>
      <c r="C71" s="8" t="s">
        <v>469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395</v>
      </c>
      <c r="B72" s="8" t="s">
        <v>278</v>
      </c>
      <c r="C72" s="8" t="s">
        <v>939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395</v>
      </c>
      <c r="B73" s="8" t="s">
        <v>278</v>
      </c>
      <c r="C73" s="8" t="s">
        <v>470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395</v>
      </c>
      <c r="B74" s="8" t="s">
        <v>278</v>
      </c>
      <c r="C74" s="8" t="s">
        <v>471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395</v>
      </c>
      <c r="B75" s="8" t="s">
        <v>278</v>
      </c>
      <c r="C75" s="8" t="s">
        <v>940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395</v>
      </c>
      <c r="B76" s="8" t="s">
        <v>168</v>
      </c>
      <c r="C76" s="8" t="s">
        <v>472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395</v>
      </c>
      <c r="B77" s="8" t="s">
        <v>168</v>
      </c>
      <c r="C77" s="8" t="s">
        <v>473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395</v>
      </c>
      <c r="B78" s="8" t="s">
        <v>168</v>
      </c>
      <c r="C78" s="8" t="s">
        <v>474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395</v>
      </c>
      <c r="B79" s="8" t="s">
        <v>168</v>
      </c>
      <c r="C79" s="8" t="s">
        <v>475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395</v>
      </c>
      <c r="B80" s="8" t="s">
        <v>293</v>
      </c>
      <c r="C80" s="8" t="s">
        <v>476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395</v>
      </c>
      <c r="B81" s="8" t="s">
        <v>294</v>
      </c>
      <c r="C81" s="8" t="s">
        <v>476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395</v>
      </c>
      <c r="B82" s="8" t="s">
        <v>184</v>
      </c>
      <c r="C82" s="8" t="s">
        <v>478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395</v>
      </c>
      <c r="B83" s="8" t="s">
        <v>210</v>
      </c>
      <c r="C83" s="8" t="s">
        <v>479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395</v>
      </c>
      <c r="B84" s="8" t="s">
        <v>210</v>
      </c>
      <c r="C84" s="8" t="s">
        <v>480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395</v>
      </c>
      <c r="B85" s="8" t="s">
        <v>210</v>
      </c>
      <c r="C85" s="8" t="s">
        <v>481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395</v>
      </c>
      <c r="B86" s="8" t="s">
        <v>210</v>
      </c>
      <c r="C86" s="8" t="s">
        <v>482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395</v>
      </c>
      <c r="B87" s="8" t="s">
        <v>210</v>
      </c>
      <c r="C87" s="8" t="s">
        <v>483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395</v>
      </c>
      <c r="B88" s="8" t="s">
        <v>190</v>
      </c>
      <c r="C88" s="8" t="s">
        <v>484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395</v>
      </c>
      <c r="B89" s="8" t="s">
        <v>190</v>
      </c>
      <c r="C89" s="8" t="s">
        <v>485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395</v>
      </c>
      <c r="B90" s="8" t="s">
        <v>114</v>
      </c>
      <c r="C90" s="8" t="s">
        <v>486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395</v>
      </c>
      <c r="B91" s="8" t="s">
        <v>114</v>
      </c>
      <c r="C91" s="8" t="s">
        <v>487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395</v>
      </c>
      <c r="B92" s="8" t="s">
        <v>72</v>
      </c>
      <c r="C92" s="8" t="s">
        <v>488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395</v>
      </c>
      <c r="B93" s="8" t="s">
        <v>101</v>
      </c>
      <c r="C93" s="8" t="s">
        <v>488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395</v>
      </c>
      <c r="B94" s="8" t="s">
        <v>272</v>
      </c>
      <c r="C94" s="8" t="s">
        <v>941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395</v>
      </c>
      <c r="B95" s="8" t="s">
        <v>113</v>
      </c>
      <c r="C95" s="8" t="s">
        <v>491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395</v>
      </c>
      <c r="B96" s="8" t="s">
        <v>113</v>
      </c>
      <c r="C96" s="8" t="s">
        <v>492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395</v>
      </c>
      <c r="B97" s="8" t="s">
        <v>113</v>
      </c>
      <c r="C97" s="8" t="s">
        <v>493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395</v>
      </c>
      <c r="B98" s="8" t="s">
        <v>113</v>
      </c>
      <c r="C98" s="8" t="s">
        <v>494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395</v>
      </c>
      <c r="B99" s="8" t="s">
        <v>249</v>
      </c>
      <c r="C99" s="8" t="s">
        <v>495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395</v>
      </c>
      <c r="B100" s="8" t="s">
        <v>249</v>
      </c>
      <c r="C100" s="8" t="s">
        <v>496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395</v>
      </c>
      <c r="B101" s="8" t="s">
        <v>296</v>
      </c>
      <c r="C101" s="8" t="s">
        <v>942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395</v>
      </c>
      <c r="B102" s="8" t="s">
        <v>296</v>
      </c>
      <c r="C102" s="8" t="s">
        <v>943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395</v>
      </c>
      <c r="B103" s="8" t="s">
        <v>113</v>
      </c>
      <c r="C103" s="8" t="s">
        <v>500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395</v>
      </c>
      <c r="B104" s="8" t="s">
        <v>148</v>
      </c>
      <c r="C104" s="8" t="s">
        <v>501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395</v>
      </c>
      <c r="B105" s="8" t="s">
        <v>148</v>
      </c>
      <c r="C105" s="8" t="s">
        <v>502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395</v>
      </c>
      <c r="B106" s="8" t="s">
        <v>242</v>
      </c>
      <c r="C106" s="8" t="s">
        <v>506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395</v>
      </c>
      <c r="B107" s="8" t="s">
        <v>242</v>
      </c>
      <c r="C107" s="8" t="s">
        <v>508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395</v>
      </c>
      <c r="B108" s="8" t="s">
        <v>242</v>
      </c>
      <c r="C108" s="8" t="s">
        <v>509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395</v>
      </c>
      <c r="B109" s="8" t="s">
        <v>242</v>
      </c>
      <c r="C109" s="8" t="s">
        <v>510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395</v>
      </c>
      <c r="B110" s="8" t="s">
        <v>202</v>
      </c>
      <c r="C110" s="8" t="s">
        <v>511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395</v>
      </c>
      <c r="B111" s="8" t="s">
        <v>202</v>
      </c>
      <c r="C111" s="8" t="s">
        <v>512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395</v>
      </c>
      <c r="B112" s="8" t="s">
        <v>202</v>
      </c>
      <c r="C112" s="8" t="s">
        <v>513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395</v>
      </c>
      <c r="B113" s="8" t="s">
        <v>202</v>
      </c>
      <c r="C113" s="8" t="s">
        <v>514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395</v>
      </c>
      <c r="B114" s="8" t="s">
        <v>202</v>
      </c>
      <c r="C114" s="8" t="s">
        <v>515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395</v>
      </c>
      <c r="B115" s="8" t="s">
        <v>197</v>
      </c>
      <c r="C115" s="8" t="s">
        <v>518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395</v>
      </c>
      <c r="B116" s="8" t="s">
        <v>197</v>
      </c>
      <c r="C116" s="8" t="s">
        <v>519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395</v>
      </c>
      <c r="B117" s="8" t="s">
        <v>197</v>
      </c>
      <c r="C117" s="8" t="s">
        <v>520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395</v>
      </c>
      <c r="B118" s="8" t="s">
        <v>97</v>
      </c>
      <c r="C118" s="8" t="s">
        <v>521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395</v>
      </c>
      <c r="B119" s="8" t="s">
        <v>81</v>
      </c>
      <c r="C119" s="8" t="s">
        <v>522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395</v>
      </c>
      <c r="B120" s="8" t="s">
        <v>208</v>
      </c>
      <c r="C120" s="8" t="s">
        <v>523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395</v>
      </c>
      <c r="B121" s="8" t="s">
        <v>58</v>
      </c>
      <c r="C121" s="8" t="s">
        <v>524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395</v>
      </c>
      <c r="B122" s="8" t="s">
        <v>116</v>
      </c>
      <c r="C122" s="8" t="s">
        <v>525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395</v>
      </c>
      <c r="B123" s="8" t="s">
        <v>78</v>
      </c>
      <c r="C123" s="8" t="s">
        <v>526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395</v>
      </c>
      <c r="B124" s="8" t="s">
        <v>138</v>
      </c>
      <c r="C124" s="8" t="s">
        <v>527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395</v>
      </c>
      <c r="B125" s="8" t="s">
        <v>165</v>
      </c>
      <c r="C125" s="8" t="s">
        <v>521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395</v>
      </c>
      <c r="B126" s="8" t="s">
        <v>88</v>
      </c>
      <c r="C126" s="8" t="s">
        <v>521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395</v>
      </c>
      <c r="B127" s="8" t="s">
        <v>135</v>
      </c>
      <c r="C127" s="8" t="s">
        <v>528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395</v>
      </c>
      <c r="B128" s="8" t="s">
        <v>135</v>
      </c>
      <c r="C128" s="8" t="s">
        <v>529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395</v>
      </c>
      <c r="B129" s="8" t="s">
        <v>206</v>
      </c>
      <c r="C129" s="8" t="s">
        <v>530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395</v>
      </c>
      <c r="B130" s="8" t="s">
        <v>82</v>
      </c>
      <c r="C130" s="8" t="s">
        <v>532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395</v>
      </c>
      <c r="B131" s="8" t="s">
        <v>117</v>
      </c>
      <c r="C131" s="8" t="s">
        <v>533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395</v>
      </c>
      <c r="B132" s="8" t="s">
        <v>145</v>
      </c>
      <c r="C132" s="8" t="s">
        <v>534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395</v>
      </c>
      <c r="B133" s="8" t="s">
        <v>220</v>
      </c>
      <c r="C133" s="8" t="s">
        <v>536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395</v>
      </c>
      <c r="B134" s="8" t="s">
        <v>134</v>
      </c>
      <c r="C134" s="8" t="s">
        <v>537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395</v>
      </c>
      <c r="B135" s="8" t="s">
        <v>134</v>
      </c>
      <c r="C135" s="8" t="s">
        <v>538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395</v>
      </c>
      <c r="B136" s="8" t="s">
        <v>134</v>
      </c>
      <c r="C136" s="8" t="s">
        <v>539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395</v>
      </c>
      <c r="B137" s="8" t="s">
        <v>134</v>
      </c>
      <c r="C137" s="8" t="s">
        <v>540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395</v>
      </c>
      <c r="B138" s="8" t="s">
        <v>134</v>
      </c>
      <c r="C138" s="8" t="s">
        <v>541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395</v>
      </c>
      <c r="B139" s="8" t="s">
        <v>342</v>
      </c>
      <c r="C139" s="8" t="s">
        <v>542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395</v>
      </c>
      <c r="B140" s="8" t="s">
        <v>157</v>
      </c>
      <c r="C140" s="8" t="s">
        <v>544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395</v>
      </c>
      <c r="B141" s="8" t="s">
        <v>157</v>
      </c>
      <c r="C141" s="8" t="s">
        <v>545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395</v>
      </c>
      <c r="B142" s="8" t="s">
        <v>157</v>
      </c>
      <c r="C142" s="8" t="s">
        <v>546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395</v>
      </c>
      <c r="B143" s="8" t="s">
        <v>157</v>
      </c>
      <c r="C143" s="8" t="s">
        <v>547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395</v>
      </c>
      <c r="B144" s="8" t="s">
        <v>157</v>
      </c>
      <c r="C144" s="8" t="s">
        <v>548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395</v>
      </c>
      <c r="B145" s="8" t="s">
        <v>108</v>
      </c>
      <c r="C145" s="8" t="s">
        <v>549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395</v>
      </c>
      <c r="B146" s="8" t="s">
        <v>177</v>
      </c>
      <c r="C146" s="8" t="s">
        <v>550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395</v>
      </c>
      <c r="B147" s="8" t="s">
        <v>69</v>
      </c>
      <c r="C147" s="8" t="s">
        <v>551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395</v>
      </c>
      <c r="B148" s="8" t="s">
        <v>69</v>
      </c>
      <c r="C148" s="8" t="s">
        <v>552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395</v>
      </c>
      <c r="B149" s="8" t="s">
        <v>69</v>
      </c>
      <c r="C149" s="8" t="s">
        <v>553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395</v>
      </c>
      <c r="B150" s="8" t="s">
        <v>69</v>
      </c>
      <c r="C150" s="8" t="s">
        <v>554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395</v>
      </c>
      <c r="B151" s="8" t="s">
        <v>69</v>
      </c>
      <c r="C151" s="8" t="s">
        <v>556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395</v>
      </c>
      <c r="B152" s="8" t="s">
        <v>75</v>
      </c>
      <c r="C152" s="8" t="s">
        <v>557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395</v>
      </c>
      <c r="B153" s="8" t="s">
        <v>75</v>
      </c>
      <c r="C153" s="8" t="s">
        <v>558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395</v>
      </c>
      <c r="B154" s="8" t="s">
        <v>75</v>
      </c>
      <c r="C154" s="8" t="s">
        <v>559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395</v>
      </c>
      <c r="B155" s="8" t="s">
        <v>75</v>
      </c>
      <c r="C155" s="8" t="s">
        <v>560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395</v>
      </c>
      <c r="B156" s="8" t="s">
        <v>75</v>
      </c>
      <c r="C156" s="8" t="s">
        <v>561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395</v>
      </c>
      <c r="B157" s="8" t="s">
        <v>70</v>
      </c>
      <c r="C157" s="8" t="s">
        <v>562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395</v>
      </c>
      <c r="B158" s="8" t="s">
        <v>70</v>
      </c>
      <c r="C158" s="8" t="s">
        <v>563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395</v>
      </c>
      <c r="B159" s="8" t="s">
        <v>70</v>
      </c>
      <c r="C159" s="8" t="s">
        <v>564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395</v>
      </c>
      <c r="B160" s="8" t="s">
        <v>70</v>
      </c>
      <c r="C160" s="8" t="s">
        <v>565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395</v>
      </c>
      <c r="B161" s="8" t="s">
        <v>194</v>
      </c>
      <c r="C161" s="8" t="s">
        <v>566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395</v>
      </c>
      <c r="B162" s="8" t="s">
        <v>195</v>
      </c>
      <c r="C162" s="8" t="s">
        <v>567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395</v>
      </c>
      <c r="B163" s="8" t="s">
        <v>106</v>
      </c>
      <c r="C163" s="8" t="s">
        <v>568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395</v>
      </c>
      <c r="B164" s="8" t="s">
        <v>182</v>
      </c>
      <c r="C164" s="8" t="s">
        <v>569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395</v>
      </c>
      <c r="B165" s="8" t="s">
        <v>137</v>
      </c>
      <c r="C165" s="8" t="s">
        <v>570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395</v>
      </c>
      <c r="B166" s="8" t="s">
        <v>174</v>
      </c>
      <c r="C166" s="8" t="s">
        <v>571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395</v>
      </c>
      <c r="B167" s="8" t="s">
        <v>166</v>
      </c>
      <c r="C167" s="8" t="s">
        <v>572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395</v>
      </c>
      <c r="B168" s="8" t="s">
        <v>292</v>
      </c>
      <c r="C168" s="8" t="s">
        <v>573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395</v>
      </c>
      <c r="B169" s="8" t="s">
        <v>315</v>
      </c>
      <c r="C169" s="8" t="s">
        <v>573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395</v>
      </c>
      <c r="B170" s="8" t="s">
        <v>181</v>
      </c>
      <c r="C170" s="8" t="s">
        <v>574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395</v>
      </c>
      <c r="B171" s="8" t="s">
        <v>181</v>
      </c>
      <c r="C171" s="8" t="s">
        <v>575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395</v>
      </c>
      <c r="B172" s="8" t="s">
        <v>181</v>
      </c>
      <c r="C172" s="8" t="s">
        <v>576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395</v>
      </c>
      <c r="B173" s="8" t="s">
        <v>181</v>
      </c>
      <c r="C173" s="8" t="s">
        <v>577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395</v>
      </c>
      <c r="B174" s="8" t="s">
        <v>255</v>
      </c>
      <c r="C174" s="8" t="s">
        <v>578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395</v>
      </c>
      <c r="B175" s="8" t="s">
        <v>255</v>
      </c>
      <c r="C175" s="8" t="s">
        <v>944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395</v>
      </c>
      <c r="B176" s="8" t="s">
        <v>255</v>
      </c>
      <c r="C176" s="8" t="s">
        <v>579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395</v>
      </c>
      <c r="B177" s="8" t="s">
        <v>255</v>
      </c>
      <c r="C177" s="8" t="s">
        <v>580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395</v>
      </c>
      <c r="B178" s="8" t="s">
        <v>128</v>
      </c>
      <c r="C178" s="8" t="s">
        <v>581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395</v>
      </c>
      <c r="B179" s="8" t="s">
        <v>128</v>
      </c>
      <c r="C179" s="8" t="s">
        <v>582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395</v>
      </c>
      <c r="B180" s="8" t="s">
        <v>128</v>
      </c>
      <c r="C180" s="8" t="s">
        <v>583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395</v>
      </c>
      <c r="B181" s="8" t="s">
        <v>128</v>
      </c>
      <c r="C181" s="8" t="s">
        <v>584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395</v>
      </c>
      <c r="B182" s="8" t="s">
        <v>128</v>
      </c>
      <c r="C182" s="8" t="s">
        <v>585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395</v>
      </c>
      <c r="B183" s="8" t="s">
        <v>76</v>
      </c>
      <c r="C183" s="8" t="s">
        <v>586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395</v>
      </c>
      <c r="B184" s="8" t="s">
        <v>76</v>
      </c>
      <c r="C184" s="8" t="s">
        <v>587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395</v>
      </c>
      <c r="B185" s="8" t="s">
        <v>76</v>
      </c>
      <c r="C185" s="8" t="s">
        <v>588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395</v>
      </c>
      <c r="B186" s="8" t="s">
        <v>76</v>
      </c>
      <c r="C186" s="8" t="s">
        <v>589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395</v>
      </c>
      <c r="B187" s="8" t="s">
        <v>76</v>
      </c>
      <c r="C187" s="8" t="s">
        <v>590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395</v>
      </c>
      <c r="B188" s="8" t="s">
        <v>63</v>
      </c>
      <c r="C188" s="8" t="s">
        <v>591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395</v>
      </c>
      <c r="B189" s="8" t="s">
        <v>63</v>
      </c>
      <c r="C189" s="8" t="s">
        <v>592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395</v>
      </c>
      <c r="B190" s="8" t="s">
        <v>63</v>
      </c>
      <c r="C190" s="8" t="s">
        <v>593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395</v>
      </c>
      <c r="B191" s="8" t="s">
        <v>63</v>
      </c>
      <c r="C191" s="8" t="s">
        <v>594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395</v>
      </c>
      <c r="B192" s="8" t="s">
        <v>90</v>
      </c>
      <c r="C192" s="8" t="s">
        <v>595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395</v>
      </c>
      <c r="B193" s="8" t="s">
        <v>90</v>
      </c>
      <c r="C193" s="8" t="s">
        <v>596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395</v>
      </c>
      <c r="B194" s="8" t="s">
        <v>90</v>
      </c>
      <c r="C194" s="8" t="s">
        <v>597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395</v>
      </c>
      <c r="B195" s="8" t="s">
        <v>90</v>
      </c>
      <c r="C195" s="8" t="s">
        <v>598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395</v>
      </c>
      <c r="B196" s="8" t="s">
        <v>90</v>
      </c>
      <c r="C196" s="8" t="s">
        <v>599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395</v>
      </c>
      <c r="B197" s="8" t="s">
        <v>163</v>
      </c>
      <c r="C197" s="8" t="s">
        <v>600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395</v>
      </c>
      <c r="B198" s="8" t="s">
        <v>163</v>
      </c>
      <c r="C198" s="8" t="s">
        <v>601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395</v>
      </c>
      <c r="B199" s="8" t="s">
        <v>163</v>
      </c>
      <c r="C199" s="8" t="s">
        <v>602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395</v>
      </c>
      <c r="B200" s="8" t="s">
        <v>163</v>
      </c>
      <c r="C200" s="8" t="s">
        <v>603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395</v>
      </c>
      <c r="B201" s="8" t="s">
        <v>144</v>
      </c>
      <c r="C201" s="8" t="s">
        <v>605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395</v>
      </c>
      <c r="B202" s="8" t="s">
        <v>144</v>
      </c>
      <c r="C202" s="8" t="s">
        <v>606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395</v>
      </c>
      <c r="B203" s="8" t="s">
        <v>144</v>
      </c>
      <c r="C203" s="8" t="s">
        <v>607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395</v>
      </c>
      <c r="B204" s="8" t="s">
        <v>144</v>
      </c>
      <c r="C204" s="8" t="s">
        <v>608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395</v>
      </c>
      <c r="B205" s="8" t="s">
        <v>144</v>
      </c>
      <c r="C205" s="8" t="s">
        <v>609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395</v>
      </c>
      <c r="B206" s="8" t="s">
        <v>179</v>
      </c>
      <c r="C206" s="8" t="s">
        <v>945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395</v>
      </c>
      <c r="B207" s="8" t="s">
        <v>179</v>
      </c>
      <c r="C207" s="8" t="s">
        <v>610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395</v>
      </c>
      <c r="B208" s="8" t="s">
        <v>179</v>
      </c>
      <c r="C208" s="8" t="s">
        <v>611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395</v>
      </c>
      <c r="B209" s="8" t="s">
        <v>179</v>
      </c>
      <c r="C209" s="8" t="s">
        <v>612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395</v>
      </c>
      <c r="B210" s="8" t="s">
        <v>289</v>
      </c>
      <c r="C210" s="8" t="s">
        <v>614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395</v>
      </c>
      <c r="B211" s="8" t="s">
        <v>289</v>
      </c>
      <c r="C211" s="8" t="s">
        <v>615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395</v>
      </c>
      <c r="B212" s="8" t="s">
        <v>289</v>
      </c>
      <c r="C212" s="8" t="s">
        <v>946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395</v>
      </c>
      <c r="B213" s="8" t="s">
        <v>98</v>
      </c>
      <c r="C213" s="8" t="s">
        <v>616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395</v>
      </c>
      <c r="B214" s="8" t="s">
        <v>98</v>
      </c>
      <c r="C214" s="8" t="s">
        <v>617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395</v>
      </c>
      <c r="B215" s="8" t="s">
        <v>98</v>
      </c>
      <c r="C215" s="8" t="s">
        <v>618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395</v>
      </c>
      <c r="B216" s="8" t="s">
        <v>98</v>
      </c>
      <c r="C216" s="8" t="s">
        <v>619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395</v>
      </c>
      <c r="B217" s="8" t="s">
        <v>98</v>
      </c>
      <c r="C217" s="8" t="s">
        <v>620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395</v>
      </c>
      <c r="B218" s="8" t="s">
        <v>100</v>
      </c>
      <c r="C218" s="8" t="s">
        <v>621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395</v>
      </c>
      <c r="B219" s="8" t="s">
        <v>100</v>
      </c>
      <c r="C219" s="8" t="s">
        <v>622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395</v>
      </c>
      <c r="B220" s="8" t="s">
        <v>100</v>
      </c>
      <c r="C220" s="8" t="s">
        <v>623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395</v>
      </c>
      <c r="B221" s="8" t="s">
        <v>100</v>
      </c>
      <c r="C221" s="8" t="s">
        <v>624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395</v>
      </c>
      <c r="B222" s="8" t="s">
        <v>67</v>
      </c>
      <c r="C222" s="8" t="s">
        <v>625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395</v>
      </c>
      <c r="B223" s="8" t="s">
        <v>67</v>
      </c>
      <c r="C223" s="8" t="s">
        <v>626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395</v>
      </c>
      <c r="B224" s="8" t="s">
        <v>67</v>
      </c>
      <c r="C224" s="8" t="s">
        <v>627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395</v>
      </c>
      <c r="B225" s="8" t="s">
        <v>67</v>
      </c>
      <c r="C225" s="8" t="s">
        <v>628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395</v>
      </c>
      <c r="B226" s="8" t="s">
        <v>112</v>
      </c>
      <c r="C226" s="8" t="s">
        <v>629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395</v>
      </c>
      <c r="B227" s="8" t="s">
        <v>112</v>
      </c>
      <c r="C227" s="8" t="s">
        <v>630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395</v>
      </c>
      <c r="B228" s="8" t="s">
        <v>112</v>
      </c>
      <c r="C228" s="8" t="s">
        <v>631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395</v>
      </c>
      <c r="B229" s="8" t="s">
        <v>112</v>
      </c>
      <c r="C229" s="8" t="s">
        <v>632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395</v>
      </c>
      <c r="B230" s="8" t="s">
        <v>112</v>
      </c>
      <c r="C230" s="8" t="s">
        <v>633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395</v>
      </c>
      <c r="B231" s="8" t="s">
        <v>112</v>
      </c>
      <c r="C231" s="8" t="s">
        <v>634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395</v>
      </c>
      <c r="B232" s="8" t="s">
        <v>119</v>
      </c>
      <c r="C232" s="8" t="s">
        <v>635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395</v>
      </c>
      <c r="B233" s="8" t="s">
        <v>203</v>
      </c>
      <c r="C233" s="8" t="s">
        <v>636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395</v>
      </c>
      <c r="B234" s="8" t="s">
        <v>87</v>
      </c>
      <c r="C234" s="8" t="s">
        <v>637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395</v>
      </c>
      <c r="B235" s="8" t="s">
        <v>87</v>
      </c>
      <c r="C235" s="8" t="s">
        <v>638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395</v>
      </c>
      <c r="B236" s="8" t="s">
        <v>87</v>
      </c>
      <c r="C236" s="8" t="s">
        <v>639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395</v>
      </c>
      <c r="B237" s="8" t="s">
        <v>87</v>
      </c>
      <c r="C237" s="8" t="s">
        <v>640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395</v>
      </c>
      <c r="B238" s="8" t="s">
        <v>87</v>
      </c>
      <c r="C238" s="8" t="s">
        <v>641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395</v>
      </c>
      <c r="B239" s="8" t="s">
        <v>87</v>
      </c>
      <c r="C239" s="8" t="s">
        <v>642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395</v>
      </c>
      <c r="B240" s="8" t="s">
        <v>115</v>
      </c>
      <c r="C240" s="8" t="s">
        <v>643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395</v>
      </c>
      <c r="B241" s="8" t="s">
        <v>115</v>
      </c>
      <c r="C241" s="8" t="s">
        <v>644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395</v>
      </c>
      <c r="B242" s="8" t="s">
        <v>115</v>
      </c>
      <c r="C242" s="8" t="s">
        <v>645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395</v>
      </c>
      <c r="B243" s="8" t="s">
        <v>164</v>
      </c>
      <c r="C243" s="8" t="s">
        <v>646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395</v>
      </c>
      <c r="B244" s="8" t="s">
        <v>284</v>
      </c>
      <c r="C244" s="8" t="s">
        <v>947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395</v>
      </c>
      <c r="B245" s="8" t="s">
        <v>198</v>
      </c>
      <c r="C245" s="8" t="s">
        <v>651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395</v>
      </c>
      <c r="B246" s="8" t="s">
        <v>253</v>
      </c>
      <c r="C246" s="8" t="s">
        <v>655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395</v>
      </c>
      <c r="B247" s="8" t="s">
        <v>253</v>
      </c>
      <c r="C247" s="8" t="s">
        <v>656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395</v>
      </c>
      <c r="B248" s="8" t="s">
        <v>253</v>
      </c>
      <c r="C248" s="8" t="s">
        <v>657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395</v>
      </c>
      <c r="B249" s="8" t="s">
        <v>200</v>
      </c>
      <c r="C249" s="8" t="s">
        <v>660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395</v>
      </c>
      <c r="B250" s="8" t="s">
        <v>248</v>
      </c>
      <c r="C250" s="8" t="s">
        <v>662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395</v>
      </c>
      <c r="B251" s="8" t="s">
        <v>227</v>
      </c>
      <c r="C251" s="8" t="s">
        <v>663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395</v>
      </c>
      <c r="B252" s="8" t="s">
        <v>227</v>
      </c>
      <c r="C252" s="8" t="s">
        <v>664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395</v>
      </c>
      <c r="B253" s="8" t="s">
        <v>227</v>
      </c>
      <c r="C253" s="8" t="s">
        <v>665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395</v>
      </c>
      <c r="B254" s="8" t="s">
        <v>364</v>
      </c>
      <c r="C254" s="8" t="s">
        <v>948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395</v>
      </c>
      <c r="B255" s="8" t="s">
        <v>246</v>
      </c>
      <c r="C255" s="8" t="s">
        <v>666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395</v>
      </c>
      <c r="B256" s="8" t="s">
        <v>246</v>
      </c>
      <c r="C256" s="8" t="s">
        <v>667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395</v>
      </c>
      <c r="B257" s="8" t="s">
        <v>246</v>
      </c>
      <c r="C257" s="8" t="s">
        <v>668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395</v>
      </c>
      <c r="B258" s="8" t="s">
        <v>246</v>
      </c>
      <c r="C258" s="8" t="s">
        <v>669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395</v>
      </c>
      <c r="B259" s="8" t="s">
        <v>246</v>
      </c>
      <c r="C259" s="8" t="s">
        <v>670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395</v>
      </c>
      <c r="B260" s="8" t="s">
        <v>308</v>
      </c>
      <c r="C260" s="8" t="s">
        <v>671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395</v>
      </c>
      <c r="B261" s="8" t="s">
        <v>231</v>
      </c>
      <c r="C261" s="8" t="s">
        <v>676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395</v>
      </c>
      <c r="B262" s="8" t="s">
        <v>301</v>
      </c>
      <c r="C262" s="8" t="s">
        <v>949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395</v>
      </c>
      <c r="B263" s="8" t="s">
        <v>288</v>
      </c>
      <c r="C263" s="8" t="s">
        <v>680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395</v>
      </c>
      <c r="B264" s="8" t="s">
        <v>288</v>
      </c>
      <c r="C264" s="8" t="s">
        <v>681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395</v>
      </c>
      <c r="B265" s="8" t="s">
        <v>288</v>
      </c>
      <c r="C265" s="8" t="s">
        <v>682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395</v>
      </c>
      <c r="B266" s="8" t="s">
        <v>328</v>
      </c>
      <c r="C266" s="8" t="s">
        <v>686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395</v>
      </c>
      <c r="B267" s="8" t="s">
        <v>328</v>
      </c>
      <c r="C267" s="8" t="s">
        <v>687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395</v>
      </c>
      <c r="B268" s="8" t="s">
        <v>87</v>
      </c>
      <c r="C268" s="8" t="s">
        <v>688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395</v>
      </c>
      <c r="B269" s="8" t="s">
        <v>248</v>
      </c>
      <c r="C269" s="8" t="s">
        <v>689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395</v>
      </c>
      <c r="B270" s="8" t="s">
        <v>244</v>
      </c>
      <c r="C270" s="8" t="s">
        <v>690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395</v>
      </c>
      <c r="B271" s="8" t="s">
        <v>158</v>
      </c>
      <c r="C271" s="8" t="s">
        <v>691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395</v>
      </c>
      <c r="B272" s="8" t="s">
        <v>205</v>
      </c>
      <c r="C272" s="8" t="s">
        <v>693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395</v>
      </c>
      <c r="B273" s="8" t="s">
        <v>130</v>
      </c>
      <c r="C273" s="8" t="s">
        <v>694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395</v>
      </c>
      <c r="B274" s="8" t="s">
        <v>122</v>
      </c>
      <c r="C274" s="8" t="s">
        <v>695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395</v>
      </c>
      <c r="B275" s="8" t="s">
        <v>297</v>
      </c>
      <c r="C275" s="8" t="s">
        <v>696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395</v>
      </c>
      <c r="B276" s="8" t="s">
        <v>136</v>
      </c>
      <c r="C276" s="8" t="s">
        <v>697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395</v>
      </c>
      <c r="B277" s="8" t="s">
        <v>76</v>
      </c>
      <c r="C277" s="8" t="s">
        <v>698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395</v>
      </c>
      <c r="B278" s="8" t="s">
        <v>225</v>
      </c>
      <c r="C278" s="8" t="s">
        <v>699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395</v>
      </c>
      <c r="B279" s="8" t="s">
        <v>85</v>
      </c>
      <c r="C279" s="8" t="s">
        <v>704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395</v>
      </c>
      <c r="B280" s="8" t="s">
        <v>61</v>
      </c>
      <c r="C280" s="8" t="s">
        <v>705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395</v>
      </c>
      <c r="B281" s="8" t="s">
        <v>61</v>
      </c>
      <c r="C281" s="8" t="s">
        <v>706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395</v>
      </c>
      <c r="B282" s="8" t="s">
        <v>61</v>
      </c>
      <c r="C282" s="8" t="s">
        <v>707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395</v>
      </c>
      <c r="B283" s="8" t="s">
        <v>61</v>
      </c>
      <c r="C283" s="8" t="s">
        <v>708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395</v>
      </c>
      <c r="B284" s="8" t="s">
        <v>61</v>
      </c>
      <c r="C284" s="8" t="s">
        <v>709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395</v>
      </c>
      <c r="B285" s="8" t="s">
        <v>65</v>
      </c>
      <c r="C285" s="8" t="s">
        <v>710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395</v>
      </c>
      <c r="B286" s="8" t="s">
        <v>65</v>
      </c>
      <c r="C286" s="8" t="s">
        <v>711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395</v>
      </c>
      <c r="B287" s="8" t="s">
        <v>65</v>
      </c>
      <c r="C287" s="8" t="s">
        <v>712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395</v>
      </c>
      <c r="B288" s="8" t="s">
        <v>65</v>
      </c>
      <c r="C288" s="8" t="s">
        <v>713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395</v>
      </c>
      <c r="B289" s="8" t="s">
        <v>266</v>
      </c>
      <c r="C289" s="8" t="s">
        <v>950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395</v>
      </c>
      <c r="B290" s="8" t="s">
        <v>257</v>
      </c>
      <c r="C290" s="8" t="s">
        <v>715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395</v>
      </c>
      <c r="B291" s="8" t="s">
        <v>277</v>
      </c>
      <c r="C291" s="8" t="s">
        <v>716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395</v>
      </c>
      <c r="B292" s="8" t="s">
        <v>92</v>
      </c>
      <c r="C292" s="8" t="s">
        <v>717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395</v>
      </c>
      <c r="B293" s="8" t="s">
        <v>111</v>
      </c>
      <c r="C293" s="8" t="s">
        <v>718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395</v>
      </c>
      <c r="B294" s="8" t="s">
        <v>95</v>
      </c>
      <c r="C294" s="8" t="s">
        <v>719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395</v>
      </c>
      <c r="B295" s="8" t="s">
        <v>267</v>
      </c>
      <c r="C295" s="8" t="s">
        <v>721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395</v>
      </c>
      <c r="B296" s="8" t="s">
        <v>238</v>
      </c>
      <c r="C296" s="8" t="s">
        <v>722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395</v>
      </c>
      <c r="B297" s="8" t="s">
        <v>238</v>
      </c>
      <c r="C297" s="8" t="s">
        <v>723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395</v>
      </c>
      <c r="B298" s="8" t="s">
        <v>238</v>
      </c>
      <c r="C298" s="8" t="s">
        <v>721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395</v>
      </c>
      <c r="B299" s="8" t="s">
        <v>171</v>
      </c>
      <c r="C299" s="8" t="s">
        <v>724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395</v>
      </c>
      <c r="B300" s="8" t="s">
        <v>171</v>
      </c>
      <c r="C300" s="8" t="s">
        <v>725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395</v>
      </c>
      <c r="B301" s="8" t="s">
        <v>142</v>
      </c>
      <c r="C301" s="8" t="s">
        <v>724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395</v>
      </c>
      <c r="B302" s="8" t="s">
        <v>142</v>
      </c>
      <c r="C302" s="8" t="s">
        <v>725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395</v>
      </c>
      <c r="B303" s="8" t="s">
        <v>204</v>
      </c>
      <c r="C303" s="8" t="s">
        <v>726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395</v>
      </c>
      <c r="B304" s="8" t="s">
        <v>241</v>
      </c>
      <c r="C304" s="8" t="s">
        <v>951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395</v>
      </c>
      <c r="B305" s="8" t="s">
        <v>369</v>
      </c>
      <c r="C305" s="8" t="s">
        <v>952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395</v>
      </c>
      <c r="B306" s="8" t="s">
        <v>60</v>
      </c>
      <c r="C306" s="8" t="s">
        <v>733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395</v>
      </c>
      <c r="B307" s="8" t="s">
        <v>60</v>
      </c>
      <c r="C307" s="8" t="s">
        <v>734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395</v>
      </c>
      <c r="B308" s="8" t="s">
        <v>60</v>
      </c>
      <c r="C308" s="8" t="s">
        <v>735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395</v>
      </c>
      <c r="B309" s="8" t="s">
        <v>99</v>
      </c>
      <c r="C309" s="8" t="s">
        <v>736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395</v>
      </c>
      <c r="B310" s="8" t="s">
        <v>99</v>
      </c>
      <c r="C310" s="8" t="s">
        <v>737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395</v>
      </c>
      <c r="B311" s="8" t="s">
        <v>99</v>
      </c>
      <c r="C311" s="8" t="s">
        <v>738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395</v>
      </c>
      <c r="B312" s="8" t="s">
        <v>156</v>
      </c>
      <c r="C312" s="8" t="s">
        <v>636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395</v>
      </c>
      <c r="B313" s="8" t="s">
        <v>62</v>
      </c>
      <c r="C313" s="8" t="s">
        <v>741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395</v>
      </c>
      <c r="B314" s="8" t="s">
        <v>62</v>
      </c>
      <c r="C314" s="8" t="s">
        <v>742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395</v>
      </c>
      <c r="B315" s="8" t="s">
        <v>62</v>
      </c>
      <c r="C315" s="8" t="s">
        <v>743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395</v>
      </c>
      <c r="B316" s="8" t="s">
        <v>62</v>
      </c>
      <c r="C316" s="8" t="s">
        <v>744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395</v>
      </c>
      <c r="B317" s="8" t="s">
        <v>336</v>
      </c>
      <c r="C317" s="8" t="s">
        <v>746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395</v>
      </c>
      <c r="B318" s="8" t="s">
        <v>91</v>
      </c>
      <c r="C318" s="8" t="s">
        <v>751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395</v>
      </c>
      <c r="B319" s="8" t="s">
        <v>217</v>
      </c>
      <c r="C319" s="8" t="s">
        <v>752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395</v>
      </c>
      <c r="B320" s="8" t="s">
        <v>183</v>
      </c>
      <c r="C320" s="8" t="s">
        <v>753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395</v>
      </c>
      <c r="B321" s="8" t="s">
        <v>213</v>
      </c>
      <c r="C321" s="8" t="s">
        <v>754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395</v>
      </c>
      <c r="B322" s="8" t="s">
        <v>124</v>
      </c>
      <c r="C322" s="8" t="s">
        <v>755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395</v>
      </c>
      <c r="B323" s="8" t="s">
        <v>178</v>
      </c>
      <c r="C323" s="8" t="s">
        <v>756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395</v>
      </c>
      <c r="B324" s="8" t="s">
        <v>212</v>
      </c>
      <c r="C324" s="8" t="s">
        <v>757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395</v>
      </c>
      <c r="B325" s="8" t="s">
        <v>212</v>
      </c>
      <c r="C325" s="8" t="s">
        <v>758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395</v>
      </c>
      <c r="B326" s="8" t="s">
        <v>212</v>
      </c>
      <c r="C326" s="8" t="s">
        <v>759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395</v>
      </c>
      <c r="B327" s="8" t="s">
        <v>212</v>
      </c>
      <c r="C327" s="8" t="s">
        <v>761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395</v>
      </c>
      <c r="B328" s="8" t="s">
        <v>212</v>
      </c>
      <c r="C328" s="8" t="s">
        <v>953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395</v>
      </c>
      <c r="B329" s="8" t="s">
        <v>212</v>
      </c>
      <c r="C329" s="8" t="s">
        <v>762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395</v>
      </c>
      <c r="B330" s="8" t="s">
        <v>212</v>
      </c>
      <c r="C330" s="8" t="s">
        <v>764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395</v>
      </c>
      <c r="B331" s="8" t="s">
        <v>212</v>
      </c>
      <c r="C331" s="8" t="s">
        <v>767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395</v>
      </c>
      <c r="B332" s="8" t="s">
        <v>263</v>
      </c>
      <c r="C332" s="8" t="s">
        <v>768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395</v>
      </c>
      <c r="B333" s="8" t="s">
        <v>185</v>
      </c>
      <c r="C333" s="8" t="s">
        <v>769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395</v>
      </c>
      <c r="B334" s="8" t="s">
        <v>305</v>
      </c>
      <c r="C334" s="8" t="s">
        <v>770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395</v>
      </c>
      <c r="B335" s="8" t="s">
        <v>341</v>
      </c>
      <c r="C335" s="8" t="s">
        <v>771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395</v>
      </c>
      <c r="B336" s="8" t="s">
        <v>372</v>
      </c>
      <c r="C336" s="8" t="s">
        <v>773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395</v>
      </c>
      <c r="B337" s="8" t="s">
        <v>334</v>
      </c>
      <c r="C337" s="8" t="s">
        <v>774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395</v>
      </c>
      <c r="B338" s="8" t="s">
        <v>276</v>
      </c>
      <c r="C338" s="8" t="s">
        <v>775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395</v>
      </c>
      <c r="B339" s="8" t="s">
        <v>235</v>
      </c>
      <c r="C339" s="8" t="s">
        <v>776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395</v>
      </c>
      <c r="B340" s="8" t="s">
        <v>201</v>
      </c>
      <c r="C340" s="8" t="s">
        <v>777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395</v>
      </c>
      <c r="B341" s="8" t="s">
        <v>73</v>
      </c>
      <c r="C341" s="8" t="s">
        <v>778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395</v>
      </c>
      <c r="B342" s="8" t="s">
        <v>120</v>
      </c>
      <c r="C342" s="8" t="s">
        <v>779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395</v>
      </c>
      <c r="B343" s="8" t="s">
        <v>319</v>
      </c>
      <c r="C343" s="8" t="s">
        <v>780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395</v>
      </c>
      <c r="B344" s="8" t="s">
        <v>96</v>
      </c>
      <c r="C344" s="8" t="s">
        <v>782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395</v>
      </c>
      <c r="B345" s="8" t="s">
        <v>96</v>
      </c>
      <c r="C345" s="8" t="s">
        <v>783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395</v>
      </c>
      <c r="B346" s="8" t="s">
        <v>96</v>
      </c>
      <c r="C346" s="8" t="s">
        <v>784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395</v>
      </c>
      <c r="B347" s="8" t="s">
        <v>96</v>
      </c>
      <c r="C347" s="8" t="s">
        <v>785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395</v>
      </c>
      <c r="B348" s="8" t="s">
        <v>96</v>
      </c>
      <c r="C348" s="8" t="s">
        <v>786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395</v>
      </c>
      <c r="B349" s="8" t="s">
        <v>64</v>
      </c>
      <c r="C349" s="8" t="s">
        <v>787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395</v>
      </c>
      <c r="B350" s="8" t="s">
        <v>161</v>
      </c>
      <c r="C350" s="8" t="s">
        <v>719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395</v>
      </c>
      <c r="B351" s="8" t="s">
        <v>55</v>
      </c>
      <c r="C351" s="8" t="s">
        <v>788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395</v>
      </c>
      <c r="B352" s="8" t="s">
        <v>55</v>
      </c>
      <c r="C352" s="8" t="s">
        <v>789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395</v>
      </c>
      <c r="B353" s="8" t="s">
        <v>55</v>
      </c>
      <c r="C353" s="8" t="s">
        <v>790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395</v>
      </c>
      <c r="B354" s="8" t="s">
        <v>313</v>
      </c>
      <c r="C354" s="8" t="s">
        <v>791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395</v>
      </c>
      <c r="B355" s="8" t="s">
        <v>329</v>
      </c>
      <c r="C355" s="8" t="s">
        <v>792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395</v>
      </c>
      <c r="B356" s="8" t="s">
        <v>325</v>
      </c>
      <c r="C356" s="8" t="s">
        <v>792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395</v>
      </c>
      <c r="B357" s="8" t="s">
        <v>207</v>
      </c>
      <c r="C357" s="8" t="s">
        <v>792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395</v>
      </c>
      <c r="B358" s="8" t="s">
        <v>149</v>
      </c>
      <c r="C358" s="8" t="s">
        <v>793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395</v>
      </c>
      <c r="B359" s="8" t="s">
        <v>151</v>
      </c>
      <c r="C359" s="8" t="s">
        <v>793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395</v>
      </c>
      <c r="B360" s="8" t="s">
        <v>360</v>
      </c>
      <c r="C360" s="8" t="s">
        <v>794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395</v>
      </c>
      <c r="B361" s="8" t="s">
        <v>251</v>
      </c>
      <c r="C361" s="8" t="s">
        <v>795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395</v>
      </c>
      <c r="B362" s="8" t="s">
        <v>275</v>
      </c>
      <c r="C362" s="8" t="s">
        <v>795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395</v>
      </c>
      <c r="B363" s="8" t="s">
        <v>303</v>
      </c>
      <c r="C363" s="8" t="s">
        <v>795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395</v>
      </c>
      <c r="B364" s="8" t="s">
        <v>279</v>
      </c>
      <c r="C364" s="8" t="s">
        <v>796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395</v>
      </c>
      <c r="B365" s="8" t="s">
        <v>216</v>
      </c>
      <c r="C365" s="8" t="s">
        <v>797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395</v>
      </c>
      <c r="B366" s="8" t="s">
        <v>300</v>
      </c>
      <c r="C366" s="8" t="s">
        <v>798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395</v>
      </c>
      <c r="B367" s="8" t="s">
        <v>254</v>
      </c>
      <c r="C367" s="8" t="s">
        <v>954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395</v>
      </c>
      <c r="B368" s="8" t="s">
        <v>298</v>
      </c>
      <c r="C368" s="8" t="s">
        <v>797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395</v>
      </c>
      <c r="B369" s="8" t="s">
        <v>152</v>
      </c>
      <c r="C369" s="8" t="s">
        <v>799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395</v>
      </c>
      <c r="B370" s="8" t="s">
        <v>152</v>
      </c>
      <c r="C370" s="8" t="s">
        <v>800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395</v>
      </c>
      <c r="B371" s="8" t="s">
        <v>152</v>
      </c>
      <c r="C371" s="8" t="s">
        <v>801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395</v>
      </c>
      <c r="B372" s="8" t="s">
        <v>273</v>
      </c>
      <c r="C372" s="8" t="s">
        <v>803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395</v>
      </c>
      <c r="B373" s="8" t="s">
        <v>273</v>
      </c>
      <c r="C373" s="8" t="s">
        <v>804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395</v>
      </c>
      <c r="B374" s="8" t="s">
        <v>273</v>
      </c>
      <c r="C374" s="8" t="s">
        <v>805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395</v>
      </c>
      <c r="B375" s="8" t="s">
        <v>371</v>
      </c>
      <c r="C375" s="8" t="s">
        <v>955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395</v>
      </c>
      <c r="B376" s="8" t="s">
        <v>148</v>
      </c>
      <c r="C376" s="8" t="s">
        <v>806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395</v>
      </c>
      <c r="B377" s="8" t="s">
        <v>330</v>
      </c>
      <c r="C377" s="8" t="s">
        <v>807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395</v>
      </c>
      <c r="B378" s="8" t="s">
        <v>224</v>
      </c>
      <c r="C378" s="8" t="s">
        <v>807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395</v>
      </c>
      <c r="B379" s="8" t="s">
        <v>332</v>
      </c>
      <c r="C379" s="8" t="s">
        <v>807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395</v>
      </c>
      <c r="B380" s="8" t="s">
        <v>245</v>
      </c>
      <c r="C380" s="8" t="s">
        <v>807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395</v>
      </c>
      <c r="B381" s="8" t="s">
        <v>93</v>
      </c>
      <c r="C381" s="8" t="s">
        <v>808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395</v>
      </c>
      <c r="B382" s="8" t="s">
        <v>83</v>
      </c>
      <c r="C382" s="8" t="s">
        <v>808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395</v>
      </c>
      <c r="B383" s="8" t="s">
        <v>94</v>
      </c>
      <c r="C383" s="8" t="s">
        <v>808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395</v>
      </c>
      <c r="B384" s="8" t="s">
        <v>102</v>
      </c>
      <c r="C384" s="8" t="s">
        <v>808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395</v>
      </c>
      <c r="B385" s="8" t="s">
        <v>60</v>
      </c>
      <c r="C385" s="8" t="s">
        <v>809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395</v>
      </c>
      <c r="B386" s="8" t="s">
        <v>57</v>
      </c>
      <c r="C386" s="8" t="s">
        <v>810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395</v>
      </c>
      <c r="B387" s="8" t="s">
        <v>89</v>
      </c>
      <c r="C387" s="8" t="s">
        <v>811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395</v>
      </c>
      <c r="B388" s="8" t="s">
        <v>89</v>
      </c>
      <c r="C388" s="8" t="s">
        <v>812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395</v>
      </c>
      <c r="B389" s="8" t="s">
        <v>89</v>
      </c>
      <c r="C389" s="8" t="s">
        <v>813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395</v>
      </c>
      <c r="B390" s="8" t="s">
        <v>89</v>
      </c>
      <c r="C390" s="8" t="s">
        <v>814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395</v>
      </c>
      <c r="B391" s="8" t="s">
        <v>89</v>
      </c>
      <c r="C391" s="8" t="s">
        <v>815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395</v>
      </c>
      <c r="B392" s="8" t="s">
        <v>89</v>
      </c>
      <c r="C392" s="8" t="s">
        <v>816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395</v>
      </c>
      <c r="B393" s="8" t="s">
        <v>103</v>
      </c>
      <c r="C393" s="8" t="s">
        <v>817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395</v>
      </c>
      <c r="B394" s="8" t="s">
        <v>282</v>
      </c>
      <c r="C394" s="8" t="s">
        <v>818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395</v>
      </c>
      <c r="B395" s="8" t="s">
        <v>57</v>
      </c>
      <c r="C395" s="8" t="s">
        <v>819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395</v>
      </c>
      <c r="B396" s="8" t="s">
        <v>170</v>
      </c>
      <c r="C396" s="8" t="s">
        <v>820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395</v>
      </c>
      <c r="B397" s="8" t="s">
        <v>170</v>
      </c>
      <c r="C397" s="8" t="s">
        <v>821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395</v>
      </c>
      <c r="B398" s="8" t="s">
        <v>170</v>
      </c>
      <c r="C398" s="8" t="s">
        <v>822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395</v>
      </c>
      <c r="B399" s="8" t="s">
        <v>170</v>
      </c>
      <c r="C399" s="8" t="s">
        <v>823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395</v>
      </c>
      <c r="B400" s="8" t="s">
        <v>170</v>
      </c>
      <c r="C400" s="8" t="s">
        <v>824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395</v>
      </c>
      <c r="B401" s="8" t="s">
        <v>54</v>
      </c>
      <c r="C401" s="8" t="s">
        <v>825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395</v>
      </c>
      <c r="B402" s="8" t="s">
        <v>286</v>
      </c>
      <c r="C402" s="8" t="s">
        <v>826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395</v>
      </c>
      <c r="B403" s="8" t="s">
        <v>193</v>
      </c>
      <c r="C403" s="8" t="s">
        <v>827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395</v>
      </c>
      <c r="B404" s="8" t="s">
        <v>226</v>
      </c>
      <c r="C404" s="8" t="s">
        <v>827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395</v>
      </c>
      <c r="B405" s="8" t="s">
        <v>169</v>
      </c>
      <c r="C405" s="8" t="s">
        <v>827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395</v>
      </c>
      <c r="B406" s="8" t="s">
        <v>175</v>
      </c>
      <c r="C406" s="8" t="s">
        <v>827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395</v>
      </c>
      <c r="B407" s="8" t="s">
        <v>110</v>
      </c>
      <c r="C407" s="8" t="s">
        <v>828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395</v>
      </c>
      <c r="B408" s="8" t="s">
        <v>222</v>
      </c>
      <c r="C408" s="8" t="s">
        <v>829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395</v>
      </c>
      <c r="B409" s="8" t="s">
        <v>312</v>
      </c>
      <c r="C409" s="8" t="s">
        <v>830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395</v>
      </c>
      <c r="B410" s="8" t="s">
        <v>335</v>
      </c>
      <c r="C410" s="8" t="s">
        <v>830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395</v>
      </c>
      <c r="B411" s="8" t="s">
        <v>302</v>
      </c>
      <c r="C411" s="8" t="s">
        <v>830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395</v>
      </c>
      <c r="B412" s="8" t="s">
        <v>304</v>
      </c>
      <c r="C412" s="8" t="s">
        <v>830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395</v>
      </c>
      <c r="B413" s="8" t="s">
        <v>162</v>
      </c>
      <c r="C413" s="8" t="s">
        <v>831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395</v>
      </c>
      <c r="B414" s="8" t="s">
        <v>105</v>
      </c>
      <c r="C414" s="8" t="s">
        <v>832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395</v>
      </c>
      <c r="B415" s="8" t="s">
        <v>121</v>
      </c>
      <c r="C415" s="8" t="s">
        <v>832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395</v>
      </c>
      <c r="B416" s="8" t="s">
        <v>133</v>
      </c>
      <c r="C416" s="8" t="s">
        <v>832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395</v>
      </c>
      <c r="B417" s="8" t="s">
        <v>132</v>
      </c>
      <c r="C417" s="8" t="s">
        <v>832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395</v>
      </c>
      <c r="B418" s="8" t="s">
        <v>141</v>
      </c>
      <c r="C418" s="8" t="s">
        <v>833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395</v>
      </c>
      <c r="B419" s="8" t="s">
        <v>141</v>
      </c>
      <c r="C419" s="8" t="s">
        <v>834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395</v>
      </c>
      <c r="B420" s="8" t="s">
        <v>141</v>
      </c>
      <c r="C420" s="8" t="s">
        <v>835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395</v>
      </c>
      <c r="B421" s="8" t="s">
        <v>141</v>
      </c>
      <c r="C421" s="8" t="s">
        <v>836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395</v>
      </c>
      <c r="B422" s="8" t="s">
        <v>234</v>
      </c>
      <c r="C422" s="8" t="s">
        <v>837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395</v>
      </c>
      <c r="B423" s="8" t="s">
        <v>234</v>
      </c>
      <c r="C423" s="8" t="s">
        <v>838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395</v>
      </c>
      <c r="B424" s="8" t="s">
        <v>234</v>
      </c>
      <c r="C424" s="8" t="s">
        <v>839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395</v>
      </c>
      <c r="B425" s="8" t="s">
        <v>234</v>
      </c>
      <c r="C425" s="8" t="s">
        <v>840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395</v>
      </c>
      <c r="B426" s="8" t="s">
        <v>159</v>
      </c>
      <c r="C426" s="8" t="s">
        <v>660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395</v>
      </c>
      <c r="B427" s="8" t="s">
        <v>159</v>
      </c>
      <c r="C427" s="8" t="s">
        <v>659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395</v>
      </c>
      <c r="B428" s="8" t="s">
        <v>159</v>
      </c>
      <c r="C428" s="8" t="s">
        <v>661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395</v>
      </c>
      <c r="B429" s="8" t="s">
        <v>159</v>
      </c>
      <c r="C429" s="8" t="s">
        <v>658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395</v>
      </c>
      <c r="B430" s="8" t="s">
        <v>159</v>
      </c>
      <c r="C430" s="8" t="s">
        <v>841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395</v>
      </c>
      <c r="B431" s="8" t="s">
        <v>287</v>
      </c>
      <c r="C431" s="8" t="s">
        <v>842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395</v>
      </c>
      <c r="B432" s="8" t="s">
        <v>287</v>
      </c>
      <c r="C432" s="8" t="s">
        <v>843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395</v>
      </c>
      <c r="B433" s="8" t="s">
        <v>287</v>
      </c>
      <c r="C433" s="8" t="s">
        <v>844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395</v>
      </c>
      <c r="B434" s="8" t="s">
        <v>287</v>
      </c>
      <c r="C434" s="8" t="s">
        <v>845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395</v>
      </c>
      <c r="B435" s="8" t="s">
        <v>215</v>
      </c>
      <c r="C435" s="8" t="s">
        <v>846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395</v>
      </c>
      <c r="B436" s="8" t="s">
        <v>215</v>
      </c>
      <c r="C436" s="8" t="s">
        <v>847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395</v>
      </c>
      <c r="B437" s="8" t="s">
        <v>215</v>
      </c>
      <c r="C437" s="8" t="s">
        <v>848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395</v>
      </c>
      <c r="B438" s="8" t="s">
        <v>215</v>
      </c>
      <c r="C438" s="8" t="s">
        <v>849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395</v>
      </c>
      <c r="B439" s="8" t="s">
        <v>126</v>
      </c>
      <c r="C439" s="8" t="s">
        <v>851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395</v>
      </c>
      <c r="B440" s="8" t="s">
        <v>126</v>
      </c>
      <c r="C440" s="8" t="s">
        <v>852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395</v>
      </c>
      <c r="B441" s="8" t="s">
        <v>126</v>
      </c>
      <c r="C441" s="8" t="s">
        <v>853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395</v>
      </c>
      <c r="B442" s="8" t="s">
        <v>126</v>
      </c>
      <c r="C442" s="8" t="s">
        <v>854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395</v>
      </c>
      <c r="B443" s="8" t="s">
        <v>126</v>
      </c>
      <c r="C443" s="8" t="s">
        <v>855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395</v>
      </c>
      <c r="B444" s="8" t="s">
        <v>268</v>
      </c>
      <c r="C444" s="8" t="s">
        <v>857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395</v>
      </c>
      <c r="B445" s="8" t="s">
        <v>365</v>
      </c>
      <c r="C445" s="8" t="s">
        <v>956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395</v>
      </c>
      <c r="B446" s="8" t="s">
        <v>344</v>
      </c>
      <c r="C446" s="8" t="s">
        <v>956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395</v>
      </c>
      <c r="B447" s="8" t="s">
        <v>228</v>
      </c>
      <c r="C447" s="8" t="s">
        <v>868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395</v>
      </c>
      <c r="B448" s="8" t="s">
        <v>221</v>
      </c>
      <c r="C448" s="8" t="s">
        <v>868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395</v>
      </c>
      <c r="B449" s="8" t="s">
        <v>229</v>
      </c>
      <c r="C449" s="8" t="s">
        <v>868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395</v>
      </c>
      <c r="B450" s="8" t="s">
        <v>252</v>
      </c>
      <c r="C450" s="8" t="s">
        <v>868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395</v>
      </c>
      <c r="B451" s="8" t="s">
        <v>223</v>
      </c>
      <c r="C451" s="8" t="s">
        <v>869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395</v>
      </c>
      <c r="B452" s="8" t="s">
        <v>219</v>
      </c>
      <c r="C452" s="8" t="s">
        <v>869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395</v>
      </c>
      <c r="B453" s="8" t="s">
        <v>247</v>
      </c>
      <c r="C453" s="8" t="s">
        <v>869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395</v>
      </c>
      <c r="B454" s="8" t="s">
        <v>237</v>
      </c>
      <c r="C454" s="8" t="s">
        <v>869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395</v>
      </c>
      <c r="B455" s="8" t="s">
        <v>140</v>
      </c>
      <c r="C455" s="8" t="s">
        <v>870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395</v>
      </c>
      <c r="B456" s="8" t="s">
        <v>140</v>
      </c>
      <c r="C456" s="8" t="s">
        <v>871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395</v>
      </c>
      <c r="B457" s="8" t="s">
        <v>199</v>
      </c>
      <c r="C457" s="8" t="s">
        <v>957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395</v>
      </c>
      <c r="B458" s="8" t="s">
        <v>199</v>
      </c>
      <c r="C458" s="8" t="s">
        <v>958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395</v>
      </c>
      <c r="B459" s="8" t="s">
        <v>199</v>
      </c>
      <c r="C459" s="8" t="s">
        <v>959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395</v>
      </c>
      <c r="B460" s="8" t="s">
        <v>258</v>
      </c>
      <c r="C460" s="8" t="s">
        <v>872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395</v>
      </c>
      <c r="B461" s="8" t="s">
        <v>71</v>
      </c>
      <c r="C461" s="8" t="s">
        <v>873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395</v>
      </c>
      <c r="B462" s="8" t="s">
        <v>153</v>
      </c>
      <c r="C462" s="8" t="s">
        <v>874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395</v>
      </c>
      <c r="B463" s="8" t="s">
        <v>71</v>
      </c>
      <c r="C463" s="8" t="s">
        <v>875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395</v>
      </c>
      <c r="B464" s="8" t="s">
        <v>74</v>
      </c>
      <c r="C464" s="8" t="s">
        <v>877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395</v>
      </c>
      <c r="B465" s="8" t="s">
        <v>74</v>
      </c>
      <c r="C465" s="8" t="s">
        <v>878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395</v>
      </c>
      <c r="B466" s="8" t="s">
        <v>74</v>
      </c>
      <c r="C466" s="8" t="s">
        <v>879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395</v>
      </c>
      <c r="B467" s="8" t="s">
        <v>74</v>
      </c>
      <c r="C467" s="8" t="s">
        <v>880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395</v>
      </c>
      <c r="B468" s="8" t="s">
        <v>74</v>
      </c>
      <c r="C468" s="8" t="s">
        <v>881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395</v>
      </c>
      <c r="B469" s="8" t="s">
        <v>66</v>
      </c>
      <c r="C469" s="8" t="s">
        <v>882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395</v>
      </c>
      <c r="B470" s="8" t="s">
        <v>66</v>
      </c>
      <c r="C470" s="8" t="s">
        <v>883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395</v>
      </c>
      <c r="B471" s="8" t="s">
        <v>66</v>
      </c>
      <c r="C471" s="8" t="s">
        <v>884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395</v>
      </c>
      <c r="B472" s="8" t="s">
        <v>66</v>
      </c>
      <c r="C472" s="8" t="s">
        <v>885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395</v>
      </c>
      <c r="B473" s="8" t="s">
        <v>66</v>
      </c>
      <c r="C473" s="8" t="s">
        <v>886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395</v>
      </c>
      <c r="B474" s="8" t="s">
        <v>118</v>
      </c>
      <c r="C474" s="8" t="s">
        <v>887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395</v>
      </c>
      <c r="B475" s="8" t="s">
        <v>118</v>
      </c>
      <c r="C475" s="8" t="s">
        <v>888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395</v>
      </c>
      <c r="B476" s="8" t="s">
        <v>118</v>
      </c>
      <c r="C476" s="8" t="s">
        <v>889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395</v>
      </c>
      <c r="B477" s="8" t="s">
        <v>118</v>
      </c>
      <c r="C477" s="8" t="s">
        <v>890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395</v>
      </c>
      <c r="B478" s="8" t="s">
        <v>118</v>
      </c>
      <c r="C478" s="8" t="s">
        <v>891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395</v>
      </c>
      <c r="B479" s="8" t="s">
        <v>290</v>
      </c>
      <c r="C479" s="8" t="s">
        <v>892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395</v>
      </c>
      <c r="B480" s="8" t="s">
        <v>321</v>
      </c>
      <c r="C480" s="8" t="s">
        <v>893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395</v>
      </c>
      <c r="B481" s="8" t="s">
        <v>274</v>
      </c>
      <c r="C481" s="8" t="s">
        <v>894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395</v>
      </c>
      <c r="B482" s="8" t="s">
        <v>176</v>
      </c>
      <c r="C482" s="8" t="s">
        <v>895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395</v>
      </c>
      <c r="B483" s="8" t="s">
        <v>260</v>
      </c>
      <c r="C483" s="8" t="s">
        <v>896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395</v>
      </c>
      <c r="B484" s="8" t="s">
        <v>189</v>
      </c>
      <c r="C484" s="8" t="s">
        <v>897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395</v>
      </c>
      <c r="B485" s="8" t="s">
        <v>189</v>
      </c>
      <c r="C485" s="8" t="s">
        <v>898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395</v>
      </c>
      <c r="B486" s="8" t="s">
        <v>189</v>
      </c>
      <c r="C486" s="8" t="s">
        <v>899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395</v>
      </c>
      <c r="B487" s="8" t="s">
        <v>189</v>
      </c>
      <c r="C487" s="8" t="s">
        <v>900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395</v>
      </c>
      <c r="B488" s="8" t="s">
        <v>173</v>
      </c>
      <c r="C488" s="8" t="s">
        <v>901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395</v>
      </c>
      <c r="B489" s="8" t="s">
        <v>150</v>
      </c>
      <c r="C489" s="8" t="s">
        <v>902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395</v>
      </c>
      <c r="B490" s="8" t="s">
        <v>139</v>
      </c>
      <c r="C490" s="8" t="s">
        <v>903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395</v>
      </c>
      <c r="B491" s="8" t="s">
        <v>180</v>
      </c>
      <c r="C491" s="8" t="s">
        <v>904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395</v>
      </c>
      <c r="B492" s="8" t="s">
        <v>309</v>
      </c>
      <c r="C492" s="8" t="s">
        <v>905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395</v>
      </c>
      <c r="B493" s="8" t="s">
        <v>310</v>
      </c>
      <c r="C493" s="8" t="s">
        <v>960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395</v>
      </c>
      <c r="B494" s="8" t="s">
        <v>243</v>
      </c>
      <c r="C494" s="8" t="s">
        <v>961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395</v>
      </c>
      <c r="B495" s="8" t="s">
        <v>243</v>
      </c>
      <c r="C495" s="8" t="s">
        <v>906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395</v>
      </c>
      <c r="B496" s="8" t="s">
        <v>243</v>
      </c>
      <c r="C496" s="8" t="s">
        <v>962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395</v>
      </c>
      <c r="B497" s="8" t="s">
        <v>243</v>
      </c>
      <c r="C497" s="8" t="s">
        <v>963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395</v>
      </c>
      <c r="B498" s="8" t="s">
        <v>243</v>
      </c>
      <c r="C498" s="8" t="s">
        <v>964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395</v>
      </c>
      <c r="B499" s="8" t="s">
        <v>79</v>
      </c>
      <c r="C499" s="8" t="s">
        <v>908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395</v>
      </c>
      <c r="B500" s="8" t="s">
        <v>79</v>
      </c>
      <c r="C500" s="8" t="s">
        <v>909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395</v>
      </c>
      <c r="B501" s="8" t="s">
        <v>79</v>
      </c>
      <c r="C501" s="8" t="s">
        <v>910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395</v>
      </c>
      <c r="B502" s="8" t="s">
        <v>79</v>
      </c>
      <c r="C502" s="8" t="s">
        <v>911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395</v>
      </c>
      <c r="B503" s="8" t="s">
        <v>230</v>
      </c>
      <c r="C503" s="8" t="s">
        <v>912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395</v>
      </c>
      <c r="B504" s="8" t="s">
        <v>318</v>
      </c>
      <c r="C504" s="8" t="s">
        <v>912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395</v>
      </c>
      <c r="B505" s="8" t="s">
        <v>230</v>
      </c>
      <c r="C505" s="8" t="s">
        <v>913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395</v>
      </c>
      <c r="B506" s="8" t="s">
        <v>316</v>
      </c>
      <c r="C506" s="8" t="s">
        <v>913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395</v>
      </c>
      <c r="B507" s="8" t="s">
        <v>68</v>
      </c>
      <c r="C507" s="8" t="s">
        <v>914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395</v>
      </c>
      <c r="B508" s="8" t="s">
        <v>125</v>
      </c>
      <c r="C508" s="8" t="s">
        <v>915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395</v>
      </c>
      <c r="B509" s="8" t="s">
        <v>56</v>
      </c>
      <c r="C509" s="8" t="s">
        <v>965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395</v>
      </c>
      <c r="B510" s="8" t="s">
        <v>56</v>
      </c>
      <c r="C510" s="8" t="s">
        <v>966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395</v>
      </c>
      <c r="B511" s="8" t="s">
        <v>56</v>
      </c>
      <c r="C511" s="8" t="s">
        <v>967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395</v>
      </c>
      <c r="B512" s="8" t="s">
        <v>186</v>
      </c>
      <c r="C512" s="8" t="s">
        <v>968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395</v>
      </c>
      <c r="B513" s="8" t="s">
        <v>186</v>
      </c>
      <c r="C513" s="8" t="s">
        <v>969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395</v>
      </c>
      <c r="B514" s="8" t="s">
        <v>86</v>
      </c>
      <c r="C514" s="8" t="s">
        <v>916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395</v>
      </c>
      <c r="B515" s="8" t="s">
        <v>123</v>
      </c>
      <c r="C515" s="8" t="s">
        <v>521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395</v>
      </c>
      <c r="B516" s="8" t="s">
        <v>192</v>
      </c>
      <c r="C516" s="8" t="s">
        <v>917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395</v>
      </c>
      <c r="B517" s="8" t="s">
        <v>380</v>
      </c>
      <c r="C517" s="8" t="s">
        <v>970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395</v>
      </c>
      <c r="B518" s="8" t="s">
        <v>385</v>
      </c>
      <c r="C518" s="8" t="s">
        <v>971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395</v>
      </c>
      <c r="B519" s="8" t="s">
        <v>383</v>
      </c>
      <c r="C519" s="8" t="s">
        <v>972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395</v>
      </c>
      <c r="B520" s="8" t="s">
        <v>387</v>
      </c>
      <c r="C520" s="8" t="s">
        <v>973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395</v>
      </c>
      <c r="B521" s="8" t="s">
        <v>191</v>
      </c>
      <c r="C521" s="8" t="s">
        <v>974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395</v>
      </c>
      <c r="B522" s="8" t="s">
        <v>191</v>
      </c>
      <c r="C522" s="8" t="s">
        <v>975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395</v>
      </c>
      <c r="B523" s="8" t="s">
        <v>191</v>
      </c>
      <c r="C523" s="8" t="s">
        <v>976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395</v>
      </c>
      <c r="B524" s="8" t="s">
        <v>191</v>
      </c>
      <c r="C524" s="8" t="s">
        <v>977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395</v>
      </c>
      <c r="B525" s="8" t="s">
        <v>187</v>
      </c>
      <c r="C525" s="8" t="s">
        <v>978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395</v>
      </c>
      <c r="B526" s="8" t="s">
        <v>233</v>
      </c>
      <c r="C526" s="8" t="s">
        <v>979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395</v>
      </c>
      <c r="B527" s="8" t="s">
        <v>233</v>
      </c>
      <c r="C527" s="8" t="s">
        <v>980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395</v>
      </c>
      <c r="B528" s="8" t="s">
        <v>233</v>
      </c>
      <c r="C528" s="8" t="s">
        <v>981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395</v>
      </c>
      <c r="B529" s="8" t="s">
        <v>262</v>
      </c>
      <c r="C529" s="8" t="s">
        <v>982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395</v>
      </c>
      <c r="B530" s="8" t="s">
        <v>262</v>
      </c>
      <c r="C530" s="8" t="s">
        <v>983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395</v>
      </c>
      <c r="B531" s="8" t="s">
        <v>261</v>
      </c>
      <c r="C531" s="8" t="s">
        <v>984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395</v>
      </c>
      <c r="B532" s="8" t="s">
        <v>127</v>
      </c>
      <c r="C532" s="8" t="s">
        <v>918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395</v>
      </c>
      <c r="B533" s="8" t="s">
        <v>127</v>
      </c>
      <c r="C533" s="8" t="s">
        <v>919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395</v>
      </c>
      <c r="B534" s="8" t="s">
        <v>127</v>
      </c>
      <c r="C534" s="8" t="s">
        <v>920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395</v>
      </c>
      <c r="B535" s="8" t="s">
        <v>264</v>
      </c>
      <c r="C535" s="8" t="s">
        <v>921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395</v>
      </c>
      <c r="B536" s="8" t="s">
        <v>147</v>
      </c>
      <c r="C536" s="8" t="s">
        <v>921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395</v>
      </c>
      <c r="B537" s="8" t="s">
        <v>155</v>
      </c>
      <c r="C537" s="8" t="s">
        <v>921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395</v>
      </c>
      <c r="B538" s="8" t="s">
        <v>264</v>
      </c>
      <c r="C538" s="8" t="s">
        <v>922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395</v>
      </c>
      <c r="B539" s="8" t="s">
        <v>147</v>
      </c>
      <c r="C539" s="8" t="s">
        <v>922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395</v>
      </c>
      <c r="B540" s="8" t="s">
        <v>155</v>
      </c>
      <c r="C540" s="8" t="s">
        <v>922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395</v>
      </c>
      <c r="B541" s="8" t="s">
        <v>382</v>
      </c>
      <c r="C541" s="8" t="s">
        <v>985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395</v>
      </c>
      <c r="B542" s="8" t="s">
        <v>384</v>
      </c>
      <c r="C542" s="8" t="s">
        <v>986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395</v>
      </c>
      <c r="B543" s="8" t="s">
        <v>388</v>
      </c>
      <c r="C543" s="8" t="s">
        <v>696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395</v>
      </c>
      <c r="B544" s="8" t="s">
        <v>172</v>
      </c>
      <c r="C544" s="8" t="s">
        <v>987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395</v>
      </c>
      <c r="B545" s="8" t="s">
        <v>386</v>
      </c>
      <c r="C545" s="8" t="s">
        <v>988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395</v>
      </c>
      <c r="B546" s="8" t="s">
        <v>109</v>
      </c>
      <c r="C546" s="8" t="s">
        <v>924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395</v>
      </c>
      <c r="B547" s="8" t="s">
        <v>109</v>
      </c>
      <c r="C547" s="8" t="s">
        <v>925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395</v>
      </c>
      <c r="B548" s="8" t="s">
        <v>214</v>
      </c>
      <c r="C548" s="8" t="s">
        <v>989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395</v>
      </c>
      <c r="B549" s="8" t="s">
        <v>77</v>
      </c>
      <c r="C549" s="8" t="s">
        <v>926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395</v>
      </c>
      <c r="B550" s="8" t="s">
        <v>59</v>
      </c>
      <c r="C550" s="8" t="s">
        <v>927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395</v>
      </c>
      <c r="B551" s="8" t="s">
        <v>59</v>
      </c>
      <c r="C551" s="8" t="s">
        <v>928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395</v>
      </c>
      <c r="B552" s="8" t="s">
        <v>59</v>
      </c>
      <c r="C552" s="8" t="s">
        <v>929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395</v>
      </c>
      <c r="B553" s="8" t="s">
        <v>59</v>
      </c>
      <c r="C553" s="8" t="s">
        <v>930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395</v>
      </c>
      <c r="B554" s="8" t="s">
        <v>59</v>
      </c>
      <c r="C554" s="8" t="s">
        <v>931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395</v>
      </c>
      <c r="B555" s="8" t="s">
        <v>59</v>
      </c>
      <c r="C555" s="8" t="s">
        <v>990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932</v>
      </c>
      <c r="B556" s="8" t="s">
        <v>107</v>
      </c>
      <c r="C556" s="8" t="s">
        <v>396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932</v>
      </c>
      <c r="B557" s="8" t="s">
        <v>107</v>
      </c>
      <c r="C557" s="8" t="s">
        <v>397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932</v>
      </c>
      <c r="B558" s="8" t="s">
        <v>211</v>
      </c>
      <c r="C558" s="8" t="s">
        <v>398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932</v>
      </c>
      <c r="B559" s="8" t="s">
        <v>250</v>
      </c>
      <c r="C559" s="8" t="s">
        <v>399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932</v>
      </c>
      <c r="B560" s="8" t="s">
        <v>320</v>
      </c>
      <c r="C560" s="8" t="s">
        <v>400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932</v>
      </c>
      <c r="B561" s="8" t="s">
        <v>331</v>
      </c>
      <c r="C561" s="8" t="s">
        <v>401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932</v>
      </c>
      <c r="B562" s="8" t="s">
        <v>317</v>
      </c>
      <c r="C562" s="8" t="s">
        <v>402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932</v>
      </c>
      <c r="B563" s="8" t="s">
        <v>232</v>
      </c>
      <c r="C563" s="8" t="s">
        <v>403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932</v>
      </c>
      <c r="B564" s="8" t="s">
        <v>143</v>
      </c>
      <c r="C564" s="8" t="s">
        <v>404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932</v>
      </c>
      <c r="B565" s="8" t="s">
        <v>381</v>
      </c>
      <c r="C565" s="8" t="s">
        <v>935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932</v>
      </c>
      <c r="B566" s="8" t="s">
        <v>131</v>
      </c>
      <c r="C566" s="8" t="s">
        <v>405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932</v>
      </c>
      <c r="B567" s="8" t="s">
        <v>131</v>
      </c>
      <c r="C567" s="8" t="s">
        <v>406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932</v>
      </c>
      <c r="B568" s="8" t="s">
        <v>131</v>
      </c>
      <c r="C568" s="8" t="s">
        <v>407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932</v>
      </c>
      <c r="B569" s="8" t="s">
        <v>311</v>
      </c>
      <c r="C569" s="8" t="s">
        <v>408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932</v>
      </c>
      <c r="B570" s="8" t="s">
        <v>311</v>
      </c>
      <c r="C570" s="8" t="s">
        <v>409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932</v>
      </c>
      <c r="B571" s="8" t="s">
        <v>239</v>
      </c>
      <c r="C571" s="8" t="s">
        <v>410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932</v>
      </c>
      <c r="B572" s="8" t="s">
        <v>280</v>
      </c>
      <c r="C572" s="8" t="s">
        <v>411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932</v>
      </c>
      <c r="B573" s="8" t="s">
        <v>280</v>
      </c>
      <c r="C573" s="8" t="s">
        <v>412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932</v>
      </c>
      <c r="B574" s="8" t="s">
        <v>280</v>
      </c>
      <c r="C574" s="8" t="s">
        <v>413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932</v>
      </c>
      <c r="B575" s="8" t="s">
        <v>373</v>
      </c>
      <c r="C575" s="8" t="s">
        <v>414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932</v>
      </c>
      <c r="B576" s="8" t="s">
        <v>104</v>
      </c>
      <c r="C576" s="8" t="s">
        <v>405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932</v>
      </c>
      <c r="B577" s="8" t="s">
        <v>104</v>
      </c>
      <c r="C577" s="8" t="s">
        <v>415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932</v>
      </c>
      <c r="B578" s="8" t="s">
        <v>104</v>
      </c>
      <c r="C578" s="8" t="s">
        <v>416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932</v>
      </c>
      <c r="B579" s="8" t="s">
        <v>146</v>
      </c>
      <c r="C579" s="8" t="s">
        <v>417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932</v>
      </c>
      <c r="B580" s="8" t="s">
        <v>146</v>
      </c>
      <c r="C580" s="8" t="s">
        <v>418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932</v>
      </c>
      <c r="B581" s="8" t="s">
        <v>146</v>
      </c>
      <c r="C581" s="8" t="s">
        <v>419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932</v>
      </c>
      <c r="B582" s="8" t="s">
        <v>167</v>
      </c>
      <c r="C582" s="8" t="s">
        <v>420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932</v>
      </c>
      <c r="B583" s="8" t="s">
        <v>167</v>
      </c>
      <c r="C583" s="8" t="s">
        <v>421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932</v>
      </c>
      <c r="B584" s="8" t="s">
        <v>167</v>
      </c>
      <c r="C584" s="8" t="s">
        <v>422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932</v>
      </c>
      <c r="B585" s="8" t="s">
        <v>160</v>
      </c>
      <c r="C585" s="8" t="s">
        <v>428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932</v>
      </c>
      <c r="B586" s="8" t="s">
        <v>160</v>
      </c>
      <c r="C586" s="8" t="s">
        <v>429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932</v>
      </c>
      <c r="B587" s="8" t="s">
        <v>160</v>
      </c>
      <c r="C587" s="8" t="s">
        <v>430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932</v>
      </c>
      <c r="B588" s="8" t="s">
        <v>160</v>
      </c>
      <c r="C588" s="8" t="s">
        <v>431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932</v>
      </c>
      <c r="B589" s="8" t="s">
        <v>129</v>
      </c>
      <c r="C589" s="8" t="s">
        <v>433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932</v>
      </c>
      <c r="B590" s="8" t="s">
        <v>129</v>
      </c>
      <c r="C590" s="8" t="s">
        <v>434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932</v>
      </c>
      <c r="B591" s="8" t="s">
        <v>129</v>
      </c>
      <c r="C591" s="8" t="s">
        <v>435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932</v>
      </c>
      <c r="B592" s="8" t="s">
        <v>129</v>
      </c>
      <c r="C592" s="8" t="s">
        <v>436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932</v>
      </c>
      <c r="B593" s="8" t="s">
        <v>129</v>
      </c>
      <c r="C593" s="8" t="s">
        <v>437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932</v>
      </c>
      <c r="B594" s="8" t="s">
        <v>218</v>
      </c>
      <c r="C594" s="8" t="s">
        <v>439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932</v>
      </c>
      <c r="B595" s="8" t="s">
        <v>218</v>
      </c>
      <c r="C595" s="8" t="s">
        <v>440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932</v>
      </c>
      <c r="B596" s="8" t="s">
        <v>218</v>
      </c>
      <c r="C596" s="8" t="s">
        <v>441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932</v>
      </c>
      <c r="B597" s="8" t="s">
        <v>218</v>
      </c>
      <c r="C597" s="8" t="s">
        <v>442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932</v>
      </c>
      <c r="B598" s="8" t="s">
        <v>218</v>
      </c>
      <c r="C598" s="8" t="s">
        <v>443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932</v>
      </c>
      <c r="B599" s="8" t="s">
        <v>84</v>
      </c>
      <c r="C599" s="8" t="s">
        <v>444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932</v>
      </c>
      <c r="B600" s="8" t="s">
        <v>84</v>
      </c>
      <c r="C600" s="8" t="s">
        <v>445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932</v>
      </c>
      <c r="B601" s="8" t="s">
        <v>84</v>
      </c>
      <c r="C601" s="8" t="s">
        <v>446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932</v>
      </c>
      <c r="B602" s="8" t="s">
        <v>84</v>
      </c>
      <c r="C602" s="8" t="s">
        <v>447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932</v>
      </c>
      <c r="B603" s="8" t="s">
        <v>84</v>
      </c>
      <c r="C603" s="8" t="s">
        <v>448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932</v>
      </c>
      <c r="B604" s="8" t="s">
        <v>375</v>
      </c>
      <c r="C604" s="8" t="s">
        <v>936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932</v>
      </c>
      <c r="B605" s="8" t="s">
        <v>209</v>
      </c>
      <c r="C605" s="8" t="s">
        <v>937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932</v>
      </c>
      <c r="B606" s="8" t="s">
        <v>209</v>
      </c>
      <c r="C606" s="8" t="s">
        <v>450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932</v>
      </c>
      <c r="B607" s="8" t="s">
        <v>209</v>
      </c>
      <c r="C607" s="8" t="s">
        <v>938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932</v>
      </c>
      <c r="B608" s="8" t="s">
        <v>209</v>
      </c>
      <c r="C608" s="8" t="s">
        <v>451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932</v>
      </c>
      <c r="B609" s="8" t="s">
        <v>80</v>
      </c>
      <c r="C609" s="8" t="s">
        <v>452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932</v>
      </c>
      <c r="B610" s="8" t="s">
        <v>80</v>
      </c>
      <c r="C610" s="8" t="s">
        <v>453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932</v>
      </c>
      <c r="B611" s="8" t="s">
        <v>80</v>
      </c>
      <c r="C611" s="8" t="s">
        <v>454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932</v>
      </c>
      <c r="B612" s="8" t="s">
        <v>80</v>
      </c>
      <c r="C612" s="8" t="s">
        <v>455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932</v>
      </c>
      <c r="B613" s="8" t="s">
        <v>80</v>
      </c>
      <c r="C613" s="8" t="s">
        <v>456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932</v>
      </c>
      <c r="B614" s="8" t="s">
        <v>54</v>
      </c>
      <c r="C614" s="8" t="s">
        <v>457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932</v>
      </c>
      <c r="B615" s="8" t="s">
        <v>54</v>
      </c>
      <c r="C615" s="8" t="s">
        <v>458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932</v>
      </c>
      <c r="B616" s="8" t="s">
        <v>54</v>
      </c>
      <c r="C616" s="8" t="s">
        <v>459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932</v>
      </c>
      <c r="B617" s="8" t="s">
        <v>54</v>
      </c>
      <c r="C617" s="8" t="s">
        <v>460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932</v>
      </c>
      <c r="B618" s="8" t="s">
        <v>256</v>
      </c>
      <c r="C618" s="8" t="s">
        <v>462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932</v>
      </c>
      <c r="B619" s="8" t="s">
        <v>256</v>
      </c>
      <c r="C619" s="8" t="s">
        <v>464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932</v>
      </c>
      <c r="B620" s="8" t="s">
        <v>281</v>
      </c>
      <c r="C620" s="8" t="s">
        <v>465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932</v>
      </c>
      <c r="B621" s="8" t="s">
        <v>240</v>
      </c>
      <c r="C621" s="8" t="s">
        <v>466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932</v>
      </c>
      <c r="B622" s="8" t="s">
        <v>240</v>
      </c>
      <c r="C622" s="8" t="s">
        <v>467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932</v>
      </c>
      <c r="B623" s="8" t="s">
        <v>240</v>
      </c>
      <c r="C623" s="8" t="s">
        <v>468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932</v>
      </c>
      <c r="B624" s="8" t="s">
        <v>240</v>
      </c>
      <c r="C624" s="8" t="s">
        <v>469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932</v>
      </c>
      <c r="B625" s="8" t="s">
        <v>278</v>
      </c>
      <c r="C625" s="8" t="s">
        <v>939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932</v>
      </c>
      <c r="B626" s="8" t="s">
        <v>278</v>
      </c>
      <c r="C626" s="8" t="s">
        <v>470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932</v>
      </c>
      <c r="B627" s="8" t="s">
        <v>278</v>
      </c>
      <c r="C627" s="8" t="s">
        <v>471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932</v>
      </c>
      <c r="B628" s="8" t="s">
        <v>278</v>
      </c>
      <c r="C628" s="8" t="s">
        <v>940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932</v>
      </c>
      <c r="B629" s="8" t="s">
        <v>168</v>
      </c>
      <c r="C629" s="8" t="s">
        <v>473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932</v>
      </c>
      <c r="B630" s="8" t="s">
        <v>168</v>
      </c>
      <c r="C630" s="8" t="s">
        <v>474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932</v>
      </c>
      <c r="B631" s="8" t="s">
        <v>168</v>
      </c>
      <c r="C631" s="8" t="s">
        <v>475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932</v>
      </c>
      <c r="B632" s="8" t="s">
        <v>293</v>
      </c>
      <c r="C632" s="8" t="s">
        <v>476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932</v>
      </c>
      <c r="B633" s="8" t="s">
        <v>374</v>
      </c>
      <c r="C633" s="8" t="s">
        <v>476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932</v>
      </c>
      <c r="B634" s="8" t="s">
        <v>294</v>
      </c>
      <c r="C634" s="8" t="s">
        <v>476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932</v>
      </c>
      <c r="B635" s="8" t="s">
        <v>184</v>
      </c>
      <c r="C635" s="8" t="s">
        <v>478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932</v>
      </c>
      <c r="B636" s="8" t="s">
        <v>210</v>
      </c>
      <c r="C636" s="8" t="s">
        <v>479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932</v>
      </c>
      <c r="B637" s="8" t="s">
        <v>210</v>
      </c>
      <c r="C637" s="8" t="s">
        <v>480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932</v>
      </c>
      <c r="B638" s="8" t="s">
        <v>210</v>
      </c>
      <c r="C638" s="8" t="s">
        <v>481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932</v>
      </c>
      <c r="B639" s="8" t="s">
        <v>210</v>
      </c>
      <c r="C639" s="8" t="s">
        <v>482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932</v>
      </c>
      <c r="B640" s="8" t="s">
        <v>210</v>
      </c>
      <c r="C640" s="8" t="s">
        <v>483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932</v>
      </c>
      <c r="B641" s="8" t="s">
        <v>190</v>
      </c>
      <c r="C641" s="8" t="s">
        <v>484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932</v>
      </c>
      <c r="B642" s="8" t="s">
        <v>190</v>
      </c>
      <c r="C642" s="8" t="s">
        <v>485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932</v>
      </c>
      <c r="B643" s="8" t="s">
        <v>114</v>
      </c>
      <c r="C643" s="8" t="s">
        <v>486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932</v>
      </c>
      <c r="B644" s="8" t="s">
        <v>114</v>
      </c>
      <c r="C644" s="8" t="s">
        <v>487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932</v>
      </c>
      <c r="B645" s="8" t="s">
        <v>72</v>
      </c>
      <c r="C645" s="8" t="s">
        <v>488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932</v>
      </c>
      <c r="B646" s="8" t="s">
        <v>101</v>
      </c>
      <c r="C646" s="8" t="s">
        <v>488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932</v>
      </c>
      <c r="B647" s="8" t="s">
        <v>272</v>
      </c>
      <c r="C647" s="8" t="s">
        <v>941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932</v>
      </c>
      <c r="B648" s="8" t="s">
        <v>113</v>
      </c>
      <c r="C648" s="8" t="s">
        <v>491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932</v>
      </c>
      <c r="B649" s="8" t="s">
        <v>113</v>
      </c>
      <c r="C649" s="8" t="s">
        <v>492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932</v>
      </c>
      <c r="B650" s="8" t="s">
        <v>113</v>
      </c>
      <c r="C650" s="8" t="s">
        <v>493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932</v>
      </c>
      <c r="B651" s="8" t="s">
        <v>113</v>
      </c>
      <c r="C651" s="8" t="s">
        <v>494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932</v>
      </c>
      <c r="B652" s="8" t="s">
        <v>249</v>
      </c>
      <c r="C652" s="8" t="s">
        <v>495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932</v>
      </c>
      <c r="B653" s="8" t="s">
        <v>249</v>
      </c>
      <c r="C653" s="8" t="s">
        <v>496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932</v>
      </c>
      <c r="B654" s="8" t="s">
        <v>296</v>
      </c>
      <c r="C654" s="8" t="s">
        <v>942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932</v>
      </c>
      <c r="B655" s="8" t="s">
        <v>296</v>
      </c>
      <c r="C655" s="8" t="s">
        <v>943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932</v>
      </c>
      <c r="B656" s="8" t="s">
        <v>113</v>
      </c>
      <c r="C656" s="8" t="s">
        <v>500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932</v>
      </c>
      <c r="B657" s="8" t="s">
        <v>148</v>
      </c>
      <c r="C657" s="8" t="s">
        <v>501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932</v>
      </c>
      <c r="B658" s="8" t="s">
        <v>148</v>
      </c>
      <c r="C658" s="8" t="s">
        <v>502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932</v>
      </c>
      <c r="B659" s="8" t="s">
        <v>242</v>
      </c>
      <c r="C659" s="8" t="s">
        <v>506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932</v>
      </c>
      <c r="B660" s="8" t="s">
        <v>242</v>
      </c>
      <c r="C660" s="8" t="s">
        <v>508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932</v>
      </c>
      <c r="B661" s="8" t="s">
        <v>242</v>
      </c>
      <c r="C661" s="8" t="s">
        <v>510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932</v>
      </c>
      <c r="B662" s="8" t="s">
        <v>202</v>
      </c>
      <c r="C662" s="8" t="s">
        <v>511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932</v>
      </c>
      <c r="B663" s="8" t="s">
        <v>202</v>
      </c>
      <c r="C663" s="8" t="s">
        <v>512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932</v>
      </c>
      <c r="B664" s="8" t="s">
        <v>202</v>
      </c>
      <c r="C664" s="8" t="s">
        <v>513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932</v>
      </c>
      <c r="B665" s="8" t="s">
        <v>202</v>
      </c>
      <c r="C665" s="8" t="s">
        <v>514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932</v>
      </c>
      <c r="B666" s="8" t="s">
        <v>202</v>
      </c>
      <c r="C666" s="8" t="s">
        <v>515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932</v>
      </c>
      <c r="B667" s="8" t="s">
        <v>197</v>
      </c>
      <c r="C667" s="8" t="s">
        <v>518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932</v>
      </c>
      <c r="B668" s="8" t="s">
        <v>197</v>
      </c>
      <c r="C668" s="8" t="s">
        <v>519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932</v>
      </c>
      <c r="B669" s="8" t="s">
        <v>197</v>
      </c>
      <c r="C669" s="8" t="s">
        <v>520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932</v>
      </c>
      <c r="B670" s="8" t="s">
        <v>97</v>
      </c>
      <c r="C670" s="8" t="s">
        <v>521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932</v>
      </c>
      <c r="B671" s="8" t="s">
        <v>81</v>
      </c>
      <c r="C671" s="8" t="s">
        <v>522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932</v>
      </c>
      <c r="B672" s="8" t="s">
        <v>208</v>
      </c>
      <c r="C672" s="8" t="s">
        <v>523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932</v>
      </c>
      <c r="B673" s="8" t="s">
        <v>58</v>
      </c>
      <c r="C673" s="8" t="s">
        <v>524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932</v>
      </c>
      <c r="B674" s="8" t="s">
        <v>116</v>
      </c>
      <c r="C674" s="8" t="s">
        <v>525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932</v>
      </c>
      <c r="B675" s="8" t="s">
        <v>78</v>
      </c>
      <c r="C675" s="8" t="s">
        <v>526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932</v>
      </c>
      <c r="B676" s="8" t="s">
        <v>138</v>
      </c>
      <c r="C676" s="8" t="s">
        <v>527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932</v>
      </c>
      <c r="B677" s="8" t="s">
        <v>165</v>
      </c>
      <c r="C677" s="8" t="s">
        <v>521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932</v>
      </c>
      <c r="B678" s="8" t="s">
        <v>88</v>
      </c>
      <c r="C678" s="8" t="s">
        <v>521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932</v>
      </c>
      <c r="B679" s="8" t="s">
        <v>135</v>
      </c>
      <c r="C679" s="8" t="s">
        <v>528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932</v>
      </c>
      <c r="B680" s="8" t="s">
        <v>135</v>
      </c>
      <c r="C680" s="8" t="s">
        <v>529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932</v>
      </c>
      <c r="B681" s="8" t="s">
        <v>206</v>
      </c>
      <c r="C681" s="8" t="s">
        <v>530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932</v>
      </c>
      <c r="B682" s="8" t="s">
        <v>82</v>
      </c>
      <c r="C682" s="8" t="s">
        <v>532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932</v>
      </c>
      <c r="B683" s="8" t="s">
        <v>117</v>
      </c>
      <c r="C683" s="8" t="s">
        <v>533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932</v>
      </c>
      <c r="B684" s="8" t="s">
        <v>145</v>
      </c>
      <c r="C684" s="8" t="s">
        <v>534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932</v>
      </c>
      <c r="B685" s="8" t="s">
        <v>220</v>
      </c>
      <c r="C685" s="8" t="s">
        <v>536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932</v>
      </c>
      <c r="B686" s="8" t="s">
        <v>134</v>
      </c>
      <c r="C686" s="8" t="s">
        <v>537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932</v>
      </c>
      <c r="B687" s="8" t="s">
        <v>134</v>
      </c>
      <c r="C687" s="8" t="s">
        <v>538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932</v>
      </c>
      <c r="B688" s="8" t="s">
        <v>134</v>
      </c>
      <c r="C688" s="8" t="s">
        <v>539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932</v>
      </c>
      <c r="B689" s="8" t="s">
        <v>134</v>
      </c>
      <c r="C689" s="8" t="s">
        <v>540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932</v>
      </c>
      <c r="B690" s="8" t="s">
        <v>134</v>
      </c>
      <c r="C690" s="8" t="s">
        <v>541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932</v>
      </c>
      <c r="B691" s="8" t="s">
        <v>342</v>
      </c>
      <c r="C691" s="8" t="s">
        <v>542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932</v>
      </c>
      <c r="B692" s="8" t="s">
        <v>157</v>
      </c>
      <c r="C692" s="8" t="s">
        <v>544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932</v>
      </c>
      <c r="B693" s="8" t="s">
        <v>157</v>
      </c>
      <c r="C693" s="8" t="s">
        <v>545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932</v>
      </c>
      <c r="B694" s="8" t="s">
        <v>157</v>
      </c>
      <c r="C694" s="8" t="s">
        <v>546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932</v>
      </c>
      <c r="B695" s="8" t="s">
        <v>157</v>
      </c>
      <c r="C695" s="8" t="s">
        <v>547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932</v>
      </c>
      <c r="B696" s="8" t="s">
        <v>157</v>
      </c>
      <c r="C696" s="8" t="s">
        <v>548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932</v>
      </c>
      <c r="B697" s="8" t="s">
        <v>108</v>
      </c>
      <c r="C697" s="8" t="s">
        <v>549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932</v>
      </c>
      <c r="B698" s="8" t="s">
        <v>177</v>
      </c>
      <c r="C698" s="8" t="s">
        <v>550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932</v>
      </c>
      <c r="B699" s="8" t="s">
        <v>69</v>
      </c>
      <c r="C699" s="8" t="s">
        <v>551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932</v>
      </c>
      <c r="B700" s="8" t="s">
        <v>69</v>
      </c>
      <c r="C700" s="8" t="s">
        <v>552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932</v>
      </c>
      <c r="B701" s="8" t="s">
        <v>69</v>
      </c>
      <c r="C701" s="8" t="s">
        <v>553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932</v>
      </c>
      <c r="B702" s="8" t="s">
        <v>69</v>
      </c>
      <c r="C702" s="8" t="s">
        <v>554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932</v>
      </c>
      <c r="B703" s="8" t="s">
        <v>69</v>
      </c>
      <c r="C703" s="8" t="s">
        <v>556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932</v>
      </c>
      <c r="B704" s="8" t="s">
        <v>75</v>
      </c>
      <c r="C704" s="8" t="s">
        <v>557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932</v>
      </c>
      <c r="B705" s="8" t="s">
        <v>75</v>
      </c>
      <c r="C705" s="8" t="s">
        <v>558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932</v>
      </c>
      <c r="B706" s="8" t="s">
        <v>75</v>
      </c>
      <c r="C706" s="8" t="s">
        <v>559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932</v>
      </c>
      <c r="B707" s="8" t="s">
        <v>75</v>
      </c>
      <c r="C707" s="8" t="s">
        <v>560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932</v>
      </c>
      <c r="B708" s="8" t="s">
        <v>75</v>
      </c>
      <c r="C708" s="8" t="s">
        <v>561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932</v>
      </c>
      <c r="B709" s="8" t="s">
        <v>70</v>
      </c>
      <c r="C709" s="8" t="s">
        <v>562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932</v>
      </c>
      <c r="B710" s="8" t="s">
        <v>70</v>
      </c>
      <c r="C710" s="8" t="s">
        <v>563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932</v>
      </c>
      <c r="B711" s="8" t="s">
        <v>70</v>
      </c>
      <c r="C711" s="8" t="s">
        <v>564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932</v>
      </c>
      <c r="B712" s="8" t="s">
        <v>70</v>
      </c>
      <c r="C712" s="8" t="s">
        <v>565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932</v>
      </c>
      <c r="B713" s="8" t="s">
        <v>194</v>
      </c>
      <c r="C713" s="8" t="s">
        <v>566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932</v>
      </c>
      <c r="B714" s="8" t="s">
        <v>195</v>
      </c>
      <c r="C714" s="8" t="s">
        <v>567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932</v>
      </c>
      <c r="B715" s="8" t="s">
        <v>106</v>
      </c>
      <c r="C715" s="8" t="s">
        <v>568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932</v>
      </c>
      <c r="B716" s="8" t="s">
        <v>182</v>
      </c>
      <c r="C716" s="8" t="s">
        <v>569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932</v>
      </c>
      <c r="B717" s="8" t="s">
        <v>137</v>
      </c>
      <c r="C717" s="8" t="s">
        <v>570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932</v>
      </c>
      <c r="B718" s="8" t="s">
        <v>174</v>
      </c>
      <c r="C718" s="8" t="s">
        <v>571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932</v>
      </c>
      <c r="B719" s="8" t="s">
        <v>166</v>
      </c>
      <c r="C719" s="8" t="s">
        <v>572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932</v>
      </c>
      <c r="B720" s="8" t="s">
        <v>292</v>
      </c>
      <c r="C720" s="8" t="s">
        <v>573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932</v>
      </c>
      <c r="B721" s="8" t="s">
        <v>315</v>
      </c>
      <c r="C721" s="8" t="s">
        <v>573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932</v>
      </c>
      <c r="B722" s="8" t="s">
        <v>181</v>
      </c>
      <c r="C722" s="8" t="s">
        <v>574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932</v>
      </c>
      <c r="B723" s="8" t="s">
        <v>181</v>
      </c>
      <c r="C723" s="8" t="s">
        <v>575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932</v>
      </c>
      <c r="B724" s="8" t="s">
        <v>181</v>
      </c>
      <c r="C724" s="8" t="s">
        <v>576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932</v>
      </c>
      <c r="B725" s="8" t="s">
        <v>181</v>
      </c>
      <c r="C725" s="8" t="s">
        <v>577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932</v>
      </c>
      <c r="B726" s="8" t="s">
        <v>255</v>
      </c>
      <c r="C726" s="8" t="s">
        <v>578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932</v>
      </c>
      <c r="B727" s="8" t="s">
        <v>255</v>
      </c>
      <c r="C727" s="8" t="s">
        <v>944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932</v>
      </c>
      <c r="B728" s="8" t="s">
        <v>255</v>
      </c>
      <c r="C728" s="8" t="s">
        <v>579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932</v>
      </c>
      <c r="B729" s="8" t="s">
        <v>255</v>
      </c>
      <c r="C729" s="8" t="s">
        <v>580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932</v>
      </c>
      <c r="B730" s="8" t="s">
        <v>128</v>
      </c>
      <c r="C730" s="8" t="s">
        <v>581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932</v>
      </c>
      <c r="B731" s="8" t="s">
        <v>128</v>
      </c>
      <c r="C731" s="8" t="s">
        <v>582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932</v>
      </c>
      <c r="B732" s="8" t="s">
        <v>128</v>
      </c>
      <c r="C732" s="8" t="s">
        <v>583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932</v>
      </c>
      <c r="B733" s="8" t="s">
        <v>128</v>
      </c>
      <c r="C733" s="8" t="s">
        <v>584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932</v>
      </c>
      <c r="B734" s="8" t="s">
        <v>128</v>
      </c>
      <c r="C734" s="8" t="s">
        <v>585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932</v>
      </c>
      <c r="B735" s="8" t="s">
        <v>76</v>
      </c>
      <c r="C735" s="8" t="s">
        <v>586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932</v>
      </c>
      <c r="B736" s="8" t="s">
        <v>76</v>
      </c>
      <c r="C736" s="8" t="s">
        <v>587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932</v>
      </c>
      <c r="B737" s="8" t="s">
        <v>76</v>
      </c>
      <c r="C737" s="8" t="s">
        <v>588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932</v>
      </c>
      <c r="B738" s="8" t="s">
        <v>76</v>
      </c>
      <c r="C738" s="8" t="s">
        <v>589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932</v>
      </c>
      <c r="B739" s="8" t="s">
        <v>76</v>
      </c>
      <c r="C739" s="8" t="s">
        <v>590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932</v>
      </c>
      <c r="B740" s="8" t="s">
        <v>63</v>
      </c>
      <c r="C740" s="8" t="s">
        <v>591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932</v>
      </c>
      <c r="B741" s="8" t="s">
        <v>63</v>
      </c>
      <c r="C741" s="8" t="s">
        <v>592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932</v>
      </c>
      <c r="B742" s="8" t="s">
        <v>63</v>
      </c>
      <c r="C742" s="8" t="s">
        <v>593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932</v>
      </c>
      <c r="B743" s="8" t="s">
        <v>63</v>
      </c>
      <c r="C743" s="8" t="s">
        <v>594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932</v>
      </c>
      <c r="B744" s="8" t="s">
        <v>90</v>
      </c>
      <c r="C744" s="8" t="s">
        <v>595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932</v>
      </c>
      <c r="B745" s="8" t="s">
        <v>90</v>
      </c>
      <c r="C745" s="8" t="s">
        <v>596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932</v>
      </c>
      <c r="B746" s="8" t="s">
        <v>90</v>
      </c>
      <c r="C746" s="8" t="s">
        <v>597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932</v>
      </c>
      <c r="B747" s="8" t="s">
        <v>90</v>
      </c>
      <c r="C747" s="8" t="s">
        <v>598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932</v>
      </c>
      <c r="B748" s="8" t="s">
        <v>90</v>
      </c>
      <c r="C748" s="8" t="s">
        <v>599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932</v>
      </c>
      <c r="B749" s="8" t="s">
        <v>163</v>
      </c>
      <c r="C749" s="8" t="s">
        <v>600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932</v>
      </c>
      <c r="B750" s="8" t="s">
        <v>163</v>
      </c>
      <c r="C750" s="8" t="s">
        <v>601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932</v>
      </c>
      <c r="B751" s="8" t="s">
        <v>163</v>
      </c>
      <c r="C751" s="8" t="s">
        <v>602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932</v>
      </c>
      <c r="B752" s="8" t="s">
        <v>163</v>
      </c>
      <c r="C752" s="8" t="s">
        <v>603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932</v>
      </c>
      <c r="B753" s="8" t="s">
        <v>144</v>
      </c>
      <c r="C753" s="8" t="s">
        <v>605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932</v>
      </c>
      <c r="B754" s="8" t="s">
        <v>144</v>
      </c>
      <c r="C754" s="8" t="s">
        <v>606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932</v>
      </c>
      <c r="B755" s="8" t="s">
        <v>144</v>
      </c>
      <c r="C755" s="8" t="s">
        <v>607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932</v>
      </c>
      <c r="B756" s="8" t="s">
        <v>144</v>
      </c>
      <c r="C756" s="8" t="s">
        <v>608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932</v>
      </c>
      <c r="B757" s="8" t="s">
        <v>144</v>
      </c>
      <c r="C757" s="8" t="s">
        <v>609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932</v>
      </c>
      <c r="B758" s="8" t="s">
        <v>179</v>
      </c>
      <c r="C758" s="8" t="s">
        <v>945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932</v>
      </c>
      <c r="B759" s="8" t="s">
        <v>179</v>
      </c>
      <c r="C759" s="8" t="s">
        <v>610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932</v>
      </c>
      <c r="B760" s="8" t="s">
        <v>179</v>
      </c>
      <c r="C760" s="8" t="s">
        <v>611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932</v>
      </c>
      <c r="B761" s="8" t="s">
        <v>179</v>
      </c>
      <c r="C761" s="8" t="s">
        <v>612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932</v>
      </c>
      <c r="B762" s="8" t="s">
        <v>289</v>
      </c>
      <c r="C762" s="8" t="s">
        <v>614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932</v>
      </c>
      <c r="B763" s="8" t="s">
        <v>289</v>
      </c>
      <c r="C763" s="8" t="s">
        <v>615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932</v>
      </c>
      <c r="B764" s="8" t="s">
        <v>289</v>
      </c>
      <c r="C764" s="8" t="s">
        <v>946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932</v>
      </c>
      <c r="B765" s="8" t="s">
        <v>98</v>
      </c>
      <c r="C765" s="8" t="s">
        <v>616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932</v>
      </c>
      <c r="B766" s="8" t="s">
        <v>98</v>
      </c>
      <c r="C766" s="8" t="s">
        <v>617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932</v>
      </c>
      <c r="B767" s="8" t="s">
        <v>98</v>
      </c>
      <c r="C767" s="8" t="s">
        <v>618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932</v>
      </c>
      <c r="B768" s="8" t="s">
        <v>98</v>
      </c>
      <c r="C768" s="8" t="s">
        <v>619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932</v>
      </c>
      <c r="B769" s="8" t="s">
        <v>98</v>
      </c>
      <c r="C769" s="8" t="s">
        <v>620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932</v>
      </c>
      <c r="B770" s="8" t="s">
        <v>100</v>
      </c>
      <c r="C770" s="8" t="s">
        <v>621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932</v>
      </c>
      <c r="B771" s="8" t="s">
        <v>100</v>
      </c>
      <c r="C771" s="8" t="s">
        <v>622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932</v>
      </c>
      <c r="B772" s="8" t="s">
        <v>100</v>
      </c>
      <c r="C772" s="8" t="s">
        <v>623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932</v>
      </c>
      <c r="B773" s="8" t="s">
        <v>100</v>
      </c>
      <c r="C773" s="8" t="s">
        <v>624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932</v>
      </c>
      <c r="B774" s="8" t="s">
        <v>67</v>
      </c>
      <c r="C774" s="8" t="s">
        <v>625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932</v>
      </c>
      <c r="B775" s="8" t="s">
        <v>67</v>
      </c>
      <c r="C775" s="8" t="s">
        <v>626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932</v>
      </c>
      <c r="B776" s="8" t="s">
        <v>67</v>
      </c>
      <c r="C776" s="8" t="s">
        <v>627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932</v>
      </c>
      <c r="B777" s="8" t="s">
        <v>67</v>
      </c>
      <c r="C777" s="8" t="s">
        <v>628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932</v>
      </c>
      <c r="B778" s="8" t="s">
        <v>112</v>
      </c>
      <c r="C778" s="8" t="s">
        <v>629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932</v>
      </c>
      <c r="B779" s="8" t="s">
        <v>112</v>
      </c>
      <c r="C779" s="8" t="s">
        <v>630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932</v>
      </c>
      <c r="B780" s="8" t="s">
        <v>112</v>
      </c>
      <c r="C780" s="8" t="s">
        <v>631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932</v>
      </c>
      <c r="B781" s="8" t="s">
        <v>112</v>
      </c>
      <c r="C781" s="8" t="s">
        <v>632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932</v>
      </c>
      <c r="B782" s="8" t="s">
        <v>112</v>
      </c>
      <c r="C782" s="8" t="s">
        <v>633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932</v>
      </c>
      <c r="B783" s="8" t="s">
        <v>112</v>
      </c>
      <c r="C783" s="8" t="s">
        <v>634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932</v>
      </c>
      <c r="B784" s="8" t="s">
        <v>377</v>
      </c>
      <c r="C784" s="8" t="s">
        <v>991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932</v>
      </c>
      <c r="B785" s="8" t="s">
        <v>119</v>
      </c>
      <c r="C785" s="8" t="s">
        <v>635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932</v>
      </c>
      <c r="B786" s="8" t="s">
        <v>203</v>
      </c>
      <c r="C786" s="8" t="s">
        <v>636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932</v>
      </c>
      <c r="B787" s="8" t="s">
        <v>87</v>
      </c>
      <c r="C787" s="8" t="s">
        <v>637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932</v>
      </c>
      <c r="B788" s="8" t="s">
        <v>87</v>
      </c>
      <c r="C788" s="8" t="s">
        <v>638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932</v>
      </c>
      <c r="B789" s="8" t="s">
        <v>87</v>
      </c>
      <c r="C789" s="8" t="s">
        <v>639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932</v>
      </c>
      <c r="B790" s="8" t="s">
        <v>87</v>
      </c>
      <c r="C790" s="8" t="s">
        <v>640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932</v>
      </c>
      <c r="B791" s="8" t="s">
        <v>87</v>
      </c>
      <c r="C791" s="8" t="s">
        <v>641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932</v>
      </c>
      <c r="B792" s="8" t="s">
        <v>87</v>
      </c>
      <c r="C792" s="8" t="s">
        <v>642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932</v>
      </c>
      <c r="B793" s="8" t="s">
        <v>115</v>
      </c>
      <c r="C793" s="8" t="s">
        <v>643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932</v>
      </c>
      <c r="B794" s="8" t="s">
        <v>115</v>
      </c>
      <c r="C794" s="8" t="s">
        <v>644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932</v>
      </c>
      <c r="B795" s="8" t="s">
        <v>115</v>
      </c>
      <c r="C795" s="8" t="s">
        <v>645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932</v>
      </c>
      <c r="B796" s="8" t="s">
        <v>164</v>
      </c>
      <c r="C796" s="8" t="s">
        <v>646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932</v>
      </c>
      <c r="B797" s="8" t="s">
        <v>284</v>
      </c>
      <c r="C797" s="8" t="s">
        <v>947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932</v>
      </c>
      <c r="B798" s="8" t="s">
        <v>198</v>
      </c>
      <c r="C798" s="8" t="s">
        <v>651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932</v>
      </c>
      <c r="B799" s="8" t="s">
        <v>253</v>
      </c>
      <c r="C799" s="8" t="s">
        <v>655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932</v>
      </c>
      <c r="B800" s="8" t="s">
        <v>253</v>
      </c>
      <c r="C800" s="8" t="s">
        <v>656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932</v>
      </c>
      <c r="B801" s="8" t="s">
        <v>253</v>
      </c>
      <c r="C801" s="8" t="s">
        <v>657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932</v>
      </c>
      <c r="B802" s="8" t="s">
        <v>200</v>
      </c>
      <c r="C802" s="8" t="s">
        <v>660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932</v>
      </c>
      <c r="B803" s="8" t="s">
        <v>248</v>
      </c>
      <c r="C803" s="8" t="s">
        <v>662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932</v>
      </c>
      <c r="B804" s="8" t="s">
        <v>227</v>
      </c>
      <c r="C804" s="8" t="s">
        <v>663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932</v>
      </c>
      <c r="B805" s="8" t="s">
        <v>227</v>
      </c>
      <c r="C805" s="8" t="s">
        <v>664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932</v>
      </c>
      <c r="B806" s="8" t="s">
        <v>227</v>
      </c>
      <c r="C806" s="8" t="s">
        <v>665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932</v>
      </c>
      <c r="B807" s="8" t="s">
        <v>364</v>
      </c>
      <c r="C807" s="8" t="s">
        <v>948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932</v>
      </c>
      <c r="B808" s="8" t="s">
        <v>246</v>
      </c>
      <c r="C808" s="8" t="s">
        <v>666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932</v>
      </c>
      <c r="B809" s="8" t="s">
        <v>246</v>
      </c>
      <c r="C809" s="8" t="s">
        <v>667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932</v>
      </c>
      <c r="B810" s="8" t="s">
        <v>246</v>
      </c>
      <c r="C810" s="8" t="s">
        <v>668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932</v>
      </c>
      <c r="B811" s="8" t="s">
        <v>246</v>
      </c>
      <c r="C811" s="8" t="s">
        <v>669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932</v>
      </c>
      <c r="B812" s="8" t="s">
        <v>246</v>
      </c>
      <c r="C812" s="8" t="s">
        <v>670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932</v>
      </c>
      <c r="B813" s="8" t="s">
        <v>308</v>
      </c>
      <c r="C813" s="8" t="s">
        <v>671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932</v>
      </c>
      <c r="B814" s="8" t="s">
        <v>231</v>
      </c>
      <c r="C814" s="8" t="s">
        <v>676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932</v>
      </c>
      <c r="B815" s="8" t="s">
        <v>301</v>
      </c>
      <c r="C815" s="8" t="s">
        <v>949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932</v>
      </c>
      <c r="B816" s="8" t="s">
        <v>288</v>
      </c>
      <c r="C816" s="8" t="s">
        <v>680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932</v>
      </c>
      <c r="B817" s="8" t="s">
        <v>288</v>
      </c>
      <c r="C817" s="8" t="s">
        <v>681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932</v>
      </c>
      <c r="B818" s="8" t="s">
        <v>288</v>
      </c>
      <c r="C818" s="8" t="s">
        <v>682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932</v>
      </c>
      <c r="B819" s="8" t="s">
        <v>328</v>
      </c>
      <c r="C819" s="8" t="s">
        <v>686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932</v>
      </c>
      <c r="B820" s="8" t="s">
        <v>328</v>
      </c>
      <c r="C820" s="8" t="s">
        <v>687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932</v>
      </c>
      <c r="B821" s="8" t="s">
        <v>87</v>
      </c>
      <c r="C821" s="8" t="s">
        <v>688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932</v>
      </c>
      <c r="B822" s="8" t="s">
        <v>248</v>
      </c>
      <c r="C822" s="8" t="s">
        <v>689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932</v>
      </c>
      <c r="B823" s="8" t="s">
        <v>244</v>
      </c>
      <c r="C823" s="8" t="s">
        <v>690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932</v>
      </c>
      <c r="B824" s="8" t="s">
        <v>158</v>
      </c>
      <c r="C824" s="8" t="s">
        <v>691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932</v>
      </c>
      <c r="B825" s="8" t="s">
        <v>205</v>
      </c>
      <c r="C825" s="8" t="s">
        <v>693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932</v>
      </c>
      <c r="B826" s="8" t="s">
        <v>130</v>
      </c>
      <c r="C826" s="8" t="s">
        <v>694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932</v>
      </c>
      <c r="B827" s="8" t="s">
        <v>122</v>
      </c>
      <c r="C827" s="8" t="s">
        <v>695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932</v>
      </c>
      <c r="B828" s="8" t="s">
        <v>297</v>
      </c>
      <c r="C828" s="8" t="s">
        <v>696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932</v>
      </c>
      <c r="B829" s="8" t="s">
        <v>136</v>
      </c>
      <c r="C829" s="8" t="s">
        <v>697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932</v>
      </c>
      <c r="B830" s="8" t="s">
        <v>76</v>
      </c>
      <c r="C830" s="8" t="s">
        <v>698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932</v>
      </c>
      <c r="B831" s="8" t="s">
        <v>225</v>
      </c>
      <c r="C831" s="8" t="s">
        <v>699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932</v>
      </c>
      <c r="B832" s="8" t="s">
        <v>85</v>
      </c>
      <c r="C832" s="8" t="s">
        <v>704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932</v>
      </c>
      <c r="B833" s="8" t="s">
        <v>61</v>
      </c>
      <c r="C833" s="8" t="s">
        <v>705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932</v>
      </c>
      <c r="B834" s="8" t="s">
        <v>61</v>
      </c>
      <c r="C834" s="8" t="s">
        <v>706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932</v>
      </c>
      <c r="B835" s="8" t="s">
        <v>61</v>
      </c>
      <c r="C835" s="8" t="s">
        <v>707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932</v>
      </c>
      <c r="B836" s="8" t="s">
        <v>61</v>
      </c>
      <c r="C836" s="8" t="s">
        <v>708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932</v>
      </c>
      <c r="B837" s="8" t="s">
        <v>61</v>
      </c>
      <c r="C837" s="8" t="s">
        <v>709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932</v>
      </c>
      <c r="B838" s="8" t="s">
        <v>65</v>
      </c>
      <c r="C838" s="8" t="s">
        <v>710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932</v>
      </c>
      <c r="B839" s="8" t="s">
        <v>65</v>
      </c>
      <c r="C839" s="8" t="s">
        <v>711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932</v>
      </c>
      <c r="B840" s="8" t="s">
        <v>65</v>
      </c>
      <c r="C840" s="8" t="s">
        <v>712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932</v>
      </c>
      <c r="B841" s="8" t="s">
        <v>65</v>
      </c>
      <c r="C841" s="8" t="s">
        <v>713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932</v>
      </c>
      <c r="B842" s="8" t="s">
        <v>266</v>
      </c>
      <c r="C842" s="8" t="s">
        <v>950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932</v>
      </c>
      <c r="B843" s="8" t="s">
        <v>257</v>
      </c>
      <c r="C843" s="8" t="s">
        <v>715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932</v>
      </c>
      <c r="B844" s="8" t="s">
        <v>277</v>
      </c>
      <c r="C844" s="8" t="s">
        <v>716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932</v>
      </c>
      <c r="B845" s="8" t="s">
        <v>92</v>
      </c>
      <c r="C845" s="8" t="s">
        <v>717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932</v>
      </c>
      <c r="B846" s="8" t="s">
        <v>111</v>
      </c>
      <c r="C846" s="8" t="s">
        <v>718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932</v>
      </c>
      <c r="B847" s="8" t="s">
        <v>95</v>
      </c>
      <c r="C847" s="8" t="s">
        <v>719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932</v>
      </c>
      <c r="B848" s="8" t="s">
        <v>267</v>
      </c>
      <c r="C848" s="8" t="s">
        <v>721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932</v>
      </c>
      <c r="B849" s="8" t="s">
        <v>238</v>
      </c>
      <c r="C849" s="8" t="s">
        <v>722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932</v>
      </c>
      <c r="B850" s="8" t="s">
        <v>238</v>
      </c>
      <c r="C850" s="8" t="s">
        <v>723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932</v>
      </c>
      <c r="B851" s="8" t="s">
        <v>238</v>
      </c>
      <c r="C851" s="8" t="s">
        <v>721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932</v>
      </c>
      <c r="B852" s="8" t="s">
        <v>171</v>
      </c>
      <c r="C852" s="8" t="s">
        <v>724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932</v>
      </c>
      <c r="B853" s="8" t="s">
        <v>171</v>
      </c>
      <c r="C853" s="8" t="s">
        <v>725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932</v>
      </c>
      <c r="B854" s="8" t="s">
        <v>142</v>
      </c>
      <c r="C854" s="8" t="s">
        <v>724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932</v>
      </c>
      <c r="B855" s="8" t="s">
        <v>142</v>
      </c>
      <c r="C855" s="8" t="s">
        <v>725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932</v>
      </c>
      <c r="B856" s="8" t="s">
        <v>204</v>
      </c>
      <c r="C856" s="8" t="s">
        <v>726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932</v>
      </c>
      <c r="B857" s="8" t="s">
        <v>241</v>
      </c>
      <c r="C857" s="8" t="s">
        <v>729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932</v>
      </c>
      <c r="B858" s="8" t="s">
        <v>241</v>
      </c>
      <c r="C858" s="8" t="s">
        <v>951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932</v>
      </c>
      <c r="B859" s="8" t="s">
        <v>369</v>
      </c>
      <c r="C859" s="8" t="s">
        <v>952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932</v>
      </c>
      <c r="B860" s="8" t="s">
        <v>376</v>
      </c>
      <c r="C860" s="8" t="s">
        <v>992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932</v>
      </c>
      <c r="B861" s="8" t="s">
        <v>60</v>
      </c>
      <c r="C861" s="8" t="s">
        <v>733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932</v>
      </c>
      <c r="B862" s="8" t="s">
        <v>60</v>
      </c>
      <c r="C862" s="8" t="s">
        <v>734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932</v>
      </c>
      <c r="B863" s="8" t="s">
        <v>60</v>
      </c>
      <c r="C863" s="8" t="s">
        <v>735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932</v>
      </c>
      <c r="B864" s="8" t="s">
        <v>99</v>
      </c>
      <c r="C864" s="8" t="s">
        <v>736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932</v>
      </c>
      <c r="B865" s="8" t="s">
        <v>99</v>
      </c>
      <c r="C865" s="8" t="s">
        <v>737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932</v>
      </c>
      <c r="B866" s="8" t="s">
        <v>99</v>
      </c>
      <c r="C866" s="8" t="s">
        <v>738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932</v>
      </c>
      <c r="B867" s="8" t="s">
        <v>156</v>
      </c>
      <c r="C867" s="8" t="s">
        <v>636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932</v>
      </c>
      <c r="B868" s="8" t="s">
        <v>62</v>
      </c>
      <c r="C868" s="8" t="s">
        <v>741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932</v>
      </c>
      <c r="B869" s="8" t="s">
        <v>62</v>
      </c>
      <c r="C869" s="8" t="s">
        <v>742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932</v>
      </c>
      <c r="B870" s="8" t="s">
        <v>62</v>
      </c>
      <c r="C870" s="8" t="s">
        <v>743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932</v>
      </c>
      <c r="B871" s="8" t="s">
        <v>62</v>
      </c>
      <c r="C871" s="8" t="s">
        <v>744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932</v>
      </c>
      <c r="B872" s="8" t="s">
        <v>336</v>
      </c>
      <c r="C872" s="8" t="s">
        <v>746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932</v>
      </c>
      <c r="B873" s="8" t="s">
        <v>91</v>
      </c>
      <c r="C873" s="8" t="s">
        <v>751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932</v>
      </c>
      <c r="B874" s="8" t="s">
        <v>217</v>
      </c>
      <c r="C874" s="8" t="s">
        <v>752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932</v>
      </c>
      <c r="B875" s="8" t="s">
        <v>183</v>
      </c>
      <c r="C875" s="8" t="s">
        <v>753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932</v>
      </c>
      <c r="B876" s="8" t="s">
        <v>213</v>
      </c>
      <c r="C876" s="8" t="s">
        <v>754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932</v>
      </c>
      <c r="B877" s="8" t="s">
        <v>124</v>
      </c>
      <c r="C877" s="8" t="s">
        <v>755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932</v>
      </c>
      <c r="B878" s="8" t="s">
        <v>178</v>
      </c>
      <c r="C878" s="8" t="s">
        <v>756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932</v>
      </c>
      <c r="B879" s="8" t="s">
        <v>212</v>
      </c>
      <c r="C879" s="8" t="s">
        <v>757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932</v>
      </c>
      <c r="B880" s="8" t="s">
        <v>212</v>
      </c>
      <c r="C880" s="8" t="s">
        <v>758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932</v>
      </c>
      <c r="B881" s="8" t="s">
        <v>212</v>
      </c>
      <c r="C881" s="8" t="s">
        <v>759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932</v>
      </c>
      <c r="B882" s="8" t="s">
        <v>212</v>
      </c>
      <c r="C882" s="8" t="s">
        <v>761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932</v>
      </c>
      <c r="B883" s="8" t="s">
        <v>212</v>
      </c>
      <c r="C883" s="8" t="s">
        <v>953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932</v>
      </c>
      <c r="B884" s="8" t="s">
        <v>212</v>
      </c>
      <c r="C884" s="8" t="s">
        <v>762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932</v>
      </c>
      <c r="B885" s="8" t="s">
        <v>212</v>
      </c>
      <c r="C885" s="8" t="s">
        <v>764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932</v>
      </c>
      <c r="B886" s="8" t="s">
        <v>212</v>
      </c>
      <c r="C886" s="8" t="s">
        <v>767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932</v>
      </c>
      <c r="B887" s="8" t="s">
        <v>263</v>
      </c>
      <c r="C887" s="8" t="s">
        <v>768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932</v>
      </c>
      <c r="B888" s="8" t="s">
        <v>185</v>
      </c>
      <c r="C888" s="8" t="s">
        <v>769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932</v>
      </c>
      <c r="B889" s="8" t="s">
        <v>305</v>
      </c>
      <c r="C889" s="8" t="s">
        <v>770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932</v>
      </c>
      <c r="B890" s="8" t="s">
        <v>341</v>
      </c>
      <c r="C890" s="8" t="s">
        <v>771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932</v>
      </c>
      <c r="B891" s="8" t="s">
        <v>372</v>
      </c>
      <c r="C891" s="8" t="s">
        <v>773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932</v>
      </c>
      <c r="B892" s="8" t="s">
        <v>334</v>
      </c>
      <c r="C892" s="8" t="s">
        <v>774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932</v>
      </c>
      <c r="B893" s="8" t="s">
        <v>276</v>
      </c>
      <c r="C893" s="8" t="s">
        <v>775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932</v>
      </c>
      <c r="B894" s="8" t="s">
        <v>235</v>
      </c>
      <c r="C894" s="8" t="s">
        <v>776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932</v>
      </c>
      <c r="B895" s="8" t="s">
        <v>201</v>
      </c>
      <c r="C895" s="8" t="s">
        <v>777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932</v>
      </c>
      <c r="B896" s="8" t="s">
        <v>73</v>
      </c>
      <c r="C896" s="8" t="s">
        <v>778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932</v>
      </c>
      <c r="B897" s="8" t="s">
        <v>120</v>
      </c>
      <c r="C897" s="8" t="s">
        <v>779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932</v>
      </c>
      <c r="B898" s="8" t="s">
        <v>319</v>
      </c>
      <c r="C898" s="8" t="s">
        <v>780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932</v>
      </c>
      <c r="B899" s="8" t="s">
        <v>96</v>
      </c>
      <c r="C899" s="8" t="s">
        <v>782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932</v>
      </c>
      <c r="B900" s="8" t="s">
        <v>96</v>
      </c>
      <c r="C900" s="8" t="s">
        <v>783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932</v>
      </c>
      <c r="B901" s="8" t="s">
        <v>96</v>
      </c>
      <c r="C901" s="8" t="s">
        <v>784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932</v>
      </c>
      <c r="B902" s="8" t="s">
        <v>96</v>
      </c>
      <c r="C902" s="8" t="s">
        <v>785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932</v>
      </c>
      <c r="B903" s="8" t="s">
        <v>96</v>
      </c>
      <c r="C903" s="8" t="s">
        <v>786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932</v>
      </c>
      <c r="B904" s="8" t="s">
        <v>64</v>
      </c>
      <c r="C904" s="8" t="s">
        <v>787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932</v>
      </c>
      <c r="B905" s="8" t="s">
        <v>161</v>
      </c>
      <c r="C905" s="8" t="s">
        <v>719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932</v>
      </c>
      <c r="B906" s="8" t="s">
        <v>55</v>
      </c>
      <c r="C906" s="8" t="s">
        <v>788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932</v>
      </c>
      <c r="B907" s="8" t="s">
        <v>55</v>
      </c>
      <c r="C907" s="8" t="s">
        <v>789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932</v>
      </c>
      <c r="B908" s="8" t="s">
        <v>55</v>
      </c>
      <c r="C908" s="8" t="s">
        <v>790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932</v>
      </c>
      <c r="B909" s="8" t="s">
        <v>313</v>
      </c>
      <c r="C909" s="8" t="s">
        <v>791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932</v>
      </c>
      <c r="B910" s="8" t="s">
        <v>329</v>
      </c>
      <c r="C910" s="8" t="s">
        <v>792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932</v>
      </c>
      <c r="B911" s="8" t="s">
        <v>325</v>
      </c>
      <c r="C911" s="8" t="s">
        <v>792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932</v>
      </c>
      <c r="B912" s="8" t="s">
        <v>207</v>
      </c>
      <c r="C912" s="8" t="s">
        <v>792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932</v>
      </c>
      <c r="B913" s="8" t="s">
        <v>149</v>
      </c>
      <c r="C913" s="8" t="s">
        <v>793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932</v>
      </c>
      <c r="B914" s="8" t="s">
        <v>151</v>
      </c>
      <c r="C914" s="8" t="s">
        <v>793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932</v>
      </c>
      <c r="B915" s="8" t="s">
        <v>275</v>
      </c>
      <c r="C915" s="8" t="s">
        <v>795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932</v>
      </c>
      <c r="B916" s="8" t="s">
        <v>303</v>
      </c>
      <c r="C916" s="8" t="s">
        <v>795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932</v>
      </c>
      <c r="B917" s="8" t="s">
        <v>279</v>
      </c>
      <c r="C917" s="8" t="s">
        <v>796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932</v>
      </c>
      <c r="B918" s="8" t="s">
        <v>216</v>
      </c>
      <c r="C918" s="8" t="s">
        <v>797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932</v>
      </c>
      <c r="B919" s="8" t="s">
        <v>300</v>
      </c>
      <c r="C919" s="8" t="s">
        <v>798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932</v>
      </c>
      <c r="B920" s="8" t="s">
        <v>254</v>
      </c>
      <c r="C920" s="8" t="s">
        <v>954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932</v>
      </c>
      <c r="B921" s="8" t="s">
        <v>298</v>
      </c>
      <c r="C921" s="8" t="s">
        <v>797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932</v>
      </c>
      <c r="B922" s="8" t="s">
        <v>152</v>
      </c>
      <c r="C922" s="8" t="s">
        <v>799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932</v>
      </c>
      <c r="B923" s="8" t="s">
        <v>152</v>
      </c>
      <c r="C923" s="8" t="s">
        <v>800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932</v>
      </c>
      <c r="B924" s="8" t="s">
        <v>152</v>
      </c>
      <c r="C924" s="8" t="s">
        <v>801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932</v>
      </c>
      <c r="B925" s="8" t="s">
        <v>273</v>
      </c>
      <c r="C925" s="8" t="s">
        <v>803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932</v>
      </c>
      <c r="B926" s="8" t="s">
        <v>273</v>
      </c>
      <c r="C926" s="8" t="s">
        <v>804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932</v>
      </c>
      <c r="B927" s="8" t="s">
        <v>273</v>
      </c>
      <c r="C927" s="8" t="s">
        <v>805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932</v>
      </c>
      <c r="B928" s="8" t="s">
        <v>371</v>
      </c>
      <c r="C928" s="8" t="s">
        <v>955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932</v>
      </c>
      <c r="B929" s="8" t="s">
        <v>148</v>
      </c>
      <c r="C929" s="8" t="s">
        <v>806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932</v>
      </c>
      <c r="B930" s="8" t="s">
        <v>330</v>
      </c>
      <c r="C930" s="8" t="s">
        <v>807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932</v>
      </c>
      <c r="B931" s="8" t="s">
        <v>224</v>
      </c>
      <c r="C931" s="8" t="s">
        <v>807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932</v>
      </c>
      <c r="B932" s="8" t="s">
        <v>332</v>
      </c>
      <c r="C932" s="8" t="s">
        <v>807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932</v>
      </c>
      <c r="B933" s="8" t="s">
        <v>245</v>
      </c>
      <c r="C933" s="8" t="s">
        <v>807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932</v>
      </c>
      <c r="B934" s="8" t="s">
        <v>93</v>
      </c>
      <c r="C934" s="8" t="s">
        <v>808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932</v>
      </c>
      <c r="B935" s="8" t="s">
        <v>83</v>
      </c>
      <c r="C935" s="8" t="s">
        <v>808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932</v>
      </c>
      <c r="B936" s="8" t="s">
        <v>94</v>
      </c>
      <c r="C936" s="8" t="s">
        <v>808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932</v>
      </c>
      <c r="B937" s="8" t="s">
        <v>102</v>
      </c>
      <c r="C937" s="8" t="s">
        <v>808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932</v>
      </c>
      <c r="B938" s="8" t="s">
        <v>60</v>
      </c>
      <c r="C938" s="8" t="s">
        <v>809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932</v>
      </c>
      <c r="B939" s="8" t="s">
        <v>57</v>
      </c>
      <c r="C939" s="8" t="s">
        <v>810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932</v>
      </c>
      <c r="B940" s="8" t="s">
        <v>89</v>
      </c>
      <c r="C940" s="8" t="s">
        <v>811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932</v>
      </c>
      <c r="B941" s="8" t="s">
        <v>89</v>
      </c>
      <c r="C941" s="8" t="s">
        <v>812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932</v>
      </c>
      <c r="B942" s="8" t="s">
        <v>89</v>
      </c>
      <c r="C942" s="8" t="s">
        <v>813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932</v>
      </c>
      <c r="B943" s="8" t="s">
        <v>89</v>
      </c>
      <c r="C943" s="8" t="s">
        <v>814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932</v>
      </c>
      <c r="B944" s="8" t="s">
        <v>89</v>
      </c>
      <c r="C944" s="8" t="s">
        <v>815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932</v>
      </c>
      <c r="B945" s="8" t="s">
        <v>89</v>
      </c>
      <c r="C945" s="8" t="s">
        <v>816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932</v>
      </c>
      <c r="B946" s="8" t="s">
        <v>103</v>
      </c>
      <c r="C946" s="8" t="s">
        <v>817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932</v>
      </c>
      <c r="B947" s="8" t="s">
        <v>282</v>
      </c>
      <c r="C947" s="8" t="s">
        <v>818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932</v>
      </c>
      <c r="B948" s="8" t="s">
        <v>57</v>
      </c>
      <c r="C948" s="8" t="s">
        <v>819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932</v>
      </c>
      <c r="B949" s="8" t="s">
        <v>170</v>
      </c>
      <c r="C949" s="8" t="s">
        <v>820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932</v>
      </c>
      <c r="B950" s="8" t="s">
        <v>170</v>
      </c>
      <c r="C950" s="8" t="s">
        <v>821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932</v>
      </c>
      <c r="B951" s="8" t="s">
        <v>170</v>
      </c>
      <c r="C951" s="8" t="s">
        <v>822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932</v>
      </c>
      <c r="B952" s="8" t="s">
        <v>170</v>
      </c>
      <c r="C952" s="8" t="s">
        <v>823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932</v>
      </c>
      <c r="B953" s="8" t="s">
        <v>170</v>
      </c>
      <c r="C953" s="8" t="s">
        <v>824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932</v>
      </c>
      <c r="B954" s="8" t="s">
        <v>54</v>
      </c>
      <c r="C954" s="8" t="s">
        <v>825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932</v>
      </c>
      <c r="B955" s="8" t="s">
        <v>286</v>
      </c>
      <c r="C955" s="8" t="s">
        <v>826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932</v>
      </c>
      <c r="B956" s="8" t="s">
        <v>193</v>
      </c>
      <c r="C956" s="8" t="s">
        <v>827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932</v>
      </c>
      <c r="B957" s="8" t="s">
        <v>226</v>
      </c>
      <c r="C957" s="8" t="s">
        <v>827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932</v>
      </c>
      <c r="B958" s="8" t="s">
        <v>169</v>
      </c>
      <c r="C958" s="8" t="s">
        <v>827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932</v>
      </c>
      <c r="B959" s="8" t="s">
        <v>175</v>
      </c>
      <c r="C959" s="8" t="s">
        <v>827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932</v>
      </c>
      <c r="B960" s="8" t="s">
        <v>110</v>
      </c>
      <c r="C960" s="8" t="s">
        <v>828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932</v>
      </c>
      <c r="B961" s="8" t="s">
        <v>222</v>
      </c>
      <c r="C961" s="8" t="s">
        <v>829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932</v>
      </c>
      <c r="B962" s="8" t="s">
        <v>312</v>
      </c>
      <c r="C962" s="8" t="s">
        <v>830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932</v>
      </c>
      <c r="B963" s="8" t="s">
        <v>335</v>
      </c>
      <c r="C963" s="8" t="s">
        <v>830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932</v>
      </c>
      <c r="B964" s="8" t="s">
        <v>302</v>
      </c>
      <c r="C964" s="8" t="s">
        <v>830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932</v>
      </c>
      <c r="B965" s="8" t="s">
        <v>304</v>
      </c>
      <c r="C965" s="8" t="s">
        <v>830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932</v>
      </c>
      <c r="B966" s="8" t="s">
        <v>162</v>
      </c>
      <c r="C966" s="8" t="s">
        <v>831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932</v>
      </c>
      <c r="B967" s="8" t="s">
        <v>105</v>
      </c>
      <c r="C967" s="8" t="s">
        <v>832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932</v>
      </c>
      <c r="B968" s="8" t="s">
        <v>121</v>
      </c>
      <c r="C968" s="8" t="s">
        <v>832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932</v>
      </c>
      <c r="B969" s="8" t="s">
        <v>133</v>
      </c>
      <c r="C969" s="8" t="s">
        <v>832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932</v>
      </c>
      <c r="B970" s="8" t="s">
        <v>132</v>
      </c>
      <c r="C970" s="8" t="s">
        <v>832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932</v>
      </c>
      <c r="B971" s="8" t="s">
        <v>141</v>
      </c>
      <c r="C971" s="8" t="s">
        <v>833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932</v>
      </c>
      <c r="B972" s="8" t="s">
        <v>141</v>
      </c>
      <c r="C972" s="8" t="s">
        <v>834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932</v>
      </c>
      <c r="B973" s="8" t="s">
        <v>141</v>
      </c>
      <c r="C973" s="8" t="s">
        <v>835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932</v>
      </c>
      <c r="B974" s="8" t="s">
        <v>141</v>
      </c>
      <c r="C974" s="8" t="s">
        <v>836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932</v>
      </c>
      <c r="B975" s="8" t="s">
        <v>234</v>
      </c>
      <c r="C975" s="8" t="s">
        <v>837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932</v>
      </c>
      <c r="B976" s="8" t="s">
        <v>234</v>
      </c>
      <c r="C976" s="8" t="s">
        <v>838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932</v>
      </c>
      <c r="B977" s="8" t="s">
        <v>234</v>
      </c>
      <c r="C977" s="8" t="s">
        <v>839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932</v>
      </c>
      <c r="B978" s="8" t="s">
        <v>234</v>
      </c>
      <c r="C978" s="8" t="s">
        <v>840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932</v>
      </c>
      <c r="B979" s="8" t="s">
        <v>159</v>
      </c>
      <c r="C979" s="8" t="s">
        <v>660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932</v>
      </c>
      <c r="B980" s="8" t="s">
        <v>159</v>
      </c>
      <c r="C980" s="8" t="s">
        <v>659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932</v>
      </c>
      <c r="B981" s="8" t="s">
        <v>159</v>
      </c>
      <c r="C981" s="8" t="s">
        <v>661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932</v>
      </c>
      <c r="B982" s="8" t="s">
        <v>159</v>
      </c>
      <c r="C982" s="8" t="s">
        <v>658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932</v>
      </c>
      <c r="B983" s="8" t="s">
        <v>159</v>
      </c>
      <c r="C983" s="8" t="s">
        <v>841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932</v>
      </c>
      <c r="B984" s="8" t="s">
        <v>287</v>
      </c>
      <c r="C984" s="8" t="s">
        <v>842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932</v>
      </c>
      <c r="B985" s="8" t="s">
        <v>287</v>
      </c>
      <c r="C985" s="8" t="s">
        <v>843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932</v>
      </c>
      <c r="B986" s="8" t="s">
        <v>287</v>
      </c>
      <c r="C986" s="8" t="s">
        <v>844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932</v>
      </c>
      <c r="B987" s="8" t="s">
        <v>287</v>
      </c>
      <c r="C987" s="8" t="s">
        <v>845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932</v>
      </c>
      <c r="B988" s="8" t="s">
        <v>215</v>
      </c>
      <c r="C988" s="8" t="s">
        <v>846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932</v>
      </c>
      <c r="B989" s="8" t="s">
        <v>215</v>
      </c>
      <c r="C989" s="8" t="s">
        <v>847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932</v>
      </c>
      <c r="B990" s="8" t="s">
        <v>215</v>
      </c>
      <c r="C990" s="8" t="s">
        <v>848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932</v>
      </c>
      <c r="B991" s="8" t="s">
        <v>215</v>
      </c>
      <c r="C991" s="8" t="s">
        <v>849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932</v>
      </c>
      <c r="B992" s="8" t="s">
        <v>126</v>
      </c>
      <c r="C992" s="8" t="s">
        <v>851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932</v>
      </c>
      <c r="B993" s="8" t="s">
        <v>126</v>
      </c>
      <c r="C993" s="8" t="s">
        <v>852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932</v>
      </c>
      <c r="B994" s="8" t="s">
        <v>126</v>
      </c>
      <c r="C994" s="8" t="s">
        <v>853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932</v>
      </c>
      <c r="B995" s="8" t="s">
        <v>126</v>
      </c>
      <c r="C995" s="8" t="s">
        <v>854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932</v>
      </c>
      <c r="B996" s="8" t="s">
        <v>126</v>
      </c>
      <c r="C996" s="8" t="s">
        <v>855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932</v>
      </c>
      <c r="B997" s="8" t="s">
        <v>268</v>
      </c>
      <c r="C997" s="8" t="s">
        <v>857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932</v>
      </c>
      <c r="B998" s="8" t="s">
        <v>365</v>
      </c>
      <c r="C998" s="8" t="s">
        <v>956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932</v>
      </c>
      <c r="B999" s="8" t="s">
        <v>344</v>
      </c>
      <c r="C999" s="8" t="s">
        <v>956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932</v>
      </c>
      <c r="B1000" s="8" t="s">
        <v>228</v>
      </c>
      <c r="C1000" s="8" t="s">
        <v>868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932</v>
      </c>
      <c r="B1001" s="8" t="s">
        <v>221</v>
      </c>
      <c r="C1001" s="8" t="s">
        <v>868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932</v>
      </c>
      <c r="B1002" s="8" t="s">
        <v>229</v>
      </c>
      <c r="C1002" s="8" t="s">
        <v>868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932</v>
      </c>
      <c r="B1003" s="8" t="s">
        <v>252</v>
      </c>
      <c r="C1003" s="8" t="s">
        <v>868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932</v>
      </c>
      <c r="B1004" s="8" t="s">
        <v>223</v>
      </c>
      <c r="C1004" s="8" t="s">
        <v>869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932</v>
      </c>
      <c r="B1005" s="8" t="s">
        <v>219</v>
      </c>
      <c r="C1005" s="8" t="s">
        <v>869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932</v>
      </c>
      <c r="B1006" s="8" t="s">
        <v>247</v>
      </c>
      <c r="C1006" s="8" t="s">
        <v>869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932</v>
      </c>
      <c r="B1007" s="8" t="s">
        <v>237</v>
      </c>
      <c r="C1007" s="8" t="s">
        <v>869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932</v>
      </c>
      <c r="B1008" s="8" t="s">
        <v>140</v>
      </c>
      <c r="C1008" s="8" t="s">
        <v>870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932</v>
      </c>
      <c r="B1009" s="8" t="s">
        <v>140</v>
      </c>
      <c r="C1009" s="8" t="s">
        <v>871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932</v>
      </c>
      <c r="B1010" s="8" t="s">
        <v>199</v>
      </c>
      <c r="C1010" s="8" t="s">
        <v>957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932</v>
      </c>
      <c r="B1011" s="8" t="s">
        <v>199</v>
      </c>
      <c r="C1011" s="8" t="s">
        <v>958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932</v>
      </c>
      <c r="B1012" s="8" t="s">
        <v>199</v>
      </c>
      <c r="C1012" s="8" t="s">
        <v>959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932</v>
      </c>
      <c r="B1013" s="8" t="s">
        <v>258</v>
      </c>
      <c r="C1013" s="8" t="s">
        <v>872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932</v>
      </c>
      <c r="B1014" s="8" t="s">
        <v>71</v>
      </c>
      <c r="C1014" s="8" t="s">
        <v>873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932</v>
      </c>
      <c r="B1015" s="8" t="s">
        <v>153</v>
      </c>
      <c r="C1015" s="8" t="s">
        <v>874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932</v>
      </c>
      <c r="B1016" s="8" t="s">
        <v>71</v>
      </c>
      <c r="C1016" s="8" t="s">
        <v>875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932</v>
      </c>
      <c r="B1017" s="8" t="s">
        <v>74</v>
      </c>
      <c r="C1017" s="8" t="s">
        <v>877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932</v>
      </c>
      <c r="B1018" s="8" t="s">
        <v>74</v>
      </c>
      <c r="C1018" s="8" t="s">
        <v>878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932</v>
      </c>
      <c r="B1019" s="8" t="s">
        <v>74</v>
      </c>
      <c r="C1019" s="8" t="s">
        <v>879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932</v>
      </c>
      <c r="B1020" s="8" t="s">
        <v>74</v>
      </c>
      <c r="C1020" s="8" t="s">
        <v>880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932</v>
      </c>
      <c r="B1021" s="8" t="s">
        <v>74</v>
      </c>
      <c r="C1021" s="8" t="s">
        <v>881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932</v>
      </c>
      <c r="B1022" s="8" t="s">
        <v>66</v>
      </c>
      <c r="C1022" s="8" t="s">
        <v>882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932</v>
      </c>
      <c r="B1023" s="8" t="s">
        <v>66</v>
      </c>
      <c r="C1023" s="8" t="s">
        <v>883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932</v>
      </c>
      <c r="B1024" s="8" t="s">
        <v>66</v>
      </c>
      <c r="C1024" s="8" t="s">
        <v>884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932</v>
      </c>
      <c r="B1025" s="8" t="s">
        <v>66</v>
      </c>
      <c r="C1025" s="8" t="s">
        <v>885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932</v>
      </c>
      <c r="B1026" s="8" t="s">
        <v>66</v>
      </c>
      <c r="C1026" s="8" t="s">
        <v>886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932</v>
      </c>
      <c r="B1027" s="8" t="s">
        <v>118</v>
      </c>
      <c r="C1027" s="8" t="s">
        <v>887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932</v>
      </c>
      <c r="B1028" s="8" t="s">
        <v>118</v>
      </c>
      <c r="C1028" s="8" t="s">
        <v>888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932</v>
      </c>
      <c r="B1029" s="8" t="s">
        <v>118</v>
      </c>
      <c r="C1029" s="8" t="s">
        <v>889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932</v>
      </c>
      <c r="B1030" s="8" t="s">
        <v>118</v>
      </c>
      <c r="C1030" s="8" t="s">
        <v>890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932</v>
      </c>
      <c r="B1031" s="8" t="s">
        <v>118</v>
      </c>
      <c r="C1031" s="8" t="s">
        <v>891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932</v>
      </c>
      <c r="B1032" s="8" t="s">
        <v>290</v>
      </c>
      <c r="C1032" s="8" t="s">
        <v>892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932</v>
      </c>
      <c r="B1033" s="8" t="s">
        <v>321</v>
      </c>
      <c r="C1033" s="8" t="s">
        <v>893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932</v>
      </c>
      <c r="B1034" s="8" t="s">
        <v>274</v>
      </c>
      <c r="C1034" s="8" t="s">
        <v>894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932</v>
      </c>
      <c r="B1035" s="8" t="s">
        <v>176</v>
      </c>
      <c r="C1035" s="8" t="s">
        <v>895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932</v>
      </c>
      <c r="B1036" s="8" t="s">
        <v>260</v>
      </c>
      <c r="C1036" s="8" t="s">
        <v>896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932</v>
      </c>
      <c r="B1037" s="8" t="s">
        <v>189</v>
      </c>
      <c r="C1037" s="8" t="s">
        <v>897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932</v>
      </c>
      <c r="B1038" s="8" t="s">
        <v>189</v>
      </c>
      <c r="C1038" s="8" t="s">
        <v>898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932</v>
      </c>
      <c r="B1039" s="8" t="s">
        <v>189</v>
      </c>
      <c r="C1039" s="8" t="s">
        <v>899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932</v>
      </c>
      <c r="B1040" s="8" t="s">
        <v>189</v>
      </c>
      <c r="C1040" s="8" t="s">
        <v>900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932</v>
      </c>
      <c r="B1041" s="8" t="s">
        <v>173</v>
      </c>
      <c r="C1041" s="8" t="s">
        <v>901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932</v>
      </c>
      <c r="B1042" s="8" t="s">
        <v>150</v>
      </c>
      <c r="C1042" s="8" t="s">
        <v>902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932</v>
      </c>
      <c r="B1043" s="8" t="s">
        <v>139</v>
      </c>
      <c r="C1043" s="8" t="s">
        <v>903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932</v>
      </c>
      <c r="B1044" s="8" t="s">
        <v>180</v>
      </c>
      <c r="C1044" s="8" t="s">
        <v>904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932</v>
      </c>
      <c r="B1045" s="8" t="s">
        <v>309</v>
      </c>
      <c r="C1045" s="8" t="s">
        <v>905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932</v>
      </c>
      <c r="B1046" s="8" t="s">
        <v>310</v>
      </c>
      <c r="C1046" s="8" t="s">
        <v>960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932</v>
      </c>
      <c r="B1047" s="8" t="s">
        <v>243</v>
      </c>
      <c r="C1047" s="8" t="s">
        <v>961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932</v>
      </c>
      <c r="B1048" s="8" t="s">
        <v>243</v>
      </c>
      <c r="C1048" s="8" t="s">
        <v>906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932</v>
      </c>
      <c r="B1049" s="8" t="s">
        <v>243</v>
      </c>
      <c r="C1049" s="8" t="s">
        <v>962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932</v>
      </c>
      <c r="B1050" s="8" t="s">
        <v>243</v>
      </c>
      <c r="C1050" s="8" t="s">
        <v>963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932</v>
      </c>
      <c r="B1051" s="8" t="s">
        <v>243</v>
      </c>
      <c r="C1051" s="8" t="s">
        <v>964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932</v>
      </c>
      <c r="B1052" s="8" t="s">
        <v>79</v>
      </c>
      <c r="C1052" s="8" t="s">
        <v>908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932</v>
      </c>
      <c r="B1053" s="8" t="s">
        <v>79</v>
      </c>
      <c r="C1053" s="8" t="s">
        <v>909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932</v>
      </c>
      <c r="B1054" s="8" t="s">
        <v>79</v>
      </c>
      <c r="C1054" s="8" t="s">
        <v>910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932</v>
      </c>
      <c r="B1055" s="8" t="s">
        <v>79</v>
      </c>
      <c r="C1055" s="8" t="s">
        <v>911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932</v>
      </c>
      <c r="B1056" s="8" t="s">
        <v>230</v>
      </c>
      <c r="C1056" s="8" t="s">
        <v>912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932</v>
      </c>
      <c r="B1057" s="8" t="s">
        <v>318</v>
      </c>
      <c r="C1057" s="8" t="s">
        <v>912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932</v>
      </c>
      <c r="B1058" s="8" t="s">
        <v>230</v>
      </c>
      <c r="C1058" s="8" t="s">
        <v>913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932</v>
      </c>
      <c r="B1059" s="8" t="s">
        <v>316</v>
      </c>
      <c r="C1059" s="8" t="s">
        <v>913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932</v>
      </c>
      <c r="B1060" s="8" t="s">
        <v>68</v>
      </c>
      <c r="C1060" s="8" t="s">
        <v>914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932</v>
      </c>
      <c r="B1061" s="8" t="s">
        <v>125</v>
      </c>
      <c r="C1061" s="8" t="s">
        <v>915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932</v>
      </c>
      <c r="B1062" s="8" t="s">
        <v>56</v>
      </c>
      <c r="C1062" s="8" t="s">
        <v>965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932</v>
      </c>
      <c r="B1063" s="8" t="s">
        <v>56</v>
      </c>
      <c r="C1063" s="8" t="s">
        <v>966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932</v>
      </c>
      <c r="B1064" s="8" t="s">
        <v>56</v>
      </c>
      <c r="C1064" s="8" t="s">
        <v>967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932</v>
      </c>
      <c r="B1065" s="8" t="s">
        <v>186</v>
      </c>
      <c r="C1065" s="8" t="s">
        <v>968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932</v>
      </c>
      <c r="B1066" s="8" t="s">
        <v>186</v>
      </c>
      <c r="C1066" s="8" t="s">
        <v>969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932</v>
      </c>
      <c r="B1067" s="8" t="s">
        <v>86</v>
      </c>
      <c r="C1067" s="8" t="s">
        <v>916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932</v>
      </c>
      <c r="B1068" s="8" t="s">
        <v>123</v>
      </c>
      <c r="C1068" s="8" t="s">
        <v>521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932</v>
      </c>
      <c r="B1069" s="8" t="s">
        <v>192</v>
      </c>
      <c r="C1069" s="8" t="s">
        <v>917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932</v>
      </c>
      <c r="B1070" s="8" t="s">
        <v>380</v>
      </c>
      <c r="C1070" s="8" t="s">
        <v>970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932</v>
      </c>
      <c r="B1071" s="8" t="s">
        <v>385</v>
      </c>
      <c r="C1071" s="8" t="s">
        <v>971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932</v>
      </c>
      <c r="B1072" s="8" t="s">
        <v>383</v>
      </c>
      <c r="C1072" s="8" t="s">
        <v>972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932</v>
      </c>
      <c r="B1073" s="8" t="s">
        <v>387</v>
      </c>
      <c r="C1073" s="8" t="s">
        <v>973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932</v>
      </c>
      <c r="B1074" s="8" t="s">
        <v>191</v>
      </c>
      <c r="C1074" s="8" t="s">
        <v>974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932</v>
      </c>
      <c r="B1075" s="8" t="s">
        <v>191</v>
      </c>
      <c r="C1075" s="8" t="s">
        <v>975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932</v>
      </c>
      <c r="B1076" s="8" t="s">
        <v>191</v>
      </c>
      <c r="C1076" s="8" t="s">
        <v>976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932</v>
      </c>
      <c r="B1077" s="8" t="s">
        <v>191</v>
      </c>
      <c r="C1077" s="8" t="s">
        <v>977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932</v>
      </c>
      <c r="B1078" s="8" t="s">
        <v>187</v>
      </c>
      <c r="C1078" s="8" t="s">
        <v>978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932</v>
      </c>
      <c r="B1079" s="8" t="s">
        <v>233</v>
      </c>
      <c r="C1079" s="8" t="s">
        <v>979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932</v>
      </c>
      <c r="B1080" s="8" t="s">
        <v>233</v>
      </c>
      <c r="C1080" s="8" t="s">
        <v>980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932</v>
      </c>
      <c r="B1081" s="8" t="s">
        <v>233</v>
      </c>
      <c r="C1081" s="8" t="s">
        <v>981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932</v>
      </c>
      <c r="B1082" s="8" t="s">
        <v>262</v>
      </c>
      <c r="C1082" s="8" t="s">
        <v>982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932</v>
      </c>
      <c r="B1083" s="8" t="s">
        <v>262</v>
      </c>
      <c r="C1083" s="8" t="s">
        <v>983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932</v>
      </c>
      <c r="B1084" s="8" t="s">
        <v>261</v>
      </c>
      <c r="C1084" s="8" t="s">
        <v>984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932</v>
      </c>
      <c r="B1085" s="8" t="s">
        <v>127</v>
      </c>
      <c r="C1085" s="8" t="s">
        <v>918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932</v>
      </c>
      <c r="B1086" s="8" t="s">
        <v>127</v>
      </c>
      <c r="C1086" s="8" t="s">
        <v>919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932</v>
      </c>
      <c r="B1087" s="8" t="s">
        <v>127</v>
      </c>
      <c r="C1087" s="8" t="s">
        <v>920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932</v>
      </c>
      <c r="B1088" s="8" t="s">
        <v>264</v>
      </c>
      <c r="C1088" s="8" t="s">
        <v>921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932</v>
      </c>
      <c r="B1089" s="8" t="s">
        <v>147</v>
      </c>
      <c r="C1089" s="8" t="s">
        <v>921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932</v>
      </c>
      <c r="B1090" s="8" t="s">
        <v>155</v>
      </c>
      <c r="C1090" s="8" t="s">
        <v>921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932</v>
      </c>
      <c r="B1091" s="8" t="s">
        <v>264</v>
      </c>
      <c r="C1091" s="8" t="s">
        <v>922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932</v>
      </c>
      <c r="B1092" s="8" t="s">
        <v>147</v>
      </c>
      <c r="C1092" s="8" t="s">
        <v>922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932</v>
      </c>
      <c r="B1093" s="8" t="s">
        <v>155</v>
      </c>
      <c r="C1093" s="8" t="s">
        <v>922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932</v>
      </c>
      <c r="B1094" s="8" t="s">
        <v>382</v>
      </c>
      <c r="C1094" s="8" t="s">
        <v>985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932</v>
      </c>
      <c r="B1095" s="8" t="s">
        <v>384</v>
      </c>
      <c r="C1095" s="8" t="s">
        <v>986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932</v>
      </c>
      <c r="B1096" s="8" t="s">
        <v>388</v>
      </c>
      <c r="C1096" s="8" t="s">
        <v>696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932</v>
      </c>
      <c r="B1097" s="8" t="s">
        <v>172</v>
      </c>
      <c r="C1097" s="8" t="s">
        <v>987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932</v>
      </c>
      <c r="B1098" s="8" t="s">
        <v>386</v>
      </c>
      <c r="C1098" s="8" t="s">
        <v>988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932</v>
      </c>
      <c r="B1099" s="8" t="s">
        <v>109</v>
      </c>
      <c r="C1099" s="8" t="s">
        <v>924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932</v>
      </c>
      <c r="B1100" s="8" t="s">
        <v>109</v>
      </c>
      <c r="C1100" s="8" t="s">
        <v>925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932</v>
      </c>
      <c r="B1101" s="8" t="s">
        <v>214</v>
      </c>
      <c r="C1101" s="8" t="s">
        <v>989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932</v>
      </c>
      <c r="B1102" s="8" t="s">
        <v>77</v>
      </c>
      <c r="C1102" s="8" t="s">
        <v>926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932</v>
      </c>
      <c r="B1103" s="8" t="s">
        <v>59</v>
      </c>
      <c r="C1103" s="8" t="s">
        <v>927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932</v>
      </c>
      <c r="B1104" s="8" t="s">
        <v>59</v>
      </c>
      <c r="C1104" s="8" t="s">
        <v>928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932</v>
      </c>
      <c r="B1105" s="8" t="s">
        <v>59</v>
      </c>
      <c r="C1105" s="8" t="s">
        <v>929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932</v>
      </c>
      <c r="B1106" s="8" t="s">
        <v>59</v>
      </c>
      <c r="C1106" s="8" t="s">
        <v>930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932</v>
      </c>
      <c r="B1107" s="8" t="s">
        <v>59</v>
      </c>
      <c r="C1107" s="8" t="s">
        <v>931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932</v>
      </c>
      <c r="B1108" s="8" t="s">
        <v>59</v>
      </c>
      <c r="C1108" s="8" t="s">
        <v>990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2026-09-19T14:07:40Z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